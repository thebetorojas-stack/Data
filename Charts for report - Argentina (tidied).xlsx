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6.xml" ContentType="application/vnd.openxmlformats-officedocument.drawing+xml"/>
  <Override PartName="/xl/charts/chart17.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ml.chartshapes+xml"/>
  <Override PartName="/xl/comments1.xml" ContentType="application/vnd.openxmlformats-officedocument.spreadsheetml.comments+xml"/>
  <Override PartName="/xl/drawings/drawing9.xml" ContentType="application/vnd.openxmlformats-officedocument.drawing+xml"/>
  <Override PartName="/xl/comments2.xml" ContentType="application/vnd.openxmlformats-officedocument.spreadsheetml.comments+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drawings/drawing10.xml" ContentType="application/vnd.openxmlformats-officedocument.drawing+xml"/>
  <Override PartName="/xl/charts/chart25.xml" ContentType="application/vnd.openxmlformats-officedocument.drawingml.chart+xml"/>
  <Override PartName="/xl/charts/style15.xml" ContentType="application/vnd.ms-office.chartstyle+xml"/>
  <Override PartName="/xl/charts/colors15.xml" ContentType="application/vnd.ms-office.chartcolorstyle+xml"/>
  <Override PartName="/xl/charts/chart26.xml" ContentType="application/vnd.openxmlformats-officedocument.drawingml.chart+xml"/>
  <Override PartName="/xl/charts/style16.xml" ContentType="application/vnd.ms-office.chartstyle+xml"/>
  <Override PartName="/xl/charts/colors16.xml" ContentType="application/vnd.ms-office.chartcolorstyle+xml"/>
  <Override PartName="/xl/charts/chart2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1.xml" ContentType="application/vnd.openxmlformats-officedocument.drawing+xml"/>
  <Override PartName="/xl/charts/chart2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ubscloudnam-my.sharepoint.com/personal/alberto_rojas_ubs_com/Documents/Argentina 2026/"/>
    </mc:Choice>
  </mc:AlternateContent>
  <xr:revisionPtr revIDLastSave="1073" documentId="8_{437B4D6F-9CF9-49BB-BD4C-9A552617CBBD}" xr6:coauthVersionLast="47" xr6:coauthVersionMax="47" xr10:uidLastSave="{65EB62A8-6DAC-4946-AB34-91D87F3B3CDC}"/>
  <bookViews>
    <workbookView xWindow="-120" yWindow="-120" windowWidth="22920" windowHeight="13755" tabRatio="676" firstSheet="9" xr2:uid="{CE8AF2F7-55A9-4E87-8723-9462CDABB1F4}"/>
  </bookViews>
  <sheets>
    <sheet name="Inflation expectations" sheetId="1" r:id="rId1"/>
    <sheet name="Trade balance" sheetId="2" r:id="rId2"/>
    <sheet name="Current account" sheetId="3" r:id="rId3"/>
    <sheet name="Net reserves" sheetId="4" r:id="rId4"/>
    <sheet name="GDP demand contributions" sheetId="13" r:id="rId5"/>
    <sheet name="12 month rolling fiscal" sheetId="5" r:id="rId6"/>
    <sheet name="Stabilising primary balance" sheetId="6" r:id="rId7"/>
    <sheet name="Buenos Aires polling" sheetId="7" r:id="rId8"/>
    <sheet name="Bond data (Bloomberg)" sheetId="9" r:id="rId9"/>
    <sheet name="Sources &amp; notes" sheetId="8" r:id="rId10"/>
    <sheet name="1 Bond inputs" sheetId="10" r:id="rId11"/>
    <sheet name="2 Carry cushion" sheetId="11" r:id="rId12"/>
    <sheet name="GDP contributions (HAVER)" sheetId="12" r:id="rId13"/>
    <sheet name="Employment" sheetId="14" r:id="rId14"/>
    <sheet name="CPI MoM" sheetId="15" r:id="rId15"/>
  </sheets>
  <externalReferences>
    <externalReference r:id="rId16"/>
    <externalReference r:id="rId17"/>
    <externalReference r:id="rId18"/>
    <externalReference r:id="rId19"/>
    <externalReference r:id="rId20"/>
    <externalReference r:id="rId21"/>
    <externalReference r:id="rId22"/>
    <externalReference r:id="rId23"/>
  </externalReferences>
  <definedNames>
    <definedName name="_DLX1" localSheetId="13">Employment!$B$3:$V$7</definedName>
    <definedName name="_DLX1">'Inflation expectations'!$B$3:$I$7</definedName>
    <definedName name="_DLX1.USE" localSheetId="3">#REF!</definedName>
    <definedName name="_DLX1.USE">'Current account'!$D$3:$I$24</definedName>
    <definedName name="_DLX10.USE">'Net reserves'!$B$20:$G$37</definedName>
    <definedName name="_DLX13.USE">#REF!</definedName>
    <definedName name="_DLX2">'Trade balance'!$B$2:$L$6</definedName>
    <definedName name="_DLX2.USE" localSheetId="3">#REF!</definedName>
    <definedName name="_DLX3">'12 month rolling fiscal'!#REF!</definedName>
    <definedName name="_DLX4">'12 month rolling fiscal'!$B$2:$G$6</definedName>
    <definedName name="_DLX5">'12 month rolling fiscal'!$I$2:$P$6</definedName>
    <definedName name="_DLX6">'GDP contributions (HAVER)'!$B$3:$Z$7</definedName>
    <definedName name="_DLX7.USE">'[3]Monetary analysis'!#REF!</definedName>
    <definedName name="_DLX8">'CPI MoM'!$B$2:$H$6</definedName>
    <definedName name="_xlchart.v1.0" hidden="1">'CPI MoM'!$E$43:$E$60</definedName>
    <definedName name="_xlchart.v1.1" hidden="1">'CPI MoM'!$E$7</definedName>
    <definedName name="_xlchart.v1.2" hidden="1">'CPI MoM'!$F$43:$F$60</definedName>
    <definedName name="_xlchart.v1.3" hidden="1">'CPI MoM'!$F$7</definedName>
    <definedName name="_xlchart.v1.4" hidden="1">'CPI MoM'!$G$43:$G$60</definedName>
    <definedName name="_xlchart.v1.5" hidden="1">'CPI MoM'!$G$7</definedName>
    <definedName name="año2003">#REF!</definedName>
    <definedName name="dbBacktables">[4]dbBacktables!$A$2:$A$43</definedName>
    <definedName name="dbIndicators">[4]dbIndicators!$A$2:$A$230</definedName>
    <definedName name="dbSources">[4]dbSources!$A$2:$A$93</definedName>
    <definedName name="PRINT_TITLES_MI">#REF!</definedName>
    <definedName name="wrn.BMA." hidden="1">{"3",#N/A,FALSE,"BASE MONETARIA";"4",#N/A,FALSE,"BASE MONETARIA"}</definedName>
    <definedName name="wrn.PASMON." hidden="1">{"1",#N/A,FALSE,"Pasivos Mon";"2",#N/A,FALSE,"Pasivos Mon"}</definedName>
    <definedName name="YesNo">[4]YesNo!$A$2:$A$3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25" i="12" l="1"/>
  <c r="O26" i="12"/>
  <c r="O27" i="12"/>
  <c r="O28" i="12"/>
  <c r="O29" i="12"/>
  <c r="O30" i="12"/>
  <c r="O31" i="12"/>
  <c r="O32" i="12"/>
  <c r="O33" i="12"/>
  <c r="O34" i="12"/>
  <c r="O35" i="12"/>
  <c r="O36" i="12"/>
  <c r="O37" i="12"/>
  <c r="O38" i="12"/>
  <c r="O39" i="12"/>
  <c r="O40" i="12"/>
  <c r="M12" i="12"/>
  <c r="N12" i="12"/>
  <c r="L12" i="12"/>
  <c r="P13" i="12"/>
  <c r="Q13" i="12"/>
  <c r="R13" i="12"/>
  <c r="S13" i="12"/>
  <c r="T13" i="12"/>
  <c r="U13" i="12"/>
  <c r="V13" i="12"/>
  <c r="P14" i="12"/>
  <c r="Q14" i="12"/>
  <c r="R14" i="12"/>
  <c r="S14" i="12"/>
  <c r="T14" i="12"/>
  <c r="U14" i="12"/>
  <c r="V14" i="12"/>
  <c r="P15" i="12"/>
  <c r="Q15" i="12"/>
  <c r="R15" i="12"/>
  <c r="S15" i="12"/>
  <c r="T15" i="12"/>
  <c r="U15" i="12"/>
  <c r="V15" i="12"/>
  <c r="P16" i="12"/>
  <c r="Q16" i="12"/>
  <c r="R16" i="12"/>
  <c r="S16" i="12"/>
  <c r="T16" i="12"/>
  <c r="U16" i="12"/>
  <c r="V16" i="12"/>
  <c r="P17" i="12"/>
  <c r="Q17" i="12"/>
  <c r="R17" i="12"/>
  <c r="S17" i="12"/>
  <c r="T17" i="12"/>
  <c r="U17" i="12"/>
  <c r="V17" i="12"/>
  <c r="P18" i="12"/>
  <c r="Q18" i="12"/>
  <c r="R18" i="12"/>
  <c r="S18" i="12"/>
  <c r="T18" i="12"/>
  <c r="U18" i="12"/>
  <c r="V18" i="12"/>
  <c r="P19" i="12"/>
  <c r="Q19" i="12"/>
  <c r="R19" i="12"/>
  <c r="S19" i="12"/>
  <c r="T19" i="12"/>
  <c r="U19" i="12"/>
  <c r="V19" i="12"/>
  <c r="P20" i="12"/>
  <c r="Q20" i="12"/>
  <c r="R20" i="12"/>
  <c r="S20" i="12"/>
  <c r="T20" i="12"/>
  <c r="U20" i="12"/>
  <c r="V20" i="12"/>
  <c r="P21" i="12"/>
  <c r="Q21" i="12"/>
  <c r="R21" i="12"/>
  <c r="S21" i="12"/>
  <c r="T21" i="12"/>
  <c r="U21" i="12"/>
  <c r="V21" i="12"/>
  <c r="P22" i="12"/>
  <c r="Q22" i="12"/>
  <c r="R22" i="12"/>
  <c r="S22" i="12"/>
  <c r="T22" i="12"/>
  <c r="U22" i="12"/>
  <c r="V22" i="12"/>
  <c r="P23" i="12"/>
  <c r="Q23" i="12"/>
  <c r="R23" i="12"/>
  <c r="S23" i="12"/>
  <c r="T23" i="12"/>
  <c r="U23" i="12"/>
  <c r="V23" i="12"/>
  <c r="P24" i="12"/>
  <c r="Q24" i="12"/>
  <c r="R24" i="12"/>
  <c r="S24" i="12"/>
  <c r="T24" i="12"/>
  <c r="U24" i="12"/>
  <c r="V24" i="12"/>
  <c r="P25" i="12"/>
  <c r="Q25" i="12"/>
  <c r="R25" i="12"/>
  <c r="S25" i="12"/>
  <c r="T25" i="12"/>
  <c r="U25" i="12"/>
  <c r="V25" i="12"/>
  <c r="P26" i="12"/>
  <c r="Q26" i="12"/>
  <c r="R26" i="12"/>
  <c r="S26" i="12"/>
  <c r="T26" i="12"/>
  <c r="U26" i="12"/>
  <c r="V26" i="12"/>
  <c r="P27" i="12"/>
  <c r="Q27" i="12"/>
  <c r="R27" i="12"/>
  <c r="S27" i="12"/>
  <c r="T27" i="12"/>
  <c r="U27" i="12"/>
  <c r="V27" i="12"/>
  <c r="P28" i="12"/>
  <c r="Q28" i="12"/>
  <c r="R28" i="12"/>
  <c r="S28" i="12"/>
  <c r="T28" i="12"/>
  <c r="U28" i="12"/>
  <c r="V28" i="12"/>
  <c r="P29" i="12"/>
  <c r="Q29" i="12"/>
  <c r="R29" i="12"/>
  <c r="S29" i="12"/>
  <c r="T29" i="12"/>
  <c r="U29" i="12"/>
  <c r="V29" i="12"/>
  <c r="P30" i="12"/>
  <c r="Q30" i="12"/>
  <c r="R30" i="12"/>
  <c r="S30" i="12"/>
  <c r="T30" i="12"/>
  <c r="U30" i="12"/>
  <c r="V30" i="12"/>
  <c r="P31" i="12"/>
  <c r="Q31" i="12"/>
  <c r="R31" i="12"/>
  <c r="S31" i="12"/>
  <c r="T31" i="12"/>
  <c r="U31" i="12"/>
  <c r="V31" i="12"/>
  <c r="P32" i="12"/>
  <c r="Q32" i="12"/>
  <c r="R32" i="12"/>
  <c r="S32" i="12"/>
  <c r="T32" i="12"/>
  <c r="U32" i="12"/>
  <c r="V32" i="12"/>
  <c r="P33" i="12"/>
  <c r="Q33" i="12"/>
  <c r="R33" i="12"/>
  <c r="S33" i="12"/>
  <c r="T33" i="12"/>
  <c r="U33" i="12"/>
  <c r="V33" i="12"/>
  <c r="P34" i="12"/>
  <c r="Q34" i="12"/>
  <c r="R34" i="12"/>
  <c r="S34" i="12"/>
  <c r="T34" i="12"/>
  <c r="U34" i="12"/>
  <c r="V34" i="12"/>
  <c r="P35" i="12"/>
  <c r="Q35" i="12"/>
  <c r="R35" i="12"/>
  <c r="S35" i="12"/>
  <c r="T35" i="12"/>
  <c r="U35" i="12"/>
  <c r="V35" i="12"/>
  <c r="P36" i="12"/>
  <c r="Q36" i="12"/>
  <c r="R36" i="12"/>
  <c r="S36" i="12"/>
  <c r="T36" i="12"/>
  <c r="U36" i="12"/>
  <c r="V36" i="12"/>
  <c r="P37" i="12"/>
  <c r="Q37" i="12"/>
  <c r="R37" i="12"/>
  <c r="S37" i="12"/>
  <c r="T37" i="12"/>
  <c r="U37" i="12"/>
  <c r="V37" i="12"/>
  <c r="P38" i="12"/>
  <c r="Q38" i="12"/>
  <c r="R38" i="12"/>
  <c r="S38" i="12"/>
  <c r="T38" i="12"/>
  <c r="U38" i="12"/>
  <c r="V38" i="12"/>
  <c r="P39" i="12"/>
  <c r="Q39" i="12"/>
  <c r="R39" i="12"/>
  <c r="S39" i="12"/>
  <c r="T39" i="12"/>
  <c r="U39" i="12"/>
  <c r="V39" i="12"/>
  <c r="P40" i="12"/>
  <c r="Q40" i="12"/>
  <c r="R40" i="12"/>
  <c r="S40" i="12"/>
  <c r="T40" i="12"/>
  <c r="U40" i="12"/>
  <c r="V40" i="12"/>
  <c r="Q12" i="12"/>
  <c r="R12" i="12"/>
  <c r="S12" i="12"/>
  <c r="T12" i="12"/>
  <c r="U12" i="12"/>
  <c r="V12" i="12"/>
  <c r="P12" i="12"/>
  <c r="X13" i="12"/>
  <c r="Y13" i="12"/>
  <c r="Z13" i="12"/>
  <c r="AA13" i="12"/>
  <c r="AB13" i="12"/>
  <c r="AC13" i="12"/>
  <c r="AD13" i="12"/>
  <c r="AE13" i="12"/>
  <c r="AF13" i="12"/>
  <c r="X14" i="12"/>
  <c r="Y14" i="12"/>
  <c r="Z14" i="12"/>
  <c r="AA14" i="12"/>
  <c r="AB14" i="12"/>
  <c r="AC14" i="12"/>
  <c r="AD14" i="12"/>
  <c r="AE14" i="12"/>
  <c r="AF14" i="12"/>
  <c r="X15" i="12"/>
  <c r="Y15" i="12"/>
  <c r="Z15" i="12"/>
  <c r="AA15" i="12"/>
  <c r="AB15" i="12"/>
  <c r="AC15" i="12"/>
  <c r="AD15" i="12"/>
  <c r="AE15" i="12"/>
  <c r="AF15" i="12"/>
  <c r="X16" i="12"/>
  <c r="Y16" i="12"/>
  <c r="Z16" i="12"/>
  <c r="AA16" i="12"/>
  <c r="AB16" i="12"/>
  <c r="AC16" i="12"/>
  <c r="AD16" i="12"/>
  <c r="AE16" i="12"/>
  <c r="AF16" i="12"/>
  <c r="X17" i="12"/>
  <c r="Y17" i="12"/>
  <c r="Z17" i="12"/>
  <c r="AA17" i="12"/>
  <c r="AB17" i="12"/>
  <c r="AC17" i="12"/>
  <c r="AD17" i="12"/>
  <c r="AE17" i="12"/>
  <c r="AF17" i="12"/>
  <c r="X18" i="12"/>
  <c r="Y18" i="12"/>
  <c r="Z18" i="12"/>
  <c r="AA18" i="12"/>
  <c r="AB18" i="12"/>
  <c r="AC18" i="12"/>
  <c r="AD18" i="12"/>
  <c r="AE18" i="12"/>
  <c r="AF18" i="12"/>
  <c r="X19" i="12"/>
  <c r="Y19" i="12"/>
  <c r="Z19" i="12"/>
  <c r="AA19" i="12"/>
  <c r="AB19" i="12"/>
  <c r="AC19" i="12"/>
  <c r="AD19" i="12"/>
  <c r="AE19" i="12"/>
  <c r="AF19" i="12"/>
  <c r="X20" i="12"/>
  <c r="Y20" i="12"/>
  <c r="Z20" i="12"/>
  <c r="AA20" i="12"/>
  <c r="AB20" i="12"/>
  <c r="AC20" i="12"/>
  <c r="AD20" i="12"/>
  <c r="AE20" i="12"/>
  <c r="AF20" i="12"/>
  <c r="X21" i="12"/>
  <c r="Y21" i="12"/>
  <c r="Z21" i="12"/>
  <c r="AA21" i="12"/>
  <c r="AB21" i="12"/>
  <c r="AC21" i="12"/>
  <c r="AD21" i="12"/>
  <c r="AE21" i="12"/>
  <c r="AF21" i="12"/>
  <c r="X22" i="12"/>
  <c r="Y22" i="12"/>
  <c r="Z22" i="12"/>
  <c r="AA22" i="12"/>
  <c r="AB22" i="12"/>
  <c r="AC22" i="12"/>
  <c r="AD22" i="12"/>
  <c r="AE22" i="12"/>
  <c r="AF22" i="12"/>
  <c r="X23" i="12"/>
  <c r="Y23" i="12"/>
  <c r="Z23" i="12"/>
  <c r="AA23" i="12"/>
  <c r="AB23" i="12"/>
  <c r="AC23" i="12"/>
  <c r="AD23" i="12"/>
  <c r="AE23" i="12"/>
  <c r="AF23" i="12"/>
  <c r="X24" i="12"/>
  <c r="Y24" i="12"/>
  <c r="Z24" i="12"/>
  <c r="AA24" i="12"/>
  <c r="AB24" i="12"/>
  <c r="AC24" i="12"/>
  <c r="AD24" i="12"/>
  <c r="AE24" i="12"/>
  <c r="AF24" i="12"/>
  <c r="X25" i="12"/>
  <c r="Y25" i="12"/>
  <c r="Z25" i="12"/>
  <c r="AA25" i="12"/>
  <c r="AB25" i="12"/>
  <c r="AC25" i="12"/>
  <c r="AD25" i="12"/>
  <c r="AE25" i="12"/>
  <c r="AF25" i="12"/>
  <c r="X26" i="12"/>
  <c r="Y26" i="12"/>
  <c r="Z26" i="12"/>
  <c r="AA26" i="12"/>
  <c r="AB26" i="12"/>
  <c r="AC26" i="12"/>
  <c r="AD26" i="12"/>
  <c r="AE26" i="12"/>
  <c r="AF26" i="12"/>
  <c r="X27" i="12"/>
  <c r="Y27" i="12"/>
  <c r="Z27" i="12"/>
  <c r="AA27" i="12"/>
  <c r="AB27" i="12"/>
  <c r="AC27" i="12"/>
  <c r="AD27" i="12"/>
  <c r="AE27" i="12"/>
  <c r="AF27" i="12"/>
  <c r="X28" i="12"/>
  <c r="Y28" i="12"/>
  <c r="Z28" i="12"/>
  <c r="AA28" i="12"/>
  <c r="AB28" i="12"/>
  <c r="AC28" i="12"/>
  <c r="AD28" i="12"/>
  <c r="AE28" i="12"/>
  <c r="AF28" i="12"/>
  <c r="X29" i="12"/>
  <c r="Y29" i="12"/>
  <c r="Z29" i="12"/>
  <c r="AA29" i="12"/>
  <c r="AB29" i="12"/>
  <c r="AC29" i="12"/>
  <c r="AD29" i="12"/>
  <c r="AE29" i="12"/>
  <c r="AF29" i="12"/>
  <c r="X30" i="12"/>
  <c r="Y30" i="12"/>
  <c r="Z30" i="12"/>
  <c r="AA30" i="12"/>
  <c r="AB30" i="12"/>
  <c r="AC30" i="12"/>
  <c r="AD30" i="12"/>
  <c r="AE30" i="12"/>
  <c r="AF30" i="12"/>
  <c r="X31" i="12"/>
  <c r="Y31" i="12"/>
  <c r="Z31" i="12"/>
  <c r="AA31" i="12"/>
  <c r="AB31" i="12"/>
  <c r="AC31" i="12"/>
  <c r="AD31" i="12"/>
  <c r="AE31" i="12"/>
  <c r="AF31" i="12"/>
  <c r="X32" i="12"/>
  <c r="Y32" i="12"/>
  <c r="Z32" i="12"/>
  <c r="AA32" i="12"/>
  <c r="AB32" i="12"/>
  <c r="AC32" i="12"/>
  <c r="AD32" i="12"/>
  <c r="AE32" i="12"/>
  <c r="AF32" i="12"/>
  <c r="X33" i="12"/>
  <c r="Y33" i="12"/>
  <c r="Z33" i="12"/>
  <c r="AA33" i="12"/>
  <c r="AB33" i="12"/>
  <c r="AC33" i="12"/>
  <c r="AD33" i="12"/>
  <c r="AE33" i="12"/>
  <c r="AF33" i="12"/>
  <c r="X34" i="12"/>
  <c r="Y34" i="12"/>
  <c r="Z34" i="12"/>
  <c r="AA34" i="12"/>
  <c r="AB34" i="12"/>
  <c r="AC34" i="12"/>
  <c r="AD34" i="12"/>
  <c r="AE34" i="12"/>
  <c r="AF34" i="12"/>
  <c r="X35" i="12"/>
  <c r="Y35" i="12"/>
  <c r="Z35" i="12"/>
  <c r="AA35" i="12"/>
  <c r="AB35" i="12"/>
  <c r="AC35" i="12"/>
  <c r="AD35" i="12"/>
  <c r="AE35" i="12"/>
  <c r="AF35" i="12"/>
  <c r="X36" i="12"/>
  <c r="Y36" i="12"/>
  <c r="Z36" i="12"/>
  <c r="AA36" i="12"/>
  <c r="AB36" i="12"/>
  <c r="AC36" i="12"/>
  <c r="AD36" i="12"/>
  <c r="AE36" i="12"/>
  <c r="AF36" i="12"/>
  <c r="X37" i="12"/>
  <c r="Y37" i="12"/>
  <c r="Z37" i="12"/>
  <c r="AA37" i="12"/>
  <c r="AB37" i="12"/>
  <c r="AC37" i="12"/>
  <c r="AD37" i="12"/>
  <c r="AE37" i="12"/>
  <c r="AF37" i="12"/>
  <c r="X38" i="12"/>
  <c r="Y38" i="12"/>
  <c r="Z38" i="12"/>
  <c r="AA38" i="12"/>
  <c r="AB38" i="12"/>
  <c r="AC38" i="12"/>
  <c r="AD38" i="12"/>
  <c r="AE38" i="12"/>
  <c r="AF38" i="12"/>
  <c r="X39" i="12"/>
  <c r="Y39" i="12"/>
  <c r="Z39" i="12"/>
  <c r="AA39" i="12"/>
  <c r="AB39" i="12"/>
  <c r="AC39" i="12"/>
  <c r="AD39" i="12"/>
  <c r="AE39" i="12"/>
  <c r="AF39" i="12"/>
  <c r="X40" i="12"/>
  <c r="Y40" i="12"/>
  <c r="Z40" i="12"/>
  <c r="AA40" i="12"/>
  <c r="AB40" i="12"/>
  <c r="AC40" i="12"/>
  <c r="AD40" i="12"/>
  <c r="AE40" i="12"/>
  <c r="AF40" i="12"/>
  <c r="Z12" i="12"/>
  <c r="AA12" i="12"/>
  <c r="AB12" i="12"/>
  <c r="AC12" i="12"/>
  <c r="AD12" i="12"/>
  <c r="AE12" i="12"/>
  <c r="AF12" i="12"/>
  <c r="Y12" i="12"/>
  <c r="X12" i="12"/>
  <c r="E9" i="15"/>
  <c r="F9" i="15"/>
  <c r="E10" i="15"/>
  <c r="F10" i="15"/>
  <c r="E11" i="15"/>
  <c r="F11" i="15"/>
  <c r="E12" i="15"/>
  <c r="F12" i="15"/>
  <c r="E13" i="15"/>
  <c r="F13" i="15"/>
  <c r="E14" i="15"/>
  <c r="F14" i="15"/>
  <c r="E15" i="15"/>
  <c r="F15" i="15"/>
  <c r="E16" i="15"/>
  <c r="F16" i="15"/>
  <c r="E17" i="15"/>
  <c r="F17" i="15"/>
  <c r="E18" i="15"/>
  <c r="F18" i="15"/>
  <c r="E19" i="15"/>
  <c r="F19" i="15"/>
  <c r="E20" i="15"/>
  <c r="F20" i="15"/>
  <c r="E21" i="15"/>
  <c r="F21" i="15"/>
  <c r="E22" i="15"/>
  <c r="F22" i="15"/>
  <c r="E23" i="15"/>
  <c r="F23" i="15"/>
  <c r="E24" i="15"/>
  <c r="F24" i="15"/>
  <c r="E25" i="15"/>
  <c r="F25" i="15"/>
  <c r="E26" i="15"/>
  <c r="F26" i="15"/>
  <c r="E27" i="15"/>
  <c r="F27" i="15"/>
  <c r="E28" i="15"/>
  <c r="F28" i="15"/>
  <c r="E29" i="15"/>
  <c r="F29" i="15"/>
  <c r="E30" i="15"/>
  <c r="F30" i="15"/>
  <c r="E31" i="15"/>
  <c r="F31" i="15"/>
  <c r="E32" i="15"/>
  <c r="F32" i="15"/>
  <c r="E33" i="15"/>
  <c r="F33" i="15"/>
  <c r="E34" i="15"/>
  <c r="F34" i="15"/>
  <c r="E35" i="15"/>
  <c r="F35" i="15"/>
  <c r="E36" i="15"/>
  <c r="F36" i="15"/>
  <c r="E37" i="15"/>
  <c r="F37" i="15"/>
  <c r="E38" i="15"/>
  <c r="F38" i="15"/>
  <c r="E39" i="15"/>
  <c r="F39" i="15"/>
  <c r="E40" i="15"/>
  <c r="F40" i="15"/>
  <c r="E41" i="15"/>
  <c r="F41" i="15"/>
  <c r="E42" i="15"/>
  <c r="F42" i="15"/>
  <c r="E43" i="15"/>
  <c r="F43" i="15"/>
  <c r="E44" i="15"/>
  <c r="F44" i="15"/>
  <c r="E45" i="15"/>
  <c r="F45" i="15"/>
  <c r="E46" i="15"/>
  <c r="F46" i="15"/>
  <c r="E47" i="15"/>
  <c r="F47" i="15"/>
  <c r="E48" i="15"/>
  <c r="F48" i="15"/>
  <c r="E49" i="15"/>
  <c r="F49" i="15"/>
  <c r="E50" i="15"/>
  <c r="F50" i="15"/>
  <c r="E51" i="15"/>
  <c r="F51" i="15"/>
  <c r="E52" i="15"/>
  <c r="F52" i="15"/>
  <c r="E53" i="15"/>
  <c r="F53" i="15"/>
  <c r="E54" i="15"/>
  <c r="F54" i="15"/>
  <c r="E55" i="15"/>
  <c r="F55" i="15"/>
  <c r="E56" i="15"/>
  <c r="F56" i="15"/>
  <c r="E57" i="15"/>
  <c r="F57" i="15"/>
  <c r="E58" i="15"/>
  <c r="F58" i="15"/>
  <c r="E59" i="15"/>
  <c r="F59" i="15"/>
  <c r="E60" i="15"/>
  <c r="F60" i="15"/>
  <c r="F8" i="15"/>
  <c r="E8" i="15"/>
  <c r="T52" i="14"/>
  <c r="P52" i="14"/>
  <c r="O52" i="14"/>
  <c r="N52" i="14"/>
  <c r="T51" i="14"/>
  <c r="S51" i="14"/>
  <c r="R51" i="14"/>
  <c r="Q51" i="14"/>
  <c r="P51" i="14"/>
  <c r="O51" i="14"/>
  <c r="N51" i="14"/>
  <c r="L51" i="14"/>
  <c r="K51" i="14"/>
  <c r="T50" i="14"/>
  <c r="S50" i="14"/>
  <c r="R50" i="14"/>
  <c r="Q50" i="14"/>
  <c r="P50" i="14"/>
  <c r="O50" i="14"/>
  <c r="N50" i="14"/>
  <c r="L50" i="14"/>
  <c r="K50" i="14"/>
  <c r="T49" i="14"/>
  <c r="S49" i="14"/>
  <c r="R49" i="14"/>
  <c r="Q49" i="14"/>
  <c r="P49" i="14"/>
  <c r="O49" i="14"/>
  <c r="N49" i="14"/>
  <c r="L49" i="14"/>
  <c r="K49" i="14"/>
  <c r="T48" i="14"/>
  <c r="S48" i="14"/>
  <c r="R48" i="14"/>
  <c r="Q48" i="14"/>
  <c r="P48" i="14"/>
  <c r="O48" i="14"/>
  <c r="N48" i="14"/>
  <c r="L48" i="14"/>
  <c r="K48" i="14"/>
  <c r="T47" i="14"/>
  <c r="S47" i="14"/>
  <c r="R47" i="14"/>
  <c r="Q47" i="14"/>
  <c r="P47" i="14"/>
  <c r="O47" i="14"/>
  <c r="N47" i="14"/>
  <c r="L47" i="14"/>
  <c r="K47" i="14"/>
  <c r="T46" i="14"/>
  <c r="S46" i="14"/>
  <c r="R46" i="14"/>
  <c r="Q46" i="14"/>
  <c r="P46" i="14"/>
  <c r="O46" i="14"/>
  <c r="N46" i="14"/>
  <c r="L46" i="14"/>
  <c r="K46" i="14"/>
  <c r="T45" i="14"/>
  <c r="S45" i="14"/>
  <c r="R45" i="14"/>
  <c r="Q45" i="14"/>
  <c r="P45" i="14"/>
  <c r="O45" i="14"/>
  <c r="N45" i="14"/>
  <c r="L45" i="14"/>
  <c r="K45" i="14"/>
  <c r="T44" i="14"/>
  <c r="S44" i="14"/>
  <c r="R44" i="14"/>
  <c r="Q44" i="14"/>
  <c r="P44" i="14"/>
  <c r="O44" i="14"/>
  <c r="N44" i="14"/>
  <c r="L44" i="14"/>
  <c r="K44" i="14"/>
  <c r="T43" i="14"/>
  <c r="S43" i="14"/>
  <c r="R43" i="14"/>
  <c r="Q43" i="14"/>
  <c r="P43" i="14"/>
  <c r="O43" i="14"/>
  <c r="N43" i="14"/>
  <c r="L43" i="14"/>
  <c r="K43" i="14"/>
  <c r="T42" i="14"/>
  <c r="S42" i="14"/>
  <c r="R42" i="14"/>
  <c r="Q42" i="14"/>
  <c r="P42" i="14"/>
  <c r="O42" i="14"/>
  <c r="N42" i="14"/>
  <c r="L42" i="14"/>
  <c r="K42" i="14"/>
  <c r="T41" i="14"/>
  <c r="S41" i="14"/>
  <c r="R41" i="14"/>
  <c r="Q41" i="14"/>
  <c r="P41" i="14"/>
  <c r="O41" i="14"/>
  <c r="N41" i="14"/>
  <c r="L41" i="14"/>
  <c r="K41" i="14"/>
  <c r="T40" i="14"/>
  <c r="S40" i="14"/>
  <c r="R40" i="14"/>
  <c r="Q40" i="14"/>
  <c r="P40" i="14"/>
  <c r="O40" i="14"/>
  <c r="N40" i="14"/>
  <c r="L40" i="14"/>
  <c r="K40" i="14"/>
  <c r="T39" i="14"/>
  <c r="S39" i="14"/>
  <c r="R39" i="14"/>
  <c r="Q39" i="14"/>
  <c r="P39" i="14"/>
  <c r="O39" i="14"/>
  <c r="N39" i="14"/>
  <c r="L39" i="14"/>
  <c r="K39" i="14"/>
  <c r="T38" i="14"/>
  <c r="S38" i="14"/>
  <c r="R38" i="14"/>
  <c r="Q38" i="14"/>
  <c r="P38" i="14"/>
  <c r="O38" i="14"/>
  <c r="N38" i="14"/>
  <c r="L38" i="14"/>
  <c r="K38" i="14"/>
  <c r="T37" i="14"/>
  <c r="S37" i="14"/>
  <c r="R37" i="14"/>
  <c r="Q37" i="14"/>
  <c r="P37" i="14"/>
  <c r="O37" i="14"/>
  <c r="N37" i="14"/>
  <c r="L37" i="14"/>
  <c r="K37" i="14"/>
  <c r="T36" i="14"/>
  <c r="S36" i="14"/>
  <c r="R36" i="14"/>
  <c r="Q36" i="14"/>
  <c r="P36" i="14"/>
  <c r="O36" i="14"/>
  <c r="N36" i="14"/>
  <c r="L36" i="14"/>
  <c r="K36" i="14"/>
  <c r="T35" i="14"/>
  <c r="S35" i="14"/>
  <c r="R35" i="14"/>
  <c r="Q35" i="14"/>
  <c r="P35" i="14"/>
  <c r="O35" i="14"/>
  <c r="N35" i="14"/>
  <c r="L35" i="14"/>
  <c r="K35" i="14"/>
  <c r="T34" i="14"/>
  <c r="S34" i="14"/>
  <c r="R34" i="14"/>
  <c r="Q34" i="14"/>
  <c r="P34" i="14"/>
  <c r="O34" i="14"/>
  <c r="N34" i="14"/>
  <c r="L34" i="14"/>
  <c r="K34" i="14"/>
  <c r="T33" i="14"/>
  <c r="S33" i="14"/>
  <c r="R33" i="14"/>
  <c r="Q33" i="14"/>
  <c r="P33" i="14"/>
  <c r="O33" i="14"/>
  <c r="N33" i="14"/>
  <c r="L33" i="14"/>
  <c r="K33" i="14"/>
  <c r="T32" i="14"/>
  <c r="S32" i="14"/>
  <c r="R32" i="14"/>
  <c r="Q32" i="14"/>
  <c r="P32" i="14"/>
  <c r="O32" i="14"/>
  <c r="N32" i="14"/>
  <c r="L32" i="14"/>
  <c r="K32" i="14"/>
  <c r="T31" i="14"/>
  <c r="S31" i="14"/>
  <c r="R31" i="14"/>
  <c r="Q31" i="14"/>
  <c r="P31" i="14"/>
  <c r="O31" i="14"/>
  <c r="N31" i="14"/>
  <c r="L31" i="14"/>
  <c r="K31" i="14"/>
  <c r="T30" i="14"/>
  <c r="S30" i="14"/>
  <c r="R30" i="14"/>
  <c r="Q30" i="14"/>
  <c r="P30" i="14"/>
  <c r="O30" i="14"/>
  <c r="N30" i="14"/>
  <c r="L30" i="14"/>
  <c r="K30" i="14"/>
  <c r="T29" i="14"/>
  <c r="S29" i="14"/>
  <c r="R29" i="14"/>
  <c r="Q29" i="14"/>
  <c r="P29" i="14"/>
  <c r="O29" i="14"/>
  <c r="N29" i="14"/>
  <c r="L29" i="14"/>
  <c r="K29" i="14"/>
  <c r="T28" i="14"/>
  <c r="S28" i="14"/>
  <c r="R28" i="14"/>
  <c r="Q28" i="14"/>
  <c r="P28" i="14"/>
  <c r="O28" i="14"/>
  <c r="N28" i="14"/>
  <c r="L28" i="14"/>
  <c r="K28" i="14"/>
  <c r="T27" i="14"/>
  <c r="S27" i="14"/>
  <c r="R27" i="14"/>
  <c r="Q27" i="14"/>
  <c r="P27" i="14"/>
  <c r="O27" i="14"/>
  <c r="N27" i="14"/>
  <c r="L27" i="14"/>
  <c r="K27" i="14"/>
  <c r="T26" i="14"/>
  <c r="S26" i="14"/>
  <c r="R26" i="14"/>
  <c r="Q26" i="14"/>
  <c r="P26" i="14"/>
  <c r="O26" i="14"/>
  <c r="N26" i="14"/>
  <c r="L26" i="14"/>
  <c r="K26" i="14"/>
  <c r="T25" i="14"/>
  <c r="S25" i="14"/>
  <c r="R25" i="14"/>
  <c r="Q25" i="14"/>
  <c r="P25" i="14"/>
  <c r="O25" i="14"/>
  <c r="N25" i="14"/>
  <c r="L25" i="14"/>
  <c r="K25" i="14"/>
  <c r="T24" i="14"/>
  <c r="S24" i="14"/>
  <c r="R24" i="14"/>
  <c r="Q24" i="14"/>
  <c r="P24" i="14"/>
  <c r="O24" i="14"/>
  <c r="N24" i="14"/>
  <c r="L24" i="14"/>
  <c r="K24" i="14"/>
  <c r="T23" i="14"/>
  <c r="S23" i="14"/>
  <c r="R23" i="14"/>
  <c r="Q23" i="14"/>
  <c r="P23" i="14"/>
  <c r="O23" i="14"/>
  <c r="N23" i="14"/>
  <c r="L23" i="14"/>
  <c r="K23" i="14"/>
  <c r="T22" i="14"/>
  <c r="S22" i="14"/>
  <c r="R22" i="14"/>
  <c r="Q22" i="14"/>
  <c r="P22" i="14"/>
  <c r="O22" i="14"/>
  <c r="N22" i="14"/>
  <c r="L22" i="14"/>
  <c r="K22" i="14"/>
  <c r="T21" i="14"/>
  <c r="S21" i="14"/>
  <c r="R21" i="14"/>
  <c r="Q21" i="14"/>
  <c r="P21" i="14"/>
  <c r="O21" i="14"/>
  <c r="N21" i="14"/>
  <c r="L21" i="14"/>
  <c r="K21" i="14"/>
  <c r="T20" i="14"/>
  <c r="S20" i="14"/>
  <c r="R20" i="14"/>
  <c r="Q20" i="14"/>
  <c r="P20" i="14"/>
  <c r="O20" i="14"/>
  <c r="N20" i="14"/>
  <c r="L20" i="14"/>
  <c r="K20" i="14"/>
  <c r="T19" i="14"/>
  <c r="S19" i="14"/>
  <c r="R19" i="14"/>
  <c r="Q19" i="14"/>
  <c r="P19" i="14"/>
  <c r="O19" i="14"/>
  <c r="N19" i="14"/>
  <c r="L19" i="14"/>
  <c r="K19" i="14"/>
  <c r="T18" i="14"/>
  <c r="S18" i="14"/>
  <c r="R18" i="14"/>
  <c r="Q18" i="14"/>
  <c r="P18" i="14"/>
  <c r="O18" i="14"/>
  <c r="N18" i="14"/>
  <c r="L18" i="14"/>
  <c r="K18" i="14"/>
  <c r="T17" i="14"/>
  <c r="S17" i="14"/>
  <c r="R17" i="14"/>
  <c r="Q17" i="14"/>
  <c r="P17" i="14"/>
  <c r="O17" i="14"/>
  <c r="N17" i="14"/>
  <c r="L17" i="14"/>
  <c r="K17" i="14"/>
  <c r="T16" i="14"/>
  <c r="S16" i="14"/>
  <c r="R16" i="14"/>
  <c r="Q16" i="14"/>
  <c r="P16" i="14"/>
  <c r="O16" i="14"/>
  <c r="N16" i="14"/>
  <c r="L16" i="14"/>
  <c r="K16" i="14"/>
  <c r="T15" i="14"/>
  <c r="S15" i="14"/>
  <c r="R15" i="14"/>
  <c r="Q15" i="14"/>
  <c r="P15" i="14"/>
  <c r="O15" i="14"/>
  <c r="N15" i="14"/>
  <c r="L15" i="14"/>
  <c r="K15" i="14"/>
  <c r="T14" i="14"/>
  <c r="S14" i="14"/>
  <c r="R14" i="14"/>
  <c r="Q14" i="14"/>
  <c r="P14" i="14"/>
  <c r="O14" i="14"/>
  <c r="N14" i="14"/>
  <c r="L14" i="14"/>
  <c r="K14" i="14"/>
  <c r="T13" i="14"/>
  <c r="S13" i="14"/>
  <c r="R13" i="14"/>
  <c r="Q13" i="14"/>
  <c r="P13" i="14"/>
  <c r="O13" i="14"/>
  <c r="N13" i="14"/>
  <c r="L13" i="14"/>
  <c r="K13" i="14"/>
  <c r="T12" i="14"/>
  <c r="S12" i="14"/>
  <c r="R12" i="14"/>
  <c r="Q12" i="14"/>
  <c r="P12" i="14"/>
  <c r="O12" i="14"/>
  <c r="N12" i="14"/>
  <c r="L12" i="14"/>
  <c r="K12" i="14"/>
  <c r="T11" i="14"/>
  <c r="S11" i="14"/>
  <c r="R11" i="14"/>
  <c r="Q11" i="14"/>
  <c r="P11" i="14"/>
  <c r="O11" i="14"/>
  <c r="N11" i="14"/>
  <c r="L11" i="14"/>
  <c r="K11" i="14"/>
  <c r="S10" i="14"/>
  <c r="R10" i="14"/>
  <c r="Q10" i="14"/>
  <c r="P10" i="14"/>
  <c r="O10" i="14"/>
  <c r="N10" i="14"/>
  <c r="L10" i="14"/>
  <c r="K10" i="14"/>
  <c r="S9" i="14"/>
  <c r="R9" i="14"/>
  <c r="Q9" i="14"/>
  <c r="P9" i="14"/>
  <c r="O9" i="14"/>
  <c r="N9" i="14"/>
  <c r="L9" i="14"/>
  <c r="K9" i="14"/>
  <c r="S8" i="14"/>
  <c r="R8" i="14"/>
  <c r="Q8" i="14"/>
  <c r="P8" i="14"/>
  <c r="O8" i="14"/>
  <c r="N8" i="14"/>
  <c r="L8" i="14"/>
  <c r="K8" i="14"/>
  <c r="I119" i="13"/>
  <c r="H119" i="13"/>
  <c r="G119" i="13"/>
  <c r="F119" i="13"/>
  <c r="E119" i="13"/>
  <c r="D119" i="13"/>
  <c r="J119" i="13" s="1"/>
  <c r="K119" i="13" s="1"/>
  <c r="C119" i="13"/>
  <c r="B119" i="13"/>
  <c r="J118" i="13"/>
  <c r="K118" i="13" s="1"/>
  <c r="I118" i="13"/>
  <c r="H118" i="13"/>
  <c r="G118" i="13"/>
  <c r="F118" i="13"/>
  <c r="E118" i="13"/>
  <c r="D118" i="13"/>
  <c r="C118" i="13"/>
  <c r="B118" i="13"/>
  <c r="I117" i="13"/>
  <c r="H117" i="13"/>
  <c r="G117" i="13"/>
  <c r="F117" i="13"/>
  <c r="E117" i="13"/>
  <c r="D117" i="13"/>
  <c r="J117" i="13" s="1"/>
  <c r="K117" i="13" s="1"/>
  <c r="C117" i="13"/>
  <c r="B117" i="13"/>
  <c r="J116" i="13"/>
  <c r="K116" i="13" s="1"/>
  <c r="I116" i="13"/>
  <c r="H116" i="13"/>
  <c r="G116" i="13"/>
  <c r="F116" i="13"/>
  <c r="E116" i="13"/>
  <c r="D116" i="13"/>
  <c r="C116" i="13"/>
  <c r="B116" i="13"/>
  <c r="I115" i="13"/>
  <c r="H115" i="13"/>
  <c r="J115" i="13" s="1"/>
  <c r="K115" i="13" s="1"/>
  <c r="G115" i="13"/>
  <c r="F115" i="13"/>
  <c r="E115" i="13"/>
  <c r="D115" i="13"/>
  <c r="C115" i="13"/>
  <c r="B115" i="13"/>
  <c r="K114" i="13"/>
  <c r="J114" i="13"/>
  <c r="I114" i="13"/>
  <c r="H114" i="13"/>
  <c r="G114" i="13"/>
  <c r="F114" i="13"/>
  <c r="E114" i="13"/>
  <c r="D114" i="13"/>
  <c r="C114" i="13"/>
  <c r="B114" i="13"/>
  <c r="I113" i="13"/>
  <c r="H113" i="13"/>
  <c r="J113" i="13" s="1"/>
  <c r="K113" i="13" s="1"/>
  <c r="G113" i="13"/>
  <c r="F113" i="13"/>
  <c r="E113" i="13"/>
  <c r="D113" i="13"/>
  <c r="C113" i="13"/>
  <c r="B113" i="13"/>
  <c r="I112" i="13"/>
  <c r="H112" i="13"/>
  <c r="G112" i="13"/>
  <c r="F112" i="13"/>
  <c r="J112" i="13" s="1"/>
  <c r="K112" i="13" s="1"/>
  <c r="E112" i="13"/>
  <c r="D112" i="13"/>
  <c r="C112" i="13"/>
  <c r="B112" i="13"/>
  <c r="I111" i="13"/>
  <c r="H111" i="13"/>
  <c r="G111" i="13"/>
  <c r="F111" i="13"/>
  <c r="E111" i="13"/>
  <c r="D111" i="13"/>
  <c r="J111" i="13" s="1"/>
  <c r="K111" i="13" s="1"/>
  <c r="C111" i="13"/>
  <c r="B111" i="13"/>
  <c r="I110" i="13"/>
  <c r="H110" i="13"/>
  <c r="G110" i="13"/>
  <c r="F110" i="13"/>
  <c r="J110" i="13" s="1"/>
  <c r="K110" i="13" s="1"/>
  <c r="E110" i="13"/>
  <c r="D110" i="13"/>
  <c r="C110" i="13"/>
  <c r="B110" i="13"/>
  <c r="I109" i="13"/>
  <c r="H109" i="13"/>
  <c r="G109" i="13"/>
  <c r="F109" i="13"/>
  <c r="E109" i="13"/>
  <c r="D109" i="13"/>
  <c r="J109" i="13" s="1"/>
  <c r="K109" i="13" s="1"/>
  <c r="C109" i="13"/>
  <c r="B109" i="13"/>
  <c r="I108" i="13"/>
  <c r="H108" i="13"/>
  <c r="G108" i="13"/>
  <c r="F108" i="13"/>
  <c r="J108" i="13" s="1"/>
  <c r="K108" i="13" s="1"/>
  <c r="E108" i="13"/>
  <c r="D108" i="13"/>
  <c r="C108" i="13"/>
  <c r="B108" i="13"/>
  <c r="I107" i="13"/>
  <c r="H107" i="13"/>
  <c r="G107" i="13"/>
  <c r="F107" i="13"/>
  <c r="E107" i="13"/>
  <c r="D107" i="13"/>
  <c r="J107" i="13" s="1"/>
  <c r="K107" i="13" s="1"/>
  <c r="C107" i="13"/>
  <c r="B107" i="13"/>
  <c r="I106" i="13"/>
  <c r="H106" i="13"/>
  <c r="G106" i="13"/>
  <c r="F106" i="13"/>
  <c r="E106" i="13"/>
  <c r="D106" i="13"/>
  <c r="J106" i="13" s="1"/>
  <c r="K106" i="13" s="1"/>
  <c r="C106" i="13"/>
  <c r="B106" i="13"/>
  <c r="I105" i="13"/>
  <c r="H105" i="13"/>
  <c r="G105" i="13"/>
  <c r="F105" i="13"/>
  <c r="E105" i="13"/>
  <c r="D105" i="13"/>
  <c r="J105" i="13" s="1"/>
  <c r="K105" i="13" s="1"/>
  <c r="C105" i="13"/>
  <c r="B105" i="13"/>
  <c r="I104" i="13"/>
  <c r="H104" i="13"/>
  <c r="G104" i="13"/>
  <c r="F104" i="13"/>
  <c r="E104" i="13"/>
  <c r="D104" i="13"/>
  <c r="J104" i="13" s="1"/>
  <c r="C104" i="13"/>
  <c r="B104" i="13"/>
  <c r="I103" i="13"/>
  <c r="H103" i="13"/>
  <c r="G103" i="13"/>
  <c r="F103" i="13"/>
  <c r="E103" i="13"/>
  <c r="D103" i="13"/>
  <c r="J103" i="13" s="1"/>
  <c r="K103" i="13" s="1"/>
  <c r="C103" i="13"/>
  <c r="B103" i="13"/>
  <c r="J102" i="13"/>
  <c r="I102" i="13"/>
  <c r="H102" i="13"/>
  <c r="G102" i="13"/>
  <c r="F102" i="13"/>
  <c r="E102" i="13"/>
  <c r="D102" i="13"/>
  <c r="C102" i="13"/>
  <c r="B102" i="13"/>
  <c r="I101" i="13"/>
  <c r="H101" i="13"/>
  <c r="G101" i="13"/>
  <c r="F101" i="13"/>
  <c r="E101" i="13"/>
  <c r="D101" i="13"/>
  <c r="J101" i="13" s="1"/>
  <c r="K101" i="13" s="1"/>
  <c r="C101" i="13"/>
  <c r="B101" i="13"/>
  <c r="K100" i="13"/>
  <c r="J100" i="13"/>
  <c r="I100" i="13"/>
  <c r="H100" i="13"/>
  <c r="G100" i="13"/>
  <c r="F100" i="13"/>
  <c r="E100" i="13"/>
  <c r="D100" i="13"/>
  <c r="C100" i="13"/>
  <c r="B100" i="13"/>
  <c r="I99" i="13"/>
  <c r="H99" i="13"/>
  <c r="J99" i="13" s="1"/>
  <c r="K99" i="13" s="1"/>
  <c r="G99" i="13"/>
  <c r="F99" i="13"/>
  <c r="E99" i="13"/>
  <c r="D99" i="13"/>
  <c r="C99" i="13"/>
  <c r="B99" i="13"/>
  <c r="Q92" i="13"/>
  <c r="P92" i="13"/>
  <c r="L92" i="13"/>
  <c r="I92" i="13"/>
  <c r="H92" i="13"/>
  <c r="G92" i="13"/>
  <c r="F92" i="13"/>
  <c r="E92" i="13"/>
  <c r="D92" i="13"/>
  <c r="C92" i="13"/>
  <c r="B92" i="13"/>
  <c r="L91" i="13"/>
  <c r="I91" i="13"/>
  <c r="H91" i="13"/>
  <c r="Q91" i="13" s="1"/>
  <c r="G91" i="13"/>
  <c r="P91" i="13" s="1"/>
  <c r="F91" i="13"/>
  <c r="J91" i="13" s="1"/>
  <c r="K91" i="13" s="1"/>
  <c r="E91" i="13"/>
  <c r="D91" i="13"/>
  <c r="O91" i="13" s="1"/>
  <c r="C91" i="13"/>
  <c r="B91" i="13"/>
  <c r="P90" i="13"/>
  <c r="O90" i="13"/>
  <c r="L90" i="13"/>
  <c r="I90" i="13"/>
  <c r="Q90" i="13" s="1"/>
  <c r="N90" i="13" s="1"/>
  <c r="H90" i="13"/>
  <c r="G90" i="13"/>
  <c r="F90" i="13"/>
  <c r="E90" i="13"/>
  <c r="D90" i="13"/>
  <c r="J90" i="13" s="1"/>
  <c r="C90" i="13"/>
  <c r="B90" i="13"/>
  <c r="Q89" i="13"/>
  <c r="L89" i="13"/>
  <c r="I89" i="13"/>
  <c r="H89" i="13"/>
  <c r="G89" i="13"/>
  <c r="P89" i="13" s="1"/>
  <c r="F89" i="13"/>
  <c r="E89" i="13"/>
  <c r="D89" i="13"/>
  <c r="C89" i="13"/>
  <c r="B89" i="13"/>
  <c r="O88" i="13"/>
  <c r="L88" i="13"/>
  <c r="K88" i="13"/>
  <c r="I88" i="13"/>
  <c r="H88" i="13"/>
  <c r="Q88" i="13" s="1"/>
  <c r="G88" i="13"/>
  <c r="P88" i="13" s="1"/>
  <c r="F88" i="13"/>
  <c r="E88" i="13"/>
  <c r="D88" i="13"/>
  <c r="J88" i="13" s="1"/>
  <c r="C88" i="13"/>
  <c r="B88" i="13"/>
  <c r="Q87" i="13"/>
  <c r="P87" i="13"/>
  <c r="O87" i="13"/>
  <c r="N87" i="13" s="1"/>
  <c r="L87" i="13"/>
  <c r="I87" i="13"/>
  <c r="H87" i="13"/>
  <c r="G87" i="13"/>
  <c r="F87" i="13"/>
  <c r="E87" i="13"/>
  <c r="D87" i="13"/>
  <c r="J87" i="13" s="1"/>
  <c r="K87" i="13" s="1"/>
  <c r="C87" i="13"/>
  <c r="B87" i="13"/>
  <c r="L86" i="13"/>
  <c r="I86" i="13"/>
  <c r="J86" i="13" s="1"/>
  <c r="K86" i="13" s="1"/>
  <c r="H86" i="13"/>
  <c r="Q86" i="13" s="1"/>
  <c r="G86" i="13"/>
  <c r="P86" i="13" s="1"/>
  <c r="F86" i="13"/>
  <c r="E86" i="13"/>
  <c r="O86" i="13" s="1"/>
  <c r="N86" i="13" s="1"/>
  <c r="D86" i="13"/>
  <c r="C86" i="13"/>
  <c r="B86" i="13"/>
  <c r="Q85" i="13"/>
  <c r="P85" i="13"/>
  <c r="O85" i="13"/>
  <c r="N85" i="13"/>
  <c r="L85" i="13"/>
  <c r="I85" i="13"/>
  <c r="H85" i="13"/>
  <c r="G85" i="13"/>
  <c r="F85" i="13"/>
  <c r="E85" i="13"/>
  <c r="D85" i="13"/>
  <c r="J85" i="13" s="1"/>
  <c r="K85" i="13" s="1"/>
  <c r="C85" i="13"/>
  <c r="B85" i="13"/>
  <c r="P84" i="13"/>
  <c r="L84" i="13"/>
  <c r="I84" i="13"/>
  <c r="H84" i="13"/>
  <c r="Q84" i="13" s="1"/>
  <c r="G84" i="13"/>
  <c r="J84" i="13" s="1"/>
  <c r="K84" i="13" s="1"/>
  <c r="F84" i="13"/>
  <c r="E84" i="13"/>
  <c r="D84" i="13"/>
  <c r="O84" i="13" s="1"/>
  <c r="C84" i="13"/>
  <c r="B84" i="13"/>
  <c r="Q83" i="13"/>
  <c r="P83" i="13"/>
  <c r="O83" i="13"/>
  <c r="N83" i="13"/>
  <c r="L83" i="13"/>
  <c r="J83" i="13"/>
  <c r="K83" i="13" s="1"/>
  <c r="I83" i="13"/>
  <c r="H83" i="13"/>
  <c r="G83" i="13"/>
  <c r="F83" i="13"/>
  <c r="E83" i="13"/>
  <c r="D83" i="13"/>
  <c r="C83" i="13"/>
  <c r="B83" i="13"/>
  <c r="L82" i="13"/>
  <c r="I82" i="13"/>
  <c r="H82" i="13"/>
  <c r="Q82" i="13" s="1"/>
  <c r="G82" i="13"/>
  <c r="P82" i="13" s="1"/>
  <c r="F82" i="13"/>
  <c r="E82" i="13"/>
  <c r="D82" i="13"/>
  <c r="C82" i="13"/>
  <c r="B82" i="13"/>
  <c r="P81" i="13"/>
  <c r="O81" i="13"/>
  <c r="L81" i="13"/>
  <c r="I81" i="13"/>
  <c r="H81" i="13"/>
  <c r="Q81" i="13" s="1"/>
  <c r="N81" i="13" s="1"/>
  <c r="G81" i="13"/>
  <c r="F81" i="13"/>
  <c r="E81" i="13"/>
  <c r="D81" i="13"/>
  <c r="C81" i="13"/>
  <c r="B81" i="13"/>
  <c r="L80" i="13"/>
  <c r="I80" i="13"/>
  <c r="H80" i="13"/>
  <c r="Q80" i="13" s="1"/>
  <c r="G80" i="13"/>
  <c r="P80" i="13" s="1"/>
  <c r="F80" i="13"/>
  <c r="E80" i="13"/>
  <c r="D80" i="13"/>
  <c r="C80" i="13"/>
  <c r="B80" i="13"/>
  <c r="L79" i="13"/>
  <c r="I79" i="13"/>
  <c r="H79" i="13"/>
  <c r="Q79" i="13" s="1"/>
  <c r="G79" i="13"/>
  <c r="P79" i="13" s="1"/>
  <c r="F79" i="13"/>
  <c r="E79" i="13"/>
  <c r="D79" i="13"/>
  <c r="C79" i="13"/>
  <c r="B79" i="13"/>
  <c r="L78" i="13"/>
  <c r="I78" i="13"/>
  <c r="J78" i="13" s="1"/>
  <c r="K78" i="13" s="1"/>
  <c r="H78" i="13"/>
  <c r="Q78" i="13" s="1"/>
  <c r="G78" i="13"/>
  <c r="P78" i="13" s="1"/>
  <c r="F78" i="13"/>
  <c r="E78" i="13"/>
  <c r="D78" i="13"/>
  <c r="O78" i="13" s="1"/>
  <c r="N78" i="13" s="1"/>
  <c r="C78" i="13"/>
  <c r="B78" i="13"/>
  <c r="Q77" i="13"/>
  <c r="L77" i="13"/>
  <c r="I77" i="13"/>
  <c r="H77" i="13"/>
  <c r="G77" i="13"/>
  <c r="P77" i="13" s="1"/>
  <c r="F77" i="13"/>
  <c r="E77" i="13"/>
  <c r="D77" i="13"/>
  <c r="C77" i="13"/>
  <c r="B77" i="13"/>
  <c r="L76" i="13"/>
  <c r="I76" i="13"/>
  <c r="H76" i="13"/>
  <c r="Q76" i="13" s="1"/>
  <c r="G76" i="13"/>
  <c r="F76" i="13"/>
  <c r="E76" i="13"/>
  <c r="D76" i="13"/>
  <c r="O76" i="13" s="1"/>
  <c r="C76" i="13"/>
  <c r="B76" i="13"/>
  <c r="Q75" i="13"/>
  <c r="P75" i="13"/>
  <c r="O75" i="13"/>
  <c r="N75" i="13" s="1"/>
  <c r="L75" i="13"/>
  <c r="I75" i="13"/>
  <c r="H75" i="13"/>
  <c r="G75" i="13"/>
  <c r="F75" i="13"/>
  <c r="E75" i="13"/>
  <c r="D75" i="13"/>
  <c r="J75" i="13" s="1"/>
  <c r="C75" i="13"/>
  <c r="B75" i="13"/>
  <c r="L74" i="13"/>
  <c r="I74" i="13"/>
  <c r="H74" i="13"/>
  <c r="Q74" i="13" s="1"/>
  <c r="G74" i="13"/>
  <c r="P74" i="13" s="1"/>
  <c r="F74" i="13"/>
  <c r="E74" i="13"/>
  <c r="J74" i="13" s="1"/>
  <c r="K74" i="13" s="1"/>
  <c r="D74" i="13"/>
  <c r="O74" i="13" s="1"/>
  <c r="N74" i="13" s="1"/>
  <c r="C74" i="13"/>
  <c r="B74" i="13"/>
  <c r="P73" i="13"/>
  <c r="O73" i="13"/>
  <c r="N73" i="13"/>
  <c r="L73" i="13"/>
  <c r="I73" i="13"/>
  <c r="H73" i="13"/>
  <c r="Q73" i="13" s="1"/>
  <c r="G73" i="13"/>
  <c r="F73" i="13"/>
  <c r="E73" i="13"/>
  <c r="D73" i="13"/>
  <c r="J73" i="13" s="1"/>
  <c r="K73" i="13" s="1"/>
  <c r="C73" i="13"/>
  <c r="B73" i="13"/>
  <c r="Q72" i="13"/>
  <c r="P72" i="13"/>
  <c r="L72" i="13"/>
  <c r="I72" i="13"/>
  <c r="H72" i="13"/>
  <c r="G72" i="13"/>
  <c r="F72" i="13"/>
  <c r="E72" i="13"/>
  <c r="D72" i="13"/>
  <c r="O72" i="13" s="1"/>
  <c r="C72" i="13"/>
  <c r="B72" i="13"/>
  <c r="L71" i="13"/>
  <c r="I71" i="13"/>
  <c r="H71" i="13"/>
  <c r="Q71" i="13" s="1"/>
  <c r="G71" i="13"/>
  <c r="P71" i="13" s="1"/>
  <c r="F71" i="13"/>
  <c r="O71" i="13" s="1"/>
  <c r="N71" i="13" s="1"/>
  <c r="E71" i="13"/>
  <c r="D71" i="13"/>
  <c r="C71" i="13"/>
  <c r="B71" i="13"/>
  <c r="Q70" i="13"/>
  <c r="P70" i="13"/>
  <c r="N70" i="13" s="1"/>
  <c r="O70" i="13"/>
  <c r="L70" i="13"/>
  <c r="I70" i="13"/>
  <c r="H70" i="13"/>
  <c r="G70" i="13"/>
  <c r="F70" i="13"/>
  <c r="E70" i="13"/>
  <c r="D70" i="13"/>
  <c r="J70" i="13" s="1"/>
  <c r="K70" i="13" s="1"/>
  <c r="C70" i="13"/>
  <c r="B70" i="13"/>
  <c r="Q69" i="13"/>
  <c r="L69" i="13"/>
  <c r="I69" i="13"/>
  <c r="H69" i="13"/>
  <c r="G69" i="13"/>
  <c r="P69" i="13" s="1"/>
  <c r="F69" i="13"/>
  <c r="E69" i="13"/>
  <c r="D69" i="13"/>
  <c r="C69" i="13"/>
  <c r="B69" i="13"/>
  <c r="Q68" i="13"/>
  <c r="P68" i="13"/>
  <c r="O68" i="13"/>
  <c r="N68" i="13"/>
  <c r="L68" i="13"/>
  <c r="K68" i="13"/>
  <c r="I68" i="13"/>
  <c r="H68" i="13"/>
  <c r="G68" i="13"/>
  <c r="F68" i="13"/>
  <c r="E68" i="13"/>
  <c r="D68" i="13"/>
  <c r="J68" i="13" s="1"/>
  <c r="C68" i="13"/>
  <c r="B68" i="13"/>
  <c r="L67" i="13"/>
  <c r="I67" i="13"/>
  <c r="H67" i="13"/>
  <c r="Q67" i="13" s="1"/>
  <c r="G67" i="13"/>
  <c r="P67" i="13" s="1"/>
  <c r="F67" i="13"/>
  <c r="J67" i="13" s="1"/>
  <c r="K67" i="13" s="1"/>
  <c r="E67" i="13"/>
  <c r="D67" i="13"/>
  <c r="C67" i="13"/>
  <c r="B67" i="13"/>
  <c r="P66" i="13"/>
  <c r="O66" i="13"/>
  <c r="L66" i="13"/>
  <c r="I66" i="13"/>
  <c r="Q66" i="13" s="1"/>
  <c r="N66" i="13" s="1"/>
  <c r="H66" i="13"/>
  <c r="G66" i="13"/>
  <c r="F66" i="13"/>
  <c r="E66" i="13"/>
  <c r="D66" i="13"/>
  <c r="C66" i="13"/>
  <c r="B66" i="13"/>
  <c r="L65" i="13"/>
  <c r="I65" i="13"/>
  <c r="H65" i="13"/>
  <c r="Q65" i="13" s="1"/>
  <c r="G65" i="13"/>
  <c r="P65" i="13" s="1"/>
  <c r="F65" i="13"/>
  <c r="E65" i="13"/>
  <c r="D65" i="13"/>
  <c r="C65" i="13"/>
  <c r="B65" i="13"/>
  <c r="L64" i="13"/>
  <c r="I64" i="13"/>
  <c r="H64" i="13"/>
  <c r="Q64" i="13" s="1"/>
  <c r="G64" i="13"/>
  <c r="J64" i="13" s="1"/>
  <c r="K64" i="13" s="1"/>
  <c r="F64" i="13"/>
  <c r="E64" i="13"/>
  <c r="O64" i="13" s="1"/>
  <c r="D64" i="13"/>
  <c r="C64" i="13"/>
  <c r="B64" i="13"/>
  <c r="L63" i="13"/>
  <c r="J63" i="13"/>
  <c r="I63" i="13"/>
  <c r="H63" i="13"/>
  <c r="Q63" i="13" s="1"/>
  <c r="G63" i="13"/>
  <c r="P63" i="13" s="1"/>
  <c r="F63" i="13"/>
  <c r="E63" i="13"/>
  <c r="D63" i="13"/>
  <c r="O63" i="13" s="1"/>
  <c r="N63" i="13" s="1"/>
  <c r="C63" i="13"/>
  <c r="B63" i="13"/>
  <c r="L62" i="13"/>
  <c r="I62" i="13"/>
  <c r="H62" i="13"/>
  <c r="Q62" i="13" s="1"/>
  <c r="G62" i="13"/>
  <c r="P62" i="13" s="1"/>
  <c r="F62" i="13"/>
  <c r="E62" i="13"/>
  <c r="D62" i="13"/>
  <c r="C62" i="13"/>
  <c r="B62" i="13"/>
  <c r="L61" i="13"/>
  <c r="I61" i="13"/>
  <c r="H61" i="13"/>
  <c r="G61" i="13"/>
  <c r="P61" i="13" s="1"/>
  <c r="F61" i="13"/>
  <c r="E61" i="13"/>
  <c r="D61" i="13"/>
  <c r="O61" i="13" s="1"/>
  <c r="C61" i="13"/>
  <c r="B61" i="13"/>
  <c r="Q60" i="13"/>
  <c r="P60" i="13"/>
  <c r="L60" i="13"/>
  <c r="I60" i="13"/>
  <c r="H60" i="13"/>
  <c r="G60" i="13"/>
  <c r="F60" i="13"/>
  <c r="E60" i="13"/>
  <c r="D60" i="13"/>
  <c r="C60" i="13"/>
  <c r="B60" i="13"/>
  <c r="L59" i="13"/>
  <c r="I59" i="13"/>
  <c r="H59" i="13"/>
  <c r="Q59" i="13" s="1"/>
  <c r="G59" i="13"/>
  <c r="P59" i="13" s="1"/>
  <c r="F59" i="13"/>
  <c r="J59" i="13" s="1"/>
  <c r="K59" i="13" s="1"/>
  <c r="E59" i="13"/>
  <c r="D59" i="13"/>
  <c r="O59" i="13" s="1"/>
  <c r="N59" i="13" s="1"/>
  <c r="C59" i="13"/>
  <c r="B59" i="13"/>
  <c r="P58" i="13"/>
  <c r="O58" i="13"/>
  <c r="L58" i="13"/>
  <c r="I58" i="13"/>
  <c r="Q58" i="13" s="1"/>
  <c r="N58" i="13" s="1"/>
  <c r="H58" i="13"/>
  <c r="G58" i="13"/>
  <c r="F58" i="13"/>
  <c r="E58" i="13"/>
  <c r="D58" i="13"/>
  <c r="J58" i="13" s="1"/>
  <c r="C58" i="13"/>
  <c r="B58" i="13"/>
  <c r="Q57" i="13"/>
  <c r="L57" i="13"/>
  <c r="I57" i="13"/>
  <c r="H57" i="13"/>
  <c r="G57" i="13"/>
  <c r="P57" i="13" s="1"/>
  <c r="F57" i="13"/>
  <c r="E57" i="13"/>
  <c r="D57" i="13"/>
  <c r="C57" i="13"/>
  <c r="B57" i="13"/>
  <c r="O56" i="13"/>
  <c r="L56" i="13"/>
  <c r="I56" i="13"/>
  <c r="H56" i="13"/>
  <c r="Q56" i="13" s="1"/>
  <c r="G56" i="13"/>
  <c r="P56" i="13" s="1"/>
  <c r="N56" i="13" s="1"/>
  <c r="F56" i="13"/>
  <c r="E56" i="13"/>
  <c r="D56" i="13"/>
  <c r="J56" i="13" s="1"/>
  <c r="K56" i="13" s="1"/>
  <c r="C56" i="13"/>
  <c r="B56" i="13"/>
  <c r="Q55" i="13"/>
  <c r="P55" i="13"/>
  <c r="O55" i="13"/>
  <c r="L55" i="13"/>
  <c r="I55" i="13"/>
  <c r="H55" i="13"/>
  <c r="G55" i="13"/>
  <c r="F55" i="13"/>
  <c r="E55" i="13"/>
  <c r="D55" i="13"/>
  <c r="J55" i="13" s="1"/>
  <c r="K55" i="13" s="1"/>
  <c r="C55" i="13"/>
  <c r="B55" i="13"/>
  <c r="L54" i="13"/>
  <c r="I54" i="13"/>
  <c r="H54" i="13"/>
  <c r="Q54" i="13" s="1"/>
  <c r="G54" i="13"/>
  <c r="P54" i="13" s="1"/>
  <c r="F54" i="13"/>
  <c r="E54" i="13"/>
  <c r="O54" i="13" s="1"/>
  <c r="N54" i="13" s="1"/>
  <c r="D54" i="13"/>
  <c r="C54" i="13"/>
  <c r="B54" i="13"/>
  <c r="Q53" i="13"/>
  <c r="P53" i="13"/>
  <c r="O53" i="13"/>
  <c r="N53" i="13"/>
  <c r="L53" i="13"/>
  <c r="I53" i="13"/>
  <c r="H53" i="13"/>
  <c r="G53" i="13"/>
  <c r="F53" i="13"/>
  <c r="E53" i="13"/>
  <c r="D53" i="13"/>
  <c r="J53" i="13" s="1"/>
  <c r="K53" i="13" s="1"/>
  <c r="C53" i="13"/>
  <c r="B53" i="13"/>
  <c r="L52" i="13"/>
  <c r="I52" i="13"/>
  <c r="H52" i="13"/>
  <c r="Q52" i="13" s="1"/>
  <c r="G52" i="13"/>
  <c r="J52" i="13" s="1"/>
  <c r="F52" i="13"/>
  <c r="E52" i="13"/>
  <c r="D52" i="13"/>
  <c r="O52" i="13" s="1"/>
  <c r="C52" i="13"/>
  <c r="B52" i="13"/>
  <c r="Q51" i="13"/>
  <c r="P51" i="13"/>
  <c r="O51" i="13"/>
  <c r="N51" i="13"/>
  <c r="L51" i="13"/>
  <c r="J51" i="13"/>
  <c r="K51" i="13" s="1"/>
  <c r="I51" i="13"/>
  <c r="H51" i="13"/>
  <c r="G51" i="13"/>
  <c r="F51" i="13"/>
  <c r="E51" i="13"/>
  <c r="D51" i="13"/>
  <c r="C51" i="13"/>
  <c r="B51" i="13"/>
  <c r="L50" i="13"/>
  <c r="I50" i="13"/>
  <c r="H50" i="13"/>
  <c r="Q50" i="13" s="1"/>
  <c r="G50" i="13"/>
  <c r="P50" i="13" s="1"/>
  <c r="F50" i="13"/>
  <c r="E50" i="13"/>
  <c r="D50" i="13"/>
  <c r="C50" i="13"/>
  <c r="B50" i="13"/>
  <c r="P49" i="13"/>
  <c r="O49" i="13"/>
  <c r="L49" i="13"/>
  <c r="I49" i="13"/>
  <c r="Q49" i="13" s="1"/>
  <c r="N49" i="13" s="1"/>
  <c r="H49" i="13"/>
  <c r="G49" i="13"/>
  <c r="F49" i="13"/>
  <c r="E49" i="13"/>
  <c r="D49" i="13"/>
  <c r="C49" i="13"/>
  <c r="B49" i="13"/>
  <c r="L48" i="13"/>
  <c r="I48" i="13"/>
  <c r="H48" i="13"/>
  <c r="Q48" i="13" s="1"/>
  <c r="G48" i="13"/>
  <c r="P48" i="13" s="1"/>
  <c r="F48" i="13"/>
  <c r="E48" i="13"/>
  <c r="D48" i="13"/>
  <c r="C48" i="13"/>
  <c r="B48" i="13"/>
  <c r="O47" i="13"/>
  <c r="N47" i="13" s="1"/>
  <c r="L47" i="13"/>
  <c r="I47" i="13"/>
  <c r="H47" i="13"/>
  <c r="Q47" i="13" s="1"/>
  <c r="G47" i="13"/>
  <c r="P47" i="13" s="1"/>
  <c r="F47" i="13"/>
  <c r="E47" i="13"/>
  <c r="D47" i="13"/>
  <c r="C47" i="13"/>
  <c r="B47" i="13"/>
  <c r="L46" i="13"/>
  <c r="I46" i="13"/>
  <c r="J46" i="13" s="1"/>
  <c r="K46" i="13" s="1"/>
  <c r="H46" i="13"/>
  <c r="Q46" i="13" s="1"/>
  <c r="G46" i="13"/>
  <c r="P46" i="13" s="1"/>
  <c r="F46" i="13"/>
  <c r="E46" i="13"/>
  <c r="D46" i="13"/>
  <c r="O46" i="13" s="1"/>
  <c r="C46" i="13"/>
  <c r="B46" i="13"/>
  <c r="Q45" i="13"/>
  <c r="L45" i="13"/>
  <c r="I45" i="13"/>
  <c r="H45" i="13"/>
  <c r="G45" i="13"/>
  <c r="P45" i="13" s="1"/>
  <c r="F45" i="13"/>
  <c r="E45" i="13"/>
  <c r="D45" i="13"/>
  <c r="C45" i="13"/>
  <c r="B45" i="13"/>
  <c r="L44" i="13"/>
  <c r="I44" i="13"/>
  <c r="H44" i="13"/>
  <c r="Q44" i="13" s="1"/>
  <c r="G44" i="13"/>
  <c r="F44" i="13"/>
  <c r="E44" i="13"/>
  <c r="D44" i="13"/>
  <c r="O44" i="13" s="1"/>
  <c r="C44" i="13"/>
  <c r="B44" i="13"/>
  <c r="Q43" i="13"/>
  <c r="P43" i="13"/>
  <c r="O43" i="13"/>
  <c r="N43" i="13" s="1"/>
  <c r="L43" i="13"/>
  <c r="J43" i="13"/>
  <c r="K43" i="13" s="1"/>
  <c r="I43" i="13"/>
  <c r="H43" i="13"/>
  <c r="G43" i="13"/>
  <c r="F43" i="13"/>
  <c r="E43" i="13"/>
  <c r="D43" i="13"/>
  <c r="C43" i="13"/>
  <c r="B43" i="13"/>
  <c r="L42" i="13"/>
  <c r="I42" i="13"/>
  <c r="H42" i="13"/>
  <c r="Q42" i="13" s="1"/>
  <c r="G42" i="13"/>
  <c r="P42" i="13" s="1"/>
  <c r="F42" i="13"/>
  <c r="E42" i="13"/>
  <c r="J42" i="13" s="1"/>
  <c r="K42" i="13" s="1"/>
  <c r="D42" i="13"/>
  <c r="O42" i="13" s="1"/>
  <c r="N42" i="13" s="1"/>
  <c r="C42" i="13"/>
  <c r="B42" i="13"/>
  <c r="P41" i="13"/>
  <c r="O41" i="13"/>
  <c r="L41" i="13"/>
  <c r="I41" i="13"/>
  <c r="H41" i="13"/>
  <c r="Q41" i="13" s="1"/>
  <c r="N41" i="13" s="1"/>
  <c r="G41" i="13"/>
  <c r="F41" i="13"/>
  <c r="E41" i="13"/>
  <c r="D41" i="13"/>
  <c r="C41" i="13"/>
  <c r="B41" i="13"/>
  <c r="Q40" i="13"/>
  <c r="P40" i="13"/>
  <c r="L40" i="13"/>
  <c r="I40" i="13"/>
  <c r="H40" i="13"/>
  <c r="G40" i="13"/>
  <c r="F40" i="13"/>
  <c r="E40" i="13"/>
  <c r="D40" i="13"/>
  <c r="O40" i="13" s="1"/>
  <c r="C40" i="13"/>
  <c r="B40" i="13"/>
  <c r="L39" i="13"/>
  <c r="I39" i="13"/>
  <c r="H39" i="13"/>
  <c r="Q39" i="13" s="1"/>
  <c r="G39" i="13"/>
  <c r="P39" i="13" s="1"/>
  <c r="F39" i="13"/>
  <c r="O39" i="13" s="1"/>
  <c r="N39" i="13" s="1"/>
  <c r="E39" i="13"/>
  <c r="D39" i="13"/>
  <c r="C39" i="13"/>
  <c r="B39" i="13"/>
  <c r="Q38" i="13"/>
  <c r="P38" i="13"/>
  <c r="O38" i="13"/>
  <c r="N38" i="13"/>
  <c r="L38" i="13"/>
  <c r="I38" i="13"/>
  <c r="H38" i="13"/>
  <c r="G38" i="13"/>
  <c r="F38" i="13"/>
  <c r="E38" i="13"/>
  <c r="D38" i="13"/>
  <c r="J38" i="13" s="1"/>
  <c r="K38" i="13" s="1"/>
  <c r="C38" i="13"/>
  <c r="B38" i="13"/>
  <c r="L37" i="13"/>
  <c r="I37" i="13"/>
  <c r="H37" i="13"/>
  <c r="Q37" i="13" s="1"/>
  <c r="G37" i="13"/>
  <c r="P37" i="13" s="1"/>
  <c r="F37" i="13"/>
  <c r="E37" i="13"/>
  <c r="D37" i="13"/>
  <c r="C37" i="13"/>
  <c r="B37" i="13"/>
  <c r="Q36" i="13"/>
  <c r="P36" i="13"/>
  <c r="O36" i="13"/>
  <c r="N36" i="13"/>
  <c r="L36" i="13"/>
  <c r="I36" i="13"/>
  <c r="H36" i="13"/>
  <c r="G36" i="13"/>
  <c r="F36" i="13"/>
  <c r="E36" i="13"/>
  <c r="D36" i="13"/>
  <c r="J36" i="13" s="1"/>
  <c r="K36" i="13" s="1"/>
  <c r="C36" i="13"/>
  <c r="B36" i="13"/>
  <c r="L35" i="13"/>
  <c r="I35" i="13"/>
  <c r="H35" i="13"/>
  <c r="Q35" i="13" s="1"/>
  <c r="G35" i="13"/>
  <c r="P35" i="13" s="1"/>
  <c r="F35" i="13"/>
  <c r="J35" i="13" s="1"/>
  <c r="K35" i="13" s="1"/>
  <c r="E35" i="13"/>
  <c r="D35" i="13"/>
  <c r="C35" i="13"/>
  <c r="B35" i="13"/>
  <c r="P34" i="13"/>
  <c r="O34" i="13"/>
  <c r="L34" i="13"/>
  <c r="I34" i="13"/>
  <c r="Q34" i="13" s="1"/>
  <c r="N34" i="13" s="1"/>
  <c r="H34" i="13"/>
  <c r="G34" i="13"/>
  <c r="F34" i="13"/>
  <c r="E34" i="13"/>
  <c r="D34" i="13"/>
  <c r="C34" i="13"/>
  <c r="B34" i="13"/>
  <c r="L33" i="13"/>
  <c r="I33" i="13"/>
  <c r="H33" i="13"/>
  <c r="Q33" i="13" s="1"/>
  <c r="G33" i="13"/>
  <c r="P33" i="13" s="1"/>
  <c r="F33" i="13"/>
  <c r="E33" i="13"/>
  <c r="D33" i="13"/>
  <c r="C33" i="13"/>
  <c r="B33" i="13"/>
  <c r="L32" i="13"/>
  <c r="I32" i="13"/>
  <c r="H32" i="13"/>
  <c r="Q32" i="13" s="1"/>
  <c r="G32" i="13"/>
  <c r="J32" i="13" s="1"/>
  <c r="K32" i="13" s="1"/>
  <c r="F32" i="13"/>
  <c r="E32" i="13"/>
  <c r="O32" i="13" s="1"/>
  <c r="D32" i="13"/>
  <c r="C32" i="13"/>
  <c r="B32" i="13"/>
  <c r="L31" i="13"/>
  <c r="J31" i="13"/>
  <c r="I31" i="13"/>
  <c r="H31" i="13"/>
  <c r="Q31" i="13" s="1"/>
  <c r="G31" i="13"/>
  <c r="P31" i="13" s="1"/>
  <c r="F31" i="13"/>
  <c r="E31" i="13"/>
  <c r="D31" i="13"/>
  <c r="O31" i="13" s="1"/>
  <c r="N31" i="13" s="1"/>
  <c r="C31" i="13"/>
  <c r="B31" i="13"/>
  <c r="L30" i="13"/>
  <c r="I30" i="13"/>
  <c r="H30" i="13"/>
  <c r="Q30" i="13" s="1"/>
  <c r="G30" i="13"/>
  <c r="P30" i="13" s="1"/>
  <c r="F30" i="13"/>
  <c r="E30" i="13"/>
  <c r="D30" i="13"/>
  <c r="C30" i="13"/>
  <c r="B30" i="13"/>
  <c r="L29" i="13"/>
  <c r="I29" i="13"/>
  <c r="H29" i="13"/>
  <c r="G29" i="13"/>
  <c r="P29" i="13" s="1"/>
  <c r="F29" i="13"/>
  <c r="E29" i="13"/>
  <c r="D29" i="13"/>
  <c r="O29" i="13" s="1"/>
  <c r="C29" i="13"/>
  <c r="B29" i="13"/>
  <c r="Q28" i="13"/>
  <c r="P28" i="13"/>
  <c r="L28" i="13"/>
  <c r="I28" i="13"/>
  <c r="H28" i="13"/>
  <c r="G28" i="13"/>
  <c r="F28" i="13"/>
  <c r="E28" i="13"/>
  <c r="D28" i="13"/>
  <c r="C28" i="13"/>
  <c r="B28" i="13"/>
  <c r="L27" i="13"/>
  <c r="I27" i="13"/>
  <c r="H27" i="13"/>
  <c r="Q27" i="13" s="1"/>
  <c r="G27" i="13"/>
  <c r="P27" i="13" s="1"/>
  <c r="F27" i="13"/>
  <c r="J27" i="13" s="1"/>
  <c r="K27" i="13" s="1"/>
  <c r="E27" i="13"/>
  <c r="D27" i="13"/>
  <c r="O27" i="13" s="1"/>
  <c r="N27" i="13" s="1"/>
  <c r="C27" i="13"/>
  <c r="B27" i="13"/>
  <c r="P26" i="13"/>
  <c r="O26" i="13"/>
  <c r="N26" i="13"/>
  <c r="L26" i="13"/>
  <c r="I26" i="13"/>
  <c r="Q26" i="13" s="1"/>
  <c r="H26" i="13"/>
  <c r="G26" i="13"/>
  <c r="F26" i="13"/>
  <c r="E26" i="13"/>
  <c r="D26" i="13"/>
  <c r="J26" i="13" s="1"/>
  <c r="C26" i="13"/>
  <c r="B26" i="13"/>
  <c r="Q25" i="13"/>
  <c r="L25" i="13"/>
  <c r="I25" i="13"/>
  <c r="H25" i="13"/>
  <c r="G25" i="13"/>
  <c r="P25" i="13" s="1"/>
  <c r="F25" i="13"/>
  <c r="E25" i="13"/>
  <c r="D25" i="13"/>
  <c r="C25" i="13"/>
  <c r="B25" i="13"/>
  <c r="O24" i="13"/>
  <c r="L24" i="13"/>
  <c r="I24" i="13"/>
  <c r="H24" i="13"/>
  <c r="Q24" i="13" s="1"/>
  <c r="G24" i="13"/>
  <c r="P24" i="13" s="1"/>
  <c r="N24" i="13" s="1"/>
  <c r="F24" i="13"/>
  <c r="E24" i="13"/>
  <c r="D24" i="13"/>
  <c r="J24" i="13" s="1"/>
  <c r="K24" i="13" s="1"/>
  <c r="C24" i="13"/>
  <c r="B24" i="13"/>
  <c r="Q23" i="13"/>
  <c r="P23" i="13"/>
  <c r="O23" i="13"/>
  <c r="N23" i="13" s="1"/>
  <c r="L23" i="13"/>
  <c r="I23" i="13"/>
  <c r="H23" i="13"/>
  <c r="G23" i="13"/>
  <c r="F23" i="13"/>
  <c r="E23" i="13"/>
  <c r="D23" i="13"/>
  <c r="J23" i="13" s="1"/>
  <c r="C23" i="13"/>
  <c r="B23" i="13"/>
  <c r="L22" i="13"/>
  <c r="J22" i="13"/>
  <c r="K22" i="13" s="1"/>
  <c r="I22" i="13"/>
  <c r="H22" i="13"/>
  <c r="Q22" i="13" s="1"/>
  <c r="G22" i="13"/>
  <c r="P22" i="13" s="1"/>
  <c r="F22" i="13"/>
  <c r="E22" i="13"/>
  <c r="O22" i="13" s="1"/>
  <c r="N22" i="13" s="1"/>
  <c r="D22" i="13"/>
  <c r="C22" i="13"/>
  <c r="B22" i="13"/>
  <c r="Q21" i="13"/>
  <c r="P21" i="13"/>
  <c r="O21" i="13"/>
  <c r="N21" i="13"/>
  <c r="L21" i="13"/>
  <c r="I21" i="13"/>
  <c r="H21" i="13"/>
  <c r="G21" i="13"/>
  <c r="F21" i="13"/>
  <c r="E21" i="13"/>
  <c r="D21" i="13"/>
  <c r="J21" i="13" s="1"/>
  <c r="K21" i="13" s="1"/>
  <c r="C21" i="13"/>
  <c r="B21" i="13"/>
  <c r="L20" i="13"/>
  <c r="I20" i="13"/>
  <c r="H20" i="13"/>
  <c r="Q20" i="13" s="1"/>
  <c r="G20" i="13"/>
  <c r="P20" i="13" s="1"/>
  <c r="F20" i="13"/>
  <c r="E20" i="13"/>
  <c r="D20" i="13"/>
  <c r="O20" i="13" s="1"/>
  <c r="C20" i="13"/>
  <c r="B20" i="13"/>
  <c r="Q19" i="13"/>
  <c r="P19" i="13"/>
  <c r="O19" i="13"/>
  <c r="N19" i="13"/>
  <c r="L19" i="13"/>
  <c r="J19" i="13"/>
  <c r="K19" i="13" s="1"/>
  <c r="I19" i="13"/>
  <c r="H19" i="13"/>
  <c r="G19" i="13"/>
  <c r="F19" i="13"/>
  <c r="E19" i="13"/>
  <c r="D19" i="13"/>
  <c r="C19" i="13"/>
  <c r="B19" i="13"/>
  <c r="O18" i="13"/>
  <c r="L18" i="13"/>
  <c r="I18" i="13"/>
  <c r="H18" i="13"/>
  <c r="Q18" i="13" s="1"/>
  <c r="N18" i="13" s="1"/>
  <c r="G18" i="13"/>
  <c r="P18" i="13" s="1"/>
  <c r="F18" i="13"/>
  <c r="E18" i="13"/>
  <c r="D18" i="13"/>
  <c r="C18" i="13"/>
  <c r="B18" i="13"/>
  <c r="P17" i="13"/>
  <c r="O17" i="13"/>
  <c r="L17" i="13"/>
  <c r="I17" i="13"/>
  <c r="Q17" i="13" s="1"/>
  <c r="N17" i="13" s="1"/>
  <c r="H17" i="13"/>
  <c r="G17" i="13"/>
  <c r="F17" i="13"/>
  <c r="E17" i="13"/>
  <c r="D17" i="13"/>
  <c r="C17" i="13"/>
  <c r="B17" i="13"/>
  <c r="L16" i="13"/>
  <c r="I16" i="13"/>
  <c r="H16" i="13"/>
  <c r="Q16" i="13" s="1"/>
  <c r="G16" i="13"/>
  <c r="P16" i="13" s="1"/>
  <c r="F16" i="13"/>
  <c r="E16" i="13"/>
  <c r="D16" i="13"/>
  <c r="C16" i="13"/>
  <c r="B16" i="13"/>
  <c r="O15" i="13"/>
  <c r="N15" i="13" s="1"/>
  <c r="L15" i="13"/>
  <c r="I15" i="13"/>
  <c r="H15" i="13"/>
  <c r="Q15" i="13" s="1"/>
  <c r="G15" i="13"/>
  <c r="P15" i="13" s="1"/>
  <c r="F15" i="13"/>
  <c r="E15" i="13"/>
  <c r="D15" i="13"/>
  <c r="C15" i="13"/>
  <c r="B15" i="13"/>
  <c r="L14" i="13"/>
  <c r="I14" i="13"/>
  <c r="J14" i="13" s="1"/>
  <c r="K14" i="13" s="1"/>
  <c r="H14" i="13"/>
  <c r="Q14" i="13" s="1"/>
  <c r="G14" i="13"/>
  <c r="P14" i="13" s="1"/>
  <c r="F14" i="13"/>
  <c r="E14" i="13"/>
  <c r="D14" i="13"/>
  <c r="O14" i="13" s="1"/>
  <c r="C14" i="13"/>
  <c r="B14" i="13"/>
  <c r="Q13" i="13"/>
  <c r="L13" i="13"/>
  <c r="I13" i="13"/>
  <c r="H13" i="13"/>
  <c r="G13" i="13"/>
  <c r="P13" i="13" s="1"/>
  <c r="F13" i="13"/>
  <c r="E13" i="13"/>
  <c r="D13" i="13"/>
  <c r="C13" i="13"/>
  <c r="B13" i="13"/>
  <c r="L12" i="13"/>
  <c r="I12" i="13"/>
  <c r="H12" i="13"/>
  <c r="Q12" i="13" s="1"/>
  <c r="G12" i="13"/>
  <c r="F12" i="13"/>
  <c r="E12" i="13"/>
  <c r="D12" i="13"/>
  <c r="O12" i="13" s="1"/>
  <c r="C12" i="13"/>
  <c r="B12" i="13"/>
  <c r="Q11" i="13"/>
  <c r="P11" i="13"/>
  <c r="O11" i="13"/>
  <c r="N11" i="13" s="1"/>
  <c r="L11" i="13"/>
  <c r="J11" i="13"/>
  <c r="K11" i="13" s="1"/>
  <c r="I11" i="13"/>
  <c r="H11" i="13"/>
  <c r="G11" i="13"/>
  <c r="F11" i="13"/>
  <c r="E11" i="13"/>
  <c r="D11" i="13"/>
  <c r="C11" i="13"/>
  <c r="B11" i="13"/>
  <c r="L10" i="13"/>
  <c r="I10" i="13"/>
  <c r="H10" i="13"/>
  <c r="G10" i="13"/>
  <c r="F10" i="13"/>
  <c r="E10" i="13"/>
  <c r="D10" i="13"/>
  <c r="J10" i="13" s="1"/>
  <c r="K10" i="13" s="1"/>
  <c r="C10" i="13"/>
  <c r="B10" i="13"/>
  <c r="L9" i="13"/>
  <c r="I9" i="13"/>
  <c r="H9" i="13"/>
  <c r="G9" i="13"/>
  <c r="F9" i="13"/>
  <c r="E9" i="13"/>
  <c r="D9" i="13"/>
  <c r="C9" i="13"/>
  <c r="B9" i="13"/>
  <c r="L8" i="13"/>
  <c r="I8" i="13"/>
  <c r="H8" i="13"/>
  <c r="G8" i="13"/>
  <c r="F8" i="13"/>
  <c r="E8" i="13"/>
  <c r="D8" i="13"/>
  <c r="J8" i="13" s="1"/>
  <c r="K8" i="13" s="1"/>
  <c r="C8" i="13"/>
  <c r="B8" i="13"/>
  <c r="AA12" i="4"/>
  <c r="AB12" i="4"/>
  <c r="AC12" i="4"/>
  <c r="AD12" i="4"/>
  <c r="AE12" i="4"/>
  <c r="AF12" i="4"/>
  <c r="AG12" i="4"/>
  <c r="AH12" i="4"/>
  <c r="AI12" i="4"/>
  <c r="AJ12" i="4"/>
  <c r="AK12" i="4"/>
  <c r="AL12" i="4"/>
  <c r="AM12" i="4"/>
  <c r="AN12" i="4"/>
  <c r="AO12" i="4"/>
  <c r="AP12" i="4"/>
  <c r="AQ12" i="4"/>
  <c r="AR12" i="4"/>
  <c r="AS12" i="4"/>
  <c r="AT12" i="4"/>
  <c r="AU12" i="4"/>
  <c r="AV12" i="4"/>
  <c r="AW12" i="4"/>
  <c r="AX12" i="4"/>
  <c r="AY12" i="4"/>
  <c r="AZ12" i="4"/>
  <c r="BA12" i="4"/>
  <c r="BB12" i="4"/>
  <c r="BC12" i="4"/>
  <c r="BD12" i="4"/>
  <c r="BE12" i="4"/>
  <c r="BF12" i="4"/>
  <c r="BG12" i="4"/>
  <c r="BH12" i="4"/>
  <c r="BI12" i="4"/>
  <c r="BJ12" i="4"/>
  <c r="BK12" i="4"/>
  <c r="BL12" i="4"/>
  <c r="BM12" i="4"/>
  <c r="BN12" i="4"/>
  <c r="BO12" i="4"/>
  <c r="BP12" i="4"/>
  <c r="BQ12" i="4"/>
  <c r="BR12" i="4"/>
  <c r="BS12" i="4"/>
  <c r="BT12" i="4"/>
  <c r="BU12" i="4"/>
  <c r="BV12" i="4"/>
  <c r="BW12" i="4"/>
  <c r="BX12" i="4"/>
  <c r="BY12" i="4"/>
  <c r="BZ12" i="4"/>
  <c r="CA12" i="4"/>
  <c r="CB12" i="4"/>
  <c r="CC12" i="4"/>
  <c r="CD12" i="4"/>
  <c r="CE12" i="4"/>
  <c r="CF12" i="4"/>
  <c r="CG12" i="4"/>
  <c r="CH12" i="4"/>
  <c r="CI12" i="4"/>
  <c r="CJ12" i="4"/>
  <c r="CK12" i="4"/>
  <c r="CL12" i="4"/>
  <c r="CM12" i="4"/>
  <c r="CN12" i="4"/>
  <c r="CO12" i="4"/>
  <c r="CP12" i="4"/>
  <c r="CQ12" i="4"/>
  <c r="CR12" i="4"/>
  <c r="CS12" i="4"/>
  <c r="CT12" i="4"/>
  <c r="CU12" i="4"/>
  <c r="CV12" i="4"/>
  <c r="CW12" i="4"/>
  <c r="CX12" i="4"/>
  <c r="CY12" i="4"/>
  <c r="CZ12" i="4"/>
  <c r="DA12" i="4"/>
  <c r="DB12" i="4"/>
  <c r="DC12" i="4"/>
  <c r="DD12" i="4"/>
  <c r="DE12" i="4"/>
  <c r="DF12" i="4"/>
  <c r="DG12" i="4"/>
  <c r="DH12" i="4"/>
  <c r="DI12" i="4"/>
  <c r="DJ12" i="4"/>
  <c r="DK12" i="4"/>
  <c r="DL12" i="4"/>
  <c r="DM12" i="4"/>
  <c r="DN12" i="4"/>
  <c r="DO12" i="4"/>
  <c r="DP12" i="4"/>
  <c r="DQ12" i="4"/>
  <c r="DR12" i="4"/>
  <c r="DS12" i="4"/>
  <c r="DT12" i="4"/>
  <c r="DU12" i="4"/>
  <c r="DV12" i="4"/>
  <c r="DW12" i="4"/>
  <c r="DX12" i="4"/>
  <c r="DY12" i="4"/>
  <c r="DZ12" i="4"/>
  <c r="EA12" i="4"/>
  <c r="EB12" i="4"/>
  <c r="EC12" i="4"/>
  <c r="ED12" i="4"/>
  <c r="EE12" i="4"/>
  <c r="EF12" i="4"/>
  <c r="EG12" i="4"/>
  <c r="EH12" i="4"/>
  <c r="EI12" i="4"/>
  <c r="EJ12" i="4"/>
  <c r="EK12" i="4"/>
  <c r="EL12" i="4"/>
  <c r="EM12" i="4"/>
  <c r="EN12" i="4"/>
  <c r="EO12" i="4"/>
  <c r="EP12" i="4"/>
  <c r="EQ12" i="4"/>
  <c r="ER12" i="4"/>
  <c r="ES12" i="4"/>
  <c r="ET12" i="4"/>
  <c r="EU12" i="4"/>
  <c r="EV12" i="4"/>
  <c r="EW12" i="4"/>
  <c r="EX12" i="4"/>
  <c r="EY12" i="4"/>
  <c r="EZ12" i="4"/>
  <c r="FA12" i="4"/>
  <c r="FB12" i="4"/>
  <c r="FC12" i="4"/>
  <c r="FD12" i="4"/>
  <c r="FE12" i="4"/>
  <c r="FF12" i="4"/>
  <c r="FG12" i="4"/>
  <c r="FH12" i="4"/>
  <c r="FI12" i="4"/>
  <c r="FJ12" i="4"/>
  <c r="FK12" i="4"/>
  <c r="FL12" i="4"/>
  <c r="FM12" i="4"/>
  <c r="FN12" i="4"/>
  <c r="FO12" i="4"/>
  <c r="FP12" i="4"/>
  <c r="FQ12" i="4"/>
  <c r="FR12" i="4"/>
  <c r="FS12" i="4"/>
  <c r="FT12" i="4"/>
  <c r="FU12" i="4"/>
  <c r="FV12" i="4"/>
  <c r="FW12" i="4"/>
  <c r="FX12" i="4"/>
  <c r="FY12" i="4"/>
  <c r="FZ12" i="4"/>
  <c r="GA12" i="4"/>
  <c r="C9" i="11"/>
  <c r="B11" i="11"/>
  <c r="A11" i="11"/>
  <c r="B10" i="11"/>
  <c r="A10" i="11"/>
  <c r="B9" i="11"/>
  <c r="A9" i="11"/>
  <c r="B8" i="11"/>
  <c r="A8" i="11"/>
  <c r="B7" i="11"/>
  <c r="A7" i="11"/>
  <c r="B6" i="11"/>
  <c r="A6" i="11"/>
  <c r="F26" i="10"/>
  <c r="E11" i="10" a="1"/>
  <c r="B10" i="10" a="1"/>
  <c r="F7" i="10" a="1"/>
  <c r="H9" i="10" a="1"/>
  <c r="G9" i="10" a="1"/>
  <c r="H11" i="10" a="1"/>
  <c r="H8" i="10" a="1"/>
  <c r="E6" i="10" a="1"/>
  <c r="G10" i="10" a="1"/>
  <c r="E10" i="10" a="1"/>
  <c r="H7" i="10" a="1"/>
  <c r="G7" i="10" a="1"/>
  <c r="E7" i="10" a="1"/>
  <c r="B7" i="10" a="1"/>
  <c r="J11" i="10" a="1"/>
  <c r="B11" i="10" a="1"/>
  <c r="H10" i="10" a="1"/>
  <c r="J7" i="10" a="1"/>
  <c r="G11" i="10" a="1"/>
  <c r="G8" i="10" a="1"/>
  <c r="B6" i="10" a="1"/>
  <c r="F8" i="10" a="1"/>
  <c r="B8" i="10" a="1"/>
  <c r="F10" i="10" a="1"/>
  <c r="F9" i="10" a="1"/>
  <c r="J6" i="10" a="1"/>
  <c r="H6" i="10" a="1"/>
  <c r="G6" i="10" a="1"/>
  <c r="J10" i="10" a="1"/>
  <c r="E8" i="10" a="1"/>
  <c r="J9" i="10" a="1"/>
  <c r="E9" i="10" a="1"/>
  <c r="B9" i="10" a="1"/>
  <c r="F11" i="10" a="1"/>
  <c r="J8" i="10" a="1"/>
  <c r="F6" i="10" a="1"/>
  <c r="O33" i="13" l="1"/>
  <c r="N33" i="13" s="1"/>
  <c r="J33" i="13"/>
  <c r="K33" i="13" s="1"/>
  <c r="O45" i="13"/>
  <c r="N45" i="13" s="1"/>
  <c r="J45" i="13"/>
  <c r="K45" i="13" s="1"/>
  <c r="O57" i="13"/>
  <c r="N57" i="13" s="1"/>
  <c r="J57" i="13"/>
  <c r="K57" i="13" s="1"/>
  <c r="O69" i="13"/>
  <c r="N69" i="13" s="1"/>
  <c r="J69" i="13"/>
  <c r="K69" i="13" s="1"/>
  <c r="J66" i="13"/>
  <c r="K66" i="13" s="1"/>
  <c r="O28" i="13"/>
  <c r="N28" i="13" s="1"/>
  <c r="J28" i="13"/>
  <c r="K28" i="13" s="1"/>
  <c r="N72" i="13"/>
  <c r="K75" i="13"/>
  <c r="N84" i="13"/>
  <c r="O37" i="13"/>
  <c r="N37" i="13" s="1"/>
  <c r="J37" i="13"/>
  <c r="K37" i="13" s="1"/>
  <c r="J81" i="13"/>
  <c r="K81" i="13" s="1"/>
  <c r="N14" i="13"/>
  <c r="J34" i="13"/>
  <c r="K34" i="13" s="1"/>
  <c r="K63" i="13"/>
  <c r="K90" i="13"/>
  <c r="K102" i="13"/>
  <c r="N40" i="13"/>
  <c r="N46" i="13"/>
  <c r="J54" i="13"/>
  <c r="K54" i="13" s="1"/>
  <c r="O16" i="13"/>
  <c r="N16" i="13" s="1"/>
  <c r="J16" i="13"/>
  <c r="K16" i="13" s="1"/>
  <c r="O92" i="13"/>
  <c r="N92" i="13" s="1"/>
  <c r="J92" i="13"/>
  <c r="K92" i="13" s="1"/>
  <c r="J39" i="13"/>
  <c r="K39" i="13" s="1"/>
  <c r="O25" i="13"/>
  <c r="N25" i="13" s="1"/>
  <c r="J25" i="13"/>
  <c r="K25" i="13" s="1"/>
  <c r="O80" i="13"/>
  <c r="N80" i="13" s="1"/>
  <c r="J80" i="13"/>
  <c r="K80" i="13" s="1"/>
  <c r="J44" i="13"/>
  <c r="K44" i="13" s="1"/>
  <c r="P44" i="13"/>
  <c r="O77" i="13"/>
  <c r="N77" i="13" s="1"/>
  <c r="J77" i="13"/>
  <c r="K77" i="13" s="1"/>
  <c r="O48" i="13"/>
  <c r="N48" i="13" s="1"/>
  <c r="J48" i="13"/>
  <c r="K48" i="13" s="1"/>
  <c r="O13" i="13"/>
  <c r="N13" i="13" s="1"/>
  <c r="J13" i="13"/>
  <c r="K13" i="13" s="1"/>
  <c r="O89" i="13"/>
  <c r="N89" i="13" s="1"/>
  <c r="J89" i="13"/>
  <c r="K89" i="13" s="1"/>
  <c r="O60" i="13"/>
  <c r="N60" i="13" s="1"/>
  <c r="J60" i="13"/>
  <c r="K60" i="13" s="1"/>
  <c r="J17" i="13"/>
  <c r="K17" i="13" s="1"/>
  <c r="J49" i="13"/>
  <c r="K49" i="13" s="1"/>
  <c r="O79" i="13"/>
  <c r="N79" i="13" s="1"/>
  <c r="J79" i="13"/>
  <c r="K79" i="13" s="1"/>
  <c r="K26" i="13"/>
  <c r="P52" i="13"/>
  <c r="N52" i="13" s="1"/>
  <c r="J61" i="13"/>
  <c r="K61" i="13" s="1"/>
  <c r="Q61" i="13"/>
  <c r="N61" i="13" s="1"/>
  <c r="P64" i="13"/>
  <c r="N64" i="13" s="1"/>
  <c r="O67" i="13"/>
  <c r="N67" i="13" s="1"/>
  <c r="K104" i="13"/>
  <c r="P12" i="13"/>
  <c r="N12" i="13" s="1"/>
  <c r="J12" i="13"/>
  <c r="K12" i="13" s="1"/>
  <c r="O62" i="13"/>
  <c r="N62" i="13" s="1"/>
  <c r="J62" i="13"/>
  <c r="K62" i="13" s="1"/>
  <c r="O30" i="13"/>
  <c r="N30" i="13" s="1"/>
  <c r="J30" i="13"/>
  <c r="K30" i="13" s="1"/>
  <c r="J71" i="13"/>
  <c r="K71" i="13" s="1"/>
  <c r="K31" i="13"/>
  <c r="N20" i="13"/>
  <c r="K58" i="13"/>
  <c r="O82" i="13"/>
  <c r="N82" i="13" s="1"/>
  <c r="J82" i="13"/>
  <c r="K82" i="13" s="1"/>
  <c r="K52" i="13"/>
  <c r="K23" i="13"/>
  <c r="J15" i="13"/>
  <c r="K15" i="13" s="1"/>
  <c r="J18" i="13"/>
  <c r="K18" i="13" s="1"/>
  <c r="J41" i="13"/>
  <c r="K41" i="13" s="1"/>
  <c r="J47" i="13"/>
  <c r="K47" i="13" s="1"/>
  <c r="O50" i="13"/>
  <c r="N50" i="13" s="1"/>
  <c r="J50" i="13"/>
  <c r="K50" i="13" s="1"/>
  <c r="N55" i="13"/>
  <c r="N91" i="13"/>
  <c r="J76" i="13"/>
  <c r="K76" i="13" s="1"/>
  <c r="P76" i="13"/>
  <c r="N76" i="13" s="1"/>
  <c r="J9" i="13"/>
  <c r="K9" i="13" s="1"/>
  <c r="Q29" i="13"/>
  <c r="N29" i="13" s="1"/>
  <c r="J29" i="13"/>
  <c r="K29" i="13" s="1"/>
  <c r="P32" i="13"/>
  <c r="N32" i="13" s="1"/>
  <c r="O35" i="13"/>
  <c r="N35" i="13" s="1"/>
  <c r="N44" i="13"/>
  <c r="O65" i="13"/>
  <c r="N65" i="13" s="1"/>
  <c r="J65" i="13"/>
  <c r="K65" i="13" s="1"/>
  <c r="N88" i="13"/>
  <c r="J20" i="13"/>
  <c r="K20" i="13" s="1"/>
  <c r="J40" i="13"/>
  <c r="K40" i="13" s="1"/>
  <c r="J72" i="13"/>
  <c r="K72" i="13" s="1"/>
  <c r="F6" i="10"/>
  <c r="J8" i="10"/>
  <c r="I8" i="10" s="1"/>
  <c r="F11" i="10"/>
  <c r="B9" i="10"/>
  <c r="E9" i="10"/>
  <c r="J9" i="10"/>
  <c r="I9" i="10" s="1"/>
  <c r="E8" i="10"/>
  <c r="J10" i="10"/>
  <c r="I10" i="10" s="1"/>
  <c r="G6" i="10"/>
  <c r="C6" i="11" s="1"/>
  <c r="H6" i="10"/>
  <c r="F6" i="11" s="1"/>
  <c r="H6" i="11" s="1"/>
  <c r="J6" i="10"/>
  <c r="I6" i="10" s="1"/>
  <c r="F9" i="10"/>
  <c r="I9" i="11" s="1"/>
  <c r="F10" i="10"/>
  <c r="B8" i="10"/>
  <c r="F8" i="10"/>
  <c r="I8" i="11" s="1"/>
  <c r="B6" i="10"/>
  <c r="G8" i="10"/>
  <c r="C8" i="11" s="1"/>
  <c r="G11" i="10"/>
  <c r="C11" i="11" s="1"/>
  <c r="J7" i="10"/>
  <c r="I7" i="10" s="1"/>
  <c r="H10" i="10"/>
  <c r="F10" i="11" s="1"/>
  <c r="B11" i="10"/>
  <c r="J11" i="10"/>
  <c r="I11" i="10" s="1"/>
  <c r="B7" i="10"/>
  <c r="E7" i="10"/>
  <c r="D7" i="11" s="1"/>
  <c r="G7" i="10"/>
  <c r="C7" i="11" s="1"/>
  <c r="H7" i="10"/>
  <c r="F7" i="11" s="1"/>
  <c r="H7" i="11" s="1"/>
  <c r="E10" i="10"/>
  <c r="D10" i="11" s="1"/>
  <c r="G10" i="10"/>
  <c r="C10" i="11" s="1"/>
  <c r="E6" i="10"/>
  <c r="D6" i="11" s="1"/>
  <c r="H8" i="10"/>
  <c r="F8" i="11" s="1"/>
  <c r="H11" i="10"/>
  <c r="F11" i="11" s="1"/>
  <c r="H11" i="11" s="1"/>
  <c r="G9" i="10"/>
  <c r="H9" i="10"/>
  <c r="F9" i="11" s="1"/>
  <c r="F7" i="10"/>
  <c r="B10" i="10"/>
  <c r="E11" i="10"/>
  <c r="D11" i="11" s="1"/>
  <c r="G9" i="11" l="1"/>
  <c r="H10" i="11"/>
  <c r="G10" i="11"/>
  <c r="E10" i="11"/>
  <c r="G7" i="11"/>
  <c r="E7" i="11"/>
  <c r="I10" i="11"/>
  <c r="G8" i="11"/>
  <c r="I11" i="11"/>
  <c r="G11" i="11"/>
  <c r="E11" i="11"/>
  <c r="D8" i="11"/>
  <c r="E8" i="11" s="1"/>
  <c r="H8" i="11"/>
  <c r="E6" i="11"/>
  <c r="G6" i="11"/>
  <c r="D9" i="11"/>
  <c r="E9" i="11" s="1"/>
  <c r="I7" i="11"/>
  <c r="H9" i="11"/>
  <c r="I6" i="11"/>
  <c r="H5" i="9" l="1"/>
  <c r="H6" i="9"/>
  <c r="H7" i="9"/>
  <c r="H8" i="9"/>
  <c r="H9" i="9"/>
  <c r="H4" i="9"/>
  <c r="I6" i="9" a="1"/>
  <c r="I6" i="9" l="1"/>
  <c r="I4" i="9" a="1"/>
  <c r="I4" i="9" l="1"/>
  <c r="I9" i="9" a="1"/>
  <c r="I9" i="9" l="1"/>
  <c r="I5" i="9" a="1"/>
  <c r="I5" i="9"/>
  <c r="I7" i="9" a="1"/>
  <c r="I7" i="9"/>
  <c r="I8" i="9" a="1"/>
  <c r="I8" i="9"/>
  <c r="E9" i="9" a="1"/>
  <c r="E9" i="9" l="1"/>
  <c r="E5" i="9" a="1"/>
  <c r="E5" i="9"/>
  <c r="E6" i="9" a="1"/>
  <c r="E6" i="9"/>
  <c r="E8" i="9" a="1"/>
  <c r="E8" i="9"/>
  <c r="E7" i="9" a="1"/>
  <c r="E7" i="9"/>
  <c r="E4" i="9" a="1"/>
  <c r="E4" i="9"/>
  <c r="D7" i="9" a="1"/>
  <c r="D7" i="9" l="1"/>
  <c r="D4" i="9" a="1"/>
  <c r="D4" i="9"/>
  <c r="D8" i="9" a="1"/>
  <c r="D8" i="9"/>
  <c r="D9" i="9" a="1"/>
  <c r="D9" i="9"/>
  <c r="D6" i="9" a="1"/>
  <c r="D6" i="9"/>
  <c r="D5" i="9" a="1"/>
  <c r="D5" i="9"/>
  <c r="G9" i="9" a="1"/>
  <c r="G9" i="9" l="1"/>
  <c r="C9" i="9" a="1"/>
  <c r="C9" i="9"/>
  <c r="F9" i="9" a="1"/>
  <c r="F9" i="9"/>
  <c r="G5" i="9" a="1"/>
  <c r="G5" i="9" l="1"/>
  <c r="G7" i="9" a="1"/>
  <c r="G7" i="9" l="1"/>
  <c r="G6" i="9" a="1"/>
  <c r="G6" i="9"/>
  <c r="G8" i="9" a="1"/>
  <c r="G8" i="9"/>
  <c r="G4" i="9" a="1"/>
  <c r="G4" i="9" l="1"/>
  <c r="F6" i="9" a="1"/>
  <c r="F6" i="9" l="1"/>
  <c r="F8" i="9" a="1"/>
  <c r="F8" i="9"/>
  <c r="F5" i="9" a="1"/>
  <c r="F5" i="9"/>
  <c r="F7" i="9" a="1"/>
  <c r="F7" i="9"/>
  <c r="F4" i="9" a="1"/>
  <c r="F4" i="9" l="1"/>
  <c r="C4" i="9" a="1"/>
  <c r="C5" i="9" a="1"/>
  <c r="C4" i="9" l="1"/>
  <c r="C5" i="9"/>
  <c r="C8" i="9" a="1"/>
  <c r="C8" i="9" l="1"/>
  <c r="C7" i="9" a="1"/>
  <c r="C7" i="9"/>
  <c r="C6" i="9" a="1"/>
  <c r="C6" i="9" l="1"/>
  <c r="E14" i="7" l="1"/>
  <c r="E13" i="7"/>
  <c r="E12" i="7"/>
  <c r="E30" i="7" s="1"/>
  <c r="E11" i="7"/>
  <c r="E27" i="7" s="1"/>
  <c r="E10" i="7"/>
  <c r="E29" i="7" s="1"/>
  <c r="E9" i="7"/>
  <c r="E8" i="7"/>
  <c r="E28" i="7" s="1"/>
  <c r="C40" i="6"/>
  <c r="G39" i="6"/>
  <c r="F39" i="6"/>
  <c r="E39" i="6"/>
  <c r="D39" i="6"/>
  <c r="C39" i="6"/>
  <c r="G38" i="6"/>
  <c r="F38" i="6"/>
  <c r="E38" i="6"/>
  <c r="D38" i="6"/>
  <c r="C38" i="6"/>
  <c r="G37" i="6"/>
  <c r="F37" i="6"/>
  <c r="E37" i="6"/>
  <c r="D37" i="6"/>
  <c r="C37" i="6"/>
  <c r="G36" i="6"/>
  <c r="F36" i="6"/>
  <c r="E36" i="6"/>
  <c r="D36" i="6"/>
  <c r="C36" i="6"/>
  <c r="E23" i="6"/>
  <c r="E22" i="6"/>
  <c r="E21" i="6"/>
  <c r="E18" i="6"/>
  <c r="E24" i="6" s="1"/>
  <c r="E11" i="6"/>
  <c r="E8" i="6"/>
  <c r="G40" i="6" s="1"/>
  <c r="E26" i="6" l="1"/>
  <c r="E25" i="6"/>
  <c r="D40" i="6"/>
  <c r="E40" i="6"/>
  <c r="F40" i="6"/>
  <c r="M131" i="5" l="1"/>
  <c r="N131" i="5" s="1"/>
  <c r="M132" i="5"/>
  <c r="M130" i="5"/>
  <c r="N20" i="5"/>
  <c r="O20" i="5"/>
  <c r="N21" i="5"/>
  <c r="O21" i="5"/>
  <c r="N22" i="5"/>
  <c r="O22" i="5"/>
  <c r="N23" i="5"/>
  <c r="O23" i="5"/>
  <c r="N24" i="5"/>
  <c r="O24" i="5"/>
  <c r="N25" i="5"/>
  <c r="O25" i="5"/>
  <c r="N26" i="5"/>
  <c r="O26" i="5"/>
  <c r="N27" i="5"/>
  <c r="O27" i="5"/>
  <c r="N28" i="5"/>
  <c r="O28" i="5"/>
  <c r="N29" i="5"/>
  <c r="O29" i="5"/>
  <c r="N30" i="5"/>
  <c r="O30" i="5"/>
  <c r="N31" i="5"/>
  <c r="O31" i="5"/>
  <c r="N32" i="5"/>
  <c r="O32" i="5"/>
  <c r="N33" i="5"/>
  <c r="O33" i="5"/>
  <c r="N34" i="5"/>
  <c r="O34" i="5"/>
  <c r="N35" i="5"/>
  <c r="O35" i="5"/>
  <c r="N36" i="5"/>
  <c r="O36" i="5"/>
  <c r="N37" i="5"/>
  <c r="O37" i="5"/>
  <c r="N38" i="5"/>
  <c r="O38" i="5"/>
  <c r="N39" i="5"/>
  <c r="O39" i="5"/>
  <c r="N40" i="5"/>
  <c r="O40" i="5"/>
  <c r="N41" i="5"/>
  <c r="O41" i="5"/>
  <c r="N42" i="5"/>
  <c r="O42" i="5"/>
  <c r="N43" i="5"/>
  <c r="O43" i="5"/>
  <c r="N44" i="5"/>
  <c r="O44" i="5"/>
  <c r="N45" i="5"/>
  <c r="O45" i="5"/>
  <c r="N46" i="5"/>
  <c r="O46" i="5"/>
  <c r="N47" i="5"/>
  <c r="O47" i="5"/>
  <c r="N48" i="5"/>
  <c r="O48" i="5"/>
  <c r="N49" i="5"/>
  <c r="O49" i="5"/>
  <c r="N50" i="5"/>
  <c r="O50" i="5"/>
  <c r="N51" i="5"/>
  <c r="O51" i="5"/>
  <c r="N52" i="5"/>
  <c r="O52" i="5"/>
  <c r="N53" i="5"/>
  <c r="O53" i="5"/>
  <c r="N54" i="5"/>
  <c r="O54" i="5"/>
  <c r="N55" i="5"/>
  <c r="O55" i="5"/>
  <c r="N56" i="5"/>
  <c r="O56" i="5"/>
  <c r="N57" i="5"/>
  <c r="O57" i="5"/>
  <c r="N58" i="5"/>
  <c r="O58" i="5"/>
  <c r="N59" i="5"/>
  <c r="O59" i="5"/>
  <c r="N60" i="5"/>
  <c r="O60" i="5"/>
  <c r="N61" i="5"/>
  <c r="O61" i="5"/>
  <c r="N62" i="5"/>
  <c r="O62" i="5"/>
  <c r="N63" i="5"/>
  <c r="O63" i="5"/>
  <c r="N64" i="5"/>
  <c r="O64" i="5"/>
  <c r="N65" i="5"/>
  <c r="O65" i="5"/>
  <c r="N66" i="5"/>
  <c r="O66" i="5"/>
  <c r="N67" i="5"/>
  <c r="O67" i="5"/>
  <c r="N68" i="5"/>
  <c r="O68" i="5"/>
  <c r="N69" i="5"/>
  <c r="O69" i="5"/>
  <c r="N70" i="5"/>
  <c r="O70" i="5"/>
  <c r="N71" i="5"/>
  <c r="O71" i="5"/>
  <c r="N72" i="5"/>
  <c r="O72" i="5"/>
  <c r="N73" i="5"/>
  <c r="O73" i="5"/>
  <c r="N74" i="5"/>
  <c r="O74" i="5"/>
  <c r="N75" i="5"/>
  <c r="O75" i="5"/>
  <c r="N76" i="5"/>
  <c r="O76" i="5"/>
  <c r="N77" i="5"/>
  <c r="O77" i="5"/>
  <c r="N78" i="5"/>
  <c r="O78" i="5"/>
  <c r="N79" i="5"/>
  <c r="O79" i="5"/>
  <c r="N80" i="5"/>
  <c r="O80" i="5"/>
  <c r="N81" i="5"/>
  <c r="O81" i="5"/>
  <c r="N82" i="5"/>
  <c r="O82" i="5"/>
  <c r="N83" i="5"/>
  <c r="O83" i="5"/>
  <c r="N84" i="5"/>
  <c r="O84" i="5"/>
  <c r="N85" i="5"/>
  <c r="O85" i="5"/>
  <c r="N86" i="5"/>
  <c r="O86" i="5"/>
  <c r="N87" i="5"/>
  <c r="O87" i="5"/>
  <c r="N88" i="5"/>
  <c r="O88" i="5"/>
  <c r="N89" i="5"/>
  <c r="O89" i="5"/>
  <c r="N90" i="5"/>
  <c r="O90" i="5"/>
  <c r="N91" i="5"/>
  <c r="O91" i="5"/>
  <c r="N92" i="5"/>
  <c r="O92" i="5"/>
  <c r="N93" i="5"/>
  <c r="O93" i="5"/>
  <c r="N94" i="5"/>
  <c r="O94" i="5"/>
  <c r="N95" i="5"/>
  <c r="O95" i="5"/>
  <c r="N96" i="5"/>
  <c r="O96" i="5"/>
  <c r="N97" i="5"/>
  <c r="O97" i="5"/>
  <c r="N98" i="5"/>
  <c r="O98" i="5"/>
  <c r="N99" i="5"/>
  <c r="O99" i="5"/>
  <c r="N100" i="5"/>
  <c r="O100" i="5"/>
  <c r="N101" i="5"/>
  <c r="O101" i="5"/>
  <c r="N102" i="5"/>
  <c r="O102" i="5"/>
  <c r="N103" i="5"/>
  <c r="O103" i="5"/>
  <c r="N104" i="5"/>
  <c r="O104" i="5"/>
  <c r="N105" i="5"/>
  <c r="O105" i="5"/>
  <c r="N106" i="5"/>
  <c r="O106" i="5"/>
  <c r="N107" i="5"/>
  <c r="O107" i="5"/>
  <c r="N108" i="5"/>
  <c r="O108" i="5"/>
  <c r="N109" i="5"/>
  <c r="O109" i="5"/>
  <c r="N110" i="5"/>
  <c r="O110" i="5"/>
  <c r="N111" i="5"/>
  <c r="O111" i="5"/>
  <c r="N112" i="5"/>
  <c r="O112" i="5"/>
  <c r="N113" i="5"/>
  <c r="O113" i="5"/>
  <c r="N114" i="5"/>
  <c r="O114" i="5"/>
  <c r="N115" i="5"/>
  <c r="O115" i="5"/>
  <c r="N116" i="5"/>
  <c r="O116" i="5"/>
  <c r="N117" i="5"/>
  <c r="O117" i="5"/>
  <c r="N118" i="5"/>
  <c r="O118" i="5"/>
  <c r="N119" i="5"/>
  <c r="O119" i="5"/>
  <c r="N120" i="5"/>
  <c r="O120" i="5"/>
  <c r="N121" i="5"/>
  <c r="O121" i="5"/>
  <c r="N122" i="5"/>
  <c r="O122" i="5"/>
  <c r="N123" i="5"/>
  <c r="O123" i="5"/>
  <c r="N124" i="5"/>
  <c r="O124" i="5"/>
  <c r="N125" i="5"/>
  <c r="O125" i="5"/>
  <c r="N126" i="5"/>
  <c r="O126" i="5"/>
  <c r="N127" i="5"/>
  <c r="O127" i="5"/>
  <c r="N128" i="5"/>
  <c r="O128" i="5"/>
  <c r="N129" i="5"/>
  <c r="O129" i="5"/>
  <c r="N130" i="5"/>
  <c r="O130" i="5"/>
  <c r="N132" i="5"/>
  <c r="O132" i="5"/>
  <c r="O19" i="5"/>
  <c r="N19" i="5"/>
  <c r="E26" i="5"/>
  <c r="E27" i="5"/>
  <c r="E28" i="5"/>
  <c r="E29" i="5"/>
  <c r="E30" i="5"/>
  <c r="E31" i="5"/>
  <c r="E43" i="5"/>
  <c r="E44" i="5"/>
  <c r="E45" i="5"/>
  <c r="E46" i="5"/>
  <c r="M29" i="5"/>
  <c r="M30" i="5"/>
  <c r="M31" i="5"/>
  <c r="M32" i="5"/>
  <c r="M33" i="5"/>
  <c r="M34" i="5"/>
  <c r="M57" i="5"/>
  <c r="M58" i="5"/>
  <c r="M59" i="5"/>
  <c r="M60" i="5"/>
  <c r="M61" i="5"/>
  <c r="M62" i="5"/>
  <c r="M63" i="5"/>
  <c r="M64" i="5"/>
  <c r="M65" i="5"/>
  <c r="M66" i="5"/>
  <c r="M67" i="5"/>
  <c r="M68" i="5"/>
  <c r="M69" i="5"/>
  <c r="M70" i="5"/>
  <c r="M71" i="5"/>
  <c r="M72" i="5"/>
  <c r="M73" i="5"/>
  <c r="M74" i="5"/>
  <c r="M75" i="5"/>
  <c r="M76" i="5"/>
  <c r="M77" i="5"/>
  <c r="M78" i="5"/>
  <c r="M79" i="5"/>
  <c r="M80" i="5"/>
  <c r="M81" i="5"/>
  <c r="M96" i="5"/>
  <c r="M97" i="5"/>
  <c r="M98" i="5"/>
  <c r="M104" i="5"/>
  <c r="M105" i="5"/>
  <c r="M106" i="5"/>
  <c r="M107" i="5"/>
  <c r="M108" i="5"/>
  <c r="M109" i="5"/>
  <c r="M110" i="5"/>
  <c r="M111" i="5"/>
  <c r="M112" i="5"/>
  <c r="M113" i="5"/>
  <c r="M117" i="5"/>
  <c r="M125" i="5"/>
  <c r="M126" i="5"/>
  <c r="M127" i="5"/>
  <c r="M128" i="5"/>
  <c r="M129" i="5"/>
  <c r="M19" i="5"/>
  <c r="D47" i="5"/>
  <c r="E47" i="5" s="1"/>
  <c r="D11" i="5"/>
  <c r="M21" i="5" s="1"/>
  <c r="D12" i="5"/>
  <c r="M22" i="5" s="1"/>
  <c r="D13" i="5"/>
  <c r="M25" i="5" s="1"/>
  <c r="D14" i="5"/>
  <c r="E14" i="5" s="1"/>
  <c r="D15" i="5"/>
  <c r="E15" i="5" s="1"/>
  <c r="D16" i="5"/>
  <c r="E16" i="5" s="1"/>
  <c r="D17" i="5"/>
  <c r="E17" i="5" s="1"/>
  <c r="D18" i="5"/>
  <c r="E18" i="5" s="1"/>
  <c r="D19" i="5"/>
  <c r="E23" i="5" s="1"/>
  <c r="D20" i="5"/>
  <c r="E24" i="5" s="1"/>
  <c r="D21" i="5"/>
  <c r="M50" i="5" s="1"/>
  <c r="D22" i="5"/>
  <c r="M52" i="5" s="1"/>
  <c r="D23" i="5"/>
  <c r="M55" i="5" s="1"/>
  <c r="D24" i="5"/>
  <c r="D25" i="5"/>
  <c r="D26" i="5"/>
  <c r="D27" i="5"/>
  <c r="D28" i="5"/>
  <c r="D29" i="5"/>
  <c r="D30" i="5"/>
  <c r="D31" i="5"/>
  <c r="D32" i="5"/>
  <c r="M82" i="5" s="1"/>
  <c r="D33" i="5"/>
  <c r="M85" i="5" s="1"/>
  <c r="D34" i="5"/>
  <c r="M88" i="5" s="1"/>
  <c r="D35" i="5"/>
  <c r="M91" i="5" s="1"/>
  <c r="D36" i="5"/>
  <c r="M95" i="5" s="1"/>
  <c r="D37" i="5"/>
  <c r="M99" i="5" s="1"/>
  <c r="D38" i="5"/>
  <c r="M100" i="5" s="1"/>
  <c r="D39" i="5"/>
  <c r="M103" i="5" s="1"/>
  <c r="D40" i="5"/>
  <c r="D41" i="5"/>
  <c r="D42" i="5"/>
  <c r="M114" i="5" s="1"/>
  <c r="D43" i="5"/>
  <c r="M115" i="5" s="1"/>
  <c r="D44" i="5"/>
  <c r="M118" i="5" s="1"/>
  <c r="D45" i="5"/>
  <c r="M121" i="5" s="1"/>
  <c r="D46" i="5"/>
  <c r="M124" i="5" s="1"/>
  <c r="D10" i="5"/>
  <c r="DT47" i="4"/>
  <c r="DT48" i="4" s="1"/>
  <c r="DY40" i="4"/>
  <c r="DZ40" i="4" s="1"/>
  <c r="DP36" i="4"/>
  <c r="DO36" i="4"/>
  <c r="DN36" i="4"/>
  <c r="DM36" i="4"/>
  <c r="DL36" i="4"/>
  <c r="DK36" i="4"/>
  <c r="DJ36" i="4"/>
  <c r="DI36" i="4"/>
  <c r="DH36" i="4"/>
  <c r="DG36" i="4"/>
  <c r="DF36" i="4"/>
  <c r="DE36" i="4"/>
  <c r="DD36" i="4"/>
  <c r="DC36" i="4"/>
  <c r="DB36" i="4"/>
  <c r="DA36" i="4"/>
  <c r="CZ36" i="4"/>
  <c r="CY36" i="4"/>
  <c r="CX36" i="4"/>
  <c r="CW36" i="4"/>
  <c r="CV36" i="4"/>
  <c r="CU36" i="4"/>
  <c r="CT36" i="4"/>
  <c r="CS36" i="4"/>
  <c r="CR36" i="4"/>
  <c r="CQ36" i="4"/>
  <c r="CP36" i="4"/>
  <c r="CO36" i="4"/>
  <c r="CN36" i="4"/>
  <c r="CM36" i="4"/>
  <c r="CL36" i="4"/>
  <c r="CK36" i="4"/>
  <c r="CJ36" i="4"/>
  <c r="CI36" i="4"/>
  <c r="CH36" i="4"/>
  <c r="CG36" i="4"/>
  <c r="CF36" i="4"/>
  <c r="CE36" i="4"/>
  <c r="CD36" i="4"/>
  <c r="CC36" i="4"/>
  <c r="CB36" i="4"/>
  <c r="CA36" i="4"/>
  <c r="BZ36" i="4"/>
  <c r="BY36" i="4"/>
  <c r="BX36" i="4"/>
  <c r="BW36" i="4"/>
  <c r="BV36" i="4"/>
  <c r="BU36" i="4"/>
  <c r="BT36" i="4"/>
  <c r="BS36" i="4"/>
  <c r="BR36" i="4"/>
  <c r="BQ36" i="4"/>
  <c r="BP36" i="4"/>
  <c r="BO36" i="4"/>
  <c r="BN36" i="4"/>
  <c r="BM36" i="4"/>
  <c r="BL36" i="4"/>
  <c r="BK36" i="4"/>
  <c r="BJ36" i="4"/>
  <c r="BI36" i="4"/>
  <c r="BH36" i="4"/>
  <c r="BG36" i="4"/>
  <c r="BF36" i="4"/>
  <c r="BE36" i="4"/>
  <c r="BD36" i="4"/>
  <c r="BC36" i="4"/>
  <c r="BB36" i="4"/>
  <c r="BA36" i="4"/>
  <c r="AZ36" i="4"/>
  <c r="AY36" i="4"/>
  <c r="AX36" i="4"/>
  <c r="AW36" i="4"/>
  <c r="AV36" i="4"/>
  <c r="AU36" i="4"/>
  <c r="AT36" i="4"/>
  <c r="AS36" i="4"/>
  <c r="AR36" i="4"/>
  <c r="AQ36" i="4"/>
  <c r="AP36" i="4"/>
  <c r="AO36" i="4"/>
  <c r="AN36" i="4"/>
  <c r="AM36" i="4"/>
  <c r="AL36" i="4"/>
  <c r="AK36" i="4"/>
  <c r="AJ36" i="4"/>
  <c r="AI36" i="4"/>
  <c r="AH36" i="4"/>
  <c r="AG36" i="4"/>
  <c r="AF36" i="4"/>
  <c r="AE36" i="4"/>
  <c r="AD36" i="4"/>
  <c r="AC36" i="4"/>
  <c r="AB36" i="4"/>
  <c r="AA36" i="4"/>
  <c r="Z36" i="4"/>
  <c r="Y36" i="4"/>
  <c r="X36" i="4"/>
  <c r="W36" i="4"/>
  <c r="V36" i="4"/>
  <c r="U36" i="4"/>
  <c r="T36" i="4"/>
  <c r="S36" i="4"/>
  <c r="R36" i="4"/>
  <c r="Q36" i="4"/>
  <c r="P36" i="4"/>
  <c r="O36" i="4"/>
  <c r="N36" i="4"/>
  <c r="M36" i="4"/>
  <c r="L36" i="4"/>
  <c r="K36" i="4"/>
  <c r="J36" i="4"/>
  <c r="I36" i="4"/>
  <c r="H36" i="4"/>
  <c r="CR35" i="4"/>
  <c r="CQ35" i="4"/>
  <c r="CP35" i="4"/>
  <c r="CO35" i="4"/>
  <c r="CN35" i="4"/>
  <c r="BL35" i="4"/>
  <c r="BK35" i="4"/>
  <c r="BJ35" i="4"/>
  <c r="BI35" i="4"/>
  <c r="BH35" i="4"/>
  <c r="AF35" i="4"/>
  <c r="AE35" i="4"/>
  <c r="AD35" i="4"/>
  <c r="AC35" i="4"/>
  <c r="AB35" i="4"/>
  <c r="DR34" i="4"/>
  <c r="DQ34" i="4"/>
  <c r="DP34" i="4"/>
  <c r="DO34" i="4"/>
  <c r="DN34" i="4"/>
  <c r="DM34" i="4"/>
  <c r="DL34" i="4"/>
  <c r="DK34" i="4"/>
  <c r="DK33" i="4" s="1"/>
  <c r="DK35" i="4" s="1"/>
  <c r="DJ34" i="4"/>
  <c r="DJ33" i="4" s="1"/>
  <c r="DJ35" i="4" s="1"/>
  <c r="DI34" i="4"/>
  <c r="DI33" i="4" s="1"/>
  <c r="DI35" i="4" s="1"/>
  <c r="DH34" i="4"/>
  <c r="DH33" i="4" s="1"/>
  <c r="DH35" i="4" s="1"/>
  <c r="DG34" i="4"/>
  <c r="DG33" i="4" s="1"/>
  <c r="DG35" i="4" s="1"/>
  <c r="DF34" i="4"/>
  <c r="DF33" i="4" s="1"/>
  <c r="DF35" i="4" s="1"/>
  <c r="DE34" i="4"/>
  <c r="DD34" i="4"/>
  <c r="DC34" i="4"/>
  <c r="DB34" i="4"/>
  <c r="DA34" i="4"/>
  <c r="CZ34" i="4"/>
  <c r="CY34" i="4"/>
  <c r="CY33" i="4" s="1"/>
  <c r="CX34" i="4"/>
  <c r="CX33" i="4" s="1"/>
  <c r="CW34" i="4"/>
  <c r="CW33" i="4" s="1"/>
  <c r="CV34" i="4"/>
  <c r="CV33" i="4" s="1"/>
  <c r="CU34" i="4"/>
  <c r="CU33" i="4" s="1"/>
  <c r="CT34" i="4"/>
  <c r="CS34" i="4"/>
  <c r="CR34" i="4"/>
  <c r="CQ34" i="4"/>
  <c r="CP34" i="4"/>
  <c r="CO34" i="4"/>
  <c r="CN34" i="4"/>
  <c r="CM34" i="4"/>
  <c r="CL34" i="4"/>
  <c r="CK34" i="4"/>
  <c r="CJ34" i="4"/>
  <c r="CI34" i="4"/>
  <c r="CH34" i="4"/>
  <c r="CG34" i="4"/>
  <c r="CF34" i="4"/>
  <c r="CE34" i="4"/>
  <c r="CE33" i="4" s="1"/>
  <c r="CE35" i="4" s="1"/>
  <c r="CD34" i="4"/>
  <c r="CD33" i="4" s="1"/>
  <c r="CD35" i="4" s="1"/>
  <c r="CC34" i="4"/>
  <c r="CC33" i="4" s="1"/>
  <c r="CC35" i="4" s="1"/>
  <c r="CB34" i="4"/>
  <c r="CB33" i="4" s="1"/>
  <c r="CB35" i="4" s="1"/>
  <c r="CA34" i="4"/>
  <c r="CA33" i="4" s="1"/>
  <c r="CA35" i="4" s="1"/>
  <c r="BZ34" i="4"/>
  <c r="BZ33" i="4" s="1"/>
  <c r="BZ35" i="4" s="1"/>
  <c r="BY34" i="4"/>
  <c r="BX34" i="4"/>
  <c r="BW34" i="4"/>
  <c r="BV34" i="4"/>
  <c r="BU34" i="4"/>
  <c r="BU33" i="4" s="1"/>
  <c r="BT34" i="4"/>
  <c r="BT33" i="4" s="1"/>
  <c r="BS34" i="4"/>
  <c r="BS33" i="4" s="1"/>
  <c r="BR34" i="4"/>
  <c r="BR33" i="4" s="1"/>
  <c r="BQ34" i="4"/>
  <c r="BP34" i="4"/>
  <c r="BP33" i="4" s="1"/>
  <c r="BO34" i="4"/>
  <c r="BO33" i="4" s="1"/>
  <c r="BN34" i="4"/>
  <c r="BM34" i="4"/>
  <c r="BL34" i="4"/>
  <c r="BK34" i="4"/>
  <c r="BJ34" i="4"/>
  <c r="BI34" i="4"/>
  <c r="BH34" i="4"/>
  <c r="BG34" i="4"/>
  <c r="BF34" i="4"/>
  <c r="BE34" i="4"/>
  <c r="BD34" i="4"/>
  <c r="BC34" i="4"/>
  <c r="BB34" i="4"/>
  <c r="BA34" i="4"/>
  <c r="AZ34" i="4"/>
  <c r="AY34" i="4"/>
  <c r="AY33" i="4" s="1"/>
  <c r="AY35" i="4" s="1"/>
  <c r="AX34" i="4"/>
  <c r="AX33" i="4" s="1"/>
  <c r="AX35" i="4" s="1"/>
  <c r="AW34" i="4"/>
  <c r="AW33" i="4" s="1"/>
  <c r="AW35" i="4" s="1"/>
  <c r="AV34" i="4"/>
  <c r="AV33" i="4" s="1"/>
  <c r="AV35" i="4" s="1"/>
  <c r="AU34" i="4"/>
  <c r="AU33" i="4" s="1"/>
  <c r="AU35" i="4" s="1"/>
  <c r="AT34" i="4"/>
  <c r="AT33" i="4" s="1"/>
  <c r="AT35" i="4" s="1"/>
  <c r="AS34" i="4"/>
  <c r="AR34" i="4"/>
  <c r="AQ34" i="4"/>
  <c r="AP34" i="4"/>
  <c r="AO34" i="4"/>
  <c r="AN34" i="4"/>
  <c r="AN33" i="4" s="1"/>
  <c r="AM34" i="4"/>
  <c r="AM33" i="4" s="1"/>
  <c r="AL34" i="4"/>
  <c r="AL33" i="4" s="1"/>
  <c r="AK34" i="4"/>
  <c r="AK33" i="4" s="1"/>
  <c r="AJ34" i="4"/>
  <c r="AJ33" i="4" s="1"/>
  <c r="AI34" i="4"/>
  <c r="AI33" i="4" s="1"/>
  <c r="AH34" i="4"/>
  <c r="AG34" i="4"/>
  <c r="AF34" i="4"/>
  <c r="AE34" i="4"/>
  <c r="AD34" i="4"/>
  <c r="AC34" i="4"/>
  <c r="AB34" i="4"/>
  <c r="AA34" i="4"/>
  <c r="Z34" i="4"/>
  <c r="Y34" i="4"/>
  <c r="X34" i="4"/>
  <c r="W34" i="4"/>
  <c r="V34" i="4"/>
  <c r="U34" i="4"/>
  <c r="T34" i="4"/>
  <c r="S34" i="4"/>
  <c r="S33" i="4" s="1"/>
  <c r="S35" i="4" s="1"/>
  <c r="R34" i="4"/>
  <c r="R33" i="4" s="1"/>
  <c r="R35" i="4" s="1"/>
  <c r="Q34" i="4"/>
  <c r="Q33" i="4" s="1"/>
  <c r="Q35" i="4" s="1"/>
  <c r="P34" i="4"/>
  <c r="P33" i="4" s="1"/>
  <c r="P35" i="4" s="1"/>
  <c r="O34" i="4"/>
  <c r="O33" i="4" s="1"/>
  <c r="O35" i="4" s="1"/>
  <c r="N34" i="4"/>
  <c r="N33" i="4" s="1"/>
  <c r="N35" i="4" s="1"/>
  <c r="M34" i="4"/>
  <c r="L34" i="4"/>
  <c r="K34" i="4"/>
  <c r="J34" i="4"/>
  <c r="I34" i="4"/>
  <c r="I33" i="4" s="1"/>
  <c r="H34" i="4"/>
  <c r="H33" i="4" s="1"/>
  <c r="DR33" i="4"/>
  <c r="DQ33" i="4"/>
  <c r="DP33" i="4"/>
  <c r="DP35" i="4" s="1"/>
  <c r="DO33" i="4"/>
  <c r="DO35" i="4" s="1"/>
  <c r="DN33" i="4"/>
  <c r="DN35" i="4" s="1"/>
  <c r="DM33" i="4"/>
  <c r="DM35" i="4" s="1"/>
  <c r="DL33" i="4"/>
  <c r="DL35" i="4" s="1"/>
  <c r="CR33" i="4"/>
  <c r="CQ33" i="4"/>
  <c r="CP33" i="4"/>
  <c r="CO33" i="4"/>
  <c r="CN33" i="4"/>
  <c r="CM33" i="4"/>
  <c r="CM35" i="4" s="1"/>
  <c r="CL33" i="4"/>
  <c r="CL35" i="4" s="1"/>
  <c r="CK33" i="4"/>
  <c r="CK35" i="4" s="1"/>
  <c r="CJ33" i="4"/>
  <c r="CJ35" i="4" s="1"/>
  <c r="CI33" i="4"/>
  <c r="CI35" i="4" s="1"/>
  <c r="CH33" i="4"/>
  <c r="CH35" i="4" s="1"/>
  <c r="CG33" i="4"/>
  <c r="CG35" i="4" s="1"/>
  <c r="CF33" i="4"/>
  <c r="CF35" i="4" s="1"/>
  <c r="BL33" i="4"/>
  <c r="BK33" i="4"/>
  <c r="BJ33" i="4"/>
  <c r="BI33" i="4"/>
  <c r="BH33" i="4"/>
  <c r="BG33" i="4"/>
  <c r="BG35" i="4" s="1"/>
  <c r="BF33" i="4"/>
  <c r="BF35" i="4" s="1"/>
  <c r="BE33" i="4"/>
  <c r="BE35" i="4" s="1"/>
  <c r="BD33" i="4"/>
  <c r="BD35" i="4" s="1"/>
  <c r="BC33" i="4"/>
  <c r="BC35" i="4" s="1"/>
  <c r="BB33" i="4"/>
  <c r="BB35" i="4" s="1"/>
  <c r="BA33" i="4"/>
  <c r="BA35" i="4" s="1"/>
  <c r="AZ33" i="4"/>
  <c r="AZ35" i="4" s="1"/>
  <c r="AF33" i="4"/>
  <c r="AE33" i="4"/>
  <c r="AD33" i="4"/>
  <c r="AC33" i="4"/>
  <c r="AB33" i="4"/>
  <c r="AA33" i="4"/>
  <c r="AA35" i="4" s="1"/>
  <c r="Z33" i="4"/>
  <c r="Z35" i="4" s="1"/>
  <c r="Y33" i="4"/>
  <c r="Y35" i="4" s="1"/>
  <c r="X33" i="4"/>
  <c r="X35" i="4" s="1"/>
  <c r="W33" i="4"/>
  <c r="W35" i="4" s="1"/>
  <c r="V33" i="4"/>
  <c r="V35" i="4" s="1"/>
  <c r="U33" i="4"/>
  <c r="U35" i="4" s="1"/>
  <c r="T33" i="4"/>
  <c r="T35" i="4" s="1"/>
  <c r="FY16" i="4"/>
  <c r="FZ16" i="4" s="1"/>
  <c r="GA16" i="4" s="1"/>
  <c r="FX16" i="4"/>
  <c r="FW16" i="4"/>
  <c r="FV16" i="4"/>
  <c r="FU16" i="4"/>
  <c r="FT16" i="4"/>
  <c r="FS16" i="4"/>
  <c r="FR16" i="4"/>
  <c r="FQ16" i="4"/>
  <c r="FP16" i="4"/>
  <c r="FO16" i="4"/>
  <c r="FN16" i="4"/>
  <c r="FM16" i="4"/>
  <c r="FL16" i="4"/>
  <c r="FK16" i="4"/>
  <c r="FJ16" i="4"/>
  <c r="FI16" i="4"/>
  <c r="FH16" i="4"/>
  <c r="FG16" i="4"/>
  <c r="FF16" i="4"/>
  <c r="FE16" i="4"/>
  <c r="FD16" i="4"/>
  <c r="FC16" i="4"/>
  <c r="FB16" i="4"/>
  <c r="FA16" i="4"/>
  <c r="EZ16" i="4"/>
  <c r="EY16" i="4"/>
  <c r="EX16" i="4"/>
  <c r="EW16" i="4"/>
  <c r="EV16" i="4"/>
  <c r="EU16" i="4"/>
  <c r="ET16" i="4"/>
  <c r="ES16" i="4"/>
  <c r="ER16" i="4"/>
  <c r="EQ16" i="4"/>
  <c r="EP16" i="4"/>
  <c r="EO16" i="4"/>
  <c r="EN16" i="4"/>
  <c r="EM16" i="4"/>
  <c r="EL16" i="4"/>
  <c r="EK16" i="4"/>
  <c r="EJ16" i="4"/>
  <c r="EI16" i="4"/>
  <c r="R4" i="4" s="1"/>
  <c r="EH16" i="4"/>
  <c r="EG16" i="4"/>
  <c r="EF16" i="4"/>
  <c r="EE16" i="4"/>
  <c r="ED16" i="4"/>
  <c r="EC16" i="4"/>
  <c r="EB16" i="4"/>
  <c r="EA16" i="4"/>
  <c r="DZ16" i="4"/>
  <c r="DY16" i="4"/>
  <c r="DX16" i="4"/>
  <c r="DW16" i="4"/>
  <c r="DV16" i="4"/>
  <c r="DU16" i="4"/>
  <c r="DT16" i="4"/>
  <c r="DS16" i="4"/>
  <c r="DR16" i="4"/>
  <c r="DQ16" i="4"/>
  <c r="DP16" i="4"/>
  <c r="DO16" i="4"/>
  <c r="DN16" i="4"/>
  <c r="DM16" i="4"/>
  <c r="DL16" i="4"/>
  <c r="DK16" i="4"/>
  <c r="DJ16" i="4"/>
  <c r="DI16" i="4"/>
  <c r="DH16" i="4"/>
  <c r="DG16" i="4"/>
  <c r="DF16" i="4"/>
  <c r="DE16" i="4"/>
  <c r="DD16" i="4"/>
  <c r="DC16" i="4"/>
  <c r="DB16" i="4"/>
  <c r="DA16" i="4"/>
  <c r="CZ16" i="4"/>
  <c r="CY16" i="4"/>
  <c r="O4" i="4" s="1"/>
  <c r="CX16" i="4"/>
  <c r="CW16" i="4"/>
  <c r="CV16" i="4"/>
  <c r="CU16" i="4"/>
  <c r="CT16" i="4"/>
  <c r="CS16" i="4"/>
  <c r="CR16" i="4"/>
  <c r="CQ16" i="4"/>
  <c r="CP16" i="4"/>
  <c r="CO16" i="4"/>
  <c r="CN16" i="4"/>
  <c r="CM16" i="4"/>
  <c r="CL16" i="4"/>
  <c r="CK16" i="4"/>
  <c r="CJ16" i="4"/>
  <c r="CI16" i="4"/>
  <c r="CH16" i="4"/>
  <c r="CG16" i="4"/>
  <c r="CF16" i="4"/>
  <c r="CE16" i="4"/>
  <c r="CD16" i="4"/>
  <c r="CC16" i="4"/>
  <c r="CB16" i="4"/>
  <c r="CA16" i="4"/>
  <c r="BZ16" i="4"/>
  <c r="BY16" i="4"/>
  <c r="BX16" i="4"/>
  <c r="BW16" i="4"/>
  <c r="BV16" i="4"/>
  <c r="BU16" i="4"/>
  <c r="BT16" i="4"/>
  <c r="BS16" i="4"/>
  <c r="BR16" i="4"/>
  <c r="BQ16" i="4"/>
  <c r="BP16" i="4"/>
  <c r="BO16" i="4"/>
  <c r="BN16" i="4"/>
  <c r="BM16" i="4"/>
  <c r="BL16" i="4"/>
  <c r="BK16" i="4"/>
  <c r="BJ16" i="4"/>
  <c r="BI16" i="4"/>
  <c r="BH16" i="4"/>
  <c r="BG16" i="4"/>
  <c r="BF16" i="4"/>
  <c r="BE16" i="4"/>
  <c r="BD16" i="4"/>
  <c r="BC16" i="4"/>
  <c r="BB16" i="4"/>
  <c r="BA16" i="4"/>
  <c r="AZ16" i="4"/>
  <c r="AY16" i="4"/>
  <c r="AX16" i="4"/>
  <c r="AW16" i="4"/>
  <c r="AV16" i="4"/>
  <c r="AU16" i="4"/>
  <c r="AT16" i="4"/>
  <c r="AS16" i="4"/>
  <c r="AR16" i="4"/>
  <c r="AQ16" i="4"/>
  <c r="AP16" i="4"/>
  <c r="AO16" i="4"/>
  <c r="AN16" i="4"/>
  <c r="AM16" i="4"/>
  <c r="AL16" i="4"/>
  <c r="AK16" i="4"/>
  <c r="AJ16" i="4"/>
  <c r="AI16" i="4"/>
  <c r="AH16" i="4"/>
  <c r="AG16" i="4"/>
  <c r="AF16" i="4"/>
  <c r="AE16" i="4"/>
  <c r="AD16" i="4"/>
  <c r="AC16" i="4"/>
  <c r="AB16" i="4"/>
  <c r="AA16" i="4"/>
  <c r="Z16" i="4"/>
  <c r="Y16" i="4"/>
  <c r="X16" i="4"/>
  <c r="W16" i="4"/>
  <c r="V16" i="4"/>
  <c r="U16" i="4"/>
  <c r="T16" i="4"/>
  <c r="S16" i="4"/>
  <c r="H4" i="4" s="1"/>
  <c r="R16" i="4"/>
  <c r="Q16" i="4"/>
  <c r="P16" i="4"/>
  <c r="O16" i="4"/>
  <c r="N16" i="4"/>
  <c r="M16" i="4"/>
  <c r="L16" i="4"/>
  <c r="K16" i="4"/>
  <c r="J16" i="4"/>
  <c r="I16" i="4"/>
  <c r="H16" i="4"/>
  <c r="FY15" i="4"/>
  <c r="FZ15" i="4" s="1"/>
  <c r="GA15" i="4" s="1"/>
  <c r="FX15" i="4"/>
  <c r="FW15" i="4"/>
  <c r="FV15" i="4"/>
  <c r="FU15" i="4"/>
  <c r="FT15" i="4"/>
  <c r="FS15" i="4"/>
  <c r="FR15" i="4"/>
  <c r="FQ15" i="4"/>
  <c r="FP15" i="4"/>
  <c r="FO15" i="4"/>
  <c r="FN15" i="4"/>
  <c r="FM15" i="4"/>
  <c r="FL15" i="4"/>
  <c r="FK15" i="4"/>
  <c r="FJ15" i="4"/>
  <c r="FI15" i="4"/>
  <c r="FH15" i="4"/>
  <c r="FG15" i="4"/>
  <c r="FF15" i="4"/>
  <c r="FE15" i="4"/>
  <c r="FD15" i="4"/>
  <c r="FC15" i="4"/>
  <c r="FB15" i="4"/>
  <c r="FA15" i="4"/>
  <c r="EZ15" i="4"/>
  <c r="EY15" i="4"/>
  <c r="EX15" i="4"/>
  <c r="EW15" i="4"/>
  <c r="EV15" i="4"/>
  <c r="EU15" i="4"/>
  <c r="ET15" i="4"/>
  <c r="ES15" i="4"/>
  <c r="ER15" i="4"/>
  <c r="EQ15" i="4"/>
  <c r="EP15" i="4"/>
  <c r="EO15" i="4"/>
  <c r="EN15" i="4"/>
  <c r="EM15" i="4"/>
  <c r="EL15" i="4"/>
  <c r="EK15" i="4"/>
  <c r="EJ15" i="4"/>
  <c r="EI15" i="4"/>
  <c r="EH15" i="4"/>
  <c r="EG15" i="4"/>
  <c r="EF15" i="4"/>
  <c r="EE15" i="4"/>
  <c r="ED15" i="4"/>
  <c r="EC15" i="4"/>
  <c r="EB15" i="4"/>
  <c r="EA15" i="4"/>
  <c r="DZ15" i="4"/>
  <c r="DY15" i="4"/>
  <c r="DX15" i="4"/>
  <c r="DW15" i="4"/>
  <c r="DV15" i="4"/>
  <c r="DU15" i="4"/>
  <c r="DT15" i="4"/>
  <c r="DS15" i="4"/>
  <c r="DR15" i="4"/>
  <c r="DQ15" i="4"/>
  <c r="DP15" i="4"/>
  <c r="DO15" i="4"/>
  <c r="DN15" i="4"/>
  <c r="DM15" i="4"/>
  <c r="DL15" i="4"/>
  <c r="DK15" i="4"/>
  <c r="DJ15" i="4"/>
  <c r="DI15" i="4"/>
  <c r="DH15" i="4"/>
  <c r="DG15" i="4"/>
  <c r="DF15" i="4"/>
  <c r="DE15" i="4"/>
  <c r="DD15" i="4"/>
  <c r="DC15" i="4"/>
  <c r="DB15" i="4"/>
  <c r="DA15" i="4"/>
  <c r="CZ15" i="4"/>
  <c r="CY15" i="4"/>
  <c r="CX15" i="4"/>
  <c r="CW15" i="4"/>
  <c r="CV15" i="4"/>
  <c r="CU15" i="4"/>
  <c r="CT15" i="4"/>
  <c r="CS15" i="4"/>
  <c r="CR15" i="4"/>
  <c r="CQ15" i="4"/>
  <c r="CP15" i="4"/>
  <c r="CO15" i="4"/>
  <c r="CN15" i="4"/>
  <c r="CM15" i="4"/>
  <c r="CL15" i="4"/>
  <c r="CK15" i="4"/>
  <c r="CJ15" i="4"/>
  <c r="CI15" i="4"/>
  <c r="CH15" i="4"/>
  <c r="CG15" i="4"/>
  <c r="CF15" i="4"/>
  <c r="CE15" i="4"/>
  <c r="CD15" i="4"/>
  <c r="CC15" i="4"/>
  <c r="CB15" i="4"/>
  <c r="CA15" i="4"/>
  <c r="BZ15" i="4"/>
  <c r="BY15" i="4"/>
  <c r="BX15" i="4"/>
  <c r="BW15" i="4"/>
  <c r="BV15" i="4"/>
  <c r="BU15" i="4"/>
  <c r="BT15" i="4"/>
  <c r="BS15" i="4"/>
  <c r="BR15" i="4"/>
  <c r="BQ15" i="4"/>
  <c r="BP15" i="4"/>
  <c r="BO15" i="4"/>
  <c r="BN15" i="4"/>
  <c r="BM15" i="4"/>
  <c r="BL15" i="4"/>
  <c r="BK15" i="4"/>
  <c r="BJ15" i="4"/>
  <c r="BI15" i="4"/>
  <c r="BH15" i="4"/>
  <c r="BG15" i="4"/>
  <c r="BF15" i="4"/>
  <c r="BE15" i="4"/>
  <c r="BD15" i="4"/>
  <c r="BC15" i="4"/>
  <c r="BB15" i="4"/>
  <c r="BA15" i="4"/>
  <c r="AZ15" i="4"/>
  <c r="AY15" i="4"/>
  <c r="AX15" i="4"/>
  <c r="AW15" i="4"/>
  <c r="AV15" i="4"/>
  <c r="AU15" i="4"/>
  <c r="AT15" i="4"/>
  <c r="AS15" i="4"/>
  <c r="AR15" i="4"/>
  <c r="AQ15" i="4"/>
  <c r="AP15" i="4"/>
  <c r="AO15" i="4"/>
  <c r="AN15" i="4"/>
  <c r="AM15" i="4"/>
  <c r="AL15" i="4"/>
  <c r="AK15" i="4"/>
  <c r="AJ15" i="4"/>
  <c r="AI15" i="4"/>
  <c r="AH15" i="4"/>
  <c r="AG15" i="4"/>
  <c r="AF15" i="4"/>
  <c r="AE15" i="4"/>
  <c r="AD15" i="4"/>
  <c r="AC15" i="4"/>
  <c r="AB15" i="4"/>
  <c r="AA15" i="4"/>
  <c r="Z15" i="4"/>
  <c r="Y15" i="4"/>
  <c r="X15" i="4"/>
  <c r="W15" i="4"/>
  <c r="V15" i="4"/>
  <c r="U15" i="4"/>
  <c r="T15" i="4"/>
  <c r="S15" i="4"/>
  <c r="R15" i="4"/>
  <c r="Q15" i="4"/>
  <c r="P15" i="4"/>
  <c r="O15" i="4"/>
  <c r="N15" i="4"/>
  <c r="M15" i="4"/>
  <c r="L15" i="4"/>
  <c r="K15" i="4"/>
  <c r="J15" i="4"/>
  <c r="I15" i="4"/>
  <c r="H15" i="4"/>
  <c r="FY14" i="4"/>
  <c r="FZ14" i="4" s="1"/>
  <c r="GA14" i="4" s="1"/>
  <c r="FX14" i="4"/>
  <c r="FW14" i="4"/>
  <c r="FV14" i="4"/>
  <c r="FU14" i="4"/>
  <c r="FT14" i="4"/>
  <c r="FS14" i="4"/>
  <c r="FR14" i="4"/>
  <c r="FQ14" i="4"/>
  <c r="FP14" i="4"/>
  <c r="FO14" i="4"/>
  <c r="FN14" i="4"/>
  <c r="FM14" i="4"/>
  <c r="FL14" i="4"/>
  <c r="FK14" i="4"/>
  <c r="FJ14" i="4"/>
  <c r="FI14" i="4"/>
  <c r="FH14" i="4"/>
  <c r="FG14" i="4"/>
  <c r="FF14" i="4"/>
  <c r="FE14" i="4"/>
  <c r="FD14" i="4"/>
  <c r="FC14" i="4"/>
  <c r="FB14" i="4"/>
  <c r="FA14" i="4"/>
  <c r="EZ14" i="4"/>
  <c r="EY14" i="4"/>
  <c r="EX14" i="4"/>
  <c r="EW14" i="4"/>
  <c r="EV14" i="4"/>
  <c r="EU14" i="4"/>
  <c r="ET14" i="4"/>
  <c r="ES14" i="4"/>
  <c r="ER14" i="4"/>
  <c r="EQ14" i="4"/>
  <c r="EP14" i="4"/>
  <c r="EO14" i="4"/>
  <c r="EN14" i="4"/>
  <c r="EM14" i="4"/>
  <c r="EL14" i="4"/>
  <c r="EK14" i="4"/>
  <c r="EJ14" i="4"/>
  <c r="EI14" i="4"/>
  <c r="EH14" i="4"/>
  <c r="EG14" i="4"/>
  <c r="EF14" i="4"/>
  <c r="EE14" i="4"/>
  <c r="ED14" i="4"/>
  <c r="EC14" i="4"/>
  <c r="EB14" i="4"/>
  <c r="EA14" i="4"/>
  <c r="DZ14" i="4"/>
  <c r="DY14" i="4"/>
  <c r="DX14" i="4"/>
  <c r="DW14" i="4"/>
  <c r="DV14" i="4"/>
  <c r="DU14" i="4"/>
  <c r="DT14" i="4"/>
  <c r="DS14" i="4"/>
  <c r="DR14" i="4"/>
  <c r="DQ14" i="4"/>
  <c r="DP14" i="4"/>
  <c r="DO14" i="4"/>
  <c r="DN14" i="4"/>
  <c r="DM14" i="4"/>
  <c r="DL14" i="4"/>
  <c r="DK14" i="4"/>
  <c r="DJ14" i="4"/>
  <c r="DI14" i="4"/>
  <c r="DH14" i="4"/>
  <c r="DG14" i="4"/>
  <c r="DF14" i="4"/>
  <c r="DE14" i="4"/>
  <c r="DD14" i="4"/>
  <c r="DC14" i="4"/>
  <c r="DB14" i="4"/>
  <c r="DA14" i="4"/>
  <c r="CZ14" i="4"/>
  <c r="CY14" i="4"/>
  <c r="CX14" i="4"/>
  <c r="CW14" i="4"/>
  <c r="CV14" i="4"/>
  <c r="CU14" i="4"/>
  <c r="CT14" i="4"/>
  <c r="CS14" i="4"/>
  <c r="CR14" i="4"/>
  <c r="CQ14" i="4"/>
  <c r="CP14" i="4"/>
  <c r="CO14" i="4"/>
  <c r="CN14" i="4"/>
  <c r="CM14" i="4"/>
  <c r="CL14" i="4"/>
  <c r="CK14" i="4"/>
  <c r="CJ14" i="4"/>
  <c r="CI14" i="4"/>
  <c r="CH14" i="4"/>
  <c r="CG14" i="4"/>
  <c r="CF14" i="4"/>
  <c r="CE14" i="4"/>
  <c r="CD14" i="4"/>
  <c r="CC14" i="4"/>
  <c r="CB14" i="4"/>
  <c r="CA14" i="4"/>
  <c r="BZ14" i="4"/>
  <c r="BY14" i="4"/>
  <c r="BX14" i="4"/>
  <c r="BW14" i="4"/>
  <c r="BV14" i="4"/>
  <c r="BU14" i="4"/>
  <c r="BT14" i="4"/>
  <c r="BS14" i="4"/>
  <c r="BR14" i="4"/>
  <c r="BQ14" i="4"/>
  <c r="BP14" i="4"/>
  <c r="BO14" i="4"/>
  <c r="BN14" i="4"/>
  <c r="BM14" i="4"/>
  <c r="BL14" i="4"/>
  <c r="BK14" i="4"/>
  <c r="BJ14" i="4"/>
  <c r="BI14" i="4"/>
  <c r="BH14" i="4"/>
  <c r="BG14" i="4"/>
  <c r="BF14" i="4"/>
  <c r="BE14" i="4"/>
  <c r="BD14" i="4"/>
  <c r="BC14" i="4"/>
  <c r="BB14" i="4"/>
  <c r="BA14" i="4"/>
  <c r="AZ14" i="4"/>
  <c r="AY14" i="4"/>
  <c r="AX14" i="4"/>
  <c r="AW14" i="4"/>
  <c r="AV14" i="4"/>
  <c r="AU14" i="4"/>
  <c r="AT14" i="4"/>
  <c r="AS14" i="4"/>
  <c r="AR14" i="4"/>
  <c r="AQ14" i="4"/>
  <c r="AP14" i="4"/>
  <c r="AO14" i="4"/>
  <c r="AN14" i="4"/>
  <c r="AM14" i="4"/>
  <c r="AL14" i="4"/>
  <c r="AK14" i="4"/>
  <c r="AJ14" i="4"/>
  <c r="AI14" i="4"/>
  <c r="AH14" i="4"/>
  <c r="AG14" i="4"/>
  <c r="AF14" i="4"/>
  <c r="AE14" i="4"/>
  <c r="AD14" i="4"/>
  <c r="AC14" i="4"/>
  <c r="AB14" i="4"/>
  <c r="AA14" i="4"/>
  <c r="Z14" i="4"/>
  <c r="Y14" i="4"/>
  <c r="X14" i="4"/>
  <c r="W14" i="4"/>
  <c r="V14" i="4"/>
  <c r="U14" i="4"/>
  <c r="T14" i="4"/>
  <c r="S14" i="4"/>
  <c r="R14" i="4"/>
  <c r="Q14" i="4"/>
  <c r="P14" i="4"/>
  <c r="O14" i="4"/>
  <c r="N14" i="4"/>
  <c r="M14" i="4"/>
  <c r="L14" i="4"/>
  <c r="K14" i="4"/>
  <c r="J14" i="4"/>
  <c r="I14" i="4"/>
  <c r="H14" i="4"/>
  <c r="FY13" i="4"/>
  <c r="FX13" i="4"/>
  <c r="FW13" i="4"/>
  <c r="FV13" i="4"/>
  <c r="FU13" i="4"/>
  <c r="FT13" i="4"/>
  <c r="FS13" i="4"/>
  <c r="FR13" i="4"/>
  <c r="FQ13" i="4"/>
  <c r="FP13" i="4"/>
  <c r="FO13" i="4"/>
  <c r="FN13" i="4"/>
  <c r="FM13" i="4"/>
  <c r="FL13" i="4"/>
  <c r="FK13" i="4"/>
  <c r="FJ13" i="4"/>
  <c r="FI13" i="4"/>
  <c r="FH13" i="4"/>
  <c r="FG13" i="4"/>
  <c r="FF13" i="4"/>
  <c r="FE13" i="4"/>
  <c r="FD13" i="4"/>
  <c r="FC13" i="4"/>
  <c r="FB13" i="4"/>
  <c r="FA13" i="4"/>
  <c r="EZ13" i="4"/>
  <c r="EY13" i="4"/>
  <c r="EX13" i="4"/>
  <c r="EW13" i="4"/>
  <c r="EV13" i="4"/>
  <c r="EU13" i="4"/>
  <c r="S3" i="4" s="1"/>
  <c r="ET13" i="4"/>
  <c r="ES13" i="4"/>
  <c r="ER13" i="4"/>
  <c r="EQ13" i="4"/>
  <c r="EP13" i="4"/>
  <c r="EO13" i="4"/>
  <c r="EN13" i="4"/>
  <c r="EM13" i="4"/>
  <c r="EL13" i="4"/>
  <c r="EK13" i="4"/>
  <c r="EJ13" i="4"/>
  <c r="EI13" i="4"/>
  <c r="EH13" i="4"/>
  <c r="EG13" i="4"/>
  <c r="EF13" i="4"/>
  <c r="EE13" i="4"/>
  <c r="ED13" i="4"/>
  <c r="EC13" i="4"/>
  <c r="EB13" i="4"/>
  <c r="EA13" i="4"/>
  <c r="DZ13" i="4"/>
  <c r="DY13" i="4"/>
  <c r="DX13" i="4"/>
  <c r="DW13" i="4"/>
  <c r="Q3" i="4" s="1"/>
  <c r="DV13" i="4"/>
  <c r="DU13" i="4"/>
  <c r="DT13" i="4"/>
  <c r="DS13" i="4"/>
  <c r="DR13" i="4"/>
  <c r="DQ13" i="4"/>
  <c r="DP13" i="4"/>
  <c r="DO13" i="4"/>
  <c r="DN13" i="4"/>
  <c r="DM13" i="4"/>
  <c r="DL13" i="4"/>
  <c r="DK13" i="4"/>
  <c r="DJ13" i="4"/>
  <c r="DI13" i="4"/>
  <c r="DH13" i="4"/>
  <c r="DG13" i="4"/>
  <c r="DF13" i="4"/>
  <c r="DE13" i="4"/>
  <c r="DD13" i="4"/>
  <c r="DC13" i="4"/>
  <c r="DB13" i="4"/>
  <c r="DA13" i="4"/>
  <c r="CZ13" i="4"/>
  <c r="CY13" i="4"/>
  <c r="CX13" i="4"/>
  <c r="CW13" i="4"/>
  <c r="CV13" i="4"/>
  <c r="CU13" i="4"/>
  <c r="CT13" i="4"/>
  <c r="CS13" i="4"/>
  <c r="CR13" i="4"/>
  <c r="CQ13" i="4"/>
  <c r="CP13" i="4"/>
  <c r="CO13" i="4"/>
  <c r="CN13" i="4"/>
  <c r="CM13" i="4"/>
  <c r="N6" i="4" s="1"/>
  <c r="CL13" i="4"/>
  <c r="CK13" i="4"/>
  <c r="CJ13" i="4"/>
  <c r="CI13" i="4"/>
  <c r="CH13" i="4"/>
  <c r="CG13" i="4"/>
  <c r="CF13" i="4"/>
  <c r="CE13" i="4"/>
  <c r="CD13" i="4"/>
  <c r="CC13" i="4"/>
  <c r="CB13" i="4"/>
  <c r="CA13" i="4"/>
  <c r="BZ13" i="4"/>
  <c r="BY13" i="4"/>
  <c r="BX13" i="4"/>
  <c r="BW13" i="4"/>
  <c r="BV13" i="4"/>
  <c r="BU13" i="4"/>
  <c r="BT13" i="4"/>
  <c r="BS13" i="4"/>
  <c r="BR13" i="4"/>
  <c r="BQ13" i="4"/>
  <c r="BP13" i="4"/>
  <c r="BO13" i="4"/>
  <c r="L3" i="4" s="1"/>
  <c r="BN13" i="4"/>
  <c r="BM13" i="4"/>
  <c r="BL13" i="4"/>
  <c r="BK13" i="4"/>
  <c r="BJ13" i="4"/>
  <c r="BI13" i="4"/>
  <c r="BH13" i="4"/>
  <c r="BG13" i="4"/>
  <c r="BF13" i="4"/>
  <c r="BE13" i="4"/>
  <c r="BD13" i="4"/>
  <c r="BC13" i="4"/>
  <c r="K6" i="4" s="1"/>
  <c r="BB13" i="4"/>
  <c r="BA13" i="4"/>
  <c r="AZ13" i="4"/>
  <c r="AY13" i="4"/>
  <c r="AX13" i="4"/>
  <c r="AW13" i="4"/>
  <c r="AV13" i="4"/>
  <c r="AU13" i="4"/>
  <c r="AT13" i="4"/>
  <c r="AS13" i="4"/>
  <c r="AR13" i="4"/>
  <c r="AQ13" i="4"/>
  <c r="AP13" i="4"/>
  <c r="AO13" i="4"/>
  <c r="AN13" i="4"/>
  <c r="AM13" i="4"/>
  <c r="AL13" i="4"/>
  <c r="AK13" i="4"/>
  <c r="AJ13" i="4"/>
  <c r="AI13" i="4"/>
  <c r="AH13" i="4"/>
  <c r="AG13" i="4"/>
  <c r="AF13" i="4"/>
  <c r="AE13" i="4"/>
  <c r="I3" i="4" s="1"/>
  <c r="AD13" i="4"/>
  <c r="AC13" i="4"/>
  <c r="AB13" i="4"/>
  <c r="AA13" i="4"/>
  <c r="Z13" i="4"/>
  <c r="Z12" i="4" s="1"/>
  <c r="Y13" i="4"/>
  <c r="Y12" i="4" s="1"/>
  <c r="X13" i="4"/>
  <c r="X12" i="4" s="1"/>
  <c r="W13" i="4"/>
  <c r="W12" i="4" s="1"/>
  <c r="V13" i="4"/>
  <c r="V12" i="4" s="1"/>
  <c r="U13" i="4"/>
  <c r="U12" i="4" s="1"/>
  <c r="T13" i="4"/>
  <c r="T12" i="4" s="1"/>
  <c r="S13" i="4"/>
  <c r="R13" i="4"/>
  <c r="Q13" i="4"/>
  <c r="P13" i="4"/>
  <c r="O13" i="4"/>
  <c r="N13" i="4"/>
  <c r="M13" i="4"/>
  <c r="L13" i="4"/>
  <c r="K13" i="4"/>
  <c r="J13" i="4"/>
  <c r="I13" i="4"/>
  <c r="H13" i="4"/>
  <c r="R3" i="4"/>
  <c r="P3" i="4"/>
  <c r="O3" i="4"/>
  <c r="M3" i="4"/>
  <c r="J3" i="4"/>
  <c r="S12" i="4"/>
  <c r="H3" i="4" s="1"/>
  <c r="R12" i="4"/>
  <c r="Q12" i="4"/>
  <c r="P12" i="4"/>
  <c r="O12" i="4"/>
  <c r="N12" i="4"/>
  <c r="M12" i="4"/>
  <c r="L12" i="4"/>
  <c r="K12" i="4"/>
  <c r="J12" i="4"/>
  <c r="I12" i="4"/>
  <c r="H12" i="4"/>
  <c r="FY11" i="4"/>
  <c r="FX11" i="4"/>
  <c r="FW11" i="4"/>
  <c r="FV11" i="4"/>
  <c r="FU11" i="4"/>
  <c r="FT11" i="4"/>
  <c r="FS11" i="4"/>
  <c r="FR11" i="4"/>
  <c r="FQ11" i="4"/>
  <c r="FP11" i="4"/>
  <c r="FO11" i="4"/>
  <c r="FN11" i="4"/>
  <c r="FM11" i="4"/>
  <c r="FL11" i="4"/>
  <c r="FK11" i="4"/>
  <c r="FJ11" i="4"/>
  <c r="FI11" i="4"/>
  <c r="FH11" i="4"/>
  <c r="FG11" i="4"/>
  <c r="FF11" i="4"/>
  <c r="FE11" i="4"/>
  <c r="FD11" i="4"/>
  <c r="FC11" i="4"/>
  <c r="FB11" i="4"/>
  <c r="FA11" i="4"/>
  <c r="EZ11" i="4"/>
  <c r="EY11" i="4"/>
  <c r="EX11" i="4"/>
  <c r="EW11" i="4"/>
  <c r="EV11" i="4"/>
  <c r="EU11" i="4"/>
  <c r="S2" i="4" s="1"/>
  <c r="ET11" i="4"/>
  <c r="ES11" i="4"/>
  <c r="ER11" i="4"/>
  <c r="EQ11" i="4"/>
  <c r="EP11" i="4"/>
  <c r="EO11" i="4"/>
  <c r="EN11" i="4"/>
  <c r="EM11" i="4"/>
  <c r="EL11" i="4"/>
  <c r="EK11" i="4"/>
  <c r="EJ11" i="4"/>
  <c r="EI11" i="4"/>
  <c r="EH11" i="4"/>
  <c r="EG11" i="4"/>
  <c r="EF11" i="4"/>
  <c r="EE11" i="4"/>
  <c r="ED11" i="4"/>
  <c r="EC11" i="4"/>
  <c r="EB11" i="4"/>
  <c r="EA11" i="4"/>
  <c r="DZ11" i="4"/>
  <c r="DY11" i="4"/>
  <c r="DX11" i="4"/>
  <c r="DW11" i="4"/>
  <c r="DV11" i="4"/>
  <c r="DU11" i="4"/>
  <c r="DT11" i="4"/>
  <c r="DS11" i="4"/>
  <c r="DT9" i="4" s="1"/>
  <c r="DW9" i="4" s="1"/>
  <c r="DR11" i="4"/>
  <c r="DQ11" i="4"/>
  <c r="DP11" i="4"/>
  <c r="DO11" i="4"/>
  <c r="DN11" i="4"/>
  <c r="DM11" i="4"/>
  <c r="DL11" i="4"/>
  <c r="DK11" i="4"/>
  <c r="P2" i="4" s="1"/>
  <c r="DJ11" i="4"/>
  <c r="DI11" i="4"/>
  <c r="DH11" i="4"/>
  <c r="DG11" i="4"/>
  <c r="DF11" i="4"/>
  <c r="DE11" i="4"/>
  <c r="DD11" i="4"/>
  <c r="DC11" i="4"/>
  <c r="DB11" i="4"/>
  <c r="DA11" i="4"/>
  <c r="CZ11" i="4"/>
  <c r="CY11" i="4"/>
  <c r="CX11" i="4"/>
  <c r="CW11" i="4"/>
  <c r="CV11" i="4"/>
  <c r="CU11" i="4"/>
  <c r="CT11" i="4"/>
  <c r="CS11" i="4"/>
  <c r="CR11" i="4"/>
  <c r="CQ11" i="4"/>
  <c r="CP11" i="4"/>
  <c r="CO11" i="4"/>
  <c r="CN11" i="4"/>
  <c r="CM11" i="4"/>
  <c r="N2" i="4" s="1"/>
  <c r="CL11" i="4"/>
  <c r="CK11" i="4"/>
  <c r="CJ11" i="4"/>
  <c r="CI11" i="4"/>
  <c r="CH11" i="4"/>
  <c r="CG11" i="4"/>
  <c r="CF11" i="4"/>
  <c r="CE11" i="4"/>
  <c r="CD11" i="4"/>
  <c r="CC11" i="4"/>
  <c r="CB11" i="4"/>
  <c r="CA11" i="4"/>
  <c r="BZ11" i="4"/>
  <c r="BY11" i="4"/>
  <c r="BX11" i="4"/>
  <c r="BW11" i="4"/>
  <c r="BV11" i="4"/>
  <c r="BU11" i="4"/>
  <c r="BT11" i="4"/>
  <c r="BS11" i="4"/>
  <c r="BR11" i="4"/>
  <c r="BQ11" i="4"/>
  <c r="BP11" i="4"/>
  <c r="BO11" i="4"/>
  <c r="L2" i="4" s="1"/>
  <c r="BN11" i="4"/>
  <c r="BM11" i="4"/>
  <c r="BL11" i="4"/>
  <c r="BK11" i="4"/>
  <c r="BJ11" i="4"/>
  <c r="BI11" i="4"/>
  <c r="BH11" i="4"/>
  <c r="BG11" i="4"/>
  <c r="BF11" i="4"/>
  <c r="BE11" i="4"/>
  <c r="BD11" i="4"/>
  <c r="BC11" i="4"/>
  <c r="K2" i="4" s="1"/>
  <c r="BB11" i="4"/>
  <c r="BA11" i="4"/>
  <c r="AZ11" i="4"/>
  <c r="AY11" i="4"/>
  <c r="AX11" i="4"/>
  <c r="AW11" i="4"/>
  <c r="AV11" i="4"/>
  <c r="AU11" i="4"/>
  <c r="AT11" i="4"/>
  <c r="AS11" i="4"/>
  <c r="AR11" i="4"/>
  <c r="AQ11" i="4"/>
  <c r="AP11" i="4"/>
  <c r="AO11" i="4"/>
  <c r="AN11" i="4"/>
  <c r="AM11" i="4"/>
  <c r="AL11" i="4"/>
  <c r="AK11" i="4"/>
  <c r="AJ11" i="4"/>
  <c r="AI11" i="4"/>
  <c r="AH11" i="4"/>
  <c r="AG11" i="4"/>
  <c r="AF11" i="4"/>
  <c r="AE11" i="4"/>
  <c r="AD11" i="4"/>
  <c r="AC11" i="4"/>
  <c r="AB11" i="4"/>
  <c r="AA11" i="4"/>
  <c r="Z11" i="4"/>
  <c r="Y11" i="4"/>
  <c r="X11" i="4"/>
  <c r="W11" i="4"/>
  <c r="V11" i="4"/>
  <c r="U11" i="4"/>
  <c r="T11" i="4"/>
  <c r="S11" i="4"/>
  <c r="H2" i="4" s="1"/>
  <c r="R11" i="4"/>
  <c r="Q11" i="4"/>
  <c r="P11" i="4"/>
  <c r="O11" i="4"/>
  <c r="N11" i="4"/>
  <c r="M11" i="4"/>
  <c r="L11" i="4"/>
  <c r="K11" i="4"/>
  <c r="J11" i="4"/>
  <c r="I11" i="4"/>
  <c r="H11" i="4"/>
  <c r="P6" i="4"/>
  <c r="O6" i="4"/>
  <c r="M6" i="4"/>
  <c r="L6" i="4"/>
  <c r="J6" i="4"/>
  <c r="H6" i="4"/>
  <c r="S4" i="4"/>
  <c r="Q4" i="4"/>
  <c r="P4" i="4"/>
  <c r="N4" i="4"/>
  <c r="M4" i="4"/>
  <c r="L4" i="4"/>
  <c r="K4" i="4"/>
  <c r="J4" i="4"/>
  <c r="I4" i="4"/>
  <c r="R2" i="4"/>
  <c r="Q2" i="4"/>
  <c r="O2" i="4"/>
  <c r="M2" i="4"/>
  <c r="J2" i="4"/>
  <c r="I2" i="4"/>
  <c r="O131" i="5" l="1"/>
  <c r="M48" i="5"/>
  <c r="E41" i="5"/>
  <c r="M43" i="5"/>
  <c r="M42" i="5"/>
  <c r="M41" i="5"/>
  <c r="E38" i="5"/>
  <c r="M46" i="5"/>
  <c r="M45" i="5"/>
  <c r="E40" i="5"/>
  <c r="E39" i="5"/>
  <c r="M40" i="5"/>
  <c r="E37" i="5"/>
  <c r="M39" i="5"/>
  <c r="E36" i="5"/>
  <c r="M102" i="5"/>
  <c r="M38" i="5"/>
  <c r="E35" i="5"/>
  <c r="M47" i="5"/>
  <c r="E42" i="5"/>
  <c r="M44" i="5"/>
  <c r="M101" i="5"/>
  <c r="M37" i="5"/>
  <c r="E34" i="5"/>
  <c r="M36" i="5"/>
  <c r="E33" i="5"/>
  <c r="M35" i="5"/>
  <c r="E32" i="5"/>
  <c r="M93" i="5"/>
  <c r="M28" i="5"/>
  <c r="M123" i="5"/>
  <c r="M27" i="5"/>
  <c r="M90" i="5"/>
  <c r="M26" i="5"/>
  <c r="M89" i="5"/>
  <c r="E22" i="5"/>
  <c r="M120" i="5"/>
  <c r="M56" i="5"/>
  <c r="M24" i="5"/>
  <c r="E21" i="5"/>
  <c r="E25" i="5"/>
  <c r="M122" i="5"/>
  <c r="M119" i="5"/>
  <c r="M87" i="5"/>
  <c r="M23" i="5"/>
  <c r="E20" i="5"/>
  <c r="M92" i="5"/>
  <c r="M86" i="5"/>
  <c r="M54" i="5"/>
  <c r="E19" i="5"/>
  <c r="M94" i="5"/>
  <c r="M53" i="5"/>
  <c r="M116" i="5"/>
  <c r="M84" i="5"/>
  <c r="M20" i="5"/>
  <c r="M49" i="5"/>
  <c r="M83" i="5"/>
  <c r="M51" i="5"/>
  <c r="AP35" i="4"/>
  <c r="BV35" i="4"/>
  <c r="CT35" i="4"/>
  <c r="AH35" i="4"/>
  <c r="DB35" i="4"/>
  <c r="BX35" i="4"/>
  <c r="AO35" i="4"/>
  <c r="BW35" i="4"/>
  <c r="AR35" i="4"/>
  <c r="AS35" i="4"/>
  <c r="BY35" i="4"/>
  <c r="I6" i="4"/>
  <c r="AG33" i="4"/>
  <c r="AG35" i="4" s="1"/>
  <c r="BM33" i="4"/>
  <c r="BM35" i="4" s="1"/>
  <c r="CS33" i="4"/>
  <c r="CS35" i="4" s="1"/>
  <c r="BN33" i="4"/>
  <c r="BN35" i="4" s="1"/>
  <c r="J33" i="4"/>
  <c r="J35" i="4" s="1"/>
  <c r="AP33" i="4"/>
  <c r="BV33" i="4"/>
  <c r="DB33" i="4"/>
  <c r="AJ35" i="4"/>
  <c r="BP35" i="4"/>
  <c r="CV35" i="4"/>
  <c r="AH33" i="4"/>
  <c r="BQ33" i="4"/>
  <c r="BQ35" i="4" s="1"/>
  <c r="CW35" i="4"/>
  <c r="CZ33" i="4"/>
  <c r="CZ35" i="4" s="1"/>
  <c r="BO35" i="4"/>
  <c r="L33" i="4"/>
  <c r="L35" i="4" s="1"/>
  <c r="AR33" i="4"/>
  <c r="BX33" i="4"/>
  <c r="DD33" i="4"/>
  <c r="DD35" i="4" s="1"/>
  <c r="AL35" i="4"/>
  <c r="BR35" i="4"/>
  <c r="CX35" i="4"/>
  <c r="BW33" i="4"/>
  <c r="M33" i="4"/>
  <c r="M35" i="4" s="1"/>
  <c r="AS33" i="4"/>
  <c r="BY33" i="4"/>
  <c r="DE33" i="4"/>
  <c r="DE35" i="4" s="1"/>
  <c r="AM35" i="4"/>
  <c r="BS35" i="4"/>
  <c r="CY35" i="4"/>
  <c r="DA33" i="4"/>
  <c r="DA35" i="4" s="1"/>
  <c r="K33" i="4"/>
  <c r="K35" i="4" s="1"/>
  <c r="AQ33" i="4"/>
  <c r="AQ35" i="4" s="1"/>
  <c r="DC33" i="4"/>
  <c r="DC35" i="4" s="1"/>
  <c r="AK35" i="4"/>
  <c r="H35" i="4"/>
  <c r="AN35" i="4"/>
  <c r="BT35" i="4"/>
  <c r="FZ13" i="4"/>
  <c r="CT33" i="4"/>
  <c r="AO33" i="4"/>
  <c r="CU35" i="4"/>
  <c r="I35" i="4"/>
  <c r="BU35" i="4"/>
  <c r="N3" i="4"/>
  <c r="K3" i="4"/>
  <c r="AI35" i="4"/>
  <c r="GA13" i="4" l="1"/>
  <c r="AO70" i="3" l="1"/>
  <c r="AP65" i="3"/>
  <c r="BF57" i="3"/>
  <c r="BE57" i="3"/>
  <c r="BD57" i="3"/>
  <c r="BC57" i="3"/>
  <c r="BB57" i="3"/>
  <c r="BA57" i="3"/>
  <c r="AZ57" i="3"/>
  <c r="AY57" i="3"/>
  <c r="AX57" i="3"/>
  <c r="AW57" i="3"/>
  <c r="AV57" i="3"/>
  <c r="AU57" i="3"/>
  <c r="AT57" i="3"/>
  <c r="AS57" i="3"/>
  <c r="Z57" i="3"/>
  <c r="Y57" i="3"/>
  <c r="X57" i="3"/>
  <c r="W57" i="3"/>
  <c r="V57" i="3"/>
  <c r="U57" i="3"/>
  <c r="T57" i="3"/>
  <c r="S57" i="3"/>
  <c r="R57" i="3"/>
  <c r="Q57" i="3"/>
  <c r="P57" i="3"/>
  <c r="O57" i="3"/>
  <c r="N57" i="3"/>
  <c r="M57" i="3"/>
  <c r="BD56" i="3"/>
  <c r="BC56" i="3"/>
  <c r="BB56" i="3"/>
  <c r="BA56" i="3"/>
  <c r="AZ56" i="3"/>
  <c r="AY56" i="3"/>
  <c r="AX56" i="3"/>
  <c r="AW56" i="3"/>
  <c r="AV56" i="3"/>
  <c r="AU56" i="3"/>
  <c r="AT56" i="3"/>
  <c r="AS56" i="3"/>
  <c r="AE56" i="3"/>
  <c r="AD56" i="3"/>
  <c r="AC56" i="3"/>
  <c r="T56" i="3"/>
  <c r="S56" i="3"/>
  <c r="R56" i="3"/>
  <c r="BI55" i="3"/>
  <c r="BH55" i="3"/>
  <c r="BG55" i="3"/>
  <c r="BF55" i="3"/>
  <c r="BE55" i="3"/>
  <c r="BD55" i="3"/>
  <c r="BC55" i="3"/>
  <c r="AC55" i="3"/>
  <c r="AB55" i="3"/>
  <c r="AA55" i="3"/>
  <c r="Z55" i="3"/>
  <c r="Y55" i="3"/>
  <c r="X55" i="3"/>
  <c r="W55" i="3"/>
  <c r="V55" i="3"/>
  <c r="U55" i="3"/>
  <c r="T55" i="3"/>
  <c r="S55" i="3"/>
  <c r="BF54" i="3"/>
  <c r="BE54" i="3"/>
  <c r="BD54" i="3"/>
  <c r="BC54" i="3"/>
  <c r="BB54" i="3"/>
  <c r="AZ54" i="3"/>
  <c r="AY54" i="3"/>
  <c r="AX54" i="3"/>
  <c r="AW54" i="3"/>
  <c r="AV54" i="3"/>
  <c r="AU54" i="3"/>
  <c r="AT54" i="3"/>
  <c r="AS54" i="3"/>
  <c r="U54" i="3"/>
  <c r="T54" i="3"/>
  <c r="S54" i="3"/>
  <c r="R54" i="3"/>
  <c r="Q54" i="3"/>
  <c r="P54" i="3"/>
  <c r="O54" i="3"/>
  <c r="N54" i="3"/>
  <c r="M54" i="3"/>
  <c r="AX53" i="3"/>
  <c r="AW53" i="3"/>
  <c r="AV53" i="3"/>
  <c r="AU53" i="3"/>
  <c r="AT53" i="3"/>
  <c r="AS53" i="3"/>
  <c r="AR53" i="3"/>
  <c r="AQ53" i="3"/>
  <c r="AP53" i="3"/>
  <c r="AO53" i="3"/>
  <c r="AK53" i="3"/>
  <c r="R53" i="3"/>
  <c r="BQ52" i="3"/>
  <c r="BP52" i="3"/>
  <c r="BO52" i="3"/>
  <c r="AK52" i="3"/>
  <c r="AJ52" i="3"/>
  <c r="AI52" i="3"/>
  <c r="W52" i="3"/>
  <c r="V52" i="3"/>
  <c r="BA51" i="3"/>
  <c r="AZ51" i="3"/>
  <c r="AY51" i="3"/>
  <c r="AX51" i="3"/>
  <c r="AW51" i="3"/>
  <c r="AV51" i="3"/>
  <c r="AU51" i="3"/>
  <c r="U51" i="3"/>
  <c r="T51" i="3"/>
  <c r="S51" i="3"/>
  <c r="R51" i="3"/>
  <c r="Q51" i="3"/>
  <c r="P51" i="3"/>
  <c r="O51" i="3"/>
  <c r="N51" i="3"/>
  <c r="M51" i="3"/>
  <c r="AW48" i="3"/>
  <c r="AV48" i="3"/>
  <c r="AU48" i="3"/>
  <c r="AT48" i="3"/>
  <c r="AS48" i="3"/>
  <c r="AK48" i="3"/>
  <c r="M48" i="3"/>
  <c r="BQ47" i="3"/>
  <c r="BP47" i="3"/>
  <c r="BO47" i="3"/>
  <c r="BN47" i="3"/>
  <c r="BM47" i="3"/>
  <c r="BL47" i="3"/>
  <c r="BK47" i="3"/>
  <c r="AK47" i="3"/>
  <c r="AJ47" i="3"/>
  <c r="AI47" i="3"/>
  <c r="AH47" i="3"/>
  <c r="AG47" i="3"/>
  <c r="AF47" i="3"/>
  <c r="AE47" i="3"/>
  <c r="AD47" i="3"/>
  <c r="AC47" i="3"/>
  <c r="Y47" i="3"/>
  <c r="BJ46" i="3"/>
  <c r="BI46" i="3"/>
  <c r="BH46" i="3"/>
  <c r="BG46" i="3"/>
  <c r="BC46" i="3"/>
  <c r="AG46" i="3"/>
  <c r="AF46" i="3"/>
  <c r="AE46" i="3"/>
  <c r="AD46" i="3"/>
  <c r="AC46" i="3"/>
  <c r="AB46" i="3"/>
  <c r="AA46" i="3"/>
  <c r="W46" i="3"/>
  <c r="BJ45" i="3"/>
  <c r="BI45" i="3"/>
  <c r="BH45" i="3"/>
  <c r="BG45" i="3"/>
  <c r="BF45" i="3"/>
  <c r="BE45" i="3"/>
  <c r="BA45" i="3"/>
  <c r="AS45" i="3"/>
  <c r="AD45" i="3"/>
  <c r="AC45" i="3"/>
  <c r="AB45" i="3"/>
  <c r="AA45" i="3"/>
  <c r="Z45" i="3"/>
  <c r="Y45" i="3"/>
  <c r="U45" i="3"/>
  <c r="M45" i="3"/>
  <c r="BV44" i="3"/>
  <c r="BU44" i="3"/>
  <c r="BT44" i="3"/>
  <c r="BS44" i="3"/>
  <c r="BJ44" i="3"/>
  <c r="BI44" i="3"/>
  <c r="BH44" i="3"/>
  <c r="BG44" i="3"/>
  <c r="BF44" i="3"/>
  <c r="BE44" i="3"/>
  <c r="BD44" i="3"/>
  <c r="BC44" i="3"/>
  <c r="AK44" i="3"/>
  <c r="AJ44" i="3"/>
  <c r="Z44" i="3"/>
  <c r="Y44" i="3"/>
  <c r="X44" i="3"/>
  <c r="BV40" i="3"/>
  <c r="BV47" i="3" s="1"/>
  <c r="BU40" i="3"/>
  <c r="BT40" i="3"/>
  <c r="BT47" i="3" s="1"/>
  <c r="BS40" i="3"/>
  <c r="BS47" i="3" s="1"/>
  <c r="BR40" i="3"/>
  <c r="BR52" i="3" s="1"/>
  <c r="BQ40" i="3"/>
  <c r="BP40" i="3"/>
  <c r="BO40" i="3"/>
  <c r="BN40" i="3"/>
  <c r="BM40" i="3"/>
  <c r="BL40" i="3"/>
  <c r="BK40" i="3"/>
  <c r="BK46" i="3" s="1"/>
  <c r="BJ40" i="3"/>
  <c r="BJ47" i="3" s="1"/>
  <c r="BI40" i="3"/>
  <c r="BH40" i="3"/>
  <c r="BG40" i="3"/>
  <c r="BF40" i="3"/>
  <c r="BE40" i="3"/>
  <c r="BD40" i="3"/>
  <c r="BC40" i="3"/>
  <c r="BB40" i="3"/>
  <c r="BA40" i="3"/>
  <c r="AZ40" i="3"/>
  <c r="AY40" i="3"/>
  <c r="AX40" i="3"/>
  <c r="AW40" i="3"/>
  <c r="AV40" i="3"/>
  <c r="AV52" i="3" s="1"/>
  <c r="AU40" i="3"/>
  <c r="AU52" i="3" s="1"/>
  <c r="AT40" i="3"/>
  <c r="AT52" i="3" s="1"/>
  <c r="AS40" i="3"/>
  <c r="AS55" i="3" s="1"/>
  <c r="AR40" i="3"/>
  <c r="AR56" i="3" s="1"/>
  <c r="AQ40" i="3"/>
  <c r="AQ48" i="3" s="1"/>
  <c r="AP40" i="3"/>
  <c r="AO40" i="3"/>
  <c r="AO48" i="3" s="1"/>
  <c r="AN40" i="3"/>
  <c r="AN48" i="3" s="1"/>
  <c r="AM40" i="3"/>
  <c r="AM44" i="3" s="1"/>
  <c r="AL40" i="3"/>
  <c r="AK40" i="3"/>
  <c r="AJ40" i="3"/>
  <c r="AI40" i="3"/>
  <c r="AH40" i="3"/>
  <c r="AG40" i="3"/>
  <c r="AF40" i="3"/>
  <c r="AE40" i="3"/>
  <c r="AE45" i="3" s="1"/>
  <c r="AD40" i="3"/>
  <c r="AC40" i="3"/>
  <c r="AB40" i="3"/>
  <c r="AA40" i="3"/>
  <c r="Z40" i="3"/>
  <c r="Y40" i="3"/>
  <c r="X40" i="3"/>
  <c r="W40" i="3"/>
  <c r="W56" i="3" s="1"/>
  <c r="V40" i="3"/>
  <c r="V56" i="3" s="1"/>
  <c r="U40" i="3"/>
  <c r="U56" i="3" s="1"/>
  <c r="T40" i="3"/>
  <c r="S40" i="3"/>
  <c r="R40" i="3"/>
  <c r="Q40" i="3"/>
  <c r="Q56" i="3" s="1"/>
  <c r="P40" i="3"/>
  <c r="P56" i="3" s="1"/>
  <c r="O40" i="3"/>
  <c r="O56" i="3" s="1"/>
  <c r="N40" i="3"/>
  <c r="N56" i="3" s="1"/>
  <c r="M40" i="3"/>
  <c r="M53" i="3" s="1"/>
  <c r="BV38" i="3"/>
  <c r="BU38" i="3"/>
  <c r="BT38" i="3"/>
  <c r="BS38" i="3"/>
  <c r="BR38" i="3"/>
  <c r="BQ38" i="3"/>
  <c r="BP38" i="3"/>
  <c r="BO38" i="3"/>
  <c r="BN38" i="3"/>
  <c r="BM38" i="3"/>
  <c r="BL38" i="3"/>
  <c r="BK38" i="3"/>
  <c r="BJ38" i="3"/>
  <c r="BI38" i="3"/>
  <c r="BH38" i="3"/>
  <c r="BG38" i="3"/>
  <c r="BF38" i="3"/>
  <c r="BE38" i="3"/>
  <c r="BD38" i="3"/>
  <c r="BC38" i="3"/>
  <c r="BB38" i="3"/>
  <c r="BA38" i="3"/>
  <c r="AZ38" i="3"/>
  <c r="AY38" i="3"/>
  <c r="AX38" i="3"/>
  <c r="AW38" i="3"/>
  <c r="AV38" i="3"/>
  <c r="AU38" i="3"/>
  <c r="AT38" i="3"/>
  <c r="AS38" i="3"/>
  <c r="AR38" i="3"/>
  <c r="AQ38" i="3"/>
  <c r="AP38" i="3"/>
  <c r="AO38" i="3"/>
  <c r="AN38" i="3"/>
  <c r="AM38" i="3"/>
  <c r="AL38" i="3"/>
  <c r="AK38" i="3"/>
  <c r="AJ38" i="3"/>
  <c r="AI38" i="3"/>
  <c r="AH38" i="3"/>
  <c r="AG38" i="3"/>
  <c r="AF38" i="3"/>
  <c r="AE38" i="3"/>
  <c r="AD38" i="3"/>
  <c r="AC38" i="3"/>
  <c r="AB38" i="3"/>
  <c r="AA38" i="3"/>
  <c r="Z38" i="3"/>
  <c r="Y38" i="3"/>
  <c r="X38" i="3"/>
  <c r="W38" i="3"/>
  <c r="V38" i="3"/>
  <c r="U38" i="3"/>
  <c r="T38" i="3"/>
  <c r="S38" i="3"/>
  <c r="R38" i="3"/>
  <c r="Q38" i="3"/>
  <c r="P38" i="3"/>
  <c r="O38" i="3"/>
  <c r="N38" i="3"/>
  <c r="M38" i="3"/>
  <c r="BV36" i="3"/>
  <c r="BU36" i="3"/>
  <c r="BT36" i="3"/>
  <c r="BS36" i="3"/>
  <c r="BR36" i="3"/>
  <c r="BQ36" i="3"/>
  <c r="BQ57" i="3" s="1"/>
  <c r="BP36" i="3"/>
  <c r="BP57" i="3" s="1"/>
  <c r="BO36" i="3"/>
  <c r="BO57" i="3" s="1"/>
  <c r="BN36" i="3"/>
  <c r="BN57" i="3" s="1"/>
  <c r="BM36" i="3"/>
  <c r="BL36" i="3"/>
  <c r="BK36" i="3"/>
  <c r="BJ36" i="3"/>
  <c r="BJ57" i="3" s="1"/>
  <c r="BI36" i="3"/>
  <c r="BI57" i="3" s="1"/>
  <c r="BH36" i="3"/>
  <c r="BH57" i="3" s="1"/>
  <c r="BG36" i="3"/>
  <c r="BG57" i="3" s="1"/>
  <c r="BF36" i="3"/>
  <c r="BE36" i="3"/>
  <c r="BD36" i="3"/>
  <c r="BC36" i="3"/>
  <c r="BB36" i="3"/>
  <c r="BA36" i="3"/>
  <c r="AZ36" i="3"/>
  <c r="AY36" i="3"/>
  <c r="AX36" i="3"/>
  <c r="AW36" i="3"/>
  <c r="AV36" i="3"/>
  <c r="AU36" i="3"/>
  <c r="AT36" i="3"/>
  <c r="AS36" i="3"/>
  <c r="AR36" i="3"/>
  <c r="AQ36" i="3"/>
  <c r="AP36" i="3"/>
  <c r="AO36" i="3"/>
  <c r="AN36" i="3"/>
  <c r="AN57" i="3" s="1"/>
  <c r="AM36" i="3"/>
  <c r="AM57" i="3" s="1"/>
  <c r="AL36" i="3"/>
  <c r="AK36" i="3"/>
  <c r="AK57" i="3" s="1"/>
  <c r="AJ36" i="3"/>
  <c r="AJ57" i="3" s="1"/>
  <c r="AI36" i="3"/>
  <c r="AI57" i="3" s="1"/>
  <c r="AH36" i="3"/>
  <c r="AH57" i="3" s="1"/>
  <c r="AG36" i="3"/>
  <c r="AF36" i="3"/>
  <c r="AE36" i="3"/>
  <c r="AD36" i="3"/>
  <c r="AD57" i="3" s="1"/>
  <c r="AC36" i="3"/>
  <c r="AC57" i="3" s="1"/>
  <c r="AB36" i="3"/>
  <c r="AB57" i="3" s="1"/>
  <c r="AA36" i="3"/>
  <c r="AA57" i="3" s="1"/>
  <c r="Z36" i="3"/>
  <c r="Y36" i="3"/>
  <c r="X36" i="3"/>
  <c r="W36" i="3"/>
  <c r="V36" i="3"/>
  <c r="U36" i="3"/>
  <c r="T36" i="3"/>
  <c r="S36" i="3"/>
  <c r="R36" i="3"/>
  <c r="Q36" i="3"/>
  <c r="P36" i="3"/>
  <c r="O36" i="3"/>
  <c r="N36" i="3"/>
  <c r="M36" i="3"/>
  <c r="BV35" i="3"/>
  <c r="BU35" i="3"/>
  <c r="BT35" i="3"/>
  <c r="BS35" i="3"/>
  <c r="BR35" i="3"/>
  <c r="BR56" i="3" s="1"/>
  <c r="BQ35" i="3"/>
  <c r="BQ56" i="3" s="1"/>
  <c r="BP35" i="3"/>
  <c r="BP56" i="3" s="1"/>
  <c r="BO35" i="3"/>
  <c r="BO56" i="3" s="1"/>
  <c r="BN35" i="3"/>
  <c r="BN56" i="3" s="1"/>
  <c r="BM35" i="3"/>
  <c r="BM56" i="3" s="1"/>
  <c r="BL35" i="3"/>
  <c r="BL56" i="3" s="1"/>
  <c r="BK35" i="3"/>
  <c r="BJ35" i="3"/>
  <c r="BJ56" i="3" s="1"/>
  <c r="BI35" i="3"/>
  <c r="BI56" i="3" s="1"/>
  <c r="BH35" i="3"/>
  <c r="BH56" i="3" s="1"/>
  <c r="BG35" i="3"/>
  <c r="BG56" i="3" s="1"/>
  <c r="BF35" i="3"/>
  <c r="BF56" i="3" s="1"/>
  <c r="BE35" i="3"/>
  <c r="BE56" i="3" s="1"/>
  <c r="BD35" i="3"/>
  <c r="BC35" i="3"/>
  <c r="BB35" i="3"/>
  <c r="BA35" i="3"/>
  <c r="AZ35" i="3"/>
  <c r="AY35" i="3"/>
  <c r="AX35" i="3"/>
  <c r="AW35" i="3"/>
  <c r="AV35" i="3"/>
  <c r="AU35" i="3"/>
  <c r="AT35" i="3"/>
  <c r="AS35" i="3"/>
  <c r="AR35" i="3"/>
  <c r="AQ35" i="3"/>
  <c r="AP35" i="3"/>
  <c r="AO35" i="3"/>
  <c r="AN35" i="3"/>
  <c r="AM35" i="3"/>
  <c r="AL35" i="3"/>
  <c r="AL56" i="3" s="1"/>
  <c r="AK35" i="3"/>
  <c r="AK56" i="3" s="1"/>
  <c r="AJ35" i="3"/>
  <c r="AJ56" i="3" s="1"/>
  <c r="AI35" i="3"/>
  <c r="AI56" i="3" s="1"/>
  <c r="AH35" i="3"/>
  <c r="AH56" i="3" s="1"/>
  <c r="AG35" i="3"/>
  <c r="AG56" i="3" s="1"/>
  <c r="AF35" i="3"/>
  <c r="AF56" i="3" s="1"/>
  <c r="AE35" i="3"/>
  <c r="AD35" i="3"/>
  <c r="AC35" i="3"/>
  <c r="AB35" i="3"/>
  <c r="AB56" i="3" s="1"/>
  <c r="AA35" i="3"/>
  <c r="AA56" i="3" s="1"/>
  <c r="Z35" i="3"/>
  <c r="Z56" i="3" s="1"/>
  <c r="Y35" i="3"/>
  <c r="Y56" i="3" s="1"/>
  <c r="X35" i="3"/>
  <c r="X56" i="3" s="1"/>
  <c r="W35" i="3"/>
  <c r="V35" i="3"/>
  <c r="U35" i="3"/>
  <c r="T35" i="3"/>
  <c r="S35" i="3"/>
  <c r="R35" i="3"/>
  <c r="Q35" i="3"/>
  <c r="P35" i="3"/>
  <c r="O35" i="3"/>
  <c r="N35" i="3"/>
  <c r="M35" i="3"/>
  <c r="BV34" i="3"/>
  <c r="BU34" i="3"/>
  <c r="BT34" i="3"/>
  <c r="BS34" i="3"/>
  <c r="BR34" i="3"/>
  <c r="BQ34" i="3"/>
  <c r="BP34" i="3"/>
  <c r="BP55" i="3" s="1"/>
  <c r="BO34" i="3"/>
  <c r="BO55" i="3" s="1"/>
  <c r="BN34" i="3"/>
  <c r="BN55" i="3" s="1"/>
  <c r="BM34" i="3"/>
  <c r="BM55" i="3" s="1"/>
  <c r="BL34" i="3"/>
  <c r="BL55" i="3" s="1"/>
  <c r="BK34" i="3"/>
  <c r="BK55" i="3" s="1"/>
  <c r="BJ34" i="3"/>
  <c r="BJ55" i="3" s="1"/>
  <c r="BI34" i="3"/>
  <c r="BH34" i="3"/>
  <c r="BG34" i="3"/>
  <c r="BF34" i="3"/>
  <c r="BE34" i="3"/>
  <c r="BD34" i="3"/>
  <c r="BC34" i="3"/>
  <c r="BB34" i="3"/>
  <c r="BB55" i="3" s="1"/>
  <c r="BA34" i="3"/>
  <c r="BA55" i="3" s="1"/>
  <c r="AZ34" i="3"/>
  <c r="AZ55" i="3" s="1"/>
  <c r="AY34" i="3"/>
  <c r="AY55" i="3" s="1"/>
  <c r="AX34" i="3"/>
  <c r="AX55" i="3" s="1"/>
  <c r="AW34" i="3"/>
  <c r="AW55" i="3" s="1"/>
  <c r="AV34" i="3"/>
  <c r="AV55" i="3" s="1"/>
  <c r="AU34" i="3"/>
  <c r="AU55" i="3" s="1"/>
  <c r="AT34" i="3"/>
  <c r="AT55" i="3" s="1"/>
  <c r="AS34" i="3"/>
  <c r="AR34" i="3"/>
  <c r="AQ34" i="3"/>
  <c r="AP34" i="3"/>
  <c r="AO34" i="3"/>
  <c r="AN34" i="3"/>
  <c r="AM34" i="3"/>
  <c r="AL34" i="3"/>
  <c r="AK34" i="3"/>
  <c r="AJ34" i="3"/>
  <c r="AJ55" i="3" s="1"/>
  <c r="AI34" i="3"/>
  <c r="AI55" i="3" s="1"/>
  <c r="AH34" i="3"/>
  <c r="AH55" i="3" s="1"/>
  <c r="AG34" i="3"/>
  <c r="AG55" i="3" s="1"/>
  <c r="AF34" i="3"/>
  <c r="AF55" i="3" s="1"/>
  <c r="AE34" i="3"/>
  <c r="AE55" i="3" s="1"/>
  <c r="AD34" i="3"/>
  <c r="AD55" i="3" s="1"/>
  <c r="AC34" i="3"/>
  <c r="AB34" i="3"/>
  <c r="AA34" i="3"/>
  <c r="Z34" i="3"/>
  <c r="Y34" i="3"/>
  <c r="X34" i="3"/>
  <c r="W34" i="3"/>
  <c r="V34" i="3"/>
  <c r="U34" i="3"/>
  <c r="T34" i="3"/>
  <c r="S34" i="3"/>
  <c r="R34" i="3"/>
  <c r="R55" i="3" s="1"/>
  <c r="Q34" i="3"/>
  <c r="Q55" i="3" s="1"/>
  <c r="P34" i="3"/>
  <c r="P55" i="3" s="1"/>
  <c r="O34" i="3"/>
  <c r="O55" i="3" s="1"/>
  <c r="N34" i="3"/>
  <c r="N55" i="3" s="1"/>
  <c r="M34" i="3"/>
  <c r="M55" i="3" s="1"/>
  <c r="BV33" i="3"/>
  <c r="BU33" i="3"/>
  <c r="BT33" i="3"/>
  <c r="BS33" i="3"/>
  <c r="BR33" i="3"/>
  <c r="BQ33" i="3"/>
  <c r="BP33" i="3"/>
  <c r="BO33" i="3"/>
  <c r="BN33" i="3"/>
  <c r="BN54" i="3" s="1"/>
  <c r="BM33" i="3"/>
  <c r="BM54" i="3" s="1"/>
  <c r="BL33" i="3"/>
  <c r="BL54" i="3" s="1"/>
  <c r="BK33" i="3"/>
  <c r="BK54" i="3" s="1"/>
  <c r="BJ33" i="3"/>
  <c r="BJ54" i="3" s="1"/>
  <c r="BI33" i="3"/>
  <c r="BI54" i="3" s="1"/>
  <c r="BH33" i="3"/>
  <c r="BH54" i="3" s="1"/>
  <c r="BG33" i="3"/>
  <c r="BG54" i="3" s="1"/>
  <c r="BF33" i="3"/>
  <c r="BE33" i="3"/>
  <c r="BD33" i="3"/>
  <c r="BC33" i="3"/>
  <c r="BB33" i="3"/>
  <c r="BA33" i="3"/>
  <c r="BA54" i="3" s="1"/>
  <c r="AZ33" i="3"/>
  <c r="AY33" i="3"/>
  <c r="AX33" i="3"/>
  <c r="AW33" i="3"/>
  <c r="AV33" i="3"/>
  <c r="AU33" i="3"/>
  <c r="AT33" i="3"/>
  <c r="AS33" i="3"/>
  <c r="AR33" i="3"/>
  <c r="AQ33" i="3"/>
  <c r="AP33" i="3"/>
  <c r="AO33" i="3"/>
  <c r="AN33" i="3"/>
  <c r="AM33" i="3"/>
  <c r="AL33" i="3"/>
  <c r="AK33" i="3"/>
  <c r="AJ33" i="3"/>
  <c r="AI33" i="3"/>
  <c r="AH33" i="3"/>
  <c r="AH54" i="3" s="1"/>
  <c r="AG33" i="3"/>
  <c r="AG54" i="3" s="1"/>
  <c r="AF33" i="3"/>
  <c r="AF54" i="3" s="1"/>
  <c r="AE33" i="3"/>
  <c r="AE54" i="3" s="1"/>
  <c r="AD33" i="3"/>
  <c r="AD54" i="3" s="1"/>
  <c r="AC33" i="3"/>
  <c r="AC54" i="3" s="1"/>
  <c r="AB33" i="3"/>
  <c r="AB54" i="3" s="1"/>
  <c r="AA33" i="3"/>
  <c r="AA54" i="3" s="1"/>
  <c r="Z33" i="3"/>
  <c r="Z54" i="3" s="1"/>
  <c r="Y33" i="3"/>
  <c r="Y54" i="3" s="1"/>
  <c r="X33" i="3"/>
  <c r="X54" i="3" s="1"/>
  <c r="W33" i="3"/>
  <c r="W54" i="3" s="1"/>
  <c r="V33" i="3"/>
  <c r="V54" i="3" s="1"/>
  <c r="U33" i="3"/>
  <c r="T33" i="3"/>
  <c r="S33" i="3"/>
  <c r="R33" i="3"/>
  <c r="Q33" i="3"/>
  <c r="P33" i="3"/>
  <c r="O33" i="3"/>
  <c r="N33" i="3"/>
  <c r="M33" i="3"/>
  <c r="BV32" i="3"/>
  <c r="BU32" i="3"/>
  <c r="BT32" i="3"/>
  <c r="BS32" i="3"/>
  <c r="BR32" i="3"/>
  <c r="BQ32" i="3"/>
  <c r="BQ53" i="3" s="1"/>
  <c r="BP32" i="3"/>
  <c r="BO32" i="3"/>
  <c r="BN32" i="3"/>
  <c r="BM32" i="3"/>
  <c r="BL32" i="3"/>
  <c r="BL53" i="3" s="1"/>
  <c r="BK32" i="3"/>
  <c r="BK53" i="3" s="1"/>
  <c r="BJ32" i="3"/>
  <c r="BJ53" i="3" s="1"/>
  <c r="BI32" i="3"/>
  <c r="BI53" i="3" s="1"/>
  <c r="BH32" i="3"/>
  <c r="BH53" i="3" s="1"/>
  <c r="BG32" i="3"/>
  <c r="BG53" i="3" s="1"/>
  <c r="BF32" i="3"/>
  <c r="BF53" i="3" s="1"/>
  <c r="BE32" i="3"/>
  <c r="BE53" i="3" s="1"/>
  <c r="BD32" i="3"/>
  <c r="BD53" i="3" s="1"/>
  <c r="BC32" i="3"/>
  <c r="BC53" i="3" s="1"/>
  <c r="BB32" i="3"/>
  <c r="BB53" i="3" s="1"/>
  <c r="BA32" i="3"/>
  <c r="BA53" i="3" s="1"/>
  <c r="AZ32" i="3"/>
  <c r="AZ53" i="3" s="1"/>
  <c r="AY32" i="3"/>
  <c r="AY53" i="3" s="1"/>
  <c r="AX32" i="3"/>
  <c r="AW32" i="3"/>
  <c r="AV32" i="3"/>
  <c r="AU32" i="3"/>
  <c r="AT32" i="3"/>
  <c r="AS32" i="3"/>
  <c r="AR32" i="3"/>
  <c r="AQ32" i="3"/>
  <c r="AP32" i="3"/>
  <c r="AO32" i="3"/>
  <c r="AN32" i="3"/>
  <c r="AM32" i="3"/>
  <c r="AL32" i="3"/>
  <c r="AK32" i="3"/>
  <c r="AJ32" i="3"/>
  <c r="AI32" i="3"/>
  <c r="AH32" i="3"/>
  <c r="AG32" i="3"/>
  <c r="AF32" i="3"/>
  <c r="AF53" i="3" s="1"/>
  <c r="AE32" i="3"/>
  <c r="AE53" i="3" s="1"/>
  <c r="AD32" i="3"/>
  <c r="AD53" i="3" s="1"/>
  <c r="AC32" i="3"/>
  <c r="AC53" i="3" s="1"/>
  <c r="AB32" i="3"/>
  <c r="AB53" i="3" s="1"/>
  <c r="AA32" i="3"/>
  <c r="AA53" i="3" s="1"/>
  <c r="Z32" i="3"/>
  <c r="Z53" i="3" s="1"/>
  <c r="Y32" i="3"/>
  <c r="Y53" i="3" s="1"/>
  <c r="X32" i="3"/>
  <c r="X53" i="3" s="1"/>
  <c r="W32" i="3"/>
  <c r="W53" i="3" s="1"/>
  <c r="V32" i="3"/>
  <c r="V53" i="3" s="1"/>
  <c r="U32" i="3"/>
  <c r="U53" i="3" s="1"/>
  <c r="T32" i="3"/>
  <c r="T53" i="3" s="1"/>
  <c r="S32" i="3"/>
  <c r="S53" i="3" s="1"/>
  <c r="R32" i="3"/>
  <c r="Q32" i="3"/>
  <c r="P32" i="3"/>
  <c r="O32" i="3"/>
  <c r="N32" i="3"/>
  <c r="M32" i="3"/>
  <c r="BV31" i="3"/>
  <c r="BU31" i="3"/>
  <c r="BT31" i="3"/>
  <c r="BS31" i="3"/>
  <c r="BR31" i="3"/>
  <c r="BQ31" i="3"/>
  <c r="BP31" i="3"/>
  <c r="BO31" i="3"/>
  <c r="BN31" i="3"/>
  <c r="BM31" i="3"/>
  <c r="BL31" i="3"/>
  <c r="BK31" i="3"/>
  <c r="BJ31" i="3"/>
  <c r="BJ52" i="3" s="1"/>
  <c r="BI31" i="3"/>
  <c r="BI52" i="3" s="1"/>
  <c r="BH31" i="3"/>
  <c r="BH52" i="3" s="1"/>
  <c r="BG31" i="3"/>
  <c r="BG52" i="3" s="1"/>
  <c r="BF31" i="3"/>
  <c r="BF52" i="3" s="1"/>
  <c r="BE31" i="3"/>
  <c r="BE52" i="3" s="1"/>
  <c r="BD31" i="3"/>
  <c r="BD52" i="3" s="1"/>
  <c r="BC31" i="3"/>
  <c r="BC52" i="3" s="1"/>
  <c r="BB31" i="3"/>
  <c r="BB52" i="3" s="1"/>
  <c r="BA31" i="3"/>
  <c r="BA52" i="3" s="1"/>
  <c r="AZ31" i="3"/>
  <c r="AZ52" i="3" s="1"/>
  <c r="AY31" i="3"/>
  <c r="AY52" i="3" s="1"/>
  <c r="AX31" i="3"/>
  <c r="AX52" i="3" s="1"/>
  <c r="AW31" i="3"/>
  <c r="AW52" i="3" s="1"/>
  <c r="AV31" i="3"/>
  <c r="AU31" i="3"/>
  <c r="AT31" i="3"/>
  <c r="AS31" i="3"/>
  <c r="AR31" i="3"/>
  <c r="AQ31" i="3"/>
  <c r="AP31" i="3"/>
  <c r="AO31" i="3"/>
  <c r="AN31" i="3"/>
  <c r="AM31" i="3"/>
  <c r="AL31" i="3"/>
  <c r="AK31" i="3"/>
  <c r="AJ31" i="3"/>
  <c r="AI31" i="3"/>
  <c r="AH31" i="3"/>
  <c r="AG31" i="3"/>
  <c r="AF31" i="3"/>
  <c r="AE31" i="3"/>
  <c r="AD31" i="3"/>
  <c r="AD52" i="3" s="1"/>
  <c r="AC31" i="3"/>
  <c r="AC52" i="3" s="1"/>
  <c r="AB31" i="3"/>
  <c r="AB52" i="3" s="1"/>
  <c r="AA31" i="3"/>
  <c r="AA52" i="3" s="1"/>
  <c r="Z31" i="3"/>
  <c r="Z52" i="3" s="1"/>
  <c r="Y31" i="3"/>
  <c r="Y52" i="3" s="1"/>
  <c r="X31" i="3"/>
  <c r="X52" i="3" s="1"/>
  <c r="W31" i="3"/>
  <c r="V31" i="3"/>
  <c r="U31" i="3"/>
  <c r="U52" i="3" s="1"/>
  <c r="T31" i="3"/>
  <c r="T52" i="3" s="1"/>
  <c r="S31" i="3"/>
  <c r="S52" i="3" s="1"/>
  <c r="R31" i="3"/>
  <c r="R52" i="3" s="1"/>
  <c r="Q31" i="3"/>
  <c r="Q52" i="3" s="1"/>
  <c r="P31" i="3"/>
  <c r="P52" i="3" s="1"/>
  <c r="O31" i="3"/>
  <c r="N31" i="3"/>
  <c r="M31" i="3"/>
  <c r="BV30" i="3"/>
  <c r="BU30" i="3"/>
  <c r="BT30" i="3"/>
  <c r="BS30" i="3"/>
  <c r="BR30" i="3"/>
  <c r="BQ30" i="3"/>
  <c r="BP30" i="3"/>
  <c r="BO30" i="3"/>
  <c r="BN30" i="3"/>
  <c r="BM30" i="3"/>
  <c r="BL30" i="3"/>
  <c r="BK30" i="3"/>
  <c r="BJ30" i="3"/>
  <c r="BJ51" i="3" s="1"/>
  <c r="BI30" i="3"/>
  <c r="BI51" i="3" s="1"/>
  <c r="BH30" i="3"/>
  <c r="BH51" i="3" s="1"/>
  <c r="BG30" i="3"/>
  <c r="BG51" i="3" s="1"/>
  <c r="BF30" i="3"/>
  <c r="BF51" i="3" s="1"/>
  <c r="BE30" i="3"/>
  <c r="BE51" i="3" s="1"/>
  <c r="BD30" i="3"/>
  <c r="BD51" i="3" s="1"/>
  <c r="BC30" i="3"/>
  <c r="BC51" i="3" s="1"/>
  <c r="BB30" i="3"/>
  <c r="BB51" i="3" s="1"/>
  <c r="BA30" i="3"/>
  <c r="AZ30" i="3"/>
  <c r="AY30" i="3"/>
  <c r="AX30" i="3"/>
  <c r="AW30" i="3"/>
  <c r="AV30" i="3"/>
  <c r="AU30" i="3"/>
  <c r="AT30" i="3"/>
  <c r="AT51" i="3" s="1"/>
  <c r="AS30" i="3"/>
  <c r="AS51" i="3" s="1"/>
  <c r="AR30" i="3"/>
  <c r="AQ30" i="3"/>
  <c r="AP30" i="3"/>
  <c r="AO30" i="3"/>
  <c r="AN30" i="3"/>
  <c r="AM30" i="3"/>
  <c r="AL30" i="3"/>
  <c r="AK30" i="3"/>
  <c r="AK51" i="3" s="1"/>
  <c r="AJ30" i="3"/>
  <c r="AI30" i="3"/>
  <c r="AH30" i="3"/>
  <c r="AG30" i="3"/>
  <c r="AG51" i="3" s="1"/>
  <c r="AF30" i="3"/>
  <c r="AE30" i="3"/>
  <c r="AD30" i="3"/>
  <c r="AD51" i="3" s="1"/>
  <c r="AC30" i="3"/>
  <c r="AC51" i="3" s="1"/>
  <c r="AB30" i="3"/>
  <c r="AB51" i="3" s="1"/>
  <c r="AA30" i="3"/>
  <c r="AA51" i="3" s="1"/>
  <c r="Z30" i="3"/>
  <c r="Z51" i="3" s="1"/>
  <c r="Y30" i="3"/>
  <c r="Y51" i="3" s="1"/>
  <c r="X30" i="3"/>
  <c r="X51" i="3" s="1"/>
  <c r="W30" i="3"/>
  <c r="W51" i="3" s="1"/>
  <c r="V30" i="3"/>
  <c r="V51" i="3" s="1"/>
  <c r="U30" i="3"/>
  <c r="T30" i="3"/>
  <c r="S30" i="3"/>
  <c r="R30" i="3"/>
  <c r="Q30" i="3"/>
  <c r="P30" i="3"/>
  <c r="O30" i="3"/>
  <c r="N30" i="3"/>
  <c r="M30" i="3"/>
  <c r="BV27" i="3"/>
  <c r="BU27" i="3"/>
  <c r="BT27" i="3"/>
  <c r="BS27" i="3"/>
  <c r="BR27" i="3"/>
  <c r="BQ27" i="3"/>
  <c r="BQ48" i="3" s="1"/>
  <c r="BP27" i="3"/>
  <c r="BP48" i="3" s="1"/>
  <c r="BO27" i="3"/>
  <c r="BO48" i="3" s="1"/>
  <c r="BN27" i="3"/>
  <c r="BM27" i="3"/>
  <c r="BL27" i="3"/>
  <c r="BK27" i="3"/>
  <c r="BK48" i="3" s="1"/>
  <c r="BJ27" i="3"/>
  <c r="BJ48" i="3" s="1"/>
  <c r="BI27" i="3"/>
  <c r="BI48" i="3" s="1"/>
  <c r="BH27" i="3"/>
  <c r="BH48" i="3" s="1"/>
  <c r="BG27" i="3"/>
  <c r="BG48" i="3" s="1"/>
  <c r="BF27" i="3"/>
  <c r="BF48" i="3" s="1"/>
  <c r="BE27" i="3"/>
  <c r="BE48" i="3" s="1"/>
  <c r="BD27" i="3"/>
  <c r="BD48" i="3" s="1"/>
  <c r="BC27" i="3"/>
  <c r="BC48" i="3" s="1"/>
  <c r="BB27" i="3"/>
  <c r="BB48" i="3" s="1"/>
  <c r="BA27" i="3"/>
  <c r="BA48" i="3" s="1"/>
  <c r="AZ27" i="3"/>
  <c r="AZ48" i="3" s="1"/>
  <c r="AY27" i="3"/>
  <c r="AY48" i="3" s="1"/>
  <c r="AX27" i="3"/>
  <c r="AX48" i="3" s="1"/>
  <c r="AW27" i="3"/>
  <c r="AV27" i="3"/>
  <c r="AU27" i="3"/>
  <c r="AT27" i="3"/>
  <c r="AS27" i="3"/>
  <c r="AR27" i="3"/>
  <c r="AQ27" i="3"/>
  <c r="AP27" i="3"/>
  <c r="AO27" i="3"/>
  <c r="AN27" i="3"/>
  <c r="AM27" i="3"/>
  <c r="AL27" i="3"/>
  <c r="AK27" i="3"/>
  <c r="AJ27" i="3"/>
  <c r="AJ48" i="3" s="1"/>
  <c r="AI27" i="3"/>
  <c r="AI48" i="3" s="1"/>
  <c r="AH27" i="3"/>
  <c r="AG27" i="3"/>
  <c r="AF27" i="3"/>
  <c r="AE27" i="3"/>
  <c r="AE48" i="3" s="1"/>
  <c r="AD27" i="3"/>
  <c r="AD48" i="3" s="1"/>
  <c r="AC27" i="3"/>
  <c r="AC48" i="3" s="1"/>
  <c r="AB27" i="3"/>
  <c r="AB48" i="3" s="1"/>
  <c r="AA27" i="3"/>
  <c r="AA48" i="3" s="1"/>
  <c r="Z27" i="3"/>
  <c r="Z48" i="3" s="1"/>
  <c r="Y27" i="3"/>
  <c r="Y48" i="3" s="1"/>
  <c r="X27" i="3"/>
  <c r="X48" i="3" s="1"/>
  <c r="W27" i="3"/>
  <c r="W48" i="3" s="1"/>
  <c r="V27" i="3"/>
  <c r="V48" i="3" s="1"/>
  <c r="U27" i="3"/>
  <c r="U48" i="3" s="1"/>
  <c r="T27" i="3"/>
  <c r="T48" i="3" s="1"/>
  <c r="S27" i="3"/>
  <c r="S48" i="3" s="1"/>
  <c r="R27" i="3"/>
  <c r="R48" i="3" s="1"/>
  <c r="Q27" i="3"/>
  <c r="Q48" i="3" s="1"/>
  <c r="P27" i="3"/>
  <c r="P48" i="3" s="1"/>
  <c r="O27" i="3"/>
  <c r="O48" i="3" s="1"/>
  <c r="N27" i="3"/>
  <c r="N48" i="3" s="1"/>
  <c r="M27" i="3"/>
  <c r="BV26" i="3"/>
  <c r="BU26" i="3"/>
  <c r="BT26" i="3"/>
  <c r="BS26" i="3"/>
  <c r="BR26" i="3"/>
  <c r="BQ26" i="3"/>
  <c r="BP26" i="3"/>
  <c r="BO26" i="3"/>
  <c r="BN26" i="3"/>
  <c r="BM26" i="3"/>
  <c r="BL26" i="3"/>
  <c r="BK26" i="3"/>
  <c r="BJ26" i="3"/>
  <c r="BI26" i="3"/>
  <c r="BI47" i="3" s="1"/>
  <c r="BH26" i="3"/>
  <c r="BH47" i="3" s="1"/>
  <c r="BG26" i="3"/>
  <c r="BG47" i="3" s="1"/>
  <c r="BF26" i="3"/>
  <c r="BF47" i="3" s="1"/>
  <c r="BE26" i="3"/>
  <c r="BE47" i="3" s="1"/>
  <c r="BD26" i="3"/>
  <c r="BD47" i="3" s="1"/>
  <c r="BC26" i="3"/>
  <c r="BC47" i="3" s="1"/>
  <c r="BB26" i="3"/>
  <c r="BB47" i="3" s="1"/>
  <c r="BA26" i="3"/>
  <c r="BA47" i="3" s="1"/>
  <c r="AZ26" i="3"/>
  <c r="AZ47" i="3" s="1"/>
  <c r="AY26" i="3"/>
  <c r="AY47" i="3" s="1"/>
  <c r="AX26" i="3"/>
  <c r="AX47" i="3" s="1"/>
  <c r="AW26" i="3"/>
  <c r="AW47" i="3" s="1"/>
  <c r="AV26" i="3"/>
  <c r="AV47" i="3" s="1"/>
  <c r="AU26" i="3"/>
  <c r="AU47" i="3" s="1"/>
  <c r="AT26" i="3"/>
  <c r="AT47" i="3" s="1"/>
  <c r="AS26" i="3"/>
  <c r="AS47" i="3" s="1"/>
  <c r="AR26" i="3"/>
  <c r="AQ26" i="3"/>
  <c r="AP26" i="3"/>
  <c r="AO26" i="3"/>
  <c r="AN26" i="3"/>
  <c r="AM26" i="3"/>
  <c r="AL26" i="3"/>
  <c r="AK26" i="3"/>
  <c r="AJ26" i="3"/>
  <c r="AI26" i="3"/>
  <c r="AH26" i="3"/>
  <c r="AG26" i="3"/>
  <c r="AF26" i="3"/>
  <c r="AE26" i="3"/>
  <c r="AD26" i="3"/>
  <c r="AC26" i="3"/>
  <c r="AB26" i="3"/>
  <c r="AB47" i="3" s="1"/>
  <c r="AA26" i="3"/>
  <c r="AA47" i="3" s="1"/>
  <c r="Z26" i="3"/>
  <c r="Z47" i="3" s="1"/>
  <c r="Y26" i="3"/>
  <c r="X26" i="3"/>
  <c r="X47" i="3" s="1"/>
  <c r="W26" i="3"/>
  <c r="W47" i="3" s="1"/>
  <c r="V26" i="3"/>
  <c r="V47" i="3" s="1"/>
  <c r="U26" i="3"/>
  <c r="U47" i="3" s="1"/>
  <c r="T26" i="3"/>
  <c r="T47" i="3" s="1"/>
  <c r="S26" i="3"/>
  <c r="S47" i="3" s="1"/>
  <c r="R26" i="3"/>
  <c r="R47" i="3" s="1"/>
  <c r="Q26" i="3"/>
  <c r="Q47" i="3" s="1"/>
  <c r="P26" i="3"/>
  <c r="P47" i="3" s="1"/>
  <c r="O26" i="3"/>
  <c r="O47" i="3" s="1"/>
  <c r="N26" i="3"/>
  <c r="N47" i="3" s="1"/>
  <c r="M26" i="3"/>
  <c r="M47" i="3" s="1"/>
  <c r="BV25" i="3"/>
  <c r="BU25" i="3"/>
  <c r="BT25" i="3"/>
  <c r="BS25" i="3"/>
  <c r="BR25" i="3"/>
  <c r="BQ25" i="3"/>
  <c r="BP25" i="3"/>
  <c r="BO25" i="3"/>
  <c r="BN25" i="3"/>
  <c r="BM25" i="3"/>
  <c r="BL25" i="3"/>
  <c r="BK25" i="3"/>
  <c r="BJ25" i="3"/>
  <c r="BI25" i="3"/>
  <c r="BH25" i="3"/>
  <c r="BG25" i="3"/>
  <c r="BF25" i="3"/>
  <c r="BF46" i="3" s="1"/>
  <c r="BE25" i="3"/>
  <c r="BE46" i="3" s="1"/>
  <c r="BD25" i="3"/>
  <c r="BD46" i="3" s="1"/>
  <c r="BC25" i="3"/>
  <c r="BB25" i="3"/>
  <c r="BB46" i="3" s="1"/>
  <c r="BA25" i="3"/>
  <c r="BA46" i="3" s="1"/>
  <c r="AZ25" i="3"/>
  <c r="AZ46" i="3" s="1"/>
  <c r="AY25" i="3"/>
  <c r="AY46" i="3" s="1"/>
  <c r="AX25" i="3"/>
  <c r="AX46" i="3" s="1"/>
  <c r="AW25" i="3"/>
  <c r="AW46" i="3" s="1"/>
  <c r="AV25" i="3"/>
  <c r="AV46" i="3" s="1"/>
  <c r="AU25" i="3"/>
  <c r="AU46" i="3" s="1"/>
  <c r="AT25" i="3"/>
  <c r="AT46" i="3" s="1"/>
  <c r="AS25" i="3"/>
  <c r="AS46" i="3" s="1"/>
  <c r="AR25" i="3"/>
  <c r="AQ25" i="3"/>
  <c r="AP25" i="3"/>
  <c r="AO25" i="3"/>
  <c r="AN25" i="3"/>
  <c r="AM25" i="3"/>
  <c r="AL25" i="3"/>
  <c r="AK25" i="3"/>
  <c r="AJ25" i="3"/>
  <c r="AI25" i="3"/>
  <c r="AH25" i="3"/>
  <c r="AG25" i="3"/>
  <c r="AF25" i="3"/>
  <c r="AE25" i="3"/>
  <c r="AD25" i="3"/>
  <c r="AC25" i="3"/>
  <c r="AB25" i="3"/>
  <c r="AA25" i="3"/>
  <c r="Z25" i="3"/>
  <c r="Z46" i="3" s="1"/>
  <c r="Y25" i="3"/>
  <c r="Y46" i="3" s="1"/>
  <c r="X25" i="3"/>
  <c r="X46" i="3" s="1"/>
  <c r="W25" i="3"/>
  <c r="V25" i="3"/>
  <c r="V46" i="3" s="1"/>
  <c r="U25" i="3"/>
  <c r="U46" i="3" s="1"/>
  <c r="T25" i="3"/>
  <c r="T46" i="3" s="1"/>
  <c r="S25" i="3"/>
  <c r="S46" i="3" s="1"/>
  <c r="R25" i="3"/>
  <c r="R46" i="3" s="1"/>
  <c r="Q25" i="3"/>
  <c r="Q46" i="3" s="1"/>
  <c r="P25" i="3"/>
  <c r="P46" i="3" s="1"/>
  <c r="O25" i="3"/>
  <c r="O46" i="3" s="1"/>
  <c r="N25" i="3"/>
  <c r="N46" i="3" s="1"/>
  <c r="M25" i="3"/>
  <c r="M46" i="3" s="1"/>
  <c r="BV24" i="3"/>
  <c r="BU24" i="3"/>
  <c r="BT24" i="3"/>
  <c r="BS24" i="3"/>
  <c r="BR24" i="3"/>
  <c r="BQ24" i="3"/>
  <c r="BP24" i="3"/>
  <c r="BO24" i="3"/>
  <c r="BN24" i="3"/>
  <c r="BM24" i="3"/>
  <c r="BL24" i="3"/>
  <c r="BK24" i="3"/>
  <c r="BJ24" i="3"/>
  <c r="BI24" i="3"/>
  <c r="BH24" i="3"/>
  <c r="BG24" i="3"/>
  <c r="BF24" i="3"/>
  <c r="BE24" i="3"/>
  <c r="BD24" i="3"/>
  <c r="BD45" i="3" s="1"/>
  <c r="BC24" i="3"/>
  <c r="BC45" i="3" s="1"/>
  <c r="BB24" i="3"/>
  <c r="BB45" i="3" s="1"/>
  <c r="BA24" i="3"/>
  <c r="AZ24" i="3"/>
  <c r="AZ45" i="3" s="1"/>
  <c r="AY24" i="3"/>
  <c r="AY45" i="3" s="1"/>
  <c r="AX24" i="3"/>
  <c r="AX45" i="3" s="1"/>
  <c r="AW24" i="3"/>
  <c r="AW45" i="3" s="1"/>
  <c r="AV24" i="3"/>
  <c r="AV45" i="3" s="1"/>
  <c r="AU24" i="3"/>
  <c r="AU45" i="3" s="1"/>
  <c r="AT24" i="3"/>
  <c r="AT45" i="3" s="1"/>
  <c r="AS24" i="3"/>
  <c r="AR24" i="3"/>
  <c r="AQ24" i="3"/>
  <c r="AP24" i="3"/>
  <c r="AO24" i="3"/>
  <c r="AN24" i="3"/>
  <c r="AM24" i="3"/>
  <c r="AL24" i="3"/>
  <c r="AK24" i="3"/>
  <c r="AJ24" i="3"/>
  <c r="AI24" i="3"/>
  <c r="AH24" i="3"/>
  <c r="AG24" i="3"/>
  <c r="AF24" i="3"/>
  <c r="AE24" i="3"/>
  <c r="AD24" i="3"/>
  <c r="AC24" i="3"/>
  <c r="AB24" i="3"/>
  <c r="AA24" i="3"/>
  <c r="Z24" i="3"/>
  <c r="Y24" i="3"/>
  <c r="X24" i="3"/>
  <c r="X45" i="3" s="1"/>
  <c r="W24" i="3"/>
  <c r="W45" i="3" s="1"/>
  <c r="V24" i="3"/>
  <c r="V45" i="3" s="1"/>
  <c r="U24" i="3"/>
  <c r="T24" i="3"/>
  <c r="T45" i="3" s="1"/>
  <c r="S24" i="3"/>
  <c r="S45" i="3" s="1"/>
  <c r="R24" i="3"/>
  <c r="R45" i="3" s="1"/>
  <c r="Q24" i="3"/>
  <c r="Q45" i="3" s="1"/>
  <c r="P24" i="3"/>
  <c r="P45" i="3" s="1"/>
  <c r="O24" i="3"/>
  <c r="O45" i="3" s="1"/>
  <c r="N24" i="3"/>
  <c r="N45" i="3" s="1"/>
  <c r="M24" i="3"/>
  <c r="BV23" i="3"/>
  <c r="BU23" i="3"/>
  <c r="BT23" i="3"/>
  <c r="BS23" i="3"/>
  <c r="BR23" i="3"/>
  <c r="BQ23" i="3"/>
  <c r="BQ44" i="3" s="1"/>
  <c r="BP23" i="3"/>
  <c r="BP44" i="3" s="1"/>
  <c r="BO23" i="3"/>
  <c r="BN23" i="3"/>
  <c r="BN44" i="3" s="1"/>
  <c r="BM23" i="3"/>
  <c r="BM44" i="3" s="1"/>
  <c r="BL23" i="3"/>
  <c r="BK23" i="3"/>
  <c r="BJ23" i="3"/>
  <c r="BI23" i="3"/>
  <c r="BH23" i="3"/>
  <c r="BG23" i="3"/>
  <c r="BF23" i="3"/>
  <c r="BE23" i="3"/>
  <c r="BD23" i="3"/>
  <c r="BC23" i="3"/>
  <c r="BB23" i="3"/>
  <c r="BB44" i="3" s="1"/>
  <c r="BA23" i="3"/>
  <c r="BA44" i="3" s="1"/>
  <c r="AZ23" i="3"/>
  <c r="AZ44" i="3" s="1"/>
  <c r="AY23" i="3"/>
  <c r="AY44" i="3" s="1"/>
  <c r="AX23" i="3"/>
  <c r="AX44" i="3" s="1"/>
  <c r="AW23" i="3"/>
  <c r="AW44" i="3" s="1"/>
  <c r="AV23" i="3"/>
  <c r="AV44" i="3" s="1"/>
  <c r="AU23" i="3"/>
  <c r="AU44" i="3" s="1"/>
  <c r="AT23" i="3"/>
  <c r="AT44" i="3" s="1"/>
  <c r="AS23" i="3"/>
  <c r="AS44" i="3" s="1"/>
  <c r="AR23" i="3"/>
  <c r="AR44" i="3" s="1"/>
  <c r="AQ23" i="3"/>
  <c r="AP23" i="3"/>
  <c r="AO23" i="3"/>
  <c r="AN23" i="3"/>
  <c r="AM23" i="3"/>
  <c r="AL23" i="3"/>
  <c r="AK23" i="3"/>
  <c r="AJ23" i="3"/>
  <c r="AI23" i="3"/>
  <c r="AI44" i="3" s="1"/>
  <c r="AH23" i="3"/>
  <c r="AH44" i="3" s="1"/>
  <c r="AG23" i="3"/>
  <c r="AG44" i="3" s="1"/>
  <c r="AF23" i="3"/>
  <c r="AE23" i="3"/>
  <c r="AE44" i="3" s="1"/>
  <c r="AD23" i="3"/>
  <c r="AD44" i="3" s="1"/>
  <c r="AC23" i="3"/>
  <c r="AC44" i="3" s="1"/>
  <c r="AB23" i="3"/>
  <c r="AB44" i="3" s="1"/>
  <c r="AA23" i="3"/>
  <c r="AA44" i="3" s="1"/>
  <c r="Z23" i="3"/>
  <c r="Y23" i="3"/>
  <c r="X23" i="3"/>
  <c r="W23" i="3"/>
  <c r="W44" i="3" s="1"/>
  <c r="V23" i="3"/>
  <c r="V44" i="3" s="1"/>
  <c r="U23" i="3"/>
  <c r="U44" i="3" s="1"/>
  <c r="T23" i="3"/>
  <c r="T44" i="3" s="1"/>
  <c r="S23" i="3"/>
  <c r="S44" i="3" s="1"/>
  <c r="R23" i="3"/>
  <c r="R44" i="3" s="1"/>
  <c r="Q23" i="3"/>
  <c r="Q44" i="3" s="1"/>
  <c r="P23" i="3"/>
  <c r="P44" i="3" s="1"/>
  <c r="O23" i="3"/>
  <c r="O44" i="3" s="1"/>
  <c r="N23" i="3"/>
  <c r="N44" i="3" s="1"/>
  <c r="M23" i="3"/>
  <c r="M44" i="3" s="1"/>
  <c r="BD10" i="3"/>
  <c r="AL52" i="3" l="1"/>
  <c r="AL46" i="3"/>
  <c r="AL45" i="3"/>
  <c r="BU55" i="3"/>
  <c r="BU54" i="3"/>
  <c r="BU51" i="3"/>
  <c r="BT57" i="3"/>
  <c r="BV48" i="3"/>
  <c r="AL47" i="3"/>
  <c r="AM47" i="3"/>
  <c r="AN47" i="3"/>
  <c r="BS53" i="3"/>
  <c r="AM54" i="3"/>
  <c r="BS54" i="3"/>
  <c r="AO55" i="3"/>
  <c r="BT53" i="3"/>
  <c r="AL44" i="3"/>
  <c r="BU53" i="3"/>
  <c r="AQ56" i="3"/>
  <c r="BV53" i="3"/>
  <c r="AN44" i="3"/>
  <c r="BR47" i="3"/>
  <c r="AQ51" i="3"/>
  <c r="BU47" i="3"/>
  <c r="AR51" i="3"/>
  <c r="BS52" i="3"/>
  <c r="BU48" i="3"/>
  <c r="AM46" i="3"/>
  <c r="AM52" i="3"/>
  <c r="BS48" i="3"/>
  <c r="AP51" i="3"/>
  <c r="BT52" i="3"/>
  <c r="AM45" i="3"/>
  <c r="AQ47" i="3"/>
  <c r="BR44" i="3"/>
  <c r="AN45" i="3"/>
  <c r="BT45" i="3"/>
  <c r="AP46" i="3"/>
  <c r="BV46" i="3"/>
  <c r="AR47" i="3"/>
  <c r="AF44" i="3"/>
  <c r="AF48" i="3"/>
  <c r="AF45" i="3"/>
  <c r="BL48" i="3"/>
  <c r="BL44" i="3"/>
  <c r="BL45" i="3"/>
  <c r="BL46" i="3"/>
  <c r="AM48" i="3"/>
  <c r="AQ54" i="3"/>
  <c r="AO44" i="3"/>
  <c r="BR48" i="3"/>
  <c r="BS45" i="3"/>
  <c r="BK44" i="3"/>
  <c r="BK45" i="3"/>
  <c r="AL48" i="3"/>
  <c r="AO45" i="3"/>
  <c r="BU45" i="3"/>
  <c r="AQ46" i="3"/>
  <c r="AG48" i="3"/>
  <c r="AG45" i="3"/>
  <c r="BM51" i="3"/>
  <c r="BM48" i="3"/>
  <c r="BM45" i="3"/>
  <c r="BM46" i="3"/>
  <c r="BS46" i="3"/>
  <c r="BS51" i="3"/>
  <c r="AL57" i="3"/>
  <c r="AP55" i="3"/>
  <c r="AP47" i="3"/>
  <c r="AP54" i="3"/>
  <c r="AP52" i="3"/>
  <c r="BS57" i="3"/>
  <c r="AL51" i="3"/>
  <c r="BT48" i="3"/>
  <c r="BU46" i="3"/>
  <c r="AP45" i="3"/>
  <c r="BV45" i="3"/>
  <c r="AR46" i="3"/>
  <c r="AH46" i="3"/>
  <c r="AH48" i="3"/>
  <c r="AH45" i="3"/>
  <c r="AH51" i="3"/>
  <c r="BN51" i="3"/>
  <c r="BN45" i="3"/>
  <c r="BN48" i="3"/>
  <c r="BN46" i="3"/>
  <c r="BR53" i="3"/>
  <c r="BR45" i="3"/>
  <c r="BR51" i="3"/>
  <c r="BR46" i="3"/>
  <c r="BV55" i="3"/>
  <c r="BV51" i="3"/>
  <c r="BV54" i="3"/>
  <c r="BV52" i="3"/>
  <c r="AR55" i="3"/>
  <c r="AR52" i="3"/>
  <c r="AR54" i="3"/>
  <c r="AP44" i="3"/>
  <c r="AQ44" i="3"/>
  <c r="AR45" i="3"/>
  <c r="BU52" i="3"/>
  <c r="AQ45" i="3"/>
  <c r="AE57" i="3"/>
  <c r="BK57" i="3"/>
  <c r="AI46" i="3"/>
  <c r="AI51" i="3"/>
  <c r="AI45" i="3"/>
  <c r="BO44" i="3"/>
  <c r="BO45" i="3"/>
  <c r="BO51" i="3"/>
  <c r="BO46" i="3"/>
  <c r="AP48" i="3"/>
  <c r="AL53" i="3"/>
  <c r="AN46" i="3"/>
  <c r="AN52" i="3"/>
  <c r="AN54" i="3"/>
  <c r="AF57" i="3"/>
  <c r="BL57" i="3"/>
  <c r="AJ46" i="3"/>
  <c r="AJ45" i="3"/>
  <c r="AJ51" i="3"/>
  <c r="BP46" i="3"/>
  <c r="BP45" i="3"/>
  <c r="BP51" i="3"/>
  <c r="AM53" i="3"/>
  <c r="BT54" i="3"/>
  <c r="BT51" i="3"/>
  <c r="BT46" i="3"/>
  <c r="AO47" i="3"/>
  <c r="AO52" i="3"/>
  <c r="AO54" i="3"/>
  <c r="BR57" i="3"/>
  <c r="AQ52" i="3"/>
  <c r="AQ55" i="3"/>
  <c r="AM51" i="3"/>
  <c r="AN51" i="3"/>
  <c r="AO51" i="3"/>
  <c r="AO46" i="3"/>
  <c r="BK56" i="3"/>
  <c r="AG57" i="3"/>
  <c r="BM57" i="3"/>
  <c r="AK46" i="3"/>
  <c r="AK45" i="3"/>
  <c r="BQ45" i="3"/>
  <c r="BQ46" i="3"/>
  <c r="BQ51" i="3"/>
  <c r="AR48" i="3"/>
  <c r="AN53" i="3"/>
  <c r="AI54" i="3"/>
  <c r="BU57" i="3"/>
  <c r="AF52" i="3"/>
  <c r="AJ54" i="3"/>
  <c r="BT56" i="3"/>
  <c r="AI53" i="3"/>
  <c r="BS55" i="3"/>
  <c r="O53" i="3"/>
  <c r="AH52" i="3"/>
  <c r="BP53" i="3"/>
  <c r="AN55" i="3"/>
  <c r="AR57" i="3"/>
  <c r="O52" i="3"/>
  <c r="BK52" i="3"/>
  <c r="BQ55" i="3"/>
  <c r="BL52" i="3"/>
  <c r="AL55" i="3"/>
  <c r="N53" i="3"/>
  <c r="BM52" i="3"/>
  <c r="BU56" i="3"/>
  <c r="BN52" i="3"/>
  <c r="BT55" i="3"/>
  <c r="P53" i="3"/>
  <c r="Q53" i="3"/>
  <c r="N52" i="3"/>
  <c r="BM53" i="3"/>
  <c r="AO57" i="3"/>
  <c r="BN53" i="3"/>
  <c r="AP57" i="3"/>
  <c r="AG52" i="3"/>
  <c r="AK54" i="3"/>
  <c r="AO56" i="3"/>
  <c r="M56" i="3"/>
  <c r="BL51" i="3"/>
  <c r="BR54" i="3"/>
  <c r="AS52" i="3"/>
  <c r="M52" i="3"/>
  <c r="BS56" i="3"/>
  <c r="AN56" i="3"/>
  <c r="BV56" i="3"/>
  <c r="AG53" i="3"/>
  <c r="BO54" i="3"/>
  <c r="AM56" i="3"/>
  <c r="BP54" i="3"/>
  <c r="BV57" i="3"/>
  <c r="BK51" i="3"/>
  <c r="BQ54" i="3"/>
  <c r="AF51" i="3"/>
  <c r="AL54" i="3"/>
  <c r="AE52" i="3"/>
  <c r="AK55" i="3"/>
  <c r="AH53" i="3"/>
  <c r="BR55" i="3"/>
  <c r="AE51" i="3"/>
  <c r="BO53" i="3"/>
  <c r="AM55" i="3"/>
  <c r="AQ57" i="3"/>
  <c r="AJ53" i="3"/>
  <c r="AP56" i="3"/>
  <c r="G19" i="2" l="1"/>
  <c r="I19" i="2" s="1"/>
  <c r="H19" i="2"/>
  <c r="G20" i="2"/>
  <c r="I20" i="2" s="1"/>
  <c r="H20" i="2"/>
  <c r="G21" i="2"/>
  <c r="H21" i="2"/>
  <c r="I21" i="2"/>
  <c r="G22" i="2"/>
  <c r="H22" i="2"/>
  <c r="I22" i="2"/>
  <c r="G23" i="2"/>
  <c r="H23" i="2"/>
  <c r="I23" i="2"/>
  <c r="G24" i="2"/>
  <c r="H24" i="2"/>
  <c r="I24" i="2"/>
  <c r="G25" i="2"/>
  <c r="I25" i="2" s="1"/>
  <c r="H25" i="2"/>
  <c r="G26" i="2"/>
  <c r="H26" i="2"/>
  <c r="I26" i="2"/>
  <c r="G27" i="2"/>
  <c r="H27" i="2"/>
  <c r="I27" i="2"/>
  <c r="G28" i="2"/>
  <c r="H28" i="2"/>
  <c r="I28" i="2"/>
  <c r="G29" i="2"/>
  <c r="I29" i="2" s="1"/>
  <c r="H29" i="2"/>
  <c r="G30" i="2"/>
  <c r="H30" i="2"/>
  <c r="I30" i="2"/>
  <c r="G31" i="2"/>
  <c r="I31" i="2" s="1"/>
  <c r="H31" i="2"/>
  <c r="G32" i="2"/>
  <c r="H32" i="2"/>
  <c r="I32" i="2"/>
  <c r="G33" i="2"/>
  <c r="H33" i="2"/>
  <c r="I33" i="2"/>
  <c r="G34" i="2"/>
  <c r="H34" i="2"/>
  <c r="I34" i="2"/>
  <c r="G35" i="2"/>
  <c r="H35" i="2"/>
  <c r="I35" i="2"/>
  <c r="G36" i="2"/>
  <c r="I36" i="2" s="1"/>
  <c r="H36" i="2"/>
  <c r="G37" i="2"/>
  <c r="H37" i="2"/>
  <c r="I37" i="2"/>
  <c r="G38" i="2"/>
  <c r="H38" i="2"/>
  <c r="I38" i="2"/>
  <c r="G39" i="2"/>
  <c r="H39" i="2"/>
  <c r="I39" i="2"/>
  <c r="G40" i="2"/>
  <c r="I40" i="2" s="1"/>
  <c r="H40" i="2"/>
  <c r="G41" i="2"/>
  <c r="H41" i="2"/>
  <c r="I41" i="2" s="1"/>
  <c r="G42" i="2"/>
  <c r="H42" i="2"/>
  <c r="I42" i="2"/>
  <c r="G43" i="2"/>
  <c r="H43" i="2"/>
  <c r="I43" i="2"/>
  <c r="G44" i="2"/>
  <c r="H44" i="2"/>
  <c r="I44" i="2"/>
  <c r="G45" i="2"/>
  <c r="H45" i="2"/>
  <c r="I45" i="2"/>
  <c r="G46" i="2"/>
  <c r="H46" i="2"/>
  <c r="I46" i="2"/>
  <c r="G47" i="2"/>
  <c r="H47" i="2"/>
  <c r="I47" i="2"/>
  <c r="G48" i="2"/>
  <c r="H48" i="2"/>
  <c r="I48" i="2"/>
  <c r="G49" i="2"/>
  <c r="H49" i="2"/>
  <c r="I49" i="2"/>
  <c r="G50" i="2"/>
  <c r="H50" i="2"/>
  <c r="I50" i="2"/>
  <c r="G51" i="2"/>
  <c r="I51" i="2" s="1"/>
  <c r="H51" i="2"/>
  <c r="G52" i="2"/>
  <c r="I52" i="2" s="1"/>
  <c r="H52" i="2"/>
  <c r="G53" i="2"/>
  <c r="H53" i="2"/>
  <c r="I53" i="2"/>
  <c r="G54" i="2"/>
  <c r="H54" i="2"/>
  <c r="I54" i="2"/>
  <c r="G55" i="2"/>
  <c r="H55" i="2"/>
  <c r="I55" i="2"/>
  <c r="G56" i="2"/>
  <c r="H56" i="2"/>
  <c r="I56" i="2"/>
  <c r="G57" i="2"/>
  <c r="I57" i="2" s="1"/>
  <c r="H57" i="2"/>
  <c r="G58" i="2"/>
  <c r="H58" i="2"/>
  <c r="I58" i="2"/>
  <c r="G59" i="2"/>
  <c r="H59" i="2"/>
  <c r="I59" i="2"/>
  <c r="G60" i="2"/>
  <c r="H60" i="2"/>
  <c r="I60" i="2"/>
  <c r="G61" i="2"/>
  <c r="I61" i="2" s="1"/>
  <c r="H61" i="2"/>
  <c r="G62" i="2"/>
  <c r="H62" i="2"/>
  <c r="I62" i="2"/>
  <c r="G63" i="2"/>
  <c r="I63" i="2" s="1"/>
  <c r="H63" i="2"/>
  <c r="G64" i="2"/>
  <c r="H64" i="2"/>
  <c r="I64" i="2"/>
  <c r="G65" i="2"/>
  <c r="H65" i="2"/>
  <c r="I65" i="2"/>
  <c r="G66" i="2"/>
  <c r="H66" i="2"/>
  <c r="I66" i="2"/>
  <c r="G67" i="2"/>
  <c r="H67" i="2"/>
  <c r="I67" i="2"/>
  <c r="G68" i="2"/>
  <c r="I68" i="2" s="1"/>
  <c r="H68" i="2"/>
  <c r="G69" i="2"/>
  <c r="H69" i="2"/>
  <c r="I69" i="2"/>
  <c r="G70" i="2"/>
  <c r="H70" i="2"/>
  <c r="I70" i="2"/>
  <c r="G71" i="2"/>
  <c r="H71" i="2"/>
  <c r="I71" i="2"/>
  <c r="G72" i="2"/>
  <c r="I72" i="2" s="1"/>
  <c r="H72" i="2"/>
  <c r="G73" i="2"/>
  <c r="H73" i="2"/>
  <c r="I73" i="2"/>
  <c r="G74" i="2"/>
  <c r="H74" i="2"/>
  <c r="I74" i="2"/>
  <c r="G75" i="2"/>
  <c r="H75" i="2"/>
  <c r="I75" i="2"/>
  <c r="G76" i="2"/>
  <c r="H76" i="2"/>
  <c r="I76" i="2"/>
  <c r="G77" i="2"/>
  <c r="H77" i="2"/>
  <c r="I77" i="2"/>
  <c r="G78" i="2"/>
  <c r="H78" i="2"/>
  <c r="I78" i="2"/>
  <c r="G79" i="2"/>
  <c r="H79" i="2"/>
  <c r="I79" i="2"/>
  <c r="G80" i="2"/>
  <c r="H80" i="2"/>
  <c r="I80" i="2"/>
  <c r="G81" i="2"/>
  <c r="H81" i="2"/>
  <c r="I81" i="2"/>
  <c r="G82" i="2"/>
  <c r="H82" i="2"/>
  <c r="I82" i="2"/>
  <c r="G83" i="2"/>
  <c r="H83" i="2"/>
  <c r="I83" i="2"/>
  <c r="G84" i="2"/>
  <c r="I84" i="2" s="1"/>
  <c r="H84" i="2"/>
  <c r="G85" i="2"/>
  <c r="H85" i="2"/>
  <c r="I85" i="2"/>
  <c r="G86" i="2"/>
  <c r="H86" i="2"/>
  <c r="I86" i="2"/>
  <c r="G87" i="2"/>
  <c r="H87" i="2"/>
  <c r="I87" i="2"/>
  <c r="G88" i="2"/>
  <c r="H88" i="2"/>
  <c r="I88" i="2"/>
  <c r="G89" i="2"/>
  <c r="I89" i="2" s="1"/>
  <c r="H89" i="2"/>
  <c r="G90" i="2"/>
  <c r="H90" i="2"/>
  <c r="I90" i="2"/>
  <c r="G91" i="2"/>
  <c r="H91" i="2"/>
  <c r="I91" i="2"/>
  <c r="G92" i="2"/>
  <c r="H92" i="2"/>
  <c r="I92" i="2"/>
  <c r="G93" i="2"/>
  <c r="I93" i="2" s="1"/>
  <c r="H93" i="2"/>
  <c r="G94" i="2"/>
  <c r="H94" i="2"/>
  <c r="I94" i="2"/>
  <c r="G95" i="2"/>
  <c r="I95" i="2" s="1"/>
  <c r="H95" i="2"/>
  <c r="G96" i="2"/>
  <c r="H96" i="2"/>
  <c r="I96" i="2"/>
  <c r="G97" i="2"/>
  <c r="H97" i="2"/>
  <c r="I97" i="2"/>
  <c r="G98" i="2"/>
  <c r="H98" i="2"/>
  <c r="I98" i="2"/>
  <c r="G99" i="2"/>
  <c r="H99" i="2"/>
  <c r="I99" i="2"/>
  <c r="G100" i="2"/>
  <c r="I100" i="2" s="1"/>
  <c r="H100" i="2"/>
  <c r="G101" i="2"/>
  <c r="H101" i="2"/>
  <c r="I101" i="2"/>
  <c r="G102" i="2"/>
  <c r="H102" i="2"/>
  <c r="I102" i="2"/>
  <c r="G103" i="2"/>
  <c r="H103" i="2"/>
  <c r="I103" i="2"/>
  <c r="G104" i="2"/>
  <c r="I104" i="2" s="1"/>
  <c r="H104" i="2"/>
  <c r="G105" i="2"/>
  <c r="H105" i="2"/>
  <c r="I105" i="2"/>
  <c r="G106" i="2"/>
  <c r="H106" i="2"/>
  <c r="I106" i="2"/>
  <c r="G107" i="2"/>
  <c r="H107" i="2"/>
  <c r="I107" i="2"/>
  <c r="G108" i="2"/>
  <c r="H108" i="2"/>
  <c r="I108" i="2"/>
  <c r="G109" i="2"/>
  <c r="H109" i="2"/>
  <c r="I109" i="2"/>
  <c r="G110" i="2"/>
  <c r="H110" i="2"/>
  <c r="I110" i="2"/>
  <c r="G111" i="2"/>
  <c r="H111" i="2"/>
  <c r="I111" i="2"/>
  <c r="G112" i="2"/>
  <c r="H112" i="2"/>
  <c r="I112" i="2"/>
  <c r="G113" i="2"/>
  <c r="H113" i="2"/>
  <c r="I113" i="2"/>
  <c r="G114" i="2"/>
  <c r="H114" i="2"/>
  <c r="I114" i="2"/>
  <c r="G115" i="2"/>
  <c r="H115" i="2"/>
  <c r="I115" i="2"/>
  <c r="G116" i="2"/>
  <c r="I116" i="2" s="1"/>
  <c r="H116" i="2"/>
  <c r="G117" i="2"/>
  <c r="H117" i="2"/>
  <c r="I117" i="2"/>
  <c r="G118" i="2"/>
  <c r="H118" i="2"/>
  <c r="I118" i="2"/>
  <c r="G119" i="2"/>
  <c r="H119" i="2"/>
  <c r="I119" i="2"/>
  <c r="G120" i="2"/>
  <c r="H120" i="2"/>
  <c r="I120" i="2"/>
  <c r="G121" i="2"/>
  <c r="I121" i="2" s="1"/>
  <c r="H121" i="2"/>
  <c r="G122" i="2"/>
  <c r="H122" i="2"/>
  <c r="I122" i="2"/>
  <c r="G123" i="2"/>
  <c r="H123" i="2"/>
  <c r="I123" i="2"/>
  <c r="G124" i="2"/>
  <c r="H124" i="2"/>
  <c r="I124" i="2"/>
  <c r="G125" i="2"/>
  <c r="I125" i="2" s="1"/>
  <c r="H125" i="2"/>
  <c r="G126" i="2"/>
  <c r="H126" i="2"/>
  <c r="I126" i="2"/>
  <c r="G127" i="2"/>
  <c r="I127" i="2" s="1"/>
  <c r="H127" i="2"/>
  <c r="G128" i="2"/>
  <c r="H128" i="2"/>
  <c r="I128" i="2"/>
  <c r="G129" i="2"/>
  <c r="H129" i="2"/>
  <c r="I129" i="2"/>
  <c r="G130" i="2"/>
  <c r="H130" i="2"/>
  <c r="I130" i="2"/>
  <c r="G131" i="2"/>
  <c r="H131" i="2"/>
  <c r="I131" i="2"/>
  <c r="G132" i="2"/>
  <c r="I132" i="2" s="1"/>
  <c r="H132" i="2"/>
  <c r="G133" i="2"/>
  <c r="H133" i="2"/>
  <c r="I133" i="2"/>
  <c r="G134" i="2"/>
  <c r="H134" i="2"/>
  <c r="I134" i="2"/>
  <c r="G135" i="2"/>
  <c r="H135" i="2"/>
  <c r="I135" i="2"/>
  <c r="G136" i="2"/>
  <c r="I136" i="2" s="1"/>
  <c r="H136" i="2"/>
  <c r="G137" i="2"/>
  <c r="H137" i="2"/>
  <c r="I137" i="2"/>
  <c r="G138" i="2"/>
  <c r="H138" i="2"/>
  <c r="I138" i="2"/>
  <c r="G139" i="2"/>
  <c r="H139" i="2"/>
  <c r="I139" i="2"/>
  <c r="G140" i="2"/>
  <c r="H140" i="2"/>
  <c r="I140" i="2"/>
  <c r="G141" i="2"/>
  <c r="H141" i="2"/>
  <c r="I141" i="2"/>
  <c r="G142" i="2"/>
  <c r="H142" i="2"/>
  <c r="I142" i="2"/>
  <c r="G143" i="2"/>
  <c r="H143" i="2"/>
  <c r="I143" i="2"/>
  <c r="G144" i="2"/>
  <c r="H144" i="2"/>
  <c r="I144" i="2"/>
  <c r="G145" i="2"/>
  <c r="H145" i="2"/>
  <c r="I145" i="2"/>
  <c r="G146" i="2"/>
  <c r="H146" i="2"/>
  <c r="I146" i="2"/>
  <c r="G147" i="2"/>
  <c r="I147" i="2" s="1"/>
  <c r="H147" i="2"/>
  <c r="G148" i="2"/>
  <c r="I148" i="2" s="1"/>
  <c r="H148" i="2"/>
  <c r="G149" i="2"/>
  <c r="H149" i="2"/>
  <c r="I149" i="2"/>
  <c r="G150" i="2"/>
  <c r="H150" i="2"/>
  <c r="I150" i="2"/>
  <c r="G151" i="2"/>
  <c r="H151" i="2"/>
  <c r="I151" i="2"/>
  <c r="G152" i="2"/>
  <c r="H152" i="2"/>
  <c r="I152" i="2"/>
  <c r="G153" i="2"/>
  <c r="I153" i="2" s="1"/>
  <c r="H153" i="2"/>
  <c r="G154" i="2"/>
  <c r="H154" i="2"/>
  <c r="I154" i="2"/>
  <c r="G155" i="2"/>
  <c r="H155" i="2"/>
  <c r="I155" i="2"/>
  <c r="G156" i="2"/>
  <c r="H156" i="2"/>
  <c r="I156" i="2"/>
  <c r="G157" i="2"/>
  <c r="I157" i="2" s="1"/>
  <c r="H157" i="2"/>
  <c r="G158" i="2"/>
  <c r="H158" i="2"/>
  <c r="I158" i="2"/>
  <c r="G159" i="2"/>
  <c r="I159" i="2" s="1"/>
  <c r="H159" i="2"/>
  <c r="G160" i="2"/>
  <c r="H160" i="2"/>
  <c r="I160" i="2"/>
  <c r="G161" i="2"/>
  <c r="H161" i="2"/>
  <c r="I161" i="2"/>
  <c r="G162" i="2"/>
  <c r="H162" i="2"/>
  <c r="I162" i="2"/>
  <c r="G163" i="2"/>
  <c r="H163" i="2"/>
  <c r="I163" i="2"/>
  <c r="G164" i="2"/>
  <c r="I164" i="2" s="1"/>
  <c r="H164" i="2"/>
  <c r="G165" i="2"/>
  <c r="H165" i="2"/>
  <c r="I165" i="2"/>
  <c r="G166" i="2"/>
  <c r="H166" i="2"/>
  <c r="I166" i="2"/>
  <c r="G167" i="2"/>
  <c r="H167" i="2"/>
  <c r="I167" i="2"/>
  <c r="G168" i="2"/>
  <c r="I168" i="2" s="1"/>
  <c r="H168" i="2"/>
  <c r="G169" i="2"/>
  <c r="H169" i="2"/>
  <c r="I169" i="2"/>
  <c r="G170" i="2"/>
  <c r="H170" i="2"/>
  <c r="I170" i="2"/>
  <c r="G171" i="2"/>
  <c r="H171" i="2"/>
  <c r="I171" i="2"/>
  <c r="G172" i="2"/>
  <c r="H172" i="2"/>
  <c r="I172" i="2"/>
  <c r="G173" i="2"/>
  <c r="H173" i="2"/>
  <c r="I173" i="2"/>
  <c r="G174" i="2"/>
  <c r="H174" i="2"/>
  <c r="I174" i="2"/>
  <c r="G175" i="2"/>
  <c r="H175" i="2"/>
  <c r="I175" i="2"/>
  <c r="G176" i="2"/>
  <c r="H176" i="2"/>
  <c r="I176" i="2"/>
  <c r="G177" i="2"/>
  <c r="H177" i="2"/>
  <c r="I177" i="2"/>
  <c r="G178" i="2"/>
  <c r="H178" i="2"/>
  <c r="I178" i="2"/>
  <c r="G179" i="2"/>
  <c r="I179" i="2" s="1"/>
  <c r="H179" i="2"/>
  <c r="G180" i="2"/>
  <c r="I180" i="2" s="1"/>
  <c r="H180" i="2"/>
  <c r="G181" i="2"/>
  <c r="H181" i="2"/>
  <c r="I181" i="2"/>
  <c r="G182" i="2"/>
  <c r="H182" i="2"/>
  <c r="I182" i="2"/>
  <c r="G183" i="2"/>
  <c r="H183" i="2"/>
  <c r="I183" i="2"/>
  <c r="G184" i="2"/>
  <c r="H184" i="2"/>
  <c r="I184" i="2"/>
  <c r="G185" i="2"/>
  <c r="I185" i="2" s="1"/>
  <c r="H185" i="2"/>
  <c r="G186" i="2"/>
  <c r="H186" i="2"/>
  <c r="I186" i="2"/>
  <c r="G187" i="2"/>
  <c r="H187" i="2"/>
  <c r="I187" i="2"/>
  <c r="G188" i="2"/>
  <c r="H188" i="2"/>
  <c r="I188" i="2"/>
  <c r="G189" i="2"/>
  <c r="I189" i="2" s="1"/>
  <c r="H189" i="2"/>
  <c r="G190" i="2"/>
  <c r="H190" i="2"/>
  <c r="I190" i="2"/>
  <c r="G191" i="2"/>
  <c r="I191" i="2" s="1"/>
  <c r="H191" i="2"/>
  <c r="G192" i="2"/>
  <c r="H192" i="2"/>
  <c r="I192" i="2"/>
  <c r="G193" i="2"/>
  <c r="H193" i="2"/>
  <c r="I193" i="2"/>
  <c r="G194" i="2"/>
  <c r="H194" i="2"/>
  <c r="I194" i="2"/>
  <c r="G195" i="2"/>
  <c r="H195" i="2"/>
  <c r="I195" i="2"/>
  <c r="G196" i="2"/>
  <c r="I196" i="2" s="1"/>
  <c r="H196" i="2"/>
  <c r="G197" i="2"/>
  <c r="H197" i="2"/>
  <c r="I197" i="2"/>
  <c r="G198" i="2"/>
  <c r="H198" i="2"/>
  <c r="I198" i="2"/>
  <c r="G199" i="2"/>
  <c r="H199" i="2"/>
  <c r="I199" i="2"/>
  <c r="G200" i="2"/>
  <c r="I200" i="2" s="1"/>
  <c r="H200" i="2"/>
  <c r="G201" i="2"/>
  <c r="H201" i="2"/>
  <c r="I201" i="2"/>
  <c r="G202" i="2"/>
  <c r="H202" i="2"/>
  <c r="I202" i="2"/>
  <c r="G203" i="2"/>
  <c r="H203" i="2"/>
  <c r="I203" i="2"/>
  <c r="G204" i="2"/>
  <c r="H204" i="2"/>
  <c r="I204" i="2"/>
  <c r="G205" i="2"/>
  <c r="H205" i="2"/>
  <c r="I205" i="2"/>
  <c r="G206" i="2"/>
  <c r="H206" i="2"/>
  <c r="I206" i="2"/>
  <c r="G207" i="2"/>
  <c r="H207" i="2"/>
  <c r="I207" i="2"/>
  <c r="G208" i="2"/>
  <c r="H208" i="2"/>
  <c r="I208" i="2"/>
  <c r="G209" i="2"/>
  <c r="H209" i="2"/>
  <c r="I209" i="2"/>
  <c r="G210" i="2"/>
  <c r="H210" i="2"/>
  <c r="I210" i="2"/>
  <c r="G211" i="2"/>
  <c r="I211" i="2" s="1"/>
  <c r="H211" i="2"/>
  <c r="G212" i="2"/>
  <c r="I212" i="2" s="1"/>
  <c r="H212" i="2"/>
  <c r="G213" i="2"/>
  <c r="H213" i="2"/>
  <c r="I213" i="2"/>
  <c r="G214" i="2"/>
  <c r="H214" i="2"/>
  <c r="I214" i="2"/>
  <c r="G215" i="2"/>
  <c r="H215" i="2"/>
  <c r="I215" i="2"/>
  <c r="G216" i="2"/>
  <c r="H216" i="2"/>
  <c r="I216" i="2"/>
  <c r="G217" i="2"/>
  <c r="I217" i="2" s="1"/>
  <c r="H217" i="2"/>
  <c r="G218" i="2"/>
  <c r="H218" i="2"/>
  <c r="I218" i="2"/>
  <c r="G219" i="2"/>
  <c r="H219" i="2"/>
  <c r="I219" i="2"/>
  <c r="G220" i="2"/>
  <c r="H220" i="2"/>
  <c r="I220" i="2"/>
  <c r="G221" i="2"/>
  <c r="I221" i="2" s="1"/>
  <c r="H221" i="2"/>
  <c r="G222" i="2"/>
  <c r="H222" i="2"/>
  <c r="I222" i="2"/>
  <c r="G223" i="2"/>
  <c r="I223" i="2" s="1"/>
  <c r="H223" i="2"/>
  <c r="G224" i="2"/>
  <c r="H224" i="2"/>
  <c r="I224" i="2"/>
  <c r="G225" i="2"/>
  <c r="H225" i="2"/>
  <c r="I225" i="2"/>
  <c r="G226" i="2"/>
  <c r="H226" i="2"/>
  <c r="I226" i="2"/>
  <c r="G227" i="2"/>
  <c r="H227" i="2"/>
  <c r="I227" i="2"/>
  <c r="G228" i="2"/>
  <c r="I228" i="2" s="1"/>
  <c r="H228" i="2"/>
  <c r="G229" i="2"/>
  <c r="H229" i="2"/>
  <c r="I229" i="2"/>
  <c r="G230" i="2"/>
  <c r="H230" i="2"/>
  <c r="I230" i="2"/>
  <c r="G231" i="2"/>
  <c r="H231" i="2"/>
  <c r="I231" i="2"/>
  <c r="G232" i="2"/>
  <c r="I232" i="2" s="1"/>
  <c r="H232" i="2"/>
  <c r="G233" i="2"/>
  <c r="H233" i="2"/>
  <c r="I233" i="2"/>
  <c r="G234" i="2"/>
  <c r="H234" i="2"/>
  <c r="I234" i="2"/>
  <c r="G235" i="2"/>
  <c r="H235" i="2"/>
  <c r="I235" i="2"/>
  <c r="G236" i="2"/>
  <c r="H236" i="2"/>
  <c r="I236" i="2"/>
  <c r="G237" i="2"/>
  <c r="H237" i="2"/>
  <c r="I237" i="2"/>
  <c r="G238" i="2"/>
  <c r="H238" i="2"/>
  <c r="I238" i="2"/>
  <c r="G239" i="2"/>
  <c r="H239" i="2"/>
  <c r="I239" i="2"/>
  <c r="G240" i="2"/>
  <c r="H240" i="2"/>
  <c r="I240" i="2"/>
  <c r="G241" i="2"/>
  <c r="H241" i="2"/>
  <c r="I241" i="2"/>
  <c r="G242" i="2"/>
  <c r="H242" i="2"/>
  <c r="I242" i="2"/>
  <c r="G243" i="2"/>
  <c r="I243" i="2" s="1"/>
  <c r="H243" i="2"/>
  <c r="G244" i="2"/>
  <c r="I244" i="2" s="1"/>
  <c r="H244" i="2"/>
  <c r="G245" i="2"/>
  <c r="H245" i="2"/>
  <c r="I245" i="2"/>
  <c r="G246" i="2"/>
  <c r="H246" i="2"/>
  <c r="I246" i="2"/>
  <c r="G247" i="2"/>
  <c r="H247" i="2"/>
  <c r="I247" i="2"/>
  <c r="G248" i="2"/>
  <c r="H248" i="2"/>
  <c r="I248" i="2"/>
  <c r="G249" i="2"/>
  <c r="I249" i="2" s="1"/>
  <c r="H249" i="2"/>
  <c r="G250" i="2"/>
  <c r="H250" i="2"/>
  <c r="I250" i="2"/>
  <c r="G251" i="2"/>
  <c r="H251" i="2"/>
  <c r="I251" i="2"/>
  <c r="G252" i="2"/>
  <c r="H252" i="2"/>
  <c r="I252" i="2"/>
  <c r="G253" i="2"/>
  <c r="I253" i="2" s="1"/>
  <c r="H253" i="2"/>
  <c r="G254" i="2"/>
  <c r="H254" i="2"/>
  <c r="I254" i="2"/>
  <c r="G255" i="2"/>
  <c r="I255" i="2" s="1"/>
  <c r="H255" i="2"/>
  <c r="G256" i="2"/>
  <c r="H256" i="2"/>
  <c r="I256" i="2"/>
  <c r="G257" i="2"/>
  <c r="H257" i="2"/>
  <c r="I257" i="2"/>
  <c r="G258" i="2"/>
  <c r="H258" i="2"/>
  <c r="I258" i="2"/>
  <c r="G259" i="2"/>
  <c r="H259" i="2"/>
  <c r="I259" i="2"/>
  <c r="G260" i="2"/>
  <c r="I260" i="2" s="1"/>
  <c r="H260" i="2"/>
  <c r="G261" i="2"/>
  <c r="H261" i="2"/>
  <c r="I261" i="2"/>
  <c r="G262" i="2"/>
  <c r="H262" i="2"/>
  <c r="I262" i="2"/>
  <c r="G263" i="2"/>
  <c r="H263" i="2"/>
  <c r="I263" i="2"/>
  <c r="G264" i="2"/>
  <c r="I264" i="2" s="1"/>
  <c r="H264" i="2"/>
  <c r="I18" i="2"/>
  <c r="H18" i="2"/>
  <c r="G18"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3" authorId="0" shapeId="0" xr:uid="{348CF9BB-00C2-4228-B1CC-E85E8542D7A0}">
      <text>
        <r>
          <rPr>
            <sz val="10"/>
            <rFont val="Arial"/>
            <family val="2"/>
          </rPr>
          <t>The single lever that drives the whole workbook. 0.5 = six months. Every carry, breakeven and grid figure recalculates off this cell.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5" authorId="0" shapeId="0" xr:uid="{A4BFEE49-C557-4724-9BD8-41FAE818FA16}">
      <text>
        <r>
          <rPr>
            <sz val="10"/>
            <rFont val="Arial"/>
            <family val="2"/>
          </rPr>
          <t>Yield x holding period. This is the '4%'. It is NOT cash in hand — see the next two columns.</t>
        </r>
      </text>
    </comment>
    <comment ref="D5" authorId="0" shapeId="0" xr:uid="{CB682908-819B-4346-A008-1966EFE3D949}">
      <text>
        <r>
          <rPr>
            <sz val="10"/>
            <rFont val="Arial"/>
            <family val="2"/>
          </rPr>
          <t>Coupon actually paid over the horizon, as a percentage of the price you paid. You keep this unless there is a credit event.</t>
        </r>
      </text>
    </comment>
    <comment ref="E5" authorId="0" shapeId="0" xr:uid="{91E40C3B-CA9D-4313-95DE-A25D4D35971A}">
      <text>
        <r>
          <rPr>
            <sz val="10"/>
            <rFont val="Arial"/>
            <family val="2"/>
          </rPr>
          <t>Pull-to-par accretion. Only realised if the curve does not move against you. This is the half of the '4%' that evaporates in a selloff.</t>
        </r>
      </text>
    </comment>
    <comment ref="H5" authorId="0" shapeId="0" xr:uid="{BB35134A-2C11-4B5B-82A0-0B32CDE0E273}">
      <text>
        <r>
          <rPr>
            <sz val="10"/>
            <rFont val="Arial"/>
            <family val="2"/>
          </rPr>
          <t>Solves 0.5*C*x^2 - D*x + carry = 0 for x. Convexity works in your favour, so this is always a little wider than the duration-only number.</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<sst xmlns="http://schemas.openxmlformats.org/spreadsheetml/2006/main" count="1788" uniqueCount="735">
  <si>
    <t>24mo inflation expectations</t>
  </si>
  <si>
    <t>12mo inflation expectations</t>
  </si>
  <si>
    <t>N213VC1M@EMERGELA</t>
  </si>
  <si>
    <t>N213VC2M@EMERGELA</t>
  </si>
  <si>
    <t>11606 !M</t>
  </si>
  <si>
    <t>1606</t>
  </si>
  <si>
    <t>.MAG</t>
  </si>
  <si>
    <t>.DATA_TYPE</t>
  </si>
  <si>
    <t>.SOURCE</t>
  </si>
  <si>
    <t>.DESC</t>
  </si>
  <si>
    <t>0</t>
  </si>
  <si>
    <t>%</t>
  </si>
  <si>
    <t>BCRA</t>
  </si>
  <si>
    <t>Argentina: Median National CPI Inflation Expectations, 12 months (%)</t>
  </si>
  <si>
    <t>Argentina: Median National CPI Inflation Expectations, 24 months (%)</t>
  </si>
  <si>
    <t>1607</t>
  </si>
  <si>
    <t>1608</t>
  </si>
  <si>
    <t>1609</t>
  </si>
  <si>
    <t>1610</t>
  </si>
  <si>
    <t>1611</t>
  </si>
  <si>
    <t>1612</t>
  </si>
  <si>
    <t>1701</t>
  </si>
  <si>
    <t>1702</t>
  </si>
  <si>
    <t>1703</t>
  </si>
  <si>
    <t>1704</t>
  </si>
  <si>
    <t>1705</t>
  </si>
  <si>
    <t>1706</t>
  </si>
  <si>
    <t>1707</t>
  </si>
  <si>
    <t>1708</t>
  </si>
  <si>
    <t>1709</t>
  </si>
  <si>
    <t>1710</t>
  </si>
  <si>
    <t>1711</t>
  </si>
  <si>
    <t>1712</t>
  </si>
  <si>
    <t>1801</t>
  </si>
  <si>
    <t>1802</t>
  </si>
  <si>
    <t>1803</t>
  </si>
  <si>
    <t>1804</t>
  </si>
  <si>
    <t>1805</t>
  </si>
  <si>
    <t>1806</t>
  </si>
  <si>
    <t>1807</t>
  </si>
  <si>
    <t>1808</t>
  </si>
  <si>
    <t>1809</t>
  </si>
  <si>
    <t>1810</t>
  </si>
  <si>
    <t>1811</t>
  </si>
  <si>
    <t>1812</t>
  </si>
  <si>
    <t>1901</t>
  </si>
  <si>
    <t>1902</t>
  </si>
  <si>
    <t>1903</t>
  </si>
  <si>
    <t>1904</t>
  </si>
  <si>
    <t>1905</t>
  </si>
  <si>
    <t>1906</t>
  </si>
  <si>
    <t>1907</t>
  </si>
  <si>
    <t>1908</t>
  </si>
  <si>
    <t>1909</t>
  </si>
  <si>
    <t>1910</t>
  </si>
  <si>
    <t>1911</t>
  </si>
  <si>
    <t>1912</t>
  </si>
  <si>
    <t>2001</t>
  </si>
  <si>
    <t>2002</t>
  </si>
  <si>
    <t>2003</t>
  </si>
  <si>
    <t>2004</t>
  </si>
  <si>
    <t>2005</t>
  </si>
  <si>
    <t>2006</t>
  </si>
  <si>
    <t>2007</t>
  </si>
  <si>
    <t>2008</t>
  </si>
  <si>
    <t>2009</t>
  </si>
  <si>
    <t>2010</t>
  </si>
  <si>
    <t>2011</t>
  </si>
  <si>
    <t>2012</t>
  </si>
  <si>
    <t>2101</t>
  </si>
  <si>
    <t>2102</t>
  </si>
  <si>
    <t>2103</t>
  </si>
  <si>
    <t>2104</t>
  </si>
  <si>
    <t>2105</t>
  </si>
  <si>
    <t>2106</t>
  </si>
  <si>
    <t>2107</t>
  </si>
  <si>
    <t>2108</t>
  </si>
  <si>
    <t>2109</t>
  </si>
  <si>
    <t>2110</t>
  </si>
  <si>
    <t>2111</t>
  </si>
  <si>
    <t>2112</t>
  </si>
  <si>
    <t>2201</t>
  </si>
  <si>
    <t>2202</t>
  </si>
  <si>
    <t>2203</t>
  </si>
  <si>
    <t>2204</t>
  </si>
  <si>
    <t>2205</t>
  </si>
  <si>
    <t>2206</t>
  </si>
  <si>
    <t>2207</t>
  </si>
  <si>
    <t>2208</t>
  </si>
  <si>
    <t>2209</t>
  </si>
  <si>
    <t>2210</t>
  </si>
  <si>
    <t>2211</t>
  </si>
  <si>
    <t>2212</t>
  </si>
  <si>
    <t>2301</t>
  </si>
  <si>
    <t>2302</t>
  </si>
  <si>
    <t>2303</t>
  </si>
  <si>
    <t>2304</t>
  </si>
  <si>
    <t>2305</t>
  </si>
  <si>
    <t>2306</t>
  </si>
  <si>
    <t>2307</t>
  </si>
  <si>
    <t>2308</t>
  </si>
  <si>
    <t>2309</t>
  </si>
  <si>
    <t>2310</t>
  </si>
  <si>
    <t>2311</t>
  </si>
  <si>
    <t>2312</t>
  </si>
  <si>
    <t>2401</t>
  </si>
  <si>
    <t>2402</t>
  </si>
  <si>
    <t>2403</t>
  </si>
  <si>
    <t>2404</t>
  </si>
  <si>
    <t>2405</t>
  </si>
  <si>
    <t>2406</t>
  </si>
  <si>
    <t>2407</t>
  </si>
  <si>
    <t>2408</t>
  </si>
  <si>
    <t>2409</t>
  </si>
  <si>
    <t>2410</t>
  </si>
  <si>
    <t>2411</t>
  </si>
  <si>
    <t>2412</t>
  </si>
  <si>
    <t>2501</t>
  </si>
  <si>
    <t>2502</t>
  </si>
  <si>
    <t>2503</t>
  </si>
  <si>
    <t>2504</t>
  </si>
  <si>
    <t>2505</t>
  </si>
  <si>
    <t>2506</t>
  </si>
  <si>
    <t>2507</t>
  </si>
  <si>
    <t>2508</t>
  </si>
  <si>
    <t>2509</t>
  </si>
  <si>
    <t>2510</t>
  </si>
  <si>
    <t>2511</t>
  </si>
  <si>
    <t>2512</t>
  </si>
  <si>
    <t>2601</t>
  </si>
  <si>
    <t>2602</t>
  </si>
  <si>
    <t>2603</t>
  </si>
  <si>
    <t>2604</t>
  </si>
  <si>
    <t>2605</t>
  </si>
  <si>
    <t>2606</t>
  </si>
  <si>
    <t>2607</t>
  </si>
  <si>
    <t xml:space="preserve">30% annual mark </t>
  </si>
  <si>
    <t>Trade balance</t>
  </si>
  <si>
    <t>N213IXFN@EMERGELA</t>
  </si>
  <si>
    <t>Exports of energy</t>
  </si>
  <si>
    <t>Imports of energy</t>
  </si>
  <si>
    <t>N213IMF@EMERGELA</t>
  </si>
  <si>
    <t>N213IBD@EMERGELA</t>
  </si>
  <si>
    <t>10501 !M</t>
  </si>
  <si>
    <t>0501</t>
  </si>
  <si>
    <t>6</t>
  </si>
  <si>
    <t>US$</t>
  </si>
  <si>
    <t>INDEC</t>
  </si>
  <si>
    <t>Argentina: Goods Trade Balance (NSA, Mil.US$)</t>
  </si>
  <si>
    <t>Argentina: Exports of Fuels &amp; Energy (NSA, Mil.US$)</t>
  </si>
  <si>
    <t>Argentina: Imports: Manufacture Fuels and Lubricants (NSA, Mil.US$)</t>
  </si>
  <si>
    <t>0502</t>
  </si>
  <si>
    <t>0503</t>
  </si>
  <si>
    <t>0504</t>
  </si>
  <si>
    <t>0505</t>
  </si>
  <si>
    <t>0506</t>
  </si>
  <si>
    <t>0507</t>
  </si>
  <si>
    <t>0508</t>
  </si>
  <si>
    <t>0509</t>
  </si>
  <si>
    <t>0510</t>
  </si>
  <si>
    <t>0511</t>
  </si>
  <si>
    <t>0512</t>
  </si>
  <si>
    <t>0601</t>
  </si>
  <si>
    <t>0602</t>
  </si>
  <si>
    <t>0603</t>
  </si>
  <si>
    <t>0604</t>
  </si>
  <si>
    <t>0605</t>
  </si>
  <si>
    <t>0606</t>
  </si>
  <si>
    <t>0607</t>
  </si>
  <si>
    <t>0608</t>
  </si>
  <si>
    <t>0609</t>
  </si>
  <si>
    <t>0610</t>
  </si>
  <si>
    <t>0611</t>
  </si>
  <si>
    <t>0612</t>
  </si>
  <si>
    <t>0701</t>
  </si>
  <si>
    <t>0702</t>
  </si>
  <si>
    <t>0703</t>
  </si>
  <si>
    <t>0704</t>
  </si>
  <si>
    <t>0705</t>
  </si>
  <si>
    <t>0706</t>
  </si>
  <si>
    <t>0707</t>
  </si>
  <si>
    <t>0708</t>
  </si>
  <si>
    <t>0709</t>
  </si>
  <si>
    <t>0710</t>
  </si>
  <si>
    <t>0711</t>
  </si>
  <si>
    <t>0712</t>
  </si>
  <si>
    <t>0801</t>
  </si>
  <si>
    <t>0802</t>
  </si>
  <si>
    <t>0803</t>
  </si>
  <si>
    <t>0804</t>
  </si>
  <si>
    <t>0805</t>
  </si>
  <si>
    <t>0806</t>
  </si>
  <si>
    <t>0807</t>
  </si>
  <si>
    <t>0808</t>
  </si>
  <si>
    <t>0809</t>
  </si>
  <si>
    <t>0810</t>
  </si>
  <si>
    <t>0811</t>
  </si>
  <si>
    <t>0812</t>
  </si>
  <si>
    <t>0901</t>
  </si>
  <si>
    <t>0902</t>
  </si>
  <si>
    <t>0903</t>
  </si>
  <si>
    <t>0904</t>
  </si>
  <si>
    <t>0905</t>
  </si>
  <si>
    <t>0906</t>
  </si>
  <si>
    <t>0907</t>
  </si>
  <si>
    <t>0908</t>
  </si>
  <si>
    <t>0909</t>
  </si>
  <si>
    <t>0910</t>
  </si>
  <si>
    <t>0911</t>
  </si>
  <si>
    <t>0912</t>
  </si>
  <si>
    <t>1001</t>
  </si>
  <si>
    <t>1002</t>
  </si>
  <si>
    <t>1003</t>
  </si>
  <si>
    <t>1004</t>
  </si>
  <si>
    <t>1005</t>
  </si>
  <si>
    <t>1006</t>
  </si>
  <si>
    <t>1007</t>
  </si>
  <si>
    <t>1008</t>
  </si>
  <si>
    <t>1009</t>
  </si>
  <si>
    <t>1010</t>
  </si>
  <si>
    <t>1011</t>
  </si>
  <si>
    <t>1012</t>
  </si>
  <si>
    <t>1101</t>
  </si>
  <si>
    <t>1102</t>
  </si>
  <si>
    <t>1103</t>
  </si>
  <si>
    <t>1104</t>
  </si>
  <si>
    <t>1105</t>
  </si>
  <si>
    <t>1106</t>
  </si>
  <si>
    <t>1107</t>
  </si>
  <si>
    <t>1108</t>
  </si>
  <si>
    <t>1109</t>
  </si>
  <si>
    <t>1110</t>
  </si>
  <si>
    <t>1111</t>
  </si>
  <si>
    <t>1112</t>
  </si>
  <si>
    <t>1201</t>
  </si>
  <si>
    <t>1202</t>
  </si>
  <si>
    <t>1203</t>
  </si>
  <si>
    <t>1204</t>
  </si>
  <si>
    <t>1205</t>
  </si>
  <si>
    <t>1206</t>
  </si>
  <si>
    <t>1207</t>
  </si>
  <si>
    <t>1208</t>
  </si>
  <si>
    <t>1209</t>
  </si>
  <si>
    <t>1210</t>
  </si>
  <si>
    <t>1211</t>
  </si>
  <si>
    <t>1212</t>
  </si>
  <si>
    <t>1301</t>
  </si>
  <si>
    <t>1302</t>
  </si>
  <si>
    <t>1303</t>
  </si>
  <si>
    <t>1304</t>
  </si>
  <si>
    <t>1305</t>
  </si>
  <si>
    <t>1306</t>
  </si>
  <si>
    <t>1307</t>
  </si>
  <si>
    <t>1308</t>
  </si>
  <si>
    <t>1309</t>
  </si>
  <si>
    <t>1310</t>
  </si>
  <si>
    <t>1311</t>
  </si>
  <si>
    <t>1312</t>
  </si>
  <si>
    <t>1401</t>
  </si>
  <si>
    <t>1402</t>
  </si>
  <si>
    <t>1403</t>
  </si>
  <si>
    <t>1404</t>
  </si>
  <si>
    <t>1405</t>
  </si>
  <si>
    <t>1406</t>
  </si>
  <si>
    <t>1407</t>
  </si>
  <si>
    <t>1408</t>
  </si>
  <si>
    <t>1409</t>
  </si>
  <si>
    <t>1410</t>
  </si>
  <si>
    <t>1411</t>
  </si>
  <si>
    <t>1412</t>
  </si>
  <si>
    <t>1501</t>
  </si>
  <si>
    <t>1502</t>
  </si>
  <si>
    <t>1503</t>
  </si>
  <si>
    <t>1504</t>
  </si>
  <si>
    <t>1505</t>
  </si>
  <si>
    <t>1506</t>
  </si>
  <si>
    <t>1507</t>
  </si>
  <si>
    <t>1508</t>
  </si>
  <si>
    <t>1509</t>
  </si>
  <si>
    <t>1510</t>
  </si>
  <si>
    <t>1511</t>
  </si>
  <si>
    <t>1512</t>
  </si>
  <si>
    <t>1601</t>
  </si>
  <si>
    <t>1602</t>
  </si>
  <si>
    <t>1603</t>
  </si>
  <si>
    <t>1604</t>
  </si>
  <si>
    <t>1605</t>
  </si>
  <si>
    <t xml:space="preserve">Non-energy </t>
  </si>
  <si>
    <t>Energy trade balance</t>
  </si>
  <si>
    <t>Full trade balance</t>
  </si>
  <si>
    <t>4Q 2022</t>
  </si>
  <si>
    <t>1Q 2023</t>
  </si>
  <si>
    <t>2Q 2023</t>
  </si>
  <si>
    <t>3Q 2023</t>
  </si>
  <si>
    <t>4Q 2023</t>
  </si>
  <si>
    <t>1Q 2024</t>
  </si>
  <si>
    <t>2Q 2024</t>
  </si>
  <si>
    <t>3Q 2024</t>
  </si>
  <si>
    <t>4Q 2024</t>
  </si>
  <si>
    <t>1Q 2025</t>
  </si>
  <si>
    <t>2Q 2025</t>
  </si>
  <si>
    <t>3Q 2025</t>
  </si>
  <si>
    <t>4Q 2025</t>
  </si>
  <si>
    <t>1Q 2026</t>
  </si>
  <si>
    <t>1101 !Q NA_</t>
  </si>
  <si>
    <t>.T1</t>
  </si>
  <si>
    <t>.AGG</t>
  </si>
  <si>
    <t>101</t>
  </si>
  <si>
    <t>102</t>
  </si>
  <si>
    <t>103</t>
  </si>
  <si>
    <t>104</t>
  </si>
  <si>
    <t>111</t>
  </si>
  <si>
    <t>112</t>
  </si>
  <si>
    <t>113</t>
  </si>
  <si>
    <t>114</t>
  </si>
  <si>
    <t>121</t>
  </si>
  <si>
    <t>122</t>
  </si>
  <si>
    <t>123</t>
  </si>
  <si>
    <t>124</t>
  </si>
  <si>
    <t>131</t>
  </si>
  <si>
    <t>132</t>
  </si>
  <si>
    <t>133</t>
  </si>
  <si>
    <t>134</t>
  </si>
  <si>
    <t>141</t>
  </si>
  <si>
    <t>142</t>
  </si>
  <si>
    <t>143</t>
  </si>
  <si>
    <t>144</t>
  </si>
  <si>
    <t>151</t>
  </si>
  <si>
    <t>152</t>
  </si>
  <si>
    <t>153</t>
  </si>
  <si>
    <t>154</t>
  </si>
  <si>
    <t>161</t>
  </si>
  <si>
    <t>162</t>
  </si>
  <si>
    <t>163</t>
  </si>
  <si>
    <t>164</t>
  </si>
  <si>
    <t>171</t>
  </si>
  <si>
    <t>172</t>
  </si>
  <si>
    <t>173</t>
  </si>
  <si>
    <t>174</t>
  </si>
  <si>
    <t>181</t>
  </si>
  <si>
    <t>182</t>
  </si>
  <si>
    <t>183</t>
  </si>
  <si>
    <t>184</t>
  </si>
  <si>
    <t>191</t>
  </si>
  <si>
    <t>192</t>
  </si>
  <si>
    <t>193</t>
  </si>
  <si>
    <t>194</t>
  </si>
  <si>
    <t>201</t>
  </si>
  <si>
    <t>202</t>
  </si>
  <si>
    <t>203</t>
  </si>
  <si>
    <t>204</t>
  </si>
  <si>
    <t>211</t>
  </si>
  <si>
    <t>212</t>
  </si>
  <si>
    <t>213</t>
  </si>
  <si>
    <t>214</t>
  </si>
  <si>
    <t>221</t>
  </si>
  <si>
    <t>222</t>
  </si>
  <si>
    <t>223</t>
  </si>
  <si>
    <t>224</t>
  </si>
  <si>
    <t>231</t>
  </si>
  <si>
    <t>232</t>
  </si>
  <si>
    <t>233</t>
  </si>
  <si>
    <t>234</t>
  </si>
  <si>
    <t>241</t>
  </si>
  <si>
    <t>242</t>
  </si>
  <si>
    <t>243</t>
  </si>
  <si>
    <t>244</t>
  </si>
  <si>
    <t>251</t>
  </si>
  <si>
    <t>252</t>
  </si>
  <si>
    <t>253</t>
  </si>
  <si>
    <t>254</t>
  </si>
  <si>
    <t>261</t>
  </si>
  <si>
    <t>CAB</t>
  </si>
  <si>
    <t>N213AC@EMERGELA</t>
  </si>
  <si>
    <t>Argentina: Balance of Payments: Current Account Balance (NSA, Mil.US$)</t>
  </si>
  <si>
    <t>Q1-1992</t>
  </si>
  <si>
    <t>Sum</t>
  </si>
  <si>
    <t>Merchandise</t>
  </si>
  <si>
    <t>N213ACG@EMERGELA</t>
  </si>
  <si>
    <t>Argentina: Balance of Payments: Goods (NSA, Mil.US$)</t>
  </si>
  <si>
    <t>Q1-1986</t>
  </si>
  <si>
    <t>Services</t>
  </si>
  <si>
    <t>N213ACS@EMERGELA</t>
  </si>
  <si>
    <t>Argentina: Balance of Payments: Services (NSA, Mil.US$)</t>
  </si>
  <si>
    <t>Income</t>
  </si>
  <si>
    <t>N213ACY@EMERGELA</t>
  </si>
  <si>
    <t>Argentina: Balance of Payments: Primary Income (NSA, Mil.US$)</t>
  </si>
  <si>
    <t>Q1-1994</t>
  </si>
  <si>
    <t>Transfers</t>
  </si>
  <si>
    <t>N213ACT@EMERGELA</t>
  </si>
  <si>
    <t>Argentina: Balance of Payments: Secondary Income (NSA, Mil.US$)</t>
  </si>
  <si>
    <t>K account</t>
  </si>
  <si>
    <t>N213AK@EMERGELA</t>
  </si>
  <si>
    <t>Argentina: Balance of Payments: Capital Account (NSA, Mil.US$)</t>
  </si>
  <si>
    <t>Q1-2006</t>
  </si>
  <si>
    <t>F. account</t>
  </si>
  <si>
    <t>N213AF@EMERGELA</t>
  </si>
  <si>
    <t>Argentina: Balance of Payments: Financial Account (NSA, Mil.US$)</t>
  </si>
  <si>
    <t>Net FDI</t>
  </si>
  <si>
    <t>N213AFI@EMERGELA</t>
  </si>
  <si>
    <t>Argentina: BOP: Fin Acct, Total Direct Investment (NSA, Mil.US$)</t>
  </si>
  <si>
    <t>P. flows</t>
  </si>
  <si>
    <t>N213AFP@EMERGELA</t>
  </si>
  <si>
    <t>Argentina: BOP: Fin Accnt: Portfolio Investment (NSA, Mil.US$)</t>
  </si>
  <si>
    <t>F. derivatives</t>
  </si>
  <si>
    <t>N213AFV@EMERGELA</t>
  </si>
  <si>
    <t>Argentina: BOP: Fin Accnt: Financial Derivatives (NSA, Mil.US$)</t>
  </si>
  <si>
    <t>O. investments</t>
  </si>
  <si>
    <t>N213AFO@EMERGELA</t>
  </si>
  <si>
    <t>Argentina: BOP: Financial Account, Other Investments (NSA, Mil.US$)</t>
  </si>
  <si>
    <t>Change reserves</t>
  </si>
  <si>
    <t>N213AFRA@EMERGELA</t>
  </si>
  <si>
    <t>Argentina: Balance of Payments: Change in Intl Reserves (NSA, Mil.US$)</t>
  </si>
  <si>
    <t>Errors and omission</t>
  </si>
  <si>
    <t>N213AERR@EMERGELA</t>
  </si>
  <si>
    <t>Argentina: Balance of Payments: Errors and Omissions (NSA, Mil.US$)</t>
  </si>
  <si>
    <t>GDP</t>
  </si>
  <si>
    <t>N213NGPD@EMERGELA</t>
  </si>
  <si>
    <t>Argentina: GDP at Current Prices &amp; Exchange Rates(NSA, Bil.US$)</t>
  </si>
  <si>
    <t>Q1-1993</t>
  </si>
  <si>
    <t>INDEC/H</t>
  </si>
  <si>
    <t>% of GDP</t>
  </si>
  <si>
    <t>Central bank gross FX reserves ($bn)</t>
  </si>
  <si>
    <t>Central bank net FX reserves ($bn)</t>
  </si>
  <si>
    <t>Word</t>
  </si>
  <si>
    <t>Central bank gross non-gold FX reserves ($bn)</t>
  </si>
  <si>
    <t>Repos</t>
  </si>
  <si>
    <t>Counters</t>
  </si>
  <si>
    <t>Gross reserves</t>
  </si>
  <si>
    <t>Net reserves</t>
  </si>
  <si>
    <t>Private USD deposits</t>
  </si>
  <si>
    <t>Gold</t>
  </si>
  <si>
    <t>Non-gold reserves</t>
  </si>
  <si>
    <t>11201 !M NA_</t>
  </si>
  <si>
    <t>FX reserves</t>
  </si>
  <si>
    <t>N213LFRG@EMERGELA</t>
  </si>
  <si>
    <t>Argentina: BCRA International Reserves (EOP, Mil.US$)</t>
  </si>
  <si>
    <t>Jan-1940</t>
  </si>
  <si>
    <t>End of Period</t>
  </si>
  <si>
    <t>Official reserve assets</t>
  </si>
  <si>
    <t>L213NAT@IFS</t>
  </si>
  <si>
    <t>Argentina: Official Reserve Assets (EOP, Mil.US$)</t>
  </si>
  <si>
    <t>Sep-2000</t>
  </si>
  <si>
    <t>IMF</t>
  </si>
  <si>
    <t>SDR</t>
  </si>
  <si>
    <t>L213NAS@IFS</t>
  </si>
  <si>
    <t>Argentina: Official Reserve Assets: SDRs (EOP, Mil.US$)</t>
  </si>
  <si>
    <t xml:space="preserve">L213NAG@IFS </t>
  </si>
  <si>
    <t>Argentina: Official Reserve Assets: Gold (EOP, Mil.US$)</t>
  </si>
  <si>
    <t>FX loans, securities, deposits</t>
  </si>
  <si>
    <t>L213NC@IFS</t>
  </si>
  <si>
    <t>Argentina: Predetermined ST Drains: Fgn Curr Loans/Secur/Deposits (EOP, Mil.US$)</t>
  </si>
  <si>
    <t>Dec-2005</t>
  </si>
  <si>
    <t>Outflow - principal</t>
  </si>
  <si>
    <t>L213NCOP@IFS</t>
  </si>
  <si>
    <t>Argentina: Predtrm ST Drain: Fgn Curr Loans/Sec/Dep: Princ Outflow (EOP,Mil.US$)</t>
  </si>
  <si>
    <t>Outflows - interests</t>
  </si>
  <si>
    <t>L213NCOI@IFS</t>
  </si>
  <si>
    <t>Argentina: Predtrm ST Drains: Fgn Curr Loans/Sec/Dep: Int Outflow (EOP, Mil.US$)</t>
  </si>
  <si>
    <t>May-2001</t>
  </si>
  <si>
    <t>Outflows related to repo</t>
  </si>
  <si>
    <t>L213NGOO@IFS</t>
  </si>
  <si>
    <t>Argentina: Predtrm ST Drains: Fgn Curr Outflows Related to Repos (EOP, Mil.US$)</t>
  </si>
  <si>
    <t>Jul-2007</t>
  </si>
  <si>
    <t>Short term shorts</t>
  </si>
  <si>
    <t>L213NGS@IFS</t>
  </si>
  <si>
    <t>Argentina: Predtrm ST Drains: Aggregate Short in Curr Fwrd/Futures (EOP,Mil.US$)</t>
  </si>
  <si>
    <t>Feb-2001</t>
  </si>
  <si>
    <t>Private sector FX deposits</t>
  </si>
  <si>
    <t>FX(C213MAN@EMERGELA)</t>
  </si>
  <si>
    <t>Argentina: BCRA: Absorptn Src: Dep by Fin Inst in Fgn Curr(EOP, Mil.US$)</t>
  </si>
  <si>
    <t>Jan-1994</t>
  </si>
  <si>
    <t>US$ &lt;- LocCur</t>
  </si>
  <si>
    <t>Deposits other than Repos</t>
  </si>
  <si>
    <t>Net FX reserves</t>
  </si>
  <si>
    <t xml:space="preserve">FX reserves - non gold </t>
  </si>
  <si>
    <t>Aug 2020\</t>
  </si>
  <si>
    <t xml:space="preserve">movt(N213FGB@EMERGELA,12) </t>
  </si>
  <si>
    <t xml:space="preserve">movt(N213FGPB@EMERGELA,12) </t>
  </si>
  <si>
    <t xml:space="preserve">movt(N213FECD@EMERGELA,12) </t>
  </si>
  <si>
    <t>N213NGDP@EMERGELA</t>
  </si>
  <si>
    <t>LocCur</t>
  </si>
  <si>
    <t>MH</t>
  </si>
  <si>
    <t>Argentina: Public Sector: Budget Balance (NSA, Mil.Pesos) 12-month MovingTotal</t>
  </si>
  <si>
    <t>Argentina: Public Sector: Primary Budget Balance (NSA, Mil.Pesos) 12-month MovingTotal</t>
  </si>
  <si>
    <t>Argentina: Public Sector: Interest Payments (NSA, Mil.Pesos) 12-month MovingTotal</t>
  </si>
  <si>
    <t>1161 !Q</t>
  </si>
  <si>
    <t>9</t>
  </si>
  <si>
    <t>Argentina: Gross Domestic Product at Market Prices (NSAAR, Bil.Pesos)</t>
  </si>
  <si>
    <t>11601 !M</t>
  </si>
  <si>
    <t>1Q 2016</t>
  </si>
  <si>
    <t>1Q 2017</t>
  </si>
  <si>
    <t>1Q 2018</t>
  </si>
  <si>
    <t>1Q 2019</t>
  </si>
  <si>
    <t>2Q 2016</t>
  </si>
  <si>
    <t>3Q 2016</t>
  </si>
  <si>
    <t>4Q 2016</t>
  </si>
  <si>
    <t>2Q 2017</t>
  </si>
  <si>
    <t>3Q 2017</t>
  </si>
  <si>
    <t>4Q 2017</t>
  </si>
  <si>
    <t>2Q 2018</t>
  </si>
  <si>
    <t>3Q 2018</t>
  </si>
  <si>
    <t>4Q 2018</t>
  </si>
  <si>
    <t>2Q 2019</t>
  </si>
  <si>
    <t>3Q 2019</t>
  </si>
  <si>
    <t>4Q 2019</t>
  </si>
  <si>
    <t>1Q 2020</t>
  </si>
  <si>
    <t>2Q 2020</t>
  </si>
  <si>
    <t>3Q 2020</t>
  </si>
  <si>
    <t>4Q 2020</t>
  </si>
  <si>
    <t>1Q 2021</t>
  </si>
  <si>
    <t>2Q 2021</t>
  </si>
  <si>
    <t>3Q 2021</t>
  </si>
  <si>
    <t>4Q 2021</t>
  </si>
  <si>
    <t>1Q 2022</t>
  </si>
  <si>
    <t>2Q 2022</t>
  </si>
  <si>
    <t>3Q 2022</t>
  </si>
  <si>
    <t>2Q 2026</t>
  </si>
  <si>
    <t xml:space="preserve">GDP nominal </t>
  </si>
  <si>
    <t>Primary balance (% of GDP)</t>
  </si>
  <si>
    <t>Fiscal balance (% of GDP)</t>
  </si>
  <si>
    <t>The primary balance that holds debt/GDP flat</t>
  </si>
  <si>
    <t>Argentine debt is multi-currency. A single-currency (i - pi - g) formula is wrong here: inflation erodes plain peso debt, but NOT the FX-denominated stock and NOT the CER-indexed stock.</t>
  </si>
  <si>
    <t>Debt stock grows in pesos at:  alpha x (eps + i$) + beta x (pi + iCER) + gamma x iPeso</t>
  </si>
  <si>
    <t>Nominal GDP grows at:  (1+g)(1+pi).   Debt/GDP is flat when the primary balance covers the gap.</t>
  </si>
  <si>
    <t>Inputs</t>
  </si>
  <si>
    <t>Debt / GDP, d</t>
  </si>
  <si>
    <t>FX-denominated share, alpha</t>
  </si>
  <si>
    <t>CER-indexed share, beta</t>
  </si>
  <si>
    <t>Plain peso share, gamma</t>
  </si>
  <si>
    <t>Interest on FX debt, i$</t>
  </si>
  <si>
    <t>Interest on CER debt, iCER</t>
  </si>
  <si>
    <t>Interest on peso debt, iPeso</t>
  </si>
  <si>
    <t>Nominal depreciation, eps</t>
  </si>
  <si>
    <t>GDP deflator, pi</t>
  </si>
  <si>
    <t>Real growth, g</t>
  </si>
  <si>
    <t>Actual primary balance</t>
  </si>
  <si>
    <t>Result</t>
  </si>
  <si>
    <t>Debt stock nominal growth</t>
  </si>
  <si>
    <t>Nominal GDP growth</t>
  </si>
  <si>
    <t>DEBT-STABILISING PRIMARY BALANCE</t>
  </si>
  <si>
    <t>GAP — actual less required (pp of GDP)</t>
  </si>
  <si>
    <t>Implied change in debt/GDP (pp)</t>
  </si>
  <si>
    <t>A POSITIVE gap means the actual primary surplus more than covers the carry and debt/GDP falls. Negative means debt rises even with a primary surplus.</t>
  </si>
  <si>
    <t>The threshold table: required primary balance (% of GDP) by depreciation and real growth</t>
  </si>
  <si>
    <t>Everything else held at the inputs above. This is the answer to 'what makes it shoot up'.</t>
  </si>
  <si>
    <t>Real GDP growth</t>
  </si>
  <si>
    <t xml:space="preserve">USD ARS depreciation </t>
  </si>
  <si>
    <t>Compare every cell against the actual primary balance in E24. Anything above it is a combination where the current fiscal stance is not enough and the ratio rises.</t>
  </si>
  <si>
    <t>Note how flat the table is across growth and how steep it is across depreciation. Growth helps at the margin; the exchange rate dominates. With 45% of the stock in foreign currency, roughly 0.45pp of extra primary surplus is needed for every 1pp of real depreciation.</t>
  </si>
  <si>
    <t>Buenos Aires province on its own — May 2026</t>
  </si>
  <si>
    <t>A quarter of the national electorate, and it behaves nothing like the national average.</t>
  </si>
  <si>
    <t>Figure</t>
  </si>
  <si>
    <t>Positive %</t>
  </si>
  <si>
    <t>Negative %</t>
  </si>
  <si>
    <t>NET</t>
  </si>
  <si>
    <t>Axel Kicillof</t>
  </si>
  <si>
    <t>Cristina Kirchner</t>
  </si>
  <si>
    <t>Sergio Massa</t>
  </si>
  <si>
    <t>Javier Milei</t>
  </si>
  <si>
    <t>Mauricio Macri</t>
  </si>
  <si>
    <t>Victoria Villarruel</t>
  </si>
  <si>
    <t>Karina Milei</t>
  </si>
  <si>
    <t>Mood</t>
  </si>
  <si>
    <t>Say provincial situation is bad or very bad %</t>
  </si>
  <si>
    <t>Express hope about the future %</t>
  </si>
  <si>
    <t>Report predominantly negative emotions %</t>
  </si>
  <si>
    <t>Kicillof is the only figure in the country with a positive net image anywhere, and it is here. Milei is at -32 in the province against roughly -14 to -28 nationally. This is the industrial belt, and it is also where the Di Tella confidence index is falling fastest.</t>
  </si>
  <si>
    <t xml:space="preserve">Net Approval </t>
  </si>
  <si>
    <t xml:space="preserve">National </t>
  </si>
  <si>
    <t>PBA</t>
  </si>
  <si>
    <t>J. Milei</t>
  </si>
  <si>
    <t>A. Kicillof</t>
  </si>
  <si>
    <t>S. Massa</t>
  </si>
  <si>
    <t>M. Macri</t>
  </si>
  <si>
    <t>Sources and field details</t>
  </si>
  <si>
    <t>Reale Dalla Torre</t>
  </si>
  <si>
    <t>National survey fielded 24-28 July 2026, n = 1,162. Reported by Perfil and MDZ. The most complete single-house panel available; used for the Main panel tab.</t>
  </si>
  <si>
    <t>Zentrix</t>
  </si>
  <si>
    <t>Monitor de Opinion Publica, July 2026. Reported by iProfesional.</t>
  </si>
  <si>
    <t>Delfos</t>
  </si>
  <si>
    <t>National survey fielded 15-19 May 2026, n = 2,689, margin of error +/- 1.9%. Reported by El Destape.</t>
  </si>
  <si>
    <t>Opina Argentina</t>
  </si>
  <si>
    <t>June 2026, reported by Perfil.</t>
  </si>
  <si>
    <t>Latam Pulse</t>
  </si>
  <si>
    <t>AtlasIntel for Bloomberg News, monthly 2026 releases.</t>
  </si>
  <si>
    <t>Di Tella ICG</t>
  </si>
  <si>
    <t>Universidad Torcuato Di Tella, Indice de Confianza en el Gobierno, July 2026.</t>
  </si>
  <si>
    <t>Buenos Aires panel</t>
  </si>
  <si>
    <t>Provincial survey, May 2026, reported by InfoPlatense.</t>
  </si>
  <si>
    <t>Poll average</t>
  </si>
  <si>
    <t>Cited by Filo News, July 2026, as the average negative image across measurements.</t>
  </si>
  <si>
    <t>Prepared</t>
  </si>
  <si>
    <t>4 August 2026. Polling is a snapshot; refresh before using in a dated note.</t>
  </si>
  <si>
    <t>US040114HT09 ISIN</t>
  </si>
  <si>
    <t>US040114HS26 ISIN</t>
  </si>
  <si>
    <t>US040114HV54 ISIN</t>
  </si>
  <si>
    <t>US040114HU71 ISIN</t>
  </si>
  <si>
    <t>US040114HX11 ISIN</t>
  </si>
  <si>
    <t>US040114HW38 ISIN</t>
  </si>
  <si>
    <t>Security_name</t>
  </si>
  <si>
    <t>YLD_YTM_MID</t>
  </si>
  <si>
    <t>DUR_ADJ_MID</t>
  </si>
  <si>
    <t>CPN</t>
  </si>
  <si>
    <t>PX_CLEAN_MID</t>
  </si>
  <si>
    <t>CNVX_MID</t>
  </si>
  <si>
    <t>Convex</t>
  </si>
  <si>
    <t>Argentina hard-currency curve — inputs</t>
  </si>
  <si>
    <t>EVERY BLUE CELL IS AN INPUT: overwrite from Bloomberg. Black cells are formulas and should not be typed over. The numbers below are ILLUSTRATIVE PLACEHOLDERS chosen only to make the arithmetic visible — they are not market levels and must be replaced before use.</t>
  </si>
  <si>
    <t>Holding period (years)</t>
  </si>
  <si>
    <t>&lt;- drives tabs 2 and 3</t>
  </si>
  <si>
    <t>PX_Clean_mid</t>
  </si>
  <si>
    <t>Bond</t>
  </si>
  <si>
    <t>Maturity</t>
  </si>
  <si>
    <t>Coupon
(%, current step)</t>
  </si>
  <si>
    <t>Price
(clean)</t>
  </si>
  <si>
    <t>YTM
(%)</t>
  </si>
  <si>
    <t>Mod. duration
(years)</t>
  </si>
  <si>
    <t>Convexity
(years squared)</t>
  </si>
  <si>
    <t>GD29</t>
  </si>
  <si>
    <t>2029</t>
  </si>
  <si>
    <t>GD30</t>
  </si>
  <si>
    <t>2030</t>
  </si>
  <si>
    <t>GD35</t>
  </si>
  <si>
    <t>2035</t>
  </si>
  <si>
    <t>GD38</t>
  </si>
  <si>
    <t>2038</t>
  </si>
  <si>
    <t>GD41</t>
  </si>
  <si>
    <t>2041</t>
  </si>
  <si>
    <t>GD46</t>
  </si>
  <si>
    <t>2046</t>
  </si>
  <si>
    <t>UNITS — read this once. All rates and returns are in PERCENT UNITS: 8.50 means 8.5%, not 0.085. All yield moves are in BASIS POINTS. Mixing the two is the only way to get this workbook wrong.</t>
  </si>
  <si>
    <t>Bloomberg fields: coupon CPN, clean price PX_LAST, yield YLD_YTM_MID, modified duration DUR_ADJ_MID (use OAD if you prefer), convexity CVX_MID. CONVEXITY SCALE MATTERS: this model wants years squared, so the price effect is 0.5 x CVX x (dy in decimals)^2 — roughly 36 for a 5.4-year bond. Bloomberg quotes CVX_MID divided by 100, so MULTIPLY THE BLOOMBERG NUMBER BY 100 before pasting. Getting this wrong silently kills the convexity benefit and you will not see an error.</t>
  </si>
  <si>
    <t>The globals amortise, so modified duration — not maturity — is the right risk measure, and it is why GD29 and GD46 behave completely differently on near-identical yields.</t>
  </si>
  <si>
    <t>Coupon = the step currently in effect, not the weighted average over the bond's life. The step-up schedule is why the cash half of carry grows over time on the long bonds.</t>
  </si>
  <si>
    <t>Carry cushion — how far yields can widen before you lose money</t>
  </si>
  <si>
    <t>The headline 'you accrue ~4% in six months' is only interesting relative to what it protects against. Carry divided by duration converts it into basis points of widening, which is the unit the market actually moves in.</t>
  </si>
  <si>
    <t>Holding
period (yrs)</t>
  </si>
  <si>
    <t>Carry if yields
unchanged (%)</t>
  </si>
  <si>
    <t>of which:
cash coupon (%)</t>
  </si>
  <si>
    <t>of which:
pull-to-par (%)</t>
  </si>
  <si>
    <t>Breakeven widening
— duration only (bp)</t>
  </si>
  <si>
    <t>Breakeven widening
— with convexity (bp)</t>
  </si>
  <si>
    <t>Breakeven
end price</t>
  </si>
  <si>
    <t>READ THE CHART THIS WAY: same yield, same 4% headline, and the front end absorbs roughly twice the widening the long end does. That gap is the entire point — it is invisible on a yield screen and it is what actually determines whether the trade works.</t>
  </si>
  <si>
    <t>The stacked chart splits the carry into the part you bank and the part you only book if the market cooperates. On a deep-discount bond the second bar is the larger one, which is why 'I'm getting paid 8% to wait' overstates what is genuinely being banked.</t>
  </si>
  <si>
    <t>Breakeven end price = price - coupon x horizon: the level the bond can fall to and still leave you flat. It sits below today's price because a discount bond would otherwise have accreted upward over the period.</t>
  </si>
  <si>
    <t>Duration/convexity approximation, not full cashflow repricing. It is accurate to a few bp for moves inside roughly +/-200bp and understates the cushion for very large moves. For a hard number on a big shock, reprice the schedule.</t>
  </si>
  <si>
    <t>N213NGPC@EMERGELA</t>
  </si>
  <si>
    <t>Real GDP</t>
  </si>
  <si>
    <t>Consumption</t>
  </si>
  <si>
    <t>Gvt. Consumption</t>
  </si>
  <si>
    <t>N213NCPC@EMERGELA</t>
  </si>
  <si>
    <t>N213NCGC@EMERGELA</t>
  </si>
  <si>
    <t>Investment</t>
  </si>
  <si>
    <t>N213NFC@EMERGELA</t>
  </si>
  <si>
    <t>Inventories</t>
  </si>
  <si>
    <t>N213NBC@EMERGELA</t>
  </si>
  <si>
    <t xml:space="preserve">Statistical discrepancy </t>
  </si>
  <si>
    <t>N213NSDC@EMERGELA</t>
  </si>
  <si>
    <t>Exports</t>
  </si>
  <si>
    <t>N213NXC@EMERGELA</t>
  </si>
  <si>
    <t>Imports</t>
  </si>
  <si>
    <t>1181 !Q</t>
  </si>
  <si>
    <t>Argentina: Gross Domestic Product at Market Prices (NSAAR, Mil.2004.Pesos)</t>
  </si>
  <si>
    <t>Argentina: GDP: Private Consumption Expenditure (NSAAR, Mil.2004.Pesos)</t>
  </si>
  <si>
    <t>Argentina: GDP: Govt Consumption Expenditure (NSAAR, Mil.2004.Pesos)</t>
  </si>
  <si>
    <t>Argentina: GDP: Gross Fixed Capital Formation (NSAAR, Mil.2004.Pesos)</t>
  </si>
  <si>
    <t>Argentina: GDP: Change in Inventory (NSAAR, Mil.2004.Pesos)</t>
  </si>
  <si>
    <t>Argentina: GDP: Statistical Discrepancy (NSAAR, Mil.2004.Pesos)</t>
  </si>
  <si>
    <t>Argentina: GDP: Exports of Goods and Services (NSAAR, Mil.2004.Pesos)</t>
  </si>
  <si>
    <t>Domestic demand</t>
  </si>
  <si>
    <t>External sector</t>
  </si>
  <si>
    <t xml:space="preserve">Inventories + discrepancy </t>
  </si>
  <si>
    <t>N213NMC@EMERGELA</t>
  </si>
  <si>
    <t>Argentina: GDP: Imports of Goods and Services (NSAAR, Mil.2004.Pesos)</t>
  </si>
  <si>
    <t>Demand-side contributions to GDP growth</t>
  </si>
  <si>
    <t>Percentage points. Contributions sum exactly to GDP growth — which requires carrying the statistical discrepancy explicitly. Imports enter with a negative sign.</t>
  </si>
  <si>
    <t>Contribution of component i = (level_i this period - level_i a year earlier) / GDP a year earlier. The inventories line is inventories PLUS statistical discrepancy, because INDEC only split them out in 2024 and a split series would break the y/y comparison in that year.</t>
  </si>
  <si>
    <t>1. Quarterly, year-on-year (original series)</t>
  </si>
  <si>
    <t>Quarter</t>
  </si>
  <si>
    <t>GDP y/y</t>
  </si>
  <si>
    <t>Private
consumption</t>
  </si>
  <si>
    <t>Public
consumption</t>
  </si>
  <si>
    <t>GFCF</t>
  </si>
  <si>
    <t>Inventories +
discrepancy</t>
  </si>
  <si>
    <t>Sum of
contributions</t>
  </si>
  <si>
    <t>Check
(sum - GDP)</t>
  </si>
  <si>
    <t>memo: discrep.
alone</t>
  </si>
  <si>
    <t>Inventories + discrepancy</t>
  </si>
  <si>
    <t>The check column is zero everywhere except Q3/Q4 2019 and their y/y counterparts in 2020, where INDEC's own components do not sum to GDP. The memo column is blank before 2024 because the discrepancy series does not exist there — it is inside the inventories line, where the contribution calculation already counts it.</t>
  </si>
  <si>
    <t>2. Annual</t>
  </si>
  <si>
    <t>Year</t>
  </si>
  <si>
    <t>Mining</t>
  </si>
  <si>
    <t>Manufacturing</t>
  </si>
  <si>
    <t xml:space="preserve">Construction </t>
  </si>
  <si>
    <t>Formal employment</t>
  </si>
  <si>
    <t xml:space="preserve">Mining employment </t>
  </si>
  <si>
    <t>Manufacturing employment</t>
  </si>
  <si>
    <t>Construction employment</t>
  </si>
  <si>
    <t>1151 !Q</t>
  </si>
  <si>
    <t>H213GQC@EMERGELA</t>
  </si>
  <si>
    <t>H213G2MC@EMERGELA</t>
  </si>
  <si>
    <t>H213GCOC@EMERGELA</t>
  </si>
  <si>
    <t>S213ELEC@EMERGELA</t>
  </si>
  <si>
    <t>S213ECN@EMERGELA</t>
  </si>
  <si>
    <t>S213ECM@EMERGELA</t>
  </si>
  <si>
    <t>S213ECK@EMERGELA</t>
  </si>
  <si>
    <t>Argentina: GVA: Mining and Quarrying (SAAR, Mil.2004.Pesos)</t>
  </si>
  <si>
    <t>Argentina: GVA: Manufacturing (SAAR, Mil.2004.Pesos)</t>
  </si>
  <si>
    <t>Argentina: GVA: Construction (SAAR, Mil.2004.Pesos)</t>
  </si>
  <si>
    <t>Argentina: Private Reg Salaried Employ: Total (SA, Persons)</t>
  </si>
  <si>
    <t>Argentina: Private Reg Salaried Employ: Mining &amp; Quarrying (SA, Persons)</t>
  </si>
  <si>
    <t>Argentina: Private Reg Salaried Employ: Manufacturing Industry (SA, Persons)</t>
  </si>
  <si>
    <t>Argentina: Private Reg Salaried Employ: Construction (SA, Persons)</t>
  </si>
  <si>
    <t>MTEySS</t>
  </si>
  <si>
    <t>Units</t>
  </si>
  <si>
    <t xml:space="preserve">Oil output </t>
  </si>
  <si>
    <t>Construction</t>
  </si>
  <si>
    <t xml:space="preserve">Oil &amp; mining </t>
  </si>
  <si>
    <t>1Q 2015</t>
  </si>
  <si>
    <t>2Q 2015</t>
  </si>
  <si>
    <t>3Q 2015</t>
  </si>
  <si>
    <t>4Q 2015</t>
  </si>
  <si>
    <t>Headline</t>
  </si>
  <si>
    <t>Core</t>
  </si>
  <si>
    <t>N213PC@EMERGELA</t>
  </si>
  <si>
    <t>N213PCXQ@EMERGELA</t>
  </si>
  <si>
    <t>12201 !M</t>
  </si>
  <si>
    <t>INDEX</t>
  </si>
  <si>
    <t>Argentina: Consumer Price Index (NSA, Dec-16=100)</t>
  </si>
  <si>
    <t>Argentina: CPI Ex Seasonal &amp; Regulated (NSA, Dec-16=100)</t>
  </si>
  <si>
    <t>2% threshold</t>
  </si>
  <si>
    <t xml:space="preserve">GDP </t>
  </si>
  <si>
    <t>GDP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</si>
</sst>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0.0"/>
    <numFmt numFmtId="165" formatCode="0.000"/>
    <numFmt numFmtId="166" formatCode="_(* #,##0.000_);_(* \(#,##0.000\);_(* &quot;-&quot;???_);_(@_)"/>
    <numFmt numFmtId="167" formatCode="_(* #,##0.0_);_(* \(#,##0.0\);_(* &quot;-&quot;??_);_(@_)"/>
    <numFmt numFmtId="172" formatCode="0.0000"/>
    <numFmt numFmtId="173" formatCode="0.0%"/>
    <numFmt numFmtId="174" formatCode="\+0.00;\-0.00;\-"/>
    <numFmt numFmtId="175" formatCode="#,##0.0;\(#,##0.0\);\-"/>
    <numFmt numFmtId="176" formatCode="\+0.0;\-0.0;\-"/>
    <numFmt numFmtId="177" formatCode="0.000;\-0.000;\-"/>
  </numFmts>
  <fonts count="40"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theme="1"/>
      <name val="Calibri"/>
      <family val="2"/>
      <charset val="1"/>
    </font>
    <font>
      <b/>
      <sz val="14"/>
      <color rgb="FFFFFFFF"/>
      <name val="Arial"/>
      <charset val="1"/>
    </font>
    <font>
      <i/>
      <sz val="9"/>
      <color rgb="FF6B6B6B"/>
      <name val="Arial"/>
      <charset val="1"/>
    </font>
    <font>
      <b/>
      <sz val="11"/>
      <color rgb="FF1F3B63"/>
      <name val="Arial"/>
      <charset val="1"/>
    </font>
    <font>
      <sz val="9"/>
      <color rgb="FF1A1A1A"/>
      <name val="Arial"/>
      <charset val="1"/>
    </font>
    <font>
      <b/>
      <sz val="9"/>
      <color rgb="FF008000"/>
      <name val="Arial"/>
      <charset val="1"/>
    </font>
    <font>
      <sz val="9"/>
      <color rgb="FF0000FF"/>
      <name val="Arial"/>
      <charset val="1"/>
    </font>
    <font>
      <b/>
      <sz val="9"/>
      <color rgb="FF1A1A1A"/>
      <name val="Arial"/>
      <charset val="1"/>
    </font>
    <font>
      <b/>
      <sz val="9"/>
      <color rgb="FFC00000"/>
      <name val="Arial"/>
      <charset val="1"/>
    </font>
    <font>
      <i/>
      <sz val="8"/>
      <color rgb="FF6B6B6B"/>
      <name val="Arial"/>
      <charset val="1"/>
    </font>
    <font>
      <b/>
      <sz val="9"/>
      <color rgb="FF0000FF"/>
      <name val="Arial"/>
      <charset val="1"/>
    </font>
    <font>
      <b/>
      <sz val="9"/>
      <name val="Arial"/>
      <family val="2"/>
    </font>
    <font>
      <b/>
      <sz val="14"/>
      <color rgb="FFFFFFFF"/>
      <name val="Arial"/>
      <family val="2"/>
    </font>
    <font>
      <i/>
      <sz val="9"/>
      <color rgb="FF6B6B6B"/>
      <name val="Arial"/>
      <family val="2"/>
    </font>
    <font>
      <b/>
      <sz val="9"/>
      <color rgb="FF1A1A1A"/>
      <name val="Arial"/>
      <family val="2"/>
    </font>
    <font>
      <sz val="9"/>
      <color rgb="FF1A1A1A"/>
      <name val="Arial"/>
      <family val="2"/>
    </font>
    <font>
      <sz val="9"/>
      <color rgb="FF0000FF"/>
      <name val="Arial"/>
      <family val="2"/>
    </font>
    <font>
      <b/>
      <sz val="11"/>
      <color rgb="FF1F3B63"/>
      <name val="Arial"/>
      <family val="2"/>
    </font>
    <font>
      <i/>
      <sz val="8"/>
      <color rgb="FF6B6B6B"/>
      <name val="Arial"/>
      <family val="2"/>
    </font>
    <font>
      <b/>
      <sz val="11"/>
      <color theme="1"/>
      <name val="Calibri"/>
      <family val="2"/>
    </font>
    <font>
      <b/>
      <sz val="13"/>
      <name val="Arial"/>
      <charset val="1"/>
    </font>
    <font>
      <i/>
      <sz val="9"/>
      <name val="Arial"/>
      <charset val="1"/>
    </font>
    <font>
      <b/>
      <sz val="10"/>
      <color rgb="FF000000"/>
      <name val="Arial"/>
      <charset val="1"/>
    </font>
    <font>
      <b/>
      <sz val="10"/>
      <color rgb="FF0000FF"/>
      <name val="Arial"/>
      <family val="2"/>
    </font>
    <font>
      <i/>
      <sz val="9"/>
      <color rgb="FF000000"/>
      <name val="Arial"/>
      <charset val="1"/>
    </font>
    <font>
      <b/>
      <sz val="10"/>
      <name val="Arial"/>
      <charset val="1"/>
    </font>
    <font>
      <sz val="10"/>
      <color rgb="FF0000FF"/>
      <name val="Arial"/>
      <charset val="1"/>
    </font>
    <font>
      <b/>
      <sz val="10"/>
      <color rgb="FF0000FF"/>
      <name val="Arial"/>
      <charset val="1"/>
    </font>
    <font>
      <sz val="10"/>
      <name val="Arial"/>
      <family val="2"/>
    </font>
    <font>
      <b/>
      <sz val="10"/>
      <color rgb="FF008000"/>
      <name val="Arial"/>
      <charset val="1"/>
    </font>
    <font>
      <sz val="10"/>
      <color rgb="FF008000"/>
      <name val="Arial"/>
      <charset val="1"/>
    </font>
    <font>
      <sz val="10"/>
      <color rgb="FF000000"/>
      <name val="Arial"/>
      <charset val="1"/>
    </font>
    <font>
      <sz val="9"/>
      <color rgb="FF008000"/>
      <name val="Arial"/>
      <family val="2"/>
    </font>
    <font>
      <b/>
      <sz val="9"/>
      <color rgb="FF1F3B63"/>
      <name val="Arial"/>
      <family val="2"/>
    </font>
    <font>
      <sz val="9"/>
      <color rgb="FF6B6B6B"/>
      <name val="Arial"/>
      <family val="2"/>
    </font>
    <font>
      <b/>
      <sz val="9"/>
      <color rgb="FF008000"/>
      <name val="Arial"/>
      <family val="2"/>
    </font>
  </fonts>
  <fills count="8">
    <fill>
      <patternFill patternType="none"/>
    </fill>
    <fill>
      <patternFill patternType="gray125"/>
    </fill>
    <fill>
      <patternFill patternType="solid">
        <fgColor rgb="FF1F3B63"/>
        <bgColor rgb="FF2F5C8F"/>
      </patternFill>
    </fill>
    <fill>
      <patternFill patternType="solid">
        <fgColor rgb="FFFFF6CC"/>
        <bgColor rgb="FFF2F4F7"/>
      </patternFill>
    </fill>
    <fill>
      <patternFill patternType="solid">
        <fgColor theme="4" tint="0.79998168889431442"/>
        <bgColor rgb="FFF2F4F7"/>
      </patternFill>
    </fill>
    <fill>
      <patternFill patternType="solid">
        <fgColor theme="0" tint="-0.14999847407452621"/>
        <bgColor rgb="FFFFFFFF"/>
      </patternFill>
    </fill>
    <fill>
      <patternFill patternType="solid">
        <fgColor theme="0" tint="-0.14999847407452621"/>
        <bgColor rgb="FFF2F4F7"/>
      </patternFill>
    </fill>
    <fill>
      <patternFill patternType="solid">
        <fgColor rgb="FFF2F4F7"/>
        <bgColor rgb="FFFFFFFF"/>
      </patternFill>
    </fill>
  </fills>
  <borders count="8">
    <border>
      <left/>
      <right/>
      <top/>
      <bottom/>
      <diagonal/>
    </border>
    <border>
      <left/>
      <right/>
      <top/>
      <bottom style="thin">
        <color rgb="FF1F3B63"/>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xf numFmtId="0" fontId="4" fillId="0" borderId="0"/>
  </cellStyleXfs>
  <cellXfs count="79">
    <xf numFmtId="0" fontId="0" fillId="0" borderId="0" xfId="0"/>
    <xf numFmtId="0" fontId="0" fillId="0" borderId="0" xfId="0" quotePrefix="1"/>
    <xf numFmtId="164" fontId="0" fillId="0" borderId="0" xfId="0" applyNumberFormat="1"/>
    <xf numFmtId="17" fontId="0" fillId="0" borderId="0" xfId="0" applyNumberFormat="1"/>
    <xf numFmtId="17" fontId="2" fillId="0" borderId="0" xfId="0" applyNumberFormat="1" applyFont="1"/>
    <xf numFmtId="1" fontId="0" fillId="0" borderId="0" xfId="0" applyNumberFormat="1"/>
    <xf numFmtId="165" fontId="0" fillId="0" borderId="0" xfId="0" applyNumberFormat="1"/>
    <xf numFmtId="2" fontId="0" fillId="0" borderId="0" xfId="0" applyNumberFormat="1"/>
    <xf numFmtId="43" fontId="0" fillId="0" borderId="0" xfId="1" applyFont="1"/>
    <xf numFmtId="166" fontId="0" fillId="0" borderId="0" xfId="0" applyNumberFormat="1"/>
    <xf numFmtId="43" fontId="0" fillId="0" borderId="0" xfId="0" applyNumberFormat="1"/>
    <xf numFmtId="0" fontId="2" fillId="0" borderId="0" xfId="0" applyFont="1"/>
    <xf numFmtId="167" fontId="0" fillId="0" borderId="0" xfId="1" applyNumberFormat="1" applyFont="1"/>
    <xf numFmtId="0" fontId="3" fillId="0" borderId="0" xfId="3"/>
    <xf numFmtId="9" fontId="0" fillId="0" borderId="0" xfId="2" applyFont="1"/>
    <xf numFmtId="172" fontId="0" fillId="0" borderId="0" xfId="0" applyNumberFormat="1"/>
    <xf numFmtId="0" fontId="5" fillId="2" borderId="0" xfId="4" applyFont="1" applyFill="1" applyAlignment="1">
      <alignment vertical="center"/>
    </xf>
    <xf numFmtId="0" fontId="4" fillId="0" borderId="0" xfId="4"/>
    <xf numFmtId="0" fontId="6" fillId="0" borderId="0" xfId="4" applyFont="1"/>
    <xf numFmtId="0" fontId="7" fillId="0" borderId="0" xfId="4" applyFont="1"/>
    <xf numFmtId="0" fontId="8" fillId="0" borderId="0" xfId="4" applyFont="1"/>
    <xf numFmtId="173" fontId="9" fillId="0" borderId="0" xfId="4" applyNumberFormat="1" applyFont="1"/>
    <xf numFmtId="173" fontId="10" fillId="3" borderId="0" xfId="4" applyNumberFormat="1" applyFont="1" applyFill="1"/>
    <xf numFmtId="173" fontId="8" fillId="0" borderId="0" xfId="4" applyNumberFormat="1" applyFont="1"/>
    <xf numFmtId="0" fontId="11" fillId="0" borderId="0" xfId="4" applyFont="1"/>
    <xf numFmtId="173" fontId="12" fillId="0" borderId="0" xfId="4" applyNumberFormat="1" applyFont="1"/>
    <xf numFmtId="174" fontId="12" fillId="0" borderId="0" xfId="4" applyNumberFormat="1" applyFont="1"/>
    <xf numFmtId="174" fontId="8" fillId="0" borderId="0" xfId="4" applyNumberFormat="1" applyFont="1"/>
    <xf numFmtId="0" fontId="13" fillId="0" borderId="0" xfId="4" applyFont="1"/>
    <xf numFmtId="173" fontId="14" fillId="4" borderId="1" xfId="4" applyNumberFormat="1" applyFont="1" applyFill="1" applyBorder="1" applyAlignment="1">
      <alignment horizontal="center" vertical="center"/>
    </xf>
    <xf numFmtId="0" fontId="15" fillId="5" borderId="0" xfId="4" applyFont="1" applyFill="1" applyAlignment="1">
      <alignment horizontal="center" vertical="center"/>
    </xf>
    <xf numFmtId="173" fontId="14" fillId="0" borderId="0" xfId="4" applyNumberFormat="1" applyFont="1" applyAlignment="1">
      <alignment horizontal="center" vertical="center"/>
    </xf>
    <xf numFmtId="173" fontId="15" fillId="6" borderId="0" xfId="4" applyNumberFormat="1" applyFont="1" applyFill="1"/>
    <xf numFmtId="173" fontId="8" fillId="0" borderId="2" xfId="4" applyNumberFormat="1" applyFont="1" applyBorder="1"/>
    <xf numFmtId="173" fontId="8" fillId="0" borderId="3" xfId="4" applyNumberFormat="1" applyFont="1" applyBorder="1"/>
    <xf numFmtId="173" fontId="8" fillId="0" borderId="4" xfId="4" applyNumberFormat="1" applyFont="1" applyBorder="1"/>
    <xf numFmtId="173" fontId="8" fillId="0" borderId="5" xfId="4" applyNumberFormat="1" applyFont="1" applyBorder="1"/>
    <xf numFmtId="173" fontId="8" fillId="0" borderId="6" xfId="4" applyNumberFormat="1" applyFont="1" applyBorder="1"/>
    <xf numFmtId="173" fontId="8" fillId="0" borderId="7" xfId="4" applyNumberFormat="1" applyFont="1" applyBorder="1"/>
    <xf numFmtId="0" fontId="16" fillId="2" borderId="0" xfId="4" applyFont="1" applyFill="1" applyAlignment="1">
      <alignment vertical="center"/>
    </xf>
    <xf numFmtId="0" fontId="17" fillId="0" borderId="0" xfId="4" applyFont="1"/>
    <xf numFmtId="0" fontId="18" fillId="7" borderId="1" xfId="4" applyFont="1" applyFill="1" applyBorder="1" applyAlignment="1">
      <alignment horizontal="center" vertical="center" wrapText="1"/>
    </xf>
    <xf numFmtId="0" fontId="19" fillId="0" borderId="0" xfId="4" applyFont="1"/>
    <xf numFmtId="175" fontId="20" fillId="0" borderId="0" xfId="4" applyNumberFormat="1" applyFont="1"/>
    <xf numFmtId="176" fontId="18" fillId="0" borderId="0" xfId="4" applyNumberFormat="1" applyFont="1"/>
    <xf numFmtId="0" fontId="21" fillId="0" borderId="0" xfId="4" applyFont="1"/>
    <xf numFmtId="0" fontId="22" fillId="0" borderId="0" xfId="4" applyFont="1"/>
    <xf numFmtId="0" fontId="23" fillId="0" borderId="0" xfId="4" applyFont="1"/>
    <xf numFmtId="176" fontId="4" fillId="0" borderId="0" xfId="4" applyNumberFormat="1"/>
    <xf numFmtId="0" fontId="18" fillId="0" borderId="0" xfId="4" applyFont="1"/>
    <xf numFmtId="0" fontId="19" fillId="0" borderId="0" xfId="4" applyFont="1" applyAlignment="1">
      <alignment vertical="top" wrapText="1"/>
    </xf>
    <xf numFmtId="0" fontId="24" fillId="0" borderId="0" xfId="4" applyFont="1"/>
    <xf numFmtId="0" fontId="25" fillId="0" borderId="0" xfId="4" applyFont="1"/>
    <xf numFmtId="0" fontId="26" fillId="0" borderId="0" xfId="4" applyFont="1"/>
    <xf numFmtId="2" fontId="27" fillId="0" borderId="0" xfId="4" applyNumberFormat="1" applyFont="1"/>
    <xf numFmtId="0" fontId="28" fillId="0" borderId="0" xfId="4" applyFont="1"/>
    <xf numFmtId="0" fontId="29" fillId="0" borderId="0" xfId="4" applyFont="1" applyAlignment="1">
      <alignment wrapText="1"/>
    </xf>
    <xf numFmtId="2" fontId="30" fillId="0" borderId="0" xfId="4" applyNumberFormat="1" applyFont="1"/>
    <xf numFmtId="0" fontId="31" fillId="0" borderId="0" xfId="4" applyFont="1"/>
    <xf numFmtId="0" fontId="30" fillId="0" borderId="0" xfId="4" applyFont="1"/>
    <xf numFmtId="0" fontId="33" fillId="0" borderId="0" xfId="4" applyFont="1"/>
    <xf numFmtId="2" fontId="34" fillId="0" borderId="0" xfId="4" applyNumberFormat="1" applyFont="1"/>
    <xf numFmtId="2" fontId="26" fillId="0" borderId="0" xfId="4" applyNumberFormat="1" applyFont="1"/>
    <xf numFmtId="2" fontId="35" fillId="0" borderId="0" xfId="4" applyNumberFormat="1" applyFont="1"/>
    <xf numFmtId="3" fontId="35" fillId="0" borderId="0" xfId="4" applyNumberFormat="1" applyFont="1"/>
    <xf numFmtId="3" fontId="26" fillId="0" borderId="0" xfId="4" applyNumberFormat="1" applyFont="1"/>
    <xf numFmtId="0" fontId="18" fillId="7" borderId="0" xfId="4" applyFont="1" applyFill="1" applyAlignment="1">
      <alignment horizontal="center" vertical="center" wrapText="1"/>
    </xf>
    <xf numFmtId="0" fontId="36" fillId="0" borderId="0" xfId="4" applyFont="1"/>
    <xf numFmtId="174" fontId="37" fillId="0" borderId="0" xfId="4" applyNumberFormat="1" applyFont="1"/>
    <xf numFmtId="174" fontId="19" fillId="0" borderId="0" xfId="4" applyNumberFormat="1" applyFont="1"/>
    <xf numFmtId="174" fontId="18" fillId="0" borderId="0" xfId="4" applyNumberFormat="1" applyFont="1"/>
    <xf numFmtId="177" fontId="38" fillId="0" borderId="0" xfId="4" applyNumberFormat="1" applyFont="1"/>
    <xf numFmtId="174" fontId="38" fillId="0" borderId="0" xfId="4" applyNumberFormat="1" applyFont="1"/>
    <xf numFmtId="174" fontId="4" fillId="0" borderId="0" xfId="4" applyNumberFormat="1"/>
    <xf numFmtId="1" fontId="39" fillId="0" borderId="0" xfId="4" applyNumberFormat="1" applyFont="1"/>
    <xf numFmtId="0" fontId="4" fillId="0" borderId="0" xfId="4" quotePrefix="1"/>
    <xf numFmtId="165" fontId="4" fillId="0" borderId="0" xfId="4" applyNumberFormat="1"/>
    <xf numFmtId="1" fontId="4" fillId="0" borderId="0" xfId="4" applyNumberFormat="1"/>
    <xf numFmtId="2" fontId="4" fillId="0" borderId="0" xfId="4" applyNumberFormat="1"/>
  </cellXfs>
  <cellStyles count="5">
    <cellStyle name="Comma" xfId="1" builtinId="3"/>
    <cellStyle name="Hyperlink" xfId="3" builtinId="8"/>
    <cellStyle name="Normal" xfId="0" builtinId="0"/>
    <cellStyle name="Normal 2" xfId="4" xr:uid="{508981EF-0269-42A7-975C-306DBA598182}"/>
    <cellStyle name="Percent" xfId="2" builtinId="5"/>
  </cellStyles>
  <dxfs count="1">
    <dxf>
      <font>
        <sz val="9"/>
        <color rgb="FFC00000"/>
        <name val="Arial"/>
        <charset val="1"/>
      </font>
    </dxf>
  </dxfs>
  <tableStyles count="0" defaultTableStyle="TableStyleMedium2" defaultPivotStyle="PivotStyleLight16"/>
  <colors>
    <mruColors>
      <color rgb="FFC89B1C"/>
      <color rgb="FFC3A421"/>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bofaddin.rtdserver">
      <tp t="s">
        <v>#N/A N/A</v>
        <stp/>
        <stp>BDP|15990984332373105636</stp>
        <tr r="F8" s="10"/>
      </tp>
      <tp t="s">
        <v>#N/A N/A</v>
        <stp/>
        <stp>BDP|12379576232008573758</stp>
        <tr r="G8" s="10"/>
        <tr r="F6" s="9"/>
      </tp>
      <tp t="s">
        <v>#N/A N/A</v>
        <stp/>
        <stp>BDP|16172756584875644450</stp>
        <tr r="J8" s="10"/>
        <tr r="I6" s="9"/>
      </tp>
      <tp t="s">
        <v>#N/A N/A</v>
        <stp/>
        <stp>BDP|18295967160508886666</stp>
        <tr r="G10" s="10"/>
        <tr r="F8" s="9"/>
      </tp>
      <tp t="s">
        <v>#N/A N/A</v>
        <stp/>
        <stp>BDP|15223762370505867992</stp>
        <tr r="H6" s="10"/>
        <tr r="G4" s="9"/>
      </tp>
      <tp t="s">
        <v>#N/A N/A</v>
        <stp/>
        <stp>BDP|10864556479058442379</stp>
        <tr r="H11" s="10"/>
        <tr r="G9" s="9"/>
      </tp>
      <tp t="s">
        <v>#N/A N/A</v>
        <stp/>
        <stp>BDP|14003880152806542118</stp>
        <tr r="E10" s="10"/>
        <tr r="D8" s="9"/>
      </tp>
      <tp t="s">
        <v>#N/A N/A</v>
        <stp/>
        <stp>BDP|17706450168233900862</stp>
        <tr r="E9" s="10"/>
        <tr r="D7" s="9"/>
      </tp>
      <tp t="s">
        <v>#N/A N/A</v>
        <stp/>
        <stp>BDP|17637503619076422942</stp>
        <tr r="E9" s="9"/>
      </tp>
      <tp t="s">
        <v>#N/A N/A</v>
        <stp/>
        <stp>BDP|12324769381188243946</stp>
        <tr r="J7" s="10"/>
        <tr r="I5" s="9"/>
      </tp>
      <tp t="s">
        <v>#N/A N/A</v>
        <stp/>
        <stp>BDP|17115359839982392729</stp>
        <tr r="B11" s="10"/>
        <tr r="C9" s="9"/>
      </tp>
      <tp t="s">
        <v>#N/A N/A</v>
        <stp/>
        <stp>BDP|16165906687531195476</stp>
        <tr r="F9" s="10"/>
      </tp>
      <tp t="s">
        <v>#N/A N/A</v>
        <stp/>
        <stp>BDP|10769912203483084851</stp>
        <tr r="B7" s="10"/>
        <tr r="C5" s="9"/>
      </tp>
      <tp t="s">
        <v>#N/A N/A</v>
        <stp/>
        <stp>BDP|11772562936630872480</stp>
        <tr r="F11" s="10"/>
      </tp>
      <tp t="s">
        <v>#N/A N/A</v>
        <stp/>
        <stp>BDP|11382122614809385810</stp>
        <tr r="H9" s="10"/>
        <tr r="G7" s="9"/>
      </tp>
      <tp t="s">
        <v>#N/A N/A</v>
        <stp/>
        <stp>BDP|13467419828071858501</stp>
        <tr r="J6" s="10"/>
        <tr r="I4" s="9"/>
      </tp>
      <tp t="s">
        <v>#N/A N/A</v>
        <stp/>
        <stp>BDP|15456421609053135652</stp>
        <tr r="E5" s="9"/>
      </tp>
      <tp t="s">
        <v>#N/A N/A</v>
        <stp/>
        <stp>BDP|15360563870173369017</stp>
        <tr r="H7" s="10"/>
        <tr r="G5" s="9"/>
      </tp>
      <tp t="s">
        <v>#N/A N/A</v>
        <stp/>
        <stp>BDP|17017744317051384526</stp>
        <tr r="E6" s="10"/>
        <tr r="D4" s="9"/>
      </tp>
      <tp t="s">
        <v>#N/A N/A</v>
        <stp/>
        <stp>BDP|14177532536725892297</stp>
        <tr r="E6" s="9"/>
      </tp>
    </main>
    <main first="bofaddin.rtdserver">
      <tp t="s">
        <v>#N/A N/A</v>
        <stp/>
        <stp>BDP|9169745163731153551</stp>
        <tr r="B9" s="10"/>
        <tr r="C7" s="9"/>
      </tp>
      <tp t="s">
        <v>#N/A N/A</v>
        <stp/>
        <stp>BDP|9212334818674469287</stp>
        <tr r="B8" s="10"/>
        <tr r="C6" s="9"/>
      </tp>
      <tp t="s">
        <v>#N/A N/A</v>
        <stp/>
        <stp>BDP|4733174199734714602</stp>
        <tr r="B10" s="10"/>
        <tr r="C8" s="9"/>
      </tp>
      <tp t="s">
        <v>#N/A N/A</v>
        <stp/>
        <stp>BDP|1172619935388155241</stp>
        <tr r="F6" s="10"/>
      </tp>
      <tp t="s">
        <v>#N/A N/A</v>
        <stp/>
        <stp>BDP|4931705821869777777</stp>
        <tr r="H10" s="10"/>
        <tr r="G8" s="9"/>
      </tp>
      <tp t="s">
        <v>#N/A N/A</v>
        <stp/>
        <stp>BDP|4371962072700764504</stp>
        <tr r="B6" s="10"/>
        <tr r="C4" s="9"/>
      </tp>
      <tp t="s">
        <v>#N/A N/A</v>
        <stp/>
        <stp>BDP|3279443538794564828</stp>
        <tr r="E8" s="10"/>
        <tr r="D6" s="9"/>
      </tp>
      <tp t="s">
        <v>#N/A N/A</v>
        <stp/>
        <stp>BDP|2380071084980792212</stp>
        <tr r="G9" s="10"/>
        <tr r="F7" s="9"/>
      </tp>
      <tp t="s">
        <v>#N/A N/A</v>
        <stp/>
        <stp>BDP|5753431819799318036</stp>
        <tr r="H8" s="10"/>
        <tr r="G6" s="9"/>
      </tp>
      <tp t="s">
        <v>#N/A N/A</v>
        <stp/>
        <stp>BDP|2360114020898307255</stp>
        <tr r="F10" s="10"/>
      </tp>
      <tp t="s">
        <v>#N/A N/A</v>
        <stp/>
        <stp>BDP|4334392840265623075</stp>
        <tr r="E8" s="9"/>
      </tp>
      <tp t="s">
        <v>#N/A N/A</v>
        <stp/>
        <stp>BDP|3488396507705374340</stp>
        <tr r="J11" s="10"/>
        <tr r="I9" s="9"/>
      </tp>
      <tp t="s">
        <v>#N/A N/A</v>
        <stp/>
        <stp>BDP|2936937226318683690</stp>
        <tr r="E7" s="9"/>
      </tp>
      <tp t="s">
        <v>#N/A N/A</v>
        <stp/>
        <stp>BDP|5581257247037890527</stp>
        <tr r="G7" s="10"/>
        <tr r="F5" s="9"/>
      </tp>
      <tp t="s">
        <v>#N/A N/A</v>
        <stp/>
        <stp>BDP|5246253701617410144</stp>
        <tr r="G11" s="10"/>
        <tr r="F9" s="9"/>
      </tp>
      <tp t="s">
        <v>#N/A N/A</v>
        <stp/>
        <stp>BDP|7701744999303239807</stp>
        <tr r="G6" s="10"/>
        <tr r="F4" s="9"/>
      </tp>
      <tp t="s">
        <v>#N/A N/A</v>
        <stp/>
        <stp>BDP|3759127630060997389</stp>
        <tr r="J9" s="10"/>
        <tr r="I7" s="9"/>
      </tp>
      <tp t="s">
        <v>#N/A N/A</v>
        <stp/>
        <stp>BDP|7727429314189433816</stp>
        <tr r="E11" s="10"/>
        <tr r="D9" s="9"/>
      </tp>
    </main>
    <main first="bofaddin.rtdserver">
      <tp t="s">
        <v>#N/A N/A</v>
        <stp/>
        <stp>BDP|728236496048295690</stp>
        <tr r="E4" s="9"/>
      </tp>
      <tp t="s">
        <v>#N/A N/A</v>
        <stp/>
        <stp>BDP|420377878750615090</stp>
        <tr r="E7" s="10"/>
        <tr r="D5" s="9"/>
      </tp>
      <tp t="s">
        <v>#N/A N/A</v>
        <stp/>
        <stp>BDP|888641246149470486</stp>
        <tr r="F7" s="10"/>
      </tp>
      <tp t="s">
        <v>#N/A N/A</v>
        <stp/>
        <stp>BDP|928957341610266352</stp>
        <tr r="J10" s="10"/>
        <tr r="I8" s="9"/>
      </tp>
    </main>
  </volType>
</volType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volatileDependencies" Target="volatileDependenci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7.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4.xml"/><Relationship Id="rId1" Type="http://schemas.microsoft.com/office/2011/relationships/chartStyle" Target="style14.xml"/></Relationships>
</file>

<file path=xl/charts/_rels/chart2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8604809482810404E-2"/>
          <c:y val="7.9120381714623336E-2"/>
          <c:w val="0.90261959010223403"/>
          <c:h val="0.77930871317141692"/>
        </c:manualLayout>
      </c:layout>
      <c:lineChart>
        <c:grouping val="standard"/>
        <c:varyColors val="0"/>
        <c:ser>
          <c:idx val="0"/>
          <c:order val="0"/>
          <c:tx>
            <c:strRef>
              <c:f>'Inflation expectations'!$C$2</c:f>
              <c:strCache>
                <c:ptCount val="1"/>
                <c:pt idx="0">
                  <c:v>12mo inflation expectations</c:v>
                </c:pt>
              </c:strCache>
            </c:strRef>
          </c:tx>
          <c:spPr>
            <a:ln w="28575" cap="rnd">
              <a:solidFill>
                <a:schemeClr val="accent1"/>
              </a:solidFill>
              <a:round/>
            </a:ln>
            <a:effectLst/>
          </c:spPr>
          <c:marker>
            <c:symbol val="none"/>
          </c:marker>
          <c:cat>
            <c:numRef>
              <c:f>'Inflation expectations'!$A$8:$A$129</c:f>
              <c:numCache>
                <c:formatCode>mmm\-yy</c:formatCode>
                <c:ptCount val="122"/>
                <c:pt idx="0">
                  <c:v>42522</c:v>
                </c:pt>
                <c:pt idx="1">
                  <c:v>42552</c:v>
                </c:pt>
                <c:pt idx="2">
                  <c:v>42583</c:v>
                </c:pt>
                <c:pt idx="3">
                  <c:v>42614</c:v>
                </c:pt>
                <c:pt idx="4">
                  <c:v>42644</c:v>
                </c:pt>
                <c:pt idx="5">
                  <c:v>42675</c:v>
                </c:pt>
                <c:pt idx="6">
                  <c:v>42705</c:v>
                </c:pt>
                <c:pt idx="7">
                  <c:v>42736</c:v>
                </c:pt>
                <c:pt idx="8">
                  <c:v>42767</c:v>
                </c:pt>
                <c:pt idx="9">
                  <c:v>42795</c:v>
                </c:pt>
                <c:pt idx="10">
                  <c:v>42826</c:v>
                </c:pt>
                <c:pt idx="11">
                  <c:v>42856</c:v>
                </c:pt>
                <c:pt idx="12">
                  <c:v>42887</c:v>
                </c:pt>
                <c:pt idx="13">
                  <c:v>42917</c:v>
                </c:pt>
                <c:pt idx="14">
                  <c:v>42948</c:v>
                </c:pt>
                <c:pt idx="15">
                  <c:v>42979</c:v>
                </c:pt>
                <c:pt idx="16">
                  <c:v>43009</c:v>
                </c:pt>
                <c:pt idx="17">
                  <c:v>43040</c:v>
                </c:pt>
                <c:pt idx="18">
                  <c:v>43070</c:v>
                </c:pt>
                <c:pt idx="19">
                  <c:v>43101</c:v>
                </c:pt>
                <c:pt idx="20">
                  <c:v>43132</c:v>
                </c:pt>
                <c:pt idx="21">
                  <c:v>43160</c:v>
                </c:pt>
                <c:pt idx="22">
                  <c:v>43191</c:v>
                </c:pt>
                <c:pt idx="23">
                  <c:v>43221</c:v>
                </c:pt>
                <c:pt idx="24">
                  <c:v>43252</c:v>
                </c:pt>
                <c:pt idx="25">
                  <c:v>43282</c:v>
                </c:pt>
                <c:pt idx="26">
                  <c:v>43313</c:v>
                </c:pt>
                <c:pt idx="27">
                  <c:v>43344</c:v>
                </c:pt>
                <c:pt idx="28">
                  <c:v>43374</c:v>
                </c:pt>
                <c:pt idx="29">
                  <c:v>43405</c:v>
                </c:pt>
                <c:pt idx="30">
                  <c:v>43435</c:v>
                </c:pt>
                <c:pt idx="31">
                  <c:v>43466</c:v>
                </c:pt>
                <c:pt idx="32">
                  <c:v>43497</c:v>
                </c:pt>
                <c:pt idx="33">
                  <c:v>43525</c:v>
                </c:pt>
                <c:pt idx="34">
                  <c:v>43556</c:v>
                </c:pt>
                <c:pt idx="35">
                  <c:v>43586</c:v>
                </c:pt>
                <c:pt idx="36">
                  <c:v>43617</c:v>
                </c:pt>
                <c:pt idx="37">
                  <c:v>43647</c:v>
                </c:pt>
                <c:pt idx="38">
                  <c:v>43678</c:v>
                </c:pt>
                <c:pt idx="39">
                  <c:v>43709</c:v>
                </c:pt>
                <c:pt idx="40">
                  <c:v>43739</c:v>
                </c:pt>
                <c:pt idx="41">
                  <c:v>43770</c:v>
                </c:pt>
                <c:pt idx="42">
                  <c:v>43800</c:v>
                </c:pt>
                <c:pt idx="43">
                  <c:v>43831</c:v>
                </c:pt>
                <c:pt idx="44">
                  <c:v>43862</c:v>
                </c:pt>
                <c:pt idx="45">
                  <c:v>43891</c:v>
                </c:pt>
                <c:pt idx="46">
                  <c:v>43922</c:v>
                </c:pt>
                <c:pt idx="47">
                  <c:v>43952</c:v>
                </c:pt>
                <c:pt idx="48">
                  <c:v>43983</c:v>
                </c:pt>
                <c:pt idx="49">
                  <c:v>44013</c:v>
                </c:pt>
                <c:pt idx="50">
                  <c:v>44044</c:v>
                </c:pt>
                <c:pt idx="51">
                  <c:v>44075</c:v>
                </c:pt>
                <c:pt idx="52">
                  <c:v>44105</c:v>
                </c:pt>
                <c:pt idx="53">
                  <c:v>44136</c:v>
                </c:pt>
                <c:pt idx="54">
                  <c:v>44166</c:v>
                </c:pt>
                <c:pt idx="55">
                  <c:v>44197</c:v>
                </c:pt>
                <c:pt idx="56">
                  <c:v>44228</c:v>
                </c:pt>
                <c:pt idx="57">
                  <c:v>44256</c:v>
                </c:pt>
                <c:pt idx="58">
                  <c:v>44287</c:v>
                </c:pt>
                <c:pt idx="59">
                  <c:v>44317</c:v>
                </c:pt>
                <c:pt idx="60">
                  <c:v>44348</c:v>
                </c:pt>
                <c:pt idx="61">
                  <c:v>44378</c:v>
                </c:pt>
                <c:pt idx="62">
                  <c:v>44409</c:v>
                </c:pt>
                <c:pt idx="63">
                  <c:v>44440</c:v>
                </c:pt>
                <c:pt idx="64">
                  <c:v>44470</c:v>
                </c:pt>
                <c:pt idx="65">
                  <c:v>44501</c:v>
                </c:pt>
                <c:pt idx="66">
                  <c:v>44531</c:v>
                </c:pt>
                <c:pt idx="67">
                  <c:v>44562</c:v>
                </c:pt>
                <c:pt idx="68">
                  <c:v>44593</c:v>
                </c:pt>
                <c:pt idx="69">
                  <c:v>44621</c:v>
                </c:pt>
                <c:pt idx="70">
                  <c:v>44652</c:v>
                </c:pt>
                <c:pt idx="71">
                  <c:v>44682</c:v>
                </c:pt>
                <c:pt idx="72">
                  <c:v>44713</c:v>
                </c:pt>
                <c:pt idx="73">
                  <c:v>44743</c:v>
                </c:pt>
                <c:pt idx="74">
                  <c:v>44774</c:v>
                </c:pt>
                <c:pt idx="75">
                  <c:v>44805</c:v>
                </c:pt>
                <c:pt idx="76">
                  <c:v>44835</c:v>
                </c:pt>
                <c:pt idx="77">
                  <c:v>44866</c:v>
                </c:pt>
                <c:pt idx="78">
                  <c:v>44896</c:v>
                </c:pt>
                <c:pt idx="79">
                  <c:v>44927</c:v>
                </c:pt>
                <c:pt idx="80">
                  <c:v>44958</c:v>
                </c:pt>
                <c:pt idx="81">
                  <c:v>44986</c:v>
                </c:pt>
                <c:pt idx="82">
                  <c:v>45017</c:v>
                </c:pt>
                <c:pt idx="83">
                  <c:v>45047</c:v>
                </c:pt>
                <c:pt idx="84">
                  <c:v>45078</c:v>
                </c:pt>
                <c:pt idx="85">
                  <c:v>45108</c:v>
                </c:pt>
                <c:pt idx="86">
                  <c:v>45139</c:v>
                </c:pt>
                <c:pt idx="87">
                  <c:v>45170</c:v>
                </c:pt>
                <c:pt idx="88">
                  <c:v>45200</c:v>
                </c:pt>
                <c:pt idx="89">
                  <c:v>45231</c:v>
                </c:pt>
                <c:pt idx="90">
                  <c:v>45261</c:v>
                </c:pt>
                <c:pt idx="91">
                  <c:v>45292</c:v>
                </c:pt>
                <c:pt idx="92">
                  <c:v>45323</c:v>
                </c:pt>
                <c:pt idx="93">
                  <c:v>45352</c:v>
                </c:pt>
                <c:pt idx="94">
                  <c:v>45383</c:v>
                </c:pt>
                <c:pt idx="95">
                  <c:v>45413</c:v>
                </c:pt>
                <c:pt idx="96">
                  <c:v>45444</c:v>
                </c:pt>
                <c:pt idx="97">
                  <c:v>45474</c:v>
                </c:pt>
                <c:pt idx="98">
                  <c:v>45505</c:v>
                </c:pt>
                <c:pt idx="99">
                  <c:v>45536</c:v>
                </c:pt>
                <c:pt idx="100">
                  <c:v>45566</c:v>
                </c:pt>
                <c:pt idx="101">
                  <c:v>45597</c:v>
                </c:pt>
                <c:pt idx="102">
                  <c:v>45627</c:v>
                </c:pt>
                <c:pt idx="103">
                  <c:v>45658</c:v>
                </c:pt>
                <c:pt idx="104">
                  <c:v>45689</c:v>
                </c:pt>
                <c:pt idx="105">
                  <c:v>45717</c:v>
                </c:pt>
                <c:pt idx="106">
                  <c:v>45748</c:v>
                </c:pt>
                <c:pt idx="107">
                  <c:v>45778</c:v>
                </c:pt>
                <c:pt idx="108">
                  <c:v>45809</c:v>
                </c:pt>
                <c:pt idx="109">
                  <c:v>45839</c:v>
                </c:pt>
                <c:pt idx="110">
                  <c:v>45870</c:v>
                </c:pt>
                <c:pt idx="111">
                  <c:v>45901</c:v>
                </c:pt>
                <c:pt idx="112">
                  <c:v>45931</c:v>
                </c:pt>
                <c:pt idx="113">
                  <c:v>45962</c:v>
                </c:pt>
                <c:pt idx="114">
                  <c:v>45992</c:v>
                </c:pt>
                <c:pt idx="115">
                  <c:v>46023</c:v>
                </c:pt>
                <c:pt idx="116">
                  <c:v>46054</c:v>
                </c:pt>
                <c:pt idx="117">
                  <c:v>46082</c:v>
                </c:pt>
                <c:pt idx="118">
                  <c:v>46113</c:v>
                </c:pt>
                <c:pt idx="119">
                  <c:v>46143</c:v>
                </c:pt>
                <c:pt idx="120">
                  <c:v>46174</c:v>
                </c:pt>
                <c:pt idx="121">
                  <c:v>46204</c:v>
                </c:pt>
              </c:numCache>
            </c:numRef>
          </c:cat>
          <c:val>
            <c:numRef>
              <c:f>'Inflation expectations'!$C$8:$C$129</c:f>
              <c:numCache>
                <c:formatCode>0.0</c:formatCode>
                <c:ptCount val="122"/>
                <c:pt idx="0">
                  <c:v>21.5</c:v>
                </c:pt>
                <c:pt idx="1">
                  <c:v>21.7</c:v>
                </c:pt>
                <c:pt idx="2">
                  <c:v>21.9</c:v>
                </c:pt>
                <c:pt idx="3">
                  <c:v>21.1</c:v>
                </c:pt>
                <c:pt idx="4">
                  <c:v>19.399999999999999</c:v>
                </c:pt>
                <c:pt idx="5">
                  <c:v>20</c:v>
                </c:pt>
                <c:pt idx="6">
                  <c:v>19.600000000000001</c:v>
                </c:pt>
                <c:pt idx="7">
                  <c:v>19.7</c:v>
                </c:pt>
                <c:pt idx="8">
                  <c:v>19.5</c:v>
                </c:pt>
                <c:pt idx="9">
                  <c:v>18.399999999999999</c:v>
                </c:pt>
                <c:pt idx="10">
                  <c:v>17.5</c:v>
                </c:pt>
                <c:pt idx="11">
                  <c:v>17</c:v>
                </c:pt>
                <c:pt idx="12">
                  <c:v>17</c:v>
                </c:pt>
                <c:pt idx="13">
                  <c:v>17.100000000000001</c:v>
                </c:pt>
                <c:pt idx="14">
                  <c:v>17.2</c:v>
                </c:pt>
                <c:pt idx="15">
                  <c:v>16.899999999999999</c:v>
                </c:pt>
                <c:pt idx="16">
                  <c:v>17.3</c:v>
                </c:pt>
                <c:pt idx="17">
                  <c:v>17.5</c:v>
                </c:pt>
                <c:pt idx="18">
                  <c:v>17.399999999999999</c:v>
                </c:pt>
                <c:pt idx="19">
                  <c:v>18.600000000000001</c:v>
                </c:pt>
                <c:pt idx="20">
                  <c:v>17.600000000000001</c:v>
                </c:pt>
                <c:pt idx="21">
                  <c:v>17.8</c:v>
                </c:pt>
                <c:pt idx="22">
                  <c:v>18.2</c:v>
                </c:pt>
                <c:pt idx="23">
                  <c:v>22.2</c:v>
                </c:pt>
                <c:pt idx="24">
                  <c:v>24.2</c:v>
                </c:pt>
                <c:pt idx="25">
                  <c:v>23.7</c:v>
                </c:pt>
                <c:pt idx="26">
                  <c:v>31.5</c:v>
                </c:pt>
                <c:pt idx="27">
                  <c:v>31.9</c:v>
                </c:pt>
                <c:pt idx="28">
                  <c:v>30.6</c:v>
                </c:pt>
                <c:pt idx="29">
                  <c:v>28.6</c:v>
                </c:pt>
                <c:pt idx="30">
                  <c:v>28.7</c:v>
                </c:pt>
                <c:pt idx="31">
                  <c:v>28.5</c:v>
                </c:pt>
                <c:pt idx="32">
                  <c:v>29</c:v>
                </c:pt>
                <c:pt idx="33">
                  <c:v>30.7</c:v>
                </c:pt>
                <c:pt idx="34">
                  <c:v>31.4</c:v>
                </c:pt>
                <c:pt idx="35">
                  <c:v>31</c:v>
                </c:pt>
                <c:pt idx="36">
                  <c:v>30</c:v>
                </c:pt>
                <c:pt idx="37">
                  <c:v>30.2</c:v>
                </c:pt>
                <c:pt idx="38">
                  <c:v>48.3</c:v>
                </c:pt>
                <c:pt idx="39">
                  <c:v>48</c:v>
                </c:pt>
                <c:pt idx="40">
                  <c:v>48.2</c:v>
                </c:pt>
                <c:pt idx="41">
                  <c:v>45.6</c:v>
                </c:pt>
                <c:pt idx="42">
                  <c:v>42.2</c:v>
                </c:pt>
                <c:pt idx="43">
                  <c:v>40</c:v>
                </c:pt>
                <c:pt idx="44">
                  <c:v>39.9</c:v>
                </c:pt>
                <c:pt idx="45">
                  <c:v>39.5</c:v>
                </c:pt>
                <c:pt idx="46">
                  <c:v>49</c:v>
                </c:pt>
                <c:pt idx="47">
                  <c:v>51</c:v>
                </c:pt>
                <c:pt idx="48">
                  <c:v>52.5</c:v>
                </c:pt>
                <c:pt idx="49">
                  <c:v>51.9</c:v>
                </c:pt>
                <c:pt idx="50">
                  <c:v>51.2</c:v>
                </c:pt>
                <c:pt idx="51">
                  <c:v>50.5</c:v>
                </c:pt>
                <c:pt idx="52">
                  <c:v>52.1</c:v>
                </c:pt>
                <c:pt idx="53">
                  <c:v>52.5</c:v>
                </c:pt>
                <c:pt idx="54">
                  <c:v>49.8</c:v>
                </c:pt>
                <c:pt idx="55">
                  <c:v>49.4</c:v>
                </c:pt>
                <c:pt idx="56">
                  <c:v>45</c:v>
                </c:pt>
                <c:pt idx="57">
                  <c:v>43.1</c:v>
                </c:pt>
                <c:pt idx="58">
                  <c:v>43.3</c:v>
                </c:pt>
                <c:pt idx="59">
                  <c:v>43.3</c:v>
                </c:pt>
                <c:pt idx="60">
                  <c:v>43.1</c:v>
                </c:pt>
                <c:pt idx="61">
                  <c:v>43.2</c:v>
                </c:pt>
                <c:pt idx="62">
                  <c:v>43.7</c:v>
                </c:pt>
                <c:pt idx="63">
                  <c:v>45.6</c:v>
                </c:pt>
                <c:pt idx="64">
                  <c:v>48.6</c:v>
                </c:pt>
                <c:pt idx="65">
                  <c:v>52.3</c:v>
                </c:pt>
                <c:pt idx="66">
                  <c:v>54.8</c:v>
                </c:pt>
                <c:pt idx="67">
                  <c:v>53.9</c:v>
                </c:pt>
                <c:pt idx="68">
                  <c:v>52.9</c:v>
                </c:pt>
                <c:pt idx="69">
                  <c:v>55.4</c:v>
                </c:pt>
                <c:pt idx="70">
                  <c:v>56.1</c:v>
                </c:pt>
                <c:pt idx="71">
                  <c:v>60.1</c:v>
                </c:pt>
                <c:pt idx="72">
                  <c:v>68.8</c:v>
                </c:pt>
                <c:pt idx="73">
                  <c:v>83.7</c:v>
                </c:pt>
                <c:pt idx="74">
                  <c:v>90.5</c:v>
                </c:pt>
                <c:pt idx="75">
                  <c:v>94.1</c:v>
                </c:pt>
                <c:pt idx="76">
                  <c:v>98.8</c:v>
                </c:pt>
                <c:pt idx="77">
                  <c:v>100.7</c:v>
                </c:pt>
                <c:pt idx="78">
                  <c:v>98.4</c:v>
                </c:pt>
                <c:pt idx="79">
                  <c:v>98.5</c:v>
                </c:pt>
                <c:pt idx="80">
                  <c:v>103.5</c:v>
                </c:pt>
                <c:pt idx="81">
                  <c:v>113.3</c:v>
                </c:pt>
                <c:pt idx="82">
                  <c:v>146.5</c:v>
                </c:pt>
                <c:pt idx="83">
                  <c:v>171.1</c:v>
                </c:pt>
                <c:pt idx="84">
                  <c:v>161.4</c:v>
                </c:pt>
                <c:pt idx="85">
                  <c:v>154.9</c:v>
                </c:pt>
                <c:pt idx="86">
                  <c:v>197.5</c:v>
                </c:pt>
                <c:pt idx="87">
                  <c:v>185.9</c:v>
                </c:pt>
                <c:pt idx="88">
                  <c:v>195.6</c:v>
                </c:pt>
                <c:pt idx="89">
                  <c:v>226.7</c:v>
                </c:pt>
                <c:pt idx="90">
                  <c:v>213</c:v>
                </c:pt>
                <c:pt idx="91">
                  <c:v>183.2</c:v>
                </c:pt>
                <c:pt idx="92">
                  <c:v>146.9</c:v>
                </c:pt>
                <c:pt idx="93">
                  <c:v>120</c:v>
                </c:pt>
                <c:pt idx="94">
                  <c:v>88</c:v>
                </c:pt>
                <c:pt idx="95">
                  <c:v>68.900000000000006</c:v>
                </c:pt>
                <c:pt idx="96">
                  <c:v>63.3</c:v>
                </c:pt>
                <c:pt idx="97">
                  <c:v>53.7</c:v>
                </c:pt>
                <c:pt idx="98">
                  <c:v>44.7</c:v>
                </c:pt>
                <c:pt idx="99">
                  <c:v>40.9</c:v>
                </c:pt>
                <c:pt idx="100">
                  <c:v>35</c:v>
                </c:pt>
                <c:pt idx="101">
                  <c:v>29.4</c:v>
                </c:pt>
                <c:pt idx="102">
                  <c:v>25.9</c:v>
                </c:pt>
                <c:pt idx="103">
                  <c:v>21.9</c:v>
                </c:pt>
                <c:pt idx="104">
                  <c:v>22.2</c:v>
                </c:pt>
                <c:pt idx="105">
                  <c:v>24.5</c:v>
                </c:pt>
                <c:pt idx="106">
                  <c:v>26.3</c:v>
                </c:pt>
                <c:pt idx="107">
                  <c:v>20.9</c:v>
                </c:pt>
                <c:pt idx="108">
                  <c:v>20.8</c:v>
                </c:pt>
                <c:pt idx="109">
                  <c:v>21.1</c:v>
                </c:pt>
                <c:pt idx="110">
                  <c:v>20.9</c:v>
                </c:pt>
                <c:pt idx="111">
                  <c:v>21.9</c:v>
                </c:pt>
                <c:pt idx="112">
                  <c:v>20.8</c:v>
                </c:pt>
                <c:pt idx="113">
                  <c:v>21</c:v>
                </c:pt>
                <c:pt idx="114">
                  <c:v>20.100000000000001</c:v>
                </c:pt>
                <c:pt idx="115">
                  <c:v>21</c:v>
                </c:pt>
                <c:pt idx="116">
                  <c:v>22.3</c:v>
                </c:pt>
                <c:pt idx="117">
                  <c:v>23.8</c:v>
                </c:pt>
                <c:pt idx="118">
                  <c:v>24.2</c:v>
                </c:pt>
                <c:pt idx="119">
                  <c:v>23.3</c:v>
                </c:pt>
                <c:pt idx="120">
                  <c:v>22.3</c:v>
                </c:pt>
                <c:pt idx="121">
                  <c:v>21.8</c:v>
                </c:pt>
              </c:numCache>
            </c:numRef>
          </c:val>
          <c:smooth val="0"/>
          <c:extLst>
            <c:ext xmlns:c16="http://schemas.microsoft.com/office/drawing/2014/chart" uri="{C3380CC4-5D6E-409C-BE32-E72D297353CC}">
              <c16:uniqueId val="{00000000-9D3C-4225-A4F4-934627B2FB39}"/>
            </c:ext>
          </c:extLst>
        </c:ser>
        <c:ser>
          <c:idx val="1"/>
          <c:order val="1"/>
          <c:tx>
            <c:strRef>
              <c:f>'Inflation expectations'!$D$2</c:f>
              <c:strCache>
                <c:ptCount val="1"/>
                <c:pt idx="0">
                  <c:v>24mo inflation expectations</c:v>
                </c:pt>
              </c:strCache>
            </c:strRef>
          </c:tx>
          <c:spPr>
            <a:ln w="28575" cap="rnd">
              <a:solidFill>
                <a:schemeClr val="bg2">
                  <a:lumMod val="75000"/>
                </a:schemeClr>
              </a:solidFill>
              <a:round/>
            </a:ln>
            <a:effectLst/>
          </c:spPr>
          <c:marker>
            <c:symbol val="none"/>
          </c:marker>
          <c:cat>
            <c:numRef>
              <c:f>'Inflation expectations'!$A$8:$A$129</c:f>
              <c:numCache>
                <c:formatCode>mmm\-yy</c:formatCode>
                <c:ptCount val="122"/>
                <c:pt idx="0">
                  <c:v>42522</c:v>
                </c:pt>
                <c:pt idx="1">
                  <c:v>42552</c:v>
                </c:pt>
                <c:pt idx="2">
                  <c:v>42583</c:v>
                </c:pt>
                <c:pt idx="3">
                  <c:v>42614</c:v>
                </c:pt>
                <c:pt idx="4">
                  <c:v>42644</c:v>
                </c:pt>
                <c:pt idx="5">
                  <c:v>42675</c:v>
                </c:pt>
                <c:pt idx="6">
                  <c:v>42705</c:v>
                </c:pt>
                <c:pt idx="7">
                  <c:v>42736</c:v>
                </c:pt>
                <c:pt idx="8">
                  <c:v>42767</c:v>
                </c:pt>
                <c:pt idx="9">
                  <c:v>42795</c:v>
                </c:pt>
                <c:pt idx="10">
                  <c:v>42826</c:v>
                </c:pt>
                <c:pt idx="11">
                  <c:v>42856</c:v>
                </c:pt>
                <c:pt idx="12">
                  <c:v>42887</c:v>
                </c:pt>
                <c:pt idx="13">
                  <c:v>42917</c:v>
                </c:pt>
                <c:pt idx="14">
                  <c:v>42948</c:v>
                </c:pt>
                <c:pt idx="15">
                  <c:v>42979</c:v>
                </c:pt>
                <c:pt idx="16">
                  <c:v>43009</c:v>
                </c:pt>
                <c:pt idx="17">
                  <c:v>43040</c:v>
                </c:pt>
                <c:pt idx="18">
                  <c:v>43070</c:v>
                </c:pt>
                <c:pt idx="19">
                  <c:v>43101</c:v>
                </c:pt>
                <c:pt idx="20">
                  <c:v>43132</c:v>
                </c:pt>
                <c:pt idx="21">
                  <c:v>43160</c:v>
                </c:pt>
                <c:pt idx="22">
                  <c:v>43191</c:v>
                </c:pt>
                <c:pt idx="23">
                  <c:v>43221</c:v>
                </c:pt>
                <c:pt idx="24">
                  <c:v>43252</c:v>
                </c:pt>
                <c:pt idx="25">
                  <c:v>43282</c:v>
                </c:pt>
                <c:pt idx="26">
                  <c:v>43313</c:v>
                </c:pt>
                <c:pt idx="27">
                  <c:v>43344</c:v>
                </c:pt>
                <c:pt idx="28">
                  <c:v>43374</c:v>
                </c:pt>
                <c:pt idx="29">
                  <c:v>43405</c:v>
                </c:pt>
                <c:pt idx="30">
                  <c:v>43435</c:v>
                </c:pt>
                <c:pt idx="31">
                  <c:v>43466</c:v>
                </c:pt>
                <c:pt idx="32">
                  <c:v>43497</c:v>
                </c:pt>
                <c:pt idx="33">
                  <c:v>43525</c:v>
                </c:pt>
                <c:pt idx="34">
                  <c:v>43556</c:v>
                </c:pt>
                <c:pt idx="35">
                  <c:v>43586</c:v>
                </c:pt>
                <c:pt idx="36">
                  <c:v>43617</c:v>
                </c:pt>
                <c:pt idx="37">
                  <c:v>43647</c:v>
                </c:pt>
                <c:pt idx="38">
                  <c:v>43678</c:v>
                </c:pt>
                <c:pt idx="39">
                  <c:v>43709</c:v>
                </c:pt>
                <c:pt idx="40">
                  <c:v>43739</c:v>
                </c:pt>
                <c:pt idx="41">
                  <c:v>43770</c:v>
                </c:pt>
                <c:pt idx="42">
                  <c:v>43800</c:v>
                </c:pt>
                <c:pt idx="43">
                  <c:v>43831</c:v>
                </c:pt>
                <c:pt idx="44">
                  <c:v>43862</c:v>
                </c:pt>
                <c:pt idx="45">
                  <c:v>43891</c:v>
                </c:pt>
                <c:pt idx="46">
                  <c:v>43922</c:v>
                </c:pt>
                <c:pt idx="47">
                  <c:v>43952</c:v>
                </c:pt>
                <c:pt idx="48">
                  <c:v>43983</c:v>
                </c:pt>
                <c:pt idx="49">
                  <c:v>44013</c:v>
                </c:pt>
                <c:pt idx="50">
                  <c:v>44044</c:v>
                </c:pt>
                <c:pt idx="51">
                  <c:v>44075</c:v>
                </c:pt>
                <c:pt idx="52">
                  <c:v>44105</c:v>
                </c:pt>
                <c:pt idx="53">
                  <c:v>44136</c:v>
                </c:pt>
                <c:pt idx="54">
                  <c:v>44166</c:v>
                </c:pt>
                <c:pt idx="55">
                  <c:v>44197</c:v>
                </c:pt>
                <c:pt idx="56">
                  <c:v>44228</c:v>
                </c:pt>
                <c:pt idx="57">
                  <c:v>44256</c:v>
                </c:pt>
                <c:pt idx="58">
                  <c:v>44287</c:v>
                </c:pt>
                <c:pt idx="59">
                  <c:v>44317</c:v>
                </c:pt>
                <c:pt idx="60">
                  <c:v>44348</c:v>
                </c:pt>
                <c:pt idx="61">
                  <c:v>44378</c:v>
                </c:pt>
                <c:pt idx="62">
                  <c:v>44409</c:v>
                </c:pt>
                <c:pt idx="63">
                  <c:v>44440</c:v>
                </c:pt>
                <c:pt idx="64">
                  <c:v>44470</c:v>
                </c:pt>
                <c:pt idx="65">
                  <c:v>44501</c:v>
                </c:pt>
                <c:pt idx="66">
                  <c:v>44531</c:v>
                </c:pt>
                <c:pt idx="67">
                  <c:v>44562</c:v>
                </c:pt>
                <c:pt idx="68">
                  <c:v>44593</c:v>
                </c:pt>
                <c:pt idx="69">
                  <c:v>44621</c:v>
                </c:pt>
                <c:pt idx="70">
                  <c:v>44652</c:v>
                </c:pt>
                <c:pt idx="71">
                  <c:v>44682</c:v>
                </c:pt>
                <c:pt idx="72">
                  <c:v>44713</c:v>
                </c:pt>
                <c:pt idx="73">
                  <c:v>44743</c:v>
                </c:pt>
                <c:pt idx="74">
                  <c:v>44774</c:v>
                </c:pt>
                <c:pt idx="75">
                  <c:v>44805</c:v>
                </c:pt>
                <c:pt idx="76">
                  <c:v>44835</c:v>
                </c:pt>
                <c:pt idx="77">
                  <c:v>44866</c:v>
                </c:pt>
                <c:pt idx="78">
                  <c:v>44896</c:v>
                </c:pt>
                <c:pt idx="79">
                  <c:v>44927</c:v>
                </c:pt>
                <c:pt idx="80">
                  <c:v>44958</c:v>
                </c:pt>
                <c:pt idx="81">
                  <c:v>44986</c:v>
                </c:pt>
                <c:pt idx="82">
                  <c:v>45017</c:v>
                </c:pt>
                <c:pt idx="83">
                  <c:v>45047</c:v>
                </c:pt>
                <c:pt idx="84">
                  <c:v>45078</c:v>
                </c:pt>
                <c:pt idx="85">
                  <c:v>45108</c:v>
                </c:pt>
                <c:pt idx="86">
                  <c:v>45139</c:v>
                </c:pt>
                <c:pt idx="87">
                  <c:v>45170</c:v>
                </c:pt>
                <c:pt idx="88">
                  <c:v>45200</c:v>
                </c:pt>
                <c:pt idx="89">
                  <c:v>45231</c:v>
                </c:pt>
                <c:pt idx="90">
                  <c:v>45261</c:v>
                </c:pt>
                <c:pt idx="91">
                  <c:v>45292</c:v>
                </c:pt>
                <c:pt idx="92">
                  <c:v>45323</c:v>
                </c:pt>
                <c:pt idx="93">
                  <c:v>45352</c:v>
                </c:pt>
                <c:pt idx="94">
                  <c:v>45383</c:v>
                </c:pt>
                <c:pt idx="95">
                  <c:v>45413</c:v>
                </c:pt>
                <c:pt idx="96">
                  <c:v>45444</c:v>
                </c:pt>
                <c:pt idx="97">
                  <c:v>45474</c:v>
                </c:pt>
                <c:pt idx="98">
                  <c:v>45505</c:v>
                </c:pt>
                <c:pt idx="99">
                  <c:v>45536</c:v>
                </c:pt>
                <c:pt idx="100">
                  <c:v>45566</c:v>
                </c:pt>
                <c:pt idx="101">
                  <c:v>45597</c:v>
                </c:pt>
                <c:pt idx="102">
                  <c:v>45627</c:v>
                </c:pt>
                <c:pt idx="103">
                  <c:v>45658</c:v>
                </c:pt>
                <c:pt idx="104">
                  <c:v>45689</c:v>
                </c:pt>
                <c:pt idx="105">
                  <c:v>45717</c:v>
                </c:pt>
                <c:pt idx="106">
                  <c:v>45748</c:v>
                </c:pt>
                <c:pt idx="107">
                  <c:v>45778</c:v>
                </c:pt>
                <c:pt idx="108">
                  <c:v>45809</c:v>
                </c:pt>
                <c:pt idx="109">
                  <c:v>45839</c:v>
                </c:pt>
                <c:pt idx="110">
                  <c:v>45870</c:v>
                </c:pt>
                <c:pt idx="111">
                  <c:v>45901</c:v>
                </c:pt>
                <c:pt idx="112">
                  <c:v>45931</c:v>
                </c:pt>
                <c:pt idx="113">
                  <c:v>45962</c:v>
                </c:pt>
                <c:pt idx="114">
                  <c:v>45992</c:v>
                </c:pt>
                <c:pt idx="115">
                  <c:v>46023</c:v>
                </c:pt>
                <c:pt idx="116">
                  <c:v>46054</c:v>
                </c:pt>
                <c:pt idx="117">
                  <c:v>46082</c:v>
                </c:pt>
                <c:pt idx="118">
                  <c:v>46113</c:v>
                </c:pt>
                <c:pt idx="119">
                  <c:v>46143</c:v>
                </c:pt>
                <c:pt idx="120">
                  <c:v>46174</c:v>
                </c:pt>
                <c:pt idx="121">
                  <c:v>46204</c:v>
                </c:pt>
              </c:numCache>
            </c:numRef>
          </c:cat>
          <c:val>
            <c:numRef>
              <c:f>'Inflation expectations'!$D$8:$D$129</c:f>
              <c:numCache>
                <c:formatCode>0.0</c:formatCode>
                <c:ptCount val="122"/>
                <c:pt idx="0">
                  <c:v>15.9</c:v>
                </c:pt>
                <c:pt idx="1">
                  <c:v>16</c:v>
                </c:pt>
                <c:pt idx="2">
                  <c:v>16</c:v>
                </c:pt>
                <c:pt idx="3">
                  <c:v>15.4</c:v>
                </c:pt>
                <c:pt idx="4">
                  <c:v>14.9</c:v>
                </c:pt>
                <c:pt idx="5">
                  <c:v>15.4</c:v>
                </c:pt>
                <c:pt idx="6">
                  <c:v>14</c:v>
                </c:pt>
                <c:pt idx="7">
                  <c:v>14</c:v>
                </c:pt>
                <c:pt idx="8">
                  <c:v>13.1</c:v>
                </c:pt>
                <c:pt idx="9">
                  <c:v>13</c:v>
                </c:pt>
                <c:pt idx="10">
                  <c:v>13</c:v>
                </c:pt>
                <c:pt idx="11">
                  <c:v>13.1</c:v>
                </c:pt>
                <c:pt idx="12">
                  <c:v>12.3</c:v>
                </c:pt>
                <c:pt idx="13">
                  <c:v>12.5</c:v>
                </c:pt>
                <c:pt idx="14">
                  <c:v>12</c:v>
                </c:pt>
                <c:pt idx="15">
                  <c:v>12.1</c:v>
                </c:pt>
                <c:pt idx="16">
                  <c:v>11.4</c:v>
                </c:pt>
                <c:pt idx="17">
                  <c:v>11.8</c:v>
                </c:pt>
                <c:pt idx="18">
                  <c:v>11.6</c:v>
                </c:pt>
                <c:pt idx="19">
                  <c:v>13.4</c:v>
                </c:pt>
                <c:pt idx="20">
                  <c:v>12.9</c:v>
                </c:pt>
                <c:pt idx="21">
                  <c:v>13</c:v>
                </c:pt>
                <c:pt idx="22">
                  <c:v>13.5</c:v>
                </c:pt>
                <c:pt idx="23">
                  <c:v>16.7</c:v>
                </c:pt>
                <c:pt idx="24">
                  <c:v>17.5</c:v>
                </c:pt>
                <c:pt idx="25">
                  <c:v>17.100000000000001</c:v>
                </c:pt>
                <c:pt idx="26">
                  <c:v>21.2</c:v>
                </c:pt>
                <c:pt idx="27">
                  <c:v>20.3</c:v>
                </c:pt>
                <c:pt idx="28">
                  <c:v>20.100000000000001</c:v>
                </c:pt>
                <c:pt idx="29">
                  <c:v>19.3</c:v>
                </c:pt>
                <c:pt idx="30">
                  <c:v>19.899999999999999</c:v>
                </c:pt>
                <c:pt idx="31">
                  <c:v>19</c:v>
                </c:pt>
                <c:pt idx="32">
                  <c:v>19.3</c:v>
                </c:pt>
                <c:pt idx="33">
                  <c:v>21</c:v>
                </c:pt>
                <c:pt idx="34">
                  <c:v>23</c:v>
                </c:pt>
                <c:pt idx="35">
                  <c:v>22.6</c:v>
                </c:pt>
                <c:pt idx="36">
                  <c:v>22.1</c:v>
                </c:pt>
                <c:pt idx="37">
                  <c:v>22.7</c:v>
                </c:pt>
                <c:pt idx="38">
                  <c:v>30</c:v>
                </c:pt>
                <c:pt idx="39">
                  <c:v>30.5</c:v>
                </c:pt>
                <c:pt idx="40">
                  <c:v>30</c:v>
                </c:pt>
                <c:pt idx="41">
                  <c:v>30.5</c:v>
                </c:pt>
                <c:pt idx="42">
                  <c:v>30.1</c:v>
                </c:pt>
                <c:pt idx="43">
                  <c:v>31.7</c:v>
                </c:pt>
                <c:pt idx="44">
                  <c:v>30</c:v>
                </c:pt>
                <c:pt idx="45">
                  <c:v>32.5</c:v>
                </c:pt>
                <c:pt idx="46">
                  <c:v>36.4</c:v>
                </c:pt>
                <c:pt idx="47">
                  <c:v>37.4</c:v>
                </c:pt>
                <c:pt idx="48">
                  <c:v>41.5</c:v>
                </c:pt>
                <c:pt idx="49">
                  <c:v>38.4</c:v>
                </c:pt>
                <c:pt idx="50">
                  <c:v>39</c:v>
                </c:pt>
                <c:pt idx="51">
                  <c:v>38.799999999999997</c:v>
                </c:pt>
                <c:pt idx="52">
                  <c:v>37.6</c:v>
                </c:pt>
                <c:pt idx="53">
                  <c:v>39.1</c:v>
                </c:pt>
                <c:pt idx="54">
                  <c:v>39.200000000000003</c:v>
                </c:pt>
                <c:pt idx="55">
                  <c:v>38.799999999999997</c:v>
                </c:pt>
                <c:pt idx="56">
                  <c:v>36.799999999999997</c:v>
                </c:pt>
                <c:pt idx="57">
                  <c:v>36.700000000000003</c:v>
                </c:pt>
                <c:pt idx="58">
                  <c:v>36.799999999999997</c:v>
                </c:pt>
                <c:pt idx="59">
                  <c:v>37.9</c:v>
                </c:pt>
                <c:pt idx="60">
                  <c:v>#N/A</c:v>
                </c:pt>
                <c:pt idx="61">
                  <c:v>38.5</c:v>
                </c:pt>
                <c:pt idx="62">
                  <c:v>38.5</c:v>
                </c:pt>
                <c:pt idx="63">
                  <c:v>38.6</c:v>
                </c:pt>
                <c:pt idx="64">
                  <c:v>40.1</c:v>
                </c:pt>
                <c:pt idx="65">
                  <c:v>41.1</c:v>
                </c:pt>
                <c:pt idx="66">
                  <c:v>43.4</c:v>
                </c:pt>
                <c:pt idx="67">
                  <c:v>44.3</c:v>
                </c:pt>
                <c:pt idx="68">
                  <c:v>44.6</c:v>
                </c:pt>
                <c:pt idx="69">
                  <c:v>45.8</c:v>
                </c:pt>
                <c:pt idx="70">
                  <c:v>50</c:v>
                </c:pt>
                <c:pt idx="71">
                  <c:v>55.2</c:v>
                </c:pt>
                <c:pt idx="72">
                  <c:v>60</c:v>
                </c:pt>
                <c:pt idx="73">
                  <c:v>72.900000000000006</c:v>
                </c:pt>
                <c:pt idx="74">
                  <c:v>72.400000000000006</c:v>
                </c:pt>
                <c:pt idx="75">
                  <c:v>72.7</c:v>
                </c:pt>
                <c:pt idx="76">
                  <c:v>74.5</c:v>
                </c:pt>
                <c:pt idx="77">
                  <c:v>76</c:v>
                </c:pt>
                <c:pt idx="78">
                  <c:v>75</c:v>
                </c:pt>
                <c:pt idx="79">
                  <c:v>74.3</c:v>
                </c:pt>
                <c:pt idx="80">
                  <c:v>73.099999999999994</c:v>
                </c:pt>
                <c:pt idx="81">
                  <c:v>78</c:v>
                </c:pt>
                <c:pt idx="82">
                  <c:v>73</c:v>
                </c:pt>
                <c:pt idx="83">
                  <c:v>70</c:v>
                </c:pt>
                <c:pt idx="84">
                  <c:v>72.2</c:v>
                </c:pt>
                <c:pt idx="85">
                  <c:v>59.9</c:v>
                </c:pt>
                <c:pt idx="86">
                  <c:v>58.9</c:v>
                </c:pt>
                <c:pt idx="87">
                  <c:v>59.2</c:v>
                </c:pt>
                <c:pt idx="88">
                  <c:v>73</c:v>
                </c:pt>
                <c:pt idx="89">
                  <c:v>68.400000000000006</c:v>
                </c:pt>
                <c:pt idx="90">
                  <c:v>63.9</c:v>
                </c:pt>
                <c:pt idx="91">
                  <c:v>58</c:v>
                </c:pt>
                <c:pt idx="92">
                  <c:v>52.5</c:v>
                </c:pt>
                <c:pt idx="93">
                  <c:v>49</c:v>
                </c:pt>
                <c:pt idx="94">
                  <c:v>41.2</c:v>
                </c:pt>
                <c:pt idx="95">
                  <c:v>38.6</c:v>
                </c:pt>
                <c:pt idx="96">
                  <c:v>36.200000000000003</c:v>
                </c:pt>
                <c:pt idx="97">
                  <c:v>30.3</c:v>
                </c:pt>
                <c:pt idx="98">
                  <c:v>27.2</c:v>
                </c:pt>
                <c:pt idx="99">
                  <c:v>25</c:v>
                </c:pt>
                <c:pt idx="100">
                  <c:v>22</c:v>
                </c:pt>
                <c:pt idx="101">
                  <c:v>19.3</c:v>
                </c:pt>
                <c:pt idx="102">
                  <c:v>15.3</c:v>
                </c:pt>
                <c:pt idx="103">
                  <c:v>13.8</c:v>
                </c:pt>
                <c:pt idx="104">
                  <c:v>13.3</c:v>
                </c:pt>
                <c:pt idx="105">
                  <c:v>13.3</c:v>
                </c:pt>
                <c:pt idx="106">
                  <c:v>14.4</c:v>
                </c:pt>
                <c:pt idx="107">
                  <c:v>13.6</c:v>
                </c:pt>
                <c:pt idx="108">
                  <c:v>13.4</c:v>
                </c:pt>
                <c:pt idx="109">
                  <c:v>11.7</c:v>
                </c:pt>
                <c:pt idx="110">
                  <c:v>12.1</c:v>
                </c:pt>
                <c:pt idx="111">
                  <c:v>12.7</c:v>
                </c:pt>
                <c:pt idx="112">
                  <c:v>11.7</c:v>
                </c:pt>
                <c:pt idx="113">
                  <c:v>12</c:v>
                </c:pt>
                <c:pt idx="114">
                  <c:v>12.7</c:v>
                </c:pt>
                <c:pt idx="115">
                  <c:v>14.6</c:v>
                </c:pt>
                <c:pt idx="116">
                  <c:v>15.4</c:v>
                </c:pt>
                <c:pt idx="117">
                  <c:v>17</c:v>
                </c:pt>
                <c:pt idx="118">
                  <c:v>17.399999999999999</c:v>
                </c:pt>
                <c:pt idx="119">
                  <c:v>17.5</c:v>
                </c:pt>
                <c:pt idx="120">
                  <c:v>16.899999999999999</c:v>
                </c:pt>
                <c:pt idx="121">
                  <c:v>16.600000000000001</c:v>
                </c:pt>
              </c:numCache>
            </c:numRef>
          </c:val>
          <c:smooth val="0"/>
          <c:extLst>
            <c:ext xmlns:c16="http://schemas.microsoft.com/office/drawing/2014/chart" uri="{C3380CC4-5D6E-409C-BE32-E72D297353CC}">
              <c16:uniqueId val="{00000001-9D3C-4225-A4F4-934627B2FB39}"/>
            </c:ext>
          </c:extLst>
        </c:ser>
        <c:ser>
          <c:idx val="2"/>
          <c:order val="2"/>
          <c:tx>
            <c:strRef>
              <c:f>'Inflation expectations'!$E$2</c:f>
              <c:strCache>
                <c:ptCount val="1"/>
                <c:pt idx="0">
                  <c:v>30% annual mark </c:v>
                </c:pt>
              </c:strCache>
            </c:strRef>
          </c:tx>
          <c:spPr>
            <a:ln w="28575" cap="rnd">
              <a:solidFill>
                <a:schemeClr val="tx1"/>
              </a:solidFill>
              <a:prstDash val="sysDash"/>
              <a:round/>
            </a:ln>
            <a:effectLst/>
          </c:spPr>
          <c:marker>
            <c:symbol val="none"/>
          </c:marker>
          <c:cat>
            <c:numRef>
              <c:f>'Inflation expectations'!$A$8:$A$129</c:f>
              <c:numCache>
                <c:formatCode>mmm\-yy</c:formatCode>
                <c:ptCount val="122"/>
                <c:pt idx="0">
                  <c:v>42522</c:v>
                </c:pt>
                <c:pt idx="1">
                  <c:v>42552</c:v>
                </c:pt>
                <c:pt idx="2">
                  <c:v>42583</c:v>
                </c:pt>
                <c:pt idx="3">
                  <c:v>42614</c:v>
                </c:pt>
                <c:pt idx="4">
                  <c:v>42644</c:v>
                </c:pt>
                <c:pt idx="5">
                  <c:v>42675</c:v>
                </c:pt>
                <c:pt idx="6">
                  <c:v>42705</c:v>
                </c:pt>
                <c:pt idx="7">
                  <c:v>42736</c:v>
                </c:pt>
                <c:pt idx="8">
                  <c:v>42767</c:v>
                </c:pt>
                <c:pt idx="9">
                  <c:v>42795</c:v>
                </c:pt>
                <c:pt idx="10">
                  <c:v>42826</c:v>
                </c:pt>
                <c:pt idx="11">
                  <c:v>42856</c:v>
                </c:pt>
                <c:pt idx="12">
                  <c:v>42887</c:v>
                </c:pt>
                <c:pt idx="13">
                  <c:v>42917</c:v>
                </c:pt>
                <c:pt idx="14">
                  <c:v>42948</c:v>
                </c:pt>
                <c:pt idx="15">
                  <c:v>42979</c:v>
                </c:pt>
                <c:pt idx="16">
                  <c:v>43009</c:v>
                </c:pt>
                <c:pt idx="17">
                  <c:v>43040</c:v>
                </c:pt>
                <c:pt idx="18">
                  <c:v>43070</c:v>
                </c:pt>
                <c:pt idx="19">
                  <c:v>43101</c:v>
                </c:pt>
                <c:pt idx="20">
                  <c:v>43132</c:v>
                </c:pt>
                <c:pt idx="21">
                  <c:v>43160</c:v>
                </c:pt>
                <c:pt idx="22">
                  <c:v>43191</c:v>
                </c:pt>
                <c:pt idx="23">
                  <c:v>43221</c:v>
                </c:pt>
                <c:pt idx="24">
                  <c:v>43252</c:v>
                </c:pt>
                <c:pt idx="25">
                  <c:v>43282</c:v>
                </c:pt>
                <c:pt idx="26">
                  <c:v>43313</c:v>
                </c:pt>
                <c:pt idx="27">
                  <c:v>43344</c:v>
                </c:pt>
                <c:pt idx="28">
                  <c:v>43374</c:v>
                </c:pt>
                <c:pt idx="29">
                  <c:v>43405</c:v>
                </c:pt>
                <c:pt idx="30">
                  <c:v>43435</c:v>
                </c:pt>
                <c:pt idx="31">
                  <c:v>43466</c:v>
                </c:pt>
                <c:pt idx="32">
                  <c:v>43497</c:v>
                </c:pt>
                <c:pt idx="33">
                  <c:v>43525</c:v>
                </c:pt>
                <c:pt idx="34">
                  <c:v>43556</c:v>
                </c:pt>
                <c:pt idx="35">
                  <c:v>43586</c:v>
                </c:pt>
                <c:pt idx="36">
                  <c:v>43617</c:v>
                </c:pt>
                <c:pt idx="37">
                  <c:v>43647</c:v>
                </c:pt>
                <c:pt idx="38">
                  <c:v>43678</c:v>
                </c:pt>
                <c:pt idx="39">
                  <c:v>43709</c:v>
                </c:pt>
                <c:pt idx="40">
                  <c:v>43739</c:v>
                </c:pt>
                <c:pt idx="41">
                  <c:v>43770</c:v>
                </c:pt>
                <c:pt idx="42">
                  <c:v>43800</c:v>
                </c:pt>
                <c:pt idx="43">
                  <c:v>43831</c:v>
                </c:pt>
                <c:pt idx="44">
                  <c:v>43862</c:v>
                </c:pt>
                <c:pt idx="45">
                  <c:v>43891</c:v>
                </c:pt>
                <c:pt idx="46">
                  <c:v>43922</c:v>
                </c:pt>
                <c:pt idx="47">
                  <c:v>43952</c:v>
                </c:pt>
                <c:pt idx="48">
                  <c:v>43983</c:v>
                </c:pt>
                <c:pt idx="49">
                  <c:v>44013</c:v>
                </c:pt>
                <c:pt idx="50">
                  <c:v>44044</c:v>
                </c:pt>
                <c:pt idx="51">
                  <c:v>44075</c:v>
                </c:pt>
                <c:pt idx="52">
                  <c:v>44105</c:v>
                </c:pt>
                <c:pt idx="53">
                  <c:v>44136</c:v>
                </c:pt>
                <c:pt idx="54">
                  <c:v>44166</c:v>
                </c:pt>
                <c:pt idx="55">
                  <c:v>44197</c:v>
                </c:pt>
                <c:pt idx="56">
                  <c:v>44228</c:v>
                </c:pt>
                <c:pt idx="57">
                  <c:v>44256</c:v>
                </c:pt>
                <c:pt idx="58">
                  <c:v>44287</c:v>
                </c:pt>
                <c:pt idx="59">
                  <c:v>44317</c:v>
                </c:pt>
                <c:pt idx="60">
                  <c:v>44348</c:v>
                </c:pt>
                <c:pt idx="61">
                  <c:v>44378</c:v>
                </c:pt>
                <c:pt idx="62">
                  <c:v>44409</c:v>
                </c:pt>
                <c:pt idx="63">
                  <c:v>44440</c:v>
                </c:pt>
                <c:pt idx="64">
                  <c:v>44470</c:v>
                </c:pt>
                <c:pt idx="65">
                  <c:v>44501</c:v>
                </c:pt>
                <c:pt idx="66">
                  <c:v>44531</c:v>
                </c:pt>
                <c:pt idx="67">
                  <c:v>44562</c:v>
                </c:pt>
                <c:pt idx="68">
                  <c:v>44593</c:v>
                </c:pt>
                <c:pt idx="69">
                  <c:v>44621</c:v>
                </c:pt>
                <c:pt idx="70">
                  <c:v>44652</c:v>
                </c:pt>
                <c:pt idx="71">
                  <c:v>44682</c:v>
                </c:pt>
                <c:pt idx="72">
                  <c:v>44713</c:v>
                </c:pt>
                <c:pt idx="73">
                  <c:v>44743</c:v>
                </c:pt>
                <c:pt idx="74">
                  <c:v>44774</c:v>
                </c:pt>
                <c:pt idx="75">
                  <c:v>44805</c:v>
                </c:pt>
                <c:pt idx="76">
                  <c:v>44835</c:v>
                </c:pt>
                <c:pt idx="77">
                  <c:v>44866</c:v>
                </c:pt>
                <c:pt idx="78">
                  <c:v>44896</c:v>
                </c:pt>
                <c:pt idx="79">
                  <c:v>44927</c:v>
                </c:pt>
                <c:pt idx="80">
                  <c:v>44958</c:v>
                </c:pt>
                <c:pt idx="81">
                  <c:v>44986</c:v>
                </c:pt>
                <c:pt idx="82">
                  <c:v>45017</c:v>
                </c:pt>
                <c:pt idx="83">
                  <c:v>45047</c:v>
                </c:pt>
                <c:pt idx="84">
                  <c:v>45078</c:v>
                </c:pt>
                <c:pt idx="85">
                  <c:v>45108</c:v>
                </c:pt>
                <c:pt idx="86">
                  <c:v>45139</c:v>
                </c:pt>
                <c:pt idx="87">
                  <c:v>45170</c:v>
                </c:pt>
                <c:pt idx="88">
                  <c:v>45200</c:v>
                </c:pt>
                <c:pt idx="89">
                  <c:v>45231</c:v>
                </c:pt>
                <c:pt idx="90">
                  <c:v>45261</c:v>
                </c:pt>
                <c:pt idx="91">
                  <c:v>45292</c:v>
                </c:pt>
                <c:pt idx="92">
                  <c:v>45323</c:v>
                </c:pt>
                <c:pt idx="93">
                  <c:v>45352</c:v>
                </c:pt>
                <c:pt idx="94">
                  <c:v>45383</c:v>
                </c:pt>
                <c:pt idx="95">
                  <c:v>45413</c:v>
                </c:pt>
                <c:pt idx="96">
                  <c:v>45444</c:v>
                </c:pt>
                <c:pt idx="97">
                  <c:v>45474</c:v>
                </c:pt>
                <c:pt idx="98">
                  <c:v>45505</c:v>
                </c:pt>
                <c:pt idx="99">
                  <c:v>45536</c:v>
                </c:pt>
                <c:pt idx="100">
                  <c:v>45566</c:v>
                </c:pt>
                <c:pt idx="101">
                  <c:v>45597</c:v>
                </c:pt>
                <c:pt idx="102">
                  <c:v>45627</c:v>
                </c:pt>
                <c:pt idx="103">
                  <c:v>45658</c:v>
                </c:pt>
                <c:pt idx="104">
                  <c:v>45689</c:v>
                </c:pt>
                <c:pt idx="105">
                  <c:v>45717</c:v>
                </c:pt>
                <c:pt idx="106">
                  <c:v>45748</c:v>
                </c:pt>
                <c:pt idx="107">
                  <c:v>45778</c:v>
                </c:pt>
                <c:pt idx="108">
                  <c:v>45809</c:v>
                </c:pt>
                <c:pt idx="109">
                  <c:v>45839</c:v>
                </c:pt>
                <c:pt idx="110">
                  <c:v>45870</c:v>
                </c:pt>
                <c:pt idx="111">
                  <c:v>45901</c:v>
                </c:pt>
                <c:pt idx="112">
                  <c:v>45931</c:v>
                </c:pt>
                <c:pt idx="113">
                  <c:v>45962</c:v>
                </c:pt>
                <c:pt idx="114">
                  <c:v>45992</c:v>
                </c:pt>
                <c:pt idx="115">
                  <c:v>46023</c:v>
                </c:pt>
                <c:pt idx="116">
                  <c:v>46054</c:v>
                </c:pt>
                <c:pt idx="117">
                  <c:v>46082</c:v>
                </c:pt>
                <c:pt idx="118">
                  <c:v>46113</c:v>
                </c:pt>
                <c:pt idx="119">
                  <c:v>46143</c:v>
                </c:pt>
                <c:pt idx="120">
                  <c:v>46174</c:v>
                </c:pt>
                <c:pt idx="121">
                  <c:v>46204</c:v>
                </c:pt>
              </c:numCache>
            </c:numRef>
          </c:cat>
          <c:val>
            <c:numRef>
              <c:f>'Inflation expectations'!$E$8:$E$129</c:f>
              <c:numCache>
                <c:formatCode>General</c:formatCode>
                <c:ptCount val="122"/>
                <c:pt idx="0">
                  <c:v>30</c:v>
                </c:pt>
                <c:pt idx="1">
                  <c:v>30</c:v>
                </c:pt>
                <c:pt idx="2">
                  <c:v>30</c:v>
                </c:pt>
                <c:pt idx="3">
                  <c:v>30</c:v>
                </c:pt>
                <c:pt idx="4">
                  <c:v>30</c:v>
                </c:pt>
                <c:pt idx="5">
                  <c:v>30</c:v>
                </c:pt>
                <c:pt idx="6">
                  <c:v>30</c:v>
                </c:pt>
                <c:pt idx="7">
                  <c:v>30</c:v>
                </c:pt>
                <c:pt idx="8">
                  <c:v>30</c:v>
                </c:pt>
                <c:pt idx="9">
                  <c:v>30</c:v>
                </c:pt>
                <c:pt idx="10">
                  <c:v>30</c:v>
                </c:pt>
                <c:pt idx="11">
                  <c:v>30</c:v>
                </c:pt>
                <c:pt idx="12">
                  <c:v>30</c:v>
                </c:pt>
                <c:pt idx="13">
                  <c:v>30</c:v>
                </c:pt>
                <c:pt idx="14">
                  <c:v>30</c:v>
                </c:pt>
                <c:pt idx="15">
                  <c:v>30</c:v>
                </c:pt>
                <c:pt idx="16">
                  <c:v>30</c:v>
                </c:pt>
                <c:pt idx="17">
                  <c:v>30</c:v>
                </c:pt>
                <c:pt idx="18">
                  <c:v>30</c:v>
                </c:pt>
                <c:pt idx="19">
                  <c:v>30</c:v>
                </c:pt>
                <c:pt idx="20">
                  <c:v>30</c:v>
                </c:pt>
                <c:pt idx="21">
                  <c:v>30</c:v>
                </c:pt>
                <c:pt idx="22">
                  <c:v>30</c:v>
                </c:pt>
                <c:pt idx="23">
                  <c:v>30</c:v>
                </c:pt>
                <c:pt idx="24">
                  <c:v>30</c:v>
                </c:pt>
                <c:pt idx="25">
                  <c:v>30</c:v>
                </c:pt>
                <c:pt idx="26">
                  <c:v>30</c:v>
                </c:pt>
                <c:pt idx="27">
                  <c:v>30</c:v>
                </c:pt>
                <c:pt idx="28">
                  <c:v>30</c:v>
                </c:pt>
                <c:pt idx="29">
                  <c:v>30</c:v>
                </c:pt>
                <c:pt idx="30">
                  <c:v>30</c:v>
                </c:pt>
                <c:pt idx="31">
                  <c:v>30</c:v>
                </c:pt>
                <c:pt idx="32">
                  <c:v>30</c:v>
                </c:pt>
                <c:pt idx="33">
                  <c:v>30</c:v>
                </c:pt>
                <c:pt idx="34">
                  <c:v>30</c:v>
                </c:pt>
                <c:pt idx="35">
                  <c:v>30</c:v>
                </c:pt>
                <c:pt idx="36">
                  <c:v>30</c:v>
                </c:pt>
                <c:pt idx="37">
                  <c:v>30</c:v>
                </c:pt>
                <c:pt idx="38">
                  <c:v>30</c:v>
                </c:pt>
                <c:pt idx="39">
                  <c:v>30</c:v>
                </c:pt>
                <c:pt idx="40">
                  <c:v>30</c:v>
                </c:pt>
                <c:pt idx="41">
                  <c:v>30</c:v>
                </c:pt>
                <c:pt idx="42">
                  <c:v>30</c:v>
                </c:pt>
                <c:pt idx="43">
                  <c:v>30</c:v>
                </c:pt>
                <c:pt idx="44">
                  <c:v>30</c:v>
                </c:pt>
                <c:pt idx="45">
                  <c:v>30</c:v>
                </c:pt>
                <c:pt idx="46">
                  <c:v>30</c:v>
                </c:pt>
                <c:pt idx="47">
                  <c:v>30</c:v>
                </c:pt>
                <c:pt idx="48">
                  <c:v>30</c:v>
                </c:pt>
                <c:pt idx="49">
                  <c:v>30</c:v>
                </c:pt>
                <c:pt idx="50">
                  <c:v>30</c:v>
                </c:pt>
                <c:pt idx="51">
                  <c:v>30</c:v>
                </c:pt>
                <c:pt idx="52">
                  <c:v>30</c:v>
                </c:pt>
                <c:pt idx="53">
                  <c:v>30</c:v>
                </c:pt>
                <c:pt idx="54">
                  <c:v>30</c:v>
                </c:pt>
                <c:pt idx="55">
                  <c:v>30</c:v>
                </c:pt>
                <c:pt idx="56">
                  <c:v>30</c:v>
                </c:pt>
                <c:pt idx="57">
                  <c:v>30</c:v>
                </c:pt>
                <c:pt idx="58">
                  <c:v>30</c:v>
                </c:pt>
                <c:pt idx="59">
                  <c:v>30</c:v>
                </c:pt>
                <c:pt idx="60">
                  <c:v>30</c:v>
                </c:pt>
                <c:pt idx="61">
                  <c:v>30</c:v>
                </c:pt>
                <c:pt idx="62">
                  <c:v>30</c:v>
                </c:pt>
                <c:pt idx="63">
                  <c:v>30</c:v>
                </c:pt>
                <c:pt idx="64">
                  <c:v>30</c:v>
                </c:pt>
                <c:pt idx="65">
                  <c:v>30</c:v>
                </c:pt>
                <c:pt idx="66">
                  <c:v>30</c:v>
                </c:pt>
                <c:pt idx="67">
                  <c:v>30</c:v>
                </c:pt>
                <c:pt idx="68">
                  <c:v>30</c:v>
                </c:pt>
                <c:pt idx="69">
                  <c:v>30</c:v>
                </c:pt>
                <c:pt idx="70">
                  <c:v>30</c:v>
                </c:pt>
                <c:pt idx="71">
                  <c:v>30</c:v>
                </c:pt>
                <c:pt idx="72">
                  <c:v>30</c:v>
                </c:pt>
                <c:pt idx="73">
                  <c:v>30</c:v>
                </c:pt>
                <c:pt idx="74">
                  <c:v>30</c:v>
                </c:pt>
                <c:pt idx="75">
                  <c:v>30</c:v>
                </c:pt>
                <c:pt idx="76">
                  <c:v>30</c:v>
                </c:pt>
                <c:pt idx="77">
                  <c:v>30</c:v>
                </c:pt>
                <c:pt idx="78">
                  <c:v>30</c:v>
                </c:pt>
                <c:pt idx="79">
                  <c:v>30</c:v>
                </c:pt>
                <c:pt idx="80">
                  <c:v>30</c:v>
                </c:pt>
                <c:pt idx="81">
                  <c:v>30</c:v>
                </c:pt>
                <c:pt idx="82">
                  <c:v>30</c:v>
                </c:pt>
                <c:pt idx="83">
                  <c:v>30</c:v>
                </c:pt>
                <c:pt idx="84">
                  <c:v>30</c:v>
                </c:pt>
                <c:pt idx="85">
                  <c:v>30</c:v>
                </c:pt>
                <c:pt idx="86">
                  <c:v>30</c:v>
                </c:pt>
                <c:pt idx="87">
                  <c:v>30</c:v>
                </c:pt>
                <c:pt idx="88">
                  <c:v>30</c:v>
                </c:pt>
                <c:pt idx="89">
                  <c:v>30</c:v>
                </c:pt>
                <c:pt idx="90">
                  <c:v>30</c:v>
                </c:pt>
                <c:pt idx="91">
                  <c:v>30</c:v>
                </c:pt>
                <c:pt idx="92">
                  <c:v>30</c:v>
                </c:pt>
                <c:pt idx="93">
                  <c:v>30</c:v>
                </c:pt>
                <c:pt idx="94">
                  <c:v>30</c:v>
                </c:pt>
                <c:pt idx="95">
                  <c:v>30</c:v>
                </c:pt>
                <c:pt idx="96">
                  <c:v>30</c:v>
                </c:pt>
                <c:pt idx="97">
                  <c:v>30</c:v>
                </c:pt>
                <c:pt idx="98">
                  <c:v>30</c:v>
                </c:pt>
                <c:pt idx="99">
                  <c:v>30</c:v>
                </c:pt>
                <c:pt idx="100">
                  <c:v>30</c:v>
                </c:pt>
                <c:pt idx="101">
                  <c:v>30</c:v>
                </c:pt>
                <c:pt idx="102">
                  <c:v>30</c:v>
                </c:pt>
                <c:pt idx="103">
                  <c:v>30</c:v>
                </c:pt>
                <c:pt idx="104">
                  <c:v>30</c:v>
                </c:pt>
                <c:pt idx="105">
                  <c:v>30</c:v>
                </c:pt>
                <c:pt idx="106">
                  <c:v>30</c:v>
                </c:pt>
                <c:pt idx="107">
                  <c:v>30</c:v>
                </c:pt>
                <c:pt idx="108">
                  <c:v>30</c:v>
                </c:pt>
                <c:pt idx="109">
                  <c:v>30</c:v>
                </c:pt>
                <c:pt idx="110">
                  <c:v>30</c:v>
                </c:pt>
                <c:pt idx="111">
                  <c:v>30</c:v>
                </c:pt>
                <c:pt idx="112">
                  <c:v>30</c:v>
                </c:pt>
                <c:pt idx="113">
                  <c:v>30</c:v>
                </c:pt>
                <c:pt idx="114">
                  <c:v>30</c:v>
                </c:pt>
                <c:pt idx="115">
                  <c:v>30</c:v>
                </c:pt>
                <c:pt idx="116">
                  <c:v>30</c:v>
                </c:pt>
                <c:pt idx="117">
                  <c:v>30</c:v>
                </c:pt>
                <c:pt idx="118">
                  <c:v>30</c:v>
                </c:pt>
                <c:pt idx="119">
                  <c:v>30</c:v>
                </c:pt>
                <c:pt idx="120">
                  <c:v>30</c:v>
                </c:pt>
                <c:pt idx="121">
                  <c:v>30</c:v>
                </c:pt>
              </c:numCache>
            </c:numRef>
          </c:val>
          <c:smooth val="0"/>
          <c:extLst>
            <c:ext xmlns:c16="http://schemas.microsoft.com/office/drawing/2014/chart" uri="{C3380CC4-5D6E-409C-BE32-E72D297353CC}">
              <c16:uniqueId val="{00000002-9D3C-4225-A4F4-934627B2FB39}"/>
            </c:ext>
          </c:extLst>
        </c:ser>
        <c:dLbls>
          <c:showLegendKey val="0"/>
          <c:showVal val="0"/>
          <c:showCatName val="0"/>
          <c:showSerName val="0"/>
          <c:showPercent val="0"/>
          <c:showBubbleSize val="0"/>
        </c:dLbls>
        <c:smooth val="0"/>
        <c:axId val="1669802368"/>
        <c:axId val="1669799488"/>
      </c:lineChart>
      <c:dateAx>
        <c:axId val="1669802368"/>
        <c:scaling>
          <c:orientation val="minMax"/>
          <c:min val="42552"/>
        </c:scaling>
        <c:delete val="0"/>
        <c:axPos val="b"/>
        <c:numFmt formatCode="mmm\-yy"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Frutiger 45 Light" panose="020B0603020202020204" pitchFamily="34" charset="0"/>
                <a:ea typeface="+mn-ea"/>
                <a:cs typeface="+mn-cs"/>
              </a:defRPr>
            </a:pPr>
            <a:endParaRPr lang="en-US"/>
          </a:p>
        </c:txPr>
        <c:crossAx val="1669799488"/>
        <c:crosses val="autoZero"/>
        <c:auto val="1"/>
        <c:lblOffset val="100"/>
        <c:baseTimeUnit val="months"/>
        <c:majorUnit val="12"/>
        <c:majorTimeUnit val="months"/>
      </c:dateAx>
      <c:valAx>
        <c:axId val="1669799488"/>
        <c:scaling>
          <c:orientation val="minMax"/>
          <c:max val="90"/>
        </c:scaling>
        <c:delete val="0"/>
        <c:axPos val="l"/>
        <c:numFmt formatCode="0" sourceLinked="0"/>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Frutiger 45 Light" panose="020B0603020202020204" pitchFamily="34" charset="0"/>
                <a:ea typeface="+mn-ea"/>
                <a:cs typeface="+mn-cs"/>
              </a:defRPr>
            </a:pPr>
            <a:endParaRPr lang="en-US"/>
          </a:p>
        </c:txPr>
        <c:crossAx val="1669802368"/>
        <c:crosses val="autoZero"/>
        <c:crossBetween val="between"/>
      </c:valAx>
      <c:spPr>
        <a:noFill/>
        <a:ln>
          <a:noFill/>
        </a:ln>
        <a:effectLst/>
      </c:spPr>
    </c:plotArea>
    <c:legend>
      <c:legendPos val="b"/>
      <c:layout>
        <c:manualLayout>
          <c:xMode val="edge"/>
          <c:yMode val="edge"/>
          <c:x val="1.1007574483721702E-2"/>
          <c:y val="6.07607851835422E-2"/>
          <c:w val="0.55022417673168544"/>
          <c:h val="0.13859797132228877"/>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Frutiger 45 Light" panose="020B0603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Frutiger 45 Light" panose="020B0603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407002090840338E-2"/>
          <c:y val="4.4618370520286804E-2"/>
          <c:w val="0.87739525779616534"/>
          <c:h val="0.84828636950954561"/>
        </c:manualLayout>
      </c:layout>
      <c:barChart>
        <c:barDir val="col"/>
        <c:grouping val="clustered"/>
        <c:varyColors val="0"/>
        <c:ser>
          <c:idx val="1"/>
          <c:order val="1"/>
          <c:tx>
            <c:strRef>
              <c:f>'Trade balance'!$H$17</c:f>
              <c:strCache>
                <c:ptCount val="1"/>
                <c:pt idx="0">
                  <c:v>Energy trade balance</c:v>
                </c:pt>
              </c:strCache>
            </c:strRef>
          </c:tx>
          <c:spPr>
            <a:solidFill>
              <a:srgbClr val="CC0000"/>
            </a:solidFill>
            <a:ln>
              <a:noFill/>
            </a:ln>
            <a:effectLst/>
          </c:spPr>
          <c:invertIfNegative val="0"/>
          <c:cat>
            <c:numRef>
              <c:f>'Trade balance'!$A$18:$A$264</c:f>
              <c:numCache>
                <c:formatCode>mmm\-yy</c:formatCode>
                <c:ptCount val="247"/>
                <c:pt idx="0">
                  <c:v>38687</c:v>
                </c:pt>
                <c:pt idx="1">
                  <c:v>38718</c:v>
                </c:pt>
                <c:pt idx="2">
                  <c:v>38749</c:v>
                </c:pt>
                <c:pt idx="3">
                  <c:v>38777</c:v>
                </c:pt>
                <c:pt idx="4">
                  <c:v>38808</c:v>
                </c:pt>
                <c:pt idx="5">
                  <c:v>38838</c:v>
                </c:pt>
                <c:pt idx="6">
                  <c:v>38869</c:v>
                </c:pt>
                <c:pt idx="7">
                  <c:v>38899</c:v>
                </c:pt>
                <c:pt idx="8">
                  <c:v>38930</c:v>
                </c:pt>
                <c:pt idx="9">
                  <c:v>38961</c:v>
                </c:pt>
                <c:pt idx="10">
                  <c:v>38991</c:v>
                </c:pt>
                <c:pt idx="11">
                  <c:v>39022</c:v>
                </c:pt>
                <c:pt idx="12">
                  <c:v>39052</c:v>
                </c:pt>
                <c:pt idx="13">
                  <c:v>39083</c:v>
                </c:pt>
                <c:pt idx="14">
                  <c:v>39114</c:v>
                </c:pt>
                <c:pt idx="15">
                  <c:v>39142</c:v>
                </c:pt>
                <c:pt idx="16">
                  <c:v>39173</c:v>
                </c:pt>
                <c:pt idx="17">
                  <c:v>39203</c:v>
                </c:pt>
                <c:pt idx="18">
                  <c:v>39234</c:v>
                </c:pt>
                <c:pt idx="19">
                  <c:v>39264</c:v>
                </c:pt>
                <c:pt idx="20">
                  <c:v>39295</c:v>
                </c:pt>
                <c:pt idx="21">
                  <c:v>39326</c:v>
                </c:pt>
                <c:pt idx="22">
                  <c:v>39356</c:v>
                </c:pt>
                <c:pt idx="23">
                  <c:v>39387</c:v>
                </c:pt>
                <c:pt idx="24">
                  <c:v>39417</c:v>
                </c:pt>
                <c:pt idx="25">
                  <c:v>39448</c:v>
                </c:pt>
                <c:pt idx="26">
                  <c:v>39479</c:v>
                </c:pt>
                <c:pt idx="27">
                  <c:v>39508</c:v>
                </c:pt>
                <c:pt idx="28">
                  <c:v>39539</c:v>
                </c:pt>
                <c:pt idx="29">
                  <c:v>39569</c:v>
                </c:pt>
                <c:pt idx="30">
                  <c:v>39600</c:v>
                </c:pt>
                <c:pt idx="31">
                  <c:v>39630</c:v>
                </c:pt>
                <c:pt idx="32">
                  <c:v>39661</c:v>
                </c:pt>
                <c:pt idx="33">
                  <c:v>39692</c:v>
                </c:pt>
                <c:pt idx="34">
                  <c:v>39722</c:v>
                </c:pt>
                <c:pt idx="35">
                  <c:v>39753</c:v>
                </c:pt>
                <c:pt idx="36">
                  <c:v>39783</c:v>
                </c:pt>
                <c:pt idx="37">
                  <c:v>39814</c:v>
                </c:pt>
                <c:pt idx="38">
                  <c:v>39845</c:v>
                </c:pt>
                <c:pt idx="39">
                  <c:v>39873</c:v>
                </c:pt>
                <c:pt idx="40">
                  <c:v>39904</c:v>
                </c:pt>
                <c:pt idx="41">
                  <c:v>39934</c:v>
                </c:pt>
                <c:pt idx="42">
                  <c:v>39965</c:v>
                </c:pt>
                <c:pt idx="43">
                  <c:v>39995</c:v>
                </c:pt>
                <c:pt idx="44">
                  <c:v>40026</c:v>
                </c:pt>
                <c:pt idx="45">
                  <c:v>40057</c:v>
                </c:pt>
                <c:pt idx="46">
                  <c:v>40087</c:v>
                </c:pt>
                <c:pt idx="47">
                  <c:v>40118</c:v>
                </c:pt>
                <c:pt idx="48">
                  <c:v>40148</c:v>
                </c:pt>
                <c:pt idx="49">
                  <c:v>40179</c:v>
                </c:pt>
                <c:pt idx="50">
                  <c:v>40210</c:v>
                </c:pt>
                <c:pt idx="51">
                  <c:v>40238</c:v>
                </c:pt>
                <c:pt idx="52">
                  <c:v>40269</c:v>
                </c:pt>
                <c:pt idx="53">
                  <c:v>40299</c:v>
                </c:pt>
                <c:pt idx="54">
                  <c:v>40330</c:v>
                </c:pt>
                <c:pt idx="55">
                  <c:v>40360</c:v>
                </c:pt>
                <c:pt idx="56">
                  <c:v>40391</c:v>
                </c:pt>
                <c:pt idx="57">
                  <c:v>40422</c:v>
                </c:pt>
                <c:pt idx="58">
                  <c:v>40452</c:v>
                </c:pt>
                <c:pt idx="59">
                  <c:v>40483</c:v>
                </c:pt>
                <c:pt idx="60">
                  <c:v>40513</c:v>
                </c:pt>
                <c:pt idx="61">
                  <c:v>40544</c:v>
                </c:pt>
                <c:pt idx="62">
                  <c:v>40575</c:v>
                </c:pt>
                <c:pt idx="63">
                  <c:v>40603</c:v>
                </c:pt>
                <c:pt idx="64">
                  <c:v>40634</c:v>
                </c:pt>
                <c:pt idx="65">
                  <c:v>40664</c:v>
                </c:pt>
                <c:pt idx="66">
                  <c:v>40695</c:v>
                </c:pt>
                <c:pt idx="67">
                  <c:v>40725</c:v>
                </c:pt>
                <c:pt idx="68">
                  <c:v>40756</c:v>
                </c:pt>
                <c:pt idx="69">
                  <c:v>40787</c:v>
                </c:pt>
                <c:pt idx="70">
                  <c:v>40817</c:v>
                </c:pt>
                <c:pt idx="71">
                  <c:v>40848</c:v>
                </c:pt>
                <c:pt idx="72">
                  <c:v>40878</c:v>
                </c:pt>
                <c:pt idx="73">
                  <c:v>40909</c:v>
                </c:pt>
                <c:pt idx="74">
                  <c:v>40940</c:v>
                </c:pt>
                <c:pt idx="75">
                  <c:v>40969</c:v>
                </c:pt>
                <c:pt idx="76">
                  <c:v>41000</c:v>
                </c:pt>
                <c:pt idx="77">
                  <c:v>41030</c:v>
                </c:pt>
                <c:pt idx="78">
                  <c:v>41061</c:v>
                </c:pt>
                <c:pt idx="79">
                  <c:v>41091</c:v>
                </c:pt>
                <c:pt idx="80">
                  <c:v>41122</c:v>
                </c:pt>
                <c:pt idx="81">
                  <c:v>41153</c:v>
                </c:pt>
                <c:pt idx="82">
                  <c:v>41183</c:v>
                </c:pt>
                <c:pt idx="83">
                  <c:v>41214</c:v>
                </c:pt>
                <c:pt idx="84">
                  <c:v>41244</c:v>
                </c:pt>
                <c:pt idx="85">
                  <c:v>41275</c:v>
                </c:pt>
                <c:pt idx="86">
                  <c:v>41306</c:v>
                </c:pt>
                <c:pt idx="87">
                  <c:v>41334</c:v>
                </c:pt>
                <c:pt idx="88">
                  <c:v>41365</c:v>
                </c:pt>
                <c:pt idx="89">
                  <c:v>41395</c:v>
                </c:pt>
                <c:pt idx="90">
                  <c:v>41426</c:v>
                </c:pt>
                <c:pt idx="91">
                  <c:v>41456</c:v>
                </c:pt>
                <c:pt idx="92">
                  <c:v>41487</c:v>
                </c:pt>
                <c:pt idx="93">
                  <c:v>41518</c:v>
                </c:pt>
                <c:pt idx="94">
                  <c:v>41548</c:v>
                </c:pt>
                <c:pt idx="95">
                  <c:v>41579</c:v>
                </c:pt>
                <c:pt idx="96">
                  <c:v>41609</c:v>
                </c:pt>
                <c:pt idx="97">
                  <c:v>41640</c:v>
                </c:pt>
                <c:pt idx="98">
                  <c:v>41671</c:v>
                </c:pt>
                <c:pt idx="99">
                  <c:v>41699</c:v>
                </c:pt>
                <c:pt idx="100">
                  <c:v>41730</c:v>
                </c:pt>
                <c:pt idx="101">
                  <c:v>41760</c:v>
                </c:pt>
                <c:pt idx="102">
                  <c:v>41791</c:v>
                </c:pt>
                <c:pt idx="103">
                  <c:v>41821</c:v>
                </c:pt>
                <c:pt idx="104">
                  <c:v>41852</c:v>
                </c:pt>
                <c:pt idx="105">
                  <c:v>41883</c:v>
                </c:pt>
                <c:pt idx="106">
                  <c:v>41913</c:v>
                </c:pt>
                <c:pt idx="107">
                  <c:v>41944</c:v>
                </c:pt>
                <c:pt idx="108">
                  <c:v>41974</c:v>
                </c:pt>
                <c:pt idx="109">
                  <c:v>42005</c:v>
                </c:pt>
                <c:pt idx="110">
                  <c:v>42036</c:v>
                </c:pt>
                <c:pt idx="111">
                  <c:v>42064</c:v>
                </c:pt>
                <c:pt idx="112">
                  <c:v>42095</c:v>
                </c:pt>
                <c:pt idx="113">
                  <c:v>42125</c:v>
                </c:pt>
                <c:pt idx="114">
                  <c:v>42156</c:v>
                </c:pt>
                <c:pt idx="115">
                  <c:v>42186</c:v>
                </c:pt>
                <c:pt idx="116">
                  <c:v>42217</c:v>
                </c:pt>
                <c:pt idx="117">
                  <c:v>42248</c:v>
                </c:pt>
                <c:pt idx="118">
                  <c:v>42278</c:v>
                </c:pt>
                <c:pt idx="119">
                  <c:v>42309</c:v>
                </c:pt>
                <c:pt idx="120">
                  <c:v>42339</c:v>
                </c:pt>
                <c:pt idx="121">
                  <c:v>42370</c:v>
                </c:pt>
                <c:pt idx="122">
                  <c:v>42401</c:v>
                </c:pt>
                <c:pt idx="123">
                  <c:v>42430</c:v>
                </c:pt>
                <c:pt idx="124">
                  <c:v>42461</c:v>
                </c:pt>
                <c:pt idx="125">
                  <c:v>42491</c:v>
                </c:pt>
                <c:pt idx="126">
                  <c:v>42522</c:v>
                </c:pt>
                <c:pt idx="127">
                  <c:v>42552</c:v>
                </c:pt>
                <c:pt idx="128">
                  <c:v>42583</c:v>
                </c:pt>
                <c:pt idx="129">
                  <c:v>42614</c:v>
                </c:pt>
                <c:pt idx="130">
                  <c:v>42644</c:v>
                </c:pt>
                <c:pt idx="131">
                  <c:v>42675</c:v>
                </c:pt>
                <c:pt idx="132">
                  <c:v>42705</c:v>
                </c:pt>
                <c:pt idx="133">
                  <c:v>42736</c:v>
                </c:pt>
                <c:pt idx="134">
                  <c:v>42767</c:v>
                </c:pt>
                <c:pt idx="135">
                  <c:v>42795</c:v>
                </c:pt>
                <c:pt idx="136">
                  <c:v>42826</c:v>
                </c:pt>
                <c:pt idx="137">
                  <c:v>42856</c:v>
                </c:pt>
                <c:pt idx="138">
                  <c:v>42887</c:v>
                </c:pt>
                <c:pt idx="139">
                  <c:v>42917</c:v>
                </c:pt>
                <c:pt idx="140">
                  <c:v>42948</c:v>
                </c:pt>
                <c:pt idx="141">
                  <c:v>42979</c:v>
                </c:pt>
                <c:pt idx="142">
                  <c:v>43009</c:v>
                </c:pt>
                <c:pt idx="143">
                  <c:v>43040</c:v>
                </c:pt>
                <c:pt idx="144">
                  <c:v>43070</c:v>
                </c:pt>
                <c:pt idx="145">
                  <c:v>43101</c:v>
                </c:pt>
                <c:pt idx="146">
                  <c:v>43132</c:v>
                </c:pt>
                <c:pt idx="147">
                  <c:v>43160</c:v>
                </c:pt>
                <c:pt idx="148">
                  <c:v>43191</c:v>
                </c:pt>
                <c:pt idx="149">
                  <c:v>43221</c:v>
                </c:pt>
                <c:pt idx="150">
                  <c:v>43252</c:v>
                </c:pt>
                <c:pt idx="151">
                  <c:v>43282</c:v>
                </c:pt>
                <c:pt idx="152">
                  <c:v>43313</c:v>
                </c:pt>
                <c:pt idx="153">
                  <c:v>43344</c:v>
                </c:pt>
                <c:pt idx="154">
                  <c:v>43374</c:v>
                </c:pt>
                <c:pt idx="155">
                  <c:v>43405</c:v>
                </c:pt>
                <c:pt idx="156">
                  <c:v>43435</c:v>
                </c:pt>
                <c:pt idx="157">
                  <c:v>43466</c:v>
                </c:pt>
                <c:pt idx="158">
                  <c:v>43497</c:v>
                </c:pt>
                <c:pt idx="159">
                  <c:v>43525</c:v>
                </c:pt>
                <c:pt idx="160">
                  <c:v>43556</c:v>
                </c:pt>
                <c:pt idx="161">
                  <c:v>43586</c:v>
                </c:pt>
                <c:pt idx="162">
                  <c:v>43617</c:v>
                </c:pt>
                <c:pt idx="163">
                  <c:v>43647</c:v>
                </c:pt>
                <c:pt idx="164">
                  <c:v>43678</c:v>
                </c:pt>
                <c:pt idx="165">
                  <c:v>43709</c:v>
                </c:pt>
                <c:pt idx="166">
                  <c:v>43739</c:v>
                </c:pt>
                <c:pt idx="167">
                  <c:v>43770</c:v>
                </c:pt>
                <c:pt idx="168">
                  <c:v>43800</c:v>
                </c:pt>
                <c:pt idx="169">
                  <c:v>43831</c:v>
                </c:pt>
                <c:pt idx="170">
                  <c:v>43862</c:v>
                </c:pt>
                <c:pt idx="171">
                  <c:v>43891</c:v>
                </c:pt>
                <c:pt idx="172">
                  <c:v>43922</c:v>
                </c:pt>
                <c:pt idx="173">
                  <c:v>43952</c:v>
                </c:pt>
                <c:pt idx="174">
                  <c:v>43983</c:v>
                </c:pt>
                <c:pt idx="175">
                  <c:v>44013</c:v>
                </c:pt>
                <c:pt idx="176">
                  <c:v>44044</c:v>
                </c:pt>
                <c:pt idx="177">
                  <c:v>44075</c:v>
                </c:pt>
                <c:pt idx="178">
                  <c:v>44105</c:v>
                </c:pt>
                <c:pt idx="179">
                  <c:v>44136</c:v>
                </c:pt>
                <c:pt idx="180">
                  <c:v>44166</c:v>
                </c:pt>
                <c:pt idx="181">
                  <c:v>44197</c:v>
                </c:pt>
                <c:pt idx="182">
                  <c:v>44228</c:v>
                </c:pt>
                <c:pt idx="183">
                  <c:v>44256</c:v>
                </c:pt>
                <c:pt idx="184">
                  <c:v>44287</c:v>
                </c:pt>
                <c:pt idx="185">
                  <c:v>44317</c:v>
                </c:pt>
                <c:pt idx="186">
                  <c:v>44348</c:v>
                </c:pt>
                <c:pt idx="187">
                  <c:v>44378</c:v>
                </c:pt>
                <c:pt idx="188">
                  <c:v>44409</c:v>
                </c:pt>
                <c:pt idx="189">
                  <c:v>44440</c:v>
                </c:pt>
                <c:pt idx="190">
                  <c:v>44470</c:v>
                </c:pt>
                <c:pt idx="191">
                  <c:v>44501</c:v>
                </c:pt>
                <c:pt idx="192">
                  <c:v>44531</c:v>
                </c:pt>
                <c:pt idx="193">
                  <c:v>44562</c:v>
                </c:pt>
                <c:pt idx="194">
                  <c:v>44593</c:v>
                </c:pt>
                <c:pt idx="195">
                  <c:v>44621</c:v>
                </c:pt>
                <c:pt idx="196">
                  <c:v>44652</c:v>
                </c:pt>
                <c:pt idx="197">
                  <c:v>44682</c:v>
                </c:pt>
                <c:pt idx="198">
                  <c:v>44713</c:v>
                </c:pt>
                <c:pt idx="199">
                  <c:v>44743</c:v>
                </c:pt>
                <c:pt idx="200">
                  <c:v>44774</c:v>
                </c:pt>
                <c:pt idx="201">
                  <c:v>44805</c:v>
                </c:pt>
                <c:pt idx="202">
                  <c:v>44835</c:v>
                </c:pt>
                <c:pt idx="203">
                  <c:v>44866</c:v>
                </c:pt>
                <c:pt idx="204">
                  <c:v>44896</c:v>
                </c:pt>
                <c:pt idx="205">
                  <c:v>44927</c:v>
                </c:pt>
                <c:pt idx="206">
                  <c:v>44958</c:v>
                </c:pt>
                <c:pt idx="207">
                  <c:v>44986</c:v>
                </c:pt>
                <c:pt idx="208">
                  <c:v>45017</c:v>
                </c:pt>
                <c:pt idx="209">
                  <c:v>45047</c:v>
                </c:pt>
                <c:pt idx="210">
                  <c:v>45078</c:v>
                </c:pt>
                <c:pt idx="211">
                  <c:v>45108</c:v>
                </c:pt>
                <c:pt idx="212">
                  <c:v>45139</c:v>
                </c:pt>
                <c:pt idx="213">
                  <c:v>45170</c:v>
                </c:pt>
                <c:pt idx="214">
                  <c:v>45200</c:v>
                </c:pt>
                <c:pt idx="215">
                  <c:v>45231</c:v>
                </c:pt>
                <c:pt idx="216">
                  <c:v>45261</c:v>
                </c:pt>
                <c:pt idx="217">
                  <c:v>45292</c:v>
                </c:pt>
                <c:pt idx="218">
                  <c:v>45323</c:v>
                </c:pt>
                <c:pt idx="219">
                  <c:v>45352</c:v>
                </c:pt>
                <c:pt idx="220">
                  <c:v>45383</c:v>
                </c:pt>
                <c:pt idx="221">
                  <c:v>45413</c:v>
                </c:pt>
                <c:pt idx="222">
                  <c:v>45444</c:v>
                </c:pt>
                <c:pt idx="223">
                  <c:v>45474</c:v>
                </c:pt>
                <c:pt idx="224">
                  <c:v>45505</c:v>
                </c:pt>
                <c:pt idx="225">
                  <c:v>45536</c:v>
                </c:pt>
                <c:pt idx="226">
                  <c:v>45566</c:v>
                </c:pt>
                <c:pt idx="227">
                  <c:v>45597</c:v>
                </c:pt>
                <c:pt idx="228">
                  <c:v>45627</c:v>
                </c:pt>
                <c:pt idx="229">
                  <c:v>45658</c:v>
                </c:pt>
                <c:pt idx="230">
                  <c:v>45689</c:v>
                </c:pt>
                <c:pt idx="231">
                  <c:v>45717</c:v>
                </c:pt>
                <c:pt idx="232">
                  <c:v>45748</c:v>
                </c:pt>
                <c:pt idx="233">
                  <c:v>45778</c:v>
                </c:pt>
                <c:pt idx="234">
                  <c:v>45809</c:v>
                </c:pt>
                <c:pt idx="235">
                  <c:v>45839</c:v>
                </c:pt>
                <c:pt idx="236">
                  <c:v>45870</c:v>
                </c:pt>
                <c:pt idx="237">
                  <c:v>45901</c:v>
                </c:pt>
                <c:pt idx="238">
                  <c:v>45931</c:v>
                </c:pt>
                <c:pt idx="239">
                  <c:v>45962</c:v>
                </c:pt>
                <c:pt idx="240">
                  <c:v>45992</c:v>
                </c:pt>
                <c:pt idx="241">
                  <c:v>46023</c:v>
                </c:pt>
                <c:pt idx="242">
                  <c:v>46054</c:v>
                </c:pt>
                <c:pt idx="243">
                  <c:v>46082</c:v>
                </c:pt>
                <c:pt idx="244">
                  <c:v>46113</c:v>
                </c:pt>
                <c:pt idx="245">
                  <c:v>46143</c:v>
                </c:pt>
                <c:pt idx="246">
                  <c:v>46174</c:v>
                </c:pt>
              </c:numCache>
            </c:numRef>
          </c:cat>
          <c:val>
            <c:numRef>
              <c:f>'Trade balance'!$H$18:$H$264</c:f>
              <c:numCache>
                <c:formatCode>0.0</c:formatCode>
                <c:ptCount val="247"/>
                <c:pt idx="0">
                  <c:v>5604.7</c:v>
                </c:pt>
                <c:pt idx="1">
                  <c:v>5698.3</c:v>
                </c:pt>
                <c:pt idx="2">
                  <c:v>5835.5</c:v>
                </c:pt>
                <c:pt idx="3">
                  <c:v>5878.9</c:v>
                </c:pt>
                <c:pt idx="4">
                  <c:v>6066.7</c:v>
                </c:pt>
                <c:pt idx="5">
                  <c:v>6179.8</c:v>
                </c:pt>
                <c:pt idx="6">
                  <c:v>6280.7999999999993</c:v>
                </c:pt>
                <c:pt idx="7">
                  <c:v>6327.0999999999995</c:v>
                </c:pt>
                <c:pt idx="8">
                  <c:v>6175.7</c:v>
                </c:pt>
                <c:pt idx="9">
                  <c:v>6028.8</c:v>
                </c:pt>
                <c:pt idx="10">
                  <c:v>6049.9999999999991</c:v>
                </c:pt>
                <c:pt idx="11">
                  <c:v>6033.4999999999991</c:v>
                </c:pt>
                <c:pt idx="12">
                  <c:v>6080.8999999999987</c:v>
                </c:pt>
                <c:pt idx="13">
                  <c:v>5967.1</c:v>
                </c:pt>
                <c:pt idx="14">
                  <c:v>5954.5999999999995</c:v>
                </c:pt>
                <c:pt idx="15">
                  <c:v>5966.4000000000005</c:v>
                </c:pt>
                <c:pt idx="16">
                  <c:v>5866.8</c:v>
                </c:pt>
                <c:pt idx="17">
                  <c:v>5826.3</c:v>
                </c:pt>
                <c:pt idx="18">
                  <c:v>5487.4999999999991</c:v>
                </c:pt>
                <c:pt idx="19">
                  <c:v>4997.7999999999993</c:v>
                </c:pt>
                <c:pt idx="20">
                  <c:v>4532.2999999999993</c:v>
                </c:pt>
                <c:pt idx="21">
                  <c:v>4287.7</c:v>
                </c:pt>
                <c:pt idx="22">
                  <c:v>4187.2</c:v>
                </c:pt>
                <c:pt idx="23">
                  <c:v>4221.5</c:v>
                </c:pt>
                <c:pt idx="24">
                  <c:v>4105.3999999999996</c:v>
                </c:pt>
                <c:pt idx="25">
                  <c:v>4227.0999999999995</c:v>
                </c:pt>
                <c:pt idx="26">
                  <c:v>4416.7999999999993</c:v>
                </c:pt>
                <c:pt idx="27">
                  <c:v>4482.2999999999993</c:v>
                </c:pt>
                <c:pt idx="28">
                  <c:v>4497.8999999999996</c:v>
                </c:pt>
                <c:pt idx="29">
                  <c:v>3978</c:v>
                </c:pt>
                <c:pt idx="30">
                  <c:v>3594.7000000000003</c:v>
                </c:pt>
                <c:pt idx="31">
                  <c:v>3508.1000000000004</c:v>
                </c:pt>
                <c:pt idx="32">
                  <c:v>3990.2000000000003</c:v>
                </c:pt>
                <c:pt idx="33">
                  <c:v>4022.1</c:v>
                </c:pt>
                <c:pt idx="34">
                  <c:v>3929.4</c:v>
                </c:pt>
                <c:pt idx="35">
                  <c:v>3679.2</c:v>
                </c:pt>
                <c:pt idx="36">
                  <c:v>3515.5999999999995</c:v>
                </c:pt>
                <c:pt idx="37">
                  <c:v>3293.1000000000004</c:v>
                </c:pt>
                <c:pt idx="38">
                  <c:v>2966.3</c:v>
                </c:pt>
                <c:pt idx="39">
                  <c:v>2816.2999999999997</c:v>
                </c:pt>
                <c:pt idx="40">
                  <c:v>2838.3</c:v>
                </c:pt>
                <c:pt idx="41">
                  <c:v>3320.3</c:v>
                </c:pt>
                <c:pt idx="42">
                  <c:v>3712.3999999999996</c:v>
                </c:pt>
                <c:pt idx="43">
                  <c:v>3855</c:v>
                </c:pt>
                <c:pt idx="44">
                  <c:v>3394.4</c:v>
                </c:pt>
                <c:pt idx="45">
                  <c:v>3419.5</c:v>
                </c:pt>
                <c:pt idx="46">
                  <c:v>3554.3</c:v>
                </c:pt>
                <c:pt idx="47">
                  <c:v>3731.6000000000004</c:v>
                </c:pt>
                <c:pt idx="48">
                  <c:v>3832</c:v>
                </c:pt>
                <c:pt idx="49">
                  <c:v>3950.7999999999997</c:v>
                </c:pt>
                <c:pt idx="50">
                  <c:v>4035.2999999999997</c:v>
                </c:pt>
                <c:pt idx="51">
                  <c:v>4020.7</c:v>
                </c:pt>
                <c:pt idx="52">
                  <c:v>3781.7999999999997</c:v>
                </c:pt>
                <c:pt idx="53">
                  <c:v>3354.3</c:v>
                </c:pt>
                <c:pt idx="54">
                  <c:v>2885.6000000000004</c:v>
                </c:pt>
                <c:pt idx="55">
                  <c:v>2627.1000000000004</c:v>
                </c:pt>
                <c:pt idx="56">
                  <c:v>2586.6000000000004</c:v>
                </c:pt>
                <c:pt idx="57">
                  <c:v>2536.8000000000002</c:v>
                </c:pt>
                <c:pt idx="58">
                  <c:v>2305.8999999999996</c:v>
                </c:pt>
                <c:pt idx="59">
                  <c:v>2305.5</c:v>
                </c:pt>
                <c:pt idx="60">
                  <c:v>2050.3000000000002</c:v>
                </c:pt>
                <c:pt idx="61">
                  <c:v>1700.1</c:v>
                </c:pt>
                <c:pt idx="62">
                  <c:v>1505.4</c:v>
                </c:pt>
                <c:pt idx="63">
                  <c:v>1167.3999999999999</c:v>
                </c:pt>
                <c:pt idx="64">
                  <c:v>820.79999999999984</c:v>
                </c:pt>
                <c:pt idx="65">
                  <c:v>300</c:v>
                </c:pt>
                <c:pt idx="66">
                  <c:v>-355</c:v>
                </c:pt>
                <c:pt idx="67">
                  <c:v>-935.29999999999973</c:v>
                </c:pt>
                <c:pt idx="68">
                  <c:v>-1613.2999999999997</c:v>
                </c:pt>
                <c:pt idx="69">
                  <c:v>-1964.6</c:v>
                </c:pt>
                <c:pt idx="70">
                  <c:v>-2143.1999999999998</c:v>
                </c:pt>
                <c:pt idx="71">
                  <c:v>-2580.6999999999998</c:v>
                </c:pt>
                <c:pt idx="72">
                  <c:v>-2719.2</c:v>
                </c:pt>
                <c:pt idx="73">
                  <c:v>-2567.6</c:v>
                </c:pt>
                <c:pt idx="74">
                  <c:v>-2639</c:v>
                </c:pt>
                <c:pt idx="75">
                  <c:v>-2631</c:v>
                </c:pt>
                <c:pt idx="76">
                  <c:v>-2702</c:v>
                </c:pt>
                <c:pt idx="77">
                  <c:v>-2902</c:v>
                </c:pt>
                <c:pt idx="78">
                  <c:v>-2929</c:v>
                </c:pt>
                <c:pt idx="79">
                  <c:v>-2933</c:v>
                </c:pt>
                <c:pt idx="80">
                  <c:v>-2393</c:v>
                </c:pt>
                <c:pt idx="81">
                  <c:v>-2335</c:v>
                </c:pt>
                <c:pt idx="82">
                  <c:v>-2315</c:v>
                </c:pt>
                <c:pt idx="83">
                  <c:v>-2292</c:v>
                </c:pt>
                <c:pt idx="84">
                  <c:v>-2287</c:v>
                </c:pt>
                <c:pt idx="85">
                  <c:v>-2688</c:v>
                </c:pt>
                <c:pt idx="86">
                  <c:v>-3103</c:v>
                </c:pt>
                <c:pt idx="87">
                  <c:v>-3455</c:v>
                </c:pt>
                <c:pt idx="88">
                  <c:v>-4058</c:v>
                </c:pt>
                <c:pt idx="89">
                  <c:v>-3815</c:v>
                </c:pt>
                <c:pt idx="90">
                  <c:v>-3917</c:v>
                </c:pt>
                <c:pt idx="91">
                  <c:v>-4089</c:v>
                </c:pt>
                <c:pt idx="92">
                  <c:v>-5007</c:v>
                </c:pt>
                <c:pt idx="93">
                  <c:v>-5099</c:v>
                </c:pt>
                <c:pt idx="94">
                  <c:v>-5419</c:v>
                </c:pt>
                <c:pt idx="95">
                  <c:v>-5589</c:v>
                </c:pt>
                <c:pt idx="96">
                  <c:v>-5777</c:v>
                </c:pt>
                <c:pt idx="97">
                  <c:v>-5628</c:v>
                </c:pt>
                <c:pt idx="98">
                  <c:v>-5699</c:v>
                </c:pt>
                <c:pt idx="99">
                  <c:v>-5754</c:v>
                </c:pt>
                <c:pt idx="100">
                  <c:v>-5769</c:v>
                </c:pt>
                <c:pt idx="101">
                  <c:v>-6101</c:v>
                </c:pt>
                <c:pt idx="102">
                  <c:v>-6245</c:v>
                </c:pt>
                <c:pt idx="103">
                  <c:v>-6280</c:v>
                </c:pt>
                <c:pt idx="104">
                  <c:v>-5863</c:v>
                </c:pt>
                <c:pt idx="105">
                  <c:v>-5937</c:v>
                </c:pt>
                <c:pt idx="106">
                  <c:v>-6074</c:v>
                </c:pt>
                <c:pt idx="107">
                  <c:v>-6291</c:v>
                </c:pt>
                <c:pt idx="108">
                  <c:v>-6494</c:v>
                </c:pt>
                <c:pt idx="109">
                  <c:v>-6512</c:v>
                </c:pt>
                <c:pt idx="110">
                  <c:v>-6227</c:v>
                </c:pt>
                <c:pt idx="111">
                  <c:v>-6154</c:v>
                </c:pt>
                <c:pt idx="112">
                  <c:v>-5860</c:v>
                </c:pt>
                <c:pt idx="113">
                  <c:v>-5519</c:v>
                </c:pt>
                <c:pt idx="114">
                  <c:v>-5152</c:v>
                </c:pt>
                <c:pt idx="115">
                  <c:v>-4943</c:v>
                </c:pt>
                <c:pt idx="116">
                  <c:v>-4893</c:v>
                </c:pt>
                <c:pt idx="117">
                  <c:v>-5190</c:v>
                </c:pt>
                <c:pt idx="118">
                  <c:v>-4930</c:v>
                </c:pt>
                <c:pt idx="119">
                  <c:v>-4768</c:v>
                </c:pt>
                <c:pt idx="120">
                  <c:v>-4587</c:v>
                </c:pt>
                <c:pt idx="121">
                  <c:v>-4715</c:v>
                </c:pt>
                <c:pt idx="122">
                  <c:v>-4822</c:v>
                </c:pt>
                <c:pt idx="123">
                  <c:v>-4672</c:v>
                </c:pt>
                <c:pt idx="124">
                  <c:v>-4276</c:v>
                </c:pt>
                <c:pt idx="125">
                  <c:v>-4053</c:v>
                </c:pt>
                <c:pt idx="126">
                  <c:v>-3785</c:v>
                </c:pt>
                <c:pt idx="127">
                  <c:v>-3696</c:v>
                </c:pt>
                <c:pt idx="128">
                  <c:v>-3470</c:v>
                </c:pt>
                <c:pt idx="129">
                  <c:v>-3209</c:v>
                </c:pt>
                <c:pt idx="130">
                  <c:v>-3233</c:v>
                </c:pt>
                <c:pt idx="131">
                  <c:v>-3101</c:v>
                </c:pt>
                <c:pt idx="132">
                  <c:v>-2879</c:v>
                </c:pt>
                <c:pt idx="133">
                  <c:v>-2762</c:v>
                </c:pt>
                <c:pt idx="134">
                  <c:v>-2680</c:v>
                </c:pt>
                <c:pt idx="135">
                  <c:v>-2695</c:v>
                </c:pt>
                <c:pt idx="136">
                  <c:v>-2865</c:v>
                </c:pt>
                <c:pt idx="137">
                  <c:v>-3150</c:v>
                </c:pt>
                <c:pt idx="138">
                  <c:v>-3239</c:v>
                </c:pt>
                <c:pt idx="139">
                  <c:v>-3086</c:v>
                </c:pt>
                <c:pt idx="140">
                  <c:v>-2996</c:v>
                </c:pt>
                <c:pt idx="141">
                  <c:v>-2962</c:v>
                </c:pt>
                <c:pt idx="142">
                  <c:v>-3030</c:v>
                </c:pt>
                <c:pt idx="143">
                  <c:v>-3082</c:v>
                </c:pt>
                <c:pt idx="144">
                  <c:v>-3245</c:v>
                </c:pt>
                <c:pt idx="145">
                  <c:v>-3286</c:v>
                </c:pt>
                <c:pt idx="146">
                  <c:v>-3194</c:v>
                </c:pt>
                <c:pt idx="147">
                  <c:v>-3143</c:v>
                </c:pt>
                <c:pt idx="148">
                  <c:v>-3058</c:v>
                </c:pt>
                <c:pt idx="149">
                  <c:v>-2971</c:v>
                </c:pt>
                <c:pt idx="150">
                  <c:v>-2797</c:v>
                </c:pt>
                <c:pt idx="151">
                  <c:v>-2807</c:v>
                </c:pt>
                <c:pt idx="152">
                  <c:v>-3106</c:v>
                </c:pt>
                <c:pt idx="153">
                  <c:v>-2952</c:v>
                </c:pt>
                <c:pt idx="154">
                  <c:v>-2755</c:v>
                </c:pt>
                <c:pt idx="155">
                  <c:v>-2482</c:v>
                </c:pt>
                <c:pt idx="156">
                  <c:v>-2355</c:v>
                </c:pt>
                <c:pt idx="157">
                  <c:v>-2286</c:v>
                </c:pt>
                <c:pt idx="158">
                  <c:v>-2197</c:v>
                </c:pt>
                <c:pt idx="159">
                  <c:v>-2058</c:v>
                </c:pt>
                <c:pt idx="160">
                  <c:v>-1962</c:v>
                </c:pt>
                <c:pt idx="161">
                  <c:v>-1545</c:v>
                </c:pt>
                <c:pt idx="162">
                  <c:v>-1211</c:v>
                </c:pt>
                <c:pt idx="163">
                  <c:v>-829</c:v>
                </c:pt>
                <c:pt idx="164">
                  <c:v>-370</c:v>
                </c:pt>
                <c:pt idx="165">
                  <c:v>-283</c:v>
                </c:pt>
                <c:pt idx="166">
                  <c:v>-112</c:v>
                </c:pt>
                <c:pt idx="167">
                  <c:v>-192</c:v>
                </c:pt>
                <c:pt idx="168">
                  <c:v>-26</c:v>
                </c:pt>
                <c:pt idx="169">
                  <c:v>15</c:v>
                </c:pt>
                <c:pt idx="170">
                  <c:v>48</c:v>
                </c:pt>
                <c:pt idx="171">
                  <c:v>51</c:v>
                </c:pt>
                <c:pt idx="172">
                  <c:v>172</c:v>
                </c:pt>
                <c:pt idx="173">
                  <c:v>298</c:v>
                </c:pt>
                <c:pt idx="174">
                  <c:v>474</c:v>
                </c:pt>
                <c:pt idx="175">
                  <c:v>692</c:v>
                </c:pt>
                <c:pt idx="176">
                  <c:v>830</c:v>
                </c:pt>
                <c:pt idx="177">
                  <c:v>820</c:v>
                </c:pt>
                <c:pt idx="178">
                  <c:v>697</c:v>
                </c:pt>
                <c:pt idx="179">
                  <c:v>857</c:v>
                </c:pt>
                <c:pt idx="180">
                  <c:v>954</c:v>
                </c:pt>
                <c:pt idx="181">
                  <c:v>1022</c:v>
                </c:pt>
                <c:pt idx="182">
                  <c:v>1009</c:v>
                </c:pt>
                <c:pt idx="183">
                  <c:v>941</c:v>
                </c:pt>
                <c:pt idx="184">
                  <c:v>811</c:v>
                </c:pt>
                <c:pt idx="185">
                  <c:v>625</c:v>
                </c:pt>
                <c:pt idx="186">
                  <c:v>239</c:v>
                </c:pt>
                <c:pt idx="187">
                  <c:v>-130</c:v>
                </c:pt>
                <c:pt idx="188">
                  <c:v>-274</c:v>
                </c:pt>
                <c:pt idx="189">
                  <c:v>-127</c:v>
                </c:pt>
                <c:pt idx="190">
                  <c:v>-15</c:v>
                </c:pt>
                <c:pt idx="191">
                  <c:v>-216</c:v>
                </c:pt>
                <c:pt idx="192">
                  <c:v>-558</c:v>
                </c:pt>
                <c:pt idx="193">
                  <c:v>-497</c:v>
                </c:pt>
                <c:pt idx="194">
                  <c:v>-812</c:v>
                </c:pt>
                <c:pt idx="195">
                  <c:v>-1010</c:v>
                </c:pt>
                <c:pt idx="196">
                  <c:v>-1084</c:v>
                </c:pt>
                <c:pt idx="197">
                  <c:v>-2013</c:v>
                </c:pt>
                <c:pt idx="198">
                  <c:v>-2913</c:v>
                </c:pt>
                <c:pt idx="199">
                  <c:v>-4441</c:v>
                </c:pt>
                <c:pt idx="200">
                  <c:v>-4820</c:v>
                </c:pt>
                <c:pt idx="201">
                  <c:v>-5038</c:v>
                </c:pt>
                <c:pt idx="202">
                  <c:v>-5017</c:v>
                </c:pt>
                <c:pt idx="203">
                  <c:v>-4791</c:v>
                </c:pt>
                <c:pt idx="204">
                  <c:v>-4359</c:v>
                </c:pt>
                <c:pt idx="205">
                  <c:v>-4613</c:v>
                </c:pt>
                <c:pt idx="206">
                  <c:v>-4301</c:v>
                </c:pt>
                <c:pt idx="207">
                  <c:v>-3958</c:v>
                </c:pt>
                <c:pt idx="208">
                  <c:v>-3752</c:v>
                </c:pt>
                <c:pt idx="209">
                  <c:v>-3127</c:v>
                </c:pt>
                <c:pt idx="210">
                  <c:v>-2443</c:v>
                </c:pt>
                <c:pt idx="211">
                  <c:v>-950.2</c:v>
                </c:pt>
                <c:pt idx="212">
                  <c:v>-323.20000000000005</c:v>
                </c:pt>
                <c:pt idx="213">
                  <c:v>-176.20000000000005</c:v>
                </c:pt>
                <c:pt idx="214">
                  <c:v>-104.20000000000005</c:v>
                </c:pt>
                <c:pt idx="215">
                  <c:v>-67.200000000000045</c:v>
                </c:pt>
                <c:pt idx="216">
                  <c:v>-14.200000000000045</c:v>
                </c:pt>
                <c:pt idx="217">
                  <c:v>480.79999999999995</c:v>
                </c:pt>
                <c:pt idx="218">
                  <c:v>917</c:v>
                </c:pt>
                <c:pt idx="219">
                  <c:v>1528.4</c:v>
                </c:pt>
                <c:pt idx="220">
                  <c:v>2167.3000000000002</c:v>
                </c:pt>
                <c:pt idx="221">
                  <c:v>3072.5</c:v>
                </c:pt>
                <c:pt idx="222">
                  <c:v>3512.5</c:v>
                </c:pt>
                <c:pt idx="223">
                  <c:v>3996.6</c:v>
                </c:pt>
                <c:pt idx="224">
                  <c:v>4181.3</c:v>
                </c:pt>
                <c:pt idx="225">
                  <c:v>4706</c:v>
                </c:pt>
                <c:pt idx="226">
                  <c:v>5026.5</c:v>
                </c:pt>
                <c:pt idx="227">
                  <c:v>5235.2</c:v>
                </c:pt>
                <c:pt idx="228">
                  <c:v>5710.9</c:v>
                </c:pt>
                <c:pt idx="229">
                  <c:v>6000.9</c:v>
                </c:pt>
                <c:pt idx="230">
                  <c:v>6078.5999999999995</c:v>
                </c:pt>
                <c:pt idx="231">
                  <c:v>6105.5999999999995</c:v>
                </c:pt>
                <c:pt idx="232">
                  <c:v>5959.6999999999989</c:v>
                </c:pt>
                <c:pt idx="233">
                  <c:v>5834.8999999999987</c:v>
                </c:pt>
                <c:pt idx="234">
                  <c:v>6716.7999999999984</c:v>
                </c:pt>
                <c:pt idx="235">
                  <c:v>6818.3999999999987</c:v>
                </c:pt>
                <c:pt idx="236">
                  <c:v>7314.7</c:v>
                </c:pt>
                <c:pt idx="237">
                  <c:v>7501.4999999999991</c:v>
                </c:pt>
                <c:pt idx="238">
                  <c:v>7599.4</c:v>
                </c:pt>
                <c:pt idx="239">
                  <c:v>7930.3</c:v>
                </c:pt>
                <c:pt idx="240">
                  <c:v>7943.6</c:v>
                </c:pt>
                <c:pt idx="241">
                  <c:v>7858.9000000000005</c:v>
                </c:pt>
                <c:pt idx="242">
                  <c:v>7702.6000000000013</c:v>
                </c:pt>
                <c:pt idx="243">
                  <c:v>8026.3000000000011</c:v>
                </c:pt>
                <c:pt idx="244">
                  <c:v>8870.4000000000015</c:v>
                </c:pt>
                <c:pt idx="245">
                  <c:v>10061.700000000001</c:v>
                </c:pt>
                <c:pt idx="246">
                  <c:v>9951.3000000000011</c:v>
                </c:pt>
              </c:numCache>
            </c:numRef>
          </c:val>
          <c:extLst>
            <c:ext xmlns:c16="http://schemas.microsoft.com/office/drawing/2014/chart" uri="{C3380CC4-5D6E-409C-BE32-E72D297353CC}">
              <c16:uniqueId val="{00000001-E9F6-427C-AC67-B05AC4AAA906}"/>
            </c:ext>
          </c:extLst>
        </c:ser>
        <c:dLbls>
          <c:showLegendKey val="0"/>
          <c:showVal val="0"/>
          <c:showCatName val="0"/>
          <c:showSerName val="0"/>
          <c:showPercent val="0"/>
          <c:showBubbleSize val="0"/>
        </c:dLbls>
        <c:gapWidth val="0"/>
        <c:axId val="1614485455"/>
        <c:axId val="1614485935"/>
      </c:barChart>
      <c:lineChart>
        <c:grouping val="standard"/>
        <c:varyColors val="0"/>
        <c:ser>
          <c:idx val="0"/>
          <c:order val="0"/>
          <c:tx>
            <c:strRef>
              <c:f>'Trade balance'!$G$17</c:f>
              <c:strCache>
                <c:ptCount val="1"/>
                <c:pt idx="0">
                  <c:v>Full trade balance</c:v>
                </c:pt>
              </c:strCache>
            </c:strRef>
          </c:tx>
          <c:spPr>
            <a:ln w="28575" cap="rnd">
              <a:solidFill>
                <a:schemeClr val="tx2">
                  <a:lumMod val="75000"/>
                  <a:lumOff val="25000"/>
                </a:schemeClr>
              </a:solidFill>
              <a:round/>
            </a:ln>
            <a:effectLst/>
          </c:spPr>
          <c:marker>
            <c:symbol val="none"/>
          </c:marker>
          <c:cat>
            <c:numRef>
              <c:f>'Trade balance'!$A$18:$A$264</c:f>
              <c:numCache>
                <c:formatCode>mmm\-yy</c:formatCode>
                <c:ptCount val="247"/>
                <c:pt idx="0">
                  <c:v>38687</c:v>
                </c:pt>
                <c:pt idx="1">
                  <c:v>38718</c:v>
                </c:pt>
                <c:pt idx="2">
                  <c:v>38749</c:v>
                </c:pt>
                <c:pt idx="3">
                  <c:v>38777</c:v>
                </c:pt>
                <c:pt idx="4">
                  <c:v>38808</c:v>
                </c:pt>
                <c:pt idx="5">
                  <c:v>38838</c:v>
                </c:pt>
                <c:pt idx="6">
                  <c:v>38869</c:v>
                </c:pt>
                <c:pt idx="7">
                  <c:v>38899</c:v>
                </c:pt>
                <c:pt idx="8">
                  <c:v>38930</c:v>
                </c:pt>
                <c:pt idx="9">
                  <c:v>38961</c:v>
                </c:pt>
                <c:pt idx="10">
                  <c:v>38991</c:v>
                </c:pt>
                <c:pt idx="11">
                  <c:v>39022</c:v>
                </c:pt>
                <c:pt idx="12">
                  <c:v>39052</c:v>
                </c:pt>
                <c:pt idx="13">
                  <c:v>39083</c:v>
                </c:pt>
                <c:pt idx="14">
                  <c:v>39114</c:v>
                </c:pt>
                <c:pt idx="15">
                  <c:v>39142</c:v>
                </c:pt>
                <c:pt idx="16">
                  <c:v>39173</c:v>
                </c:pt>
                <c:pt idx="17">
                  <c:v>39203</c:v>
                </c:pt>
                <c:pt idx="18">
                  <c:v>39234</c:v>
                </c:pt>
                <c:pt idx="19">
                  <c:v>39264</c:v>
                </c:pt>
                <c:pt idx="20">
                  <c:v>39295</c:v>
                </c:pt>
                <c:pt idx="21">
                  <c:v>39326</c:v>
                </c:pt>
                <c:pt idx="22">
                  <c:v>39356</c:v>
                </c:pt>
                <c:pt idx="23">
                  <c:v>39387</c:v>
                </c:pt>
                <c:pt idx="24">
                  <c:v>39417</c:v>
                </c:pt>
                <c:pt idx="25">
                  <c:v>39448</c:v>
                </c:pt>
                <c:pt idx="26">
                  <c:v>39479</c:v>
                </c:pt>
                <c:pt idx="27">
                  <c:v>39508</c:v>
                </c:pt>
                <c:pt idx="28">
                  <c:v>39539</c:v>
                </c:pt>
                <c:pt idx="29">
                  <c:v>39569</c:v>
                </c:pt>
                <c:pt idx="30">
                  <c:v>39600</c:v>
                </c:pt>
                <c:pt idx="31">
                  <c:v>39630</c:v>
                </c:pt>
                <c:pt idx="32">
                  <c:v>39661</c:v>
                </c:pt>
                <c:pt idx="33">
                  <c:v>39692</c:v>
                </c:pt>
                <c:pt idx="34">
                  <c:v>39722</c:v>
                </c:pt>
                <c:pt idx="35">
                  <c:v>39753</c:v>
                </c:pt>
                <c:pt idx="36">
                  <c:v>39783</c:v>
                </c:pt>
                <c:pt idx="37">
                  <c:v>39814</c:v>
                </c:pt>
                <c:pt idx="38">
                  <c:v>39845</c:v>
                </c:pt>
                <c:pt idx="39">
                  <c:v>39873</c:v>
                </c:pt>
                <c:pt idx="40">
                  <c:v>39904</c:v>
                </c:pt>
                <c:pt idx="41">
                  <c:v>39934</c:v>
                </c:pt>
                <c:pt idx="42">
                  <c:v>39965</c:v>
                </c:pt>
                <c:pt idx="43">
                  <c:v>39995</c:v>
                </c:pt>
                <c:pt idx="44">
                  <c:v>40026</c:v>
                </c:pt>
                <c:pt idx="45">
                  <c:v>40057</c:v>
                </c:pt>
                <c:pt idx="46">
                  <c:v>40087</c:v>
                </c:pt>
                <c:pt idx="47">
                  <c:v>40118</c:v>
                </c:pt>
                <c:pt idx="48">
                  <c:v>40148</c:v>
                </c:pt>
                <c:pt idx="49">
                  <c:v>40179</c:v>
                </c:pt>
                <c:pt idx="50">
                  <c:v>40210</c:v>
                </c:pt>
                <c:pt idx="51">
                  <c:v>40238</c:v>
                </c:pt>
                <c:pt idx="52">
                  <c:v>40269</c:v>
                </c:pt>
                <c:pt idx="53">
                  <c:v>40299</c:v>
                </c:pt>
                <c:pt idx="54">
                  <c:v>40330</c:v>
                </c:pt>
                <c:pt idx="55">
                  <c:v>40360</c:v>
                </c:pt>
                <c:pt idx="56">
                  <c:v>40391</c:v>
                </c:pt>
                <c:pt idx="57">
                  <c:v>40422</c:v>
                </c:pt>
                <c:pt idx="58">
                  <c:v>40452</c:v>
                </c:pt>
                <c:pt idx="59">
                  <c:v>40483</c:v>
                </c:pt>
                <c:pt idx="60">
                  <c:v>40513</c:v>
                </c:pt>
                <c:pt idx="61">
                  <c:v>40544</c:v>
                </c:pt>
                <c:pt idx="62">
                  <c:v>40575</c:v>
                </c:pt>
                <c:pt idx="63">
                  <c:v>40603</c:v>
                </c:pt>
                <c:pt idx="64">
                  <c:v>40634</c:v>
                </c:pt>
                <c:pt idx="65">
                  <c:v>40664</c:v>
                </c:pt>
                <c:pt idx="66">
                  <c:v>40695</c:v>
                </c:pt>
                <c:pt idx="67">
                  <c:v>40725</c:v>
                </c:pt>
                <c:pt idx="68">
                  <c:v>40756</c:v>
                </c:pt>
                <c:pt idx="69">
                  <c:v>40787</c:v>
                </c:pt>
                <c:pt idx="70">
                  <c:v>40817</c:v>
                </c:pt>
                <c:pt idx="71">
                  <c:v>40848</c:v>
                </c:pt>
                <c:pt idx="72">
                  <c:v>40878</c:v>
                </c:pt>
                <c:pt idx="73">
                  <c:v>40909</c:v>
                </c:pt>
                <c:pt idx="74">
                  <c:v>40940</c:v>
                </c:pt>
                <c:pt idx="75">
                  <c:v>40969</c:v>
                </c:pt>
                <c:pt idx="76">
                  <c:v>41000</c:v>
                </c:pt>
                <c:pt idx="77">
                  <c:v>41030</c:v>
                </c:pt>
                <c:pt idx="78">
                  <c:v>41061</c:v>
                </c:pt>
                <c:pt idx="79">
                  <c:v>41091</c:v>
                </c:pt>
                <c:pt idx="80">
                  <c:v>41122</c:v>
                </c:pt>
                <c:pt idx="81">
                  <c:v>41153</c:v>
                </c:pt>
                <c:pt idx="82">
                  <c:v>41183</c:v>
                </c:pt>
                <c:pt idx="83">
                  <c:v>41214</c:v>
                </c:pt>
                <c:pt idx="84">
                  <c:v>41244</c:v>
                </c:pt>
                <c:pt idx="85">
                  <c:v>41275</c:v>
                </c:pt>
                <c:pt idx="86">
                  <c:v>41306</c:v>
                </c:pt>
                <c:pt idx="87">
                  <c:v>41334</c:v>
                </c:pt>
                <c:pt idx="88">
                  <c:v>41365</c:v>
                </c:pt>
                <c:pt idx="89">
                  <c:v>41395</c:v>
                </c:pt>
                <c:pt idx="90">
                  <c:v>41426</c:v>
                </c:pt>
                <c:pt idx="91">
                  <c:v>41456</c:v>
                </c:pt>
                <c:pt idx="92">
                  <c:v>41487</c:v>
                </c:pt>
                <c:pt idx="93">
                  <c:v>41518</c:v>
                </c:pt>
                <c:pt idx="94">
                  <c:v>41548</c:v>
                </c:pt>
                <c:pt idx="95">
                  <c:v>41579</c:v>
                </c:pt>
                <c:pt idx="96">
                  <c:v>41609</c:v>
                </c:pt>
                <c:pt idx="97">
                  <c:v>41640</c:v>
                </c:pt>
                <c:pt idx="98">
                  <c:v>41671</c:v>
                </c:pt>
                <c:pt idx="99">
                  <c:v>41699</c:v>
                </c:pt>
                <c:pt idx="100">
                  <c:v>41730</c:v>
                </c:pt>
                <c:pt idx="101">
                  <c:v>41760</c:v>
                </c:pt>
                <c:pt idx="102">
                  <c:v>41791</c:v>
                </c:pt>
                <c:pt idx="103">
                  <c:v>41821</c:v>
                </c:pt>
                <c:pt idx="104">
                  <c:v>41852</c:v>
                </c:pt>
                <c:pt idx="105">
                  <c:v>41883</c:v>
                </c:pt>
                <c:pt idx="106">
                  <c:v>41913</c:v>
                </c:pt>
                <c:pt idx="107">
                  <c:v>41944</c:v>
                </c:pt>
                <c:pt idx="108">
                  <c:v>41974</c:v>
                </c:pt>
                <c:pt idx="109">
                  <c:v>42005</c:v>
                </c:pt>
                <c:pt idx="110">
                  <c:v>42036</c:v>
                </c:pt>
                <c:pt idx="111">
                  <c:v>42064</c:v>
                </c:pt>
                <c:pt idx="112">
                  <c:v>42095</c:v>
                </c:pt>
                <c:pt idx="113">
                  <c:v>42125</c:v>
                </c:pt>
                <c:pt idx="114">
                  <c:v>42156</c:v>
                </c:pt>
                <c:pt idx="115">
                  <c:v>42186</c:v>
                </c:pt>
                <c:pt idx="116">
                  <c:v>42217</c:v>
                </c:pt>
                <c:pt idx="117">
                  <c:v>42248</c:v>
                </c:pt>
                <c:pt idx="118">
                  <c:v>42278</c:v>
                </c:pt>
                <c:pt idx="119">
                  <c:v>42309</c:v>
                </c:pt>
                <c:pt idx="120">
                  <c:v>42339</c:v>
                </c:pt>
                <c:pt idx="121">
                  <c:v>42370</c:v>
                </c:pt>
                <c:pt idx="122">
                  <c:v>42401</c:v>
                </c:pt>
                <c:pt idx="123">
                  <c:v>42430</c:v>
                </c:pt>
                <c:pt idx="124">
                  <c:v>42461</c:v>
                </c:pt>
                <c:pt idx="125">
                  <c:v>42491</c:v>
                </c:pt>
                <c:pt idx="126">
                  <c:v>42522</c:v>
                </c:pt>
                <c:pt idx="127">
                  <c:v>42552</c:v>
                </c:pt>
                <c:pt idx="128">
                  <c:v>42583</c:v>
                </c:pt>
                <c:pt idx="129">
                  <c:v>42614</c:v>
                </c:pt>
                <c:pt idx="130">
                  <c:v>42644</c:v>
                </c:pt>
                <c:pt idx="131">
                  <c:v>42675</c:v>
                </c:pt>
                <c:pt idx="132">
                  <c:v>42705</c:v>
                </c:pt>
                <c:pt idx="133">
                  <c:v>42736</c:v>
                </c:pt>
                <c:pt idx="134">
                  <c:v>42767</c:v>
                </c:pt>
                <c:pt idx="135">
                  <c:v>42795</c:v>
                </c:pt>
                <c:pt idx="136">
                  <c:v>42826</c:v>
                </c:pt>
                <c:pt idx="137">
                  <c:v>42856</c:v>
                </c:pt>
                <c:pt idx="138">
                  <c:v>42887</c:v>
                </c:pt>
                <c:pt idx="139">
                  <c:v>42917</c:v>
                </c:pt>
                <c:pt idx="140">
                  <c:v>42948</c:v>
                </c:pt>
                <c:pt idx="141">
                  <c:v>42979</c:v>
                </c:pt>
                <c:pt idx="142">
                  <c:v>43009</c:v>
                </c:pt>
                <c:pt idx="143">
                  <c:v>43040</c:v>
                </c:pt>
                <c:pt idx="144">
                  <c:v>43070</c:v>
                </c:pt>
                <c:pt idx="145">
                  <c:v>43101</c:v>
                </c:pt>
                <c:pt idx="146">
                  <c:v>43132</c:v>
                </c:pt>
                <c:pt idx="147">
                  <c:v>43160</c:v>
                </c:pt>
                <c:pt idx="148">
                  <c:v>43191</c:v>
                </c:pt>
                <c:pt idx="149">
                  <c:v>43221</c:v>
                </c:pt>
                <c:pt idx="150">
                  <c:v>43252</c:v>
                </c:pt>
                <c:pt idx="151">
                  <c:v>43282</c:v>
                </c:pt>
                <c:pt idx="152">
                  <c:v>43313</c:v>
                </c:pt>
                <c:pt idx="153">
                  <c:v>43344</c:v>
                </c:pt>
                <c:pt idx="154">
                  <c:v>43374</c:v>
                </c:pt>
                <c:pt idx="155">
                  <c:v>43405</c:v>
                </c:pt>
                <c:pt idx="156">
                  <c:v>43435</c:v>
                </c:pt>
                <c:pt idx="157">
                  <c:v>43466</c:v>
                </c:pt>
                <c:pt idx="158">
                  <c:v>43497</c:v>
                </c:pt>
                <c:pt idx="159">
                  <c:v>43525</c:v>
                </c:pt>
                <c:pt idx="160">
                  <c:v>43556</c:v>
                </c:pt>
                <c:pt idx="161">
                  <c:v>43586</c:v>
                </c:pt>
                <c:pt idx="162">
                  <c:v>43617</c:v>
                </c:pt>
                <c:pt idx="163">
                  <c:v>43647</c:v>
                </c:pt>
                <c:pt idx="164">
                  <c:v>43678</c:v>
                </c:pt>
                <c:pt idx="165">
                  <c:v>43709</c:v>
                </c:pt>
                <c:pt idx="166">
                  <c:v>43739</c:v>
                </c:pt>
                <c:pt idx="167">
                  <c:v>43770</c:v>
                </c:pt>
                <c:pt idx="168">
                  <c:v>43800</c:v>
                </c:pt>
                <c:pt idx="169">
                  <c:v>43831</c:v>
                </c:pt>
                <c:pt idx="170">
                  <c:v>43862</c:v>
                </c:pt>
                <c:pt idx="171">
                  <c:v>43891</c:v>
                </c:pt>
                <c:pt idx="172">
                  <c:v>43922</c:v>
                </c:pt>
                <c:pt idx="173">
                  <c:v>43952</c:v>
                </c:pt>
                <c:pt idx="174">
                  <c:v>43983</c:v>
                </c:pt>
                <c:pt idx="175">
                  <c:v>44013</c:v>
                </c:pt>
                <c:pt idx="176">
                  <c:v>44044</c:v>
                </c:pt>
                <c:pt idx="177">
                  <c:v>44075</c:v>
                </c:pt>
                <c:pt idx="178">
                  <c:v>44105</c:v>
                </c:pt>
                <c:pt idx="179">
                  <c:v>44136</c:v>
                </c:pt>
                <c:pt idx="180">
                  <c:v>44166</c:v>
                </c:pt>
                <c:pt idx="181">
                  <c:v>44197</c:v>
                </c:pt>
                <c:pt idx="182">
                  <c:v>44228</c:v>
                </c:pt>
                <c:pt idx="183">
                  <c:v>44256</c:v>
                </c:pt>
                <c:pt idx="184">
                  <c:v>44287</c:v>
                </c:pt>
                <c:pt idx="185">
                  <c:v>44317</c:v>
                </c:pt>
                <c:pt idx="186">
                  <c:v>44348</c:v>
                </c:pt>
                <c:pt idx="187">
                  <c:v>44378</c:v>
                </c:pt>
                <c:pt idx="188">
                  <c:v>44409</c:v>
                </c:pt>
                <c:pt idx="189">
                  <c:v>44440</c:v>
                </c:pt>
                <c:pt idx="190">
                  <c:v>44470</c:v>
                </c:pt>
                <c:pt idx="191">
                  <c:v>44501</c:v>
                </c:pt>
                <c:pt idx="192">
                  <c:v>44531</c:v>
                </c:pt>
                <c:pt idx="193">
                  <c:v>44562</c:v>
                </c:pt>
                <c:pt idx="194">
                  <c:v>44593</c:v>
                </c:pt>
                <c:pt idx="195">
                  <c:v>44621</c:v>
                </c:pt>
                <c:pt idx="196">
                  <c:v>44652</c:v>
                </c:pt>
                <c:pt idx="197">
                  <c:v>44682</c:v>
                </c:pt>
                <c:pt idx="198">
                  <c:v>44713</c:v>
                </c:pt>
                <c:pt idx="199">
                  <c:v>44743</c:v>
                </c:pt>
                <c:pt idx="200">
                  <c:v>44774</c:v>
                </c:pt>
                <c:pt idx="201">
                  <c:v>44805</c:v>
                </c:pt>
                <c:pt idx="202">
                  <c:v>44835</c:v>
                </c:pt>
                <c:pt idx="203">
                  <c:v>44866</c:v>
                </c:pt>
                <c:pt idx="204">
                  <c:v>44896</c:v>
                </c:pt>
                <c:pt idx="205">
                  <c:v>44927</c:v>
                </c:pt>
                <c:pt idx="206">
                  <c:v>44958</c:v>
                </c:pt>
                <c:pt idx="207">
                  <c:v>44986</c:v>
                </c:pt>
                <c:pt idx="208">
                  <c:v>45017</c:v>
                </c:pt>
                <c:pt idx="209">
                  <c:v>45047</c:v>
                </c:pt>
                <c:pt idx="210">
                  <c:v>45078</c:v>
                </c:pt>
                <c:pt idx="211">
                  <c:v>45108</c:v>
                </c:pt>
                <c:pt idx="212">
                  <c:v>45139</c:v>
                </c:pt>
                <c:pt idx="213">
                  <c:v>45170</c:v>
                </c:pt>
                <c:pt idx="214">
                  <c:v>45200</c:v>
                </c:pt>
                <c:pt idx="215">
                  <c:v>45231</c:v>
                </c:pt>
                <c:pt idx="216">
                  <c:v>45261</c:v>
                </c:pt>
                <c:pt idx="217">
                  <c:v>45292</c:v>
                </c:pt>
                <c:pt idx="218">
                  <c:v>45323</c:v>
                </c:pt>
                <c:pt idx="219">
                  <c:v>45352</c:v>
                </c:pt>
                <c:pt idx="220">
                  <c:v>45383</c:v>
                </c:pt>
                <c:pt idx="221">
                  <c:v>45413</c:v>
                </c:pt>
                <c:pt idx="222">
                  <c:v>45444</c:v>
                </c:pt>
                <c:pt idx="223">
                  <c:v>45474</c:v>
                </c:pt>
                <c:pt idx="224">
                  <c:v>45505</c:v>
                </c:pt>
                <c:pt idx="225">
                  <c:v>45536</c:v>
                </c:pt>
                <c:pt idx="226">
                  <c:v>45566</c:v>
                </c:pt>
                <c:pt idx="227">
                  <c:v>45597</c:v>
                </c:pt>
                <c:pt idx="228">
                  <c:v>45627</c:v>
                </c:pt>
                <c:pt idx="229">
                  <c:v>45658</c:v>
                </c:pt>
                <c:pt idx="230">
                  <c:v>45689</c:v>
                </c:pt>
                <c:pt idx="231">
                  <c:v>45717</c:v>
                </c:pt>
                <c:pt idx="232">
                  <c:v>45748</c:v>
                </c:pt>
                <c:pt idx="233">
                  <c:v>45778</c:v>
                </c:pt>
                <c:pt idx="234">
                  <c:v>45809</c:v>
                </c:pt>
                <c:pt idx="235">
                  <c:v>45839</c:v>
                </c:pt>
                <c:pt idx="236">
                  <c:v>45870</c:v>
                </c:pt>
                <c:pt idx="237">
                  <c:v>45901</c:v>
                </c:pt>
                <c:pt idx="238">
                  <c:v>45931</c:v>
                </c:pt>
                <c:pt idx="239">
                  <c:v>45962</c:v>
                </c:pt>
                <c:pt idx="240">
                  <c:v>45992</c:v>
                </c:pt>
                <c:pt idx="241">
                  <c:v>46023</c:v>
                </c:pt>
                <c:pt idx="242">
                  <c:v>46054</c:v>
                </c:pt>
                <c:pt idx="243">
                  <c:v>46082</c:v>
                </c:pt>
                <c:pt idx="244">
                  <c:v>46113</c:v>
                </c:pt>
                <c:pt idx="245">
                  <c:v>46143</c:v>
                </c:pt>
                <c:pt idx="246">
                  <c:v>46174</c:v>
                </c:pt>
              </c:numCache>
            </c:numRef>
          </c:cat>
          <c:val>
            <c:numRef>
              <c:f>'Trade balance'!$G$18:$G$264</c:f>
              <c:numCache>
                <c:formatCode>0.0</c:formatCode>
                <c:ptCount val="247"/>
                <c:pt idx="0">
                  <c:v>11699.9</c:v>
                </c:pt>
                <c:pt idx="1">
                  <c:v>11683.7</c:v>
                </c:pt>
                <c:pt idx="2">
                  <c:v>11708.6</c:v>
                </c:pt>
                <c:pt idx="3">
                  <c:v>11777.599999999999</c:v>
                </c:pt>
                <c:pt idx="4">
                  <c:v>11976.599999999999</c:v>
                </c:pt>
                <c:pt idx="5">
                  <c:v>12112.699999999999</c:v>
                </c:pt>
                <c:pt idx="6">
                  <c:v>12374.699999999999</c:v>
                </c:pt>
                <c:pt idx="7">
                  <c:v>12087.199999999999</c:v>
                </c:pt>
                <c:pt idx="8">
                  <c:v>11840.9</c:v>
                </c:pt>
                <c:pt idx="9">
                  <c:v>11704.8</c:v>
                </c:pt>
                <c:pt idx="10">
                  <c:v>11757.2</c:v>
                </c:pt>
                <c:pt idx="11">
                  <c:v>12057.300000000001</c:v>
                </c:pt>
                <c:pt idx="12">
                  <c:v>12392.7</c:v>
                </c:pt>
                <c:pt idx="13">
                  <c:v>11967.300000000001</c:v>
                </c:pt>
                <c:pt idx="14">
                  <c:v>12000</c:v>
                </c:pt>
                <c:pt idx="15">
                  <c:v>11824.6</c:v>
                </c:pt>
                <c:pt idx="16">
                  <c:v>11682.4</c:v>
                </c:pt>
                <c:pt idx="17">
                  <c:v>11640.7</c:v>
                </c:pt>
                <c:pt idx="18">
                  <c:v>11594.300000000003</c:v>
                </c:pt>
                <c:pt idx="19">
                  <c:v>11118.200000000003</c:v>
                </c:pt>
                <c:pt idx="20">
                  <c:v>10468.000000000002</c:v>
                </c:pt>
                <c:pt idx="21">
                  <c:v>10454.000000000002</c:v>
                </c:pt>
                <c:pt idx="22">
                  <c:v>10685.7</c:v>
                </c:pt>
                <c:pt idx="23">
                  <c:v>10852.5</c:v>
                </c:pt>
                <c:pt idx="24">
                  <c:v>11272.8</c:v>
                </c:pt>
                <c:pt idx="25">
                  <c:v>12174.099999999999</c:v>
                </c:pt>
                <c:pt idx="26">
                  <c:v>12393.399999999998</c:v>
                </c:pt>
                <c:pt idx="27">
                  <c:v>12470.3</c:v>
                </c:pt>
                <c:pt idx="28">
                  <c:v>12148.699999999999</c:v>
                </c:pt>
                <c:pt idx="29">
                  <c:v>11874.8</c:v>
                </c:pt>
                <c:pt idx="30">
                  <c:v>11143.6</c:v>
                </c:pt>
                <c:pt idx="31">
                  <c:v>11618.9</c:v>
                </c:pt>
                <c:pt idx="32">
                  <c:v>13511.699999999999</c:v>
                </c:pt>
                <c:pt idx="33">
                  <c:v>14254.8</c:v>
                </c:pt>
                <c:pt idx="34">
                  <c:v>14006.7</c:v>
                </c:pt>
                <c:pt idx="35">
                  <c:v>13687.6</c:v>
                </c:pt>
                <c:pt idx="36">
                  <c:v>12556.300000000001</c:v>
                </c:pt>
                <c:pt idx="37">
                  <c:v>12171.2</c:v>
                </c:pt>
                <c:pt idx="38">
                  <c:v>12436.800000000001</c:v>
                </c:pt>
                <c:pt idx="39">
                  <c:v>12984.800000000001</c:v>
                </c:pt>
                <c:pt idx="40">
                  <c:v>14344.400000000001</c:v>
                </c:pt>
                <c:pt idx="41">
                  <c:v>15847.999999999998</c:v>
                </c:pt>
                <c:pt idx="42">
                  <c:v>17229.399999999998</c:v>
                </c:pt>
                <c:pt idx="43">
                  <c:v>17601.499999999996</c:v>
                </c:pt>
                <c:pt idx="44">
                  <c:v>16490.2</c:v>
                </c:pt>
                <c:pt idx="45">
                  <c:v>15747.199999999997</c:v>
                </c:pt>
                <c:pt idx="46">
                  <c:v>15966.5</c:v>
                </c:pt>
                <c:pt idx="47">
                  <c:v>16467.099999999999</c:v>
                </c:pt>
                <c:pt idx="48">
                  <c:v>16886</c:v>
                </c:pt>
                <c:pt idx="49">
                  <c:v>17130.3</c:v>
                </c:pt>
                <c:pt idx="50">
                  <c:v>16352.699999999999</c:v>
                </c:pt>
                <c:pt idx="51">
                  <c:v>15261.9</c:v>
                </c:pt>
                <c:pt idx="52">
                  <c:v>15093.2</c:v>
                </c:pt>
                <c:pt idx="53">
                  <c:v>14477.199999999999</c:v>
                </c:pt>
                <c:pt idx="54">
                  <c:v>14103</c:v>
                </c:pt>
                <c:pt idx="55">
                  <c:v>13460.5</c:v>
                </c:pt>
                <c:pt idx="56">
                  <c:v>13391.3</c:v>
                </c:pt>
                <c:pt idx="57">
                  <c:v>13564.5</c:v>
                </c:pt>
                <c:pt idx="58">
                  <c:v>13360.7</c:v>
                </c:pt>
                <c:pt idx="59">
                  <c:v>12479.3</c:v>
                </c:pt>
                <c:pt idx="60">
                  <c:v>11381.699999999999</c:v>
                </c:pt>
                <c:pt idx="61">
                  <c:v>10478.599999999999</c:v>
                </c:pt>
                <c:pt idx="62">
                  <c:v>10608.4</c:v>
                </c:pt>
                <c:pt idx="63">
                  <c:v>10780.3</c:v>
                </c:pt>
                <c:pt idx="64">
                  <c:v>10183.300000000001</c:v>
                </c:pt>
                <c:pt idx="65">
                  <c:v>9698.9</c:v>
                </c:pt>
                <c:pt idx="66">
                  <c:v>9593.1</c:v>
                </c:pt>
                <c:pt idx="67">
                  <c:v>9266.9000000000015</c:v>
                </c:pt>
                <c:pt idx="68">
                  <c:v>8896.8000000000011</c:v>
                </c:pt>
                <c:pt idx="69">
                  <c:v>8688.5</c:v>
                </c:pt>
                <c:pt idx="70">
                  <c:v>8873.2000000000007</c:v>
                </c:pt>
                <c:pt idx="71">
                  <c:v>8796.7999999999993</c:v>
                </c:pt>
                <c:pt idx="72">
                  <c:v>9020.4</c:v>
                </c:pt>
                <c:pt idx="73">
                  <c:v>8760</c:v>
                </c:pt>
                <c:pt idx="74">
                  <c:v>9405.7999999999993</c:v>
                </c:pt>
                <c:pt idx="75">
                  <c:v>10002.799999999999</c:v>
                </c:pt>
                <c:pt idx="76">
                  <c:v>10437.9</c:v>
                </c:pt>
                <c:pt idx="77">
                  <c:v>10088.6</c:v>
                </c:pt>
                <c:pt idx="78">
                  <c:v>9764.9000000000015</c:v>
                </c:pt>
                <c:pt idx="79">
                  <c:v>10708.000000000002</c:v>
                </c:pt>
                <c:pt idx="80">
                  <c:v>11225.300000000001</c:v>
                </c:pt>
                <c:pt idx="81">
                  <c:v>11344.1</c:v>
                </c:pt>
                <c:pt idx="82">
                  <c:v>10844.3</c:v>
                </c:pt>
                <c:pt idx="83">
                  <c:v>11450.9</c:v>
                </c:pt>
                <c:pt idx="84">
                  <c:v>12008.1</c:v>
                </c:pt>
                <c:pt idx="85">
                  <c:v>11997.4</c:v>
                </c:pt>
                <c:pt idx="86">
                  <c:v>10449</c:v>
                </c:pt>
                <c:pt idx="87">
                  <c:v>9936.2999999999993</c:v>
                </c:pt>
                <c:pt idx="88">
                  <c:v>8693.1000000000022</c:v>
                </c:pt>
                <c:pt idx="89">
                  <c:v>8964.6000000000022</c:v>
                </c:pt>
                <c:pt idx="90">
                  <c:v>9016.5</c:v>
                </c:pt>
                <c:pt idx="91">
                  <c:v>7648.8</c:v>
                </c:pt>
                <c:pt idx="92">
                  <c:v>6599.7</c:v>
                </c:pt>
                <c:pt idx="93">
                  <c:v>6167.1</c:v>
                </c:pt>
                <c:pt idx="94">
                  <c:v>4730.5</c:v>
                </c:pt>
                <c:pt idx="95">
                  <c:v>2858.3999999999992</c:v>
                </c:pt>
                <c:pt idx="96">
                  <c:v>1521.2000000000003</c:v>
                </c:pt>
                <c:pt idx="97">
                  <c:v>123.10000000000014</c:v>
                </c:pt>
                <c:pt idx="98">
                  <c:v>-497.70000000000027</c:v>
                </c:pt>
                <c:pt idx="99">
                  <c:v>-1515.4</c:v>
                </c:pt>
                <c:pt idx="100">
                  <c:v>-1394.8999999999996</c:v>
                </c:pt>
                <c:pt idx="101">
                  <c:v>-1358.5000000000005</c:v>
                </c:pt>
                <c:pt idx="102">
                  <c:v>-843.19999999999936</c:v>
                </c:pt>
                <c:pt idx="103">
                  <c:v>-513.89999999999941</c:v>
                </c:pt>
                <c:pt idx="104">
                  <c:v>136.10000000000025</c:v>
                </c:pt>
                <c:pt idx="105">
                  <c:v>-338.69999999999982</c:v>
                </c:pt>
                <c:pt idx="106">
                  <c:v>765.1000000000007</c:v>
                </c:pt>
                <c:pt idx="107">
                  <c:v>2005.3999999999996</c:v>
                </c:pt>
                <c:pt idx="108">
                  <c:v>2668.4</c:v>
                </c:pt>
                <c:pt idx="109">
                  <c:v>3475</c:v>
                </c:pt>
                <c:pt idx="110">
                  <c:v>4151.9000000000005</c:v>
                </c:pt>
                <c:pt idx="111">
                  <c:v>3951.4</c:v>
                </c:pt>
                <c:pt idx="112">
                  <c:v>3351.2999999999997</c:v>
                </c:pt>
                <c:pt idx="113">
                  <c:v>2152.3000000000002</c:v>
                </c:pt>
                <c:pt idx="114">
                  <c:v>1135.8000000000002</c:v>
                </c:pt>
                <c:pt idx="115">
                  <c:v>632.30000000000018</c:v>
                </c:pt>
                <c:pt idx="116">
                  <c:v>-612.50000000000011</c:v>
                </c:pt>
                <c:pt idx="117">
                  <c:v>-978.7</c:v>
                </c:pt>
                <c:pt idx="118">
                  <c:v>-1303.5</c:v>
                </c:pt>
                <c:pt idx="119">
                  <c:v>-2242.6000000000004</c:v>
                </c:pt>
                <c:pt idx="120">
                  <c:v>-3419.1000000000004</c:v>
                </c:pt>
                <c:pt idx="121">
                  <c:v>-3094.8</c:v>
                </c:pt>
                <c:pt idx="122">
                  <c:v>-2837.3</c:v>
                </c:pt>
                <c:pt idx="123">
                  <c:v>-2295.4000000000005</c:v>
                </c:pt>
                <c:pt idx="124">
                  <c:v>-2200.8000000000002</c:v>
                </c:pt>
                <c:pt idx="125">
                  <c:v>-1893.6000000000001</c:v>
                </c:pt>
                <c:pt idx="126">
                  <c:v>-1974.4</c:v>
                </c:pt>
                <c:pt idx="127">
                  <c:v>-1458.6999999999998</c:v>
                </c:pt>
                <c:pt idx="128">
                  <c:v>-399.4</c:v>
                </c:pt>
                <c:pt idx="129">
                  <c:v>233.79999999999984</c:v>
                </c:pt>
                <c:pt idx="130">
                  <c:v>212.59999999999985</c:v>
                </c:pt>
                <c:pt idx="131">
                  <c:v>1027.8000000000002</c:v>
                </c:pt>
                <c:pt idx="132">
                  <c:v>2057.0999999999995</c:v>
                </c:pt>
                <c:pt idx="133">
                  <c:v>2246.1</c:v>
                </c:pt>
                <c:pt idx="134">
                  <c:v>1983.6000000000001</c:v>
                </c:pt>
                <c:pt idx="135">
                  <c:v>1208.8</c:v>
                </c:pt>
                <c:pt idx="136">
                  <c:v>785.39999999999964</c:v>
                </c:pt>
                <c:pt idx="137">
                  <c:v>-295.49999999999989</c:v>
                </c:pt>
                <c:pt idx="138">
                  <c:v>-1293.8000000000002</c:v>
                </c:pt>
                <c:pt idx="139">
                  <c:v>-2316.5</c:v>
                </c:pt>
                <c:pt idx="140">
                  <c:v>-3950.9999999999995</c:v>
                </c:pt>
                <c:pt idx="141">
                  <c:v>-4959.2000000000007</c:v>
                </c:pt>
                <c:pt idx="142">
                  <c:v>-5841.6</c:v>
                </c:pt>
                <c:pt idx="143">
                  <c:v>-7451.3000000000011</c:v>
                </c:pt>
                <c:pt idx="144">
                  <c:v>-8293.5</c:v>
                </c:pt>
                <c:pt idx="145">
                  <c:v>-9173.1</c:v>
                </c:pt>
                <c:pt idx="146">
                  <c:v>-9847.1</c:v>
                </c:pt>
                <c:pt idx="147">
                  <c:v>-9499.0999999999985</c:v>
                </c:pt>
                <c:pt idx="148">
                  <c:v>-10281.899999999998</c:v>
                </c:pt>
                <c:pt idx="149">
                  <c:v>-10995.699999999997</c:v>
                </c:pt>
                <c:pt idx="150">
                  <c:v>-10583.6</c:v>
                </c:pt>
                <c:pt idx="151">
                  <c:v>-10612.5</c:v>
                </c:pt>
                <c:pt idx="152">
                  <c:v>-10680.600000000002</c:v>
                </c:pt>
                <c:pt idx="153">
                  <c:v>-9643.6000000000022</c:v>
                </c:pt>
                <c:pt idx="154">
                  <c:v>-8390.3000000000011</c:v>
                </c:pt>
                <c:pt idx="155">
                  <c:v>-5908.300000000002</c:v>
                </c:pt>
                <c:pt idx="156">
                  <c:v>-3701.3</c:v>
                </c:pt>
                <c:pt idx="157">
                  <c:v>-2395.3000000000002</c:v>
                </c:pt>
                <c:pt idx="158">
                  <c:v>-1053.8000000000004</c:v>
                </c:pt>
                <c:pt idx="159">
                  <c:v>689.20000000000027</c:v>
                </c:pt>
                <c:pt idx="160">
                  <c:v>2743.4</c:v>
                </c:pt>
                <c:pt idx="161">
                  <c:v>5427.2000000000007</c:v>
                </c:pt>
                <c:pt idx="162">
                  <c:v>6822.6000000000013</c:v>
                </c:pt>
                <c:pt idx="163">
                  <c:v>8540.6</c:v>
                </c:pt>
                <c:pt idx="164">
                  <c:v>10820.999999999998</c:v>
                </c:pt>
                <c:pt idx="165">
                  <c:v>12228.199999999999</c:v>
                </c:pt>
                <c:pt idx="166">
                  <c:v>13671.2</c:v>
                </c:pt>
                <c:pt idx="167">
                  <c:v>15168.6</c:v>
                </c:pt>
                <c:pt idx="168">
                  <c:v>15990.400000000001</c:v>
                </c:pt>
                <c:pt idx="169">
                  <c:v>16661.400000000001</c:v>
                </c:pt>
                <c:pt idx="170">
                  <c:v>17398.5</c:v>
                </c:pt>
                <c:pt idx="171">
                  <c:v>17446.3</c:v>
                </c:pt>
                <c:pt idx="172">
                  <c:v>17736.3</c:v>
                </c:pt>
                <c:pt idx="173">
                  <c:v>18249.2</c:v>
                </c:pt>
                <c:pt idx="174">
                  <c:v>18668</c:v>
                </c:pt>
                <c:pt idx="175">
                  <c:v>19197.899999999998</c:v>
                </c:pt>
                <c:pt idx="176">
                  <c:v>19476.399999999998</c:v>
                </c:pt>
                <c:pt idx="177">
                  <c:v>18329.8</c:v>
                </c:pt>
                <c:pt idx="178">
                  <c:v>17231.699999999997</c:v>
                </c:pt>
                <c:pt idx="179">
                  <c:v>15133.4</c:v>
                </c:pt>
                <c:pt idx="180">
                  <c:v>12528.2</c:v>
                </c:pt>
                <c:pt idx="181">
                  <c:v>12552.7</c:v>
                </c:pt>
                <c:pt idx="182">
                  <c:v>12428.2</c:v>
                </c:pt>
                <c:pt idx="183">
                  <c:v>11599.5</c:v>
                </c:pt>
                <c:pt idx="184">
                  <c:v>11614.8</c:v>
                </c:pt>
                <c:pt idx="185">
                  <c:v>11374.7</c:v>
                </c:pt>
                <c:pt idx="186">
                  <c:v>10989.200000000003</c:v>
                </c:pt>
                <c:pt idx="187">
                  <c:v>11045.4</c:v>
                </c:pt>
                <c:pt idx="188">
                  <c:v>11944.2</c:v>
                </c:pt>
                <c:pt idx="189">
                  <c:v>13031.2</c:v>
                </c:pt>
                <c:pt idx="190">
                  <c:v>13976.899999999998</c:v>
                </c:pt>
                <c:pt idx="191">
                  <c:v>14015.400000000001</c:v>
                </c:pt>
                <c:pt idx="192">
                  <c:v>14750.599999999999</c:v>
                </c:pt>
                <c:pt idx="193">
                  <c:v>14022.099999999999</c:v>
                </c:pt>
                <c:pt idx="194">
                  <c:v>13838.9</c:v>
                </c:pt>
                <c:pt idx="195">
                  <c:v>13763.2</c:v>
                </c:pt>
                <c:pt idx="196">
                  <c:v>13769.9</c:v>
                </c:pt>
                <c:pt idx="197">
                  <c:v>12567.699999999999</c:v>
                </c:pt>
                <c:pt idx="198">
                  <c:v>11256.5</c:v>
                </c:pt>
                <c:pt idx="199">
                  <c:v>9074.6</c:v>
                </c:pt>
                <c:pt idx="200">
                  <c:v>6394.8000000000011</c:v>
                </c:pt>
                <c:pt idx="201">
                  <c:v>5060.2999999999993</c:v>
                </c:pt>
                <c:pt idx="202">
                  <c:v>5377.5</c:v>
                </c:pt>
                <c:pt idx="203">
                  <c:v>6312.3</c:v>
                </c:pt>
                <c:pt idx="204">
                  <c:v>6962.5</c:v>
                </c:pt>
                <c:pt idx="205">
                  <c:v>6160.6</c:v>
                </c:pt>
                <c:pt idx="206">
                  <c:v>5512.5</c:v>
                </c:pt>
                <c:pt idx="207">
                  <c:v>4115.7000000000007</c:v>
                </c:pt>
                <c:pt idx="208">
                  <c:v>2347.7000000000003</c:v>
                </c:pt>
                <c:pt idx="209">
                  <c:v>752.50000000000023</c:v>
                </c:pt>
                <c:pt idx="210">
                  <c:v>-855.90000000000032</c:v>
                </c:pt>
                <c:pt idx="211">
                  <c:v>-878.89999999999975</c:v>
                </c:pt>
                <c:pt idx="212">
                  <c:v>-1508.1999999999994</c:v>
                </c:pt>
                <c:pt idx="213">
                  <c:v>-2590.2000000000003</c:v>
                </c:pt>
                <c:pt idx="214">
                  <c:v>-4945.6000000000004</c:v>
                </c:pt>
                <c:pt idx="215">
                  <c:v>-6877.7</c:v>
                </c:pt>
                <c:pt idx="216">
                  <c:v>-6860.5999999999985</c:v>
                </c:pt>
                <c:pt idx="217">
                  <c:v>-5590.2999999999993</c:v>
                </c:pt>
                <c:pt idx="218">
                  <c:v>-4389.1999999999989</c:v>
                </c:pt>
                <c:pt idx="219">
                  <c:v>-1156.1000000000004</c:v>
                </c:pt>
                <c:pt idx="220">
                  <c:v>941.8</c:v>
                </c:pt>
                <c:pt idx="221">
                  <c:v>4721.8999999999996</c:v>
                </c:pt>
                <c:pt idx="222">
                  <c:v>8420.1999999999989</c:v>
                </c:pt>
                <c:pt idx="223">
                  <c:v>10547.3</c:v>
                </c:pt>
                <c:pt idx="224">
                  <c:v>13386</c:v>
                </c:pt>
                <c:pt idx="225">
                  <c:v>15099.9</c:v>
                </c:pt>
                <c:pt idx="226">
                  <c:v>16434.599999999999</c:v>
                </c:pt>
                <c:pt idx="227">
                  <c:v>18284.600000000002</c:v>
                </c:pt>
                <c:pt idx="228">
                  <c:v>18927.599999999999</c:v>
                </c:pt>
                <c:pt idx="229">
                  <c:v>18281.299999999996</c:v>
                </c:pt>
                <c:pt idx="230">
                  <c:v>17124.599999999999</c:v>
                </c:pt>
                <c:pt idx="231">
                  <c:v>15587.699999999999</c:v>
                </c:pt>
                <c:pt idx="232">
                  <c:v>13995.3</c:v>
                </c:pt>
                <c:pt idx="233">
                  <c:v>11948.1</c:v>
                </c:pt>
                <c:pt idx="234">
                  <c:v>10947.7</c:v>
                </c:pt>
                <c:pt idx="235">
                  <c:v>10395.9</c:v>
                </c:pt>
                <c:pt idx="236">
                  <c:v>9961.3999999999978</c:v>
                </c:pt>
                <c:pt idx="237">
                  <c:v>9916.4999999999982</c:v>
                </c:pt>
                <c:pt idx="238">
                  <c:v>9817.4</c:v>
                </c:pt>
                <c:pt idx="239">
                  <c:v>11075.2</c:v>
                </c:pt>
                <c:pt idx="240">
                  <c:v>11320.099999999999</c:v>
                </c:pt>
                <c:pt idx="241">
                  <c:v>13346.6</c:v>
                </c:pt>
                <c:pt idx="242">
                  <c:v>13867.999999999998</c:v>
                </c:pt>
                <c:pt idx="243">
                  <c:v>15825.699999999997</c:v>
                </c:pt>
                <c:pt idx="244">
                  <c:v>18324.099999999999</c:v>
                </c:pt>
                <c:pt idx="245">
                  <c:v>21166.699999999997</c:v>
                </c:pt>
                <c:pt idx="246">
                  <c:v>22481.099999999995</c:v>
                </c:pt>
              </c:numCache>
            </c:numRef>
          </c:val>
          <c:smooth val="0"/>
          <c:extLst>
            <c:ext xmlns:c16="http://schemas.microsoft.com/office/drawing/2014/chart" uri="{C3380CC4-5D6E-409C-BE32-E72D297353CC}">
              <c16:uniqueId val="{00000000-E9F6-427C-AC67-B05AC4AAA906}"/>
            </c:ext>
          </c:extLst>
        </c:ser>
        <c:dLbls>
          <c:showLegendKey val="0"/>
          <c:showVal val="0"/>
          <c:showCatName val="0"/>
          <c:showSerName val="0"/>
          <c:showPercent val="0"/>
          <c:showBubbleSize val="0"/>
        </c:dLbls>
        <c:marker val="1"/>
        <c:smooth val="0"/>
        <c:axId val="1614485455"/>
        <c:axId val="1614485935"/>
      </c:lineChart>
      <c:dateAx>
        <c:axId val="1614485455"/>
        <c:scaling>
          <c:orientation val="minMax"/>
          <c:min val="38869"/>
        </c:scaling>
        <c:delete val="0"/>
        <c:axPos val="b"/>
        <c:numFmt formatCode="mmm\-yy" sourceLinked="1"/>
        <c:majorTickMark val="none"/>
        <c:minorTickMark val="none"/>
        <c:tickLblPos val="low"/>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Frutiger 45 Light" panose="020B0603020202020204" pitchFamily="34" charset="0"/>
                <a:ea typeface="+mn-ea"/>
                <a:cs typeface="+mn-cs"/>
              </a:defRPr>
            </a:pPr>
            <a:endParaRPr lang="en-US"/>
          </a:p>
        </c:txPr>
        <c:crossAx val="1614485935"/>
        <c:crosses val="autoZero"/>
        <c:auto val="1"/>
        <c:lblOffset val="100"/>
        <c:baseTimeUnit val="months"/>
        <c:majorUnit val="48"/>
        <c:majorTimeUnit val="months"/>
      </c:dateAx>
      <c:valAx>
        <c:axId val="1614485935"/>
        <c:scaling>
          <c:orientation val="minMax"/>
        </c:scaling>
        <c:delete val="0"/>
        <c:axPos val="l"/>
        <c:numFmt formatCode="0" sourceLinked="0"/>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Frutiger 45 Light" panose="020B0603020202020204" pitchFamily="34" charset="0"/>
                <a:ea typeface="+mn-ea"/>
                <a:cs typeface="+mn-cs"/>
              </a:defRPr>
            </a:pPr>
            <a:endParaRPr lang="en-US"/>
          </a:p>
        </c:txPr>
        <c:crossAx val="1614485455"/>
        <c:crosses val="autoZero"/>
        <c:crossBetween val="between"/>
        <c:dispUnits>
          <c:builtInUnit val="thousands"/>
        </c:dispUnits>
      </c:valAx>
      <c:spPr>
        <a:noFill/>
        <a:ln>
          <a:noFill/>
        </a:ln>
        <a:effectLst/>
      </c:spPr>
    </c:plotArea>
    <c:legend>
      <c:legendPos val="b"/>
      <c:layout>
        <c:manualLayout>
          <c:xMode val="edge"/>
          <c:yMode val="edge"/>
          <c:x val="0.23330059166333025"/>
          <c:y val="7.2964524297513905E-2"/>
          <c:w val="0.49724044663908545"/>
          <c:h val="0.14941586684499994"/>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Frutiger 45 Light" panose="020B0603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Frutiger 45 Light" panose="020B0603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2045060791525363E-2"/>
          <c:y val="4.1584662245712063E-2"/>
          <c:w val="0.93517830013607872"/>
          <c:h val="0.88334920994597865"/>
        </c:manualLayout>
      </c:layout>
      <c:barChart>
        <c:barDir val="col"/>
        <c:grouping val="stacked"/>
        <c:varyColors val="0"/>
        <c:ser>
          <c:idx val="1"/>
          <c:order val="1"/>
          <c:tx>
            <c:strRef>
              <c:f>'Current account'!$C$24</c:f>
              <c:strCache>
                <c:ptCount val="1"/>
                <c:pt idx="0">
                  <c:v>Merchandise</c:v>
                </c:pt>
              </c:strCache>
            </c:strRef>
          </c:tx>
          <c:spPr>
            <a:solidFill>
              <a:schemeClr val="tx2">
                <a:lumMod val="75000"/>
                <a:lumOff val="25000"/>
              </a:schemeClr>
            </a:solidFill>
            <a:ln>
              <a:noFill/>
            </a:ln>
            <a:effectLst/>
          </c:spPr>
          <c:invertIfNegative val="0"/>
          <c:val>
            <c:numRef>
              <c:f>'Current account'!$BI$45:$BV$45</c:f>
              <c:numCache>
                <c:formatCode>0.0</c:formatCode>
                <c:ptCount val="14"/>
                <c:pt idx="0">
                  <c:v>1.9676355096646603</c:v>
                </c:pt>
                <c:pt idx="1">
                  <c:v>1.438614783783617</c:v>
                </c:pt>
                <c:pt idx="2">
                  <c:v>0.61375396019620554</c:v>
                </c:pt>
                <c:pt idx="3">
                  <c:v>0.27392520400219134</c:v>
                </c:pt>
                <c:pt idx="4">
                  <c:v>-0.41965085900613652</c:v>
                </c:pt>
                <c:pt idx="5">
                  <c:v>0.41791824474337214</c:v>
                </c:pt>
                <c:pt idx="6">
                  <c:v>1.9289302034408387</c:v>
                </c:pt>
                <c:pt idx="7">
                  <c:v>2.9908320331715772</c:v>
                </c:pt>
                <c:pt idx="8">
                  <c:v>3.5324724469041198</c:v>
                </c:pt>
                <c:pt idx="9">
                  <c:v>2.8627858505104418</c:v>
                </c:pt>
                <c:pt idx="10">
                  <c:v>2.1316967467852761</c:v>
                </c:pt>
                <c:pt idx="11">
                  <c:v>2.001570363886779</c:v>
                </c:pt>
                <c:pt idx="12">
                  <c:v>2.2341728512869152</c:v>
                </c:pt>
                <c:pt idx="13">
                  <c:v>2.8589314310671137</c:v>
                </c:pt>
              </c:numCache>
            </c:numRef>
          </c:val>
          <c:extLst>
            <c:ext xmlns:c16="http://schemas.microsoft.com/office/drawing/2014/chart" uri="{C3380CC4-5D6E-409C-BE32-E72D297353CC}">
              <c16:uniqueId val="{00000000-9AFD-4B7E-B6B7-7CE4CE0D10ED}"/>
            </c:ext>
          </c:extLst>
        </c:ser>
        <c:ser>
          <c:idx val="2"/>
          <c:order val="2"/>
          <c:tx>
            <c:strRef>
              <c:f>'Current account'!$C$25</c:f>
              <c:strCache>
                <c:ptCount val="1"/>
                <c:pt idx="0">
                  <c:v>Services</c:v>
                </c:pt>
              </c:strCache>
            </c:strRef>
          </c:tx>
          <c:spPr>
            <a:solidFill>
              <a:srgbClr val="CC0000"/>
            </a:solidFill>
            <a:ln>
              <a:noFill/>
            </a:ln>
            <a:effectLst/>
          </c:spPr>
          <c:invertIfNegative val="0"/>
          <c:val>
            <c:numRef>
              <c:f>'Current account'!$BI$46:$BV$46</c:f>
              <c:numCache>
                <c:formatCode>0.0</c:formatCode>
                <c:ptCount val="14"/>
                <c:pt idx="0">
                  <c:v>-1.0735870643455001</c:v>
                </c:pt>
                <c:pt idx="1">
                  <c:v>-1.1096166778749159</c:v>
                </c:pt>
                <c:pt idx="2">
                  <c:v>-1.0640542623331823</c:v>
                </c:pt>
                <c:pt idx="3">
                  <c:v>-1.0029759962606553</c:v>
                </c:pt>
                <c:pt idx="4">
                  <c:v>-0.9701573158169422</c:v>
                </c:pt>
                <c:pt idx="5">
                  <c:v>-0.86434539413958833</c:v>
                </c:pt>
                <c:pt idx="6">
                  <c:v>-0.80453605087732749</c:v>
                </c:pt>
                <c:pt idx="7">
                  <c:v>-0.78610404432834535</c:v>
                </c:pt>
                <c:pt idx="8">
                  <c:v>-0.77858190246440562</c:v>
                </c:pt>
                <c:pt idx="9">
                  <c:v>-1.2000850244740588</c:v>
                </c:pt>
                <c:pt idx="10">
                  <c:v>-1.3556011746927836</c:v>
                </c:pt>
                <c:pt idx="11">
                  <c:v>-1.5221660152087884</c:v>
                </c:pt>
                <c:pt idx="12">
                  <c:v>-1.6876667374588701</c:v>
                </c:pt>
                <c:pt idx="13">
                  <c:v>-1.6115882952394818</c:v>
                </c:pt>
              </c:numCache>
            </c:numRef>
          </c:val>
          <c:extLst>
            <c:ext xmlns:c16="http://schemas.microsoft.com/office/drawing/2014/chart" uri="{C3380CC4-5D6E-409C-BE32-E72D297353CC}">
              <c16:uniqueId val="{00000001-9AFD-4B7E-B6B7-7CE4CE0D10ED}"/>
            </c:ext>
          </c:extLst>
        </c:ser>
        <c:ser>
          <c:idx val="3"/>
          <c:order val="3"/>
          <c:tx>
            <c:strRef>
              <c:f>'Current account'!$C$26</c:f>
              <c:strCache>
                <c:ptCount val="1"/>
                <c:pt idx="0">
                  <c:v>Income</c:v>
                </c:pt>
              </c:strCache>
            </c:strRef>
          </c:tx>
          <c:spPr>
            <a:solidFill>
              <a:srgbClr val="4C2D59">
                <a:alpha val="63922"/>
              </a:srgbClr>
            </a:solidFill>
            <a:ln>
              <a:noFill/>
            </a:ln>
            <a:effectLst/>
          </c:spPr>
          <c:invertIfNegative val="1"/>
          <c:val>
            <c:numRef>
              <c:f>'Current account'!$BI$47:$BV$47</c:f>
              <c:numCache>
                <c:formatCode>0.0</c:formatCode>
                <c:ptCount val="14"/>
                <c:pt idx="0">
                  <c:v>-1.8345265599893512</c:v>
                </c:pt>
                <c:pt idx="1">
                  <c:v>-1.9627289721932586</c:v>
                </c:pt>
                <c:pt idx="2">
                  <c:v>-2.073522036427689</c:v>
                </c:pt>
                <c:pt idx="3">
                  <c:v>-2.2094609667966223</c:v>
                </c:pt>
                <c:pt idx="4">
                  <c:v>-2.3283166948919147</c:v>
                </c:pt>
                <c:pt idx="5">
                  <c:v>-2.5041648483612953</c:v>
                </c:pt>
                <c:pt idx="6">
                  <c:v>-2.4851768104506546</c:v>
                </c:pt>
                <c:pt idx="7">
                  <c:v>-2.3995493133360064</c:v>
                </c:pt>
                <c:pt idx="8">
                  <c:v>-2.1790202292543714</c:v>
                </c:pt>
                <c:pt idx="9">
                  <c:v>-1.8743763395783024</c:v>
                </c:pt>
                <c:pt idx="10">
                  <c:v>-1.844011062640778</c:v>
                </c:pt>
                <c:pt idx="11">
                  <c:v>-1.9605235118370825</c:v>
                </c:pt>
                <c:pt idx="12">
                  <c:v>-2.0479796583936767</c:v>
                </c:pt>
                <c:pt idx="13">
                  <c:v>-2.2910176153734167</c:v>
                </c:pt>
              </c:numCache>
            </c:numRef>
          </c:val>
          <c:extLst>
            <c:ext xmlns:c14="http://schemas.microsoft.com/office/drawing/2007/8/2/chart" uri="{6F2FDCE9-48DA-4B69-8628-5D25D57E5C99}">
              <c14:invertSolidFillFmt>
                <c14:spPr xmlns:c14="http://schemas.microsoft.com/office/drawing/2007/8/2/chart">
                  <a:solidFill>
                    <a:srgbClr val="AFABAB"/>
                  </a:solidFill>
                  <a:ln>
                    <a:noFill/>
                  </a:ln>
                  <a:effectLst/>
                </c14:spPr>
              </c14:invertSolidFillFmt>
            </c:ext>
            <c:ext xmlns:c16="http://schemas.microsoft.com/office/drawing/2014/chart" uri="{C3380CC4-5D6E-409C-BE32-E72D297353CC}">
              <c16:uniqueId val="{00000002-9AFD-4B7E-B6B7-7CE4CE0D10ED}"/>
            </c:ext>
          </c:extLst>
        </c:ser>
        <c:ser>
          <c:idx val="4"/>
          <c:order val="4"/>
          <c:tx>
            <c:strRef>
              <c:f>'Current account'!$C$27</c:f>
              <c:strCache>
                <c:ptCount val="1"/>
                <c:pt idx="0">
                  <c:v>Transfers</c:v>
                </c:pt>
              </c:strCache>
            </c:strRef>
          </c:tx>
          <c:spPr>
            <a:solidFill>
              <a:schemeClr val="accent6">
                <a:lumMod val="40000"/>
                <a:lumOff val="60000"/>
              </a:schemeClr>
            </a:solidFill>
            <a:ln>
              <a:noFill/>
            </a:ln>
            <a:effectLst/>
          </c:spPr>
          <c:invertIfNegative val="0"/>
          <c:val>
            <c:numRef>
              <c:f>'Current account'!$BI$48:$BV$48</c:f>
              <c:numCache>
                <c:formatCode>0.0</c:formatCode>
                <c:ptCount val="14"/>
                <c:pt idx="0">
                  <c:v>0.31233064263099347</c:v>
                </c:pt>
                <c:pt idx="1">
                  <c:v>0.30786695705286793</c:v>
                </c:pt>
                <c:pt idx="2">
                  <c:v>0.31222859659209057</c:v>
                </c:pt>
                <c:pt idx="3">
                  <c:v>0.31930117962360699</c:v>
                </c:pt>
                <c:pt idx="4">
                  <c:v>0.31648795748106023</c:v>
                </c:pt>
                <c:pt idx="5">
                  <c:v>0.33493981276498153</c:v>
                </c:pt>
                <c:pt idx="6">
                  <c:v>0.36615764341853652</c:v>
                </c:pt>
                <c:pt idx="7">
                  <c:v>0.34499609545595494</c:v>
                </c:pt>
                <c:pt idx="8">
                  <c:v>0.35397253362344894</c:v>
                </c:pt>
                <c:pt idx="9">
                  <c:v>0.31131356907943292</c:v>
                </c:pt>
                <c:pt idx="10">
                  <c:v>0.31519972628517662</c:v>
                </c:pt>
                <c:pt idx="11">
                  <c:v>0.33609791748009515</c:v>
                </c:pt>
                <c:pt idx="12">
                  <c:v>0.36831340969193754</c:v>
                </c:pt>
                <c:pt idx="13">
                  <c:v>0.42014849323045567</c:v>
                </c:pt>
              </c:numCache>
            </c:numRef>
          </c:val>
          <c:extLst>
            <c:ext xmlns:c16="http://schemas.microsoft.com/office/drawing/2014/chart" uri="{C3380CC4-5D6E-409C-BE32-E72D297353CC}">
              <c16:uniqueId val="{00000003-9AFD-4B7E-B6B7-7CE4CE0D10ED}"/>
            </c:ext>
          </c:extLst>
        </c:ser>
        <c:dLbls>
          <c:showLegendKey val="0"/>
          <c:showVal val="0"/>
          <c:showCatName val="0"/>
          <c:showSerName val="0"/>
          <c:showPercent val="0"/>
          <c:showBubbleSize val="0"/>
        </c:dLbls>
        <c:gapWidth val="50"/>
        <c:overlap val="100"/>
        <c:axId val="1666620480"/>
        <c:axId val="1666622400"/>
      </c:barChart>
      <c:lineChart>
        <c:grouping val="standard"/>
        <c:varyColors val="0"/>
        <c:ser>
          <c:idx val="0"/>
          <c:order val="0"/>
          <c:tx>
            <c:strRef>
              <c:f>'Current account'!$C$23</c:f>
              <c:strCache>
                <c:ptCount val="1"/>
                <c:pt idx="0">
                  <c:v>CAB</c:v>
                </c:pt>
              </c:strCache>
            </c:strRef>
          </c:tx>
          <c:spPr>
            <a:ln w="28575" cap="rnd" cmpd="sng" algn="ctr">
              <a:solidFill>
                <a:schemeClr val="tx1"/>
              </a:solidFill>
              <a:prstDash val="solid"/>
              <a:round/>
              <a:headEnd type="none" w="med" len="med"/>
              <a:tailEnd type="none" w="med" len="med"/>
            </a:ln>
            <a:effectLst/>
          </c:spPr>
          <c:marker>
            <c:symbol val="square"/>
            <c:size val="5"/>
            <c:spPr>
              <a:solidFill>
                <a:schemeClr val="tx1"/>
              </a:solidFill>
              <a:ln w="28575" cap="rnd" cmpd="sng" algn="ctr">
                <a:solidFill>
                  <a:schemeClr val="tx1"/>
                </a:solidFill>
                <a:prstDash val="solid"/>
                <a:round/>
                <a:headEnd type="none" w="med" len="med"/>
                <a:tailEnd type="none" w="med" len="med"/>
              </a:ln>
              <a:effectLst/>
            </c:spPr>
          </c:marker>
          <c:cat>
            <c:strRef>
              <c:f>'Current account'!$BI$1:$BV$1</c:f>
              <c:strCache>
                <c:ptCount val="14"/>
                <c:pt idx="0">
                  <c:v>4Q 2022</c:v>
                </c:pt>
                <c:pt idx="1">
                  <c:v>1Q 2023</c:v>
                </c:pt>
                <c:pt idx="2">
                  <c:v>2Q 2023</c:v>
                </c:pt>
                <c:pt idx="3">
                  <c:v>3Q 2023</c:v>
                </c:pt>
                <c:pt idx="4">
                  <c:v>4Q 2023</c:v>
                </c:pt>
                <c:pt idx="5">
                  <c:v>1Q 2024</c:v>
                </c:pt>
                <c:pt idx="6">
                  <c:v>2Q 2024</c:v>
                </c:pt>
                <c:pt idx="7">
                  <c:v>3Q 2024</c:v>
                </c:pt>
                <c:pt idx="8">
                  <c:v>4Q 2024</c:v>
                </c:pt>
                <c:pt idx="9">
                  <c:v>1Q 2025</c:v>
                </c:pt>
                <c:pt idx="10">
                  <c:v>2Q 2025</c:v>
                </c:pt>
                <c:pt idx="11">
                  <c:v>3Q 2025</c:v>
                </c:pt>
                <c:pt idx="12">
                  <c:v>4Q 2025</c:v>
                </c:pt>
                <c:pt idx="13">
                  <c:v>1Q 2026</c:v>
                </c:pt>
              </c:strCache>
            </c:strRef>
          </c:cat>
          <c:val>
            <c:numRef>
              <c:f>'Current account'!$BI$44:$BV$44</c:f>
              <c:numCache>
                <c:formatCode>0.0</c:formatCode>
                <c:ptCount val="14"/>
                <c:pt idx="0">
                  <c:v>-0.62830593507452515</c:v>
                </c:pt>
                <c:pt idx="1">
                  <c:v>-1.3258639092316897</c:v>
                </c:pt>
                <c:pt idx="2">
                  <c:v>-2.2114408386441751</c:v>
                </c:pt>
                <c:pt idx="3">
                  <c:v>-2.6190588203156886</c:v>
                </c:pt>
                <c:pt idx="4">
                  <c:v>-3.4013325968902017</c:v>
                </c:pt>
                <c:pt idx="5">
                  <c:v>-2.6154929173687713</c:v>
                </c:pt>
                <c:pt idx="6">
                  <c:v>-0.99429896135781559</c:v>
                </c:pt>
                <c:pt idx="7">
                  <c:v>0.15049947317066834</c:v>
                </c:pt>
                <c:pt idx="8">
                  <c:v>0.92884284880879164</c:v>
                </c:pt>
                <c:pt idx="9">
                  <c:v>9.9638055537514106E-2</c:v>
                </c:pt>
                <c:pt idx="10">
                  <c:v>-0.75271576426310838</c:v>
                </c:pt>
                <c:pt idx="11">
                  <c:v>-1.1448782252885794</c:v>
                </c:pt>
                <c:pt idx="12">
                  <c:v>-1.1328692080097986</c:v>
                </c:pt>
                <c:pt idx="13">
                  <c:v>-0.62323482311835776</c:v>
                </c:pt>
              </c:numCache>
            </c:numRef>
          </c:val>
          <c:smooth val="0"/>
          <c:extLst>
            <c:ext xmlns:c16="http://schemas.microsoft.com/office/drawing/2014/chart" uri="{C3380CC4-5D6E-409C-BE32-E72D297353CC}">
              <c16:uniqueId val="{00000004-9AFD-4B7E-B6B7-7CE4CE0D10ED}"/>
            </c:ext>
          </c:extLst>
        </c:ser>
        <c:dLbls>
          <c:showLegendKey val="0"/>
          <c:showVal val="0"/>
          <c:showCatName val="0"/>
          <c:showSerName val="0"/>
          <c:showPercent val="0"/>
          <c:showBubbleSize val="0"/>
        </c:dLbls>
        <c:marker val="1"/>
        <c:smooth val="0"/>
        <c:axId val="1666620480"/>
        <c:axId val="1666622400"/>
      </c:lineChart>
      <c:catAx>
        <c:axId val="1666620480"/>
        <c:scaling>
          <c:orientation val="minMax"/>
        </c:scaling>
        <c:delete val="0"/>
        <c:axPos val="b"/>
        <c:majorTickMark val="none"/>
        <c:minorTickMark val="none"/>
        <c:tickLblPos val="low"/>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Frutiger 45 Light" panose="020B0603020202020204" pitchFamily="34" charset="0"/>
                <a:ea typeface="+mn-ea"/>
                <a:cs typeface="+mn-cs"/>
              </a:defRPr>
            </a:pPr>
            <a:endParaRPr lang="en-US"/>
          </a:p>
        </c:txPr>
        <c:crossAx val="1666622400"/>
        <c:crosses val="autoZero"/>
        <c:auto val="1"/>
        <c:lblAlgn val="ctr"/>
        <c:lblOffset val="100"/>
        <c:noMultiLvlLbl val="0"/>
      </c:catAx>
      <c:valAx>
        <c:axId val="1666622400"/>
        <c:scaling>
          <c:orientation val="minMax"/>
          <c:max val="4"/>
          <c:min val="-4"/>
        </c:scaling>
        <c:delete val="0"/>
        <c:axPos val="l"/>
        <c:numFmt formatCode="0.0"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Frutiger 45 Light" panose="020B0603020202020204" pitchFamily="34" charset="0"/>
                <a:ea typeface="+mn-ea"/>
                <a:cs typeface="+mn-cs"/>
              </a:defRPr>
            </a:pPr>
            <a:endParaRPr lang="en-US"/>
          </a:p>
        </c:txPr>
        <c:crossAx val="1666620480"/>
        <c:crosses val="autoZero"/>
        <c:crossBetween val="between"/>
      </c:valAx>
      <c:spPr>
        <a:noFill/>
        <a:ln>
          <a:noFill/>
        </a:ln>
        <a:effectLst/>
      </c:spPr>
    </c:plotArea>
    <c:legend>
      <c:legendPos val="b"/>
      <c:layout>
        <c:manualLayout>
          <c:xMode val="edge"/>
          <c:yMode val="edge"/>
          <c:x val="0.14522176482268465"/>
          <c:y val="1.7180752670151161E-2"/>
          <c:w val="0.27282662191028834"/>
          <c:h val="0.23487932436051853"/>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Frutiger 45 Light" panose="020B0603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Frutiger 45 Light" panose="020B0603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2045060791525363E-2"/>
          <c:y val="4.1584662245712063E-2"/>
          <c:w val="0.93517830013607872"/>
          <c:h val="0.88334920994597865"/>
        </c:manualLayout>
      </c:layout>
      <c:barChart>
        <c:barDir val="col"/>
        <c:grouping val="stacked"/>
        <c:varyColors val="0"/>
        <c:ser>
          <c:idx val="1"/>
          <c:order val="1"/>
          <c:tx>
            <c:strRef>
              <c:f>'Current account'!$C$24</c:f>
              <c:strCache>
                <c:ptCount val="1"/>
                <c:pt idx="0">
                  <c:v>Merchandise</c:v>
                </c:pt>
              </c:strCache>
            </c:strRef>
          </c:tx>
          <c:spPr>
            <a:solidFill>
              <a:srgbClr val="5A5D5C"/>
            </a:solidFill>
            <a:ln>
              <a:noFill/>
            </a:ln>
            <a:effectLst/>
          </c:spPr>
          <c:invertIfNegative val="0"/>
          <c:val>
            <c:numRef>
              <c:f>'Current account'!$BI$45:$BV$45</c:f>
              <c:numCache>
                <c:formatCode>0.0</c:formatCode>
                <c:ptCount val="14"/>
                <c:pt idx="0">
                  <c:v>1.9676355096646603</c:v>
                </c:pt>
                <c:pt idx="1">
                  <c:v>1.438614783783617</c:v>
                </c:pt>
                <c:pt idx="2">
                  <c:v>0.61375396019620554</c:v>
                </c:pt>
                <c:pt idx="3">
                  <c:v>0.27392520400219134</c:v>
                </c:pt>
                <c:pt idx="4">
                  <c:v>-0.41965085900613652</c:v>
                </c:pt>
                <c:pt idx="5">
                  <c:v>0.41791824474337214</c:v>
                </c:pt>
                <c:pt idx="6">
                  <c:v>1.9289302034408387</c:v>
                </c:pt>
                <c:pt idx="7">
                  <c:v>2.9908320331715772</c:v>
                </c:pt>
                <c:pt idx="8">
                  <c:v>3.5324724469041198</c:v>
                </c:pt>
                <c:pt idx="9">
                  <c:v>2.8627858505104418</c:v>
                </c:pt>
                <c:pt idx="10">
                  <c:v>2.1316967467852761</c:v>
                </c:pt>
                <c:pt idx="11">
                  <c:v>2.001570363886779</c:v>
                </c:pt>
                <c:pt idx="12">
                  <c:v>2.2341728512869152</c:v>
                </c:pt>
                <c:pt idx="13">
                  <c:v>2.8589314310671137</c:v>
                </c:pt>
              </c:numCache>
            </c:numRef>
          </c:val>
          <c:extLst>
            <c:ext xmlns:c16="http://schemas.microsoft.com/office/drawing/2014/chart" uri="{C3380CC4-5D6E-409C-BE32-E72D297353CC}">
              <c16:uniqueId val="{00000000-ED80-4369-A3D9-12ED1E667453}"/>
            </c:ext>
          </c:extLst>
        </c:ser>
        <c:ser>
          <c:idx val="2"/>
          <c:order val="2"/>
          <c:tx>
            <c:strRef>
              <c:f>'Current account'!$C$25</c:f>
              <c:strCache>
                <c:ptCount val="1"/>
                <c:pt idx="0">
                  <c:v>Services</c:v>
                </c:pt>
              </c:strCache>
            </c:strRef>
          </c:tx>
          <c:spPr>
            <a:solidFill>
              <a:srgbClr val="BD000C"/>
            </a:solidFill>
            <a:ln>
              <a:noFill/>
            </a:ln>
            <a:effectLst/>
          </c:spPr>
          <c:invertIfNegative val="0"/>
          <c:val>
            <c:numRef>
              <c:f>'Current account'!$BI$46:$BV$46</c:f>
              <c:numCache>
                <c:formatCode>0.0</c:formatCode>
                <c:ptCount val="14"/>
                <c:pt idx="0">
                  <c:v>-1.0735870643455001</c:v>
                </c:pt>
                <c:pt idx="1">
                  <c:v>-1.1096166778749159</c:v>
                </c:pt>
                <c:pt idx="2">
                  <c:v>-1.0640542623331823</c:v>
                </c:pt>
                <c:pt idx="3">
                  <c:v>-1.0029759962606553</c:v>
                </c:pt>
                <c:pt idx="4">
                  <c:v>-0.9701573158169422</c:v>
                </c:pt>
                <c:pt idx="5">
                  <c:v>-0.86434539413958833</c:v>
                </c:pt>
                <c:pt idx="6">
                  <c:v>-0.80453605087732749</c:v>
                </c:pt>
                <c:pt idx="7">
                  <c:v>-0.78610404432834535</c:v>
                </c:pt>
                <c:pt idx="8">
                  <c:v>-0.77858190246440562</c:v>
                </c:pt>
                <c:pt idx="9">
                  <c:v>-1.2000850244740588</c:v>
                </c:pt>
                <c:pt idx="10">
                  <c:v>-1.3556011746927836</c:v>
                </c:pt>
                <c:pt idx="11">
                  <c:v>-1.5221660152087884</c:v>
                </c:pt>
                <c:pt idx="12">
                  <c:v>-1.6876667374588701</c:v>
                </c:pt>
                <c:pt idx="13">
                  <c:v>-1.6115882952394818</c:v>
                </c:pt>
              </c:numCache>
            </c:numRef>
          </c:val>
          <c:extLst>
            <c:ext xmlns:c16="http://schemas.microsoft.com/office/drawing/2014/chart" uri="{C3380CC4-5D6E-409C-BE32-E72D297353CC}">
              <c16:uniqueId val="{00000001-ED80-4369-A3D9-12ED1E667453}"/>
            </c:ext>
          </c:extLst>
        </c:ser>
        <c:ser>
          <c:idx val="3"/>
          <c:order val="3"/>
          <c:tx>
            <c:strRef>
              <c:f>'Current account'!$C$26</c:f>
              <c:strCache>
                <c:ptCount val="1"/>
                <c:pt idx="0">
                  <c:v>Income</c:v>
                </c:pt>
              </c:strCache>
            </c:strRef>
          </c:tx>
          <c:spPr>
            <a:solidFill>
              <a:srgbClr val="8A000A"/>
            </a:solidFill>
            <a:ln>
              <a:noFill/>
            </a:ln>
            <a:effectLst/>
          </c:spPr>
          <c:invertIfNegative val="1"/>
          <c:val>
            <c:numRef>
              <c:f>'Current account'!$BI$47:$BV$47</c:f>
              <c:numCache>
                <c:formatCode>0.0</c:formatCode>
                <c:ptCount val="14"/>
                <c:pt idx="0">
                  <c:v>-1.8345265599893512</c:v>
                </c:pt>
                <c:pt idx="1">
                  <c:v>-1.9627289721932586</c:v>
                </c:pt>
                <c:pt idx="2">
                  <c:v>-2.073522036427689</c:v>
                </c:pt>
                <c:pt idx="3">
                  <c:v>-2.2094609667966223</c:v>
                </c:pt>
                <c:pt idx="4">
                  <c:v>-2.3283166948919147</c:v>
                </c:pt>
                <c:pt idx="5">
                  <c:v>-2.5041648483612953</c:v>
                </c:pt>
                <c:pt idx="6">
                  <c:v>-2.4851768104506546</c:v>
                </c:pt>
                <c:pt idx="7">
                  <c:v>-2.3995493133360064</c:v>
                </c:pt>
                <c:pt idx="8">
                  <c:v>-2.1790202292543714</c:v>
                </c:pt>
                <c:pt idx="9">
                  <c:v>-1.8743763395783024</c:v>
                </c:pt>
                <c:pt idx="10">
                  <c:v>-1.844011062640778</c:v>
                </c:pt>
                <c:pt idx="11">
                  <c:v>-1.9605235118370825</c:v>
                </c:pt>
                <c:pt idx="12">
                  <c:v>-2.0479796583936767</c:v>
                </c:pt>
                <c:pt idx="13">
                  <c:v>-2.2910176153734167</c:v>
                </c:pt>
              </c:numCache>
            </c:numRef>
          </c:val>
          <c:extLst>
            <c:ext xmlns:c14="http://schemas.microsoft.com/office/drawing/2007/8/2/chart" uri="{6F2FDCE9-48DA-4B69-8628-5D25D57E5C99}">
              <c14:invertSolidFillFmt>
                <c14:spPr xmlns:c14="http://schemas.microsoft.com/office/drawing/2007/8/2/chart">
                  <a:solidFill>
                    <a:srgbClr val="AFABAB"/>
                  </a:solidFill>
                  <a:ln>
                    <a:noFill/>
                  </a:ln>
                  <a:effectLst/>
                </c14:spPr>
              </c14:invertSolidFillFmt>
            </c:ext>
            <c:ext xmlns:c16="http://schemas.microsoft.com/office/drawing/2014/chart" uri="{C3380CC4-5D6E-409C-BE32-E72D297353CC}">
              <c16:uniqueId val="{00000002-ED80-4369-A3D9-12ED1E667453}"/>
            </c:ext>
          </c:extLst>
        </c:ser>
        <c:ser>
          <c:idx val="4"/>
          <c:order val="4"/>
          <c:tx>
            <c:strRef>
              <c:f>'Current account'!$C$27</c:f>
              <c:strCache>
                <c:ptCount val="1"/>
                <c:pt idx="0">
                  <c:v>Transfers</c:v>
                </c:pt>
              </c:strCache>
            </c:strRef>
          </c:tx>
          <c:spPr>
            <a:solidFill>
              <a:srgbClr val="B98E2C"/>
            </a:solidFill>
            <a:ln>
              <a:noFill/>
            </a:ln>
            <a:effectLst/>
          </c:spPr>
          <c:invertIfNegative val="0"/>
          <c:val>
            <c:numRef>
              <c:f>'Current account'!$BI$48:$BV$48</c:f>
              <c:numCache>
                <c:formatCode>0.0</c:formatCode>
                <c:ptCount val="14"/>
                <c:pt idx="0">
                  <c:v>0.31233064263099347</c:v>
                </c:pt>
                <c:pt idx="1">
                  <c:v>0.30786695705286793</c:v>
                </c:pt>
                <c:pt idx="2">
                  <c:v>0.31222859659209057</c:v>
                </c:pt>
                <c:pt idx="3">
                  <c:v>0.31930117962360699</c:v>
                </c:pt>
                <c:pt idx="4">
                  <c:v>0.31648795748106023</c:v>
                </c:pt>
                <c:pt idx="5">
                  <c:v>0.33493981276498153</c:v>
                </c:pt>
                <c:pt idx="6">
                  <c:v>0.36615764341853652</c:v>
                </c:pt>
                <c:pt idx="7">
                  <c:v>0.34499609545595494</c:v>
                </c:pt>
                <c:pt idx="8">
                  <c:v>0.35397253362344894</c:v>
                </c:pt>
                <c:pt idx="9">
                  <c:v>0.31131356907943292</c:v>
                </c:pt>
                <c:pt idx="10">
                  <c:v>0.31519972628517662</c:v>
                </c:pt>
                <c:pt idx="11">
                  <c:v>0.33609791748009515</c:v>
                </c:pt>
                <c:pt idx="12">
                  <c:v>0.36831340969193754</c:v>
                </c:pt>
                <c:pt idx="13">
                  <c:v>0.42014849323045567</c:v>
                </c:pt>
              </c:numCache>
            </c:numRef>
          </c:val>
          <c:extLst>
            <c:ext xmlns:c16="http://schemas.microsoft.com/office/drawing/2014/chart" uri="{C3380CC4-5D6E-409C-BE32-E72D297353CC}">
              <c16:uniqueId val="{00000003-ED80-4369-A3D9-12ED1E667453}"/>
            </c:ext>
          </c:extLst>
        </c:ser>
        <c:dLbls>
          <c:showLegendKey val="0"/>
          <c:showVal val="0"/>
          <c:showCatName val="0"/>
          <c:showSerName val="0"/>
          <c:showPercent val="0"/>
          <c:showBubbleSize val="0"/>
        </c:dLbls>
        <c:gapWidth val="50"/>
        <c:overlap val="100"/>
        <c:axId val="1666620480"/>
        <c:axId val="1666622400"/>
      </c:barChart>
      <c:lineChart>
        <c:grouping val="standard"/>
        <c:varyColors val="0"/>
        <c:ser>
          <c:idx val="0"/>
          <c:order val="0"/>
          <c:tx>
            <c:strRef>
              <c:f>'Current account'!$C$23</c:f>
              <c:strCache>
                <c:ptCount val="1"/>
                <c:pt idx="0">
                  <c:v>CAB</c:v>
                </c:pt>
              </c:strCache>
            </c:strRef>
          </c:tx>
          <c:spPr>
            <a:ln w="28575" cap="rnd" cmpd="sng" algn="ctr">
              <a:solidFill>
                <a:srgbClr val="8E8D83"/>
              </a:solidFill>
              <a:prstDash val="solid"/>
              <a:round/>
              <a:headEnd type="none" w="med" len="med"/>
              <a:tailEnd type="none" w="med" len="med"/>
            </a:ln>
            <a:effectLst/>
          </c:spPr>
          <c:marker>
            <c:symbol val="square"/>
            <c:size val="5"/>
            <c:spPr>
              <a:solidFill>
                <a:sysClr val="windowText" lastClr="000000"/>
              </a:solidFill>
              <a:ln w="28575" cap="rnd" cmpd="sng" algn="ctr">
                <a:solidFill>
                  <a:srgbClr val="8E8D83"/>
                </a:solidFill>
                <a:prstDash val="solid"/>
                <a:round/>
                <a:headEnd type="none" w="med" len="med"/>
                <a:tailEnd type="none" w="med" len="med"/>
              </a:ln>
              <a:effectLst/>
            </c:spPr>
          </c:marker>
          <c:cat>
            <c:strRef>
              <c:f>'Current account'!$BI$1:$BV$1</c:f>
              <c:strCache>
                <c:ptCount val="14"/>
                <c:pt idx="0">
                  <c:v>4Q 2022</c:v>
                </c:pt>
                <c:pt idx="1">
                  <c:v>1Q 2023</c:v>
                </c:pt>
                <c:pt idx="2">
                  <c:v>2Q 2023</c:v>
                </c:pt>
                <c:pt idx="3">
                  <c:v>3Q 2023</c:v>
                </c:pt>
                <c:pt idx="4">
                  <c:v>4Q 2023</c:v>
                </c:pt>
                <c:pt idx="5">
                  <c:v>1Q 2024</c:v>
                </c:pt>
                <c:pt idx="6">
                  <c:v>2Q 2024</c:v>
                </c:pt>
                <c:pt idx="7">
                  <c:v>3Q 2024</c:v>
                </c:pt>
                <c:pt idx="8">
                  <c:v>4Q 2024</c:v>
                </c:pt>
                <c:pt idx="9">
                  <c:v>1Q 2025</c:v>
                </c:pt>
                <c:pt idx="10">
                  <c:v>2Q 2025</c:v>
                </c:pt>
                <c:pt idx="11">
                  <c:v>3Q 2025</c:v>
                </c:pt>
                <c:pt idx="12">
                  <c:v>4Q 2025</c:v>
                </c:pt>
                <c:pt idx="13">
                  <c:v>1Q 2026</c:v>
                </c:pt>
              </c:strCache>
            </c:strRef>
          </c:cat>
          <c:val>
            <c:numRef>
              <c:f>'Current account'!$BI$44:$BV$44</c:f>
              <c:numCache>
                <c:formatCode>0.0</c:formatCode>
                <c:ptCount val="14"/>
                <c:pt idx="0">
                  <c:v>-0.62830593507452515</c:v>
                </c:pt>
                <c:pt idx="1">
                  <c:v>-1.3258639092316897</c:v>
                </c:pt>
                <c:pt idx="2">
                  <c:v>-2.2114408386441751</c:v>
                </c:pt>
                <c:pt idx="3">
                  <c:v>-2.6190588203156886</c:v>
                </c:pt>
                <c:pt idx="4">
                  <c:v>-3.4013325968902017</c:v>
                </c:pt>
                <c:pt idx="5">
                  <c:v>-2.6154929173687713</c:v>
                </c:pt>
                <c:pt idx="6">
                  <c:v>-0.99429896135781559</c:v>
                </c:pt>
                <c:pt idx="7">
                  <c:v>0.15049947317066834</c:v>
                </c:pt>
                <c:pt idx="8">
                  <c:v>0.92884284880879164</c:v>
                </c:pt>
                <c:pt idx="9">
                  <c:v>9.9638055537514106E-2</c:v>
                </c:pt>
                <c:pt idx="10">
                  <c:v>-0.75271576426310838</c:v>
                </c:pt>
                <c:pt idx="11">
                  <c:v>-1.1448782252885794</c:v>
                </c:pt>
                <c:pt idx="12">
                  <c:v>-1.1328692080097986</c:v>
                </c:pt>
                <c:pt idx="13">
                  <c:v>-0.62323482311835776</c:v>
                </c:pt>
              </c:numCache>
            </c:numRef>
          </c:val>
          <c:smooth val="0"/>
          <c:extLst>
            <c:ext xmlns:c16="http://schemas.microsoft.com/office/drawing/2014/chart" uri="{C3380CC4-5D6E-409C-BE32-E72D297353CC}">
              <c16:uniqueId val="{00000004-ED80-4369-A3D9-12ED1E667453}"/>
            </c:ext>
          </c:extLst>
        </c:ser>
        <c:dLbls>
          <c:showLegendKey val="0"/>
          <c:showVal val="0"/>
          <c:showCatName val="0"/>
          <c:showSerName val="0"/>
          <c:showPercent val="0"/>
          <c:showBubbleSize val="0"/>
        </c:dLbls>
        <c:marker val="1"/>
        <c:smooth val="0"/>
        <c:axId val="1666620480"/>
        <c:axId val="1666622400"/>
      </c:lineChart>
      <c:catAx>
        <c:axId val="1666620480"/>
        <c:scaling>
          <c:orientation val="minMax"/>
        </c:scaling>
        <c:delete val="0"/>
        <c:axPos val="b"/>
        <c:majorTickMark val="none"/>
        <c:minorTickMark val="none"/>
        <c:tickLblPos val="low"/>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Frutiger 45 Light" panose="020B0603020202020204" pitchFamily="34" charset="0"/>
                <a:ea typeface="+mn-ea"/>
                <a:cs typeface="+mn-cs"/>
              </a:defRPr>
            </a:pPr>
            <a:endParaRPr lang="en-US"/>
          </a:p>
        </c:txPr>
        <c:crossAx val="1666622400"/>
        <c:crosses val="autoZero"/>
        <c:auto val="1"/>
        <c:lblAlgn val="ctr"/>
        <c:lblOffset val="100"/>
        <c:noMultiLvlLbl val="0"/>
      </c:catAx>
      <c:valAx>
        <c:axId val="1666622400"/>
        <c:scaling>
          <c:orientation val="minMax"/>
          <c:max val="4"/>
          <c:min val="-4"/>
        </c:scaling>
        <c:delete val="0"/>
        <c:axPos val="l"/>
        <c:numFmt formatCode="0.0"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Frutiger 45 Light" panose="020B0603020202020204" pitchFamily="34" charset="0"/>
                <a:ea typeface="+mn-ea"/>
                <a:cs typeface="+mn-cs"/>
              </a:defRPr>
            </a:pPr>
            <a:endParaRPr lang="en-US"/>
          </a:p>
        </c:txPr>
        <c:crossAx val="1666620480"/>
        <c:crosses val="autoZero"/>
        <c:crossBetween val="between"/>
      </c:valAx>
      <c:spPr>
        <a:noFill/>
        <a:ln>
          <a:noFill/>
        </a:ln>
        <a:effectLst/>
      </c:spPr>
    </c:plotArea>
    <c:legend>
      <c:legendPos val="b"/>
      <c:layout>
        <c:manualLayout>
          <c:xMode val="edge"/>
          <c:yMode val="edge"/>
          <c:x val="0.14522176482268465"/>
          <c:y val="1.7180752670151161E-2"/>
          <c:w val="0.27282662191028834"/>
          <c:h val="0.23487932436051853"/>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Frutiger 45 Light" panose="020B0603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Frutiger 45 Light" panose="020B0603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9662060274277998E-2"/>
          <c:y val="2.5818764227847523E-2"/>
          <c:w val="0.9781874986453305"/>
          <c:h val="0.97418123577215243"/>
        </c:manualLayout>
      </c:layout>
      <c:areaChart>
        <c:grouping val="stacked"/>
        <c:varyColors val="0"/>
        <c:ser>
          <c:idx val="0"/>
          <c:order val="0"/>
          <c:tx>
            <c:strRef>
              <c:f>'Net reserves'!$A$12</c:f>
              <c:strCache>
                <c:ptCount val="1"/>
                <c:pt idx="0">
                  <c:v>Net reserves</c:v>
                </c:pt>
              </c:strCache>
            </c:strRef>
          </c:tx>
          <c:spPr>
            <a:solidFill>
              <a:srgbClr val="AE8626"/>
            </a:solidFill>
            <a:ln w="12700">
              <a:noFill/>
              <a:prstDash val="solid"/>
            </a:ln>
            <a:effectLst/>
          </c:spPr>
          <c:cat>
            <c:numRef>
              <c:f>'Net reserves'!$H$10:$FQ$10</c:f>
              <c:numCache>
                <c:formatCode>mmm\-yy</c:formatCode>
                <c:ptCount val="166"/>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pt idx="14">
                  <c:v>41334</c:v>
                </c:pt>
                <c:pt idx="15">
                  <c:v>41365</c:v>
                </c:pt>
                <c:pt idx="16">
                  <c:v>41395</c:v>
                </c:pt>
                <c:pt idx="17">
                  <c:v>41426</c:v>
                </c:pt>
                <c:pt idx="18">
                  <c:v>41456</c:v>
                </c:pt>
                <c:pt idx="19">
                  <c:v>41487</c:v>
                </c:pt>
                <c:pt idx="20">
                  <c:v>41518</c:v>
                </c:pt>
                <c:pt idx="21">
                  <c:v>41548</c:v>
                </c:pt>
                <c:pt idx="22">
                  <c:v>41579</c:v>
                </c:pt>
                <c:pt idx="23">
                  <c:v>41609</c:v>
                </c:pt>
                <c:pt idx="24">
                  <c:v>41640</c:v>
                </c:pt>
                <c:pt idx="25">
                  <c:v>41671</c:v>
                </c:pt>
                <c:pt idx="26">
                  <c:v>41699</c:v>
                </c:pt>
                <c:pt idx="27">
                  <c:v>41730</c:v>
                </c:pt>
                <c:pt idx="28">
                  <c:v>41760</c:v>
                </c:pt>
                <c:pt idx="29">
                  <c:v>41791</c:v>
                </c:pt>
                <c:pt idx="30">
                  <c:v>41821</c:v>
                </c:pt>
                <c:pt idx="31">
                  <c:v>41852</c:v>
                </c:pt>
                <c:pt idx="32">
                  <c:v>41883</c:v>
                </c:pt>
                <c:pt idx="33">
                  <c:v>41913</c:v>
                </c:pt>
                <c:pt idx="34">
                  <c:v>41944</c:v>
                </c:pt>
                <c:pt idx="35">
                  <c:v>41974</c:v>
                </c:pt>
                <c:pt idx="36">
                  <c:v>42005</c:v>
                </c:pt>
                <c:pt idx="37">
                  <c:v>42036</c:v>
                </c:pt>
                <c:pt idx="38">
                  <c:v>42064</c:v>
                </c:pt>
                <c:pt idx="39">
                  <c:v>42095</c:v>
                </c:pt>
                <c:pt idx="40">
                  <c:v>42125</c:v>
                </c:pt>
                <c:pt idx="41">
                  <c:v>42156</c:v>
                </c:pt>
                <c:pt idx="42">
                  <c:v>42186</c:v>
                </c:pt>
                <c:pt idx="43">
                  <c:v>42217</c:v>
                </c:pt>
                <c:pt idx="44">
                  <c:v>42248</c:v>
                </c:pt>
                <c:pt idx="45">
                  <c:v>42278</c:v>
                </c:pt>
                <c:pt idx="46">
                  <c:v>42309</c:v>
                </c:pt>
                <c:pt idx="47">
                  <c:v>42339</c:v>
                </c:pt>
                <c:pt idx="48">
                  <c:v>42370</c:v>
                </c:pt>
                <c:pt idx="49">
                  <c:v>42401</c:v>
                </c:pt>
                <c:pt idx="50">
                  <c:v>42430</c:v>
                </c:pt>
                <c:pt idx="51">
                  <c:v>42461</c:v>
                </c:pt>
                <c:pt idx="52">
                  <c:v>42491</c:v>
                </c:pt>
                <c:pt idx="53">
                  <c:v>42522</c:v>
                </c:pt>
                <c:pt idx="54">
                  <c:v>42552</c:v>
                </c:pt>
                <c:pt idx="55">
                  <c:v>42583</c:v>
                </c:pt>
                <c:pt idx="56">
                  <c:v>42614</c:v>
                </c:pt>
                <c:pt idx="57">
                  <c:v>42644</c:v>
                </c:pt>
                <c:pt idx="58">
                  <c:v>42675</c:v>
                </c:pt>
                <c:pt idx="59">
                  <c:v>42705</c:v>
                </c:pt>
                <c:pt idx="60">
                  <c:v>42736</c:v>
                </c:pt>
                <c:pt idx="61">
                  <c:v>42767</c:v>
                </c:pt>
                <c:pt idx="62">
                  <c:v>42795</c:v>
                </c:pt>
                <c:pt idx="63">
                  <c:v>42826</c:v>
                </c:pt>
                <c:pt idx="64">
                  <c:v>42856</c:v>
                </c:pt>
                <c:pt idx="65">
                  <c:v>42887</c:v>
                </c:pt>
                <c:pt idx="66">
                  <c:v>42917</c:v>
                </c:pt>
                <c:pt idx="67">
                  <c:v>42948</c:v>
                </c:pt>
                <c:pt idx="68">
                  <c:v>42979</c:v>
                </c:pt>
                <c:pt idx="69">
                  <c:v>43009</c:v>
                </c:pt>
                <c:pt idx="70">
                  <c:v>43040</c:v>
                </c:pt>
                <c:pt idx="71">
                  <c:v>43070</c:v>
                </c:pt>
                <c:pt idx="72">
                  <c:v>43101</c:v>
                </c:pt>
                <c:pt idx="73">
                  <c:v>43132</c:v>
                </c:pt>
                <c:pt idx="74">
                  <c:v>43160</c:v>
                </c:pt>
                <c:pt idx="75">
                  <c:v>43191</c:v>
                </c:pt>
                <c:pt idx="76">
                  <c:v>43221</c:v>
                </c:pt>
                <c:pt idx="77">
                  <c:v>43252</c:v>
                </c:pt>
                <c:pt idx="78">
                  <c:v>43282</c:v>
                </c:pt>
                <c:pt idx="79">
                  <c:v>43313</c:v>
                </c:pt>
                <c:pt idx="80">
                  <c:v>43344</c:v>
                </c:pt>
                <c:pt idx="81">
                  <c:v>43374</c:v>
                </c:pt>
                <c:pt idx="82">
                  <c:v>43405</c:v>
                </c:pt>
                <c:pt idx="83">
                  <c:v>43435</c:v>
                </c:pt>
                <c:pt idx="84">
                  <c:v>43466</c:v>
                </c:pt>
                <c:pt idx="85">
                  <c:v>43497</c:v>
                </c:pt>
                <c:pt idx="86">
                  <c:v>43525</c:v>
                </c:pt>
                <c:pt idx="87">
                  <c:v>43556</c:v>
                </c:pt>
                <c:pt idx="88">
                  <c:v>43586</c:v>
                </c:pt>
                <c:pt idx="89">
                  <c:v>43617</c:v>
                </c:pt>
                <c:pt idx="90">
                  <c:v>43647</c:v>
                </c:pt>
                <c:pt idx="91">
                  <c:v>43678</c:v>
                </c:pt>
                <c:pt idx="92">
                  <c:v>43709</c:v>
                </c:pt>
                <c:pt idx="93">
                  <c:v>43739</c:v>
                </c:pt>
                <c:pt idx="94">
                  <c:v>43770</c:v>
                </c:pt>
                <c:pt idx="95">
                  <c:v>43800</c:v>
                </c:pt>
                <c:pt idx="96">
                  <c:v>43831</c:v>
                </c:pt>
                <c:pt idx="97">
                  <c:v>43862</c:v>
                </c:pt>
                <c:pt idx="98">
                  <c:v>43891</c:v>
                </c:pt>
                <c:pt idx="99">
                  <c:v>43922</c:v>
                </c:pt>
                <c:pt idx="100">
                  <c:v>43952</c:v>
                </c:pt>
                <c:pt idx="101">
                  <c:v>43983</c:v>
                </c:pt>
                <c:pt idx="102">
                  <c:v>44013</c:v>
                </c:pt>
                <c:pt idx="103">
                  <c:v>44044</c:v>
                </c:pt>
                <c:pt idx="104">
                  <c:v>44075</c:v>
                </c:pt>
                <c:pt idx="105">
                  <c:v>44105</c:v>
                </c:pt>
                <c:pt idx="106">
                  <c:v>44136</c:v>
                </c:pt>
                <c:pt idx="107">
                  <c:v>44166</c:v>
                </c:pt>
                <c:pt idx="108">
                  <c:v>44197</c:v>
                </c:pt>
                <c:pt idx="109">
                  <c:v>44228</c:v>
                </c:pt>
                <c:pt idx="110">
                  <c:v>44256</c:v>
                </c:pt>
                <c:pt idx="111">
                  <c:v>44287</c:v>
                </c:pt>
                <c:pt idx="112">
                  <c:v>44317</c:v>
                </c:pt>
                <c:pt idx="113">
                  <c:v>44348</c:v>
                </c:pt>
                <c:pt idx="114">
                  <c:v>44378</c:v>
                </c:pt>
                <c:pt idx="115">
                  <c:v>44409</c:v>
                </c:pt>
                <c:pt idx="116">
                  <c:v>44440</c:v>
                </c:pt>
                <c:pt idx="117">
                  <c:v>44470</c:v>
                </c:pt>
                <c:pt idx="118">
                  <c:v>44501</c:v>
                </c:pt>
                <c:pt idx="119">
                  <c:v>44531</c:v>
                </c:pt>
                <c:pt idx="120">
                  <c:v>44562</c:v>
                </c:pt>
                <c:pt idx="121">
                  <c:v>44593</c:v>
                </c:pt>
                <c:pt idx="122">
                  <c:v>44621</c:v>
                </c:pt>
                <c:pt idx="123">
                  <c:v>44652</c:v>
                </c:pt>
                <c:pt idx="124">
                  <c:v>44682</c:v>
                </c:pt>
                <c:pt idx="125">
                  <c:v>44713</c:v>
                </c:pt>
                <c:pt idx="126">
                  <c:v>44743</c:v>
                </c:pt>
                <c:pt idx="127">
                  <c:v>44774</c:v>
                </c:pt>
                <c:pt idx="128">
                  <c:v>44805</c:v>
                </c:pt>
                <c:pt idx="129">
                  <c:v>44835</c:v>
                </c:pt>
                <c:pt idx="130">
                  <c:v>44866</c:v>
                </c:pt>
                <c:pt idx="131">
                  <c:v>44896</c:v>
                </c:pt>
                <c:pt idx="132">
                  <c:v>44927</c:v>
                </c:pt>
                <c:pt idx="133">
                  <c:v>44958</c:v>
                </c:pt>
                <c:pt idx="134">
                  <c:v>44986</c:v>
                </c:pt>
                <c:pt idx="135">
                  <c:v>45017</c:v>
                </c:pt>
                <c:pt idx="136">
                  <c:v>45047</c:v>
                </c:pt>
                <c:pt idx="137">
                  <c:v>45078</c:v>
                </c:pt>
                <c:pt idx="138">
                  <c:v>45108</c:v>
                </c:pt>
                <c:pt idx="139">
                  <c:v>45139</c:v>
                </c:pt>
                <c:pt idx="140">
                  <c:v>45170</c:v>
                </c:pt>
                <c:pt idx="141">
                  <c:v>45200</c:v>
                </c:pt>
                <c:pt idx="142">
                  <c:v>45231</c:v>
                </c:pt>
                <c:pt idx="143">
                  <c:v>45261</c:v>
                </c:pt>
                <c:pt idx="144">
                  <c:v>45292</c:v>
                </c:pt>
                <c:pt idx="145">
                  <c:v>45323</c:v>
                </c:pt>
                <c:pt idx="146">
                  <c:v>45352</c:v>
                </c:pt>
                <c:pt idx="147">
                  <c:v>45383</c:v>
                </c:pt>
                <c:pt idx="148">
                  <c:v>45413</c:v>
                </c:pt>
                <c:pt idx="149">
                  <c:v>45444</c:v>
                </c:pt>
                <c:pt idx="150">
                  <c:v>45474</c:v>
                </c:pt>
                <c:pt idx="151">
                  <c:v>45505</c:v>
                </c:pt>
                <c:pt idx="152">
                  <c:v>45536</c:v>
                </c:pt>
                <c:pt idx="153">
                  <c:v>45566</c:v>
                </c:pt>
                <c:pt idx="154">
                  <c:v>45597</c:v>
                </c:pt>
                <c:pt idx="155">
                  <c:v>45627</c:v>
                </c:pt>
                <c:pt idx="156">
                  <c:v>45658</c:v>
                </c:pt>
                <c:pt idx="157">
                  <c:v>45689</c:v>
                </c:pt>
                <c:pt idx="158">
                  <c:v>45717</c:v>
                </c:pt>
                <c:pt idx="159">
                  <c:v>45748</c:v>
                </c:pt>
                <c:pt idx="160">
                  <c:v>45778</c:v>
                </c:pt>
                <c:pt idx="161">
                  <c:v>45809</c:v>
                </c:pt>
                <c:pt idx="162">
                  <c:v>45839</c:v>
                </c:pt>
                <c:pt idx="163">
                  <c:v>45870</c:v>
                </c:pt>
                <c:pt idx="164">
                  <c:v>45901</c:v>
                </c:pt>
                <c:pt idx="165">
                  <c:v>45931</c:v>
                </c:pt>
              </c:numCache>
            </c:numRef>
          </c:cat>
          <c:val>
            <c:numRef>
              <c:f>'Net reserves'!$H$12:$FQ$12</c:f>
              <c:numCache>
                <c:formatCode>_(* #,##0.00_);_(* \(#,##0.00\);_(* "-"??_);_(@_)</c:formatCode>
                <c:ptCount val="166"/>
                <c:pt idx="0">
                  <c:v>38906.998575167941</c:v>
                </c:pt>
                <c:pt idx="1">
                  <c:v>39046.497944890929</c:v>
                </c:pt>
                <c:pt idx="2">
                  <c:v>39370.86746295022</c:v>
                </c:pt>
                <c:pt idx="3">
                  <c:v>40023.011065726634</c:v>
                </c:pt>
                <c:pt idx="4">
                  <c:v>39947.098896877105</c:v>
                </c:pt>
                <c:pt idx="5">
                  <c:v>40166.411977900549</c:v>
                </c:pt>
                <c:pt idx="6">
                  <c:v>40038.853928961747</c:v>
                </c:pt>
                <c:pt idx="7">
                  <c:v>37843.96859333045</c:v>
                </c:pt>
                <c:pt idx="8">
                  <c:v>37575.449846055162</c:v>
                </c:pt>
                <c:pt idx="9">
                  <c:v>36594.867022756</c:v>
                </c:pt>
                <c:pt idx="10">
                  <c:v>36248.632582213031</c:v>
                </c:pt>
                <c:pt idx="11">
                  <c:v>33858.245082482637</c:v>
                </c:pt>
                <c:pt idx="12">
                  <c:v>33639.652914400802</c:v>
                </c:pt>
                <c:pt idx="13">
                  <c:v>32864.759206923991</c:v>
                </c:pt>
                <c:pt idx="14">
                  <c:v>31986.636406115253</c:v>
                </c:pt>
                <c:pt idx="15">
                  <c:v>30532.050004830915</c:v>
                </c:pt>
                <c:pt idx="16">
                  <c:v>29536.084389057756</c:v>
                </c:pt>
                <c:pt idx="17">
                  <c:v>28081.651767441861</c:v>
                </c:pt>
                <c:pt idx="18">
                  <c:v>27734.514824065638</c:v>
                </c:pt>
                <c:pt idx="19">
                  <c:v>24505.176215852796</c:v>
                </c:pt>
                <c:pt idx="20">
                  <c:v>22120.37997835498</c:v>
                </c:pt>
                <c:pt idx="21">
                  <c:v>20310.946687712152</c:v>
                </c:pt>
                <c:pt idx="22">
                  <c:v>17956.071322169584</c:v>
                </c:pt>
                <c:pt idx="23">
                  <c:v>16190.752109521616</c:v>
                </c:pt>
                <c:pt idx="24">
                  <c:v>13056.723419518376</c:v>
                </c:pt>
                <c:pt idx="25">
                  <c:v>14938.487648261758</c:v>
                </c:pt>
                <c:pt idx="26">
                  <c:v>15098.470637826958</c:v>
                </c:pt>
                <c:pt idx="27">
                  <c:v>17333.652050301811</c:v>
                </c:pt>
                <c:pt idx="28">
                  <c:v>17659.578244084682</c:v>
                </c:pt>
                <c:pt idx="29">
                  <c:v>17787.687395892612</c:v>
                </c:pt>
                <c:pt idx="30">
                  <c:v>17924.781815177481</c:v>
                </c:pt>
                <c:pt idx="31">
                  <c:v>17585.437026104661</c:v>
                </c:pt>
                <c:pt idx="32">
                  <c:v>17098.613221957039</c:v>
                </c:pt>
                <c:pt idx="33">
                  <c:v>16180.354955595027</c:v>
                </c:pt>
                <c:pt idx="34">
                  <c:v>16161.911415094341</c:v>
                </c:pt>
                <c:pt idx="35">
                  <c:v>17017.012331374855</c:v>
                </c:pt>
                <c:pt idx="36">
                  <c:v>15920.056030250144</c:v>
                </c:pt>
                <c:pt idx="37">
                  <c:v>15072.470691244242</c:v>
                </c:pt>
                <c:pt idx="38">
                  <c:v>14356.583329532494</c:v>
                </c:pt>
                <c:pt idx="39">
                  <c:v>16140.270902934535</c:v>
                </c:pt>
                <c:pt idx="40">
                  <c:v>15140.36801621017</c:v>
                </c:pt>
                <c:pt idx="41">
                  <c:v>14772.109690265483</c:v>
                </c:pt>
                <c:pt idx="42">
                  <c:v>14442.367754510666</c:v>
                </c:pt>
                <c:pt idx="43">
                  <c:v>12398.463513513514</c:v>
                </c:pt>
                <c:pt idx="44">
                  <c:v>10893.057666666668</c:v>
                </c:pt>
                <c:pt idx="45">
                  <c:v>3198.6177091004738</c:v>
                </c:pt>
                <c:pt idx="46">
                  <c:v>1874.9284878175222</c:v>
                </c:pt>
                <c:pt idx="47">
                  <c:v>518.24403816793802</c:v>
                </c:pt>
                <c:pt idx="48">
                  <c:v>1723.1509753265591</c:v>
                </c:pt>
                <c:pt idx="49">
                  <c:v>1919.3192993630564</c:v>
                </c:pt>
                <c:pt idx="50">
                  <c:v>1200.7828767123306</c:v>
                </c:pt>
                <c:pt idx="51">
                  <c:v>6360.8643146853155</c:v>
                </c:pt>
                <c:pt idx="52">
                  <c:v>88.657142857141025</c:v>
                </c:pt>
                <c:pt idx="53">
                  <c:v>48.545999999999822</c:v>
                </c:pt>
                <c:pt idx="54">
                  <c:v>5545.9323333333332</c:v>
                </c:pt>
                <c:pt idx="55">
                  <c:v>5645.1750402684593</c:v>
                </c:pt>
                <c:pt idx="56">
                  <c:v>4649.5621437908485</c:v>
                </c:pt>
                <c:pt idx="57">
                  <c:v>5188.6139999999959</c:v>
                </c:pt>
                <c:pt idx="58">
                  <c:v>9074.6260062893125</c:v>
                </c:pt>
                <c:pt idx="59">
                  <c:v>10199.106805031448</c:v>
                </c:pt>
                <c:pt idx="60">
                  <c:v>11054.057591194971</c:v>
                </c:pt>
                <c:pt idx="61">
                  <c:v>14560.62093548387</c:v>
                </c:pt>
                <c:pt idx="62">
                  <c:v>12624.572285714283</c:v>
                </c:pt>
                <c:pt idx="63">
                  <c:v>15490.423000000001</c:v>
                </c:pt>
                <c:pt idx="64">
                  <c:v>16478.938161490685</c:v>
                </c:pt>
                <c:pt idx="65">
                  <c:v>20954.054927710848</c:v>
                </c:pt>
                <c:pt idx="66">
                  <c:v>17545.550484419258</c:v>
                </c:pt>
                <c:pt idx="67">
                  <c:v>18303.026826589594</c:v>
                </c:pt>
                <c:pt idx="68">
                  <c:v>21395.025456647403</c:v>
                </c:pt>
                <c:pt idx="69">
                  <c:v>24794.264855524081</c:v>
                </c:pt>
                <c:pt idx="70">
                  <c:v>26060.35870520231</c:v>
                </c:pt>
                <c:pt idx="71">
                  <c:v>27697.552172043004</c:v>
                </c:pt>
                <c:pt idx="72">
                  <c:v>30741.244020408165</c:v>
                </c:pt>
                <c:pt idx="73">
                  <c:v>34591.384417910456</c:v>
                </c:pt>
                <c:pt idx="74">
                  <c:v>34716.354640776706</c:v>
                </c:pt>
                <c:pt idx="75">
                  <c:v>29223.103240875909</c:v>
                </c:pt>
                <c:pt idx="76">
                  <c:v>24148.697218787638</c:v>
                </c:pt>
                <c:pt idx="77">
                  <c:v>33821.579694444445</c:v>
                </c:pt>
                <c:pt idx="78">
                  <c:v>30433.54378311499</c:v>
                </c:pt>
                <c:pt idx="79">
                  <c:v>25123.016623978201</c:v>
                </c:pt>
                <c:pt idx="80">
                  <c:v>22409.42284082625</c:v>
                </c:pt>
                <c:pt idx="81">
                  <c:v>27326.383736401673</c:v>
                </c:pt>
                <c:pt idx="82">
                  <c:v>24239.983424242422</c:v>
                </c:pt>
                <c:pt idx="83">
                  <c:v>29260.467085106386</c:v>
                </c:pt>
                <c:pt idx="84">
                  <c:v>29698.982302013421</c:v>
                </c:pt>
                <c:pt idx="85">
                  <c:v>31192.162089628677</c:v>
                </c:pt>
                <c:pt idx="86">
                  <c:v>27971.487231213872</c:v>
                </c:pt>
                <c:pt idx="87">
                  <c:v>32717.437191827466</c:v>
                </c:pt>
                <c:pt idx="88">
                  <c:v>25601.864110613526</c:v>
                </c:pt>
                <c:pt idx="89">
                  <c:v>26080.139647780928</c:v>
                </c:pt>
                <c:pt idx="90">
                  <c:v>29112.000566925533</c:v>
                </c:pt>
                <c:pt idx="91">
                  <c:v>20709.512752735231</c:v>
                </c:pt>
                <c:pt idx="92">
                  <c:v>17724.943015828838</c:v>
                </c:pt>
                <c:pt idx="93">
                  <c:v>12663.577102064799</c:v>
                </c:pt>
                <c:pt idx="94">
                  <c:v>13105.19044919786</c:v>
                </c:pt>
                <c:pt idx="95">
                  <c:v>13370.596780063557</c:v>
                </c:pt>
                <c:pt idx="96">
                  <c:v>11773.954726141079</c:v>
                </c:pt>
                <c:pt idx="97">
                  <c:v>10914.487234422801</c:v>
                </c:pt>
                <c:pt idx="98">
                  <c:v>10374.872488426285</c:v>
                </c:pt>
                <c:pt idx="99">
                  <c:v>9597.4023578064116</c:v>
                </c:pt>
                <c:pt idx="100">
                  <c:v>8083.1896370543545</c:v>
                </c:pt>
                <c:pt idx="101">
                  <c:v>9121.5612836839118</c:v>
                </c:pt>
                <c:pt idx="102">
                  <c:v>8453.3234148435331</c:v>
                </c:pt>
                <c:pt idx="103">
                  <c:v>6768.7705637149038</c:v>
                </c:pt>
                <c:pt idx="104">
                  <c:v>4712.6394111461595</c:v>
                </c:pt>
                <c:pt idx="105">
                  <c:v>3420.9222983891596</c:v>
                </c:pt>
                <c:pt idx="106">
                  <c:v>2412.8780077576657</c:v>
                </c:pt>
                <c:pt idx="107">
                  <c:v>3023.2615336109448</c:v>
                </c:pt>
                <c:pt idx="108">
                  <c:v>2402.9540510145603</c:v>
                </c:pt>
                <c:pt idx="109">
                  <c:v>2391.6270410164962</c:v>
                </c:pt>
                <c:pt idx="110">
                  <c:v>3370.6869575625692</c:v>
                </c:pt>
                <c:pt idx="111">
                  <c:v>4365.5023434624436</c:v>
                </c:pt>
                <c:pt idx="112">
                  <c:v>5811.304066363733</c:v>
                </c:pt>
                <c:pt idx="113">
                  <c:v>6331.136371888726</c:v>
                </c:pt>
                <c:pt idx="114">
                  <c:v>5880.4108686199424</c:v>
                </c:pt>
                <c:pt idx="115">
                  <c:v>9319.3738496517799</c:v>
                </c:pt>
                <c:pt idx="116">
                  <c:v>5618.8750519059204</c:v>
                </c:pt>
                <c:pt idx="117">
                  <c:v>5301.5250092350943</c:v>
                </c:pt>
                <c:pt idx="118">
                  <c:v>4366.583978782468</c:v>
                </c:pt>
                <c:pt idx="119">
                  <c:v>2105.9048739037198</c:v>
                </c:pt>
                <c:pt idx="120">
                  <c:v>-216.33949294700915</c:v>
                </c:pt>
                <c:pt idx="121">
                  <c:v>-1260.222220307408</c:v>
                </c:pt>
                <c:pt idx="122">
                  <c:v>5439.7140736633282</c:v>
                </c:pt>
                <c:pt idx="123">
                  <c:v>4496.4023824320784</c:v>
                </c:pt>
                <c:pt idx="124">
                  <c:v>4554.7966061615316</c:v>
                </c:pt>
                <c:pt idx="125">
                  <c:v>6506.8330095900237</c:v>
                </c:pt>
                <c:pt idx="126">
                  <c:v>2208.9700495540114</c:v>
                </c:pt>
                <c:pt idx="127">
                  <c:v>1157.1931739161773</c:v>
                </c:pt>
                <c:pt idx="128">
                  <c:v>3241.1755603858182</c:v>
                </c:pt>
                <c:pt idx="129">
                  <c:v>4640.382394553917</c:v>
                </c:pt>
                <c:pt idx="130">
                  <c:v>2903.3695348725914</c:v>
                </c:pt>
                <c:pt idx="131">
                  <c:v>8263.1674674121768</c:v>
                </c:pt>
                <c:pt idx="132">
                  <c:v>3664.4496928838971</c:v>
                </c:pt>
                <c:pt idx="133">
                  <c:v>1569.238343060139</c:v>
                </c:pt>
                <c:pt idx="134">
                  <c:v>2260.9612811646944</c:v>
                </c:pt>
                <c:pt idx="135">
                  <c:v>-851.12050916936323</c:v>
                </c:pt>
                <c:pt idx="136">
                  <c:v>-2080.4003330547425</c:v>
                </c:pt>
                <c:pt idx="137">
                  <c:v>-6004.2538791422994</c:v>
                </c:pt>
                <c:pt idx="138">
                  <c:v>-9253.2675286311569</c:v>
                </c:pt>
                <c:pt idx="139">
                  <c:v>-5193.4252246065826</c:v>
                </c:pt>
                <c:pt idx="140">
                  <c:v>-6037.6053805980828</c:v>
                </c:pt>
                <c:pt idx="141">
                  <c:v>-9968.3402460658072</c:v>
                </c:pt>
                <c:pt idx="142">
                  <c:v>-11573.153722222221</c:v>
                </c:pt>
                <c:pt idx="143">
                  <c:v>-10458.519459198216</c:v>
                </c:pt>
                <c:pt idx="144">
                  <c:v>-6392.7489203539808</c:v>
                </c:pt>
                <c:pt idx="145">
                  <c:v>-6838.457993814678</c:v>
                </c:pt>
                <c:pt idx="146">
                  <c:v>-6194.3803899591348</c:v>
                </c:pt>
                <c:pt idx="147">
                  <c:v>-5440.8976571428584</c:v>
                </c:pt>
                <c:pt idx="148">
                  <c:v>-4172.3784563758391</c:v>
                </c:pt>
                <c:pt idx="149">
                  <c:v>-3839.3036562328416</c:v>
                </c:pt>
                <c:pt idx="150">
                  <c:v>-7959.7091628156904</c:v>
                </c:pt>
                <c:pt idx="151">
                  <c:v>-8037.7708361344557</c:v>
                </c:pt>
                <c:pt idx="152">
                  <c:v>-9253.5249184726508</c:v>
                </c:pt>
                <c:pt idx="153">
                  <c:v>-9687.3949934376597</c:v>
                </c:pt>
                <c:pt idx="154">
                  <c:v>-8626.9543366336638</c:v>
                </c:pt>
                <c:pt idx="155">
                  <c:v>-7689.382901018922</c:v>
                </c:pt>
                <c:pt idx="156">
                  <c:v>-10201.130159695815</c:v>
                </c:pt>
                <c:pt idx="157">
                  <c:v>-9969.4380557253698</c:v>
                </c:pt>
                <c:pt idx="158">
                  <c:v>-12691.473023310024</c:v>
                </c:pt>
                <c:pt idx="159">
                  <c:v>-1440.0768168168161</c:v>
                </c:pt>
                <c:pt idx="160">
                  <c:v>-1873.905052809464</c:v>
                </c:pt>
                <c:pt idx="161">
                  <c:v>1554.2583969179523</c:v>
                </c:pt>
                <c:pt idx="162">
                  <c:v>-391.95792332968449</c:v>
                </c:pt>
                <c:pt idx="163">
                  <c:v>399.23861682243205</c:v>
                </c:pt>
                <c:pt idx="164">
                  <c:v>-528.23029661941109</c:v>
                </c:pt>
                <c:pt idx="165">
                  <c:v>-6714.4721926414413</c:v>
                </c:pt>
              </c:numCache>
            </c:numRef>
          </c:val>
          <c:extLst>
            <c:ext xmlns:c16="http://schemas.microsoft.com/office/drawing/2014/chart" uri="{C3380CC4-5D6E-409C-BE32-E72D297353CC}">
              <c16:uniqueId val="{00000000-1A02-4710-AE71-137F3C1B788F}"/>
            </c:ext>
          </c:extLst>
        </c:ser>
        <c:ser>
          <c:idx val="1"/>
          <c:order val="1"/>
          <c:tx>
            <c:strRef>
              <c:f>'Net reserves'!$A$13</c:f>
              <c:strCache>
                <c:ptCount val="1"/>
                <c:pt idx="0">
                  <c:v>Repos</c:v>
                </c:pt>
              </c:strCache>
            </c:strRef>
          </c:tx>
          <c:spPr>
            <a:solidFill>
              <a:srgbClr val="00769E"/>
            </a:solidFill>
            <a:ln w="12700">
              <a:noFill/>
              <a:prstDash val="solid"/>
            </a:ln>
            <a:effectLst/>
          </c:spPr>
          <c:cat>
            <c:numRef>
              <c:f>'Net reserves'!$H$10:$FQ$10</c:f>
              <c:numCache>
                <c:formatCode>mmm\-yy</c:formatCode>
                <c:ptCount val="166"/>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pt idx="14">
                  <c:v>41334</c:v>
                </c:pt>
                <c:pt idx="15">
                  <c:v>41365</c:v>
                </c:pt>
                <c:pt idx="16">
                  <c:v>41395</c:v>
                </c:pt>
                <c:pt idx="17">
                  <c:v>41426</c:v>
                </c:pt>
                <c:pt idx="18">
                  <c:v>41456</c:v>
                </c:pt>
                <c:pt idx="19">
                  <c:v>41487</c:v>
                </c:pt>
                <c:pt idx="20">
                  <c:v>41518</c:v>
                </c:pt>
                <c:pt idx="21">
                  <c:v>41548</c:v>
                </c:pt>
                <c:pt idx="22">
                  <c:v>41579</c:v>
                </c:pt>
                <c:pt idx="23">
                  <c:v>41609</c:v>
                </c:pt>
                <c:pt idx="24">
                  <c:v>41640</c:v>
                </c:pt>
                <c:pt idx="25">
                  <c:v>41671</c:v>
                </c:pt>
                <c:pt idx="26">
                  <c:v>41699</c:v>
                </c:pt>
                <c:pt idx="27">
                  <c:v>41730</c:v>
                </c:pt>
                <c:pt idx="28">
                  <c:v>41760</c:v>
                </c:pt>
                <c:pt idx="29">
                  <c:v>41791</c:v>
                </c:pt>
                <c:pt idx="30">
                  <c:v>41821</c:v>
                </c:pt>
                <c:pt idx="31">
                  <c:v>41852</c:v>
                </c:pt>
                <c:pt idx="32">
                  <c:v>41883</c:v>
                </c:pt>
                <c:pt idx="33">
                  <c:v>41913</c:v>
                </c:pt>
                <c:pt idx="34">
                  <c:v>41944</c:v>
                </c:pt>
                <c:pt idx="35">
                  <c:v>41974</c:v>
                </c:pt>
                <c:pt idx="36">
                  <c:v>42005</c:v>
                </c:pt>
                <c:pt idx="37">
                  <c:v>42036</c:v>
                </c:pt>
                <c:pt idx="38">
                  <c:v>42064</c:v>
                </c:pt>
                <c:pt idx="39">
                  <c:v>42095</c:v>
                </c:pt>
                <c:pt idx="40">
                  <c:v>42125</c:v>
                </c:pt>
                <c:pt idx="41">
                  <c:v>42156</c:v>
                </c:pt>
                <c:pt idx="42">
                  <c:v>42186</c:v>
                </c:pt>
                <c:pt idx="43">
                  <c:v>42217</c:v>
                </c:pt>
                <c:pt idx="44">
                  <c:v>42248</c:v>
                </c:pt>
                <c:pt idx="45">
                  <c:v>42278</c:v>
                </c:pt>
                <c:pt idx="46">
                  <c:v>42309</c:v>
                </c:pt>
                <c:pt idx="47">
                  <c:v>42339</c:v>
                </c:pt>
                <c:pt idx="48">
                  <c:v>42370</c:v>
                </c:pt>
                <c:pt idx="49">
                  <c:v>42401</c:v>
                </c:pt>
                <c:pt idx="50">
                  <c:v>42430</c:v>
                </c:pt>
                <c:pt idx="51">
                  <c:v>42461</c:v>
                </c:pt>
                <c:pt idx="52">
                  <c:v>42491</c:v>
                </c:pt>
                <c:pt idx="53">
                  <c:v>42522</c:v>
                </c:pt>
                <c:pt idx="54">
                  <c:v>42552</c:v>
                </c:pt>
                <c:pt idx="55">
                  <c:v>42583</c:v>
                </c:pt>
                <c:pt idx="56">
                  <c:v>42614</c:v>
                </c:pt>
                <c:pt idx="57">
                  <c:v>42644</c:v>
                </c:pt>
                <c:pt idx="58">
                  <c:v>42675</c:v>
                </c:pt>
                <c:pt idx="59">
                  <c:v>42705</c:v>
                </c:pt>
                <c:pt idx="60">
                  <c:v>42736</c:v>
                </c:pt>
                <c:pt idx="61">
                  <c:v>42767</c:v>
                </c:pt>
                <c:pt idx="62">
                  <c:v>42795</c:v>
                </c:pt>
                <c:pt idx="63">
                  <c:v>42826</c:v>
                </c:pt>
                <c:pt idx="64">
                  <c:v>42856</c:v>
                </c:pt>
                <c:pt idx="65">
                  <c:v>42887</c:v>
                </c:pt>
                <c:pt idx="66">
                  <c:v>42917</c:v>
                </c:pt>
                <c:pt idx="67">
                  <c:v>42948</c:v>
                </c:pt>
                <c:pt idx="68">
                  <c:v>42979</c:v>
                </c:pt>
                <c:pt idx="69">
                  <c:v>43009</c:v>
                </c:pt>
                <c:pt idx="70">
                  <c:v>43040</c:v>
                </c:pt>
                <c:pt idx="71">
                  <c:v>43070</c:v>
                </c:pt>
                <c:pt idx="72">
                  <c:v>43101</c:v>
                </c:pt>
                <c:pt idx="73">
                  <c:v>43132</c:v>
                </c:pt>
                <c:pt idx="74">
                  <c:v>43160</c:v>
                </c:pt>
                <c:pt idx="75">
                  <c:v>43191</c:v>
                </c:pt>
                <c:pt idx="76">
                  <c:v>43221</c:v>
                </c:pt>
                <c:pt idx="77">
                  <c:v>43252</c:v>
                </c:pt>
                <c:pt idx="78">
                  <c:v>43282</c:v>
                </c:pt>
                <c:pt idx="79">
                  <c:v>43313</c:v>
                </c:pt>
                <c:pt idx="80">
                  <c:v>43344</c:v>
                </c:pt>
                <c:pt idx="81">
                  <c:v>43374</c:v>
                </c:pt>
                <c:pt idx="82">
                  <c:v>43405</c:v>
                </c:pt>
                <c:pt idx="83">
                  <c:v>43435</c:v>
                </c:pt>
                <c:pt idx="84">
                  <c:v>43466</c:v>
                </c:pt>
                <c:pt idx="85">
                  <c:v>43497</c:v>
                </c:pt>
                <c:pt idx="86">
                  <c:v>43525</c:v>
                </c:pt>
                <c:pt idx="87">
                  <c:v>43556</c:v>
                </c:pt>
                <c:pt idx="88">
                  <c:v>43586</c:v>
                </c:pt>
                <c:pt idx="89">
                  <c:v>43617</c:v>
                </c:pt>
                <c:pt idx="90">
                  <c:v>43647</c:v>
                </c:pt>
                <c:pt idx="91">
                  <c:v>43678</c:v>
                </c:pt>
                <c:pt idx="92">
                  <c:v>43709</c:v>
                </c:pt>
                <c:pt idx="93">
                  <c:v>43739</c:v>
                </c:pt>
                <c:pt idx="94">
                  <c:v>43770</c:v>
                </c:pt>
                <c:pt idx="95">
                  <c:v>43800</c:v>
                </c:pt>
                <c:pt idx="96">
                  <c:v>43831</c:v>
                </c:pt>
                <c:pt idx="97">
                  <c:v>43862</c:v>
                </c:pt>
                <c:pt idx="98">
                  <c:v>43891</c:v>
                </c:pt>
                <c:pt idx="99">
                  <c:v>43922</c:v>
                </c:pt>
                <c:pt idx="100">
                  <c:v>43952</c:v>
                </c:pt>
                <c:pt idx="101">
                  <c:v>43983</c:v>
                </c:pt>
                <c:pt idx="102">
                  <c:v>44013</c:v>
                </c:pt>
                <c:pt idx="103">
                  <c:v>44044</c:v>
                </c:pt>
                <c:pt idx="104">
                  <c:v>44075</c:v>
                </c:pt>
                <c:pt idx="105">
                  <c:v>44105</c:v>
                </c:pt>
                <c:pt idx="106">
                  <c:v>44136</c:v>
                </c:pt>
                <c:pt idx="107">
                  <c:v>44166</c:v>
                </c:pt>
                <c:pt idx="108">
                  <c:v>44197</c:v>
                </c:pt>
                <c:pt idx="109">
                  <c:v>44228</c:v>
                </c:pt>
                <c:pt idx="110">
                  <c:v>44256</c:v>
                </c:pt>
                <c:pt idx="111">
                  <c:v>44287</c:v>
                </c:pt>
                <c:pt idx="112">
                  <c:v>44317</c:v>
                </c:pt>
                <c:pt idx="113">
                  <c:v>44348</c:v>
                </c:pt>
                <c:pt idx="114">
                  <c:v>44378</c:v>
                </c:pt>
                <c:pt idx="115">
                  <c:v>44409</c:v>
                </c:pt>
                <c:pt idx="116">
                  <c:v>44440</c:v>
                </c:pt>
                <c:pt idx="117">
                  <c:v>44470</c:v>
                </c:pt>
                <c:pt idx="118">
                  <c:v>44501</c:v>
                </c:pt>
                <c:pt idx="119">
                  <c:v>44531</c:v>
                </c:pt>
                <c:pt idx="120">
                  <c:v>44562</c:v>
                </c:pt>
                <c:pt idx="121">
                  <c:v>44593</c:v>
                </c:pt>
                <c:pt idx="122">
                  <c:v>44621</c:v>
                </c:pt>
                <c:pt idx="123">
                  <c:v>44652</c:v>
                </c:pt>
                <c:pt idx="124">
                  <c:v>44682</c:v>
                </c:pt>
                <c:pt idx="125">
                  <c:v>44713</c:v>
                </c:pt>
                <c:pt idx="126">
                  <c:v>44743</c:v>
                </c:pt>
                <c:pt idx="127">
                  <c:v>44774</c:v>
                </c:pt>
                <c:pt idx="128">
                  <c:v>44805</c:v>
                </c:pt>
                <c:pt idx="129">
                  <c:v>44835</c:v>
                </c:pt>
                <c:pt idx="130">
                  <c:v>44866</c:v>
                </c:pt>
                <c:pt idx="131">
                  <c:v>44896</c:v>
                </c:pt>
                <c:pt idx="132">
                  <c:v>44927</c:v>
                </c:pt>
                <c:pt idx="133">
                  <c:v>44958</c:v>
                </c:pt>
                <c:pt idx="134">
                  <c:v>44986</c:v>
                </c:pt>
                <c:pt idx="135">
                  <c:v>45017</c:v>
                </c:pt>
                <c:pt idx="136">
                  <c:v>45047</c:v>
                </c:pt>
                <c:pt idx="137">
                  <c:v>45078</c:v>
                </c:pt>
                <c:pt idx="138">
                  <c:v>45108</c:v>
                </c:pt>
                <c:pt idx="139">
                  <c:v>45139</c:v>
                </c:pt>
                <c:pt idx="140">
                  <c:v>45170</c:v>
                </c:pt>
                <c:pt idx="141">
                  <c:v>45200</c:v>
                </c:pt>
                <c:pt idx="142">
                  <c:v>45231</c:v>
                </c:pt>
                <c:pt idx="143">
                  <c:v>45261</c:v>
                </c:pt>
                <c:pt idx="144">
                  <c:v>45292</c:v>
                </c:pt>
                <c:pt idx="145">
                  <c:v>45323</c:v>
                </c:pt>
                <c:pt idx="146">
                  <c:v>45352</c:v>
                </c:pt>
                <c:pt idx="147">
                  <c:v>45383</c:v>
                </c:pt>
                <c:pt idx="148">
                  <c:v>45413</c:v>
                </c:pt>
                <c:pt idx="149">
                  <c:v>45444</c:v>
                </c:pt>
                <c:pt idx="150">
                  <c:v>45474</c:v>
                </c:pt>
                <c:pt idx="151">
                  <c:v>45505</c:v>
                </c:pt>
                <c:pt idx="152">
                  <c:v>45536</c:v>
                </c:pt>
                <c:pt idx="153">
                  <c:v>45566</c:v>
                </c:pt>
                <c:pt idx="154">
                  <c:v>45597</c:v>
                </c:pt>
                <c:pt idx="155">
                  <c:v>45627</c:v>
                </c:pt>
                <c:pt idx="156">
                  <c:v>45658</c:v>
                </c:pt>
                <c:pt idx="157">
                  <c:v>45689</c:v>
                </c:pt>
                <c:pt idx="158">
                  <c:v>45717</c:v>
                </c:pt>
                <c:pt idx="159">
                  <c:v>45748</c:v>
                </c:pt>
                <c:pt idx="160">
                  <c:v>45778</c:v>
                </c:pt>
                <c:pt idx="161">
                  <c:v>45809</c:v>
                </c:pt>
                <c:pt idx="162">
                  <c:v>45839</c:v>
                </c:pt>
                <c:pt idx="163">
                  <c:v>45870</c:v>
                </c:pt>
                <c:pt idx="164">
                  <c:v>45901</c:v>
                </c:pt>
                <c:pt idx="165">
                  <c:v>45931</c:v>
                </c:pt>
              </c:numCache>
            </c:numRef>
          </c:cat>
          <c:val>
            <c:numRef>
              <c:f>'Net reserves'!$H$13:$FQ$13</c:f>
              <c:numCache>
                <c:formatCode>0.000</c:formatCode>
                <c:ptCount val="166"/>
                <c:pt idx="0" formatCode="_(* #,##0.00_);_(* \(#,##0.00\);_(* &quot;-&quot;??_);_(@_)">
                  <c:v>946.60299999999995</c:v>
                </c:pt>
                <c:pt idx="1">
                  <c:v>966.99</c:v>
                </c:pt>
                <c:pt idx="2">
                  <c:v>881.43100000000004</c:v>
                </c:pt>
                <c:pt idx="3">
                  <c:v>860.15200000000004</c:v>
                </c:pt>
                <c:pt idx="4">
                  <c:v>911.31</c:v>
                </c:pt>
                <c:pt idx="5">
                  <c:v>946.47199999999998</c:v>
                </c:pt>
                <c:pt idx="6">
                  <c:v>957.15700000000004</c:v>
                </c:pt>
                <c:pt idx="7">
                  <c:v>951.10199999999998</c:v>
                </c:pt>
                <c:pt idx="8">
                  <c:v>755.91</c:v>
                </c:pt>
                <c:pt idx="9">
                  <c:v>931.53499999999997</c:v>
                </c:pt>
                <c:pt idx="10">
                  <c:v>915.779</c:v>
                </c:pt>
                <c:pt idx="11">
                  <c:v>931.85699999999997</c:v>
                </c:pt>
                <c:pt idx="12">
                  <c:v>789.19200000000001</c:v>
                </c:pt>
                <c:pt idx="13">
                  <c:v>1044.201</c:v>
                </c:pt>
                <c:pt idx="14">
                  <c:v>860.12800000000004</c:v>
                </c:pt>
                <c:pt idx="15">
                  <c:v>1012.607</c:v>
                </c:pt>
                <c:pt idx="16">
                  <c:v>1037.4839999999999</c:v>
                </c:pt>
                <c:pt idx="17">
                  <c:v>960.81799999999998</c:v>
                </c:pt>
                <c:pt idx="18">
                  <c:v>983.05399999999997</c:v>
                </c:pt>
                <c:pt idx="19">
                  <c:v>997.76800000000003</c:v>
                </c:pt>
                <c:pt idx="20">
                  <c:v>1001.026</c:v>
                </c:pt>
                <c:pt idx="21">
                  <c:v>997.55</c:v>
                </c:pt>
                <c:pt idx="22">
                  <c:v>946.98500000000001</c:v>
                </c:pt>
                <c:pt idx="23">
                  <c:v>1046.0640000000001</c:v>
                </c:pt>
                <c:pt idx="24">
                  <c:v>977.45399999999995</c:v>
                </c:pt>
                <c:pt idx="25">
                  <c:v>1016.703</c:v>
                </c:pt>
                <c:pt idx="26">
                  <c:v>1015.023</c:v>
                </c:pt>
                <c:pt idx="27">
                  <c:v>995.93600000000004</c:v>
                </c:pt>
                <c:pt idx="28">
                  <c:v>1010.849</c:v>
                </c:pt>
                <c:pt idx="29">
                  <c:v>1066.2719999999999</c:v>
                </c:pt>
                <c:pt idx="30">
                  <c:v>1074.087</c:v>
                </c:pt>
                <c:pt idx="31">
                  <c:v>947.58500000000004</c:v>
                </c:pt>
                <c:pt idx="32">
                  <c:v>966.4</c:v>
                </c:pt>
                <c:pt idx="33">
                  <c:v>1806.8</c:v>
                </c:pt>
                <c:pt idx="34">
                  <c:v>2534.77</c:v>
                </c:pt>
                <c:pt idx="35">
                  <c:v>3539.6210000000001</c:v>
                </c:pt>
                <c:pt idx="36">
                  <c:v>4384.6859999999997</c:v>
                </c:pt>
                <c:pt idx="37">
                  <c:v>4605.12</c:v>
                </c:pt>
                <c:pt idx="38">
                  <c:v>6323.88</c:v>
                </c:pt>
                <c:pt idx="39">
                  <c:v>7387.5870000000004</c:v>
                </c:pt>
                <c:pt idx="40">
                  <c:v>8032.65</c:v>
                </c:pt>
                <c:pt idx="41">
                  <c:v>9029.152</c:v>
                </c:pt>
                <c:pt idx="42">
                  <c:v>9051.3989999999994</c:v>
                </c:pt>
                <c:pt idx="43">
                  <c:v>11073.554</c:v>
                </c:pt>
                <c:pt idx="44">
                  <c:v>12119.123</c:v>
                </c:pt>
                <c:pt idx="45">
                  <c:v>12167.887000000001</c:v>
                </c:pt>
                <c:pt idx="46">
                  <c:v>12024.418</c:v>
                </c:pt>
                <c:pt idx="47">
                  <c:v>11855.968000000001</c:v>
                </c:pt>
                <c:pt idx="48">
                  <c:v>16647.13</c:v>
                </c:pt>
                <c:pt idx="49">
                  <c:v>16749.713</c:v>
                </c:pt>
                <c:pt idx="50">
                  <c:v>16923.009999999998</c:v>
                </c:pt>
                <c:pt idx="51">
                  <c:v>16793.02</c:v>
                </c:pt>
                <c:pt idx="52">
                  <c:v>16627.52</c:v>
                </c:pt>
                <c:pt idx="53">
                  <c:v>16627.708999999999</c:v>
                </c:pt>
                <c:pt idx="54">
                  <c:v>12587.683000000001</c:v>
                </c:pt>
                <c:pt idx="55">
                  <c:v>12515.293</c:v>
                </c:pt>
                <c:pt idx="56">
                  <c:v>12609.707</c:v>
                </c:pt>
                <c:pt idx="57">
                  <c:v>12448.271000000001</c:v>
                </c:pt>
                <c:pt idx="58">
                  <c:v>12381.31</c:v>
                </c:pt>
                <c:pt idx="59">
                  <c:v>11356.553</c:v>
                </c:pt>
                <c:pt idx="60">
                  <c:v>11446.907999999999</c:v>
                </c:pt>
                <c:pt idx="61">
                  <c:v>11468.630999999999</c:v>
                </c:pt>
                <c:pt idx="62">
                  <c:v>11449.512000000001</c:v>
                </c:pt>
                <c:pt idx="63">
                  <c:v>11431.428</c:v>
                </c:pt>
                <c:pt idx="64">
                  <c:v>11542.815000000001</c:v>
                </c:pt>
                <c:pt idx="65">
                  <c:v>11598.343000000001</c:v>
                </c:pt>
                <c:pt idx="66">
                  <c:v>11685.476000000001</c:v>
                </c:pt>
                <c:pt idx="67">
                  <c:v>11888.378000000001</c:v>
                </c:pt>
                <c:pt idx="68">
                  <c:v>11824.723</c:v>
                </c:pt>
                <c:pt idx="69">
                  <c:v>11825.583000000001</c:v>
                </c:pt>
                <c:pt idx="70">
                  <c:v>11865.606</c:v>
                </c:pt>
                <c:pt idx="71">
                  <c:v>12032.361000000001</c:v>
                </c:pt>
                <c:pt idx="72">
                  <c:v>12402.424000000001</c:v>
                </c:pt>
                <c:pt idx="73">
                  <c:v>12170.543</c:v>
                </c:pt>
                <c:pt idx="74">
                  <c:v>12228.329</c:v>
                </c:pt>
                <c:pt idx="75">
                  <c:v>12167.77</c:v>
                </c:pt>
                <c:pt idx="76">
                  <c:v>12007.273999999999</c:v>
                </c:pt>
                <c:pt idx="77">
                  <c:v>11661.584999999999</c:v>
                </c:pt>
                <c:pt idx="78">
                  <c:v>11352.554</c:v>
                </c:pt>
                <c:pt idx="79">
                  <c:v>11325.163</c:v>
                </c:pt>
                <c:pt idx="80">
                  <c:v>11268.816000000001</c:v>
                </c:pt>
                <c:pt idx="81">
                  <c:v>11111.709000000001</c:v>
                </c:pt>
                <c:pt idx="82">
                  <c:v>11161.65</c:v>
                </c:pt>
                <c:pt idx="83">
                  <c:v>19978.878000000001</c:v>
                </c:pt>
                <c:pt idx="84">
                  <c:v>20481.652999999998</c:v>
                </c:pt>
                <c:pt idx="85">
                  <c:v>20499.167000000001</c:v>
                </c:pt>
                <c:pt idx="86">
                  <c:v>20446.78</c:v>
                </c:pt>
                <c:pt idx="87">
                  <c:v>20381.349999999999</c:v>
                </c:pt>
                <c:pt idx="88">
                  <c:v>19909.363000000001</c:v>
                </c:pt>
                <c:pt idx="89">
                  <c:v>20017.776000000002</c:v>
                </c:pt>
                <c:pt idx="90">
                  <c:v>19971.689999999999</c:v>
                </c:pt>
                <c:pt idx="91">
                  <c:v>19256.612000000001</c:v>
                </c:pt>
                <c:pt idx="92">
                  <c:v>19279.75</c:v>
                </c:pt>
                <c:pt idx="93">
                  <c:v>19566.439999999999</c:v>
                </c:pt>
                <c:pt idx="94">
                  <c:v>19590.718000000001</c:v>
                </c:pt>
                <c:pt idx="95">
                  <c:v>19831.921999999999</c:v>
                </c:pt>
                <c:pt idx="96">
                  <c:v>20030.636999999999</c:v>
                </c:pt>
                <c:pt idx="97">
                  <c:v>20093.460999999999</c:v>
                </c:pt>
                <c:pt idx="98">
                  <c:v>19914.538</c:v>
                </c:pt>
                <c:pt idx="99">
                  <c:v>19745.506000000001</c:v>
                </c:pt>
                <c:pt idx="100">
                  <c:v>19828.904999999999</c:v>
                </c:pt>
                <c:pt idx="101">
                  <c:v>20057.482</c:v>
                </c:pt>
                <c:pt idx="102">
                  <c:v>20295.344000000001</c:v>
                </c:pt>
                <c:pt idx="103">
                  <c:v>20741.072</c:v>
                </c:pt>
                <c:pt idx="104">
                  <c:v>20902.346000000001</c:v>
                </c:pt>
                <c:pt idx="105">
                  <c:v>21187.188999999998</c:v>
                </c:pt>
                <c:pt idx="106">
                  <c:v>21519.96</c:v>
                </c:pt>
                <c:pt idx="107">
                  <c:v>21676.752</c:v>
                </c:pt>
                <c:pt idx="108">
                  <c:v>21983.675999999999</c:v>
                </c:pt>
                <c:pt idx="109">
                  <c:v>21842.288</c:v>
                </c:pt>
                <c:pt idx="110">
                  <c:v>21599.796999999999</c:v>
                </c:pt>
                <c:pt idx="111">
                  <c:v>21838.749</c:v>
                </c:pt>
                <c:pt idx="112">
                  <c:v>22168.657999999999</c:v>
                </c:pt>
                <c:pt idx="113">
                  <c:v>21894.092000000001</c:v>
                </c:pt>
                <c:pt idx="114">
                  <c:v>21880.973999999998</c:v>
                </c:pt>
                <c:pt idx="115">
                  <c:v>21883.883000000002</c:v>
                </c:pt>
                <c:pt idx="116">
                  <c:v>21934.264999999999</c:v>
                </c:pt>
                <c:pt idx="117">
                  <c:v>22056.955999999998</c:v>
                </c:pt>
                <c:pt idx="118">
                  <c:v>22187.703000000001</c:v>
                </c:pt>
                <c:pt idx="119">
                  <c:v>22214.169000000002</c:v>
                </c:pt>
                <c:pt idx="120">
                  <c:v>22197.311000000002</c:v>
                </c:pt>
                <c:pt idx="121">
                  <c:v>22337.167000000001</c:v>
                </c:pt>
                <c:pt idx="122">
                  <c:v>22263.093000000001</c:v>
                </c:pt>
                <c:pt idx="123">
                  <c:v>21429.756000000001</c:v>
                </c:pt>
                <c:pt idx="124">
                  <c:v>21244.647000000001</c:v>
                </c:pt>
                <c:pt idx="125">
                  <c:v>21162.987000000001</c:v>
                </c:pt>
                <c:pt idx="126">
                  <c:v>21036.291000000001</c:v>
                </c:pt>
                <c:pt idx="127">
                  <c:v>20630.434000000001</c:v>
                </c:pt>
                <c:pt idx="128">
                  <c:v>20035.154999999999</c:v>
                </c:pt>
                <c:pt idx="129">
                  <c:v>19562.865000000002</c:v>
                </c:pt>
                <c:pt idx="130">
                  <c:v>20098.579000000002</c:v>
                </c:pt>
                <c:pt idx="131">
                  <c:v>20624.513999999999</c:v>
                </c:pt>
                <c:pt idx="132">
                  <c:v>21036.054</c:v>
                </c:pt>
                <c:pt idx="133">
                  <c:v>20548.803</c:v>
                </c:pt>
                <c:pt idx="134">
                  <c:v>20743.813000000002</c:v>
                </c:pt>
                <c:pt idx="135">
                  <c:v>20657.850999999999</c:v>
                </c:pt>
                <c:pt idx="136">
                  <c:v>20161.339</c:v>
                </c:pt>
                <c:pt idx="137">
                  <c:v>19815.797999999999</c:v>
                </c:pt>
                <c:pt idx="138">
                  <c:v>20037.231</c:v>
                </c:pt>
                <c:pt idx="139">
                  <c:v>19776.272000000001</c:v>
                </c:pt>
                <c:pt idx="140">
                  <c:v>19709.003000000001</c:v>
                </c:pt>
                <c:pt idx="141">
                  <c:v>19694.37</c:v>
                </c:pt>
                <c:pt idx="142">
                  <c:v>20179.53</c:v>
                </c:pt>
                <c:pt idx="143">
                  <c:v>20301.095000000001</c:v>
                </c:pt>
                <c:pt idx="144">
                  <c:v>20156.565999999999</c:v>
                </c:pt>
                <c:pt idx="145">
                  <c:v>20136.964</c:v>
                </c:pt>
                <c:pt idx="146">
                  <c:v>20069.249</c:v>
                </c:pt>
                <c:pt idx="147">
                  <c:v>20062.733</c:v>
                </c:pt>
                <c:pt idx="148">
                  <c:v>20092.802</c:v>
                </c:pt>
                <c:pt idx="149">
                  <c:v>19910.633000000002</c:v>
                </c:pt>
                <c:pt idx="150">
                  <c:v>19945.144</c:v>
                </c:pt>
                <c:pt idx="151">
                  <c:v>20301.026000000002</c:v>
                </c:pt>
                <c:pt idx="152">
                  <c:v>20515.331999999999</c:v>
                </c:pt>
                <c:pt idx="153">
                  <c:v>20298.311000000002</c:v>
                </c:pt>
                <c:pt idx="154">
                  <c:v>19976.345000000001</c:v>
                </c:pt>
                <c:pt idx="155">
                  <c:v>19842.673999999999</c:v>
                </c:pt>
                <c:pt idx="156">
                  <c:v>20074.885999999999</c:v>
                </c:pt>
                <c:pt idx="157">
                  <c:v>20003.816999999999</c:v>
                </c:pt>
                <c:pt idx="158">
                  <c:v>20061.931</c:v>
                </c:pt>
                <c:pt idx="159">
                  <c:v>20032.173999999999</c:v>
                </c:pt>
                <c:pt idx="160">
                  <c:v>20213.882000000001</c:v>
                </c:pt>
                <c:pt idx="161">
                  <c:v>20439.297999999999</c:v>
                </c:pt>
                <c:pt idx="162">
                  <c:v>20366.042000000001</c:v>
                </c:pt>
                <c:pt idx="163">
                  <c:v>20549.654999999999</c:v>
                </c:pt>
                <c:pt idx="164">
                  <c:v>20575.036</c:v>
                </c:pt>
                <c:pt idx="165">
                  <c:v>24088.830999999998</c:v>
                </c:pt>
              </c:numCache>
            </c:numRef>
          </c:val>
          <c:extLst>
            <c:ext xmlns:c16="http://schemas.microsoft.com/office/drawing/2014/chart" uri="{C3380CC4-5D6E-409C-BE32-E72D297353CC}">
              <c16:uniqueId val="{00000001-1A02-4710-AE71-137F3C1B788F}"/>
            </c:ext>
          </c:extLst>
        </c:ser>
        <c:ser>
          <c:idx val="2"/>
          <c:order val="2"/>
          <c:tx>
            <c:strRef>
              <c:f>'Net reserves'!$A$14</c:f>
              <c:strCache>
                <c:ptCount val="1"/>
                <c:pt idx="0">
                  <c:v>Private USD deposits</c:v>
                </c:pt>
              </c:strCache>
            </c:strRef>
          </c:tx>
          <c:spPr>
            <a:solidFill>
              <a:srgbClr val="879420"/>
            </a:solidFill>
            <a:ln w="12700">
              <a:noFill/>
              <a:prstDash val="solid"/>
            </a:ln>
            <a:effectLst/>
          </c:spPr>
          <c:cat>
            <c:numRef>
              <c:f>'Net reserves'!$H$10:$FQ$10</c:f>
              <c:numCache>
                <c:formatCode>mmm\-yy</c:formatCode>
                <c:ptCount val="166"/>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pt idx="14">
                  <c:v>41334</c:v>
                </c:pt>
                <c:pt idx="15">
                  <c:v>41365</c:v>
                </c:pt>
                <c:pt idx="16">
                  <c:v>41395</c:v>
                </c:pt>
                <c:pt idx="17">
                  <c:v>41426</c:v>
                </c:pt>
                <c:pt idx="18">
                  <c:v>41456</c:v>
                </c:pt>
                <c:pt idx="19">
                  <c:v>41487</c:v>
                </c:pt>
                <c:pt idx="20">
                  <c:v>41518</c:v>
                </c:pt>
                <c:pt idx="21">
                  <c:v>41548</c:v>
                </c:pt>
                <c:pt idx="22">
                  <c:v>41579</c:v>
                </c:pt>
                <c:pt idx="23">
                  <c:v>41609</c:v>
                </c:pt>
                <c:pt idx="24">
                  <c:v>41640</c:v>
                </c:pt>
                <c:pt idx="25">
                  <c:v>41671</c:v>
                </c:pt>
                <c:pt idx="26">
                  <c:v>41699</c:v>
                </c:pt>
                <c:pt idx="27">
                  <c:v>41730</c:v>
                </c:pt>
                <c:pt idx="28">
                  <c:v>41760</c:v>
                </c:pt>
                <c:pt idx="29">
                  <c:v>41791</c:v>
                </c:pt>
                <c:pt idx="30">
                  <c:v>41821</c:v>
                </c:pt>
                <c:pt idx="31">
                  <c:v>41852</c:v>
                </c:pt>
                <c:pt idx="32">
                  <c:v>41883</c:v>
                </c:pt>
                <c:pt idx="33">
                  <c:v>41913</c:v>
                </c:pt>
                <c:pt idx="34">
                  <c:v>41944</c:v>
                </c:pt>
                <c:pt idx="35">
                  <c:v>41974</c:v>
                </c:pt>
                <c:pt idx="36">
                  <c:v>42005</c:v>
                </c:pt>
                <c:pt idx="37">
                  <c:v>42036</c:v>
                </c:pt>
                <c:pt idx="38">
                  <c:v>42064</c:v>
                </c:pt>
                <c:pt idx="39">
                  <c:v>42095</c:v>
                </c:pt>
                <c:pt idx="40">
                  <c:v>42125</c:v>
                </c:pt>
                <c:pt idx="41">
                  <c:v>42156</c:v>
                </c:pt>
                <c:pt idx="42">
                  <c:v>42186</c:v>
                </c:pt>
                <c:pt idx="43">
                  <c:v>42217</c:v>
                </c:pt>
                <c:pt idx="44">
                  <c:v>42248</c:v>
                </c:pt>
                <c:pt idx="45">
                  <c:v>42278</c:v>
                </c:pt>
                <c:pt idx="46">
                  <c:v>42309</c:v>
                </c:pt>
                <c:pt idx="47">
                  <c:v>42339</c:v>
                </c:pt>
                <c:pt idx="48">
                  <c:v>42370</c:v>
                </c:pt>
                <c:pt idx="49">
                  <c:v>42401</c:v>
                </c:pt>
                <c:pt idx="50">
                  <c:v>42430</c:v>
                </c:pt>
                <c:pt idx="51">
                  <c:v>42461</c:v>
                </c:pt>
                <c:pt idx="52">
                  <c:v>42491</c:v>
                </c:pt>
                <c:pt idx="53">
                  <c:v>42522</c:v>
                </c:pt>
                <c:pt idx="54">
                  <c:v>42552</c:v>
                </c:pt>
                <c:pt idx="55">
                  <c:v>42583</c:v>
                </c:pt>
                <c:pt idx="56">
                  <c:v>42614</c:v>
                </c:pt>
                <c:pt idx="57">
                  <c:v>42644</c:v>
                </c:pt>
                <c:pt idx="58">
                  <c:v>42675</c:v>
                </c:pt>
                <c:pt idx="59">
                  <c:v>42705</c:v>
                </c:pt>
                <c:pt idx="60">
                  <c:v>42736</c:v>
                </c:pt>
                <c:pt idx="61">
                  <c:v>42767</c:v>
                </c:pt>
                <c:pt idx="62">
                  <c:v>42795</c:v>
                </c:pt>
                <c:pt idx="63">
                  <c:v>42826</c:v>
                </c:pt>
                <c:pt idx="64">
                  <c:v>42856</c:v>
                </c:pt>
                <c:pt idx="65">
                  <c:v>42887</c:v>
                </c:pt>
                <c:pt idx="66">
                  <c:v>42917</c:v>
                </c:pt>
                <c:pt idx="67">
                  <c:v>42948</c:v>
                </c:pt>
                <c:pt idx="68">
                  <c:v>42979</c:v>
                </c:pt>
                <c:pt idx="69">
                  <c:v>43009</c:v>
                </c:pt>
                <c:pt idx="70">
                  <c:v>43040</c:v>
                </c:pt>
                <c:pt idx="71">
                  <c:v>43070</c:v>
                </c:pt>
                <c:pt idx="72">
                  <c:v>43101</c:v>
                </c:pt>
                <c:pt idx="73">
                  <c:v>43132</c:v>
                </c:pt>
                <c:pt idx="74">
                  <c:v>43160</c:v>
                </c:pt>
                <c:pt idx="75">
                  <c:v>43191</c:v>
                </c:pt>
                <c:pt idx="76">
                  <c:v>43221</c:v>
                </c:pt>
                <c:pt idx="77">
                  <c:v>43252</c:v>
                </c:pt>
                <c:pt idx="78">
                  <c:v>43282</c:v>
                </c:pt>
                <c:pt idx="79">
                  <c:v>43313</c:v>
                </c:pt>
                <c:pt idx="80">
                  <c:v>43344</c:v>
                </c:pt>
                <c:pt idx="81">
                  <c:v>43374</c:v>
                </c:pt>
                <c:pt idx="82">
                  <c:v>43405</c:v>
                </c:pt>
                <c:pt idx="83">
                  <c:v>43435</c:v>
                </c:pt>
                <c:pt idx="84">
                  <c:v>43466</c:v>
                </c:pt>
                <c:pt idx="85">
                  <c:v>43497</c:v>
                </c:pt>
                <c:pt idx="86">
                  <c:v>43525</c:v>
                </c:pt>
                <c:pt idx="87">
                  <c:v>43556</c:v>
                </c:pt>
                <c:pt idx="88">
                  <c:v>43586</c:v>
                </c:pt>
                <c:pt idx="89">
                  <c:v>43617</c:v>
                </c:pt>
                <c:pt idx="90">
                  <c:v>43647</c:v>
                </c:pt>
                <c:pt idx="91">
                  <c:v>43678</c:v>
                </c:pt>
                <c:pt idx="92">
                  <c:v>43709</c:v>
                </c:pt>
                <c:pt idx="93">
                  <c:v>43739</c:v>
                </c:pt>
                <c:pt idx="94">
                  <c:v>43770</c:v>
                </c:pt>
                <c:pt idx="95">
                  <c:v>43800</c:v>
                </c:pt>
                <c:pt idx="96">
                  <c:v>43831</c:v>
                </c:pt>
                <c:pt idx="97">
                  <c:v>43862</c:v>
                </c:pt>
                <c:pt idx="98">
                  <c:v>43891</c:v>
                </c:pt>
                <c:pt idx="99">
                  <c:v>43922</c:v>
                </c:pt>
                <c:pt idx="100">
                  <c:v>43952</c:v>
                </c:pt>
                <c:pt idx="101">
                  <c:v>43983</c:v>
                </c:pt>
                <c:pt idx="102">
                  <c:v>44013</c:v>
                </c:pt>
                <c:pt idx="103">
                  <c:v>44044</c:v>
                </c:pt>
                <c:pt idx="104">
                  <c:v>44075</c:v>
                </c:pt>
                <c:pt idx="105">
                  <c:v>44105</c:v>
                </c:pt>
                <c:pt idx="106">
                  <c:v>44136</c:v>
                </c:pt>
                <c:pt idx="107">
                  <c:v>44166</c:v>
                </c:pt>
                <c:pt idx="108">
                  <c:v>44197</c:v>
                </c:pt>
                <c:pt idx="109">
                  <c:v>44228</c:v>
                </c:pt>
                <c:pt idx="110">
                  <c:v>44256</c:v>
                </c:pt>
                <c:pt idx="111">
                  <c:v>44287</c:v>
                </c:pt>
                <c:pt idx="112">
                  <c:v>44317</c:v>
                </c:pt>
                <c:pt idx="113">
                  <c:v>44348</c:v>
                </c:pt>
                <c:pt idx="114">
                  <c:v>44378</c:v>
                </c:pt>
                <c:pt idx="115">
                  <c:v>44409</c:v>
                </c:pt>
                <c:pt idx="116">
                  <c:v>44440</c:v>
                </c:pt>
                <c:pt idx="117">
                  <c:v>44470</c:v>
                </c:pt>
                <c:pt idx="118">
                  <c:v>44501</c:v>
                </c:pt>
                <c:pt idx="119">
                  <c:v>44531</c:v>
                </c:pt>
                <c:pt idx="120">
                  <c:v>44562</c:v>
                </c:pt>
                <c:pt idx="121">
                  <c:v>44593</c:v>
                </c:pt>
                <c:pt idx="122">
                  <c:v>44621</c:v>
                </c:pt>
                <c:pt idx="123">
                  <c:v>44652</c:v>
                </c:pt>
                <c:pt idx="124">
                  <c:v>44682</c:v>
                </c:pt>
                <c:pt idx="125">
                  <c:v>44713</c:v>
                </c:pt>
                <c:pt idx="126">
                  <c:v>44743</c:v>
                </c:pt>
                <c:pt idx="127">
                  <c:v>44774</c:v>
                </c:pt>
                <c:pt idx="128">
                  <c:v>44805</c:v>
                </c:pt>
                <c:pt idx="129">
                  <c:v>44835</c:v>
                </c:pt>
                <c:pt idx="130">
                  <c:v>44866</c:v>
                </c:pt>
                <c:pt idx="131">
                  <c:v>44896</c:v>
                </c:pt>
                <c:pt idx="132">
                  <c:v>44927</c:v>
                </c:pt>
                <c:pt idx="133">
                  <c:v>44958</c:v>
                </c:pt>
                <c:pt idx="134">
                  <c:v>44986</c:v>
                </c:pt>
                <c:pt idx="135">
                  <c:v>45017</c:v>
                </c:pt>
                <c:pt idx="136">
                  <c:v>45047</c:v>
                </c:pt>
                <c:pt idx="137">
                  <c:v>45078</c:v>
                </c:pt>
                <c:pt idx="138">
                  <c:v>45108</c:v>
                </c:pt>
                <c:pt idx="139">
                  <c:v>45139</c:v>
                </c:pt>
                <c:pt idx="140">
                  <c:v>45170</c:v>
                </c:pt>
                <c:pt idx="141">
                  <c:v>45200</c:v>
                </c:pt>
                <c:pt idx="142">
                  <c:v>45231</c:v>
                </c:pt>
                <c:pt idx="143">
                  <c:v>45261</c:v>
                </c:pt>
                <c:pt idx="144">
                  <c:v>45292</c:v>
                </c:pt>
                <c:pt idx="145">
                  <c:v>45323</c:v>
                </c:pt>
                <c:pt idx="146">
                  <c:v>45352</c:v>
                </c:pt>
                <c:pt idx="147">
                  <c:v>45383</c:v>
                </c:pt>
                <c:pt idx="148">
                  <c:v>45413</c:v>
                </c:pt>
                <c:pt idx="149">
                  <c:v>45444</c:v>
                </c:pt>
                <c:pt idx="150">
                  <c:v>45474</c:v>
                </c:pt>
                <c:pt idx="151">
                  <c:v>45505</c:v>
                </c:pt>
                <c:pt idx="152">
                  <c:v>45536</c:v>
                </c:pt>
                <c:pt idx="153">
                  <c:v>45566</c:v>
                </c:pt>
                <c:pt idx="154">
                  <c:v>45597</c:v>
                </c:pt>
                <c:pt idx="155">
                  <c:v>45627</c:v>
                </c:pt>
                <c:pt idx="156">
                  <c:v>45658</c:v>
                </c:pt>
                <c:pt idx="157">
                  <c:v>45689</c:v>
                </c:pt>
                <c:pt idx="158">
                  <c:v>45717</c:v>
                </c:pt>
                <c:pt idx="159">
                  <c:v>45748</c:v>
                </c:pt>
                <c:pt idx="160">
                  <c:v>45778</c:v>
                </c:pt>
                <c:pt idx="161">
                  <c:v>45809</c:v>
                </c:pt>
                <c:pt idx="162">
                  <c:v>45839</c:v>
                </c:pt>
                <c:pt idx="163">
                  <c:v>45870</c:v>
                </c:pt>
                <c:pt idx="164">
                  <c:v>45901</c:v>
                </c:pt>
                <c:pt idx="165">
                  <c:v>45931</c:v>
                </c:pt>
              </c:numCache>
            </c:numRef>
          </c:cat>
          <c:val>
            <c:numRef>
              <c:f>'Net reserves'!$H$14:$FQ$14</c:f>
              <c:numCache>
                <c:formatCode>0.0</c:formatCode>
                <c:ptCount val="166"/>
                <c:pt idx="0">
                  <c:v>6740.3984248320585</c:v>
                </c:pt>
                <c:pt idx="1">
                  <c:v>6654.5120551090695</c:v>
                </c:pt>
                <c:pt idx="2">
                  <c:v>7038.701537049782</c:v>
                </c:pt>
                <c:pt idx="3">
                  <c:v>6960.8369342733677</c:v>
                </c:pt>
                <c:pt idx="4">
                  <c:v>6119.5911031228943</c:v>
                </c:pt>
                <c:pt idx="5">
                  <c:v>5235.116022099447</c:v>
                </c:pt>
                <c:pt idx="6">
                  <c:v>5821.9890710382506</c:v>
                </c:pt>
                <c:pt idx="7">
                  <c:v>6356.9294066695529</c:v>
                </c:pt>
                <c:pt idx="8">
                  <c:v>6678.640153944837</c:v>
                </c:pt>
                <c:pt idx="9">
                  <c:v>7747.5979772439941</c:v>
                </c:pt>
                <c:pt idx="10">
                  <c:v>8073.5884177869702</c:v>
                </c:pt>
                <c:pt idx="11">
                  <c:v>8499.8979175173554</c:v>
                </c:pt>
                <c:pt idx="12">
                  <c:v>8102.1550855991936</c:v>
                </c:pt>
                <c:pt idx="13">
                  <c:v>7700.0397930760055</c:v>
                </c:pt>
                <c:pt idx="14">
                  <c:v>7599.2355938847513</c:v>
                </c:pt>
                <c:pt idx="15">
                  <c:v>7987.3429951690823</c:v>
                </c:pt>
                <c:pt idx="16">
                  <c:v>7977.431610942248</c:v>
                </c:pt>
                <c:pt idx="17">
                  <c:v>7962.5302325581397</c:v>
                </c:pt>
                <c:pt idx="18">
                  <c:v>8331.4311759343655</c:v>
                </c:pt>
                <c:pt idx="19">
                  <c:v>8405.4847841472056</c:v>
                </c:pt>
                <c:pt idx="20">
                  <c:v>8981.6450216450212</c:v>
                </c:pt>
                <c:pt idx="21">
                  <c:v>9297.9803122878475</c:v>
                </c:pt>
                <c:pt idx="22">
                  <c:v>9414.131677830419</c:v>
                </c:pt>
                <c:pt idx="23">
                  <c:v>10972.711890478387</c:v>
                </c:pt>
                <c:pt idx="24">
                  <c:v>11252.078580481622</c:v>
                </c:pt>
                <c:pt idx="25">
                  <c:v>8967.1523517382411</c:v>
                </c:pt>
                <c:pt idx="26">
                  <c:v>8347.5603621730388</c:v>
                </c:pt>
                <c:pt idx="27">
                  <c:v>7320.8249496981889</c:v>
                </c:pt>
                <c:pt idx="28">
                  <c:v>7401.5317559153182</c:v>
                </c:pt>
                <c:pt idx="29">
                  <c:v>7790.399604107386</c:v>
                </c:pt>
                <c:pt idx="30">
                  <c:v>7461.897184822521</c:v>
                </c:pt>
                <c:pt idx="31">
                  <c:v>7534.9179738953408</c:v>
                </c:pt>
                <c:pt idx="32">
                  <c:v>7401.6467780429593</c:v>
                </c:pt>
                <c:pt idx="33">
                  <c:v>7799.3250444049736</c:v>
                </c:pt>
                <c:pt idx="34">
                  <c:v>7898.1485849056608</c:v>
                </c:pt>
                <c:pt idx="35">
                  <c:v>8495.5816686251455</c:v>
                </c:pt>
                <c:pt idx="36">
                  <c:v>8617.7079697498539</c:v>
                </c:pt>
                <c:pt idx="37">
                  <c:v>9385.4493087557603</c:v>
                </c:pt>
                <c:pt idx="38">
                  <c:v>8463.9566704675035</c:v>
                </c:pt>
                <c:pt idx="39">
                  <c:v>8032.7990970654637</c:v>
                </c:pt>
                <c:pt idx="40">
                  <c:v>7748.1609837898268</c:v>
                </c:pt>
                <c:pt idx="41">
                  <c:v>7723.8053097345137</c:v>
                </c:pt>
                <c:pt idx="42">
                  <c:v>8271.2192454893393</c:v>
                </c:pt>
                <c:pt idx="43">
                  <c:v>7884.8864864864863</c:v>
                </c:pt>
                <c:pt idx="44">
                  <c:v>8030.4213333333328</c:v>
                </c:pt>
                <c:pt idx="45">
                  <c:v>9340.1472908995256</c:v>
                </c:pt>
                <c:pt idx="46">
                  <c:v>9605.0285121824782</c:v>
                </c:pt>
                <c:pt idx="47">
                  <c:v>11081.854961832061</c:v>
                </c:pt>
                <c:pt idx="48">
                  <c:v>9488.44702467344</c:v>
                </c:pt>
                <c:pt idx="49">
                  <c:v>7285.7707006369437</c:v>
                </c:pt>
                <c:pt idx="50">
                  <c:v>9003.767123287671</c:v>
                </c:pt>
                <c:pt idx="51">
                  <c:v>8666.3146853146845</c:v>
                </c:pt>
                <c:pt idx="52">
                  <c:v>11041.792857142858</c:v>
                </c:pt>
                <c:pt idx="53">
                  <c:v>11213.480000000001</c:v>
                </c:pt>
                <c:pt idx="54">
                  <c:v>11695.826666666666</c:v>
                </c:pt>
                <c:pt idx="55">
                  <c:v>10395.093959731543</c:v>
                </c:pt>
                <c:pt idx="56">
                  <c:v>10034.97385620915</c:v>
                </c:pt>
                <c:pt idx="57">
                  <c:v>17250.125000000004</c:v>
                </c:pt>
                <c:pt idx="58">
                  <c:v>13780.238993710691</c:v>
                </c:pt>
                <c:pt idx="59">
                  <c:v>15650.591194968552</c:v>
                </c:pt>
                <c:pt idx="60">
                  <c:v>21985.465408805034</c:v>
                </c:pt>
                <c:pt idx="61">
                  <c:v>22287.258064516129</c:v>
                </c:pt>
                <c:pt idx="62">
                  <c:v>24245.785714285714</c:v>
                </c:pt>
                <c:pt idx="63">
                  <c:v>18781</c:v>
                </c:pt>
                <c:pt idx="64">
                  <c:v>15601.465838509315</c:v>
                </c:pt>
                <c:pt idx="65">
                  <c:v>13056.018072289155</c:v>
                </c:pt>
                <c:pt idx="66">
                  <c:v>15268.906515580738</c:v>
                </c:pt>
                <c:pt idx="67">
                  <c:v>16070.890173410406</c:v>
                </c:pt>
                <c:pt idx="68">
                  <c:v>14471.7225433526</c:v>
                </c:pt>
                <c:pt idx="69">
                  <c:v>12755.133144475922</c:v>
                </c:pt>
                <c:pt idx="70">
                  <c:v>14343.913294797689</c:v>
                </c:pt>
                <c:pt idx="71">
                  <c:v>13026.311827956988</c:v>
                </c:pt>
                <c:pt idx="72">
                  <c:v>16222.448979591836</c:v>
                </c:pt>
                <c:pt idx="73">
                  <c:v>12130.283582089553</c:v>
                </c:pt>
                <c:pt idx="74">
                  <c:v>12443.6213592233</c:v>
                </c:pt>
                <c:pt idx="75">
                  <c:v>12608.408759124086</c:v>
                </c:pt>
                <c:pt idx="76">
                  <c:v>11362.994781212365</c:v>
                </c:pt>
                <c:pt idx="77">
                  <c:v>13911.399305555555</c:v>
                </c:pt>
                <c:pt idx="78">
                  <c:v>13780.673216885009</c:v>
                </c:pt>
                <c:pt idx="79">
                  <c:v>13825.986376021798</c:v>
                </c:pt>
                <c:pt idx="80">
                  <c:v>13027.803159173754</c:v>
                </c:pt>
                <c:pt idx="81">
                  <c:v>13109.983263598326</c:v>
                </c:pt>
                <c:pt idx="82">
                  <c:v>13355.757575757576</c:v>
                </c:pt>
                <c:pt idx="83">
                  <c:v>14291.031914893618</c:v>
                </c:pt>
                <c:pt idx="84">
                  <c:v>14008.104697986579</c:v>
                </c:pt>
                <c:pt idx="85">
                  <c:v>13715.469910371319</c:v>
                </c:pt>
                <c:pt idx="86">
                  <c:v>15487.879768786128</c:v>
                </c:pt>
                <c:pt idx="87">
                  <c:v>16017.048808172533</c:v>
                </c:pt>
                <c:pt idx="88">
                  <c:v>16679.558889386477</c:v>
                </c:pt>
                <c:pt idx="89">
                  <c:v>15694.053352219074</c:v>
                </c:pt>
                <c:pt idx="90">
                  <c:v>15996.868433074464</c:v>
                </c:pt>
                <c:pt idx="91">
                  <c:v>11121.99124726477</c:v>
                </c:pt>
                <c:pt idx="92">
                  <c:v>8784.1589841711593</c:v>
                </c:pt>
                <c:pt idx="93">
                  <c:v>8030.543897935202</c:v>
                </c:pt>
                <c:pt idx="94">
                  <c:v>8171.8315508021387</c:v>
                </c:pt>
                <c:pt idx="95">
                  <c:v>8961.0152199364438</c:v>
                </c:pt>
                <c:pt idx="96">
                  <c:v>9972.1742738589219</c:v>
                </c:pt>
                <c:pt idx="97">
                  <c:v>10643.295765577201</c:v>
                </c:pt>
                <c:pt idx="98">
                  <c:v>10330.711511573714</c:v>
                </c:pt>
                <c:pt idx="99">
                  <c:v>10883.961642193588</c:v>
                </c:pt>
                <c:pt idx="100">
                  <c:v>11236.189362945646</c:v>
                </c:pt>
                <c:pt idx="101">
                  <c:v>10529.860716316089</c:v>
                </c:pt>
                <c:pt idx="102">
                  <c:v>10726.517585156465</c:v>
                </c:pt>
                <c:pt idx="103">
                  <c:v>11418.921436285096</c:v>
                </c:pt>
                <c:pt idx="104">
                  <c:v>12010.190588853839</c:v>
                </c:pt>
                <c:pt idx="105">
                  <c:v>11518.896701610842</c:v>
                </c:pt>
                <c:pt idx="106">
                  <c:v>11191.702992242335</c:v>
                </c:pt>
                <c:pt idx="107">
                  <c:v>10928.736466389055</c:v>
                </c:pt>
                <c:pt idx="108">
                  <c:v>11455.21494898544</c:v>
                </c:pt>
                <c:pt idx="109">
                  <c:v>11859.843958983503</c:v>
                </c:pt>
                <c:pt idx="110">
                  <c:v>11229.519042437432</c:v>
                </c:pt>
                <c:pt idx="111">
                  <c:v>10547.884656537557</c:v>
                </c:pt>
                <c:pt idx="112">
                  <c:v>10108.955933636267</c:v>
                </c:pt>
                <c:pt idx="113">
                  <c:v>10702.137628111273</c:v>
                </c:pt>
                <c:pt idx="114">
                  <c:v>11220.209131380059</c:v>
                </c:pt>
                <c:pt idx="115">
                  <c:v>11376.913150348219</c:v>
                </c:pt>
                <c:pt idx="116">
                  <c:v>11874.40794809408</c:v>
                </c:pt>
                <c:pt idx="117">
                  <c:v>11922.365990764907</c:v>
                </c:pt>
                <c:pt idx="118">
                  <c:v>11453.95102121753</c:v>
                </c:pt>
                <c:pt idx="119">
                  <c:v>12128.163126096279</c:v>
                </c:pt>
                <c:pt idx="120">
                  <c:v>12043.709492947008</c:v>
                </c:pt>
                <c:pt idx="121">
                  <c:v>12196.541220307407</c:v>
                </c:pt>
                <c:pt idx="122">
                  <c:v>11574.986926336671</c:v>
                </c:pt>
                <c:pt idx="123">
                  <c:v>12291.68561756792</c:v>
                </c:pt>
                <c:pt idx="124">
                  <c:v>12106.127393838467</c:v>
                </c:pt>
                <c:pt idx="125">
                  <c:v>11529.239990409975</c:v>
                </c:pt>
                <c:pt idx="126">
                  <c:v>11484.449950445987</c:v>
                </c:pt>
                <c:pt idx="127">
                  <c:v>11547.996826083821</c:v>
                </c:pt>
                <c:pt idx="128">
                  <c:v>11049.124439614183</c:v>
                </c:pt>
                <c:pt idx="129">
                  <c:v>11228.826605446082</c:v>
                </c:pt>
                <c:pt idx="130">
                  <c:v>11530.368465127407</c:v>
                </c:pt>
                <c:pt idx="131">
                  <c:v>12092.345532587824</c:v>
                </c:pt>
                <c:pt idx="132">
                  <c:v>12888.554307116103</c:v>
                </c:pt>
                <c:pt idx="133">
                  <c:v>12961.671656939861</c:v>
                </c:pt>
                <c:pt idx="134">
                  <c:v>12149.790718835304</c:v>
                </c:pt>
                <c:pt idx="135">
                  <c:v>11245.164509169364</c:v>
                </c:pt>
                <c:pt idx="136">
                  <c:v>11019.171333054743</c:v>
                </c:pt>
                <c:pt idx="137">
                  <c:v>10307.573879142301</c:v>
                </c:pt>
                <c:pt idx="138">
                  <c:v>9839.0925286311576</c:v>
                </c:pt>
                <c:pt idx="139">
                  <c:v>9385.2572246065811</c:v>
                </c:pt>
                <c:pt idx="140">
                  <c:v>9584.0603805980827</c:v>
                </c:pt>
                <c:pt idx="141">
                  <c:v>8896.1722460658093</c:v>
                </c:pt>
                <c:pt idx="142">
                  <c:v>8863.6897222222215</c:v>
                </c:pt>
                <c:pt idx="143">
                  <c:v>9134.5514591982155</c:v>
                </c:pt>
                <c:pt idx="144">
                  <c:v>9813.5929203539818</c:v>
                </c:pt>
                <c:pt idx="145">
                  <c:v>9333.2359938146783</c:v>
                </c:pt>
                <c:pt idx="146">
                  <c:v>8907.3643899591352</c:v>
                </c:pt>
                <c:pt idx="147">
                  <c:v>8401.9636571428582</c:v>
                </c:pt>
                <c:pt idx="148">
                  <c:v>8129.5684563758396</c:v>
                </c:pt>
                <c:pt idx="149">
                  <c:v>8333.7056562328398</c:v>
                </c:pt>
                <c:pt idx="150">
                  <c:v>9609.8771628156901</c:v>
                </c:pt>
                <c:pt idx="151">
                  <c:v>9495.1028361344543</c:v>
                </c:pt>
                <c:pt idx="152">
                  <c:v>10675.390918472653</c:v>
                </c:pt>
                <c:pt idx="153">
                  <c:v>12570.272993437658</c:v>
                </c:pt>
                <c:pt idx="154">
                  <c:v>13586.966336633663</c:v>
                </c:pt>
                <c:pt idx="155">
                  <c:v>12280.563901018922</c:v>
                </c:pt>
                <c:pt idx="156">
                  <c:v>12863.616159695817</c:v>
                </c:pt>
                <c:pt idx="157">
                  <c:v>12436.27105572537</c:v>
                </c:pt>
                <c:pt idx="158">
                  <c:v>11428.230023310023</c:v>
                </c:pt>
                <c:pt idx="159">
                  <c:v>13775.616816816817</c:v>
                </c:pt>
                <c:pt idx="160">
                  <c:v>12046.725052809463</c:v>
                </c:pt>
                <c:pt idx="161">
                  <c:v>11443.552603082049</c:v>
                </c:pt>
                <c:pt idx="162">
                  <c:v>12352.789923329683</c:v>
                </c:pt>
                <c:pt idx="163">
                  <c:v>12202.101383177569</c:v>
                </c:pt>
                <c:pt idx="164">
                  <c:v>12698.184296619411</c:v>
                </c:pt>
                <c:pt idx="165">
                  <c:v>14073.245192641443</c:v>
                </c:pt>
              </c:numCache>
            </c:numRef>
          </c:val>
          <c:extLst>
            <c:ext xmlns:c16="http://schemas.microsoft.com/office/drawing/2014/chart" uri="{C3380CC4-5D6E-409C-BE32-E72D297353CC}">
              <c16:uniqueId val="{00000002-1A02-4710-AE71-137F3C1B788F}"/>
            </c:ext>
          </c:extLst>
        </c:ser>
        <c:ser>
          <c:idx val="3"/>
          <c:order val="3"/>
          <c:tx>
            <c:strRef>
              <c:f>'Net reserves'!$A$15</c:f>
              <c:strCache>
                <c:ptCount val="1"/>
                <c:pt idx="0">
                  <c:v>Gold</c:v>
                </c:pt>
              </c:strCache>
            </c:strRef>
          </c:tx>
          <c:spPr>
            <a:solidFill>
              <a:srgbClr val="4C2D59"/>
            </a:solidFill>
            <a:ln w="12700">
              <a:solidFill>
                <a:schemeClr val="accent4"/>
              </a:solidFill>
              <a:prstDash val="solid"/>
            </a:ln>
            <a:effectLst/>
          </c:spPr>
          <c:cat>
            <c:numRef>
              <c:f>'Net reserves'!$H$10:$FQ$10</c:f>
              <c:numCache>
                <c:formatCode>mmm\-yy</c:formatCode>
                <c:ptCount val="166"/>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pt idx="14">
                  <c:v>41334</c:v>
                </c:pt>
                <c:pt idx="15">
                  <c:v>41365</c:v>
                </c:pt>
                <c:pt idx="16">
                  <c:v>41395</c:v>
                </c:pt>
                <c:pt idx="17">
                  <c:v>41426</c:v>
                </c:pt>
                <c:pt idx="18">
                  <c:v>41456</c:v>
                </c:pt>
                <c:pt idx="19">
                  <c:v>41487</c:v>
                </c:pt>
                <c:pt idx="20">
                  <c:v>41518</c:v>
                </c:pt>
                <c:pt idx="21">
                  <c:v>41548</c:v>
                </c:pt>
                <c:pt idx="22">
                  <c:v>41579</c:v>
                </c:pt>
                <c:pt idx="23">
                  <c:v>41609</c:v>
                </c:pt>
                <c:pt idx="24">
                  <c:v>41640</c:v>
                </c:pt>
                <c:pt idx="25">
                  <c:v>41671</c:v>
                </c:pt>
                <c:pt idx="26">
                  <c:v>41699</c:v>
                </c:pt>
                <c:pt idx="27">
                  <c:v>41730</c:v>
                </c:pt>
                <c:pt idx="28">
                  <c:v>41760</c:v>
                </c:pt>
                <c:pt idx="29">
                  <c:v>41791</c:v>
                </c:pt>
                <c:pt idx="30">
                  <c:v>41821</c:v>
                </c:pt>
                <c:pt idx="31">
                  <c:v>41852</c:v>
                </c:pt>
                <c:pt idx="32">
                  <c:v>41883</c:v>
                </c:pt>
                <c:pt idx="33">
                  <c:v>41913</c:v>
                </c:pt>
                <c:pt idx="34">
                  <c:v>41944</c:v>
                </c:pt>
                <c:pt idx="35">
                  <c:v>41974</c:v>
                </c:pt>
                <c:pt idx="36">
                  <c:v>42005</c:v>
                </c:pt>
                <c:pt idx="37">
                  <c:v>42036</c:v>
                </c:pt>
                <c:pt idx="38">
                  <c:v>42064</c:v>
                </c:pt>
                <c:pt idx="39">
                  <c:v>42095</c:v>
                </c:pt>
                <c:pt idx="40">
                  <c:v>42125</c:v>
                </c:pt>
                <c:pt idx="41">
                  <c:v>42156</c:v>
                </c:pt>
                <c:pt idx="42">
                  <c:v>42186</c:v>
                </c:pt>
                <c:pt idx="43">
                  <c:v>42217</c:v>
                </c:pt>
                <c:pt idx="44">
                  <c:v>42248</c:v>
                </c:pt>
                <c:pt idx="45">
                  <c:v>42278</c:v>
                </c:pt>
                <c:pt idx="46">
                  <c:v>42309</c:v>
                </c:pt>
                <c:pt idx="47">
                  <c:v>42339</c:v>
                </c:pt>
                <c:pt idx="48">
                  <c:v>42370</c:v>
                </c:pt>
                <c:pt idx="49">
                  <c:v>42401</c:v>
                </c:pt>
                <c:pt idx="50">
                  <c:v>42430</c:v>
                </c:pt>
                <c:pt idx="51">
                  <c:v>42461</c:v>
                </c:pt>
                <c:pt idx="52">
                  <c:v>42491</c:v>
                </c:pt>
                <c:pt idx="53">
                  <c:v>42522</c:v>
                </c:pt>
                <c:pt idx="54">
                  <c:v>42552</c:v>
                </c:pt>
                <c:pt idx="55">
                  <c:v>42583</c:v>
                </c:pt>
                <c:pt idx="56">
                  <c:v>42614</c:v>
                </c:pt>
                <c:pt idx="57">
                  <c:v>42644</c:v>
                </c:pt>
                <c:pt idx="58">
                  <c:v>42675</c:v>
                </c:pt>
                <c:pt idx="59">
                  <c:v>42705</c:v>
                </c:pt>
                <c:pt idx="60">
                  <c:v>42736</c:v>
                </c:pt>
                <c:pt idx="61">
                  <c:v>42767</c:v>
                </c:pt>
                <c:pt idx="62">
                  <c:v>42795</c:v>
                </c:pt>
                <c:pt idx="63">
                  <c:v>42826</c:v>
                </c:pt>
                <c:pt idx="64">
                  <c:v>42856</c:v>
                </c:pt>
                <c:pt idx="65">
                  <c:v>42887</c:v>
                </c:pt>
                <c:pt idx="66">
                  <c:v>42917</c:v>
                </c:pt>
                <c:pt idx="67">
                  <c:v>42948</c:v>
                </c:pt>
                <c:pt idx="68">
                  <c:v>42979</c:v>
                </c:pt>
                <c:pt idx="69">
                  <c:v>43009</c:v>
                </c:pt>
                <c:pt idx="70">
                  <c:v>43040</c:v>
                </c:pt>
                <c:pt idx="71">
                  <c:v>43070</c:v>
                </c:pt>
                <c:pt idx="72">
                  <c:v>43101</c:v>
                </c:pt>
                <c:pt idx="73">
                  <c:v>43132</c:v>
                </c:pt>
                <c:pt idx="74">
                  <c:v>43160</c:v>
                </c:pt>
                <c:pt idx="75">
                  <c:v>43191</c:v>
                </c:pt>
                <c:pt idx="76">
                  <c:v>43221</c:v>
                </c:pt>
                <c:pt idx="77">
                  <c:v>43252</c:v>
                </c:pt>
                <c:pt idx="78">
                  <c:v>43282</c:v>
                </c:pt>
                <c:pt idx="79">
                  <c:v>43313</c:v>
                </c:pt>
                <c:pt idx="80">
                  <c:v>43344</c:v>
                </c:pt>
                <c:pt idx="81">
                  <c:v>43374</c:v>
                </c:pt>
                <c:pt idx="82">
                  <c:v>43405</c:v>
                </c:pt>
                <c:pt idx="83">
                  <c:v>43435</c:v>
                </c:pt>
                <c:pt idx="84">
                  <c:v>43466</c:v>
                </c:pt>
                <c:pt idx="85">
                  <c:v>43497</c:v>
                </c:pt>
                <c:pt idx="86">
                  <c:v>43525</c:v>
                </c:pt>
                <c:pt idx="87">
                  <c:v>43556</c:v>
                </c:pt>
                <c:pt idx="88">
                  <c:v>43586</c:v>
                </c:pt>
                <c:pt idx="89">
                  <c:v>43617</c:v>
                </c:pt>
                <c:pt idx="90">
                  <c:v>43647</c:v>
                </c:pt>
                <c:pt idx="91">
                  <c:v>43678</c:v>
                </c:pt>
                <c:pt idx="92">
                  <c:v>43709</c:v>
                </c:pt>
                <c:pt idx="93">
                  <c:v>43739</c:v>
                </c:pt>
                <c:pt idx="94">
                  <c:v>43770</c:v>
                </c:pt>
                <c:pt idx="95">
                  <c:v>43800</c:v>
                </c:pt>
                <c:pt idx="96">
                  <c:v>43831</c:v>
                </c:pt>
                <c:pt idx="97">
                  <c:v>43862</c:v>
                </c:pt>
                <c:pt idx="98">
                  <c:v>43891</c:v>
                </c:pt>
                <c:pt idx="99">
                  <c:v>43922</c:v>
                </c:pt>
                <c:pt idx="100">
                  <c:v>43952</c:v>
                </c:pt>
                <c:pt idx="101">
                  <c:v>43983</c:v>
                </c:pt>
                <c:pt idx="102">
                  <c:v>44013</c:v>
                </c:pt>
                <c:pt idx="103">
                  <c:v>44044</c:v>
                </c:pt>
                <c:pt idx="104">
                  <c:v>44075</c:v>
                </c:pt>
                <c:pt idx="105">
                  <c:v>44105</c:v>
                </c:pt>
                <c:pt idx="106">
                  <c:v>44136</c:v>
                </c:pt>
                <c:pt idx="107">
                  <c:v>44166</c:v>
                </c:pt>
                <c:pt idx="108">
                  <c:v>44197</c:v>
                </c:pt>
                <c:pt idx="109">
                  <c:v>44228</c:v>
                </c:pt>
                <c:pt idx="110">
                  <c:v>44256</c:v>
                </c:pt>
                <c:pt idx="111">
                  <c:v>44287</c:v>
                </c:pt>
                <c:pt idx="112">
                  <c:v>44317</c:v>
                </c:pt>
                <c:pt idx="113">
                  <c:v>44348</c:v>
                </c:pt>
                <c:pt idx="114">
                  <c:v>44378</c:v>
                </c:pt>
                <c:pt idx="115">
                  <c:v>44409</c:v>
                </c:pt>
                <c:pt idx="116">
                  <c:v>44440</c:v>
                </c:pt>
                <c:pt idx="117">
                  <c:v>44470</c:v>
                </c:pt>
                <c:pt idx="118">
                  <c:v>44501</c:v>
                </c:pt>
                <c:pt idx="119">
                  <c:v>44531</c:v>
                </c:pt>
                <c:pt idx="120">
                  <c:v>44562</c:v>
                </c:pt>
                <c:pt idx="121">
                  <c:v>44593</c:v>
                </c:pt>
                <c:pt idx="122">
                  <c:v>44621</c:v>
                </c:pt>
                <c:pt idx="123">
                  <c:v>44652</c:v>
                </c:pt>
                <c:pt idx="124">
                  <c:v>44682</c:v>
                </c:pt>
                <c:pt idx="125">
                  <c:v>44713</c:v>
                </c:pt>
                <c:pt idx="126">
                  <c:v>44743</c:v>
                </c:pt>
                <c:pt idx="127">
                  <c:v>44774</c:v>
                </c:pt>
                <c:pt idx="128">
                  <c:v>44805</c:v>
                </c:pt>
                <c:pt idx="129">
                  <c:v>44835</c:v>
                </c:pt>
                <c:pt idx="130">
                  <c:v>44866</c:v>
                </c:pt>
                <c:pt idx="131">
                  <c:v>44896</c:v>
                </c:pt>
                <c:pt idx="132">
                  <c:v>44927</c:v>
                </c:pt>
                <c:pt idx="133">
                  <c:v>44958</c:v>
                </c:pt>
                <c:pt idx="134">
                  <c:v>44986</c:v>
                </c:pt>
                <c:pt idx="135">
                  <c:v>45017</c:v>
                </c:pt>
                <c:pt idx="136">
                  <c:v>45047</c:v>
                </c:pt>
                <c:pt idx="137">
                  <c:v>45078</c:v>
                </c:pt>
                <c:pt idx="138">
                  <c:v>45108</c:v>
                </c:pt>
                <c:pt idx="139">
                  <c:v>45139</c:v>
                </c:pt>
                <c:pt idx="140">
                  <c:v>45170</c:v>
                </c:pt>
                <c:pt idx="141">
                  <c:v>45200</c:v>
                </c:pt>
                <c:pt idx="142">
                  <c:v>45231</c:v>
                </c:pt>
                <c:pt idx="143">
                  <c:v>45261</c:v>
                </c:pt>
                <c:pt idx="144">
                  <c:v>45292</c:v>
                </c:pt>
                <c:pt idx="145">
                  <c:v>45323</c:v>
                </c:pt>
                <c:pt idx="146">
                  <c:v>45352</c:v>
                </c:pt>
                <c:pt idx="147">
                  <c:v>45383</c:v>
                </c:pt>
                <c:pt idx="148">
                  <c:v>45413</c:v>
                </c:pt>
                <c:pt idx="149">
                  <c:v>45444</c:v>
                </c:pt>
                <c:pt idx="150">
                  <c:v>45474</c:v>
                </c:pt>
                <c:pt idx="151">
                  <c:v>45505</c:v>
                </c:pt>
                <c:pt idx="152">
                  <c:v>45536</c:v>
                </c:pt>
                <c:pt idx="153">
                  <c:v>45566</c:v>
                </c:pt>
                <c:pt idx="154">
                  <c:v>45597</c:v>
                </c:pt>
                <c:pt idx="155">
                  <c:v>45627</c:v>
                </c:pt>
                <c:pt idx="156">
                  <c:v>45658</c:v>
                </c:pt>
                <c:pt idx="157">
                  <c:v>45689</c:v>
                </c:pt>
                <c:pt idx="158">
                  <c:v>45717</c:v>
                </c:pt>
                <c:pt idx="159">
                  <c:v>45748</c:v>
                </c:pt>
                <c:pt idx="160">
                  <c:v>45778</c:v>
                </c:pt>
                <c:pt idx="161">
                  <c:v>45809</c:v>
                </c:pt>
                <c:pt idx="162">
                  <c:v>45839</c:v>
                </c:pt>
                <c:pt idx="163">
                  <c:v>45870</c:v>
                </c:pt>
                <c:pt idx="164">
                  <c:v>45901</c:v>
                </c:pt>
                <c:pt idx="165">
                  <c:v>45931</c:v>
                </c:pt>
              </c:numCache>
            </c:numRef>
          </c:cat>
          <c:val>
            <c:numRef>
              <c:f>'Net reserves'!$H$15:$FQ$15</c:f>
              <c:numCache>
                <c:formatCode>0.0</c:formatCode>
                <c:ptCount val="166"/>
                <c:pt idx="0">
                  <c:v>3433.6390000000001</c:v>
                </c:pt>
                <c:pt idx="1">
                  <c:v>3419.7840000000001</c:v>
                </c:pt>
                <c:pt idx="2">
                  <c:v>3311.107</c:v>
                </c:pt>
                <c:pt idx="3">
                  <c:v>3300.4279999999999</c:v>
                </c:pt>
                <c:pt idx="4">
                  <c:v>3096.5929999999998</c:v>
                </c:pt>
                <c:pt idx="5">
                  <c:v>3175.038</c:v>
                </c:pt>
                <c:pt idx="6">
                  <c:v>3201.3589999999999</c:v>
                </c:pt>
                <c:pt idx="7">
                  <c:v>3346.4989999999998</c:v>
                </c:pt>
                <c:pt idx="8">
                  <c:v>3514.1480000000001</c:v>
                </c:pt>
                <c:pt idx="9">
                  <c:v>3411.1089999999999</c:v>
                </c:pt>
                <c:pt idx="10">
                  <c:v>3399.835</c:v>
                </c:pt>
                <c:pt idx="11">
                  <c:v>3326.471</c:v>
                </c:pt>
                <c:pt idx="12">
                  <c:v>3330.7379999999998</c:v>
                </c:pt>
                <c:pt idx="13">
                  <c:v>3137.2649999999999</c:v>
                </c:pt>
                <c:pt idx="14">
                  <c:v>3186.9679999999998</c:v>
                </c:pt>
                <c:pt idx="15">
                  <c:v>2922.9090000000001</c:v>
                </c:pt>
                <c:pt idx="16">
                  <c:v>2763.3980000000001</c:v>
                </c:pt>
                <c:pt idx="17">
                  <c:v>2432.7640000000001</c:v>
                </c:pt>
                <c:pt idx="18">
                  <c:v>2606.6260000000002</c:v>
                </c:pt>
                <c:pt idx="19">
                  <c:v>2769.5709999999999</c:v>
                </c:pt>
                <c:pt idx="20">
                  <c:v>2637.9490000000001</c:v>
                </c:pt>
                <c:pt idx="21">
                  <c:v>2625.5230000000001</c:v>
                </c:pt>
                <c:pt idx="22">
                  <c:v>2481.8119999999999</c:v>
                </c:pt>
                <c:pt idx="23">
                  <c:v>2389.4720000000002</c:v>
                </c:pt>
                <c:pt idx="24">
                  <c:v>2461.7440000000001</c:v>
                </c:pt>
                <c:pt idx="25">
                  <c:v>2623.6570000000002</c:v>
                </c:pt>
                <c:pt idx="26">
                  <c:v>2545.9459999999999</c:v>
                </c:pt>
                <c:pt idx="27">
                  <c:v>2569.587</c:v>
                </c:pt>
                <c:pt idx="28">
                  <c:v>2470.0410000000002</c:v>
                </c:pt>
                <c:pt idx="29">
                  <c:v>2633.6410000000001</c:v>
                </c:pt>
                <c:pt idx="30">
                  <c:v>2542.2339999999999</c:v>
                </c:pt>
                <c:pt idx="31">
                  <c:v>2552.06</c:v>
                </c:pt>
                <c:pt idx="32">
                  <c:v>2399.34</c:v>
                </c:pt>
                <c:pt idx="33">
                  <c:v>2324.52</c:v>
                </c:pt>
                <c:pt idx="34">
                  <c:v>2316.17</c:v>
                </c:pt>
                <c:pt idx="35">
                  <c:v>2354.7849999999999</c:v>
                </c:pt>
                <c:pt idx="36">
                  <c:v>2529.5500000000002</c:v>
                </c:pt>
                <c:pt idx="37">
                  <c:v>2406.96</c:v>
                </c:pt>
                <c:pt idx="38">
                  <c:v>2345.58</c:v>
                </c:pt>
                <c:pt idx="39">
                  <c:v>2348.3429999999998</c:v>
                </c:pt>
                <c:pt idx="40">
                  <c:v>2361.8209999999999</c:v>
                </c:pt>
                <c:pt idx="41">
                  <c:v>2325.933</c:v>
                </c:pt>
                <c:pt idx="42">
                  <c:v>2178.0140000000001</c:v>
                </c:pt>
                <c:pt idx="43">
                  <c:v>2249.096</c:v>
                </c:pt>
                <c:pt idx="44">
                  <c:v>2214.3980000000001</c:v>
                </c:pt>
                <c:pt idx="45">
                  <c:v>2263.348</c:v>
                </c:pt>
                <c:pt idx="46">
                  <c:v>2110.625</c:v>
                </c:pt>
                <c:pt idx="47">
                  <c:v>2106.933</c:v>
                </c:pt>
                <c:pt idx="48">
                  <c:v>2215.2719999999999</c:v>
                </c:pt>
                <c:pt idx="49">
                  <c:v>2444.1970000000001</c:v>
                </c:pt>
                <c:pt idx="50">
                  <c:v>2444.44</c:v>
                </c:pt>
                <c:pt idx="51">
                  <c:v>2559.8009999999999</c:v>
                </c:pt>
                <c:pt idx="52">
                  <c:v>2413.0300000000002</c:v>
                </c:pt>
                <c:pt idx="53">
                  <c:v>2617.2649999999999</c:v>
                </c:pt>
                <c:pt idx="54">
                  <c:v>2681.558</c:v>
                </c:pt>
                <c:pt idx="55">
                  <c:v>2594.4380000000001</c:v>
                </c:pt>
                <c:pt idx="56">
                  <c:v>2607.7570000000001</c:v>
                </c:pt>
                <c:pt idx="57">
                  <c:v>2322.9899999999998</c:v>
                </c:pt>
                <c:pt idx="58">
                  <c:v>2141.8249999999998</c:v>
                </c:pt>
                <c:pt idx="59">
                  <c:v>2101.7489999999998</c:v>
                </c:pt>
                <c:pt idx="60">
                  <c:v>2400.569</c:v>
                </c:pt>
                <c:pt idx="61">
                  <c:v>2291.4899999999998</c:v>
                </c:pt>
                <c:pt idx="62">
                  <c:v>2202.13</c:v>
                </c:pt>
                <c:pt idx="63">
                  <c:v>2514.1489999999999</c:v>
                </c:pt>
                <c:pt idx="64">
                  <c:v>2522.7809999999999</c:v>
                </c:pt>
                <c:pt idx="65">
                  <c:v>2386.5839999999998</c:v>
                </c:pt>
                <c:pt idx="66">
                  <c:v>2514.067</c:v>
                </c:pt>
                <c:pt idx="67">
                  <c:v>2614.7049999999999</c:v>
                </c:pt>
                <c:pt idx="68">
                  <c:v>2545.529</c:v>
                </c:pt>
                <c:pt idx="69">
                  <c:v>2435.0189999999998</c:v>
                </c:pt>
                <c:pt idx="70">
                  <c:v>2293.1219999999998</c:v>
                </c:pt>
                <c:pt idx="71">
                  <c:v>2298.7750000000001</c:v>
                </c:pt>
                <c:pt idx="72">
                  <c:v>2657.8829999999998</c:v>
                </c:pt>
                <c:pt idx="73">
                  <c:v>2616.7890000000002</c:v>
                </c:pt>
                <c:pt idx="74">
                  <c:v>2337.6950000000002</c:v>
                </c:pt>
                <c:pt idx="75">
                  <c:v>2623.7179999999998</c:v>
                </c:pt>
                <c:pt idx="76">
                  <c:v>2579.0340000000001</c:v>
                </c:pt>
                <c:pt idx="77">
                  <c:v>2486.4360000000001</c:v>
                </c:pt>
                <c:pt idx="78">
                  <c:v>2429.2289999999998</c:v>
                </c:pt>
                <c:pt idx="79">
                  <c:v>2383.8339999999998</c:v>
                </c:pt>
                <c:pt idx="80">
                  <c:v>2296.9580000000001</c:v>
                </c:pt>
                <c:pt idx="81">
                  <c:v>2406.924</c:v>
                </c:pt>
                <c:pt idx="82">
                  <c:v>2435.6089999999999</c:v>
                </c:pt>
                <c:pt idx="83">
                  <c:v>2255.623</c:v>
                </c:pt>
                <c:pt idx="84">
                  <c:v>2622.26</c:v>
                </c:pt>
                <c:pt idx="85">
                  <c:v>2608.201</c:v>
                </c:pt>
                <c:pt idx="86">
                  <c:v>2280.8530000000001</c:v>
                </c:pt>
                <c:pt idx="87">
                  <c:v>2547.1640000000002</c:v>
                </c:pt>
                <c:pt idx="88">
                  <c:v>2588.2139999999999</c:v>
                </c:pt>
                <c:pt idx="89">
                  <c:v>2486.0309999999999</c:v>
                </c:pt>
                <c:pt idx="90">
                  <c:v>2818.4409999999998</c:v>
                </c:pt>
                <c:pt idx="91">
                  <c:v>3011.884</c:v>
                </c:pt>
                <c:pt idx="92">
                  <c:v>2914.1480000000001</c:v>
                </c:pt>
                <c:pt idx="93">
                  <c:v>2999.4389999999999</c:v>
                </c:pt>
                <c:pt idx="94">
                  <c:v>2904.26</c:v>
                </c:pt>
                <c:pt idx="95">
                  <c:v>2684.4659999999999</c:v>
                </c:pt>
                <c:pt idx="96">
                  <c:v>3140.2339999999999</c:v>
                </c:pt>
                <c:pt idx="97">
                  <c:v>3139.7559999999999</c:v>
                </c:pt>
                <c:pt idx="98">
                  <c:v>2940.8780000000002</c:v>
                </c:pt>
                <c:pt idx="99">
                  <c:v>3341.13</c:v>
                </c:pt>
                <c:pt idx="100">
                  <c:v>3440.7159999999999</c:v>
                </c:pt>
                <c:pt idx="101">
                  <c:v>3533.096</c:v>
                </c:pt>
                <c:pt idx="102">
                  <c:v>3910.8150000000001</c:v>
                </c:pt>
                <c:pt idx="103">
                  <c:v>3913.2359999999999</c:v>
                </c:pt>
                <c:pt idx="104">
                  <c:v>3753.8240000000001</c:v>
                </c:pt>
                <c:pt idx="105">
                  <c:v>3728.9920000000002</c:v>
                </c:pt>
                <c:pt idx="106">
                  <c:v>3527.4589999999998</c:v>
                </c:pt>
                <c:pt idx="107">
                  <c:v>3758.25</c:v>
                </c:pt>
                <c:pt idx="108">
                  <c:v>3673.1550000000002</c:v>
                </c:pt>
                <c:pt idx="109">
                  <c:v>3424.241</c:v>
                </c:pt>
                <c:pt idx="110">
                  <c:v>3392.9969999999998</c:v>
                </c:pt>
                <c:pt idx="111">
                  <c:v>3510.864</c:v>
                </c:pt>
                <c:pt idx="112">
                  <c:v>3783.0819999999999</c:v>
                </c:pt>
                <c:pt idx="113">
                  <c:v>3509.634</c:v>
                </c:pt>
                <c:pt idx="114">
                  <c:v>3600.4059999999999</c:v>
                </c:pt>
                <c:pt idx="115">
                  <c:v>3599.83</c:v>
                </c:pt>
                <c:pt idx="116">
                  <c:v>3483.4520000000002</c:v>
                </c:pt>
                <c:pt idx="117">
                  <c:v>3536.1529999999998</c:v>
                </c:pt>
                <c:pt idx="118">
                  <c:v>3521.7620000000002</c:v>
                </c:pt>
                <c:pt idx="119">
                  <c:v>3213.7629999999999</c:v>
                </c:pt>
                <c:pt idx="120">
                  <c:v>3564.319</c:v>
                </c:pt>
                <c:pt idx="121">
                  <c:v>3744.5140000000001</c:v>
                </c:pt>
                <c:pt idx="122">
                  <c:v>3859.2060000000001</c:v>
                </c:pt>
                <c:pt idx="123">
                  <c:v>3789.1559999999999</c:v>
                </c:pt>
                <c:pt idx="124">
                  <c:v>3655.4290000000001</c:v>
                </c:pt>
                <c:pt idx="125">
                  <c:v>3587.94</c:v>
                </c:pt>
                <c:pt idx="126">
                  <c:v>3502.2890000000002</c:v>
                </c:pt>
                <c:pt idx="127">
                  <c:v>3398.3760000000002</c:v>
                </c:pt>
                <c:pt idx="128">
                  <c:v>3299.5450000000001</c:v>
                </c:pt>
                <c:pt idx="129">
                  <c:v>3243.9259999999999</c:v>
                </c:pt>
                <c:pt idx="130">
                  <c:v>3476.683</c:v>
                </c:pt>
                <c:pt idx="131">
                  <c:v>3617.973</c:v>
                </c:pt>
                <c:pt idx="132">
                  <c:v>3827.942</c:v>
                </c:pt>
                <c:pt idx="133">
                  <c:v>3629.2869999999998</c:v>
                </c:pt>
                <c:pt idx="134">
                  <c:v>3905.4349999999999</c:v>
                </c:pt>
                <c:pt idx="135">
                  <c:v>3949.105</c:v>
                </c:pt>
                <c:pt idx="136">
                  <c:v>3900.89</c:v>
                </c:pt>
                <c:pt idx="137">
                  <c:v>3806.8820000000001</c:v>
                </c:pt>
                <c:pt idx="138">
                  <c:v>3468.944</c:v>
                </c:pt>
                <c:pt idx="139">
                  <c:v>3849.8960000000002</c:v>
                </c:pt>
                <c:pt idx="140">
                  <c:v>3669.5419999999999</c:v>
                </c:pt>
                <c:pt idx="141">
                  <c:v>3936.7979999999998</c:v>
                </c:pt>
                <c:pt idx="142">
                  <c:v>4042.9340000000002</c:v>
                </c:pt>
                <c:pt idx="143">
                  <c:v>4095.873</c:v>
                </c:pt>
                <c:pt idx="144">
                  <c:v>4064.59</c:v>
                </c:pt>
                <c:pt idx="145">
                  <c:v>4058.2579999999998</c:v>
                </c:pt>
                <c:pt idx="146">
                  <c:v>4344.7669999999998</c:v>
                </c:pt>
                <c:pt idx="147">
                  <c:v>4554.201</c:v>
                </c:pt>
                <c:pt idx="148">
                  <c:v>4614.0079999999998</c:v>
                </c:pt>
                <c:pt idx="149">
                  <c:v>4616.9650000000001</c:v>
                </c:pt>
                <c:pt idx="150">
                  <c:v>4806.6880000000001</c:v>
                </c:pt>
                <c:pt idx="151">
                  <c:v>4960.6419999999998</c:v>
                </c:pt>
                <c:pt idx="152">
                  <c:v>5234.8019999999997</c:v>
                </c:pt>
                <c:pt idx="153">
                  <c:v>5436.8109999999997</c:v>
                </c:pt>
                <c:pt idx="154">
                  <c:v>5277.643</c:v>
                </c:pt>
                <c:pt idx="155">
                  <c:v>5206.1450000000004</c:v>
                </c:pt>
                <c:pt idx="156">
                  <c:v>5572.6279999999997</c:v>
                </c:pt>
                <c:pt idx="157">
                  <c:v>5646.35</c:v>
                </c:pt>
                <c:pt idx="158">
                  <c:v>6187.3119999999999</c:v>
                </c:pt>
                <c:pt idx="159">
                  <c:v>6560.2860000000001</c:v>
                </c:pt>
                <c:pt idx="160">
                  <c:v>6532.2979999999998</c:v>
                </c:pt>
                <c:pt idx="161">
                  <c:v>6535.8909999999996</c:v>
                </c:pt>
                <c:pt idx="162">
                  <c:v>6539.1260000000002</c:v>
                </c:pt>
                <c:pt idx="163">
                  <c:v>6835.0050000000001</c:v>
                </c:pt>
                <c:pt idx="164">
                  <c:v>7629.01</c:v>
                </c:pt>
                <c:pt idx="165">
                  <c:v>7934.3959999999997</c:v>
                </c:pt>
              </c:numCache>
            </c:numRef>
          </c:val>
          <c:extLst>
            <c:ext xmlns:c16="http://schemas.microsoft.com/office/drawing/2014/chart" uri="{C3380CC4-5D6E-409C-BE32-E72D297353CC}">
              <c16:uniqueId val="{00000003-1A02-4710-AE71-137F3C1B788F}"/>
            </c:ext>
          </c:extLst>
        </c:ser>
        <c:dLbls>
          <c:showLegendKey val="0"/>
          <c:showVal val="0"/>
          <c:showCatName val="0"/>
          <c:showSerName val="0"/>
          <c:showPercent val="0"/>
          <c:showBubbleSize val="0"/>
        </c:dLbls>
        <c:axId val="176853807"/>
        <c:axId val="176838831"/>
      </c:areaChart>
      <c:dateAx>
        <c:axId val="176853807"/>
        <c:scaling>
          <c:orientation val="minMax"/>
          <c:max val="45945"/>
          <c:min val="42292"/>
        </c:scaling>
        <c:delete val="0"/>
        <c:axPos val="b"/>
        <c:numFmt formatCode="mmm\-yy" sourceLinked="1"/>
        <c:majorTickMark val="out"/>
        <c:minorTickMark val="none"/>
        <c:tickLblPos val="low"/>
        <c:spPr>
          <a:noFill/>
          <a:ln w="12700" cap="flat" cmpd="sng" algn="ctr">
            <a:solidFill>
              <a:srgbClr val="333333"/>
            </a:solidFill>
            <a:prstDash val="solid"/>
            <a:round/>
          </a:ln>
          <a:effectLst/>
        </c:spPr>
        <c:txPr>
          <a:bodyPr rot="-60000000" spcFirstLastPara="1" vertOverflow="ellipsis" vert="horz" wrap="square" anchor="ctr" anchorCtr="1"/>
          <a:lstStyle/>
          <a:p>
            <a:pPr>
              <a:defRPr sz="900" b="0" i="0" u="none" strike="noStrike" kern="1200" baseline="0">
                <a:solidFill>
                  <a:srgbClr val="000000"/>
                </a:solidFill>
                <a:latin typeface="Credit Suisse Type Light"/>
                <a:ea typeface="Credit Suisse Type Light"/>
                <a:cs typeface="Credit Suisse Type Light"/>
              </a:defRPr>
            </a:pPr>
            <a:endParaRPr lang="en-US"/>
          </a:p>
        </c:txPr>
        <c:crossAx val="176838831"/>
        <c:crosses val="autoZero"/>
        <c:auto val="1"/>
        <c:lblOffset val="100"/>
        <c:baseTimeUnit val="months"/>
        <c:majorUnit val="24"/>
        <c:majorTimeUnit val="months"/>
      </c:dateAx>
      <c:valAx>
        <c:axId val="176838831"/>
        <c:scaling>
          <c:orientation val="minMax"/>
          <c:max val="80000"/>
          <c:min val="-10000"/>
        </c:scaling>
        <c:delete val="0"/>
        <c:axPos val="l"/>
        <c:numFmt formatCode="#,##0" sourceLinked="0"/>
        <c:majorTickMark val="out"/>
        <c:minorTickMark val="none"/>
        <c:tickLblPos val="nextTo"/>
        <c:spPr>
          <a:noFill/>
          <a:ln w="12700">
            <a:solidFill>
              <a:srgbClr val="333333"/>
            </a:solidFill>
            <a:prstDash val="solid"/>
          </a:ln>
          <a:effectLst/>
        </c:spPr>
        <c:txPr>
          <a:bodyPr rot="-60000000" spcFirstLastPara="1" vertOverflow="ellipsis" vert="horz" wrap="square" anchor="ctr" anchorCtr="1"/>
          <a:lstStyle/>
          <a:p>
            <a:pPr>
              <a:defRPr sz="900" b="0" i="0" u="none" strike="noStrike" kern="1200" baseline="0">
                <a:solidFill>
                  <a:srgbClr val="000000"/>
                </a:solidFill>
                <a:latin typeface="Credit Suisse Type Light"/>
                <a:ea typeface="Credit Suisse Type Light"/>
                <a:cs typeface="Credit Suisse Type Light"/>
              </a:defRPr>
            </a:pPr>
            <a:endParaRPr lang="en-US"/>
          </a:p>
        </c:txPr>
        <c:crossAx val="176853807"/>
        <c:crosses val="autoZero"/>
        <c:crossBetween val="midCat"/>
        <c:majorUnit val="20000"/>
        <c:dispUnits>
          <c:builtInUnit val="thousands"/>
        </c:dispUnits>
      </c:valAx>
      <c:spPr>
        <a:noFill/>
        <a:ln w="25400">
          <a:noFill/>
        </a:ln>
        <a:effectLst/>
      </c:spPr>
    </c:plotArea>
    <c:legend>
      <c:legendPos val="b"/>
      <c:layout>
        <c:manualLayout>
          <c:xMode val="edge"/>
          <c:yMode val="edge"/>
          <c:x val="0.15618692765565406"/>
          <c:y val="3.8429173844074221E-5"/>
          <c:w val="0.71505067212959739"/>
          <c:h val="0.2020875361115381"/>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000000"/>
              </a:solidFill>
              <a:latin typeface="Credit Suisse Type Light"/>
              <a:ea typeface="Credit Suisse Type Light"/>
              <a:cs typeface="Credit Suisse Type Light"/>
            </a:defRPr>
          </a:pPr>
          <a:endParaRPr lang="en-US"/>
        </a:p>
      </c:txPr>
    </c:legend>
    <c:plotVisOnly val="1"/>
    <c:dispBlanksAs val="zero"/>
    <c:showDLblsOverMax val="0"/>
  </c:chart>
  <c:spPr>
    <a:solidFill>
      <a:srgbClr val="FFFFFF"/>
    </a:solidFill>
    <a:ln w="25400" cap="flat" cmpd="sng" algn="ctr">
      <a:noFill/>
      <a:round/>
    </a:ln>
    <a:effectLst/>
  </c:spPr>
  <c:txPr>
    <a:bodyPr/>
    <a:lstStyle/>
    <a:p>
      <a:pPr>
        <a:defRPr sz="900" b="0" i="0">
          <a:solidFill>
            <a:srgbClr val="333333"/>
          </a:solidFill>
          <a:latin typeface="Credit Suisse Type Light"/>
          <a:ea typeface="Credit Suisse Type Light"/>
          <a:cs typeface="Credit Suisse Type Light"/>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080" b="0" i="0" u="none" strike="noStrike" kern="1200" spc="0" baseline="0">
                <a:solidFill>
                  <a:srgbClr val="333333"/>
                </a:solidFill>
                <a:latin typeface="Credit Suisse Type Light"/>
                <a:ea typeface="Credit Suisse Type Light"/>
                <a:cs typeface="Credit Suisse Type Light"/>
              </a:defRPr>
            </a:pPr>
            <a:r>
              <a:rPr lang="en-US" b="1"/>
              <a:t>Selected composition</a:t>
            </a:r>
            <a:r>
              <a:rPr lang="en-US" b="1" baseline="0"/>
              <a:t> of gross international reserves</a:t>
            </a:r>
          </a:p>
          <a:p>
            <a:pPr algn="l">
              <a:defRPr/>
            </a:pPr>
            <a:r>
              <a:rPr lang="en-US" baseline="0"/>
              <a:t>$bn </a:t>
            </a:r>
            <a:endParaRPr lang="en-US"/>
          </a:p>
        </c:rich>
      </c:tx>
      <c:layout>
        <c:manualLayout>
          <c:xMode val="edge"/>
          <c:yMode val="edge"/>
          <c:x val="7.3788374629889367E-2"/>
          <c:y val="5.031448534224151E-3"/>
        </c:manualLayout>
      </c:layout>
      <c:overlay val="0"/>
      <c:spPr>
        <a:noFill/>
        <a:ln>
          <a:noFill/>
        </a:ln>
        <a:effectLst/>
      </c:spPr>
      <c:txPr>
        <a:bodyPr rot="0" spcFirstLastPara="1" vertOverflow="ellipsis" vert="horz" wrap="square" anchor="ctr" anchorCtr="1"/>
        <a:lstStyle/>
        <a:p>
          <a:pPr algn="l">
            <a:defRPr sz="1080" b="0" i="0" u="none" strike="noStrike" kern="1200" spc="0" baseline="0">
              <a:solidFill>
                <a:srgbClr val="333333"/>
              </a:solidFill>
              <a:latin typeface="Credit Suisse Type Light"/>
              <a:ea typeface="Credit Suisse Type Light"/>
              <a:cs typeface="Credit Suisse Type Light"/>
            </a:defRPr>
          </a:pPr>
          <a:endParaRPr lang="en-US"/>
        </a:p>
      </c:txPr>
    </c:title>
    <c:autoTitleDeleted val="0"/>
    <c:plotArea>
      <c:layout>
        <c:manualLayout>
          <c:xMode val="edge"/>
          <c:yMode val="edge"/>
          <c:x val="1.9662060274277998E-2"/>
          <c:y val="2.5818764227847523E-2"/>
          <c:w val="0.9781874986453305"/>
          <c:h val="0.97418123577215243"/>
        </c:manualLayout>
      </c:layout>
      <c:areaChart>
        <c:grouping val="stacked"/>
        <c:varyColors val="0"/>
        <c:ser>
          <c:idx val="0"/>
          <c:order val="0"/>
          <c:tx>
            <c:strRef>
              <c:f>'Net reserves'!$A$12</c:f>
              <c:strCache>
                <c:ptCount val="1"/>
                <c:pt idx="0">
                  <c:v>Net reserves</c:v>
                </c:pt>
              </c:strCache>
            </c:strRef>
          </c:tx>
          <c:spPr>
            <a:solidFill>
              <a:srgbClr val="800000"/>
            </a:solidFill>
            <a:ln w="12700">
              <a:noFill/>
              <a:prstDash val="solid"/>
            </a:ln>
            <a:effectLst/>
          </c:spPr>
          <c:cat>
            <c:numRef>
              <c:f>'Net reserves'!$H$10:$FS$10</c:f>
              <c:numCache>
                <c:formatCode>mmm\-yy</c:formatCode>
                <c:ptCount val="168"/>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pt idx="14">
                  <c:v>41334</c:v>
                </c:pt>
                <c:pt idx="15">
                  <c:v>41365</c:v>
                </c:pt>
                <c:pt idx="16">
                  <c:v>41395</c:v>
                </c:pt>
                <c:pt idx="17">
                  <c:v>41426</c:v>
                </c:pt>
                <c:pt idx="18">
                  <c:v>41456</c:v>
                </c:pt>
                <c:pt idx="19">
                  <c:v>41487</c:v>
                </c:pt>
                <c:pt idx="20">
                  <c:v>41518</c:v>
                </c:pt>
                <c:pt idx="21">
                  <c:v>41548</c:v>
                </c:pt>
                <c:pt idx="22">
                  <c:v>41579</c:v>
                </c:pt>
                <c:pt idx="23">
                  <c:v>41609</c:v>
                </c:pt>
                <c:pt idx="24">
                  <c:v>41640</c:v>
                </c:pt>
                <c:pt idx="25">
                  <c:v>41671</c:v>
                </c:pt>
                <c:pt idx="26">
                  <c:v>41699</c:v>
                </c:pt>
                <c:pt idx="27">
                  <c:v>41730</c:v>
                </c:pt>
                <c:pt idx="28">
                  <c:v>41760</c:v>
                </c:pt>
                <c:pt idx="29">
                  <c:v>41791</c:v>
                </c:pt>
                <c:pt idx="30">
                  <c:v>41821</c:v>
                </c:pt>
                <c:pt idx="31">
                  <c:v>41852</c:v>
                </c:pt>
                <c:pt idx="32">
                  <c:v>41883</c:v>
                </c:pt>
                <c:pt idx="33">
                  <c:v>41913</c:v>
                </c:pt>
                <c:pt idx="34">
                  <c:v>41944</c:v>
                </c:pt>
                <c:pt idx="35">
                  <c:v>41974</c:v>
                </c:pt>
                <c:pt idx="36">
                  <c:v>42005</c:v>
                </c:pt>
                <c:pt idx="37">
                  <c:v>42036</c:v>
                </c:pt>
                <c:pt idx="38">
                  <c:v>42064</c:v>
                </c:pt>
                <c:pt idx="39">
                  <c:v>42095</c:v>
                </c:pt>
                <c:pt idx="40">
                  <c:v>42125</c:v>
                </c:pt>
                <c:pt idx="41">
                  <c:v>42156</c:v>
                </c:pt>
                <c:pt idx="42">
                  <c:v>42186</c:v>
                </c:pt>
                <c:pt idx="43">
                  <c:v>42217</c:v>
                </c:pt>
                <c:pt idx="44">
                  <c:v>42248</c:v>
                </c:pt>
                <c:pt idx="45">
                  <c:v>42278</c:v>
                </c:pt>
                <c:pt idx="46">
                  <c:v>42309</c:v>
                </c:pt>
                <c:pt idx="47">
                  <c:v>42339</c:v>
                </c:pt>
                <c:pt idx="48">
                  <c:v>42370</c:v>
                </c:pt>
                <c:pt idx="49">
                  <c:v>42401</c:v>
                </c:pt>
                <c:pt idx="50">
                  <c:v>42430</c:v>
                </c:pt>
                <c:pt idx="51">
                  <c:v>42461</c:v>
                </c:pt>
                <c:pt idx="52">
                  <c:v>42491</c:v>
                </c:pt>
                <c:pt idx="53">
                  <c:v>42522</c:v>
                </c:pt>
                <c:pt idx="54">
                  <c:v>42552</c:v>
                </c:pt>
                <c:pt idx="55">
                  <c:v>42583</c:v>
                </c:pt>
                <c:pt idx="56">
                  <c:v>42614</c:v>
                </c:pt>
                <c:pt idx="57">
                  <c:v>42644</c:v>
                </c:pt>
                <c:pt idx="58">
                  <c:v>42675</c:v>
                </c:pt>
                <c:pt idx="59">
                  <c:v>42705</c:v>
                </c:pt>
                <c:pt idx="60">
                  <c:v>42736</c:v>
                </c:pt>
                <c:pt idx="61">
                  <c:v>42767</c:v>
                </c:pt>
                <c:pt idx="62">
                  <c:v>42795</c:v>
                </c:pt>
                <c:pt idx="63">
                  <c:v>42826</c:v>
                </c:pt>
                <c:pt idx="64">
                  <c:v>42856</c:v>
                </c:pt>
                <c:pt idx="65">
                  <c:v>42887</c:v>
                </c:pt>
                <c:pt idx="66">
                  <c:v>42917</c:v>
                </c:pt>
                <c:pt idx="67">
                  <c:v>42948</c:v>
                </c:pt>
                <c:pt idx="68">
                  <c:v>42979</c:v>
                </c:pt>
                <c:pt idx="69">
                  <c:v>43009</c:v>
                </c:pt>
                <c:pt idx="70">
                  <c:v>43040</c:v>
                </c:pt>
                <c:pt idx="71">
                  <c:v>43070</c:v>
                </c:pt>
                <c:pt idx="72">
                  <c:v>43101</c:v>
                </c:pt>
                <c:pt idx="73">
                  <c:v>43132</c:v>
                </c:pt>
                <c:pt idx="74">
                  <c:v>43160</c:v>
                </c:pt>
                <c:pt idx="75">
                  <c:v>43191</c:v>
                </c:pt>
                <c:pt idx="76">
                  <c:v>43221</c:v>
                </c:pt>
                <c:pt idx="77">
                  <c:v>43252</c:v>
                </c:pt>
                <c:pt idx="78">
                  <c:v>43282</c:v>
                </c:pt>
                <c:pt idx="79">
                  <c:v>43313</c:v>
                </c:pt>
                <c:pt idx="80">
                  <c:v>43344</c:v>
                </c:pt>
                <c:pt idx="81">
                  <c:v>43374</c:v>
                </c:pt>
                <c:pt idx="82">
                  <c:v>43405</c:v>
                </c:pt>
                <c:pt idx="83">
                  <c:v>43435</c:v>
                </c:pt>
                <c:pt idx="84">
                  <c:v>43466</c:v>
                </c:pt>
                <c:pt idx="85">
                  <c:v>43497</c:v>
                </c:pt>
                <c:pt idx="86">
                  <c:v>43525</c:v>
                </c:pt>
                <c:pt idx="87">
                  <c:v>43556</c:v>
                </c:pt>
                <c:pt idx="88">
                  <c:v>43586</c:v>
                </c:pt>
                <c:pt idx="89">
                  <c:v>43617</c:v>
                </c:pt>
                <c:pt idx="90">
                  <c:v>43647</c:v>
                </c:pt>
                <c:pt idx="91">
                  <c:v>43678</c:v>
                </c:pt>
                <c:pt idx="92">
                  <c:v>43709</c:v>
                </c:pt>
                <c:pt idx="93">
                  <c:v>43739</c:v>
                </c:pt>
                <c:pt idx="94">
                  <c:v>43770</c:v>
                </c:pt>
                <c:pt idx="95">
                  <c:v>43800</c:v>
                </c:pt>
                <c:pt idx="96">
                  <c:v>43831</c:v>
                </c:pt>
                <c:pt idx="97">
                  <c:v>43862</c:v>
                </c:pt>
                <c:pt idx="98">
                  <c:v>43891</c:v>
                </c:pt>
                <c:pt idx="99">
                  <c:v>43922</c:v>
                </c:pt>
                <c:pt idx="100">
                  <c:v>43952</c:v>
                </c:pt>
                <c:pt idx="101">
                  <c:v>43983</c:v>
                </c:pt>
                <c:pt idx="102">
                  <c:v>44013</c:v>
                </c:pt>
                <c:pt idx="103">
                  <c:v>44044</c:v>
                </c:pt>
                <c:pt idx="104">
                  <c:v>44075</c:v>
                </c:pt>
                <c:pt idx="105">
                  <c:v>44105</c:v>
                </c:pt>
                <c:pt idx="106">
                  <c:v>44136</c:v>
                </c:pt>
                <c:pt idx="107">
                  <c:v>44166</c:v>
                </c:pt>
                <c:pt idx="108">
                  <c:v>44197</c:v>
                </c:pt>
                <c:pt idx="109">
                  <c:v>44228</c:v>
                </c:pt>
                <c:pt idx="110">
                  <c:v>44256</c:v>
                </c:pt>
                <c:pt idx="111">
                  <c:v>44287</c:v>
                </c:pt>
                <c:pt idx="112">
                  <c:v>44317</c:v>
                </c:pt>
                <c:pt idx="113">
                  <c:v>44348</c:v>
                </c:pt>
                <c:pt idx="114">
                  <c:v>44378</c:v>
                </c:pt>
                <c:pt idx="115">
                  <c:v>44409</c:v>
                </c:pt>
                <c:pt idx="116">
                  <c:v>44440</c:v>
                </c:pt>
                <c:pt idx="117">
                  <c:v>44470</c:v>
                </c:pt>
                <c:pt idx="118">
                  <c:v>44501</c:v>
                </c:pt>
                <c:pt idx="119">
                  <c:v>44531</c:v>
                </c:pt>
                <c:pt idx="120">
                  <c:v>44562</c:v>
                </c:pt>
                <c:pt idx="121">
                  <c:v>44593</c:v>
                </c:pt>
                <c:pt idx="122">
                  <c:v>44621</c:v>
                </c:pt>
                <c:pt idx="123">
                  <c:v>44652</c:v>
                </c:pt>
                <c:pt idx="124">
                  <c:v>44682</c:v>
                </c:pt>
                <c:pt idx="125">
                  <c:v>44713</c:v>
                </c:pt>
                <c:pt idx="126">
                  <c:v>44743</c:v>
                </c:pt>
                <c:pt idx="127">
                  <c:v>44774</c:v>
                </c:pt>
                <c:pt idx="128">
                  <c:v>44805</c:v>
                </c:pt>
                <c:pt idx="129">
                  <c:v>44835</c:v>
                </c:pt>
                <c:pt idx="130">
                  <c:v>44866</c:v>
                </c:pt>
                <c:pt idx="131">
                  <c:v>44896</c:v>
                </c:pt>
                <c:pt idx="132">
                  <c:v>44927</c:v>
                </c:pt>
                <c:pt idx="133">
                  <c:v>44958</c:v>
                </c:pt>
                <c:pt idx="134">
                  <c:v>44986</c:v>
                </c:pt>
                <c:pt idx="135">
                  <c:v>45017</c:v>
                </c:pt>
                <c:pt idx="136">
                  <c:v>45047</c:v>
                </c:pt>
                <c:pt idx="137">
                  <c:v>45078</c:v>
                </c:pt>
                <c:pt idx="138">
                  <c:v>45108</c:v>
                </c:pt>
                <c:pt idx="139">
                  <c:v>45139</c:v>
                </c:pt>
                <c:pt idx="140">
                  <c:v>45170</c:v>
                </c:pt>
                <c:pt idx="141">
                  <c:v>45200</c:v>
                </c:pt>
                <c:pt idx="142">
                  <c:v>45231</c:v>
                </c:pt>
                <c:pt idx="143">
                  <c:v>45261</c:v>
                </c:pt>
                <c:pt idx="144">
                  <c:v>45292</c:v>
                </c:pt>
                <c:pt idx="145">
                  <c:v>45323</c:v>
                </c:pt>
                <c:pt idx="146">
                  <c:v>45352</c:v>
                </c:pt>
                <c:pt idx="147">
                  <c:v>45383</c:v>
                </c:pt>
                <c:pt idx="148">
                  <c:v>45413</c:v>
                </c:pt>
                <c:pt idx="149">
                  <c:v>45444</c:v>
                </c:pt>
                <c:pt idx="150">
                  <c:v>45474</c:v>
                </c:pt>
                <c:pt idx="151">
                  <c:v>45505</c:v>
                </c:pt>
                <c:pt idx="152">
                  <c:v>45536</c:v>
                </c:pt>
                <c:pt idx="153">
                  <c:v>45566</c:v>
                </c:pt>
                <c:pt idx="154">
                  <c:v>45597</c:v>
                </c:pt>
                <c:pt idx="155">
                  <c:v>45627</c:v>
                </c:pt>
                <c:pt idx="156">
                  <c:v>45658</c:v>
                </c:pt>
                <c:pt idx="157">
                  <c:v>45689</c:v>
                </c:pt>
                <c:pt idx="158">
                  <c:v>45717</c:v>
                </c:pt>
                <c:pt idx="159">
                  <c:v>45748</c:v>
                </c:pt>
                <c:pt idx="160">
                  <c:v>45778</c:v>
                </c:pt>
                <c:pt idx="161">
                  <c:v>45809</c:v>
                </c:pt>
                <c:pt idx="162">
                  <c:v>45839</c:v>
                </c:pt>
                <c:pt idx="163">
                  <c:v>45870</c:v>
                </c:pt>
                <c:pt idx="164">
                  <c:v>45901</c:v>
                </c:pt>
                <c:pt idx="165">
                  <c:v>45931</c:v>
                </c:pt>
                <c:pt idx="166">
                  <c:v>45962</c:v>
                </c:pt>
                <c:pt idx="167">
                  <c:v>45992</c:v>
                </c:pt>
              </c:numCache>
            </c:numRef>
          </c:cat>
          <c:val>
            <c:numRef>
              <c:f>'Net reserves'!$H$12:$FS$12</c:f>
              <c:numCache>
                <c:formatCode>_(* #,##0.00_);_(* \(#,##0.00\);_(* "-"??_);_(@_)</c:formatCode>
                <c:ptCount val="168"/>
                <c:pt idx="0">
                  <c:v>38906.998575167941</c:v>
                </c:pt>
                <c:pt idx="1">
                  <c:v>39046.497944890929</c:v>
                </c:pt>
                <c:pt idx="2">
                  <c:v>39370.86746295022</c:v>
                </c:pt>
                <c:pt idx="3">
                  <c:v>40023.011065726634</c:v>
                </c:pt>
                <c:pt idx="4">
                  <c:v>39947.098896877105</c:v>
                </c:pt>
                <c:pt idx="5">
                  <c:v>40166.411977900549</c:v>
                </c:pt>
                <c:pt idx="6">
                  <c:v>40038.853928961747</c:v>
                </c:pt>
                <c:pt idx="7">
                  <c:v>37843.96859333045</c:v>
                </c:pt>
                <c:pt idx="8">
                  <c:v>37575.449846055162</c:v>
                </c:pt>
                <c:pt idx="9">
                  <c:v>36594.867022756</c:v>
                </c:pt>
                <c:pt idx="10">
                  <c:v>36248.632582213031</c:v>
                </c:pt>
                <c:pt idx="11">
                  <c:v>33858.245082482637</c:v>
                </c:pt>
                <c:pt idx="12">
                  <c:v>33639.652914400802</c:v>
                </c:pt>
                <c:pt idx="13">
                  <c:v>32864.759206923991</c:v>
                </c:pt>
                <c:pt idx="14">
                  <c:v>31986.636406115253</c:v>
                </c:pt>
                <c:pt idx="15">
                  <c:v>30532.050004830915</c:v>
                </c:pt>
                <c:pt idx="16">
                  <c:v>29536.084389057756</c:v>
                </c:pt>
                <c:pt idx="17">
                  <c:v>28081.651767441861</c:v>
                </c:pt>
                <c:pt idx="18">
                  <c:v>27734.514824065638</c:v>
                </c:pt>
                <c:pt idx="19">
                  <c:v>24505.176215852796</c:v>
                </c:pt>
                <c:pt idx="20">
                  <c:v>22120.37997835498</c:v>
                </c:pt>
                <c:pt idx="21">
                  <c:v>20310.946687712152</c:v>
                </c:pt>
                <c:pt idx="22">
                  <c:v>17956.071322169584</c:v>
                </c:pt>
                <c:pt idx="23">
                  <c:v>16190.752109521616</c:v>
                </c:pt>
                <c:pt idx="24">
                  <c:v>13056.723419518376</c:v>
                </c:pt>
                <c:pt idx="25">
                  <c:v>14938.487648261758</c:v>
                </c:pt>
                <c:pt idx="26">
                  <c:v>15098.470637826958</c:v>
                </c:pt>
                <c:pt idx="27">
                  <c:v>17333.652050301811</c:v>
                </c:pt>
                <c:pt idx="28">
                  <c:v>17659.578244084682</c:v>
                </c:pt>
                <c:pt idx="29">
                  <c:v>17787.687395892612</c:v>
                </c:pt>
                <c:pt idx="30">
                  <c:v>17924.781815177481</c:v>
                </c:pt>
                <c:pt idx="31">
                  <c:v>17585.437026104661</c:v>
                </c:pt>
                <c:pt idx="32">
                  <c:v>17098.613221957039</c:v>
                </c:pt>
                <c:pt idx="33">
                  <c:v>16180.354955595027</c:v>
                </c:pt>
                <c:pt idx="34">
                  <c:v>16161.911415094341</c:v>
                </c:pt>
                <c:pt idx="35">
                  <c:v>17017.012331374855</c:v>
                </c:pt>
                <c:pt idx="36">
                  <c:v>15920.056030250144</c:v>
                </c:pt>
                <c:pt idx="37">
                  <c:v>15072.470691244242</c:v>
                </c:pt>
                <c:pt idx="38">
                  <c:v>14356.583329532494</c:v>
                </c:pt>
                <c:pt idx="39">
                  <c:v>16140.270902934535</c:v>
                </c:pt>
                <c:pt idx="40">
                  <c:v>15140.36801621017</c:v>
                </c:pt>
                <c:pt idx="41">
                  <c:v>14772.109690265483</c:v>
                </c:pt>
                <c:pt idx="42">
                  <c:v>14442.367754510666</c:v>
                </c:pt>
                <c:pt idx="43">
                  <c:v>12398.463513513514</c:v>
                </c:pt>
                <c:pt idx="44">
                  <c:v>10893.057666666668</c:v>
                </c:pt>
                <c:pt idx="45">
                  <c:v>3198.6177091004738</c:v>
                </c:pt>
                <c:pt idx="46">
                  <c:v>1874.9284878175222</c:v>
                </c:pt>
                <c:pt idx="47">
                  <c:v>518.24403816793802</c:v>
                </c:pt>
                <c:pt idx="48">
                  <c:v>1723.1509753265591</c:v>
                </c:pt>
                <c:pt idx="49">
                  <c:v>1919.3192993630564</c:v>
                </c:pt>
                <c:pt idx="50">
                  <c:v>1200.7828767123306</c:v>
                </c:pt>
                <c:pt idx="51">
                  <c:v>6360.8643146853155</c:v>
                </c:pt>
                <c:pt idx="52">
                  <c:v>88.657142857141025</c:v>
                </c:pt>
                <c:pt idx="53">
                  <c:v>48.545999999999822</c:v>
                </c:pt>
                <c:pt idx="54">
                  <c:v>5545.9323333333332</c:v>
                </c:pt>
                <c:pt idx="55">
                  <c:v>5645.1750402684593</c:v>
                </c:pt>
                <c:pt idx="56">
                  <c:v>4649.5621437908485</c:v>
                </c:pt>
                <c:pt idx="57">
                  <c:v>5188.6139999999959</c:v>
                </c:pt>
                <c:pt idx="58">
                  <c:v>9074.6260062893125</c:v>
                </c:pt>
                <c:pt idx="59">
                  <c:v>10199.106805031448</c:v>
                </c:pt>
                <c:pt idx="60">
                  <c:v>11054.057591194971</c:v>
                </c:pt>
                <c:pt idx="61">
                  <c:v>14560.62093548387</c:v>
                </c:pt>
                <c:pt idx="62">
                  <c:v>12624.572285714283</c:v>
                </c:pt>
                <c:pt idx="63">
                  <c:v>15490.423000000001</c:v>
                </c:pt>
                <c:pt idx="64">
                  <c:v>16478.938161490685</c:v>
                </c:pt>
                <c:pt idx="65">
                  <c:v>20954.054927710848</c:v>
                </c:pt>
                <c:pt idx="66">
                  <c:v>17545.550484419258</c:v>
                </c:pt>
                <c:pt idx="67">
                  <c:v>18303.026826589594</c:v>
                </c:pt>
                <c:pt idx="68">
                  <c:v>21395.025456647403</c:v>
                </c:pt>
                <c:pt idx="69">
                  <c:v>24794.264855524081</c:v>
                </c:pt>
                <c:pt idx="70">
                  <c:v>26060.35870520231</c:v>
                </c:pt>
                <c:pt idx="71">
                  <c:v>27697.552172043004</c:v>
                </c:pt>
                <c:pt idx="72">
                  <c:v>30741.244020408165</c:v>
                </c:pt>
                <c:pt idx="73">
                  <c:v>34591.384417910456</c:v>
                </c:pt>
                <c:pt idx="74">
                  <c:v>34716.354640776706</c:v>
                </c:pt>
                <c:pt idx="75">
                  <c:v>29223.103240875909</c:v>
                </c:pt>
                <c:pt idx="76">
                  <c:v>24148.697218787638</c:v>
                </c:pt>
                <c:pt idx="77">
                  <c:v>33821.579694444445</c:v>
                </c:pt>
                <c:pt idx="78">
                  <c:v>30433.54378311499</c:v>
                </c:pt>
                <c:pt idx="79">
                  <c:v>25123.016623978201</c:v>
                </c:pt>
                <c:pt idx="80">
                  <c:v>22409.42284082625</c:v>
                </c:pt>
                <c:pt idx="81">
                  <c:v>27326.383736401673</c:v>
                </c:pt>
                <c:pt idx="82">
                  <c:v>24239.983424242422</c:v>
                </c:pt>
                <c:pt idx="83">
                  <c:v>29260.467085106386</c:v>
                </c:pt>
                <c:pt idx="84">
                  <c:v>29698.982302013421</c:v>
                </c:pt>
                <c:pt idx="85">
                  <c:v>31192.162089628677</c:v>
                </c:pt>
                <c:pt idx="86">
                  <c:v>27971.487231213872</c:v>
                </c:pt>
                <c:pt idx="87">
                  <c:v>32717.437191827466</c:v>
                </c:pt>
                <c:pt idx="88">
                  <c:v>25601.864110613526</c:v>
                </c:pt>
                <c:pt idx="89">
                  <c:v>26080.139647780928</c:v>
                </c:pt>
                <c:pt idx="90">
                  <c:v>29112.000566925533</c:v>
                </c:pt>
                <c:pt idx="91">
                  <c:v>20709.512752735231</c:v>
                </c:pt>
                <c:pt idx="92">
                  <c:v>17724.943015828838</c:v>
                </c:pt>
                <c:pt idx="93">
                  <c:v>12663.577102064799</c:v>
                </c:pt>
                <c:pt idx="94">
                  <c:v>13105.19044919786</c:v>
                </c:pt>
                <c:pt idx="95">
                  <c:v>13370.596780063557</c:v>
                </c:pt>
                <c:pt idx="96">
                  <c:v>11773.954726141079</c:v>
                </c:pt>
                <c:pt idx="97">
                  <c:v>10914.487234422801</c:v>
                </c:pt>
                <c:pt idx="98">
                  <c:v>10374.872488426285</c:v>
                </c:pt>
                <c:pt idx="99">
                  <c:v>9597.4023578064116</c:v>
                </c:pt>
                <c:pt idx="100">
                  <c:v>8083.1896370543545</c:v>
                </c:pt>
                <c:pt idx="101">
                  <c:v>9121.5612836839118</c:v>
                </c:pt>
                <c:pt idx="102">
                  <c:v>8453.3234148435331</c:v>
                </c:pt>
                <c:pt idx="103">
                  <c:v>6768.7705637149038</c:v>
                </c:pt>
                <c:pt idx="104">
                  <c:v>4712.6394111461595</c:v>
                </c:pt>
                <c:pt idx="105">
                  <c:v>3420.9222983891596</c:v>
                </c:pt>
                <c:pt idx="106">
                  <c:v>2412.8780077576657</c:v>
                </c:pt>
                <c:pt idx="107">
                  <c:v>3023.2615336109448</c:v>
                </c:pt>
                <c:pt idx="108">
                  <c:v>2402.9540510145603</c:v>
                </c:pt>
                <c:pt idx="109">
                  <c:v>2391.6270410164962</c:v>
                </c:pt>
                <c:pt idx="110">
                  <c:v>3370.6869575625692</c:v>
                </c:pt>
                <c:pt idx="111">
                  <c:v>4365.5023434624436</c:v>
                </c:pt>
                <c:pt idx="112">
                  <c:v>5811.304066363733</c:v>
                </c:pt>
                <c:pt idx="113">
                  <c:v>6331.136371888726</c:v>
                </c:pt>
                <c:pt idx="114">
                  <c:v>5880.4108686199424</c:v>
                </c:pt>
                <c:pt idx="115">
                  <c:v>9319.3738496517799</c:v>
                </c:pt>
                <c:pt idx="116">
                  <c:v>5618.8750519059204</c:v>
                </c:pt>
                <c:pt idx="117">
                  <c:v>5301.5250092350943</c:v>
                </c:pt>
                <c:pt idx="118">
                  <c:v>4366.583978782468</c:v>
                </c:pt>
                <c:pt idx="119">
                  <c:v>2105.9048739037198</c:v>
                </c:pt>
                <c:pt idx="120">
                  <c:v>-216.33949294700915</c:v>
                </c:pt>
                <c:pt idx="121">
                  <c:v>-1260.222220307408</c:v>
                </c:pt>
                <c:pt idx="122">
                  <c:v>5439.7140736633282</c:v>
                </c:pt>
                <c:pt idx="123">
                  <c:v>4496.4023824320784</c:v>
                </c:pt>
                <c:pt idx="124">
                  <c:v>4554.7966061615316</c:v>
                </c:pt>
                <c:pt idx="125">
                  <c:v>6506.8330095900237</c:v>
                </c:pt>
                <c:pt idx="126">
                  <c:v>2208.9700495540114</c:v>
                </c:pt>
                <c:pt idx="127">
                  <c:v>1157.1931739161773</c:v>
                </c:pt>
                <c:pt idx="128">
                  <c:v>3241.1755603858182</c:v>
                </c:pt>
                <c:pt idx="129">
                  <c:v>4640.382394553917</c:v>
                </c:pt>
                <c:pt idx="130">
                  <c:v>2903.3695348725914</c:v>
                </c:pt>
                <c:pt idx="131">
                  <c:v>8263.1674674121768</c:v>
                </c:pt>
                <c:pt idx="132">
                  <c:v>3664.4496928838971</c:v>
                </c:pt>
                <c:pt idx="133">
                  <c:v>1569.238343060139</c:v>
                </c:pt>
                <c:pt idx="134">
                  <c:v>2260.9612811646944</c:v>
                </c:pt>
                <c:pt idx="135">
                  <c:v>-851.12050916936323</c:v>
                </c:pt>
                <c:pt idx="136">
                  <c:v>-2080.4003330547425</c:v>
                </c:pt>
                <c:pt idx="137">
                  <c:v>-6004.2538791422994</c:v>
                </c:pt>
                <c:pt idx="138">
                  <c:v>-9253.2675286311569</c:v>
                </c:pt>
                <c:pt idx="139">
                  <c:v>-5193.4252246065826</c:v>
                </c:pt>
                <c:pt idx="140">
                  <c:v>-6037.6053805980828</c:v>
                </c:pt>
                <c:pt idx="141">
                  <c:v>-9968.3402460658072</c:v>
                </c:pt>
                <c:pt idx="142">
                  <c:v>-11573.153722222221</c:v>
                </c:pt>
                <c:pt idx="143">
                  <c:v>-10458.519459198216</c:v>
                </c:pt>
                <c:pt idx="144">
                  <c:v>-6392.7489203539808</c:v>
                </c:pt>
                <c:pt idx="145">
                  <c:v>-6838.457993814678</c:v>
                </c:pt>
                <c:pt idx="146">
                  <c:v>-6194.3803899591348</c:v>
                </c:pt>
                <c:pt idx="147">
                  <c:v>-5440.8976571428584</c:v>
                </c:pt>
                <c:pt idx="148">
                  <c:v>-4172.3784563758391</c:v>
                </c:pt>
                <c:pt idx="149">
                  <c:v>-3839.3036562328416</c:v>
                </c:pt>
                <c:pt idx="150">
                  <c:v>-7959.7091628156904</c:v>
                </c:pt>
                <c:pt idx="151">
                  <c:v>-8037.7708361344557</c:v>
                </c:pt>
                <c:pt idx="152">
                  <c:v>-9253.5249184726508</c:v>
                </c:pt>
                <c:pt idx="153">
                  <c:v>-9687.3949934376597</c:v>
                </c:pt>
                <c:pt idx="154">
                  <c:v>-8626.9543366336638</c:v>
                </c:pt>
                <c:pt idx="155">
                  <c:v>-7689.382901018922</c:v>
                </c:pt>
                <c:pt idx="156">
                  <c:v>-10201.130159695815</c:v>
                </c:pt>
                <c:pt idx="157">
                  <c:v>-9969.4380557253698</c:v>
                </c:pt>
                <c:pt idx="158">
                  <c:v>-12691.473023310024</c:v>
                </c:pt>
                <c:pt idx="159">
                  <c:v>-1440.0768168168161</c:v>
                </c:pt>
                <c:pt idx="160">
                  <c:v>-1873.905052809464</c:v>
                </c:pt>
                <c:pt idx="161">
                  <c:v>1554.2583969179523</c:v>
                </c:pt>
                <c:pt idx="162">
                  <c:v>-391.95792332968449</c:v>
                </c:pt>
                <c:pt idx="163">
                  <c:v>399.23861682243205</c:v>
                </c:pt>
                <c:pt idx="164">
                  <c:v>-528.23029661941109</c:v>
                </c:pt>
                <c:pt idx="165">
                  <c:v>-6714.4721926414413</c:v>
                </c:pt>
                <c:pt idx="166">
                  <c:v>-8255.7022273669663</c:v>
                </c:pt>
                <c:pt idx="167">
                  <c:v>-4491.7471875215451</c:v>
                </c:pt>
              </c:numCache>
            </c:numRef>
          </c:val>
          <c:extLst>
            <c:ext xmlns:c16="http://schemas.microsoft.com/office/drawing/2014/chart" uri="{C3380CC4-5D6E-409C-BE32-E72D297353CC}">
              <c16:uniqueId val="{00000000-BDE1-4B25-912F-63E403EF86D8}"/>
            </c:ext>
          </c:extLst>
        </c:ser>
        <c:ser>
          <c:idx val="1"/>
          <c:order val="1"/>
          <c:tx>
            <c:strRef>
              <c:f>'Net reserves'!$A$13</c:f>
              <c:strCache>
                <c:ptCount val="1"/>
                <c:pt idx="0">
                  <c:v>Repos</c:v>
                </c:pt>
              </c:strCache>
            </c:strRef>
          </c:tx>
          <c:spPr>
            <a:solidFill>
              <a:srgbClr val="969696"/>
            </a:solidFill>
            <a:ln w="12700">
              <a:noFill/>
              <a:prstDash val="solid"/>
            </a:ln>
            <a:effectLst/>
          </c:spPr>
          <c:cat>
            <c:numRef>
              <c:f>'Net reserves'!$H$10:$FS$10</c:f>
              <c:numCache>
                <c:formatCode>mmm\-yy</c:formatCode>
                <c:ptCount val="168"/>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pt idx="14">
                  <c:v>41334</c:v>
                </c:pt>
                <c:pt idx="15">
                  <c:v>41365</c:v>
                </c:pt>
                <c:pt idx="16">
                  <c:v>41395</c:v>
                </c:pt>
                <c:pt idx="17">
                  <c:v>41426</c:v>
                </c:pt>
                <c:pt idx="18">
                  <c:v>41456</c:v>
                </c:pt>
                <c:pt idx="19">
                  <c:v>41487</c:v>
                </c:pt>
                <c:pt idx="20">
                  <c:v>41518</c:v>
                </c:pt>
                <c:pt idx="21">
                  <c:v>41548</c:v>
                </c:pt>
                <c:pt idx="22">
                  <c:v>41579</c:v>
                </c:pt>
                <c:pt idx="23">
                  <c:v>41609</c:v>
                </c:pt>
                <c:pt idx="24">
                  <c:v>41640</c:v>
                </c:pt>
                <c:pt idx="25">
                  <c:v>41671</c:v>
                </c:pt>
                <c:pt idx="26">
                  <c:v>41699</c:v>
                </c:pt>
                <c:pt idx="27">
                  <c:v>41730</c:v>
                </c:pt>
                <c:pt idx="28">
                  <c:v>41760</c:v>
                </c:pt>
                <c:pt idx="29">
                  <c:v>41791</c:v>
                </c:pt>
                <c:pt idx="30">
                  <c:v>41821</c:v>
                </c:pt>
                <c:pt idx="31">
                  <c:v>41852</c:v>
                </c:pt>
                <c:pt idx="32">
                  <c:v>41883</c:v>
                </c:pt>
                <c:pt idx="33">
                  <c:v>41913</c:v>
                </c:pt>
                <c:pt idx="34">
                  <c:v>41944</c:v>
                </c:pt>
                <c:pt idx="35">
                  <c:v>41974</c:v>
                </c:pt>
                <c:pt idx="36">
                  <c:v>42005</c:v>
                </c:pt>
                <c:pt idx="37">
                  <c:v>42036</c:v>
                </c:pt>
                <c:pt idx="38">
                  <c:v>42064</c:v>
                </c:pt>
                <c:pt idx="39">
                  <c:v>42095</c:v>
                </c:pt>
                <c:pt idx="40">
                  <c:v>42125</c:v>
                </c:pt>
                <c:pt idx="41">
                  <c:v>42156</c:v>
                </c:pt>
                <c:pt idx="42">
                  <c:v>42186</c:v>
                </c:pt>
                <c:pt idx="43">
                  <c:v>42217</c:v>
                </c:pt>
                <c:pt idx="44">
                  <c:v>42248</c:v>
                </c:pt>
                <c:pt idx="45">
                  <c:v>42278</c:v>
                </c:pt>
                <c:pt idx="46">
                  <c:v>42309</c:v>
                </c:pt>
                <c:pt idx="47">
                  <c:v>42339</c:v>
                </c:pt>
                <c:pt idx="48">
                  <c:v>42370</c:v>
                </c:pt>
                <c:pt idx="49">
                  <c:v>42401</c:v>
                </c:pt>
                <c:pt idx="50">
                  <c:v>42430</c:v>
                </c:pt>
                <c:pt idx="51">
                  <c:v>42461</c:v>
                </c:pt>
                <c:pt idx="52">
                  <c:v>42491</c:v>
                </c:pt>
                <c:pt idx="53">
                  <c:v>42522</c:v>
                </c:pt>
                <c:pt idx="54">
                  <c:v>42552</c:v>
                </c:pt>
                <c:pt idx="55">
                  <c:v>42583</c:v>
                </c:pt>
                <c:pt idx="56">
                  <c:v>42614</c:v>
                </c:pt>
                <c:pt idx="57">
                  <c:v>42644</c:v>
                </c:pt>
                <c:pt idx="58">
                  <c:v>42675</c:v>
                </c:pt>
                <c:pt idx="59">
                  <c:v>42705</c:v>
                </c:pt>
                <c:pt idx="60">
                  <c:v>42736</c:v>
                </c:pt>
                <c:pt idx="61">
                  <c:v>42767</c:v>
                </c:pt>
                <c:pt idx="62">
                  <c:v>42795</c:v>
                </c:pt>
                <c:pt idx="63">
                  <c:v>42826</c:v>
                </c:pt>
                <c:pt idx="64">
                  <c:v>42856</c:v>
                </c:pt>
                <c:pt idx="65">
                  <c:v>42887</c:v>
                </c:pt>
                <c:pt idx="66">
                  <c:v>42917</c:v>
                </c:pt>
                <c:pt idx="67">
                  <c:v>42948</c:v>
                </c:pt>
                <c:pt idx="68">
                  <c:v>42979</c:v>
                </c:pt>
                <c:pt idx="69">
                  <c:v>43009</c:v>
                </c:pt>
                <c:pt idx="70">
                  <c:v>43040</c:v>
                </c:pt>
                <c:pt idx="71">
                  <c:v>43070</c:v>
                </c:pt>
                <c:pt idx="72">
                  <c:v>43101</c:v>
                </c:pt>
                <c:pt idx="73">
                  <c:v>43132</c:v>
                </c:pt>
                <c:pt idx="74">
                  <c:v>43160</c:v>
                </c:pt>
                <c:pt idx="75">
                  <c:v>43191</c:v>
                </c:pt>
                <c:pt idx="76">
                  <c:v>43221</c:v>
                </c:pt>
                <c:pt idx="77">
                  <c:v>43252</c:v>
                </c:pt>
                <c:pt idx="78">
                  <c:v>43282</c:v>
                </c:pt>
                <c:pt idx="79">
                  <c:v>43313</c:v>
                </c:pt>
                <c:pt idx="80">
                  <c:v>43344</c:v>
                </c:pt>
                <c:pt idx="81">
                  <c:v>43374</c:v>
                </c:pt>
                <c:pt idx="82">
                  <c:v>43405</c:v>
                </c:pt>
                <c:pt idx="83">
                  <c:v>43435</c:v>
                </c:pt>
                <c:pt idx="84">
                  <c:v>43466</c:v>
                </c:pt>
                <c:pt idx="85">
                  <c:v>43497</c:v>
                </c:pt>
                <c:pt idx="86">
                  <c:v>43525</c:v>
                </c:pt>
                <c:pt idx="87">
                  <c:v>43556</c:v>
                </c:pt>
                <c:pt idx="88">
                  <c:v>43586</c:v>
                </c:pt>
                <c:pt idx="89">
                  <c:v>43617</c:v>
                </c:pt>
                <c:pt idx="90">
                  <c:v>43647</c:v>
                </c:pt>
                <c:pt idx="91">
                  <c:v>43678</c:v>
                </c:pt>
                <c:pt idx="92">
                  <c:v>43709</c:v>
                </c:pt>
                <c:pt idx="93">
                  <c:v>43739</c:v>
                </c:pt>
                <c:pt idx="94">
                  <c:v>43770</c:v>
                </c:pt>
                <c:pt idx="95">
                  <c:v>43800</c:v>
                </c:pt>
                <c:pt idx="96">
                  <c:v>43831</c:v>
                </c:pt>
                <c:pt idx="97">
                  <c:v>43862</c:v>
                </c:pt>
                <c:pt idx="98">
                  <c:v>43891</c:v>
                </c:pt>
                <c:pt idx="99">
                  <c:v>43922</c:v>
                </c:pt>
                <c:pt idx="100">
                  <c:v>43952</c:v>
                </c:pt>
                <c:pt idx="101">
                  <c:v>43983</c:v>
                </c:pt>
                <c:pt idx="102">
                  <c:v>44013</c:v>
                </c:pt>
                <c:pt idx="103">
                  <c:v>44044</c:v>
                </c:pt>
                <c:pt idx="104">
                  <c:v>44075</c:v>
                </c:pt>
                <c:pt idx="105">
                  <c:v>44105</c:v>
                </c:pt>
                <c:pt idx="106">
                  <c:v>44136</c:v>
                </c:pt>
                <c:pt idx="107">
                  <c:v>44166</c:v>
                </c:pt>
                <c:pt idx="108">
                  <c:v>44197</c:v>
                </c:pt>
                <c:pt idx="109">
                  <c:v>44228</c:v>
                </c:pt>
                <c:pt idx="110">
                  <c:v>44256</c:v>
                </c:pt>
                <c:pt idx="111">
                  <c:v>44287</c:v>
                </c:pt>
                <c:pt idx="112">
                  <c:v>44317</c:v>
                </c:pt>
                <c:pt idx="113">
                  <c:v>44348</c:v>
                </c:pt>
                <c:pt idx="114">
                  <c:v>44378</c:v>
                </c:pt>
                <c:pt idx="115">
                  <c:v>44409</c:v>
                </c:pt>
                <c:pt idx="116">
                  <c:v>44440</c:v>
                </c:pt>
                <c:pt idx="117">
                  <c:v>44470</c:v>
                </c:pt>
                <c:pt idx="118">
                  <c:v>44501</c:v>
                </c:pt>
                <c:pt idx="119">
                  <c:v>44531</c:v>
                </c:pt>
                <c:pt idx="120">
                  <c:v>44562</c:v>
                </c:pt>
                <c:pt idx="121">
                  <c:v>44593</c:v>
                </c:pt>
                <c:pt idx="122">
                  <c:v>44621</c:v>
                </c:pt>
                <c:pt idx="123">
                  <c:v>44652</c:v>
                </c:pt>
                <c:pt idx="124">
                  <c:v>44682</c:v>
                </c:pt>
                <c:pt idx="125">
                  <c:v>44713</c:v>
                </c:pt>
                <c:pt idx="126">
                  <c:v>44743</c:v>
                </c:pt>
                <c:pt idx="127">
                  <c:v>44774</c:v>
                </c:pt>
                <c:pt idx="128">
                  <c:v>44805</c:v>
                </c:pt>
                <c:pt idx="129">
                  <c:v>44835</c:v>
                </c:pt>
                <c:pt idx="130">
                  <c:v>44866</c:v>
                </c:pt>
                <c:pt idx="131">
                  <c:v>44896</c:v>
                </c:pt>
                <c:pt idx="132">
                  <c:v>44927</c:v>
                </c:pt>
                <c:pt idx="133">
                  <c:v>44958</c:v>
                </c:pt>
                <c:pt idx="134">
                  <c:v>44986</c:v>
                </c:pt>
                <c:pt idx="135">
                  <c:v>45017</c:v>
                </c:pt>
                <c:pt idx="136">
                  <c:v>45047</c:v>
                </c:pt>
                <c:pt idx="137">
                  <c:v>45078</c:v>
                </c:pt>
                <c:pt idx="138">
                  <c:v>45108</c:v>
                </c:pt>
                <c:pt idx="139">
                  <c:v>45139</c:v>
                </c:pt>
                <c:pt idx="140">
                  <c:v>45170</c:v>
                </c:pt>
                <c:pt idx="141">
                  <c:v>45200</c:v>
                </c:pt>
                <c:pt idx="142">
                  <c:v>45231</c:v>
                </c:pt>
                <c:pt idx="143">
                  <c:v>45261</c:v>
                </c:pt>
                <c:pt idx="144">
                  <c:v>45292</c:v>
                </c:pt>
                <c:pt idx="145">
                  <c:v>45323</c:v>
                </c:pt>
                <c:pt idx="146">
                  <c:v>45352</c:v>
                </c:pt>
                <c:pt idx="147">
                  <c:v>45383</c:v>
                </c:pt>
                <c:pt idx="148">
                  <c:v>45413</c:v>
                </c:pt>
                <c:pt idx="149">
                  <c:v>45444</c:v>
                </c:pt>
                <c:pt idx="150">
                  <c:v>45474</c:v>
                </c:pt>
                <c:pt idx="151">
                  <c:v>45505</c:v>
                </c:pt>
                <c:pt idx="152">
                  <c:v>45536</c:v>
                </c:pt>
                <c:pt idx="153">
                  <c:v>45566</c:v>
                </c:pt>
                <c:pt idx="154">
                  <c:v>45597</c:v>
                </c:pt>
                <c:pt idx="155">
                  <c:v>45627</c:v>
                </c:pt>
                <c:pt idx="156">
                  <c:v>45658</c:v>
                </c:pt>
                <c:pt idx="157">
                  <c:v>45689</c:v>
                </c:pt>
                <c:pt idx="158">
                  <c:v>45717</c:v>
                </c:pt>
                <c:pt idx="159">
                  <c:v>45748</c:v>
                </c:pt>
                <c:pt idx="160">
                  <c:v>45778</c:v>
                </c:pt>
                <c:pt idx="161">
                  <c:v>45809</c:v>
                </c:pt>
                <c:pt idx="162">
                  <c:v>45839</c:v>
                </c:pt>
                <c:pt idx="163">
                  <c:v>45870</c:v>
                </c:pt>
                <c:pt idx="164">
                  <c:v>45901</c:v>
                </c:pt>
                <c:pt idx="165">
                  <c:v>45931</c:v>
                </c:pt>
                <c:pt idx="166">
                  <c:v>45962</c:v>
                </c:pt>
                <c:pt idx="167">
                  <c:v>45992</c:v>
                </c:pt>
              </c:numCache>
            </c:numRef>
          </c:cat>
          <c:val>
            <c:numRef>
              <c:f>'Net reserves'!$H$13:$FS$13</c:f>
              <c:numCache>
                <c:formatCode>0.000</c:formatCode>
                <c:ptCount val="168"/>
                <c:pt idx="0" formatCode="_(* #,##0.00_);_(* \(#,##0.00\);_(* &quot;-&quot;??_);_(@_)">
                  <c:v>946.60299999999995</c:v>
                </c:pt>
                <c:pt idx="1">
                  <c:v>966.99</c:v>
                </c:pt>
                <c:pt idx="2">
                  <c:v>881.43100000000004</c:v>
                </c:pt>
                <c:pt idx="3">
                  <c:v>860.15200000000004</c:v>
                </c:pt>
                <c:pt idx="4">
                  <c:v>911.31</c:v>
                </c:pt>
                <c:pt idx="5">
                  <c:v>946.47199999999998</c:v>
                </c:pt>
                <c:pt idx="6">
                  <c:v>957.15700000000004</c:v>
                </c:pt>
                <c:pt idx="7">
                  <c:v>951.10199999999998</c:v>
                </c:pt>
                <c:pt idx="8">
                  <c:v>755.91</c:v>
                </c:pt>
                <c:pt idx="9">
                  <c:v>931.53499999999997</c:v>
                </c:pt>
                <c:pt idx="10">
                  <c:v>915.779</c:v>
                </c:pt>
                <c:pt idx="11">
                  <c:v>931.85699999999997</c:v>
                </c:pt>
                <c:pt idx="12">
                  <c:v>789.19200000000001</c:v>
                </c:pt>
                <c:pt idx="13">
                  <c:v>1044.201</c:v>
                </c:pt>
                <c:pt idx="14">
                  <c:v>860.12800000000004</c:v>
                </c:pt>
                <c:pt idx="15">
                  <c:v>1012.607</c:v>
                </c:pt>
                <c:pt idx="16">
                  <c:v>1037.4839999999999</c:v>
                </c:pt>
                <c:pt idx="17">
                  <c:v>960.81799999999998</c:v>
                </c:pt>
                <c:pt idx="18">
                  <c:v>983.05399999999997</c:v>
                </c:pt>
                <c:pt idx="19">
                  <c:v>997.76800000000003</c:v>
                </c:pt>
                <c:pt idx="20">
                  <c:v>1001.026</c:v>
                </c:pt>
                <c:pt idx="21">
                  <c:v>997.55</c:v>
                </c:pt>
                <c:pt idx="22">
                  <c:v>946.98500000000001</c:v>
                </c:pt>
                <c:pt idx="23">
                  <c:v>1046.0640000000001</c:v>
                </c:pt>
                <c:pt idx="24">
                  <c:v>977.45399999999995</c:v>
                </c:pt>
                <c:pt idx="25">
                  <c:v>1016.703</c:v>
                </c:pt>
                <c:pt idx="26">
                  <c:v>1015.023</c:v>
                </c:pt>
                <c:pt idx="27">
                  <c:v>995.93600000000004</c:v>
                </c:pt>
                <c:pt idx="28">
                  <c:v>1010.849</c:v>
                </c:pt>
                <c:pt idx="29">
                  <c:v>1066.2719999999999</c:v>
                </c:pt>
                <c:pt idx="30">
                  <c:v>1074.087</c:v>
                </c:pt>
                <c:pt idx="31">
                  <c:v>947.58500000000004</c:v>
                </c:pt>
                <c:pt idx="32">
                  <c:v>966.4</c:v>
                </c:pt>
                <c:pt idx="33">
                  <c:v>1806.8</c:v>
                </c:pt>
                <c:pt idx="34">
                  <c:v>2534.77</c:v>
                </c:pt>
                <c:pt idx="35">
                  <c:v>3539.6210000000001</c:v>
                </c:pt>
                <c:pt idx="36">
                  <c:v>4384.6859999999997</c:v>
                </c:pt>
                <c:pt idx="37">
                  <c:v>4605.12</c:v>
                </c:pt>
                <c:pt idx="38">
                  <c:v>6323.88</c:v>
                </c:pt>
                <c:pt idx="39">
                  <c:v>7387.5870000000004</c:v>
                </c:pt>
                <c:pt idx="40">
                  <c:v>8032.65</c:v>
                </c:pt>
                <c:pt idx="41">
                  <c:v>9029.152</c:v>
                </c:pt>
                <c:pt idx="42">
                  <c:v>9051.3989999999994</c:v>
                </c:pt>
                <c:pt idx="43">
                  <c:v>11073.554</c:v>
                </c:pt>
                <c:pt idx="44">
                  <c:v>12119.123</c:v>
                </c:pt>
                <c:pt idx="45">
                  <c:v>12167.887000000001</c:v>
                </c:pt>
                <c:pt idx="46">
                  <c:v>12024.418</c:v>
                </c:pt>
                <c:pt idx="47">
                  <c:v>11855.968000000001</c:v>
                </c:pt>
                <c:pt idx="48">
                  <c:v>16647.13</c:v>
                </c:pt>
                <c:pt idx="49">
                  <c:v>16749.713</c:v>
                </c:pt>
                <c:pt idx="50">
                  <c:v>16923.009999999998</c:v>
                </c:pt>
                <c:pt idx="51">
                  <c:v>16793.02</c:v>
                </c:pt>
                <c:pt idx="52">
                  <c:v>16627.52</c:v>
                </c:pt>
                <c:pt idx="53">
                  <c:v>16627.708999999999</c:v>
                </c:pt>
                <c:pt idx="54">
                  <c:v>12587.683000000001</c:v>
                </c:pt>
                <c:pt idx="55">
                  <c:v>12515.293</c:v>
                </c:pt>
                <c:pt idx="56">
                  <c:v>12609.707</c:v>
                </c:pt>
                <c:pt idx="57">
                  <c:v>12448.271000000001</c:v>
                </c:pt>
                <c:pt idx="58">
                  <c:v>12381.31</c:v>
                </c:pt>
                <c:pt idx="59">
                  <c:v>11356.553</c:v>
                </c:pt>
                <c:pt idx="60">
                  <c:v>11446.907999999999</c:v>
                </c:pt>
                <c:pt idx="61">
                  <c:v>11468.630999999999</c:v>
                </c:pt>
                <c:pt idx="62">
                  <c:v>11449.512000000001</c:v>
                </c:pt>
                <c:pt idx="63">
                  <c:v>11431.428</c:v>
                </c:pt>
                <c:pt idx="64">
                  <c:v>11542.815000000001</c:v>
                </c:pt>
                <c:pt idx="65">
                  <c:v>11598.343000000001</c:v>
                </c:pt>
                <c:pt idx="66">
                  <c:v>11685.476000000001</c:v>
                </c:pt>
                <c:pt idx="67">
                  <c:v>11888.378000000001</c:v>
                </c:pt>
                <c:pt idx="68">
                  <c:v>11824.723</c:v>
                </c:pt>
                <c:pt idx="69">
                  <c:v>11825.583000000001</c:v>
                </c:pt>
                <c:pt idx="70">
                  <c:v>11865.606</c:v>
                </c:pt>
                <c:pt idx="71">
                  <c:v>12032.361000000001</c:v>
                </c:pt>
                <c:pt idx="72">
                  <c:v>12402.424000000001</c:v>
                </c:pt>
                <c:pt idx="73">
                  <c:v>12170.543</c:v>
                </c:pt>
                <c:pt idx="74">
                  <c:v>12228.329</c:v>
                </c:pt>
                <c:pt idx="75">
                  <c:v>12167.77</c:v>
                </c:pt>
                <c:pt idx="76">
                  <c:v>12007.273999999999</c:v>
                </c:pt>
                <c:pt idx="77">
                  <c:v>11661.584999999999</c:v>
                </c:pt>
                <c:pt idx="78">
                  <c:v>11352.554</c:v>
                </c:pt>
                <c:pt idx="79">
                  <c:v>11325.163</c:v>
                </c:pt>
                <c:pt idx="80">
                  <c:v>11268.816000000001</c:v>
                </c:pt>
                <c:pt idx="81">
                  <c:v>11111.709000000001</c:v>
                </c:pt>
                <c:pt idx="82">
                  <c:v>11161.65</c:v>
                </c:pt>
                <c:pt idx="83">
                  <c:v>19978.878000000001</c:v>
                </c:pt>
                <c:pt idx="84">
                  <c:v>20481.652999999998</c:v>
                </c:pt>
                <c:pt idx="85">
                  <c:v>20499.167000000001</c:v>
                </c:pt>
                <c:pt idx="86">
                  <c:v>20446.78</c:v>
                </c:pt>
                <c:pt idx="87">
                  <c:v>20381.349999999999</c:v>
                </c:pt>
                <c:pt idx="88">
                  <c:v>19909.363000000001</c:v>
                </c:pt>
                <c:pt idx="89">
                  <c:v>20017.776000000002</c:v>
                </c:pt>
                <c:pt idx="90">
                  <c:v>19971.689999999999</c:v>
                </c:pt>
                <c:pt idx="91">
                  <c:v>19256.612000000001</c:v>
                </c:pt>
                <c:pt idx="92">
                  <c:v>19279.75</c:v>
                </c:pt>
                <c:pt idx="93">
                  <c:v>19566.439999999999</c:v>
                </c:pt>
                <c:pt idx="94">
                  <c:v>19590.718000000001</c:v>
                </c:pt>
                <c:pt idx="95">
                  <c:v>19831.921999999999</c:v>
                </c:pt>
                <c:pt idx="96">
                  <c:v>20030.636999999999</c:v>
                </c:pt>
                <c:pt idx="97">
                  <c:v>20093.460999999999</c:v>
                </c:pt>
                <c:pt idx="98">
                  <c:v>19914.538</c:v>
                </c:pt>
                <c:pt idx="99">
                  <c:v>19745.506000000001</c:v>
                </c:pt>
                <c:pt idx="100">
                  <c:v>19828.904999999999</c:v>
                </c:pt>
                <c:pt idx="101">
                  <c:v>20057.482</c:v>
                </c:pt>
                <c:pt idx="102">
                  <c:v>20295.344000000001</c:v>
                </c:pt>
                <c:pt idx="103">
                  <c:v>20741.072</c:v>
                </c:pt>
                <c:pt idx="104">
                  <c:v>20902.346000000001</c:v>
                </c:pt>
                <c:pt idx="105">
                  <c:v>21187.188999999998</c:v>
                </c:pt>
                <c:pt idx="106">
                  <c:v>21519.96</c:v>
                </c:pt>
                <c:pt idx="107">
                  <c:v>21676.752</c:v>
                </c:pt>
                <c:pt idx="108">
                  <c:v>21983.675999999999</c:v>
                </c:pt>
                <c:pt idx="109">
                  <c:v>21842.288</c:v>
                </c:pt>
                <c:pt idx="110">
                  <c:v>21599.796999999999</c:v>
                </c:pt>
                <c:pt idx="111">
                  <c:v>21838.749</c:v>
                </c:pt>
                <c:pt idx="112">
                  <c:v>22168.657999999999</c:v>
                </c:pt>
                <c:pt idx="113">
                  <c:v>21894.092000000001</c:v>
                </c:pt>
                <c:pt idx="114">
                  <c:v>21880.973999999998</c:v>
                </c:pt>
                <c:pt idx="115">
                  <c:v>21883.883000000002</c:v>
                </c:pt>
                <c:pt idx="116">
                  <c:v>21934.264999999999</c:v>
                </c:pt>
                <c:pt idx="117">
                  <c:v>22056.955999999998</c:v>
                </c:pt>
                <c:pt idx="118">
                  <c:v>22187.703000000001</c:v>
                </c:pt>
                <c:pt idx="119">
                  <c:v>22214.169000000002</c:v>
                </c:pt>
                <c:pt idx="120">
                  <c:v>22197.311000000002</c:v>
                </c:pt>
                <c:pt idx="121">
                  <c:v>22337.167000000001</c:v>
                </c:pt>
                <c:pt idx="122">
                  <c:v>22263.093000000001</c:v>
                </c:pt>
                <c:pt idx="123">
                  <c:v>21429.756000000001</c:v>
                </c:pt>
                <c:pt idx="124">
                  <c:v>21244.647000000001</c:v>
                </c:pt>
                <c:pt idx="125">
                  <c:v>21162.987000000001</c:v>
                </c:pt>
                <c:pt idx="126">
                  <c:v>21036.291000000001</c:v>
                </c:pt>
                <c:pt idx="127">
                  <c:v>20630.434000000001</c:v>
                </c:pt>
                <c:pt idx="128">
                  <c:v>20035.154999999999</c:v>
                </c:pt>
                <c:pt idx="129">
                  <c:v>19562.865000000002</c:v>
                </c:pt>
                <c:pt idx="130">
                  <c:v>20098.579000000002</c:v>
                </c:pt>
                <c:pt idx="131">
                  <c:v>20624.513999999999</c:v>
                </c:pt>
                <c:pt idx="132">
                  <c:v>21036.054</c:v>
                </c:pt>
                <c:pt idx="133">
                  <c:v>20548.803</c:v>
                </c:pt>
                <c:pt idx="134">
                  <c:v>20743.813000000002</c:v>
                </c:pt>
                <c:pt idx="135">
                  <c:v>20657.850999999999</c:v>
                </c:pt>
                <c:pt idx="136">
                  <c:v>20161.339</c:v>
                </c:pt>
                <c:pt idx="137">
                  <c:v>19815.797999999999</c:v>
                </c:pt>
                <c:pt idx="138">
                  <c:v>20037.231</c:v>
                </c:pt>
                <c:pt idx="139">
                  <c:v>19776.272000000001</c:v>
                </c:pt>
                <c:pt idx="140">
                  <c:v>19709.003000000001</c:v>
                </c:pt>
                <c:pt idx="141">
                  <c:v>19694.37</c:v>
                </c:pt>
                <c:pt idx="142">
                  <c:v>20179.53</c:v>
                </c:pt>
                <c:pt idx="143">
                  <c:v>20301.095000000001</c:v>
                </c:pt>
                <c:pt idx="144">
                  <c:v>20156.565999999999</c:v>
                </c:pt>
                <c:pt idx="145">
                  <c:v>20136.964</c:v>
                </c:pt>
                <c:pt idx="146">
                  <c:v>20069.249</c:v>
                </c:pt>
                <c:pt idx="147">
                  <c:v>20062.733</c:v>
                </c:pt>
                <c:pt idx="148">
                  <c:v>20092.802</c:v>
                </c:pt>
                <c:pt idx="149">
                  <c:v>19910.633000000002</c:v>
                </c:pt>
                <c:pt idx="150">
                  <c:v>19945.144</c:v>
                </c:pt>
                <c:pt idx="151">
                  <c:v>20301.026000000002</c:v>
                </c:pt>
                <c:pt idx="152">
                  <c:v>20515.331999999999</c:v>
                </c:pt>
                <c:pt idx="153">
                  <c:v>20298.311000000002</c:v>
                </c:pt>
                <c:pt idx="154">
                  <c:v>19976.345000000001</c:v>
                </c:pt>
                <c:pt idx="155">
                  <c:v>19842.673999999999</c:v>
                </c:pt>
                <c:pt idx="156">
                  <c:v>20074.885999999999</c:v>
                </c:pt>
                <c:pt idx="157">
                  <c:v>20003.816999999999</c:v>
                </c:pt>
                <c:pt idx="158">
                  <c:v>20061.931</c:v>
                </c:pt>
                <c:pt idx="159">
                  <c:v>20032.173999999999</c:v>
                </c:pt>
                <c:pt idx="160">
                  <c:v>20213.882000000001</c:v>
                </c:pt>
                <c:pt idx="161">
                  <c:v>20439.297999999999</c:v>
                </c:pt>
                <c:pt idx="162">
                  <c:v>20366.042000000001</c:v>
                </c:pt>
                <c:pt idx="163">
                  <c:v>20549.654999999999</c:v>
                </c:pt>
                <c:pt idx="164">
                  <c:v>20575.036</c:v>
                </c:pt>
                <c:pt idx="165">
                  <c:v>24088.830999999998</c:v>
                </c:pt>
                <c:pt idx="166">
                  <c:v>24195.7</c:v>
                </c:pt>
                <c:pt idx="167">
                  <c:v>21914.429</c:v>
                </c:pt>
              </c:numCache>
            </c:numRef>
          </c:val>
          <c:extLst>
            <c:ext xmlns:c16="http://schemas.microsoft.com/office/drawing/2014/chart" uri="{C3380CC4-5D6E-409C-BE32-E72D297353CC}">
              <c16:uniqueId val="{00000001-BDE1-4B25-912F-63E403EF86D8}"/>
            </c:ext>
          </c:extLst>
        </c:ser>
        <c:ser>
          <c:idx val="2"/>
          <c:order val="2"/>
          <c:tx>
            <c:strRef>
              <c:f>'Net reserves'!$A$14</c:f>
              <c:strCache>
                <c:ptCount val="1"/>
                <c:pt idx="0">
                  <c:v>Private USD deposits</c:v>
                </c:pt>
              </c:strCache>
            </c:strRef>
          </c:tx>
          <c:spPr>
            <a:solidFill>
              <a:srgbClr val="ADC8E9"/>
            </a:solidFill>
            <a:ln w="12700">
              <a:noFill/>
              <a:prstDash val="solid"/>
            </a:ln>
            <a:effectLst/>
          </c:spPr>
          <c:cat>
            <c:numRef>
              <c:f>'Net reserves'!$H$10:$FS$10</c:f>
              <c:numCache>
                <c:formatCode>mmm\-yy</c:formatCode>
                <c:ptCount val="168"/>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pt idx="14">
                  <c:v>41334</c:v>
                </c:pt>
                <c:pt idx="15">
                  <c:v>41365</c:v>
                </c:pt>
                <c:pt idx="16">
                  <c:v>41395</c:v>
                </c:pt>
                <c:pt idx="17">
                  <c:v>41426</c:v>
                </c:pt>
                <c:pt idx="18">
                  <c:v>41456</c:v>
                </c:pt>
                <c:pt idx="19">
                  <c:v>41487</c:v>
                </c:pt>
                <c:pt idx="20">
                  <c:v>41518</c:v>
                </c:pt>
                <c:pt idx="21">
                  <c:v>41548</c:v>
                </c:pt>
                <c:pt idx="22">
                  <c:v>41579</c:v>
                </c:pt>
                <c:pt idx="23">
                  <c:v>41609</c:v>
                </c:pt>
                <c:pt idx="24">
                  <c:v>41640</c:v>
                </c:pt>
                <c:pt idx="25">
                  <c:v>41671</c:v>
                </c:pt>
                <c:pt idx="26">
                  <c:v>41699</c:v>
                </c:pt>
                <c:pt idx="27">
                  <c:v>41730</c:v>
                </c:pt>
                <c:pt idx="28">
                  <c:v>41760</c:v>
                </c:pt>
                <c:pt idx="29">
                  <c:v>41791</c:v>
                </c:pt>
                <c:pt idx="30">
                  <c:v>41821</c:v>
                </c:pt>
                <c:pt idx="31">
                  <c:v>41852</c:v>
                </c:pt>
                <c:pt idx="32">
                  <c:v>41883</c:v>
                </c:pt>
                <c:pt idx="33">
                  <c:v>41913</c:v>
                </c:pt>
                <c:pt idx="34">
                  <c:v>41944</c:v>
                </c:pt>
                <c:pt idx="35">
                  <c:v>41974</c:v>
                </c:pt>
                <c:pt idx="36">
                  <c:v>42005</c:v>
                </c:pt>
                <c:pt idx="37">
                  <c:v>42036</c:v>
                </c:pt>
                <c:pt idx="38">
                  <c:v>42064</c:v>
                </c:pt>
                <c:pt idx="39">
                  <c:v>42095</c:v>
                </c:pt>
                <c:pt idx="40">
                  <c:v>42125</c:v>
                </c:pt>
                <c:pt idx="41">
                  <c:v>42156</c:v>
                </c:pt>
                <c:pt idx="42">
                  <c:v>42186</c:v>
                </c:pt>
                <c:pt idx="43">
                  <c:v>42217</c:v>
                </c:pt>
                <c:pt idx="44">
                  <c:v>42248</c:v>
                </c:pt>
                <c:pt idx="45">
                  <c:v>42278</c:v>
                </c:pt>
                <c:pt idx="46">
                  <c:v>42309</c:v>
                </c:pt>
                <c:pt idx="47">
                  <c:v>42339</c:v>
                </c:pt>
                <c:pt idx="48">
                  <c:v>42370</c:v>
                </c:pt>
                <c:pt idx="49">
                  <c:v>42401</c:v>
                </c:pt>
                <c:pt idx="50">
                  <c:v>42430</c:v>
                </c:pt>
                <c:pt idx="51">
                  <c:v>42461</c:v>
                </c:pt>
                <c:pt idx="52">
                  <c:v>42491</c:v>
                </c:pt>
                <c:pt idx="53">
                  <c:v>42522</c:v>
                </c:pt>
                <c:pt idx="54">
                  <c:v>42552</c:v>
                </c:pt>
                <c:pt idx="55">
                  <c:v>42583</c:v>
                </c:pt>
                <c:pt idx="56">
                  <c:v>42614</c:v>
                </c:pt>
                <c:pt idx="57">
                  <c:v>42644</c:v>
                </c:pt>
                <c:pt idx="58">
                  <c:v>42675</c:v>
                </c:pt>
                <c:pt idx="59">
                  <c:v>42705</c:v>
                </c:pt>
                <c:pt idx="60">
                  <c:v>42736</c:v>
                </c:pt>
                <c:pt idx="61">
                  <c:v>42767</c:v>
                </c:pt>
                <c:pt idx="62">
                  <c:v>42795</c:v>
                </c:pt>
                <c:pt idx="63">
                  <c:v>42826</c:v>
                </c:pt>
                <c:pt idx="64">
                  <c:v>42856</c:v>
                </c:pt>
                <c:pt idx="65">
                  <c:v>42887</c:v>
                </c:pt>
                <c:pt idx="66">
                  <c:v>42917</c:v>
                </c:pt>
                <c:pt idx="67">
                  <c:v>42948</c:v>
                </c:pt>
                <c:pt idx="68">
                  <c:v>42979</c:v>
                </c:pt>
                <c:pt idx="69">
                  <c:v>43009</c:v>
                </c:pt>
                <c:pt idx="70">
                  <c:v>43040</c:v>
                </c:pt>
                <c:pt idx="71">
                  <c:v>43070</c:v>
                </c:pt>
                <c:pt idx="72">
                  <c:v>43101</c:v>
                </c:pt>
                <c:pt idx="73">
                  <c:v>43132</c:v>
                </c:pt>
                <c:pt idx="74">
                  <c:v>43160</c:v>
                </c:pt>
                <c:pt idx="75">
                  <c:v>43191</c:v>
                </c:pt>
                <c:pt idx="76">
                  <c:v>43221</c:v>
                </c:pt>
                <c:pt idx="77">
                  <c:v>43252</c:v>
                </c:pt>
                <c:pt idx="78">
                  <c:v>43282</c:v>
                </c:pt>
                <c:pt idx="79">
                  <c:v>43313</c:v>
                </c:pt>
                <c:pt idx="80">
                  <c:v>43344</c:v>
                </c:pt>
                <c:pt idx="81">
                  <c:v>43374</c:v>
                </c:pt>
                <c:pt idx="82">
                  <c:v>43405</c:v>
                </c:pt>
                <c:pt idx="83">
                  <c:v>43435</c:v>
                </c:pt>
                <c:pt idx="84">
                  <c:v>43466</c:v>
                </c:pt>
                <c:pt idx="85">
                  <c:v>43497</c:v>
                </c:pt>
                <c:pt idx="86">
                  <c:v>43525</c:v>
                </c:pt>
                <c:pt idx="87">
                  <c:v>43556</c:v>
                </c:pt>
                <c:pt idx="88">
                  <c:v>43586</c:v>
                </c:pt>
                <c:pt idx="89">
                  <c:v>43617</c:v>
                </c:pt>
                <c:pt idx="90">
                  <c:v>43647</c:v>
                </c:pt>
                <c:pt idx="91">
                  <c:v>43678</c:v>
                </c:pt>
                <c:pt idx="92">
                  <c:v>43709</c:v>
                </c:pt>
                <c:pt idx="93">
                  <c:v>43739</c:v>
                </c:pt>
                <c:pt idx="94">
                  <c:v>43770</c:v>
                </c:pt>
                <c:pt idx="95">
                  <c:v>43800</c:v>
                </c:pt>
                <c:pt idx="96">
                  <c:v>43831</c:v>
                </c:pt>
                <c:pt idx="97">
                  <c:v>43862</c:v>
                </c:pt>
                <c:pt idx="98">
                  <c:v>43891</c:v>
                </c:pt>
                <c:pt idx="99">
                  <c:v>43922</c:v>
                </c:pt>
                <c:pt idx="100">
                  <c:v>43952</c:v>
                </c:pt>
                <c:pt idx="101">
                  <c:v>43983</c:v>
                </c:pt>
                <c:pt idx="102">
                  <c:v>44013</c:v>
                </c:pt>
                <c:pt idx="103">
                  <c:v>44044</c:v>
                </c:pt>
                <c:pt idx="104">
                  <c:v>44075</c:v>
                </c:pt>
                <c:pt idx="105">
                  <c:v>44105</c:v>
                </c:pt>
                <c:pt idx="106">
                  <c:v>44136</c:v>
                </c:pt>
                <c:pt idx="107">
                  <c:v>44166</c:v>
                </c:pt>
                <c:pt idx="108">
                  <c:v>44197</c:v>
                </c:pt>
                <c:pt idx="109">
                  <c:v>44228</c:v>
                </c:pt>
                <c:pt idx="110">
                  <c:v>44256</c:v>
                </c:pt>
                <c:pt idx="111">
                  <c:v>44287</c:v>
                </c:pt>
                <c:pt idx="112">
                  <c:v>44317</c:v>
                </c:pt>
                <c:pt idx="113">
                  <c:v>44348</c:v>
                </c:pt>
                <c:pt idx="114">
                  <c:v>44378</c:v>
                </c:pt>
                <c:pt idx="115">
                  <c:v>44409</c:v>
                </c:pt>
                <c:pt idx="116">
                  <c:v>44440</c:v>
                </c:pt>
                <c:pt idx="117">
                  <c:v>44470</c:v>
                </c:pt>
                <c:pt idx="118">
                  <c:v>44501</c:v>
                </c:pt>
                <c:pt idx="119">
                  <c:v>44531</c:v>
                </c:pt>
                <c:pt idx="120">
                  <c:v>44562</c:v>
                </c:pt>
                <c:pt idx="121">
                  <c:v>44593</c:v>
                </c:pt>
                <c:pt idx="122">
                  <c:v>44621</c:v>
                </c:pt>
                <c:pt idx="123">
                  <c:v>44652</c:v>
                </c:pt>
                <c:pt idx="124">
                  <c:v>44682</c:v>
                </c:pt>
                <c:pt idx="125">
                  <c:v>44713</c:v>
                </c:pt>
                <c:pt idx="126">
                  <c:v>44743</c:v>
                </c:pt>
                <c:pt idx="127">
                  <c:v>44774</c:v>
                </c:pt>
                <c:pt idx="128">
                  <c:v>44805</c:v>
                </c:pt>
                <c:pt idx="129">
                  <c:v>44835</c:v>
                </c:pt>
                <c:pt idx="130">
                  <c:v>44866</c:v>
                </c:pt>
                <c:pt idx="131">
                  <c:v>44896</c:v>
                </c:pt>
                <c:pt idx="132">
                  <c:v>44927</c:v>
                </c:pt>
                <c:pt idx="133">
                  <c:v>44958</c:v>
                </c:pt>
                <c:pt idx="134">
                  <c:v>44986</c:v>
                </c:pt>
                <c:pt idx="135">
                  <c:v>45017</c:v>
                </c:pt>
                <c:pt idx="136">
                  <c:v>45047</c:v>
                </c:pt>
                <c:pt idx="137">
                  <c:v>45078</c:v>
                </c:pt>
                <c:pt idx="138">
                  <c:v>45108</c:v>
                </c:pt>
                <c:pt idx="139">
                  <c:v>45139</c:v>
                </c:pt>
                <c:pt idx="140">
                  <c:v>45170</c:v>
                </c:pt>
                <c:pt idx="141">
                  <c:v>45200</c:v>
                </c:pt>
                <c:pt idx="142">
                  <c:v>45231</c:v>
                </c:pt>
                <c:pt idx="143">
                  <c:v>45261</c:v>
                </c:pt>
                <c:pt idx="144">
                  <c:v>45292</c:v>
                </c:pt>
                <c:pt idx="145">
                  <c:v>45323</c:v>
                </c:pt>
                <c:pt idx="146">
                  <c:v>45352</c:v>
                </c:pt>
                <c:pt idx="147">
                  <c:v>45383</c:v>
                </c:pt>
                <c:pt idx="148">
                  <c:v>45413</c:v>
                </c:pt>
                <c:pt idx="149">
                  <c:v>45444</c:v>
                </c:pt>
                <c:pt idx="150">
                  <c:v>45474</c:v>
                </c:pt>
                <c:pt idx="151">
                  <c:v>45505</c:v>
                </c:pt>
                <c:pt idx="152">
                  <c:v>45536</c:v>
                </c:pt>
                <c:pt idx="153">
                  <c:v>45566</c:v>
                </c:pt>
                <c:pt idx="154">
                  <c:v>45597</c:v>
                </c:pt>
                <c:pt idx="155">
                  <c:v>45627</c:v>
                </c:pt>
                <c:pt idx="156">
                  <c:v>45658</c:v>
                </c:pt>
                <c:pt idx="157">
                  <c:v>45689</c:v>
                </c:pt>
                <c:pt idx="158">
                  <c:v>45717</c:v>
                </c:pt>
                <c:pt idx="159">
                  <c:v>45748</c:v>
                </c:pt>
                <c:pt idx="160">
                  <c:v>45778</c:v>
                </c:pt>
                <c:pt idx="161">
                  <c:v>45809</c:v>
                </c:pt>
                <c:pt idx="162">
                  <c:v>45839</c:v>
                </c:pt>
                <c:pt idx="163">
                  <c:v>45870</c:v>
                </c:pt>
                <c:pt idx="164">
                  <c:v>45901</c:v>
                </c:pt>
                <c:pt idx="165">
                  <c:v>45931</c:v>
                </c:pt>
                <c:pt idx="166">
                  <c:v>45962</c:v>
                </c:pt>
                <c:pt idx="167">
                  <c:v>45992</c:v>
                </c:pt>
              </c:numCache>
            </c:numRef>
          </c:cat>
          <c:val>
            <c:numRef>
              <c:f>'Net reserves'!$H$14:$FS$14</c:f>
              <c:numCache>
                <c:formatCode>0.0</c:formatCode>
                <c:ptCount val="168"/>
                <c:pt idx="0">
                  <c:v>6740.3984248320585</c:v>
                </c:pt>
                <c:pt idx="1">
                  <c:v>6654.5120551090695</c:v>
                </c:pt>
                <c:pt idx="2">
                  <c:v>7038.701537049782</c:v>
                </c:pt>
                <c:pt idx="3">
                  <c:v>6960.8369342733677</c:v>
                </c:pt>
                <c:pt idx="4">
                  <c:v>6119.5911031228943</c:v>
                </c:pt>
                <c:pt idx="5">
                  <c:v>5235.116022099447</c:v>
                </c:pt>
                <c:pt idx="6">
                  <c:v>5821.9890710382506</c:v>
                </c:pt>
                <c:pt idx="7">
                  <c:v>6356.9294066695529</c:v>
                </c:pt>
                <c:pt idx="8">
                  <c:v>6678.640153944837</c:v>
                </c:pt>
                <c:pt idx="9">
                  <c:v>7747.5979772439941</c:v>
                </c:pt>
                <c:pt idx="10">
                  <c:v>8073.5884177869702</c:v>
                </c:pt>
                <c:pt idx="11">
                  <c:v>8499.8979175173554</c:v>
                </c:pt>
                <c:pt idx="12">
                  <c:v>8102.1550855991936</c:v>
                </c:pt>
                <c:pt idx="13">
                  <c:v>7700.0397930760055</c:v>
                </c:pt>
                <c:pt idx="14">
                  <c:v>7599.2355938847513</c:v>
                </c:pt>
                <c:pt idx="15">
                  <c:v>7987.3429951690823</c:v>
                </c:pt>
                <c:pt idx="16">
                  <c:v>7977.431610942248</c:v>
                </c:pt>
                <c:pt idx="17">
                  <c:v>7962.5302325581397</c:v>
                </c:pt>
                <c:pt idx="18">
                  <c:v>8331.4311759343655</c:v>
                </c:pt>
                <c:pt idx="19">
                  <c:v>8405.4847841472056</c:v>
                </c:pt>
                <c:pt idx="20">
                  <c:v>8981.6450216450212</c:v>
                </c:pt>
                <c:pt idx="21">
                  <c:v>9297.9803122878475</c:v>
                </c:pt>
                <c:pt idx="22">
                  <c:v>9414.131677830419</c:v>
                </c:pt>
                <c:pt idx="23">
                  <c:v>10972.711890478387</c:v>
                </c:pt>
                <c:pt idx="24">
                  <c:v>11252.078580481622</c:v>
                </c:pt>
                <c:pt idx="25">
                  <c:v>8967.1523517382411</c:v>
                </c:pt>
                <c:pt idx="26">
                  <c:v>8347.5603621730388</c:v>
                </c:pt>
                <c:pt idx="27">
                  <c:v>7320.8249496981889</c:v>
                </c:pt>
                <c:pt idx="28">
                  <c:v>7401.5317559153182</c:v>
                </c:pt>
                <c:pt idx="29">
                  <c:v>7790.399604107386</c:v>
                </c:pt>
                <c:pt idx="30">
                  <c:v>7461.897184822521</c:v>
                </c:pt>
                <c:pt idx="31">
                  <c:v>7534.9179738953408</c:v>
                </c:pt>
                <c:pt idx="32">
                  <c:v>7401.6467780429593</c:v>
                </c:pt>
                <c:pt idx="33">
                  <c:v>7799.3250444049736</c:v>
                </c:pt>
                <c:pt idx="34">
                  <c:v>7898.1485849056608</c:v>
                </c:pt>
                <c:pt idx="35">
                  <c:v>8495.5816686251455</c:v>
                </c:pt>
                <c:pt idx="36">
                  <c:v>8617.7079697498539</c:v>
                </c:pt>
                <c:pt idx="37">
                  <c:v>9385.4493087557603</c:v>
                </c:pt>
                <c:pt idx="38">
                  <c:v>8463.9566704675035</c:v>
                </c:pt>
                <c:pt idx="39">
                  <c:v>8032.7990970654637</c:v>
                </c:pt>
                <c:pt idx="40">
                  <c:v>7748.1609837898268</c:v>
                </c:pt>
                <c:pt idx="41">
                  <c:v>7723.8053097345137</c:v>
                </c:pt>
                <c:pt idx="42">
                  <c:v>8271.2192454893393</c:v>
                </c:pt>
                <c:pt idx="43">
                  <c:v>7884.8864864864863</c:v>
                </c:pt>
                <c:pt idx="44">
                  <c:v>8030.4213333333328</c:v>
                </c:pt>
                <c:pt idx="45">
                  <c:v>9340.1472908995256</c:v>
                </c:pt>
                <c:pt idx="46">
                  <c:v>9605.0285121824782</c:v>
                </c:pt>
                <c:pt idx="47">
                  <c:v>11081.854961832061</c:v>
                </c:pt>
                <c:pt idx="48">
                  <c:v>9488.44702467344</c:v>
                </c:pt>
                <c:pt idx="49">
                  <c:v>7285.7707006369437</c:v>
                </c:pt>
                <c:pt idx="50">
                  <c:v>9003.767123287671</c:v>
                </c:pt>
                <c:pt idx="51">
                  <c:v>8666.3146853146845</c:v>
                </c:pt>
                <c:pt idx="52">
                  <c:v>11041.792857142858</c:v>
                </c:pt>
                <c:pt idx="53">
                  <c:v>11213.480000000001</c:v>
                </c:pt>
                <c:pt idx="54">
                  <c:v>11695.826666666666</c:v>
                </c:pt>
                <c:pt idx="55">
                  <c:v>10395.093959731543</c:v>
                </c:pt>
                <c:pt idx="56">
                  <c:v>10034.97385620915</c:v>
                </c:pt>
                <c:pt idx="57">
                  <c:v>17250.125000000004</c:v>
                </c:pt>
                <c:pt idx="58">
                  <c:v>13780.238993710691</c:v>
                </c:pt>
                <c:pt idx="59">
                  <c:v>15650.591194968552</c:v>
                </c:pt>
                <c:pt idx="60">
                  <c:v>21985.465408805034</c:v>
                </c:pt>
                <c:pt idx="61">
                  <c:v>22287.258064516129</c:v>
                </c:pt>
                <c:pt idx="62">
                  <c:v>24245.785714285714</c:v>
                </c:pt>
                <c:pt idx="63">
                  <c:v>18781</c:v>
                </c:pt>
                <c:pt idx="64">
                  <c:v>15601.465838509315</c:v>
                </c:pt>
                <c:pt idx="65">
                  <c:v>13056.018072289155</c:v>
                </c:pt>
                <c:pt idx="66">
                  <c:v>15268.906515580738</c:v>
                </c:pt>
                <c:pt idx="67">
                  <c:v>16070.890173410406</c:v>
                </c:pt>
                <c:pt idx="68">
                  <c:v>14471.7225433526</c:v>
                </c:pt>
                <c:pt idx="69">
                  <c:v>12755.133144475922</c:v>
                </c:pt>
                <c:pt idx="70">
                  <c:v>14343.913294797689</c:v>
                </c:pt>
                <c:pt idx="71">
                  <c:v>13026.311827956988</c:v>
                </c:pt>
                <c:pt idx="72">
                  <c:v>16222.448979591836</c:v>
                </c:pt>
                <c:pt idx="73">
                  <c:v>12130.283582089553</c:v>
                </c:pt>
                <c:pt idx="74">
                  <c:v>12443.6213592233</c:v>
                </c:pt>
                <c:pt idx="75">
                  <c:v>12608.408759124086</c:v>
                </c:pt>
                <c:pt idx="76">
                  <c:v>11362.994781212365</c:v>
                </c:pt>
                <c:pt idx="77">
                  <c:v>13911.399305555555</c:v>
                </c:pt>
                <c:pt idx="78">
                  <c:v>13780.673216885009</c:v>
                </c:pt>
                <c:pt idx="79">
                  <c:v>13825.986376021798</c:v>
                </c:pt>
                <c:pt idx="80">
                  <c:v>13027.803159173754</c:v>
                </c:pt>
                <c:pt idx="81">
                  <c:v>13109.983263598326</c:v>
                </c:pt>
                <c:pt idx="82">
                  <c:v>13355.757575757576</c:v>
                </c:pt>
                <c:pt idx="83">
                  <c:v>14291.031914893618</c:v>
                </c:pt>
                <c:pt idx="84">
                  <c:v>14008.104697986579</c:v>
                </c:pt>
                <c:pt idx="85">
                  <c:v>13715.469910371319</c:v>
                </c:pt>
                <c:pt idx="86">
                  <c:v>15487.879768786128</c:v>
                </c:pt>
                <c:pt idx="87">
                  <c:v>16017.048808172533</c:v>
                </c:pt>
                <c:pt idx="88">
                  <c:v>16679.558889386477</c:v>
                </c:pt>
                <c:pt idx="89">
                  <c:v>15694.053352219074</c:v>
                </c:pt>
                <c:pt idx="90">
                  <c:v>15996.868433074464</c:v>
                </c:pt>
                <c:pt idx="91">
                  <c:v>11121.99124726477</c:v>
                </c:pt>
                <c:pt idx="92">
                  <c:v>8784.1589841711593</c:v>
                </c:pt>
                <c:pt idx="93">
                  <c:v>8030.543897935202</c:v>
                </c:pt>
                <c:pt idx="94">
                  <c:v>8171.8315508021387</c:v>
                </c:pt>
                <c:pt idx="95">
                  <c:v>8961.0152199364438</c:v>
                </c:pt>
                <c:pt idx="96">
                  <c:v>9972.1742738589219</c:v>
                </c:pt>
                <c:pt idx="97">
                  <c:v>10643.295765577201</c:v>
                </c:pt>
                <c:pt idx="98">
                  <c:v>10330.711511573714</c:v>
                </c:pt>
                <c:pt idx="99">
                  <c:v>10883.961642193588</c:v>
                </c:pt>
                <c:pt idx="100">
                  <c:v>11236.189362945646</c:v>
                </c:pt>
                <c:pt idx="101">
                  <c:v>10529.860716316089</c:v>
                </c:pt>
                <c:pt idx="102">
                  <c:v>10726.517585156465</c:v>
                </c:pt>
                <c:pt idx="103">
                  <c:v>11418.921436285096</c:v>
                </c:pt>
                <c:pt idx="104">
                  <c:v>12010.190588853839</c:v>
                </c:pt>
                <c:pt idx="105">
                  <c:v>11518.896701610842</c:v>
                </c:pt>
                <c:pt idx="106">
                  <c:v>11191.702992242335</c:v>
                </c:pt>
                <c:pt idx="107">
                  <c:v>10928.736466389055</c:v>
                </c:pt>
                <c:pt idx="108">
                  <c:v>11455.21494898544</c:v>
                </c:pt>
                <c:pt idx="109">
                  <c:v>11859.843958983503</c:v>
                </c:pt>
                <c:pt idx="110">
                  <c:v>11229.519042437432</c:v>
                </c:pt>
                <c:pt idx="111">
                  <c:v>10547.884656537557</c:v>
                </c:pt>
                <c:pt idx="112">
                  <c:v>10108.955933636267</c:v>
                </c:pt>
                <c:pt idx="113">
                  <c:v>10702.137628111273</c:v>
                </c:pt>
                <c:pt idx="114">
                  <c:v>11220.209131380059</c:v>
                </c:pt>
                <c:pt idx="115">
                  <c:v>11376.913150348219</c:v>
                </c:pt>
                <c:pt idx="116">
                  <c:v>11874.40794809408</c:v>
                </c:pt>
                <c:pt idx="117">
                  <c:v>11922.365990764907</c:v>
                </c:pt>
                <c:pt idx="118">
                  <c:v>11453.95102121753</c:v>
                </c:pt>
                <c:pt idx="119">
                  <c:v>12128.163126096279</c:v>
                </c:pt>
                <c:pt idx="120">
                  <c:v>12043.709492947008</c:v>
                </c:pt>
                <c:pt idx="121">
                  <c:v>12196.541220307407</c:v>
                </c:pt>
                <c:pt idx="122">
                  <c:v>11574.986926336671</c:v>
                </c:pt>
                <c:pt idx="123">
                  <c:v>12291.68561756792</c:v>
                </c:pt>
                <c:pt idx="124">
                  <c:v>12106.127393838467</c:v>
                </c:pt>
                <c:pt idx="125">
                  <c:v>11529.239990409975</c:v>
                </c:pt>
                <c:pt idx="126">
                  <c:v>11484.449950445987</c:v>
                </c:pt>
                <c:pt idx="127">
                  <c:v>11547.996826083821</c:v>
                </c:pt>
                <c:pt idx="128">
                  <c:v>11049.124439614183</c:v>
                </c:pt>
                <c:pt idx="129">
                  <c:v>11228.826605446082</c:v>
                </c:pt>
                <c:pt idx="130">
                  <c:v>11530.368465127407</c:v>
                </c:pt>
                <c:pt idx="131">
                  <c:v>12092.345532587824</c:v>
                </c:pt>
                <c:pt idx="132">
                  <c:v>12888.554307116103</c:v>
                </c:pt>
                <c:pt idx="133">
                  <c:v>12961.671656939861</c:v>
                </c:pt>
                <c:pt idx="134">
                  <c:v>12149.790718835304</c:v>
                </c:pt>
                <c:pt idx="135">
                  <c:v>11245.164509169364</c:v>
                </c:pt>
                <c:pt idx="136">
                  <c:v>11019.171333054743</c:v>
                </c:pt>
                <c:pt idx="137">
                  <c:v>10307.573879142301</c:v>
                </c:pt>
                <c:pt idx="138">
                  <c:v>9839.0925286311576</c:v>
                </c:pt>
                <c:pt idx="139">
                  <c:v>9385.2572246065811</c:v>
                </c:pt>
                <c:pt idx="140">
                  <c:v>9584.0603805980827</c:v>
                </c:pt>
                <c:pt idx="141">
                  <c:v>8896.1722460658093</c:v>
                </c:pt>
                <c:pt idx="142">
                  <c:v>8863.6897222222215</c:v>
                </c:pt>
                <c:pt idx="143">
                  <c:v>9134.5514591982155</c:v>
                </c:pt>
                <c:pt idx="144">
                  <c:v>9813.5929203539818</c:v>
                </c:pt>
                <c:pt idx="145">
                  <c:v>9333.2359938146783</c:v>
                </c:pt>
                <c:pt idx="146">
                  <c:v>8907.3643899591352</c:v>
                </c:pt>
                <c:pt idx="147">
                  <c:v>8401.9636571428582</c:v>
                </c:pt>
                <c:pt idx="148">
                  <c:v>8129.5684563758396</c:v>
                </c:pt>
                <c:pt idx="149">
                  <c:v>8333.7056562328398</c:v>
                </c:pt>
                <c:pt idx="150">
                  <c:v>9609.8771628156901</c:v>
                </c:pt>
                <c:pt idx="151">
                  <c:v>9495.1028361344543</c:v>
                </c:pt>
                <c:pt idx="152">
                  <c:v>10675.390918472653</c:v>
                </c:pt>
                <c:pt idx="153">
                  <c:v>12570.272993437658</c:v>
                </c:pt>
                <c:pt idx="154">
                  <c:v>13586.966336633663</c:v>
                </c:pt>
                <c:pt idx="155">
                  <c:v>12280.563901018922</c:v>
                </c:pt>
                <c:pt idx="156">
                  <c:v>12863.616159695817</c:v>
                </c:pt>
                <c:pt idx="157">
                  <c:v>12436.27105572537</c:v>
                </c:pt>
                <c:pt idx="158">
                  <c:v>11428.230023310023</c:v>
                </c:pt>
                <c:pt idx="159">
                  <c:v>13775.616816816817</c:v>
                </c:pt>
                <c:pt idx="160">
                  <c:v>12046.725052809463</c:v>
                </c:pt>
                <c:pt idx="161">
                  <c:v>11443.552603082049</c:v>
                </c:pt>
                <c:pt idx="162">
                  <c:v>12352.789923329683</c:v>
                </c:pt>
                <c:pt idx="163">
                  <c:v>12202.101383177569</c:v>
                </c:pt>
                <c:pt idx="164">
                  <c:v>12698.184296619411</c:v>
                </c:pt>
                <c:pt idx="165">
                  <c:v>14073.245192641443</c:v>
                </c:pt>
                <c:pt idx="166">
                  <c:v>16026.693227366966</c:v>
                </c:pt>
                <c:pt idx="167">
                  <c:v>15158.656187521545</c:v>
                </c:pt>
              </c:numCache>
            </c:numRef>
          </c:val>
          <c:extLst>
            <c:ext xmlns:c16="http://schemas.microsoft.com/office/drawing/2014/chart" uri="{C3380CC4-5D6E-409C-BE32-E72D297353CC}">
              <c16:uniqueId val="{00000002-BDE1-4B25-912F-63E403EF86D8}"/>
            </c:ext>
          </c:extLst>
        </c:ser>
        <c:ser>
          <c:idx val="3"/>
          <c:order val="3"/>
          <c:tx>
            <c:strRef>
              <c:f>'Net reserves'!$A$15</c:f>
              <c:strCache>
                <c:ptCount val="1"/>
                <c:pt idx="0">
                  <c:v>Gold</c:v>
                </c:pt>
              </c:strCache>
            </c:strRef>
          </c:tx>
          <c:spPr>
            <a:solidFill>
              <a:schemeClr val="accent4"/>
            </a:solidFill>
            <a:ln w="12700">
              <a:solidFill>
                <a:schemeClr val="accent4"/>
              </a:solidFill>
              <a:prstDash val="solid"/>
            </a:ln>
            <a:effectLst/>
          </c:spPr>
          <c:cat>
            <c:numRef>
              <c:f>'Net reserves'!$H$10:$FS$10</c:f>
              <c:numCache>
                <c:formatCode>mmm\-yy</c:formatCode>
                <c:ptCount val="168"/>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pt idx="14">
                  <c:v>41334</c:v>
                </c:pt>
                <c:pt idx="15">
                  <c:v>41365</c:v>
                </c:pt>
                <c:pt idx="16">
                  <c:v>41395</c:v>
                </c:pt>
                <c:pt idx="17">
                  <c:v>41426</c:v>
                </c:pt>
                <c:pt idx="18">
                  <c:v>41456</c:v>
                </c:pt>
                <c:pt idx="19">
                  <c:v>41487</c:v>
                </c:pt>
                <c:pt idx="20">
                  <c:v>41518</c:v>
                </c:pt>
                <c:pt idx="21">
                  <c:v>41548</c:v>
                </c:pt>
                <c:pt idx="22">
                  <c:v>41579</c:v>
                </c:pt>
                <c:pt idx="23">
                  <c:v>41609</c:v>
                </c:pt>
                <c:pt idx="24">
                  <c:v>41640</c:v>
                </c:pt>
                <c:pt idx="25">
                  <c:v>41671</c:v>
                </c:pt>
                <c:pt idx="26">
                  <c:v>41699</c:v>
                </c:pt>
                <c:pt idx="27">
                  <c:v>41730</c:v>
                </c:pt>
                <c:pt idx="28">
                  <c:v>41760</c:v>
                </c:pt>
                <c:pt idx="29">
                  <c:v>41791</c:v>
                </c:pt>
                <c:pt idx="30">
                  <c:v>41821</c:v>
                </c:pt>
                <c:pt idx="31">
                  <c:v>41852</c:v>
                </c:pt>
                <c:pt idx="32">
                  <c:v>41883</c:v>
                </c:pt>
                <c:pt idx="33">
                  <c:v>41913</c:v>
                </c:pt>
                <c:pt idx="34">
                  <c:v>41944</c:v>
                </c:pt>
                <c:pt idx="35">
                  <c:v>41974</c:v>
                </c:pt>
                <c:pt idx="36">
                  <c:v>42005</c:v>
                </c:pt>
                <c:pt idx="37">
                  <c:v>42036</c:v>
                </c:pt>
                <c:pt idx="38">
                  <c:v>42064</c:v>
                </c:pt>
                <c:pt idx="39">
                  <c:v>42095</c:v>
                </c:pt>
                <c:pt idx="40">
                  <c:v>42125</c:v>
                </c:pt>
                <c:pt idx="41">
                  <c:v>42156</c:v>
                </c:pt>
                <c:pt idx="42">
                  <c:v>42186</c:v>
                </c:pt>
                <c:pt idx="43">
                  <c:v>42217</c:v>
                </c:pt>
                <c:pt idx="44">
                  <c:v>42248</c:v>
                </c:pt>
                <c:pt idx="45">
                  <c:v>42278</c:v>
                </c:pt>
                <c:pt idx="46">
                  <c:v>42309</c:v>
                </c:pt>
                <c:pt idx="47">
                  <c:v>42339</c:v>
                </c:pt>
                <c:pt idx="48">
                  <c:v>42370</c:v>
                </c:pt>
                <c:pt idx="49">
                  <c:v>42401</c:v>
                </c:pt>
                <c:pt idx="50">
                  <c:v>42430</c:v>
                </c:pt>
                <c:pt idx="51">
                  <c:v>42461</c:v>
                </c:pt>
                <c:pt idx="52">
                  <c:v>42491</c:v>
                </c:pt>
                <c:pt idx="53">
                  <c:v>42522</c:v>
                </c:pt>
                <c:pt idx="54">
                  <c:v>42552</c:v>
                </c:pt>
                <c:pt idx="55">
                  <c:v>42583</c:v>
                </c:pt>
                <c:pt idx="56">
                  <c:v>42614</c:v>
                </c:pt>
                <c:pt idx="57">
                  <c:v>42644</c:v>
                </c:pt>
                <c:pt idx="58">
                  <c:v>42675</c:v>
                </c:pt>
                <c:pt idx="59">
                  <c:v>42705</c:v>
                </c:pt>
                <c:pt idx="60">
                  <c:v>42736</c:v>
                </c:pt>
                <c:pt idx="61">
                  <c:v>42767</c:v>
                </c:pt>
                <c:pt idx="62">
                  <c:v>42795</c:v>
                </c:pt>
                <c:pt idx="63">
                  <c:v>42826</c:v>
                </c:pt>
                <c:pt idx="64">
                  <c:v>42856</c:v>
                </c:pt>
                <c:pt idx="65">
                  <c:v>42887</c:v>
                </c:pt>
                <c:pt idx="66">
                  <c:v>42917</c:v>
                </c:pt>
                <c:pt idx="67">
                  <c:v>42948</c:v>
                </c:pt>
                <c:pt idx="68">
                  <c:v>42979</c:v>
                </c:pt>
                <c:pt idx="69">
                  <c:v>43009</c:v>
                </c:pt>
                <c:pt idx="70">
                  <c:v>43040</c:v>
                </c:pt>
                <c:pt idx="71">
                  <c:v>43070</c:v>
                </c:pt>
                <c:pt idx="72">
                  <c:v>43101</c:v>
                </c:pt>
                <c:pt idx="73">
                  <c:v>43132</c:v>
                </c:pt>
                <c:pt idx="74">
                  <c:v>43160</c:v>
                </c:pt>
                <c:pt idx="75">
                  <c:v>43191</c:v>
                </c:pt>
                <c:pt idx="76">
                  <c:v>43221</c:v>
                </c:pt>
                <c:pt idx="77">
                  <c:v>43252</c:v>
                </c:pt>
                <c:pt idx="78">
                  <c:v>43282</c:v>
                </c:pt>
                <c:pt idx="79">
                  <c:v>43313</c:v>
                </c:pt>
                <c:pt idx="80">
                  <c:v>43344</c:v>
                </c:pt>
                <c:pt idx="81">
                  <c:v>43374</c:v>
                </c:pt>
                <c:pt idx="82">
                  <c:v>43405</c:v>
                </c:pt>
                <c:pt idx="83">
                  <c:v>43435</c:v>
                </c:pt>
                <c:pt idx="84">
                  <c:v>43466</c:v>
                </c:pt>
                <c:pt idx="85">
                  <c:v>43497</c:v>
                </c:pt>
                <c:pt idx="86">
                  <c:v>43525</c:v>
                </c:pt>
                <c:pt idx="87">
                  <c:v>43556</c:v>
                </c:pt>
                <c:pt idx="88">
                  <c:v>43586</c:v>
                </c:pt>
                <c:pt idx="89">
                  <c:v>43617</c:v>
                </c:pt>
                <c:pt idx="90">
                  <c:v>43647</c:v>
                </c:pt>
                <c:pt idx="91">
                  <c:v>43678</c:v>
                </c:pt>
                <c:pt idx="92">
                  <c:v>43709</c:v>
                </c:pt>
                <c:pt idx="93">
                  <c:v>43739</c:v>
                </c:pt>
                <c:pt idx="94">
                  <c:v>43770</c:v>
                </c:pt>
                <c:pt idx="95">
                  <c:v>43800</c:v>
                </c:pt>
                <c:pt idx="96">
                  <c:v>43831</c:v>
                </c:pt>
                <c:pt idx="97">
                  <c:v>43862</c:v>
                </c:pt>
                <c:pt idx="98">
                  <c:v>43891</c:v>
                </c:pt>
                <c:pt idx="99">
                  <c:v>43922</c:v>
                </c:pt>
                <c:pt idx="100">
                  <c:v>43952</c:v>
                </c:pt>
                <c:pt idx="101">
                  <c:v>43983</c:v>
                </c:pt>
                <c:pt idx="102">
                  <c:v>44013</c:v>
                </c:pt>
                <c:pt idx="103">
                  <c:v>44044</c:v>
                </c:pt>
                <c:pt idx="104">
                  <c:v>44075</c:v>
                </c:pt>
                <c:pt idx="105">
                  <c:v>44105</c:v>
                </c:pt>
                <c:pt idx="106">
                  <c:v>44136</c:v>
                </c:pt>
                <c:pt idx="107">
                  <c:v>44166</c:v>
                </c:pt>
                <c:pt idx="108">
                  <c:v>44197</c:v>
                </c:pt>
                <c:pt idx="109">
                  <c:v>44228</c:v>
                </c:pt>
                <c:pt idx="110">
                  <c:v>44256</c:v>
                </c:pt>
                <c:pt idx="111">
                  <c:v>44287</c:v>
                </c:pt>
                <c:pt idx="112">
                  <c:v>44317</c:v>
                </c:pt>
                <c:pt idx="113">
                  <c:v>44348</c:v>
                </c:pt>
                <c:pt idx="114">
                  <c:v>44378</c:v>
                </c:pt>
                <c:pt idx="115">
                  <c:v>44409</c:v>
                </c:pt>
                <c:pt idx="116">
                  <c:v>44440</c:v>
                </c:pt>
                <c:pt idx="117">
                  <c:v>44470</c:v>
                </c:pt>
                <c:pt idx="118">
                  <c:v>44501</c:v>
                </c:pt>
                <c:pt idx="119">
                  <c:v>44531</c:v>
                </c:pt>
                <c:pt idx="120">
                  <c:v>44562</c:v>
                </c:pt>
                <c:pt idx="121">
                  <c:v>44593</c:v>
                </c:pt>
                <c:pt idx="122">
                  <c:v>44621</c:v>
                </c:pt>
                <c:pt idx="123">
                  <c:v>44652</c:v>
                </c:pt>
                <c:pt idx="124">
                  <c:v>44682</c:v>
                </c:pt>
                <c:pt idx="125">
                  <c:v>44713</c:v>
                </c:pt>
                <c:pt idx="126">
                  <c:v>44743</c:v>
                </c:pt>
                <c:pt idx="127">
                  <c:v>44774</c:v>
                </c:pt>
                <c:pt idx="128">
                  <c:v>44805</c:v>
                </c:pt>
                <c:pt idx="129">
                  <c:v>44835</c:v>
                </c:pt>
                <c:pt idx="130">
                  <c:v>44866</c:v>
                </c:pt>
                <c:pt idx="131">
                  <c:v>44896</c:v>
                </c:pt>
                <c:pt idx="132">
                  <c:v>44927</c:v>
                </c:pt>
                <c:pt idx="133">
                  <c:v>44958</c:v>
                </c:pt>
                <c:pt idx="134">
                  <c:v>44986</c:v>
                </c:pt>
                <c:pt idx="135">
                  <c:v>45017</c:v>
                </c:pt>
                <c:pt idx="136">
                  <c:v>45047</c:v>
                </c:pt>
                <c:pt idx="137">
                  <c:v>45078</c:v>
                </c:pt>
                <c:pt idx="138">
                  <c:v>45108</c:v>
                </c:pt>
                <c:pt idx="139">
                  <c:v>45139</c:v>
                </c:pt>
                <c:pt idx="140">
                  <c:v>45170</c:v>
                </c:pt>
                <c:pt idx="141">
                  <c:v>45200</c:v>
                </c:pt>
                <c:pt idx="142">
                  <c:v>45231</c:v>
                </c:pt>
                <c:pt idx="143">
                  <c:v>45261</c:v>
                </c:pt>
                <c:pt idx="144">
                  <c:v>45292</c:v>
                </c:pt>
                <c:pt idx="145">
                  <c:v>45323</c:v>
                </c:pt>
                <c:pt idx="146">
                  <c:v>45352</c:v>
                </c:pt>
                <c:pt idx="147">
                  <c:v>45383</c:v>
                </c:pt>
                <c:pt idx="148">
                  <c:v>45413</c:v>
                </c:pt>
                <c:pt idx="149">
                  <c:v>45444</c:v>
                </c:pt>
                <c:pt idx="150">
                  <c:v>45474</c:v>
                </c:pt>
                <c:pt idx="151">
                  <c:v>45505</c:v>
                </c:pt>
                <c:pt idx="152">
                  <c:v>45536</c:v>
                </c:pt>
                <c:pt idx="153">
                  <c:v>45566</c:v>
                </c:pt>
                <c:pt idx="154">
                  <c:v>45597</c:v>
                </c:pt>
                <c:pt idx="155">
                  <c:v>45627</c:v>
                </c:pt>
                <c:pt idx="156">
                  <c:v>45658</c:v>
                </c:pt>
                <c:pt idx="157">
                  <c:v>45689</c:v>
                </c:pt>
                <c:pt idx="158">
                  <c:v>45717</c:v>
                </c:pt>
                <c:pt idx="159">
                  <c:v>45748</c:v>
                </c:pt>
                <c:pt idx="160">
                  <c:v>45778</c:v>
                </c:pt>
                <c:pt idx="161">
                  <c:v>45809</c:v>
                </c:pt>
                <c:pt idx="162">
                  <c:v>45839</c:v>
                </c:pt>
                <c:pt idx="163">
                  <c:v>45870</c:v>
                </c:pt>
                <c:pt idx="164">
                  <c:v>45901</c:v>
                </c:pt>
                <c:pt idx="165">
                  <c:v>45931</c:v>
                </c:pt>
                <c:pt idx="166">
                  <c:v>45962</c:v>
                </c:pt>
                <c:pt idx="167">
                  <c:v>45992</c:v>
                </c:pt>
              </c:numCache>
            </c:numRef>
          </c:cat>
          <c:val>
            <c:numRef>
              <c:f>'Net reserves'!$H$15:$FS$15</c:f>
              <c:numCache>
                <c:formatCode>0.0</c:formatCode>
                <c:ptCount val="168"/>
                <c:pt idx="0">
                  <c:v>3433.6390000000001</c:v>
                </c:pt>
                <c:pt idx="1">
                  <c:v>3419.7840000000001</c:v>
                </c:pt>
                <c:pt idx="2">
                  <c:v>3311.107</c:v>
                </c:pt>
                <c:pt idx="3">
                  <c:v>3300.4279999999999</c:v>
                </c:pt>
                <c:pt idx="4">
                  <c:v>3096.5929999999998</c:v>
                </c:pt>
                <c:pt idx="5">
                  <c:v>3175.038</c:v>
                </c:pt>
                <c:pt idx="6">
                  <c:v>3201.3589999999999</c:v>
                </c:pt>
                <c:pt idx="7">
                  <c:v>3346.4989999999998</c:v>
                </c:pt>
                <c:pt idx="8">
                  <c:v>3514.1480000000001</c:v>
                </c:pt>
                <c:pt idx="9">
                  <c:v>3411.1089999999999</c:v>
                </c:pt>
                <c:pt idx="10">
                  <c:v>3399.835</c:v>
                </c:pt>
                <c:pt idx="11">
                  <c:v>3326.471</c:v>
                </c:pt>
                <c:pt idx="12">
                  <c:v>3330.7379999999998</c:v>
                </c:pt>
                <c:pt idx="13">
                  <c:v>3137.2649999999999</c:v>
                </c:pt>
                <c:pt idx="14">
                  <c:v>3186.9679999999998</c:v>
                </c:pt>
                <c:pt idx="15">
                  <c:v>2922.9090000000001</c:v>
                </c:pt>
                <c:pt idx="16">
                  <c:v>2763.3980000000001</c:v>
                </c:pt>
                <c:pt idx="17">
                  <c:v>2432.7640000000001</c:v>
                </c:pt>
                <c:pt idx="18">
                  <c:v>2606.6260000000002</c:v>
                </c:pt>
                <c:pt idx="19">
                  <c:v>2769.5709999999999</c:v>
                </c:pt>
                <c:pt idx="20">
                  <c:v>2637.9490000000001</c:v>
                </c:pt>
                <c:pt idx="21">
                  <c:v>2625.5230000000001</c:v>
                </c:pt>
                <c:pt idx="22">
                  <c:v>2481.8119999999999</c:v>
                </c:pt>
                <c:pt idx="23">
                  <c:v>2389.4720000000002</c:v>
                </c:pt>
                <c:pt idx="24">
                  <c:v>2461.7440000000001</c:v>
                </c:pt>
                <c:pt idx="25">
                  <c:v>2623.6570000000002</c:v>
                </c:pt>
                <c:pt idx="26">
                  <c:v>2545.9459999999999</c:v>
                </c:pt>
                <c:pt idx="27">
                  <c:v>2569.587</c:v>
                </c:pt>
                <c:pt idx="28">
                  <c:v>2470.0410000000002</c:v>
                </c:pt>
                <c:pt idx="29">
                  <c:v>2633.6410000000001</c:v>
                </c:pt>
                <c:pt idx="30">
                  <c:v>2542.2339999999999</c:v>
                </c:pt>
                <c:pt idx="31">
                  <c:v>2552.06</c:v>
                </c:pt>
                <c:pt idx="32">
                  <c:v>2399.34</c:v>
                </c:pt>
                <c:pt idx="33">
                  <c:v>2324.52</c:v>
                </c:pt>
                <c:pt idx="34">
                  <c:v>2316.17</c:v>
                </c:pt>
                <c:pt idx="35">
                  <c:v>2354.7849999999999</c:v>
                </c:pt>
                <c:pt idx="36">
                  <c:v>2529.5500000000002</c:v>
                </c:pt>
                <c:pt idx="37">
                  <c:v>2406.96</c:v>
                </c:pt>
                <c:pt idx="38">
                  <c:v>2345.58</c:v>
                </c:pt>
                <c:pt idx="39">
                  <c:v>2348.3429999999998</c:v>
                </c:pt>
                <c:pt idx="40">
                  <c:v>2361.8209999999999</c:v>
                </c:pt>
                <c:pt idx="41">
                  <c:v>2325.933</c:v>
                </c:pt>
                <c:pt idx="42">
                  <c:v>2178.0140000000001</c:v>
                </c:pt>
                <c:pt idx="43">
                  <c:v>2249.096</c:v>
                </c:pt>
                <c:pt idx="44">
                  <c:v>2214.3980000000001</c:v>
                </c:pt>
                <c:pt idx="45">
                  <c:v>2263.348</c:v>
                </c:pt>
                <c:pt idx="46">
                  <c:v>2110.625</c:v>
                </c:pt>
                <c:pt idx="47">
                  <c:v>2106.933</c:v>
                </c:pt>
                <c:pt idx="48">
                  <c:v>2215.2719999999999</c:v>
                </c:pt>
                <c:pt idx="49">
                  <c:v>2444.1970000000001</c:v>
                </c:pt>
                <c:pt idx="50">
                  <c:v>2444.44</c:v>
                </c:pt>
                <c:pt idx="51">
                  <c:v>2559.8009999999999</c:v>
                </c:pt>
                <c:pt idx="52">
                  <c:v>2413.0300000000002</c:v>
                </c:pt>
                <c:pt idx="53">
                  <c:v>2617.2649999999999</c:v>
                </c:pt>
                <c:pt idx="54">
                  <c:v>2681.558</c:v>
                </c:pt>
                <c:pt idx="55">
                  <c:v>2594.4380000000001</c:v>
                </c:pt>
                <c:pt idx="56">
                  <c:v>2607.7570000000001</c:v>
                </c:pt>
                <c:pt idx="57">
                  <c:v>2322.9899999999998</c:v>
                </c:pt>
                <c:pt idx="58">
                  <c:v>2141.8249999999998</c:v>
                </c:pt>
                <c:pt idx="59">
                  <c:v>2101.7489999999998</c:v>
                </c:pt>
                <c:pt idx="60">
                  <c:v>2400.569</c:v>
                </c:pt>
                <c:pt idx="61">
                  <c:v>2291.4899999999998</c:v>
                </c:pt>
                <c:pt idx="62">
                  <c:v>2202.13</c:v>
                </c:pt>
                <c:pt idx="63">
                  <c:v>2514.1489999999999</c:v>
                </c:pt>
                <c:pt idx="64">
                  <c:v>2522.7809999999999</c:v>
                </c:pt>
                <c:pt idx="65">
                  <c:v>2386.5839999999998</c:v>
                </c:pt>
                <c:pt idx="66">
                  <c:v>2514.067</c:v>
                </c:pt>
                <c:pt idx="67">
                  <c:v>2614.7049999999999</c:v>
                </c:pt>
                <c:pt idx="68">
                  <c:v>2545.529</c:v>
                </c:pt>
                <c:pt idx="69">
                  <c:v>2435.0189999999998</c:v>
                </c:pt>
                <c:pt idx="70">
                  <c:v>2293.1219999999998</c:v>
                </c:pt>
                <c:pt idx="71">
                  <c:v>2298.7750000000001</c:v>
                </c:pt>
                <c:pt idx="72">
                  <c:v>2657.8829999999998</c:v>
                </c:pt>
                <c:pt idx="73">
                  <c:v>2616.7890000000002</c:v>
                </c:pt>
                <c:pt idx="74">
                  <c:v>2337.6950000000002</c:v>
                </c:pt>
                <c:pt idx="75">
                  <c:v>2623.7179999999998</c:v>
                </c:pt>
                <c:pt idx="76">
                  <c:v>2579.0340000000001</c:v>
                </c:pt>
                <c:pt idx="77">
                  <c:v>2486.4360000000001</c:v>
                </c:pt>
                <c:pt idx="78">
                  <c:v>2429.2289999999998</c:v>
                </c:pt>
                <c:pt idx="79">
                  <c:v>2383.8339999999998</c:v>
                </c:pt>
                <c:pt idx="80">
                  <c:v>2296.9580000000001</c:v>
                </c:pt>
                <c:pt idx="81">
                  <c:v>2406.924</c:v>
                </c:pt>
                <c:pt idx="82">
                  <c:v>2435.6089999999999</c:v>
                </c:pt>
                <c:pt idx="83">
                  <c:v>2255.623</c:v>
                </c:pt>
                <c:pt idx="84">
                  <c:v>2622.26</c:v>
                </c:pt>
                <c:pt idx="85">
                  <c:v>2608.201</c:v>
                </c:pt>
                <c:pt idx="86">
                  <c:v>2280.8530000000001</c:v>
                </c:pt>
                <c:pt idx="87">
                  <c:v>2547.1640000000002</c:v>
                </c:pt>
                <c:pt idx="88">
                  <c:v>2588.2139999999999</c:v>
                </c:pt>
                <c:pt idx="89">
                  <c:v>2486.0309999999999</c:v>
                </c:pt>
                <c:pt idx="90">
                  <c:v>2818.4409999999998</c:v>
                </c:pt>
                <c:pt idx="91">
                  <c:v>3011.884</c:v>
                </c:pt>
                <c:pt idx="92">
                  <c:v>2914.1480000000001</c:v>
                </c:pt>
                <c:pt idx="93">
                  <c:v>2999.4389999999999</c:v>
                </c:pt>
                <c:pt idx="94">
                  <c:v>2904.26</c:v>
                </c:pt>
                <c:pt idx="95">
                  <c:v>2684.4659999999999</c:v>
                </c:pt>
                <c:pt idx="96">
                  <c:v>3140.2339999999999</c:v>
                </c:pt>
                <c:pt idx="97">
                  <c:v>3139.7559999999999</c:v>
                </c:pt>
                <c:pt idx="98">
                  <c:v>2940.8780000000002</c:v>
                </c:pt>
                <c:pt idx="99">
                  <c:v>3341.13</c:v>
                </c:pt>
                <c:pt idx="100">
                  <c:v>3440.7159999999999</c:v>
                </c:pt>
                <c:pt idx="101">
                  <c:v>3533.096</c:v>
                </c:pt>
                <c:pt idx="102">
                  <c:v>3910.8150000000001</c:v>
                </c:pt>
                <c:pt idx="103">
                  <c:v>3913.2359999999999</c:v>
                </c:pt>
                <c:pt idx="104">
                  <c:v>3753.8240000000001</c:v>
                </c:pt>
                <c:pt idx="105">
                  <c:v>3728.9920000000002</c:v>
                </c:pt>
                <c:pt idx="106">
                  <c:v>3527.4589999999998</c:v>
                </c:pt>
                <c:pt idx="107">
                  <c:v>3758.25</c:v>
                </c:pt>
                <c:pt idx="108">
                  <c:v>3673.1550000000002</c:v>
                </c:pt>
                <c:pt idx="109">
                  <c:v>3424.241</c:v>
                </c:pt>
                <c:pt idx="110">
                  <c:v>3392.9969999999998</c:v>
                </c:pt>
                <c:pt idx="111">
                  <c:v>3510.864</c:v>
                </c:pt>
                <c:pt idx="112">
                  <c:v>3783.0819999999999</c:v>
                </c:pt>
                <c:pt idx="113">
                  <c:v>3509.634</c:v>
                </c:pt>
                <c:pt idx="114">
                  <c:v>3600.4059999999999</c:v>
                </c:pt>
                <c:pt idx="115">
                  <c:v>3599.83</c:v>
                </c:pt>
                <c:pt idx="116">
                  <c:v>3483.4520000000002</c:v>
                </c:pt>
                <c:pt idx="117">
                  <c:v>3536.1529999999998</c:v>
                </c:pt>
                <c:pt idx="118">
                  <c:v>3521.7620000000002</c:v>
                </c:pt>
                <c:pt idx="119">
                  <c:v>3213.7629999999999</c:v>
                </c:pt>
                <c:pt idx="120">
                  <c:v>3564.319</c:v>
                </c:pt>
                <c:pt idx="121">
                  <c:v>3744.5140000000001</c:v>
                </c:pt>
                <c:pt idx="122">
                  <c:v>3859.2060000000001</c:v>
                </c:pt>
                <c:pt idx="123">
                  <c:v>3789.1559999999999</c:v>
                </c:pt>
                <c:pt idx="124">
                  <c:v>3655.4290000000001</c:v>
                </c:pt>
                <c:pt idx="125">
                  <c:v>3587.94</c:v>
                </c:pt>
                <c:pt idx="126">
                  <c:v>3502.2890000000002</c:v>
                </c:pt>
                <c:pt idx="127">
                  <c:v>3398.3760000000002</c:v>
                </c:pt>
                <c:pt idx="128">
                  <c:v>3299.5450000000001</c:v>
                </c:pt>
                <c:pt idx="129">
                  <c:v>3243.9259999999999</c:v>
                </c:pt>
                <c:pt idx="130">
                  <c:v>3476.683</c:v>
                </c:pt>
                <c:pt idx="131">
                  <c:v>3617.973</c:v>
                </c:pt>
                <c:pt idx="132">
                  <c:v>3827.942</c:v>
                </c:pt>
                <c:pt idx="133">
                  <c:v>3629.2869999999998</c:v>
                </c:pt>
                <c:pt idx="134">
                  <c:v>3905.4349999999999</c:v>
                </c:pt>
                <c:pt idx="135">
                  <c:v>3949.105</c:v>
                </c:pt>
                <c:pt idx="136">
                  <c:v>3900.89</c:v>
                </c:pt>
                <c:pt idx="137">
                  <c:v>3806.8820000000001</c:v>
                </c:pt>
                <c:pt idx="138">
                  <c:v>3468.944</c:v>
                </c:pt>
                <c:pt idx="139">
                  <c:v>3849.8960000000002</c:v>
                </c:pt>
                <c:pt idx="140">
                  <c:v>3669.5419999999999</c:v>
                </c:pt>
                <c:pt idx="141">
                  <c:v>3936.7979999999998</c:v>
                </c:pt>
                <c:pt idx="142">
                  <c:v>4042.9340000000002</c:v>
                </c:pt>
                <c:pt idx="143">
                  <c:v>4095.873</c:v>
                </c:pt>
                <c:pt idx="144">
                  <c:v>4064.59</c:v>
                </c:pt>
                <c:pt idx="145">
                  <c:v>4058.2579999999998</c:v>
                </c:pt>
                <c:pt idx="146">
                  <c:v>4344.7669999999998</c:v>
                </c:pt>
                <c:pt idx="147">
                  <c:v>4554.201</c:v>
                </c:pt>
                <c:pt idx="148">
                  <c:v>4614.0079999999998</c:v>
                </c:pt>
                <c:pt idx="149">
                  <c:v>4616.9650000000001</c:v>
                </c:pt>
                <c:pt idx="150">
                  <c:v>4806.6880000000001</c:v>
                </c:pt>
                <c:pt idx="151">
                  <c:v>4960.6419999999998</c:v>
                </c:pt>
                <c:pt idx="152">
                  <c:v>5234.8019999999997</c:v>
                </c:pt>
                <c:pt idx="153">
                  <c:v>5436.8109999999997</c:v>
                </c:pt>
                <c:pt idx="154">
                  <c:v>5277.643</c:v>
                </c:pt>
                <c:pt idx="155">
                  <c:v>5206.1450000000004</c:v>
                </c:pt>
                <c:pt idx="156">
                  <c:v>5572.6279999999997</c:v>
                </c:pt>
                <c:pt idx="157">
                  <c:v>5646.35</c:v>
                </c:pt>
                <c:pt idx="158">
                  <c:v>6187.3119999999999</c:v>
                </c:pt>
                <c:pt idx="159">
                  <c:v>6560.2860000000001</c:v>
                </c:pt>
                <c:pt idx="160">
                  <c:v>6532.2979999999998</c:v>
                </c:pt>
                <c:pt idx="161">
                  <c:v>6535.8909999999996</c:v>
                </c:pt>
                <c:pt idx="162">
                  <c:v>6539.1260000000002</c:v>
                </c:pt>
                <c:pt idx="163">
                  <c:v>6835.0050000000001</c:v>
                </c:pt>
                <c:pt idx="164">
                  <c:v>7629.01</c:v>
                </c:pt>
                <c:pt idx="165">
                  <c:v>7934.3959999999997</c:v>
                </c:pt>
                <c:pt idx="166">
                  <c:v>8368.3089999999993</c:v>
                </c:pt>
                <c:pt idx="167">
                  <c:v>8585.6620000000003</c:v>
                </c:pt>
              </c:numCache>
            </c:numRef>
          </c:val>
          <c:extLst>
            <c:ext xmlns:c16="http://schemas.microsoft.com/office/drawing/2014/chart" uri="{C3380CC4-5D6E-409C-BE32-E72D297353CC}">
              <c16:uniqueId val="{00000003-BDE1-4B25-912F-63E403EF86D8}"/>
            </c:ext>
          </c:extLst>
        </c:ser>
        <c:dLbls>
          <c:showLegendKey val="0"/>
          <c:showVal val="0"/>
          <c:showCatName val="0"/>
          <c:showSerName val="0"/>
          <c:showPercent val="0"/>
          <c:showBubbleSize val="0"/>
        </c:dLbls>
        <c:axId val="176853807"/>
        <c:axId val="176838831"/>
      </c:areaChart>
      <c:dateAx>
        <c:axId val="176853807"/>
        <c:scaling>
          <c:orientation val="minMax"/>
          <c:max val="45976"/>
          <c:min val="42323"/>
        </c:scaling>
        <c:delete val="0"/>
        <c:axPos val="b"/>
        <c:numFmt formatCode="mmm\-yy" sourceLinked="1"/>
        <c:majorTickMark val="out"/>
        <c:minorTickMark val="none"/>
        <c:tickLblPos val="low"/>
        <c:spPr>
          <a:noFill/>
          <a:ln w="12700" cap="flat" cmpd="sng" algn="ctr">
            <a:solidFill>
              <a:srgbClr val="333333"/>
            </a:solidFill>
            <a:prstDash val="solid"/>
            <a:round/>
          </a:ln>
          <a:effectLst/>
        </c:spPr>
        <c:txPr>
          <a:bodyPr rot="-60000000" spcFirstLastPara="1" vertOverflow="ellipsis" vert="horz" wrap="square" anchor="ctr" anchorCtr="1"/>
          <a:lstStyle/>
          <a:p>
            <a:pPr>
              <a:defRPr sz="900" b="0" i="0" u="none" strike="noStrike" kern="1200" baseline="0">
                <a:solidFill>
                  <a:srgbClr val="000000"/>
                </a:solidFill>
                <a:latin typeface="Credit Suisse Type Light"/>
                <a:ea typeface="Credit Suisse Type Light"/>
                <a:cs typeface="Credit Suisse Type Light"/>
              </a:defRPr>
            </a:pPr>
            <a:endParaRPr lang="en-US"/>
          </a:p>
        </c:txPr>
        <c:crossAx val="176838831"/>
        <c:crosses val="autoZero"/>
        <c:auto val="1"/>
        <c:lblOffset val="100"/>
        <c:baseTimeUnit val="months"/>
        <c:majorUnit val="24"/>
        <c:majorTimeUnit val="months"/>
      </c:dateAx>
      <c:valAx>
        <c:axId val="176838831"/>
        <c:scaling>
          <c:orientation val="minMax"/>
          <c:max val="80000"/>
          <c:min val="-10000"/>
        </c:scaling>
        <c:delete val="0"/>
        <c:axPos val="l"/>
        <c:numFmt formatCode="#,##0" sourceLinked="0"/>
        <c:majorTickMark val="out"/>
        <c:minorTickMark val="none"/>
        <c:tickLblPos val="nextTo"/>
        <c:spPr>
          <a:noFill/>
          <a:ln w="12700">
            <a:solidFill>
              <a:srgbClr val="333333"/>
            </a:solidFill>
            <a:prstDash val="solid"/>
          </a:ln>
          <a:effectLst/>
        </c:spPr>
        <c:txPr>
          <a:bodyPr rot="-60000000" spcFirstLastPara="1" vertOverflow="ellipsis" vert="horz" wrap="square" anchor="ctr" anchorCtr="1"/>
          <a:lstStyle/>
          <a:p>
            <a:pPr>
              <a:defRPr sz="900" b="0" i="0" u="none" strike="noStrike" kern="1200" baseline="0">
                <a:solidFill>
                  <a:srgbClr val="000000"/>
                </a:solidFill>
                <a:latin typeface="Credit Suisse Type Light"/>
                <a:ea typeface="Credit Suisse Type Light"/>
                <a:cs typeface="Credit Suisse Type Light"/>
              </a:defRPr>
            </a:pPr>
            <a:endParaRPr lang="en-US"/>
          </a:p>
        </c:txPr>
        <c:crossAx val="176853807"/>
        <c:crosses val="autoZero"/>
        <c:crossBetween val="midCat"/>
        <c:majorUnit val="10000"/>
        <c:dispUnits>
          <c:builtInUnit val="thousands"/>
        </c:dispUnits>
      </c:valAx>
      <c:spPr>
        <a:noFill/>
        <a:ln w="25400">
          <a:noFill/>
        </a:ln>
        <a:effectLst/>
      </c:spPr>
    </c:plotArea>
    <c:legend>
      <c:legendPos val="b"/>
      <c:layout>
        <c:manualLayout>
          <c:xMode val="edge"/>
          <c:yMode val="edge"/>
          <c:x val="0.58692967989800704"/>
          <c:y val="9.5635951324102936E-2"/>
          <c:w val="0.41307026359551674"/>
          <c:h val="8.0249227058575567E-2"/>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000000"/>
              </a:solidFill>
              <a:latin typeface="Credit Suisse Type Light"/>
              <a:ea typeface="Credit Suisse Type Light"/>
              <a:cs typeface="Credit Suisse Type Light"/>
            </a:defRPr>
          </a:pPr>
          <a:endParaRPr lang="en-US"/>
        </a:p>
      </c:txPr>
    </c:legend>
    <c:plotVisOnly val="1"/>
    <c:dispBlanksAs val="zero"/>
    <c:showDLblsOverMax val="0"/>
  </c:chart>
  <c:spPr>
    <a:solidFill>
      <a:srgbClr val="FFFFFF"/>
    </a:solidFill>
    <a:ln w="25400" cap="flat" cmpd="sng" algn="ctr">
      <a:noFill/>
      <a:round/>
    </a:ln>
    <a:effectLst/>
  </c:spPr>
  <c:txPr>
    <a:bodyPr/>
    <a:lstStyle/>
    <a:p>
      <a:pPr>
        <a:defRPr sz="900" b="0" i="0">
          <a:solidFill>
            <a:srgbClr val="333333"/>
          </a:solidFill>
          <a:latin typeface="Credit Suisse Type Light"/>
          <a:ea typeface="Credit Suisse Type Light"/>
          <a:cs typeface="Credit Suisse Type Light"/>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080" b="0" i="0" u="none" strike="noStrike" kern="1200" spc="0" baseline="0">
                <a:solidFill>
                  <a:srgbClr val="333333"/>
                </a:solidFill>
                <a:latin typeface="Credit Suisse Type Light"/>
                <a:ea typeface="Credit Suisse Type Light"/>
                <a:cs typeface="Credit Suisse Type Light"/>
              </a:defRPr>
            </a:pPr>
            <a:r>
              <a:rPr lang="en-US" b="1"/>
              <a:t>Selected composition</a:t>
            </a:r>
            <a:r>
              <a:rPr lang="en-US" b="1" baseline="0"/>
              <a:t> of gross international reserves</a:t>
            </a:r>
          </a:p>
          <a:p>
            <a:pPr algn="l">
              <a:defRPr/>
            </a:pPr>
            <a:r>
              <a:rPr lang="en-US" baseline="0"/>
              <a:t>$bn </a:t>
            </a:r>
            <a:endParaRPr lang="en-US"/>
          </a:p>
        </c:rich>
      </c:tx>
      <c:layout>
        <c:manualLayout>
          <c:xMode val="edge"/>
          <c:yMode val="edge"/>
          <c:x val="7.3788374629889367E-2"/>
          <c:y val="5.031448534224151E-3"/>
        </c:manualLayout>
      </c:layout>
      <c:overlay val="0"/>
      <c:spPr>
        <a:noFill/>
        <a:ln>
          <a:noFill/>
        </a:ln>
        <a:effectLst/>
      </c:spPr>
      <c:txPr>
        <a:bodyPr rot="0" spcFirstLastPara="1" vertOverflow="ellipsis" vert="horz" wrap="square" anchor="ctr" anchorCtr="1"/>
        <a:lstStyle/>
        <a:p>
          <a:pPr algn="l">
            <a:defRPr sz="1080" b="0" i="0" u="none" strike="noStrike" kern="1200" spc="0" baseline="0">
              <a:solidFill>
                <a:srgbClr val="333333"/>
              </a:solidFill>
              <a:latin typeface="Credit Suisse Type Light"/>
              <a:ea typeface="Credit Suisse Type Light"/>
              <a:cs typeface="Credit Suisse Type Light"/>
            </a:defRPr>
          </a:pPr>
          <a:endParaRPr lang="en-US"/>
        </a:p>
      </c:txPr>
    </c:title>
    <c:autoTitleDeleted val="0"/>
    <c:plotArea>
      <c:layout>
        <c:manualLayout>
          <c:xMode val="edge"/>
          <c:yMode val="edge"/>
          <c:x val="1.9662060274277998E-2"/>
          <c:y val="2.5818764227847523E-2"/>
          <c:w val="0.9781874986453305"/>
          <c:h val="0.97418123577215243"/>
        </c:manualLayout>
      </c:layout>
      <c:barChart>
        <c:barDir val="col"/>
        <c:grouping val="stacked"/>
        <c:varyColors val="0"/>
        <c:ser>
          <c:idx val="0"/>
          <c:order val="0"/>
          <c:tx>
            <c:strRef>
              <c:f>'Net reserves'!$A$12</c:f>
              <c:strCache>
                <c:ptCount val="1"/>
                <c:pt idx="0">
                  <c:v>Net reserves</c:v>
                </c:pt>
              </c:strCache>
            </c:strRef>
          </c:tx>
          <c:spPr>
            <a:solidFill>
              <a:srgbClr val="800000"/>
            </a:solidFill>
            <a:ln w="12700">
              <a:noFill/>
              <a:prstDash val="solid"/>
            </a:ln>
            <a:effectLst/>
          </c:spPr>
          <c:invertIfNegative val="0"/>
          <c:cat>
            <c:numRef>
              <c:f>'Net reserves'!$H$10:$FS$10</c:f>
              <c:numCache>
                <c:formatCode>mmm\-yy</c:formatCode>
                <c:ptCount val="168"/>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pt idx="14">
                  <c:v>41334</c:v>
                </c:pt>
                <c:pt idx="15">
                  <c:v>41365</c:v>
                </c:pt>
                <c:pt idx="16">
                  <c:v>41395</c:v>
                </c:pt>
                <c:pt idx="17">
                  <c:v>41426</c:v>
                </c:pt>
                <c:pt idx="18">
                  <c:v>41456</c:v>
                </c:pt>
                <c:pt idx="19">
                  <c:v>41487</c:v>
                </c:pt>
                <c:pt idx="20">
                  <c:v>41518</c:v>
                </c:pt>
                <c:pt idx="21">
                  <c:v>41548</c:v>
                </c:pt>
                <c:pt idx="22">
                  <c:v>41579</c:v>
                </c:pt>
                <c:pt idx="23">
                  <c:v>41609</c:v>
                </c:pt>
                <c:pt idx="24">
                  <c:v>41640</c:v>
                </c:pt>
                <c:pt idx="25">
                  <c:v>41671</c:v>
                </c:pt>
                <c:pt idx="26">
                  <c:v>41699</c:v>
                </c:pt>
                <c:pt idx="27">
                  <c:v>41730</c:v>
                </c:pt>
                <c:pt idx="28">
                  <c:v>41760</c:v>
                </c:pt>
                <c:pt idx="29">
                  <c:v>41791</c:v>
                </c:pt>
                <c:pt idx="30">
                  <c:v>41821</c:v>
                </c:pt>
                <c:pt idx="31">
                  <c:v>41852</c:v>
                </c:pt>
                <c:pt idx="32">
                  <c:v>41883</c:v>
                </c:pt>
                <c:pt idx="33">
                  <c:v>41913</c:v>
                </c:pt>
                <c:pt idx="34">
                  <c:v>41944</c:v>
                </c:pt>
                <c:pt idx="35">
                  <c:v>41974</c:v>
                </c:pt>
                <c:pt idx="36">
                  <c:v>42005</c:v>
                </c:pt>
                <c:pt idx="37">
                  <c:v>42036</c:v>
                </c:pt>
                <c:pt idx="38">
                  <c:v>42064</c:v>
                </c:pt>
                <c:pt idx="39">
                  <c:v>42095</c:v>
                </c:pt>
                <c:pt idx="40">
                  <c:v>42125</c:v>
                </c:pt>
                <c:pt idx="41">
                  <c:v>42156</c:v>
                </c:pt>
                <c:pt idx="42">
                  <c:v>42186</c:v>
                </c:pt>
                <c:pt idx="43">
                  <c:v>42217</c:v>
                </c:pt>
                <c:pt idx="44">
                  <c:v>42248</c:v>
                </c:pt>
                <c:pt idx="45">
                  <c:v>42278</c:v>
                </c:pt>
                <c:pt idx="46">
                  <c:v>42309</c:v>
                </c:pt>
                <c:pt idx="47">
                  <c:v>42339</c:v>
                </c:pt>
                <c:pt idx="48">
                  <c:v>42370</c:v>
                </c:pt>
                <c:pt idx="49">
                  <c:v>42401</c:v>
                </c:pt>
                <c:pt idx="50">
                  <c:v>42430</c:v>
                </c:pt>
                <c:pt idx="51">
                  <c:v>42461</c:v>
                </c:pt>
                <c:pt idx="52">
                  <c:v>42491</c:v>
                </c:pt>
                <c:pt idx="53">
                  <c:v>42522</c:v>
                </c:pt>
                <c:pt idx="54">
                  <c:v>42552</c:v>
                </c:pt>
                <c:pt idx="55">
                  <c:v>42583</c:v>
                </c:pt>
                <c:pt idx="56">
                  <c:v>42614</c:v>
                </c:pt>
                <c:pt idx="57">
                  <c:v>42644</c:v>
                </c:pt>
                <c:pt idx="58">
                  <c:v>42675</c:v>
                </c:pt>
                <c:pt idx="59">
                  <c:v>42705</c:v>
                </c:pt>
                <c:pt idx="60">
                  <c:v>42736</c:v>
                </c:pt>
                <c:pt idx="61">
                  <c:v>42767</c:v>
                </c:pt>
                <c:pt idx="62">
                  <c:v>42795</c:v>
                </c:pt>
                <c:pt idx="63">
                  <c:v>42826</c:v>
                </c:pt>
                <c:pt idx="64">
                  <c:v>42856</c:v>
                </c:pt>
                <c:pt idx="65">
                  <c:v>42887</c:v>
                </c:pt>
                <c:pt idx="66">
                  <c:v>42917</c:v>
                </c:pt>
                <c:pt idx="67">
                  <c:v>42948</c:v>
                </c:pt>
                <c:pt idx="68">
                  <c:v>42979</c:v>
                </c:pt>
                <c:pt idx="69">
                  <c:v>43009</c:v>
                </c:pt>
                <c:pt idx="70">
                  <c:v>43040</c:v>
                </c:pt>
                <c:pt idx="71">
                  <c:v>43070</c:v>
                </c:pt>
                <c:pt idx="72">
                  <c:v>43101</c:v>
                </c:pt>
                <c:pt idx="73">
                  <c:v>43132</c:v>
                </c:pt>
                <c:pt idx="74">
                  <c:v>43160</c:v>
                </c:pt>
                <c:pt idx="75">
                  <c:v>43191</c:v>
                </c:pt>
                <c:pt idx="76">
                  <c:v>43221</c:v>
                </c:pt>
                <c:pt idx="77">
                  <c:v>43252</c:v>
                </c:pt>
                <c:pt idx="78">
                  <c:v>43282</c:v>
                </c:pt>
                <c:pt idx="79">
                  <c:v>43313</c:v>
                </c:pt>
                <c:pt idx="80">
                  <c:v>43344</c:v>
                </c:pt>
                <c:pt idx="81">
                  <c:v>43374</c:v>
                </c:pt>
                <c:pt idx="82">
                  <c:v>43405</c:v>
                </c:pt>
                <c:pt idx="83">
                  <c:v>43435</c:v>
                </c:pt>
                <c:pt idx="84">
                  <c:v>43466</c:v>
                </c:pt>
                <c:pt idx="85">
                  <c:v>43497</c:v>
                </c:pt>
                <c:pt idx="86">
                  <c:v>43525</c:v>
                </c:pt>
                <c:pt idx="87">
                  <c:v>43556</c:v>
                </c:pt>
                <c:pt idx="88">
                  <c:v>43586</c:v>
                </c:pt>
                <c:pt idx="89">
                  <c:v>43617</c:v>
                </c:pt>
                <c:pt idx="90">
                  <c:v>43647</c:v>
                </c:pt>
                <c:pt idx="91">
                  <c:v>43678</c:v>
                </c:pt>
                <c:pt idx="92">
                  <c:v>43709</c:v>
                </c:pt>
                <c:pt idx="93">
                  <c:v>43739</c:v>
                </c:pt>
                <c:pt idx="94">
                  <c:v>43770</c:v>
                </c:pt>
                <c:pt idx="95">
                  <c:v>43800</c:v>
                </c:pt>
                <c:pt idx="96">
                  <c:v>43831</c:v>
                </c:pt>
                <c:pt idx="97">
                  <c:v>43862</c:v>
                </c:pt>
                <c:pt idx="98">
                  <c:v>43891</c:v>
                </c:pt>
                <c:pt idx="99">
                  <c:v>43922</c:v>
                </c:pt>
                <c:pt idx="100">
                  <c:v>43952</c:v>
                </c:pt>
                <c:pt idx="101">
                  <c:v>43983</c:v>
                </c:pt>
                <c:pt idx="102">
                  <c:v>44013</c:v>
                </c:pt>
                <c:pt idx="103">
                  <c:v>44044</c:v>
                </c:pt>
                <c:pt idx="104">
                  <c:v>44075</c:v>
                </c:pt>
                <c:pt idx="105">
                  <c:v>44105</c:v>
                </c:pt>
                <c:pt idx="106">
                  <c:v>44136</c:v>
                </c:pt>
                <c:pt idx="107">
                  <c:v>44166</c:v>
                </c:pt>
                <c:pt idx="108">
                  <c:v>44197</c:v>
                </c:pt>
                <c:pt idx="109">
                  <c:v>44228</c:v>
                </c:pt>
                <c:pt idx="110">
                  <c:v>44256</c:v>
                </c:pt>
                <c:pt idx="111">
                  <c:v>44287</c:v>
                </c:pt>
                <c:pt idx="112">
                  <c:v>44317</c:v>
                </c:pt>
                <c:pt idx="113">
                  <c:v>44348</c:v>
                </c:pt>
                <c:pt idx="114">
                  <c:v>44378</c:v>
                </c:pt>
                <c:pt idx="115">
                  <c:v>44409</c:v>
                </c:pt>
                <c:pt idx="116">
                  <c:v>44440</c:v>
                </c:pt>
                <c:pt idx="117">
                  <c:v>44470</c:v>
                </c:pt>
                <c:pt idx="118">
                  <c:v>44501</c:v>
                </c:pt>
                <c:pt idx="119">
                  <c:v>44531</c:v>
                </c:pt>
                <c:pt idx="120">
                  <c:v>44562</c:v>
                </c:pt>
                <c:pt idx="121">
                  <c:v>44593</c:v>
                </c:pt>
                <c:pt idx="122">
                  <c:v>44621</c:v>
                </c:pt>
                <c:pt idx="123">
                  <c:v>44652</c:v>
                </c:pt>
                <c:pt idx="124">
                  <c:v>44682</c:v>
                </c:pt>
                <c:pt idx="125">
                  <c:v>44713</c:v>
                </c:pt>
                <c:pt idx="126">
                  <c:v>44743</c:v>
                </c:pt>
                <c:pt idx="127">
                  <c:v>44774</c:v>
                </c:pt>
                <c:pt idx="128">
                  <c:v>44805</c:v>
                </c:pt>
                <c:pt idx="129">
                  <c:v>44835</c:v>
                </c:pt>
                <c:pt idx="130">
                  <c:v>44866</c:v>
                </c:pt>
                <c:pt idx="131">
                  <c:v>44896</c:v>
                </c:pt>
                <c:pt idx="132">
                  <c:v>44927</c:v>
                </c:pt>
                <c:pt idx="133">
                  <c:v>44958</c:v>
                </c:pt>
                <c:pt idx="134">
                  <c:v>44986</c:v>
                </c:pt>
                <c:pt idx="135">
                  <c:v>45017</c:v>
                </c:pt>
                <c:pt idx="136">
                  <c:v>45047</c:v>
                </c:pt>
                <c:pt idx="137">
                  <c:v>45078</c:v>
                </c:pt>
                <c:pt idx="138">
                  <c:v>45108</c:v>
                </c:pt>
                <c:pt idx="139">
                  <c:v>45139</c:v>
                </c:pt>
                <c:pt idx="140">
                  <c:v>45170</c:v>
                </c:pt>
                <c:pt idx="141">
                  <c:v>45200</c:v>
                </c:pt>
                <c:pt idx="142">
                  <c:v>45231</c:v>
                </c:pt>
                <c:pt idx="143">
                  <c:v>45261</c:v>
                </c:pt>
                <c:pt idx="144">
                  <c:v>45292</c:v>
                </c:pt>
                <c:pt idx="145">
                  <c:v>45323</c:v>
                </c:pt>
                <c:pt idx="146">
                  <c:v>45352</c:v>
                </c:pt>
                <c:pt idx="147">
                  <c:v>45383</c:v>
                </c:pt>
                <c:pt idx="148">
                  <c:v>45413</c:v>
                </c:pt>
                <c:pt idx="149">
                  <c:v>45444</c:v>
                </c:pt>
                <c:pt idx="150">
                  <c:v>45474</c:v>
                </c:pt>
                <c:pt idx="151">
                  <c:v>45505</c:v>
                </c:pt>
                <c:pt idx="152">
                  <c:v>45536</c:v>
                </c:pt>
                <c:pt idx="153">
                  <c:v>45566</c:v>
                </c:pt>
                <c:pt idx="154">
                  <c:v>45597</c:v>
                </c:pt>
                <c:pt idx="155">
                  <c:v>45627</c:v>
                </c:pt>
                <c:pt idx="156">
                  <c:v>45658</c:v>
                </c:pt>
                <c:pt idx="157">
                  <c:v>45689</c:v>
                </c:pt>
                <c:pt idx="158">
                  <c:v>45717</c:v>
                </c:pt>
                <c:pt idx="159">
                  <c:v>45748</c:v>
                </c:pt>
                <c:pt idx="160">
                  <c:v>45778</c:v>
                </c:pt>
                <c:pt idx="161">
                  <c:v>45809</c:v>
                </c:pt>
                <c:pt idx="162">
                  <c:v>45839</c:v>
                </c:pt>
                <c:pt idx="163">
                  <c:v>45870</c:v>
                </c:pt>
                <c:pt idx="164">
                  <c:v>45901</c:v>
                </c:pt>
                <c:pt idx="165">
                  <c:v>45931</c:v>
                </c:pt>
                <c:pt idx="166">
                  <c:v>45962</c:v>
                </c:pt>
                <c:pt idx="167">
                  <c:v>45992</c:v>
                </c:pt>
              </c:numCache>
            </c:numRef>
          </c:cat>
          <c:val>
            <c:numRef>
              <c:f>'Net reserves'!$H$12:$FS$12</c:f>
              <c:numCache>
                <c:formatCode>_(* #,##0.00_);_(* \(#,##0.00\);_(* "-"??_);_(@_)</c:formatCode>
                <c:ptCount val="168"/>
                <c:pt idx="0">
                  <c:v>38906.998575167941</c:v>
                </c:pt>
                <c:pt idx="1">
                  <c:v>39046.497944890929</c:v>
                </c:pt>
                <c:pt idx="2">
                  <c:v>39370.86746295022</c:v>
                </c:pt>
                <c:pt idx="3">
                  <c:v>40023.011065726634</c:v>
                </c:pt>
                <c:pt idx="4">
                  <c:v>39947.098896877105</c:v>
                </c:pt>
                <c:pt idx="5">
                  <c:v>40166.411977900549</c:v>
                </c:pt>
                <c:pt idx="6">
                  <c:v>40038.853928961747</c:v>
                </c:pt>
                <c:pt idx="7">
                  <c:v>37843.96859333045</c:v>
                </c:pt>
                <c:pt idx="8">
                  <c:v>37575.449846055162</c:v>
                </c:pt>
                <c:pt idx="9">
                  <c:v>36594.867022756</c:v>
                </c:pt>
                <c:pt idx="10">
                  <c:v>36248.632582213031</c:v>
                </c:pt>
                <c:pt idx="11">
                  <c:v>33858.245082482637</c:v>
                </c:pt>
                <c:pt idx="12">
                  <c:v>33639.652914400802</c:v>
                </c:pt>
                <c:pt idx="13">
                  <c:v>32864.759206923991</c:v>
                </c:pt>
                <c:pt idx="14">
                  <c:v>31986.636406115253</c:v>
                </c:pt>
                <c:pt idx="15">
                  <c:v>30532.050004830915</c:v>
                </c:pt>
                <c:pt idx="16">
                  <c:v>29536.084389057756</c:v>
                </c:pt>
                <c:pt idx="17">
                  <c:v>28081.651767441861</c:v>
                </c:pt>
                <c:pt idx="18">
                  <c:v>27734.514824065638</c:v>
                </c:pt>
                <c:pt idx="19">
                  <c:v>24505.176215852796</c:v>
                </c:pt>
                <c:pt idx="20">
                  <c:v>22120.37997835498</c:v>
                </c:pt>
                <c:pt idx="21">
                  <c:v>20310.946687712152</c:v>
                </c:pt>
                <c:pt idx="22">
                  <c:v>17956.071322169584</c:v>
                </c:pt>
                <c:pt idx="23">
                  <c:v>16190.752109521616</c:v>
                </c:pt>
                <c:pt idx="24">
                  <c:v>13056.723419518376</c:v>
                </c:pt>
                <c:pt idx="25">
                  <c:v>14938.487648261758</c:v>
                </c:pt>
                <c:pt idx="26">
                  <c:v>15098.470637826958</c:v>
                </c:pt>
                <c:pt idx="27">
                  <c:v>17333.652050301811</c:v>
                </c:pt>
                <c:pt idx="28">
                  <c:v>17659.578244084682</c:v>
                </c:pt>
                <c:pt idx="29">
                  <c:v>17787.687395892612</c:v>
                </c:pt>
                <c:pt idx="30">
                  <c:v>17924.781815177481</c:v>
                </c:pt>
                <c:pt idx="31">
                  <c:v>17585.437026104661</c:v>
                </c:pt>
                <c:pt idx="32">
                  <c:v>17098.613221957039</c:v>
                </c:pt>
                <c:pt idx="33">
                  <c:v>16180.354955595027</c:v>
                </c:pt>
                <c:pt idx="34">
                  <c:v>16161.911415094341</c:v>
                </c:pt>
                <c:pt idx="35">
                  <c:v>17017.012331374855</c:v>
                </c:pt>
                <c:pt idx="36">
                  <c:v>15920.056030250144</c:v>
                </c:pt>
                <c:pt idx="37">
                  <c:v>15072.470691244242</c:v>
                </c:pt>
                <c:pt idx="38">
                  <c:v>14356.583329532494</c:v>
                </c:pt>
                <c:pt idx="39">
                  <c:v>16140.270902934535</c:v>
                </c:pt>
                <c:pt idx="40">
                  <c:v>15140.36801621017</c:v>
                </c:pt>
                <c:pt idx="41">
                  <c:v>14772.109690265483</c:v>
                </c:pt>
                <c:pt idx="42">
                  <c:v>14442.367754510666</c:v>
                </c:pt>
                <c:pt idx="43">
                  <c:v>12398.463513513514</c:v>
                </c:pt>
                <c:pt idx="44">
                  <c:v>10893.057666666668</c:v>
                </c:pt>
                <c:pt idx="45">
                  <c:v>3198.6177091004738</c:v>
                </c:pt>
                <c:pt idx="46">
                  <c:v>1874.9284878175222</c:v>
                </c:pt>
                <c:pt idx="47">
                  <c:v>518.24403816793802</c:v>
                </c:pt>
                <c:pt idx="48">
                  <c:v>1723.1509753265591</c:v>
                </c:pt>
                <c:pt idx="49">
                  <c:v>1919.3192993630564</c:v>
                </c:pt>
                <c:pt idx="50">
                  <c:v>1200.7828767123306</c:v>
                </c:pt>
                <c:pt idx="51">
                  <c:v>6360.8643146853155</c:v>
                </c:pt>
                <c:pt idx="52">
                  <c:v>88.657142857141025</c:v>
                </c:pt>
                <c:pt idx="53">
                  <c:v>48.545999999999822</c:v>
                </c:pt>
                <c:pt idx="54">
                  <c:v>5545.9323333333332</c:v>
                </c:pt>
                <c:pt idx="55">
                  <c:v>5645.1750402684593</c:v>
                </c:pt>
                <c:pt idx="56">
                  <c:v>4649.5621437908485</c:v>
                </c:pt>
                <c:pt idx="57">
                  <c:v>5188.6139999999959</c:v>
                </c:pt>
                <c:pt idx="58">
                  <c:v>9074.6260062893125</c:v>
                </c:pt>
                <c:pt idx="59">
                  <c:v>10199.106805031448</c:v>
                </c:pt>
                <c:pt idx="60">
                  <c:v>11054.057591194971</c:v>
                </c:pt>
                <c:pt idx="61">
                  <c:v>14560.62093548387</c:v>
                </c:pt>
                <c:pt idx="62">
                  <c:v>12624.572285714283</c:v>
                </c:pt>
                <c:pt idx="63">
                  <c:v>15490.423000000001</c:v>
                </c:pt>
                <c:pt idx="64">
                  <c:v>16478.938161490685</c:v>
                </c:pt>
                <c:pt idx="65">
                  <c:v>20954.054927710848</c:v>
                </c:pt>
                <c:pt idx="66">
                  <c:v>17545.550484419258</c:v>
                </c:pt>
                <c:pt idx="67">
                  <c:v>18303.026826589594</c:v>
                </c:pt>
                <c:pt idx="68">
                  <c:v>21395.025456647403</c:v>
                </c:pt>
                <c:pt idx="69">
                  <c:v>24794.264855524081</c:v>
                </c:pt>
                <c:pt idx="70">
                  <c:v>26060.35870520231</c:v>
                </c:pt>
                <c:pt idx="71">
                  <c:v>27697.552172043004</c:v>
                </c:pt>
                <c:pt idx="72">
                  <c:v>30741.244020408165</c:v>
                </c:pt>
                <c:pt idx="73">
                  <c:v>34591.384417910456</c:v>
                </c:pt>
                <c:pt idx="74">
                  <c:v>34716.354640776706</c:v>
                </c:pt>
                <c:pt idx="75">
                  <c:v>29223.103240875909</c:v>
                </c:pt>
                <c:pt idx="76">
                  <c:v>24148.697218787638</c:v>
                </c:pt>
                <c:pt idx="77">
                  <c:v>33821.579694444445</c:v>
                </c:pt>
                <c:pt idx="78">
                  <c:v>30433.54378311499</c:v>
                </c:pt>
                <c:pt idx="79">
                  <c:v>25123.016623978201</c:v>
                </c:pt>
                <c:pt idx="80">
                  <c:v>22409.42284082625</c:v>
                </c:pt>
                <c:pt idx="81">
                  <c:v>27326.383736401673</c:v>
                </c:pt>
                <c:pt idx="82">
                  <c:v>24239.983424242422</c:v>
                </c:pt>
                <c:pt idx="83">
                  <c:v>29260.467085106386</c:v>
                </c:pt>
                <c:pt idx="84">
                  <c:v>29698.982302013421</c:v>
                </c:pt>
                <c:pt idx="85">
                  <c:v>31192.162089628677</c:v>
                </c:pt>
                <c:pt idx="86">
                  <c:v>27971.487231213872</c:v>
                </c:pt>
                <c:pt idx="87">
                  <c:v>32717.437191827466</c:v>
                </c:pt>
                <c:pt idx="88">
                  <c:v>25601.864110613526</c:v>
                </c:pt>
                <c:pt idx="89">
                  <c:v>26080.139647780928</c:v>
                </c:pt>
                <c:pt idx="90">
                  <c:v>29112.000566925533</c:v>
                </c:pt>
                <c:pt idx="91">
                  <c:v>20709.512752735231</c:v>
                </c:pt>
                <c:pt idx="92">
                  <c:v>17724.943015828838</c:v>
                </c:pt>
                <c:pt idx="93">
                  <c:v>12663.577102064799</c:v>
                </c:pt>
                <c:pt idx="94">
                  <c:v>13105.19044919786</c:v>
                </c:pt>
                <c:pt idx="95">
                  <c:v>13370.596780063557</c:v>
                </c:pt>
                <c:pt idx="96">
                  <c:v>11773.954726141079</c:v>
                </c:pt>
                <c:pt idx="97">
                  <c:v>10914.487234422801</c:v>
                </c:pt>
                <c:pt idx="98">
                  <c:v>10374.872488426285</c:v>
                </c:pt>
                <c:pt idx="99">
                  <c:v>9597.4023578064116</c:v>
                </c:pt>
                <c:pt idx="100">
                  <c:v>8083.1896370543545</c:v>
                </c:pt>
                <c:pt idx="101">
                  <c:v>9121.5612836839118</c:v>
                </c:pt>
                <c:pt idx="102">
                  <c:v>8453.3234148435331</c:v>
                </c:pt>
                <c:pt idx="103">
                  <c:v>6768.7705637149038</c:v>
                </c:pt>
                <c:pt idx="104">
                  <c:v>4712.6394111461595</c:v>
                </c:pt>
                <c:pt idx="105">
                  <c:v>3420.9222983891596</c:v>
                </c:pt>
                <c:pt idx="106">
                  <c:v>2412.8780077576657</c:v>
                </c:pt>
                <c:pt idx="107">
                  <c:v>3023.2615336109448</c:v>
                </c:pt>
                <c:pt idx="108">
                  <c:v>2402.9540510145603</c:v>
                </c:pt>
                <c:pt idx="109">
                  <c:v>2391.6270410164962</c:v>
                </c:pt>
                <c:pt idx="110">
                  <c:v>3370.6869575625692</c:v>
                </c:pt>
                <c:pt idx="111">
                  <c:v>4365.5023434624436</c:v>
                </c:pt>
                <c:pt idx="112">
                  <c:v>5811.304066363733</c:v>
                </c:pt>
                <c:pt idx="113">
                  <c:v>6331.136371888726</c:v>
                </c:pt>
                <c:pt idx="114">
                  <c:v>5880.4108686199424</c:v>
                </c:pt>
                <c:pt idx="115">
                  <c:v>9319.3738496517799</c:v>
                </c:pt>
                <c:pt idx="116">
                  <c:v>5618.8750519059204</c:v>
                </c:pt>
                <c:pt idx="117">
                  <c:v>5301.5250092350943</c:v>
                </c:pt>
                <c:pt idx="118">
                  <c:v>4366.583978782468</c:v>
                </c:pt>
                <c:pt idx="119">
                  <c:v>2105.9048739037198</c:v>
                </c:pt>
                <c:pt idx="120">
                  <c:v>-216.33949294700915</c:v>
                </c:pt>
                <c:pt idx="121">
                  <c:v>-1260.222220307408</c:v>
                </c:pt>
                <c:pt idx="122">
                  <c:v>5439.7140736633282</c:v>
                </c:pt>
                <c:pt idx="123">
                  <c:v>4496.4023824320784</c:v>
                </c:pt>
                <c:pt idx="124">
                  <c:v>4554.7966061615316</c:v>
                </c:pt>
                <c:pt idx="125">
                  <c:v>6506.8330095900237</c:v>
                </c:pt>
                <c:pt idx="126">
                  <c:v>2208.9700495540114</c:v>
                </c:pt>
                <c:pt idx="127">
                  <c:v>1157.1931739161773</c:v>
                </c:pt>
                <c:pt idx="128">
                  <c:v>3241.1755603858182</c:v>
                </c:pt>
                <c:pt idx="129">
                  <c:v>4640.382394553917</c:v>
                </c:pt>
                <c:pt idx="130">
                  <c:v>2903.3695348725914</c:v>
                </c:pt>
                <c:pt idx="131">
                  <c:v>8263.1674674121768</c:v>
                </c:pt>
                <c:pt idx="132">
                  <c:v>3664.4496928838971</c:v>
                </c:pt>
                <c:pt idx="133">
                  <c:v>1569.238343060139</c:v>
                </c:pt>
                <c:pt idx="134">
                  <c:v>2260.9612811646944</c:v>
                </c:pt>
                <c:pt idx="135">
                  <c:v>-851.12050916936323</c:v>
                </c:pt>
                <c:pt idx="136">
                  <c:v>-2080.4003330547425</c:v>
                </c:pt>
                <c:pt idx="137">
                  <c:v>-6004.2538791422994</c:v>
                </c:pt>
                <c:pt idx="138">
                  <c:v>-9253.2675286311569</c:v>
                </c:pt>
                <c:pt idx="139">
                  <c:v>-5193.4252246065826</c:v>
                </c:pt>
                <c:pt idx="140">
                  <c:v>-6037.6053805980828</c:v>
                </c:pt>
                <c:pt idx="141">
                  <c:v>-9968.3402460658072</c:v>
                </c:pt>
                <c:pt idx="142">
                  <c:v>-11573.153722222221</c:v>
                </c:pt>
                <c:pt idx="143">
                  <c:v>-10458.519459198216</c:v>
                </c:pt>
                <c:pt idx="144">
                  <c:v>-6392.7489203539808</c:v>
                </c:pt>
                <c:pt idx="145">
                  <c:v>-6838.457993814678</c:v>
                </c:pt>
                <c:pt idx="146">
                  <c:v>-6194.3803899591348</c:v>
                </c:pt>
                <c:pt idx="147">
                  <c:v>-5440.8976571428584</c:v>
                </c:pt>
                <c:pt idx="148">
                  <c:v>-4172.3784563758391</c:v>
                </c:pt>
                <c:pt idx="149">
                  <c:v>-3839.3036562328416</c:v>
                </c:pt>
                <c:pt idx="150">
                  <c:v>-7959.7091628156904</c:v>
                </c:pt>
                <c:pt idx="151">
                  <c:v>-8037.7708361344557</c:v>
                </c:pt>
                <c:pt idx="152">
                  <c:v>-9253.5249184726508</c:v>
                </c:pt>
                <c:pt idx="153">
                  <c:v>-9687.3949934376597</c:v>
                </c:pt>
                <c:pt idx="154">
                  <c:v>-8626.9543366336638</c:v>
                </c:pt>
                <c:pt idx="155">
                  <c:v>-7689.382901018922</c:v>
                </c:pt>
                <c:pt idx="156">
                  <c:v>-10201.130159695815</c:v>
                </c:pt>
                <c:pt idx="157">
                  <c:v>-9969.4380557253698</c:v>
                </c:pt>
                <c:pt idx="158">
                  <c:v>-12691.473023310024</c:v>
                </c:pt>
                <c:pt idx="159">
                  <c:v>-1440.0768168168161</c:v>
                </c:pt>
                <c:pt idx="160">
                  <c:v>-1873.905052809464</c:v>
                </c:pt>
                <c:pt idx="161">
                  <c:v>1554.2583969179523</c:v>
                </c:pt>
                <c:pt idx="162">
                  <c:v>-391.95792332968449</c:v>
                </c:pt>
                <c:pt idx="163">
                  <c:v>399.23861682243205</c:v>
                </c:pt>
                <c:pt idx="164">
                  <c:v>-528.23029661941109</c:v>
                </c:pt>
                <c:pt idx="165">
                  <c:v>-6714.4721926414413</c:v>
                </c:pt>
                <c:pt idx="166">
                  <c:v>-8255.7022273669663</c:v>
                </c:pt>
                <c:pt idx="167">
                  <c:v>-4491.7471875215451</c:v>
                </c:pt>
              </c:numCache>
            </c:numRef>
          </c:val>
          <c:extLst>
            <c:ext xmlns:c16="http://schemas.microsoft.com/office/drawing/2014/chart" uri="{C3380CC4-5D6E-409C-BE32-E72D297353CC}">
              <c16:uniqueId val="{00000000-9521-4D8B-AEE0-6872E2EABBEB}"/>
            </c:ext>
          </c:extLst>
        </c:ser>
        <c:ser>
          <c:idx val="1"/>
          <c:order val="1"/>
          <c:tx>
            <c:strRef>
              <c:f>'Net reserves'!$A$13</c:f>
              <c:strCache>
                <c:ptCount val="1"/>
                <c:pt idx="0">
                  <c:v>Repos</c:v>
                </c:pt>
              </c:strCache>
            </c:strRef>
          </c:tx>
          <c:spPr>
            <a:solidFill>
              <a:srgbClr val="969696"/>
            </a:solidFill>
            <a:ln w="12700">
              <a:noFill/>
              <a:prstDash val="solid"/>
            </a:ln>
            <a:effectLst/>
          </c:spPr>
          <c:invertIfNegative val="0"/>
          <c:cat>
            <c:numRef>
              <c:f>'Net reserves'!$H$10:$FS$10</c:f>
              <c:numCache>
                <c:formatCode>mmm\-yy</c:formatCode>
                <c:ptCount val="168"/>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pt idx="14">
                  <c:v>41334</c:v>
                </c:pt>
                <c:pt idx="15">
                  <c:v>41365</c:v>
                </c:pt>
                <c:pt idx="16">
                  <c:v>41395</c:v>
                </c:pt>
                <c:pt idx="17">
                  <c:v>41426</c:v>
                </c:pt>
                <c:pt idx="18">
                  <c:v>41456</c:v>
                </c:pt>
                <c:pt idx="19">
                  <c:v>41487</c:v>
                </c:pt>
                <c:pt idx="20">
                  <c:v>41518</c:v>
                </c:pt>
                <c:pt idx="21">
                  <c:v>41548</c:v>
                </c:pt>
                <c:pt idx="22">
                  <c:v>41579</c:v>
                </c:pt>
                <c:pt idx="23">
                  <c:v>41609</c:v>
                </c:pt>
                <c:pt idx="24">
                  <c:v>41640</c:v>
                </c:pt>
                <c:pt idx="25">
                  <c:v>41671</c:v>
                </c:pt>
                <c:pt idx="26">
                  <c:v>41699</c:v>
                </c:pt>
                <c:pt idx="27">
                  <c:v>41730</c:v>
                </c:pt>
                <c:pt idx="28">
                  <c:v>41760</c:v>
                </c:pt>
                <c:pt idx="29">
                  <c:v>41791</c:v>
                </c:pt>
                <c:pt idx="30">
                  <c:v>41821</c:v>
                </c:pt>
                <c:pt idx="31">
                  <c:v>41852</c:v>
                </c:pt>
                <c:pt idx="32">
                  <c:v>41883</c:v>
                </c:pt>
                <c:pt idx="33">
                  <c:v>41913</c:v>
                </c:pt>
                <c:pt idx="34">
                  <c:v>41944</c:v>
                </c:pt>
                <c:pt idx="35">
                  <c:v>41974</c:v>
                </c:pt>
                <c:pt idx="36">
                  <c:v>42005</c:v>
                </c:pt>
                <c:pt idx="37">
                  <c:v>42036</c:v>
                </c:pt>
                <c:pt idx="38">
                  <c:v>42064</c:v>
                </c:pt>
                <c:pt idx="39">
                  <c:v>42095</c:v>
                </c:pt>
                <c:pt idx="40">
                  <c:v>42125</c:v>
                </c:pt>
                <c:pt idx="41">
                  <c:v>42156</c:v>
                </c:pt>
                <c:pt idx="42">
                  <c:v>42186</c:v>
                </c:pt>
                <c:pt idx="43">
                  <c:v>42217</c:v>
                </c:pt>
                <c:pt idx="44">
                  <c:v>42248</c:v>
                </c:pt>
                <c:pt idx="45">
                  <c:v>42278</c:v>
                </c:pt>
                <c:pt idx="46">
                  <c:v>42309</c:v>
                </c:pt>
                <c:pt idx="47">
                  <c:v>42339</c:v>
                </c:pt>
                <c:pt idx="48">
                  <c:v>42370</c:v>
                </c:pt>
                <c:pt idx="49">
                  <c:v>42401</c:v>
                </c:pt>
                <c:pt idx="50">
                  <c:v>42430</c:v>
                </c:pt>
                <c:pt idx="51">
                  <c:v>42461</c:v>
                </c:pt>
                <c:pt idx="52">
                  <c:v>42491</c:v>
                </c:pt>
                <c:pt idx="53">
                  <c:v>42522</c:v>
                </c:pt>
                <c:pt idx="54">
                  <c:v>42552</c:v>
                </c:pt>
                <c:pt idx="55">
                  <c:v>42583</c:v>
                </c:pt>
                <c:pt idx="56">
                  <c:v>42614</c:v>
                </c:pt>
                <c:pt idx="57">
                  <c:v>42644</c:v>
                </c:pt>
                <c:pt idx="58">
                  <c:v>42675</c:v>
                </c:pt>
                <c:pt idx="59">
                  <c:v>42705</c:v>
                </c:pt>
                <c:pt idx="60">
                  <c:v>42736</c:v>
                </c:pt>
                <c:pt idx="61">
                  <c:v>42767</c:v>
                </c:pt>
                <c:pt idx="62">
                  <c:v>42795</c:v>
                </c:pt>
                <c:pt idx="63">
                  <c:v>42826</c:v>
                </c:pt>
                <c:pt idx="64">
                  <c:v>42856</c:v>
                </c:pt>
                <c:pt idx="65">
                  <c:v>42887</c:v>
                </c:pt>
                <c:pt idx="66">
                  <c:v>42917</c:v>
                </c:pt>
                <c:pt idx="67">
                  <c:v>42948</c:v>
                </c:pt>
                <c:pt idx="68">
                  <c:v>42979</c:v>
                </c:pt>
                <c:pt idx="69">
                  <c:v>43009</c:v>
                </c:pt>
                <c:pt idx="70">
                  <c:v>43040</c:v>
                </c:pt>
                <c:pt idx="71">
                  <c:v>43070</c:v>
                </c:pt>
                <c:pt idx="72">
                  <c:v>43101</c:v>
                </c:pt>
                <c:pt idx="73">
                  <c:v>43132</c:v>
                </c:pt>
                <c:pt idx="74">
                  <c:v>43160</c:v>
                </c:pt>
                <c:pt idx="75">
                  <c:v>43191</c:v>
                </c:pt>
                <c:pt idx="76">
                  <c:v>43221</c:v>
                </c:pt>
                <c:pt idx="77">
                  <c:v>43252</c:v>
                </c:pt>
                <c:pt idx="78">
                  <c:v>43282</c:v>
                </c:pt>
                <c:pt idx="79">
                  <c:v>43313</c:v>
                </c:pt>
                <c:pt idx="80">
                  <c:v>43344</c:v>
                </c:pt>
                <c:pt idx="81">
                  <c:v>43374</c:v>
                </c:pt>
                <c:pt idx="82">
                  <c:v>43405</c:v>
                </c:pt>
                <c:pt idx="83">
                  <c:v>43435</c:v>
                </c:pt>
                <c:pt idx="84">
                  <c:v>43466</c:v>
                </c:pt>
                <c:pt idx="85">
                  <c:v>43497</c:v>
                </c:pt>
                <c:pt idx="86">
                  <c:v>43525</c:v>
                </c:pt>
                <c:pt idx="87">
                  <c:v>43556</c:v>
                </c:pt>
                <c:pt idx="88">
                  <c:v>43586</c:v>
                </c:pt>
                <c:pt idx="89">
                  <c:v>43617</c:v>
                </c:pt>
                <c:pt idx="90">
                  <c:v>43647</c:v>
                </c:pt>
                <c:pt idx="91">
                  <c:v>43678</c:v>
                </c:pt>
                <c:pt idx="92">
                  <c:v>43709</c:v>
                </c:pt>
                <c:pt idx="93">
                  <c:v>43739</c:v>
                </c:pt>
                <c:pt idx="94">
                  <c:v>43770</c:v>
                </c:pt>
                <c:pt idx="95">
                  <c:v>43800</c:v>
                </c:pt>
                <c:pt idx="96">
                  <c:v>43831</c:v>
                </c:pt>
                <c:pt idx="97">
                  <c:v>43862</c:v>
                </c:pt>
                <c:pt idx="98">
                  <c:v>43891</c:v>
                </c:pt>
                <c:pt idx="99">
                  <c:v>43922</c:v>
                </c:pt>
                <c:pt idx="100">
                  <c:v>43952</c:v>
                </c:pt>
                <c:pt idx="101">
                  <c:v>43983</c:v>
                </c:pt>
                <c:pt idx="102">
                  <c:v>44013</c:v>
                </c:pt>
                <c:pt idx="103">
                  <c:v>44044</c:v>
                </c:pt>
                <c:pt idx="104">
                  <c:v>44075</c:v>
                </c:pt>
                <c:pt idx="105">
                  <c:v>44105</c:v>
                </c:pt>
                <c:pt idx="106">
                  <c:v>44136</c:v>
                </c:pt>
                <c:pt idx="107">
                  <c:v>44166</c:v>
                </c:pt>
                <c:pt idx="108">
                  <c:v>44197</c:v>
                </c:pt>
                <c:pt idx="109">
                  <c:v>44228</c:v>
                </c:pt>
                <c:pt idx="110">
                  <c:v>44256</c:v>
                </c:pt>
                <c:pt idx="111">
                  <c:v>44287</c:v>
                </c:pt>
                <c:pt idx="112">
                  <c:v>44317</c:v>
                </c:pt>
                <c:pt idx="113">
                  <c:v>44348</c:v>
                </c:pt>
                <c:pt idx="114">
                  <c:v>44378</c:v>
                </c:pt>
                <c:pt idx="115">
                  <c:v>44409</c:v>
                </c:pt>
                <c:pt idx="116">
                  <c:v>44440</c:v>
                </c:pt>
                <c:pt idx="117">
                  <c:v>44470</c:v>
                </c:pt>
                <c:pt idx="118">
                  <c:v>44501</c:v>
                </c:pt>
                <c:pt idx="119">
                  <c:v>44531</c:v>
                </c:pt>
                <c:pt idx="120">
                  <c:v>44562</c:v>
                </c:pt>
                <c:pt idx="121">
                  <c:v>44593</c:v>
                </c:pt>
                <c:pt idx="122">
                  <c:v>44621</c:v>
                </c:pt>
                <c:pt idx="123">
                  <c:v>44652</c:v>
                </c:pt>
                <c:pt idx="124">
                  <c:v>44682</c:v>
                </c:pt>
                <c:pt idx="125">
                  <c:v>44713</c:v>
                </c:pt>
                <c:pt idx="126">
                  <c:v>44743</c:v>
                </c:pt>
                <c:pt idx="127">
                  <c:v>44774</c:v>
                </c:pt>
                <c:pt idx="128">
                  <c:v>44805</c:v>
                </c:pt>
                <c:pt idx="129">
                  <c:v>44835</c:v>
                </c:pt>
                <c:pt idx="130">
                  <c:v>44866</c:v>
                </c:pt>
                <c:pt idx="131">
                  <c:v>44896</c:v>
                </c:pt>
                <c:pt idx="132">
                  <c:v>44927</c:v>
                </c:pt>
                <c:pt idx="133">
                  <c:v>44958</c:v>
                </c:pt>
                <c:pt idx="134">
                  <c:v>44986</c:v>
                </c:pt>
                <c:pt idx="135">
                  <c:v>45017</c:v>
                </c:pt>
                <c:pt idx="136">
                  <c:v>45047</c:v>
                </c:pt>
                <c:pt idx="137">
                  <c:v>45078</c:v>
                </c:pt>
                <c:pt idx="138">
                  <c:v>45108</c:v>
                </c:pt>
                <c:pt idx="139">
                  <c:v>45139</c:v>
                </c:pt>
                <c:pt idx="140">
                  <c:v>45170</c:v>
                </c:pt>
                <c:pt idx="141">
                  <c:v>45200</c:v>
                </c:pt>
                <c:pt idx="142">
                  <c:v>45231</c:v>
                </c:pt>
                <c:pt idx="143">
                  <c:v>45261</c:v>
                </c:pt>
                <c:pt idx="144">
                  <c:v>45292</c:v>
                </c:pt>
                <c:pt idx="145">
                  <c:v>45323</c:v>
                </c:pt>
                <c:pt idx="146">
                  <c:v>45352</c:v>
                </c:pt>
                <c:pt idx="147">
                  <c:v>45383</c:v>
                </c:pt>
                <c:pt idx="148">
                  <c:v>45413</c:v>
                </c:pt>
                <c:pt idx="149">
                  <c:v>45444</c:v>
                </c:pt>
                <c:pt idx="150">
                  <c:v>45474</c:v>
                </c:pt>
                <c:pt idx="151">
                  <c:v>45505</c:v>
                </c:pt>
                <c:pt idx="152">
                  <c:v>45536</c:v>
                </c:pt>
                <c:pt idx="153">
                  <c:v>45566</c:v>
                </c:pt>
                <c:pt idx="154">
                  <c:v>45597</c:v>
                </c:pt>
                <c:pt idx="155">
                  <c:v>45627</c:v>
                </c:pt>
                <c:pt idx="156">
                  <c:v>45658</c:v>
                </c:pt>
                <c:pt idx="157">
                  <c:v>45689</c:v>
                </c:pt>
                <c:pt idx="158">
                  <c:v>45717</c:v>
                </c:pt>
                <c:pt idx="159">
                  <c:v>45748</c:v>
                </c:pt>
                <c:pt idx="160">
                  <c:v>45778</c:v>
                </c:pt>
                <c:pt idx="161">
                  <c:v>45809</c:v>
                </c:pt>
                <c:pt idx="162">
                  <c:v>45839</c:v>
                </c:pt>
                <c:pt idx="163">
                  <c:v>45870</c:v>
                </c:pt>
                <c:pt idx="164">
                  <c:v>45901</c:v>
                </c:pt>
                <c:pt idx="165">
                  <c:v>45931</c:v>
                </c:pt>
                <c:pt idx="166">
                  <c:v>45962</c:v>
                </c:pt>
                <c:pt idx="167">
                  <c:v>45992</c:v>
                </c:pt>
              </c:numCache>
            </c:numRef>
          </c:cat>
          <c:val>
            <c:numRef>
              <c:f>'Net reserves'!$H$13:$FS$13</c:f>
              <c:numCache>
                <c:formatCode>0.000</c:formatCode>
                <c:ptCount val="168"/>
                <c:pt idx="0" formatCode="_(* #,##0.00_);_(* \(#,##0.00\);_(* &quot;-&quot;??_);_(@_)">
                  <c:v>946.60299999999995</c:v>
                </c:pt>
                <c:pt idx="1">
                  <c:v>966.99</c:v>
                </c:pt>
                <c:pt idx="2">
                  <c:v>881.43100000000004</c:v>
                </c:pt>
                <c:pt idx="3">
                  <c:v>860.15200000000004</c:v>
                </c:pt>
                <c:pt idx="4">
                  <c:v>911.31</c:v>
                </c:pt>
                <c:pt idx="5">
                  <c:v>946.47199999999998</c:v>
                </c:pt>
                <c:pt idx="6">
                  <c:v>957.15700000000004</c:v>
                </c:pt>
                <c:pt idx="7">
                  <c:v>951.10199999999998</c:v>
                </c:pt>
                <c:pt idx="8">
                  <c:v>755.91</c:v>
                </c:pt>
                <c:pt idx="9">
                  <c:v>931.53499999999997</c:v>
                </c:pt>
                <c:pt idx="10">
                  <c:v>915.779</c:v>
                </c:pt>
                <c:pt idx="11">
                  <c:v>931.85699999999997</c:v>
                </c:pt>
                <c:pt idx="12">
                  <c:v>789.19200000000001</c:v>
                </c:pt>
                <c:pt idx="13">
                  <c:v>1044.201</c:v>
                </c:pt>
                <c:pt idx="14">
                  <c:v>860.12800000000004</c:v>
                </c:pt>
                <c:pt idx="15">
                  <c:v>1012.607</c:v>
                </c:pt>
                <c:pt idx="16">
                  <c:v>1037.4839999999999</c:v>
                </c:pt>
                <c:pt idx="17">
                  <c:v>960.81799999999998</c:v>
                </c:pt>
                <c:pt idx="18">
                  <c:v>983.05399999999997</c:v>
                </c:pt>
                <c:pt idx="19">
                  <c:v>997.76800000000003</c:v>
                </c:pt>
                <c:pt idx="20">
                  <c:v>1001.026</c:v>
                </c:pt>
                <c:pt idx="21">
                  <c:v>997.55</c:v>
                </c:pt>
                <c:pt idx="22">
                  <c:v>946.98500000000001</c:v>
                </c:pt>
                <c:pt idx="23">
                  <c:v>1046.0640000000001</c:v>
                </c:pt>
                <c:pt idx="24">
                  <c:v>977.45399999999995</c:v>
                </c:pt>
                <c:pt idx="25">
                  <c:v>1016.703</c:v>
                </c:pt>
                <c:pt idx="26">
                  <c:v>1015.023</c:v>
                </c:pt>
                <c:pt idx="27">
                  <c:v>995.93600000000004</c:v>
                </c:pt>
                <c:pt idx="28">
                  <c:v>1010.849</c:v>
                </c:pt>
                <c:pt idx="29">
                  <c:v>1066.2719999999999</c:v>
                </c:pt>
                <c:pt idx="30">
                  <c:v>1074.087</c:v>
                </c:pt>
                <c:pt idx="31">
                  <c:v>947.58500000000004</c:v>
                </c:pt>
                <c:pt idx="32">
                  <c:v>966.4</c:v>
                </c:pt>
                <c:pt idx="33">
                  <c:v>1806.8</c:v>
                </c:pt>
                <c:pt idx="34">
                  <c:v>2534.77</c:v>
                </c:pt>
                <c:pt idx="35">
                  <c:v>3539.6210000000001</c:v>
                </c:pt>
                <c:pt idx="36">
                  <c:v>4384.6859999999997</c:v>
                </c:pt>
                <c:pt idx="37">
                  <c:v>4605.12</c:v>
                </c:pt>
                <c:pt idx="38">
                  <c:v>6323.88</c:v>
                </c:pt>
                <c:pt idx="39">
                  <c:v>7387.5870000000004</c:v>
                </c:pt>
                <c:pt idx="40">
                  <c:v>8032.65</c:v>
                </c:pt>
                <c:pt idx="41">
                  <c:v>9029.152</c:v>
                </c:pt>
                <c:pt idx="42">
                  <c:v>9051.3989999999994</c:v>
                </c:pt>
                <c:pt idx="43">
                  <c:v>11073.554</c:v>
                </c:pt>
                <c:pt idx="44">
                  <c:v>12119.123</c:v>
                </c:pt>
                <c:pt idx="45">
                  <c:v>12167.887000000001</c:v>
                </c:pt>
                <c:pt idx="46">
                  <c:v>12024.418</c:v>
                </c:pt>
                <c:pt idx="47">
                  <c:v>11855.968000000001</c:v>
                </c:pt>
                <c:pt idx="48">
                  <c:v>16647.13</c:v>
                </c:pt>
                <c:pt idx="49">
                  <c:v>16749.713</c:v>
                </c:pt>
                <c:pt idx="50">
                  <c:v>16923.009999999998</c:v>
                </c:pt>
                <c:pt idx="51">
                  <c:v>16793.02</c:v>
                </c:pt>
                <c:pt idx="52">
                  <c:v>16627.52</c:v>
                </c:pt>
                <c:pt idx="53">
                  <c:v>16627.708999999999</c:v>
                </c:pt>
                <c:pt idx="54">
                  <c:v>12587.683000000001</c:v>
                </c:pt>
                <c:pt idx="55">
                  <c:v>12515.293</c:v>
                </c:pt>
                <c:pt idx="56">
                  <c:v>12609.707</c:v>
                </c:pt>
                <c:pt idx="57">
                  <c:v>12448.271000000001</c:v>
                </c:pt>
                <c:pt idx="58">
                  <c:v>12381.31</c:v>
                </c:pt>
                <c:pt idx="59">
                  <c:v>11356.553</c:v>
                </c:pt>
                <c:pt idx="60">
                  <c:v>11446.907999999999</c:v>
                </c:pt>
                <c:pt idx="61">
                  <c:v>11468.630999999999</c:v>
                </c:pt>
                <c:pt idx="62">
                  <c:v>11449.512000000001</c:v>
                </c:pt>
                <c:pt idx="63">
                  <c:v>11431.428</c:v>
                </c:pt>
                <c:pt idx="64">
                  <c:v>11542.815000000001</c:v>
                </c:pt>
                <c:pt idx="65">
                  <c:v>11598.343000000001</c:v>
                </c:pt>
                <c:pt idx="66">
                  <c:v>11685.476000000001</c:v>
                </c:pt>
                <c:pt idx="67">
                  <c:v>11888.378000000001</c:v>
                </c:pt>
                <c:pt idx="68">
                  <c:v>11824.723</c:v>
                </c:pt>
                <c:pt idx="69">
                  <c:v>11825.583000000001</c:v>
                </c:pt>
                <c:pt idx="70">
                  <c:v>11865.606</c:v>
                </c:pt>
                <c:pt idx="71">
                  <c:v>12032.361000000001</c:v>
                </c:pt>
                <c:pt idx="72">
                  <c:v>12402.424000000001</c:v>
                </c:pt>
                <c:pt idx="73">
                  <c:v>12170.543</c:v>
                </c:pt>
                <c:pt idx="74">
                  <c:v>12228.329</c:v>
                </c:pt>
                <c:pt idx="75">
                  <c:v>12167.77</c:v>
                </c:pt>
                <c:pt idx="76">
                  <c:v>12007.273999999999</c:v>
                </c:pt>
                <c:pt idx="77">
                  <c:v>11661.584999999999</c:v>
                </c:pt>
                <c:pt idx="78">
                  <c:v>11352.554</c:v>
                </c:pt>
                <c:pt idx="79">
                  <c:v>11325.163</c:v>
                </c:pt>
                <c:pt idx="80">
                  <c:v>11268.816000000001</c:v>
                </c:pt>
                <c:pt idx="81">
                  <c:v>11111.709000000001</c:v>
                </c:pt>
                <c:pt idx="82">
                  <c:v>11161.65</c:v>
                </c:pt>
                <c:pt idx="83">
                  <c:v>19978.878000000001</c:v>
                </c:pt>
                <c:pt idx="84">
                  <c:v>20481.652999999998</c:v>
                </c:pt>
                <c:pt idx="85">
                  <c:v>20499.167000000001</c:v>
                </c:pt>
                <c:pt idx="86">
                  <c:v>20446.78</c:v>
                </c:pt>
                <c:pt idx="87">
                  <c:v>20381.349999999999</c:v>
                </c:pt>
                <c:pt idx="88">
                  <c:v>19909.363000000001</c:v>
                </c:pt>
                <c:pt idx="89">
                  <c:v>20017.776000000002</c:v>
                </c:pt>
                <c:pt idx="90">
                  <c:v>19971.689999999999</c:v>
                </c:pt>
                <c:pt idx="91">
                  <c:v>19256.612000000001</c:v>
                </c:pt>
                <c:pt idx="92">
                  <c:v>19279.75</c:v>
                </c:pt>
                <c:pt idx="93">
                  <c:v>19566.439999999999</c:v>
                </c:pt>
                <c:pt idx="94">
                  <c:v>19590.718000000001</c:v>
                </c:pt>
                <c:pt idx="95">
                  <c:v>19831.921999999999</c:v>
                </c:pt>
                <c:pt idx="96">
                  <c:v>20030.636999999999</c:v>
                </c:pt>
                <c:pt idx="97">
                  <c:v>20093.460999999999</c:v>
                </c:pt>
                <c:pt idx="98">
                  <c:v>19914.538</c:v>
                </c:pt>
                <c:pt idx="99">
                  <c:v>19745.506000000001</c:v>
                </c:pt>
                <c:pt idx="100">
                  <c:v>19828.904999999999</c:v>
                </c:pt>
                <c:pt idx="101">
                  <c:v>20057.482</c:v>
                </c:pt>
                <c:pt idx="102">
                  <c:v>20295.344000000001</c:v>
                </c:pt>
                <c:pt idx="103">
                  <c:v>20741.072</c:v>
                </c:pt>
                <c:pt idx="104">
                  <c:v>20902.346000000001</c:v>
                </c:pt>
                <c:pt idx="105">
                  <c:v>21187.188999999998</c:v>
                </c:pt>
                <c:pt idx="106">
                  <c:v>21519.96</c:v>
                </c:pt>
                <c:pt idx="107">
                  <c:v>21676.752</c:v>
                </c:pt>
                <c:pt idx="108">
                  <c:v>21983.675999999999</c:v>
                </c:pt>
                <c:pt idx="109">
                  <c:v>21842.288</c:v>
                </c:pt>
                <c:pt idx="110">
                  <c:v>21599.796999999999</c:v>
                </c:pt>
                <c:pt idx="111">
                  <c:v>21838.749</c:v>
                </c:pt>
                <c:pt idx="112">
                  <c:v>22168.657999999999</c:v>
                </c:pt>
                <c:pt idx="113">
                  <c:v>21894.092000000001</c:v>
                </c:pt>
                <c:pt idx="114">
                  <c:v>21880.973999999998</c:v>
                </c:pt>
                <c:pt idx="115">
                  <c:v>21883.883000000002</c:v>
                </c:pt>
                <c:pt idx="116">
                  <c:v>21934.264999999999</c:v>
                </c:pt>
                <c:pt idx="117">
                  <c:v>22056.955999999998</c:v>
                </c:pt>
                <c:pt idx="118">
                  <c:v>22187.703000000001</c:v>
                </c:pt>
                <c:pt idx="119">
                  <c:v>22214.169000000002</c:v>
                </c:pt>
                <c:pt idx="120">
                  <c:v>22197.311000000002</c:v>
                </c:pt>
                <c:pt idx="121">
                  <c:v>22337.167000000001</c:v>
                </c:pt>
                <c:pt idx="122">
                  <c:v>22263.093000000001</c:v>
                </c:pt>
                <c:pt idx="123">
                  <c:v>21429.756000000001</c:v>
                </c:pt>
                <c:pt idx="124">
                  <c:v>21244.647000000001</c:v>
                </c:pt>
                <c:pt idx="125">
                  <c:v>21162.987000000001</c:v>
                </c:pt>
                <c:pt idx="126">
                  <c:v>21036.291000000001</c:v>
                </c:pt>
                <c:pt idx="127">
                  <c:v>20630.434000000001</c:v>
                </c:pt>
                <c:pt idx="128">
                  <c:v>20035.154999999999</c:v>
                </c:pt>
                <c:pt idx="129">
                  <c:v>19562.865000000002</c:v>
                </c:pt>
                <c:pt idx="130">
                  <c:v>20098.579000000002</c:v>
                </c:pt>
                <c:pt idx="131">
                  <c:v>20624.513999999999</c:v>
                </c:pt>
                <c:pt idx="132">
                  <c:v>21036.054</c:v>
                </c:pt>
                <c:pt idx="133">
                  <c:v>20548.803</c:v>
                </c:pt>
                <c:pt idx="134">
                  <c:v>20743.813000000002</c:v>
                </c:pt>
                <c:pt idx="135">
                  <c:v>20657.850999999999</c:v>
                </c:pt>
                <c:pt idx="136">
                  <c:v>20161.339</c:v>
                </c:pt>
                <c:pt idx="137">
                  <c:v>19815.797999999999</c:v>
                </c:pt>
                <c:pt idx="138">
                  <c:v>20037.231</c:v>
                </c:pt>
                <c:pt idx="139">
                  <c:v>19776.272000000001</c:v>
                </c:pt>
                <c:pt idx="140">
                  <c:v>19709.003000000001</c:v>
                </c:pt>
                <c:pt idx="141">
                  <c:v>19694.37</c:v>
                </c:pt>
                <c:pt idx="142">
                  <c:v>20179.53</c:v>
                </c:pt>
                <c:pt idx="143">
                  <c:v>20301.095000000001</c:v>
                </c:pt>
                <c:pt idx="144">
                  <c:v>20156.565999999999</c:v>
                </c:pt>
                <c:pt idx="145">
                  <c:v>20136.964</c:v>
                </c:pt>
                <c:pt idx="146">
                  <c:v>20069.249</c:v>
                </c:pt>
                <c:pt idx="147">
                  <c:v>20062.733</c:v>
                </c:pt>
                <c:pt idx="148">
                  <c:v>20092.802</c:v>
                </c:pt>
                <c:pt idx="149">
                  <c:v>19910.633000000002</c:v>
                </c:pt>
                <c:pt idx="150">
                  <c:v>19945.144</c:v>
                </c:pt>
                <c:pt idx="151">
                  <c:v>20301.026000000002</c:v>
                </c:pt>
                <c:pt idx="152">
                  <c:v>20515.331999999999</c:v>
                </c:pt>
                <c:pt idx="153">
                  <c:v>20298.311000000002</c:v>
                </c:pt>
                <c:pt idx="154">
                  <c:v>19976.345000000001</c:v>
                </c:pt>
                <c:pt idx="155">
                  <c:v>19842.673999999999</c:v>
                </c:pt>
                <c:pt idx="156">
                  <c:v>20074.885999999999</c:v>
                </c:pt>
                <c:pt idx="157">
                  <c:v>20003.816999999999</c:v>
                </c:pt>
                <c:pt idx="158">
                  <c:v>20061.931</c:v>
                </c:pt>
                <c:pt idx="159">
                  <c:v>20032.173999999999</c:v>
                </c:pt>
                <c:pt idx="160">
                  <c:v>20213.882000000001</c:v>
                </c:pt>
                <c:pt idx="161">
                  <c:v>20439.297999999999</c:v>
                </c:pt>
                <c:pt idx="162">
                  <c:v>20366.042000000001</c:v>
                </c:pt>
                <c:pt idx="163">
                  <c:v>20549.654999999999</c:v>
                </c:pt>
                <c:pt idx="164">
                  <c:v>20575.036</c:v>
                </c:pt>
                <c:pt idx="165">
                  <c:v>24088.830999999998</c:v>
                </c:pt>
                <c:pt idx="166">
                  <c:v>24195.7</c:v>
                </c:pt>
                <c:pt idx="167">
                  <c:v>21914.429</c:v>
                </c:pt>
              </c:numCache>
            </c:numRef>
          </c:val>
          <c:extLst>
            <c:ext xmlns:c16="http://schemas.microsoft.com/office/drawing/2014/chart" uri="{C3380CC4-5D6E-409C-BE32-E72D297353CC}">
              <c16:uniqueId val="{00000001-9521-4D8B-AEE0-6872E2EABBEB}"/>
            </c:ext>
          </c:extLst>
        </c:ser>
        <c:ser>
          <c:idx val="2"/>
          <c:order val="2"/>
          <c:tx>
            <c:strRef>
              <c:f>'Net reserves'!$A$14</c:f>
              <c:strCache>
                <c:ptCount val="1"/>
                <c:pt idx="0">
                  <c:v>Private USD deposits</c:v>
                </c:pt>
              </c:strCache>
            </c:strRef>
          </c:tx>
          <c:spPr>
            <a:solidFill>
              <a:srgbClr val="ADC8E9"/>
            </a:solidFill>
            <a:ln w="12700">
              <a:noFill/>
              <a:prstDash val="solid"/>
            </a:ln>
            <a:effectLst/>
          </c:spPr>
          <c:invertIfNegative val="0"/>
          <c:cat>
            <c:numRef>
              <c:f>'Net reserves'!$H$10:$FS$10</c:f>
              <c:numCache>
                <c:formatCode>mmm\-yy</c:formatCode>
                <c:ptCount val="168"/>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pt idx="14">
                  <c:v>41334</c:v>
                </c:pt>
                <c:pt idx="15">
                  <c:v>41365</c:v>
                </c:pt>
                <c:pt idx="16">
                  <c:v>41395</c:v>
                </c:pt>
                <c:pt idx="17">
                  <c:v>41426</c:v>
                </c:pt>
                <c:pt idx="18">
                  <c:v>41456</c:v>
                </c:pt>
                <c:pt idx="19">
                  <c:v>41487</c:v>
                </c:pt>
                <c:pt idx="20">
                  <c:v>41518</c:v>
                </c:pt>
                <c:pt idx="21">
                  <c:v>41548</c:v>
                </c:pt>
                <c:pt idx="22">
                  <c:v>41579</c:v>
                </c:pt>
                <c:pt idx="23">
                  <c:v>41609</c:v>
                </c:pt>
                <c:pt idx="24">
                  <c:v>41640</c:v>
                </c:pt>
                <c:pt idx="25">
                  <c:v>41671</c:v>
                </c:pt>
                <c:pt idx="26">
                  <c:v>41699</c:v>
                </c:pt>
                <c:pt idx="27">
                  <c:v>41730</c:v>
                </c:pt>
                <c:pt idx="28">
                  <c:v>41760</c:v>
                </c:pt>
                <c:pt idx="29">
                  <c:v>41791</c:v>
                </c:pt>
                <c:pt idx="30">
                  <c:v>41821</c:v>
                </c:pt>
                <c:pt idx="31">
                  <c:v>41852</c:v>
                </c:pt>
                <c:pt idx="32">
                  <c:v>41883</c:v>
                </c:pt>
                <c:pt idx="33">
                  <c:v>41913</c:v>
                </c:pt>
                <c:pt idx="34">
                  <c:v>41944</c:v>
                </c:pt>
                <c:pt idx="35">
                  <c:v>41974</c:v>
                </c:pt>
                <c:pt idx="36">
                  <c:v>42005</c:v>
                </c:pt>
                <c:pt idx="37">
                  <c:v>42036</c:v>
                </c:pt>
                <c:pt idx="38">
                  <c:v>42064</c:v>
                </c:pt>
                <c:pt idx="39">
                  <c:v>42095</c:v>
                </c:pt>
                <c:pt idx="40">
                  <c:v>42125</c:v>
                </c:pt>
                <c:pt idx="41">
                  <c:v>42156</c:v>
                </c:pt>
                <c:pt idx="42">
                  <c:v>42186</c:v>
                </c:pt>
                <c:pt idx="43">
                  <c:v>42217</c:v>
                </c:pt>
                <c:pt idx="44">
                  <c:v>42248</c:v>
                </c:pt>
                <c:pt idx="45">
                  <c:v>42278</c:v>
                </c:pt>
                <c:pt idx="46">
                  <c:v>42309</c:v>
                </c:pt>
                <c:pt idx="47">
                  <c:v>42339</c:v>
                </c:pt>
                <c:pt idx="48">
                  <c:v>42370</c:v>
                </c:pt>
                <c:pt idx="49">
                  <c:v>42401</c:v>
                </c:pt>
                <c:pt idx="50">
                  <c:v>42430</c:v>
                </c:pt>
                <c:pt idx="51">
                  <c:v>42461</c:v>
                </c:pt>
                <c:pt idx="52">
                  <c:v>42491</c:v>
                </c:pt>
                <c:pt idx="53">
                  <c:v>42522</c:v>
                </c:pt>
                <c:pt idx="54">
                  <c:v>42552</c:v>
                </c:pt>
                <c:pt idx="55">
                  <c:v>42583</c:v>
                </c:pt>
                <c:pt idx="56">
                  <c:v>42614</c:v>
                </c:pt>
                <c:pt idx="57">
                  <c:v>42644</c:v>
                </c:pt>
                <c:pt idx="58">
                  <c:v>42675</c:v>
                </c:pt>
                <c:pt idx="59">
                  <c:v>42705</c:v>
                </c:pt>
                <c:pt idx="60">
                  <c:v>42736</c:v>
                </c:pt>
                <c:pt idx="61">
                  <c:v>42767</c:v>
                </c:pt>
                <c:pt idx="62">
                  <c:v>42795</c:v>
                </c:pt>
                <c:pt idx="63">
                  <c:v>42826</c:v>
                </c:pt>
                <c:pt idx="64">
                  <c:v>42856</c:v>
                </c:pt>
                <c:pt idx="65">
                  <c:v>42887</c:v>
                </c:pt>
                <c:pt idx="66">
                  <c:v>42917</c:v>
                </c:pt>
                <c:pt idx="67">
                  <c:v>42948</c:v>
                </c:pt>
                <c:pt idx="68">
                  <c:v>42979</c:v>
                </c:pt>
                <c:pt idx="69">
                  <c:v>43009</c:v>
                </c:pt>
                <c:pt idx="70">
                  <c:v>43040</c:v>
                </c:pt>
                <c:pt idx="71">
                  <c:v>43070</c:v>
                </c:pt>
                <c:pt idx="72">
                  <c:v>43101</c:v>
                </c:pt>
                <c:pt idx="73">
                  <c:v>43132</c:v>
                </c:pt>
                <c:pt idx="74">
                  <c:v>43160</c:v>
                </c:pt>
                <c:pt idx="75">
                  <c:v>43191</c:v>
                </c:pt>
                <c:pt idx="76">
                  <c:v>43221</c:v>
                </c:pt>
                <c:pt idx="77">
                  <c:v>43252</c:v>
                </c:pt>
                <c:pt idx="78">
                  <c:v>43282</c:v>
                </c:pt>
                <c:pt idx="79">
                  <c:v>43313</c:v>
                </c:pt>
                <c:pt idx="80">
                  <c:v>43344</c:v>
                </c:pt>
                <c:pt idx="81">
                  <c:v>43374</c:v>
                </c:pt>
                <c:pt idx="82">
                  <c:v>43405</c:v>
                </c:pt>
                <c:pt idx="83">
                  <c:v>43435</c:v>
                </c:pt>
                <c:pt idx="84">
                  <c:v>43466</c:v>
                </c:pt>
                <c:pt idx="85">
                  <c:v>43497</c:v>
                </c:pt>
                <c:pt idx="86">
                  <c:v>43525</c:v>
                </c:pt>
                <c:pt idx="87">
                  <c:v>43556</c:v>
                </c:pt>
                <c:pt idx="88">
                  <c:v>43586</c:v>
                </c:pt>
                <c:pt idx="89">
                  <c:v>43617</c:v>
                </c:pt>
                <c:pt idx="90">
                  <c:v>43647</c:v>
                </c:pt>
                <c:pt idx="91">
                  <c:v>43678</c:v>
                </c:pt>
                <c:pt idx="92">
                  <c:v>43709</c:v>
                </c:pt>
                <c:pt idx="93">
                  <c:v>43739</c:v>
                </c:pt>
                <c:pt idx="94">
                  <c:v>43770</c:v>
                </c:pt>
                <c:pt idx="95">
                  <c:v>43800</c:v>
                </c:pt>
                <c:pt idx="96">
                  <c:v>43831</c:v>
                </c:pt>
                <c:pt idx="97">
                  <c:v>43862</c:v>
                </c:pt>
                <c:pt idx="98">
                  <c:v>43891</c:v>
                </c:pt>
                <c:pt idx="99">
                  <c:v>43922</c:v>
                </c:pt>
                <c:pt idx="100">
                  <c:v>43952</c:v>
                </c:pt>
                <c:pt idx="101">
                  <c:v>43983</c:v>
                </c:pt>
                <c:pt idx="102">
                  <c:v>44013</c:v>
                </c:pt>
                <c:pt idx="103">
                  <c:v>44044</c:v>
                </c:pt>
                <c:pt idx="104">
                  <c:v>44075</c:v>
                </c:pt>
                <c:pt idx="105">
                  <c:v>44105</c:v>
                </c:pt>
                <c:pt idx="106">
                  <c:v>44136</c:v>
                </c:pt>
                <c:pt idx="107">
                  <c:v>44166</c:v>
                </c:pt>
                <c:pt idx="108">
                  <c:v>44197</c:v>
                </c:pt>
                <c:pt idx="109">
                  <c:v>44228</c:v>
                </c:pt>
                <c:pt idx="110">
                  <c:v>44256</c:v>
                </c:pt>
                <c:pt idx="111">
                  <c:v>44287</c:v>
                </c:pt>
                <c:pt idx="112">
                  <c:v>44317</c:v>
                </c:pt>
                <c:pt idx="113">
                  <c:v>44348</c:v>
                </c:pt>
                <c:pt idx="114">
                  <c:v>44378</c:v>
                </c:pt>
                <c:pt idx="115">
                  <c:v>44409</c:v>
                </c:pt>
                <c:pt idx="116">
                  <c:v>44440</c:v>
                </c:pt>
                <c:pt idx="117">
                  <c:v>44470</c:v>
                </c:pt>
                <c:pt idx="118">
                  <c:v>44501</c:v>
                </c:pt>
                <c:pt idx="119">
                  <c:v>44531</c:v>
                </c:pt>
                <c:pt idx="120">
                  <c:v>44562</c:v>
                </c:pt>
                <c:pt idx="121">
                  <c:v>44593</c:v>
                </c:pt>
                <c:pt idx="122">
                  <c:v>44621</c:v>
                </c:pt>
                <c:pt idx="123">
                  <c:v>44652</c:v>
                </c:pt>
                <c:pt idx="124">
                  <c:v>44682</c:v>
                </c:pt>
                <c:pt idx="125">
                  <c:v>44713</c:v>
                </c:pt>
                <c:pt idx="126">
                  <c:v>44743</c:v>
                </c:pt>
                <c:pt idx="127">
                  <c:v>44774</c:v>
                </c:pt>
                <c:pt idx="128">
                  <c:v>44805</c:v>
                </c:pt>
                <c:pt idx="129">
                  <c:v>44835</c:v>
                </c:pt>
                <c:pt idx="130">
                  <c:v>44866</c:v>
                </c:pt>
                <c:pt idx="131">
                  <c:v>44896</c:v>
                </c:pt>
                <c:pt idx="132">
                  <c:v>44927</c:v>
                </c:pt>
                <c:pt idx="133">
                  <c:v>44958</c:v>
                </c:pt>
                <c:pt idx="134">
                  <c:v>44986</c:v>
                </c:pt>
                <c:pt idx="135">
                  <c:v>45017</c:v>
                </c:pt>
                <c:pt idx="136">
                  <c:v>45047</c:v>
                </c:pt>
                <c:pt idx="137">
                  <c:v>45078</c:v>
                </c:pt>
                <c:pt idx="138">
                  <c:v>45108</c:v>
                </c:pt>
                <c:pt idx="139">
                  <c:v>45139</c:v>
                </c:pt>
                <c:pt idx="140">
                  <c:v>45170</c:v>
                </c:pt>
                <c:pt idx="141">
                  <c:v>45200</c:v>
                </c:pt>
                <c:pt idx="142">
                  <c:v>45231</c:v>
                </c:pt>
                <c:pt idx="143">
                  <c:v>45261</c:v>
                </c:pt>
                <c:pt idx="144">
                  <c:v>45292</c:v>
                </c:pt>
                <c:pt idx="145">
                  <c:v>45323</c:v>
                </c:pt>
                <c:pt idx="146">
                  <c:v>45352</c:v>
                </c:pt>
                <c:pt idx="147">
                  <c:v>45383</c:v>
                </c:pt>
                <c:pt idx="148">
                  <c:v>45413</c:v>
                </c:pt>
                <c:pt idx="149">
                  <c:v>45444</c:v>
                </c:pt>
                <c:pt idx="150">
                  <c:v>45474</c:v>
                </c:pt>
                <c:pt idx="151">
                  <c:v>45505</c:v>
                </c:pt>
                <c:pt idx="152">
                  <c:v>45536</c:v>
                </c:pt>
                <c:pt idx="153">
                  <c:v>45566</c:v>
                </c:pt>
                <c:pt idx="154">
                  <c:v>45597</c:v>
                </c:pt>
                <c:pt idx="155">
                  <c:v>45627</c:v>
                </c:pt>
                <c:pt idx="156">
                  <c:v>45658</c:v>
                </c:pt>
                <c:pt idx="157">
                  <c:v>45689</c:v>
                </c:pt>
                <c:pt idx="158">
                  <c:v>45717</c:v>
                </c:pt>
                <c:pt idx="159">
                  <c:v>45748</c:v>
                </c:pt>
                <c:pt idx="160">
                  <c:v>45778</c:v>
                </c:pt>
                <c:pt idx="161">
                  <c:v>45809</c:v>
                </c:pt>
                <c:pt idx="162">
                  <c:v>45839</c:v>
                </c:pt>
                <c:pt idx="163">
                  <c:v>45870</c:v>
                </c:pt>
                <c:pt idx="164">
                  <c:v>45901</c:v>
                </c:pt>
                <c:pt idx="165">
                  <c:v>45931</c:v>
                </c:pt>
                <c:pt idx="166">
                  <c:v>45962</c:v>
                </c:pt>
                <c:pt idx="167">
                  <c:v>45992</c:v>
                </c:pt>
              </c:numCache>
            </c:numRef>
          </c:cat>
          <c:val>
            <c:numRef>
              <c:f>'Net reserves'!$H$14:$FS$14</c:f>
              <c:numCache>
                <c:formatCode>0.0</c:formatCode>
                <c:ptCount val="168"/>
                <c:pt idx="0">
                  <c:v>6740.3984248320585</c:v>
                </c:pt>
                <c:pt idx="1">
                  <c:v>6654.5120551090695</c:v>
                </c:pt>
                <c:pt idx="2">
                  <c:v>7038.701537049782</c:v>
                </c:pt>
                <c:pt idx="3">
                  <c:v>6960.8369342733677</c:v>
                </c:pt>
                <c:pt idx="4">
                  <c:v>6119.5911031228943</c:v>
                </c:pt>
                <c:pt idx="5">
                  <c:v>5235.116022099447</c:v>
                </c:pt>
                <c:pt idx="6">
                  <c:v>5821.9890710382506</c:v>
                </c:pt>
                <c:pt idx="7">
                  <c:v>6356.9294066695529</c:v>
                </c:pt>
                <c:pt idx="8">
                  <c:v>6678.640153944837</c:v>
                </c:pt>
                <c:pt idx="9">
                  <c:v>7747.5979772439941</c:v>
                </c:pt>
                <c:pt idx="10">
                  <c:v>8073.5884177869702</c:v>
                </c:pt>
                <c:pt idx="11">
                  <c:v>8499.8979175173554</c:v>
                </c:pt>
                <c:pt idx="12">
                  <c:v>8102.1550855991936</c:v>
                </c:pt>
                <c:pt idx="13">
                  <c:v>7700.0397930760055</c:v>
                </c:pt>
                <c:pt idx="14">
                  <c:v>7599.2355938847513</c:v>
                </c:pt>
                <c:pt idx="15">
                  <c:v>7987.3429951690823</c:v>
                </c:pt>
                <c:pt idx="16">
                  <c:v>7977.431610942248</c:v>
                </c:pt>
                <c:pt idx="17">
                  <c:v>7962.5302325581397</c:v>
                </c:pt>
                <c:pt idx="18">
                  <c:v>8331.4311759343655</c:v>
                </c:pt>
                <c:pt idx="19">
                  <c:v>8405.4847841472056</c:v>
                </c:pt>
                <c:pt idx="20">
                  <c:v>8981.6450216450212</c:v>
                </c:pt>
                <c:pt idx="21">
                  <c:v>9297.9803122878475</c:v>
                </c:pt>
                <c:pt idx="22">
                  <c:v>9414.131677830419</c:v>
                </c:pt>
                <c:pt idx="23">
                  <c:v>10972.711890478387</c:v>
                </c:pt>
                <c:pt idx="24">
                  <c:v>11252.078580481622</c:v>
                </c:pt>
                <c:pt idx="25">
                  <c:v>8967.1523517382411</c:v>
                </c:pt>
                <c:pt idx="26">
                  <c:v>8347.5603621730388</c:v>
                </c:pt>
                <c:pt idx="27">
                  <c:v>7320.8249496981889</c:v>
                </c:pt>
                <c:pt idx="28">
                  <c:v>7401.5317559153182</c:v>
                </c:pt>
                <c:pt idx="29">
                  <c:v>7790.399604107386</c:v>
                </c:pt>
                <c:pt idx="30">
                  <c:v>7461.897184822521</c:v>
                </c:pt>
                <c:pt idx="31">
                  <c:v>7534.9179738953408</c:v>
                </c:pt>
                <c:pt idx="32">
                  <c:v>7401.6467780429593</c:v>
                </c:pt>
                <c:pt idx="33">
                  <c:v>7799.3250444049736</c:v>
                </c:pt>
                <c:pt idx="34">
                  <c:v>7898.1485849056608</c:v>
                </c:pt>
                <c:pt idx="35">
                  <c:v>8495.5816686251455</c:v>
                </c:pt>
                <c:pt idx="36">
                  <c:v>8617.7079697498539</c:v>
                </c:pt>
                <c:pt idx="37">
                  <c:v>9385.4493087557603</c:v>
                </c:pt>
                <c:pt idx="38">
                  <c:v>8463.9566704675035</c:v>
                </c:pt>
                <c:pt idx="39">
                  <c:v>8032.7990970654637</c:v>
                </c:pt>
                <c:pt idx="40">
                  <c:v>7748.1609837898268</c:v>
                </c:pt>
                <c:pt idx="41">
                  <c:v>7723.8053097345137</c:v>
                </c:pt>
                <c:pt idx="42">
                  <c:v>8271.2192454893393</c:v>
                </c:pt>
                <c:pt idx="43">
                  <c:v>7884.8864864864863</c:v>
                </c:pt>
                <c:pt idx="44">
                  <c:v>8030.4213333333328</c:v>
                </c:pt>
                <c:pt idx="45">
                  <c:v>9340.1472908995256</c:v>
                </c:pt>
                <c:pt idx="46">
                  <c:v>9605.0285121824782</c:v>
                </c:pt>
                <c:pt idx="47">
                  <c:v>11081.854961832061</c:v>
                </c:pt>
                <c:pt idx="48">
                  <c:v>9488.44702467344</c:v>
                </c:pt>
                <c:pt idx="49">
                  <c:v>7285.7707006369437</c:v>
                </c:pt>
                <c:pt idx="50">
                  <c:v>9003.767123287671</c:v>
                </c:pt>
                <c:pt idx="51">
                  <c:v>8666.3146853146845</c:v>
                </c:pt>
                <c:pt idx="52">
                  <c:v>11041.792857142858</c:v>
                </c:pt>
                <c:pt idx="53">
                  <c:v>11213.480000000001</c:v>
                </c:pt>
                <c:pt idx="54">
                  <c:v>11695.826666666666</c:v>
                </c:pt>
                <c:pt idx="55">
                  <c:v>10395.093959731543</c:v>
                </c:pt>
                <c:pt idx="56">
                  <c:v>10034.97385620915</c:v>
                </c:pt>
                <c:pt idx="57">
                  <c:v>17250.125000000004</c:v>
                </c:pt>
                <c:pt idx="58">
                  <c:v>13780.238993710691</c:v>
                </c:pt>
                <c:pt idx="59">
                  <c:v>15650.591194968552</c:v>
                </c:pt>
                <c:pt idx="60">
                  <c:v>21985.465408805034</c:v>
                </c:pt>
                <c:pt idx="61">
                  <c:v>22287.258064516129</c:v>
                </c:pt>
                <c:pt idx="62">
                  <c:v>24245.785714285714</c:v>
                </c:pt>
                <c:pt idx="63">
                  <c:v>18781</c:v>
                </c:pt>
                <c:pt idx="64">
                  <c:v>15601.465838509315</c:v>
                </c:pt>
                <c:pt idx="65">
                  <c:v>13056.018072289155</c:v>
                </c:pt>
                <c:pt idx="66">
                  <c:v>15268.906515580738</c:v>
                </c:pt>
                <c:pt idx="67">
                  <c:v>16070.890173410406</c:v>
                </c:pt>
                <c:pt idx="68">
                  <c:v>14471.7225433526</c:v>
                </c:pt>
                <c:pt idx="69">
                  <c:v>12755.133144475922</c:v>
                </c:pt>
                <c:pt idx="70">
                  <c:v>14343.913294797689</c:v>
                </c:pt>
                <c:pt idx="71">
                  <c:v>13026.311827956988</c:v>
                </c:pt>
                <c:pt idx="72">
                  <c:v>16222.448979591836</c:v>
                </c:pt>
                <c:pt idx="73">
                  <c:v>12130.283582089553</c:v>
                </c:pt>
                <c:pt idx="74">
                  <c:v>12443.6213592233</c:v>
                </c:pt>
                <c:pt idx="75">
                  <c:v>12608.408759124086</c:v>
                </c:pt>
                <c:pt idx="76">
                  <c:v>11362.994781212365</c:v>
                </c:pt>
                <c:pt idx="77">
                  <c:v>13911.399305555555</c:v>
                </c:pt>
                <c:pt idx="78">
                  <c:v>13780.673216885009</c:v>
                </c:pt>
                <c:pt idx="79">
                  <c:v>13825.986376021798</c:v>
                </c:pt>
                <c:pt idx="80">
                  <c:v>13027.803159173754</c:v>
                </c:pt>
                <c:pt idx="81">
                  <c:v>13109.983263598326</c:v>
                </c:pt>
                <c:pt idx="82">
                  <c:v>13355.757575757576</c:v>
                </c:pt>
                <c:pt idx="83">
                  <c:v>14291.031914893618</c:v>
                </c:pt>
                <c:pt idx="84">
                  <c:v>14008.104697986579</c:v>
                </c:pt>
                <c:pt idx="85">
                  <c:v>13715.469910371319</c:v>
                </c:pt>
                <c:pt idx="86">
                  <c:v>15487.879768786128</c:v>
                </c:pt>
                <c:pt idx="87">
                  <c:v>16017.048808172533</c:v>
                </c:pt>
                <c:pt idx="88">
                  <c:v>16679.558889386477</c:v>
                </c:pt>
                <c:pt idx="89">
                  <c:v>15694.053352219074</c:v>
                </c:pt>
                <c:pt idx="90">
                  <c:v>15996.868433074464</c:v>
                </c:pt>
                <c:pt idx="91">
                  <c:v>11121.99124726477</c:v>
                </c:pt>
                <c:pt idx="92">
                  <c:v>8784.1589841711593</c:v>
                </c:pt>
                <c:pt idx="93">
                  <c:v>8030.543897935202</c:v>
                </c:pt>
                <c:pt idx="94">
                  <c:v>8171.8315508021387</c:v>
                </c:pt>
                <c:pt idx="95">
                  <c:v>8961.0152199364438</c:v>
                </c:pt>
                <c:pt idx="96">
                  <c:v>9972.1742738589219</c:v>
                </c:pt>
                <c:pt idx="97">
                  <c:v>10643.295765577201</c:v>
                </c:pt>
                <c:pt idx="98">
                  <c:v>10330.711511573714</c:v>
                </c:pt>
                <c:pt idx="99">
                  <c:v>10883.961642193588</c:v>
                </c:pt>
                <c:pt idx="100">
                  <c:v>11236.189362945646</c:v>
                </c:pt>
                <c:pt idx="101">
                  <c:v>10529.860716316089</c:v>
                </c:pt>
                <c:pt idx="102">
                  <c:v>10726.517585156465</c:v>
                </c:pt>
                <c:pt idx="103">
                  <c:v>11418.921436285096</c:v>
                </c:pt>
                <c:pt idx="104">
                  <c:v>12010.190588853839</c:v>
                </c:pt>
                <c:pt idx="105">
                  <c:v>11518.896701610842</c:v>
                </c:pt>
                <c:pt idx="106">
                  <c:v>11191.702992242335</c:v>
                </c:pt>
                <c:pt idx="107">
                  <c:v>10928.736466389055</c:v>
                </c:pt>
                <c:pt idx="108">
                  <c:v>11455.21494898544</c:v>
                </c:pt>
                <c:pt idx="109">
                  <c:v>11859.843958983503</c:v>
                </c:pt>
                <c:pt idx="110">
                  <c:v>11229.519042437432</c:v>
                </c:pt>
                <c:pt idx="111">
                  <c:v>10547.884656537557</c:v>
                </c:pt>
                <c:pt idx="112">
                  <c:v>10108.955933636267</c:v>
                </c:pt>
                <c:pt idx="113">
                  <c:v>10702.137628111273</c:v>
                </c:pt>
                <c:pt idx="114">
                  <c:v>11220.209131380059</c:v>
                </c:pt>
                <c:pt idx="115">
                  <c:v>11376.913150348219</c:v>
                </c:pt>
                <c:pt idx="116">
                  <c:v>11874.40794809408</c:v>
                </c:pt>
                <c:pt idx="117">
                  <c:v>11922.365990764907</c:v>
                </c:pt>
                <c:pt idx="118">
                  <c:v>11453.95102121753</c:v>
                </c:pt>
                <c:pt idx="119">
                  <c:v>12128.163126096279</c:v>
                </c:pt>
                <c:pt idx="120">
                  <c:v>12043.709492947008</c:v>
                </c:pt>
                <c:pt idx="121">
                  <c:v>12196.541220307407</c:v>
                </c:pt>
                <c:pt idx="122">
                  <c:v>11574.986926336671</c:v>
                </c:pt>
                <c:pt idx="123">
                  <c:v>12291.68561756792</c:v>
                </c:pt>
                <c:pt idx="124">
                  <c:v>12106.127393838467</c:v>
                </c:pt>
                <c:pt idx="125">
                  <c:v>11529.239990409975</c:v>
                </c:pt>
                <c:pt idx="126">
                  <c:v>11484.449950445987</c:v>
                </c:pt>
                <c:pt idx="127">
                  <c:v>11547.996826083821</c:v>
                </c:pt>
                <c:pt idx="128">
                  <c:v>11049.124439614183</c:v>
                </c:pt>
                <c:pt idx="129">
                  <c:v>11228.826605446082</c:v>
                </c:pt>
                <c:pt idx="130">
                  <c:v>11530.368465127407</c:v>
                </c:pt>
                <c:pt idx="131">
                  <c:v>12092.345532587824</c:v>
                </c:pt>
                <c:pt idx="132">
                  <c:v>12888.554307116103</c:v>
                </c:pt>
                <c:pt idx="133">
                  <c:v>12961.671656939861</c:v>
                </c:pt>
                <c:pt idx="134">
                  <c:v>12149.790718835304</c:v>
                </c:pt>
                <c:pt idx="135">
                  <c:v>11245.164509169364</c:v>
                </c:pt>
                <c:pt idx="136">
                  <c:v>11019.171333054743</c:v>
                </c:pt>
                <c:pt idx="137">
                  <c:v>10307.573879142301</c:v>
                </c:pt>
                <c:pt idx="138">
                  <c:v>9839.0925286311576</c:v>
                </c:pt>
                <c:pt idx="139">
                  <c:v>9385.2572246065811</c:v>
                </c:pt>
                <c:pt idx="140">
                  <c:v>9584.0603805980827</c:v>
                </c:pt>
                <c:pt idx="141">
                  <c:v>8896.1722460658093</c:v>
                </c:pt>
                <c:pt idx="142">
                  <c:v>8863.6897222222215</c:v>
                </c:pt>
                <c:pt idx="143">
                  <c:v>9134.5514591982155</c:v>
                </c:pt>
                <c:pt idx="144">
                  <c:v>9813.5929203539818</c:v>
                </c:pt>
                <c:pt idx="145">
                  <c:v>9333.2359938146783</c:v>
                </c:pt>
                <c:pt idx="146">
                  <c:v>8907.3643899591352</c:v>
                </c:pt>
                <c:pt idx="147">
                  <c:v>8401.9636571428582</c:v>
                </c:pt>
                <c:pt idx="148">
                  <c:v>8129.5684563758396</c:v>
                </c:pt>
                <c:pt idx="149">
                  <c:v>8333.7056562328398</c:v>
                </c:pt>
                <c:pt idx="150">
                  <c:v>9609.8771628156901</c:v>
                </c:pt>
                <c:pt idx="151">
                  <c:v>9495.1028361344543</c:v>
                </c:pt>
                <c:pt idx="152">
                  <c:v>10675.390918472653</c:v>
                </c:pt>
                <c:pt idx="153">
                  <c:v>12570.272993437658</c:v>
                </c:pt>
                <c:pt idx="154">
                  <c:v>13586.966336633663</c:v>
                </c:pt>
                <c:pt idx="155">
                  <c:v>12280.563901018922</c:v>
                </c:pt>
                <c:pt idx="156">
                  <c:v>12863.616159695817</c:v>
                </c:pt>
                <c:pt idx="157">
                  <c:v>12436.27105572537</c:v>
                </c:pt>
                <c:pt idx="158">
                  <c:v>11428.230023310023</c:v>
                </c:pt>
                <c:pt idx="159">
                  <c:v>13775.616816816817</c:v>
                </c:pt>
                <c:pt idx="160">
                  <c:v>12046.725052809463</c:v>
                </c:pt>
                <c:pt idx="161">
                  <c:v>11443.552603082049</c:v>
                </c:pt>
                <c:pt idx="162">
                  <c:v>12352.789923329683</c:v>
                </c:pt>
                <c:pt idx="163">
                  <c:v>12202.101383177569</c:v>
                </c:pt>
                <c:pt idx="164">
                  <c:v>12698.184296619411</c:v>
                </c:pt>
                <c:pt idx="165">
                  <c:v>14073.245192641443</c:v>
                </c:pt>
                <c:pt idx="166">
                  <c:v>16026.693227366966</c:v>
                </c:pt>
                <c:pt idx="167">
                  <c:v>15158.656187521545</c:v>
                </c:pt>
              </c:numCache>
            </c:numRef>
          </c:val>
          <c:extLst>
            <c:ext xmlns:c16="http://schemas.microsoft.com/office/drawing/2014/chart" uri="{C3380CC4-5D6E-409C-BE32-E72D297353CC}">
              <c16:uniqueId val="{00000002-9521-4D8B-AEE0-6872E2EABBEB}"/>
            </c:ext>
          </c:extLst>
        </c:ser>
        <c:ser>
          <c:idx val="3"/>
          <c:order val="3"/>
          <c:tx>
            <c:strRef>
              <c:f>'Net reserves'!$A$15</c:f>
              <c:strCache>
                <c:ptCount val="1"/>
                <c:pt idx="0">
                  <c:v>Gold</c:v>
                </c:pt>
              </c:strCache>
            </c:strRef>
          </c:tx>
          <c:spPr>
            <a:solidFill>
              <a:schemeClr val="accent4"/>
            </a:solidFill>
            <a:ln w="12700">
              <a:solidFill>
                <a:schemeClr val="accent4"/>
              </a:solidFill>
              <a:prstDash val="solid"/>
            </a:ln>
            <a:effectLst/>
          </c:spPr>
          <c:invertIfNegative val="0"/>
          <c:cat>
            <c:numRef>
              <c:f>'Net reserves'!$H$10:$FS$10</c:f>
              <c:numCache>
                <c:formatCode>mmm\-yy</c:formatCode>
                <c:ptCount val="168"/>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pt idx="14">
                  <c:v>41334</c:v>
                </c:pt>
                <c:pt idx="15">
                  <c:v>41365</c:v>
                </c:pt>
                <c:pt idx="16">
                  <c:v>41395</c:v>
                </c:pt>
                <c:pt idx="17">
                  <c:v>41426</c:v>
                </c:pt>
                <c:pt idx="18">
                  <c:v>41456</c:v>
                </c:pt>
                <c:pt idx="19">
                  <c:v>41487</c:v>
                </c:pt>
                <c:pt idx="20">
                  <c:v>41518</c:v>
                </c:pt>
                <c:pt idx="21">
                  <c:v>41548</c:v>
                </c:pt>
                <c:pt idx="22">
                  <c:v>41579</c:v>
                </c:pt>
                <c:pt idx="23">
                  <c:v>41609</c:v>
                </c:pt>
                <c:pt idx="24">
                  <c:v>41640</c:v>
                </c:pt>
                <c:pt idx="25">
                  <c:v>41671</c:v>
                </c:pt>
                <c:pt idx="26">
                  <c:v>41699</c:v>
                </c:pt>
                <c:pt idx="27">
                  <c:v>41730</c:v>
                </c:pt>
                <c:pt idx="28">
                  <c:v>41760</c:v>
                </c:pt>
                <c:pt idx="29">
                  <c:v>41791</c:v>
                </c:pt>
                <c:pt idx="30">
                  <c:v>41821</c:v>
                </c:pt>
                <c:pt idx="31">
                  <c:v>41852</c:v>
                </c:pt>
                <c:pt idx="32">
                  <c:v>41883</c:v>
                </c:pt>
                <c:pt idx="33">
                  <c:v>41913</c:v>
                </c:pt>
                <c:pt idx="34">
                  <c:v>41944</c:v>
                </c:pt>
                <c:pt idx="35">
                  <c:v>41974</c:v>
                </c:pt>
                <c:pt idx="36">
                  <c:v>42005</c:v>
                </c:pt>
                <c:pt idx="37">
                  <c:v>42036</c:v>
                </c:pt>
                <c:pt idx="38">
                  <c:v>42064</c:v>
                </c:pt>
                <c:pt idx="39">
                  <c:v>42095</c:v>
                </c:pt>
                <c:pt idx="40">
                  <c:v>42125</c:v>
                </c:pt>
                <c:pt idx="41">
                  <c:v>42156</c:v>
                </c:pt>
                <c:pt idx="42">
                  <c:v>42186</c:v>
                </c:pt>
                <c:pt idx="43">
                  <c:v>42217</c:v>
                </c:pt>
                <c:pt idx="44">
                  <c:v>42248</c:v>
                </c:pt>
                <c:pt idx="45">
                  <c:v>42278</c:v>
                </c:pt>
                <c:pt idx="46">
                  <c:v>42309</c:v>
                </c:pt>
                <c:pt idx="47">
                  <c:v>42339</c:v>
                </c:pt>
                <c:pt idx="48">
                  <c:v>42370</c:v>
                </c:pt>
                <c:pt idx="49">
                  <c:v>42401</c:v>
                </c:pt>
                <c:pt idx="50">
                  <c:v>42430</c:v>
                </c:pt>
                <c:pt idx="51">
                  <c:v>42461</c:v>
                </c:pt>
                <c:pt idx="52">
                  <c:v>42491</c:v>
                </c:pt>
                <c:pt idx="53">
                  <c:v>42522</c:v>
                </c:pt>
                <c:pt idx="54">
                  <c:v>42552</c:v>
                </c:pt>
                <c:pt idx="55">
                  <c:v>42583</c:v>
                </c:pt>
                <c:pt idx="56">
                  <c:v>42614</c:v>
                </c:pt>
                <c:pt idx="57">
                  <c:v>42644</c:v>
                </c:pt>
                <c:pt idx="58">
                  <c:v>42675</c:v>
                </c:pt>
                <c:pt idx="59">
                  <c:v>42705</c:v>
                </c:pt>
                <c:pt idx="60">
                  <c:v>42736</c:v>
                </c:pt>
                <c:pt idx="61">
                  <c:v>42767</c:v>
                </c:pt>
                <c:pt idx="62">
                  <c:v>42795</c:v>
                </c:pt>
                <c:pt idx="63">
                  <c:v>42826</c:v>
                </c:pt>
                <c:pt idx="64">
                  <c:v>42856</c:v>
                </c:pt>
                <c:pt idx="65">
                  <c:v>42887</c:v>
                </c:pt>
                <c:pt idx="66">
                  <c:v>42917</c:v>
                </c:pt>
                <c:pt idx="67">
                  <c:v>42948</c:v>
                </c:pt>
                <c:pt idx="68">
                  <c:v>42979</c:v>
                </c:pt>
                <c:pt idx="69">
                  <c:v>43009</c:v>
                </c:pt>
                <c:pt idx="70">
                  <c:v>43040</c:v>
                </c:pt>
                <c:pt idx="71">
                  <c:v>43070</c:v>
                </c:pt>
                <c:pt idx="72">
                  <c:v>43101</c:v>
                </c:pt>
                <c:pt idx="73">
                  <c:v>43132</c:v>
                </c:pt>
                <c:pt idx="74">
                  <c:v>43160</c:v>
                </c:pt>
                <c:pt idx="75">
                  <c:v>43191</c:v>
                </c:pt>
                <c:pt idx="76">
                  <c:v>43221</c:v>
                </c:pt>
                <c:pt idx="77">
                  <c:v>43252</c:v>
                </c:pt>
                <c:pt idx="78">
                  <c:v>43282</c:v>
                </c:pt>
                <c:pt idx="79">
                  <c:v>43313</c:v>
                </c:pt>
                <c:pt idx="80">
                  <c:v>43344</c:v>
                </c:pt>
                <c:pt idx="81">
                  <c:v>43374</c:v>
                </c:pt>
                <c:pt idx="82">
                  <c:v>43405</c:v>
                </c:pt>
                <c:pt idx="83">
                  <c:v>43435</c:v>
                </c:pt>
                <c:pt idx="84">
                  <c:v>43466</c:v>
                </c:pt>
                <c:pt idx="85">
                  <c:v>43497</c:v>
                </c:pt>
                <c:pt idx="86">
                  <c:v>43525</c:v>
                </c:pt>
                <c:pt idx="87">
                  <c:v>43556</c:v>
                </c:pt>
                <c:pt idx="88">
                  <c:v>43586</c:v>
                </c:pt>
                <c:pt idx="89">
                  <c:v>43617</c:v>
                </c:pt>
                <c:pt idx="90">
                  <c:v>43647</c:v>
                </c:pt>
                <c:pt idx="91">
                  <c:v>43678</c:v>
                </c:pt>
                <c:pt idx="92">
                  <c:v>43709</c:v>
                </c:pt>
                <c:pt idx="93">
                  <c:v>43739</c:v>
                </c:pt>
                <c:pt idx="94">
                  <c:v>43770</c:v>
                </c:pt>
                <c:pt idx="95">
                  <c:v>43800</c:v>
                </c:pt>
                <c:pt idx="96">
                  <c:v>43831</c:v>
                </c:pt>
                <c:pt idx="97">
                  <c:v>43862</c:v>
                </c:pt>
                <c:pt idx="98">
                  <c:v>43891</c:v>
                </c:pt>
                <c:pt idx="99">
                  <c:v>43922</c:v>
                </c:pt>
                <c:pt idx="100">
                  <c:v>43952</c:v>
                </c:pt>
                <c:pt idx="101">
                  <c:v>43983</c:v>
                </c:pt>
                <c:pt idx="102">
                  <c:v>44013</c:v>
                </c:pt>
                <c:pt idx="103">
                  <c:v>44044</c:v>
                </c:pt>
                <c:pt idx="104">
                  <c:v>44075</c:v>
                </c:pt>
                <c:pt idx="105">
                  <c:v>44105</c:v>
                </c:pt>
                <c:pt idx="106">
                  <c:v>44136</c:v>
                </c:pt>
                <c:pt idx="107">
                  <c:v>44166</c:v>
                </c:pt>
                <c:pt idx="108">
                  <c:v>44197</c:v>
                </c:pt>
                <c:pt idx="109">
                  <c:v>44228</c:v>
                </c:pt>
                <c:pt idx="110">
                  <c:v>44256</c:v>
                </c:pt>
                <c:pt idx="111">
                  <c:v>44287</c:v>
                </c:pt>
                <c:pt idx="112">
                  <c:v>44317</c:v>
                </c:pt>
                <c:pt idx="113">
                  <c:v>44348</c:v>
                </c:pt>
                <c:pt idx="114">
                  <c:v>44378</c:v>
                </c:pt>
                <c:pt idx="115">
                  <c:v>44409</c:v>
                </c:pt>
                <c:pt idx="116">
                  <c:v>44440</c:v>
                </c:pt>
                <c:pt idx="117">
                  <c:v>44470</c:v>
                </c:pt>
                <c:pt idx="118">
                  <c:v>44501</c:v>
                </c:pt>
                <c:pt idx="119">
                  <c:v>44531</c:v>
                </c:pt>
                <c:pt idx="120">
                  <c:v>44562</c:v>
                </c:pt>
                <c:pt idx="121">
                  <c:v>44593</c:v>
                </c:pt>
                <c:pt idx="122">
                  <c:v>44621</c:v>
                </c:pt>
                <c:pt idx="123">
                  <c:v>44652</c:v>
                </c:pt>
                <c:pt idx="124">
                  <c:v>44682</c:v>
                </c:pt>
                <c:pt idx="125">
                  <c:v>44713</c:v>
                </c:pt>
                <c:pt idx="126">
                  <c:v>44743</c:v>
                </c:pt>
                <c:pt idx="127">
                  <c:v>44774</c:v>
                </c:pt>
                <c:pt idx="128">
                  <c:v>44805</c:v>
                </c:pt>
                <c:pt idx="129">
                  <c:v>44835</c:v>
                </c:pt>
                <c:pt idx="130">
                  <c:v>44866</c:v>
                </c:pt>
                <c:pt idx="131">
                  <c:v>44896</c:v>
                </c:pt>
                <c:pt idx="132">
                  <c:v>44927</c:v>
                </c:pt>
                <c:pt idx="133">
                  <c:v>44958</c:v>
                </c:pt>
                <c:pt idx="134">
                  <c:v>44986</c:v>
                </c:pt>
                <c:pt idx="135">
                  <c:v>45017</c:v>
                </c:pt>
                <c:pt idx="136">
                  <c:v>45047</c:v>
                </c:pt>
                <c:pt idx="137">
                  <c:v>45078</c:v>
                </c:pt>
                <c:pt idx="138">
                  <c:v>45108</c:v>
                </c:pt>
                <c:pt idx="139">
                  <c:v>45139</c:v>
                </c:pt>
                <c:pt idx="140">
                  <c:v>45170</c:v>
                </c:pt>
                <c:pt idx="141">
                  <c:v>45200</c:v>
                </c:pt>
                <c:pt idx="142">
                  <c:v>45231</c:v>
                </c:pt>
                <c:pt idx="143">
                  <c:v>45261</c:v>
                </c:pt>
                <c:pt idx="144">
                  <c:v>45292</c:v>
                </c:pt>
                <c:pt idx="145">
                  <c:v>45323</c:v>
                </c:pt>
                <c:pt idx="146">
                  <c:v>45352</c:v>
                </c:pt>
                <c:pt idx="147">
                  <c:v>45383</c:v>
                </c:pt>
                <c:pt idx="148">
                  <c:v>45413</c:v>
                </c:pt>
                <c:pt idx="149">
                  <c:v>45444</c:v>
                </c:pt>
                <c:pt idx="150">
                  <c:v>45474</c:v>
                </c:pt>
                <c:pt idx="151">
                  <c:v>45505</c:v>
                </c:pt>
                <c:pt idx="152">
                  <c:v>45536</c:v>
                </c:pt>
                <c:pt idx="153">
                  <c:v>45566</c:v>
                </c:pt>
                <c:pt idx="154">
                  <c:v>45597</c:v>
                </c:pt>
                <c:pt idx="155">
                  <c:v>45627</c:v>
                </c:pt>
                <c:pt idx="156">
                  <c:v>45658</c:v>
                </c:pt>
                <c:pt idx="157">
                  <c:v>45689</c:v>
                </c:pt>
                <c:pt idx="158">
                  <c:v>45717</c:v>
                </c:pt>
                <c:pt idx="159">
                  <c:v>45748</c:v>
                </c:pt>
                <c:pt idx="160">
                  <c:v>45778</c:v>
                </c:pt>
                <c:pt idx="161">
                  <c:v>45809</c:v>
                </c:pt>
                <c:pt idx="162">
                  <c:v>45839</c:v>
                </c:pt>
                <c:pt idx="163">
                  <c:v>45870</c:v>
                </c:pt>
                <c:pt idx="164">
                  <c:v>45901</c:v>
                </c:pt>
                <c:pt idx="165">
                  <c:v>45931</c:v>
                </c:pt>
                <c:pt idx="166">
                  <c:v>45962</c:v>
                </c:pt>
                <c:pt idx="167">
                  <c:v>45992</c:v>
                </c:pt>
              </c:numCache>
            </c:numRef>
          </c:cat>
          <c:val>
            <c:numRef>
              <c:f>'Net reserves'!$H$15:$FS$15</c:f>
              <c:numCache>
                <c:formatCode>0.0</c:formatCode>
                <c:ptCount val="168"/>
                <c:pt idx="0">
                  <c:v>3433.6390000000001</c:v>
                </c:pt>
                <c:pt idx="1">
                  <c:v>3419.7840000000001</c:v>
                </c:pt>
                <c:pt idx="2">
                  <c:v>3311.107</c:v>
                </c:pt>
                <c:pt idx="3">
                  <c:v>3300.4279999999999</c:v>
                </c:pt>
                <c:pt idx="4">
                  <c:v>3096.5929999999998</c:v>
                </c:pt>
                <c:pt idx="5">
                  <c:v>3175.038</c:v>
                </c:pt>
                <c:pt idx="6">
                  <c:v>3201.3589999999999</c:v>
                </c:pt>
                <c:pt idx="7">
                  <c:v>3346.4989999999998</c:v>
                </c:pt>
                <c:pt idx="8">
                  <c:v>3514.1480000000001</c:v>
                </c:pt>
                <c:pt idx="9">
                  <c:v>3411.1089999999999</c:v>
                </c:pt>
                <c:pt idx="10">
                  <c:v>3399.835</c:v>
                </c:pt>
                <c:pt idx="11">
                  <c:v>3326.471</c:v>
                </c:pt>
                <c:pt idx="12">
                  <c:v>3330.7379999999998</c:v>
                </c:pt>
                <c:pt idx="13">
                  <c:v>3137.2649999999999</c:v>
                </c:pt>
                <c:pt idx="14">
                  <c:v>3186.9679999999998</c:v>
                </c:pt>
                <c:pt idx="15">
                  <c:v>2922.9090000000001</c:v>
                </c:pt>
                <c:pt idx="16">
                  <c:v>2763.3980000000001</c:v>
                </c:pt>
                <c:pt idx="17">
                  <c:v>2432.7640000000001</c:v>
                </c:pt>
                <c:pt idx="18">
                  <c:v>2606.6260000000002</c:v>
                </c:pt>
                <c:pt idx="19">
                  <c:v>2769.5709999999999</c:v>
                </c:pt>
                <c:pt idx="20">
                  <c:v>2637.9490000000001</c:v>
                </c:pt>
                <c:pt idx="21">
                  <c:v>2625.5230000000001</c:v>
                </c:pt>
                <c:pt idx="22">
                  <c:v>2481.8119999999999</c:v>
                </c:pt>
                <c:pt idx="23">
                  <c:v>2389.4720000000002</c:v>
                </c:pt>
                <c:pt idx="24">
                  <c:v>2461.7440000000001</c:v>
                </c:pt>
                <c:pt idx="25">
                  <c:v>2623.6570000000002</c:v>
                </c:pt>
                <c:pt idx="26">
                  <c:v>2545.9459999999999</c:v>
                </c:pt>
                <c:pt idx="27">
                  <c:v>2569.587</c:v>
                </c:pt>
                <c:pt idx="28">
                  <c:v>2470.0410000000002</c:v>
                </c:pt>
                <c:pt idx="29">
                  <c:v>2633.6410000000001</c:v>
                </c:pt>
                <c:pt idx="30">
                  <c:v>2542.2339999999999</c:v>
                </c:pt>
                <c:pt idx="31">
                  <c:v>2552.06</c:v>
                </c:pt>
                <c:pt idx="32">
                  <c:v>2399.34</c:v>
                </c:pt>
                <c:pt idx="33">
                  <c:v>2324.52</c:v>
                </c:pt>
                <c:pt idx="34">
                  <c:v>2316.17</c:v>
                </c:pt>
                <c:pt idx="35">
                  <c:v>2354.7849999999999</c:v>
                </c:pt>
                <c:pt idx="36">
                  <c:v>2529.5500000000002</c:v>
                </c:pt>
                <c:pt idx="37">
                  <c:v>2406.96</c:v>
                </c:pt>
                <c:pt idx="38">
                  <c:v>2345.58</c:v>
                </c:pt>
                <c:pt idx="39">
                  <c:v>2348.3429999999998</c:v>
                </c:pt>
                <c:pt idx="40">
                  <c:v>2361.8209999999999</c:v>
                </c:pt>
                <c:pt idx="41">
                  <c:v>2325.933</c:v>
                </c:pt>
                <c:pt idx="42">
                  <c:v>2178.0140000000001</c:v>
                </c:pt>
                <c:pt idx="43">
                  <c:v>2249.096</c:v>
                </c:pt>
                <c:pt idx="44">
                  <c:v>2214.3980000000001</c:v>
                </c:pt>
                <c:pt idx="45">
                  <c:v>2263.348</c:v>
                </c:pt>
                <c:pt idx="46">
                  <c:v>2110.625</c:v>
                </c:pt>
                <c:pt idx="47">
                  <c:v>2106.933</c:v>
                </c:pt>
                <c:pt idx="48">
                  <c:v>2215.2719999999999</c:v>
                </c:pt>
                <c:pt idx="49">
                  <c:v>2444.1970000000001</c:v>
                </c:pt>
                <c:pt idx="50">
                  <c:v>2444.44</c:v>
                </c:pt>
                <c:pt idx="51">
                  <c:v>2559.8009999999999</c:v>
                </c:pt>
                <c:pt idx="52">
                  <c:v>2413.0300000000002</c:v>
                </c:pt>
                <c:pt idx="53">
                  <c:v>2617.2649999999999</c:v>
                </c:pt>
                <c:pt idx="54">
                  <c:v>2681.558</c:v>
                </c:pt>
                <c:pt idx="55">
                  <c:v>2594.4380000000001</c:v>
                </c:pt>
                <c:pt idx="56">
                  <c:v>2607.7570000000001</c:v>
                </c:pt>
                <c:pt idx="57">
                  <c:v>2322.9899999999998</c:v>
                </c:pt>
                <c:pt idx="58">
                  <c:v>2141.8249999999998</c:v>
                </c:pt>
                <c:pt idx="59">
                  <c:v>2101.7489999999998</c:v>
                </c:pt>
                <c:pt idx="60">
                  <c:v>2400.569</c:v>
                </c:pt>
                <c:pt idx="61">
                  <c:v>2291.4899999999998</c:v>
                </c:pt>
                <c:pt idx="62">
                  <c:v>2202.13</c:v>
                </c:pt>
                <c:pt idx="63">
                  <c:v>2514.1489999999999</c:v>
                </c:pt>
                <c:pt idx="64">
                  <c:v>2522.7809999999999</c:v>
                </c:pt>
                <c:pt idx="65">
                  <c:v>2386.5839999999998</c:v>
                </c:pt>
                <c:pt idx="66">
                  <c:v>2514.067</c:v>
                </c:pt>
                <c:pt idx="67">
                  <c:v>2614.7049999999999</c:v>
                </c:pt>
                <c:pt idx="68">
                  <c:v>2545.529</c:v>
                </c:pt>
                <c:pt idx="69">
                  <c:v>2435.0189999999998</c:v>
                </c:pt>
                <c:pt idx="70">
                  <c:v>2293.1219999999998</c:v>
                </c:pt>
                <c:pt idx="71">
                  <c:v>2298.7750000000001</c:v>
                </c:pt>
                <c:pt idx="72">
                  <c:v>2657.8829999999998</c:v>
                </c:pt>
                <c:pt idx="73">
                  <c:v>2616.7890000000002</c:v>
                </c:pt>
                <c:pt idx="74">
                  <c:v>2337.6950000000002</c:v>
                </c:pt>
                <c:pt idx="75">
                  <c:v>2623.7179999999998</c:v>
                </c:pt>
                <c:pt idx="76">
                  <c:v>2579.0340000000001</c:v>
                </c:pt>
                <c:pt idx="77">
                  <c:v>2486.4360000000001</c:v>
                </c:pt>
                <c:pt idx="78">
                  <c:v>2429.2289999999998</c:v>
                </c:pt>
                <c:pt idx="79">
                  <c:v>2383.8339999999998</c:v>
                </c:pt>
                <c:pt idx="80">
                  <c:v>2296.9580000000001</c:v>
                </c:pt>
                <c:pt idx="81">
                  <c:v>2406.924</c:v>
                </c:pt>
                <c:pt idx="82">
                  <c:v>2435.6089999999999</c:v>
                </c:pt>
                <c:pt idx="83">
                  <c:v>2255.623</c:v>
                </c:pt>
                <c:pt idx="84">
                  <c:v>2622.26</c:v>
                </c:pt>
                <c:pt idx="85">
                  <c:v>2608.201</c:v>
                </c:pt>
                <c:pt idx="86">
                  <c:v>2280.8530000000001</c:v>
                </c:pt>
                <c:pt idx="87">
                  <c:v>2547.1640000000002</c:v>
                </c:pt>
                <c:pt idx="88">
                  <c:v>2588.2139999999999</c:v>
                </c:pt>
                <c:pt idx="89">
                  <c:v>2486.0309999999999</c:v>
                </c:pt>
                <c:pt idx="90">
                  <c:v>2818.4409999999998</c:v>
                </c:pt>
                <c:pt idx="91">
                  <c:v>3011.884</c:v>
                </c:pt>
                <c:pt idx="92">
                  <c:v>2914.1480000000001</c:v>
                </c:pt>
                <c:pt idx="93">
                  <c:v>2999.4389999999999</c:v>
                </c:pt>
                <c:pt idx="94">
                  <c:v>2904.26</c:v>
                </c:pt>
                <c:pt idx="95">
                  <c:v>2684.4659999999999</c:v>
                </c:pt>
                <c:pt idx="96">
                  <c:v>3140.2339999999999</c:v>
                </c:pt>
                <c:pt idx="97">
                  <c:v>3139.7559999999999</c:v>
                </c:pt>
                <c:pt idx="98">
                  <c:v>2940.8780000000002</c:v>
                </c:pt>
                <c:pt idx="99">
                  <c:v>3341.13</c:v>
                </c:pt>
                <c:pt idx="100">
                  <c:v>3440.7159999999999</c:v>
                </c:pt>
                <c:pt idx="101">
                  <c:v>3533.096</c:v>
                </c:pt>
                <c:pt idx="102">
                  <c:v>3910.8150000000001</c:v>
                </c:pt>
                <c:pt idx="103">
                  <c:v>3913.2359999999999</c:v>
                </c:pt>
                <c:pt idx="104">
                  <c:v>3753.8240000000001</c:v>
                </c:pt>
                <c:pt idx="105">
                  <c:v>3728.9920000000002</c:v>
                </c:pt>
                <c:pt idx="106">
                  <c:v>3527.4589999999998</c:v>
                </c:pt>
                <c:pt idx="107">
                  <c:v>3758.25</c:v>
                </c:pt>
                <c:pt idx="108">
                  <c:v>3673.1550000000002</c:v>
                </c:pt>
                <c:pt idx="109">
                  <c:v>3424.241</c:v>
                </c:pt>
                <c:pt idx="110">
                  <c:v>3392.9969999999998</c:v>
                </c:pt>
                <c:pt idx="111">
                  <c:v>3510.864</c:v>
                </c:pt>
                <c:pt idx="112">
                  <c:v>3783.0819999999999</c:v>
                </c:pt>
                <c:pt idx="113">
                  <c:v>3509.634</c:v>
                </c:pt>
                <c:pt idx="114">
                  <c:v>3600.4059999999999</c:v>
                </c:pt>
                <c:pt idx="115">
                  <c:v>3599.83</c:v>
                </c:pt>
                <c:pt idx="116">
                  <c:v>3483.4520000000002</c:v>
                </c:pt>
                <c:pt idx="117">
                  <c:v>3536.1529999999998</c:v>
                </c:pt>
                <c:pt idx="118">
                  <c:v>3521.7620000000002</c:v>
                </c:pt>
                <c:pt idx="119">
                  <c:v>3213.7629999999999</c:v>
                </c:pt>
                <c:pt idx="120">
                  <c:v>3564.319</c:v>
                </c:pt>
                <c:pt idx="121">
                  <c:v>3744.5140000000001</c:v>
                </c:pt>
                <c:pt idx="122">
                  <c:v>3859.2060000000001</c:v>
                </c:pt>
                <c:pt idx="123">
                  <c:v>3789.1559999999999</c:v>
                </c:pt>
                <c:pt idx="124">
                  <c:v>3655.4290000000001</c:v>
                </c:pt>
                <c:pt idx="125">
                  <c:v>3587.94</c:v>
                </c:pt>
                <c:pt idx="126">
                  <c:v>3502.2890000000002</c:v>
                </c:pt>
                <c:pt idx="127">
                  <c:v>3398.3760000000002</c:v>
                </c:pt>
                <c:pt idx="128">
                  <c:v>3299.5450000000001</c:v>
                </c:pt>
                <c:pt idx="129">
                  <c:v>3243.9259999999999</c:v>
                </c:pt>
                <c:pt idx="130">
                  <c:v>3476.683</c:v>
                </c:pt>
                <c:pt idx="131">
                  <c:v>3617.973</c:v>
                </c:pt>
                <c:pt idx="132">
                  <c:v>3827.942</c:v>
                </c:pt>
                <c:pt idx="133">
                  <c:v>3629.2869999999998</c:v>
                </c:pt>
                <c:pt idx="134">
                  <c:v>3905.4349999999999</c:v>
                </c:pt>
                <c:pt idx="135">
                  <c:v>3949.105</c:v>
                </c:pt>
                <c:pt idx="136">
                  <c:v>3900.89</c:v>
                </c:pt>
                <c:pt idx="137">
                  <c:v>3806.8820000000001</c:v>
                </c:pt>
                <c:pt idx="138">
                  <c:v>3468.944</c:v>
                </c:pt>
                <c:pt idx="139">
                  <c:v>3849.8960000000002</c:v>
                </c:pt>
                <c:pt idx="140">
                  <c:v>3669.5419999999999</c:v>
                </c:pt>
                <c:pt idx="141">
                  <c:v>3936.7979999999998</c:v>
                </c:pt>
                <c:pt idx="142">
                  <c:v>4042.9340000000002</c:v>
                </c:pt>
                <c:pt idx="143">
                  <c:v>4095.873</c:v>
                </c:pt>
                <c:pt idx="144">
                  <c:v>4064.59</c:v>
                </c:pt>
                <c:pt idx="145">
                  <c:v>4058.2579999999998</c:v>
                </c:pt>
                <c:pt idx="146">
                  <c:v>4344.7669999999998</c:v>
                </c:pt>
                <c:pt idx="147">
                  <c:v>4554.201</c:v>
                </c:pt>
                <c:pt idx="148">
                  <c:v>4614.0079999999998</c:v>
                </c:pt>
                <c:pt idx="149">
                  <c:v>4616.9650000000001</c:v>
                </c:pt>
                <c:pt idx="150">
                  <c:v>4806.6880000000001</c:v>
                </c:pt>
                <c:pt idx="151">
                  <c:v>4960.6419999999998</c:v>
                </c:pt>
                <c:pt idx="152">
                  <c:v>5234.8019999999997</c:v>
                </c:pt>
                <c:pt idx="153">
                  <c:v>5436.8109999999997</c:v>
                </c:pt>
                <c:pt idx="154">
                  <c:v>5277.643</c:v>
                </c:pt>
                <c:pt idx="155">
                  <c:v>5206.1450000000004</c:v>
                </c:pt>
                <c:pt idx="156">
                  <c:v>5572.6279999999997</c:v>
                </c:pt>
                <c:pt idx="157">
                  <c:v>5646.35</c:v>
                </c:pt>
                <c:pt idx="158">
                  <c:v>6187.3119999999999</c:v>
                </c:pt>
                <c:pt idx="159">
                  <c:v>6560.2860000000001</c:v>
                </c:pt>
                <c:pt idx="160">
                  <c:v>6532.2979999999998</c:v>
                </c:pt>
                <c:pt idx="161">
                  <c:v>6535.8909999999996</c:v>
                </c:pt>
                <c:pt idx="162">
                  <c:v>6539.1260000000002</c:v>
                </c:pt>
                <c:pt idx="163">
                  <c:v>6835.0050000000001</c:v>
                </c:pt>
                <c:pt idx="164">
                  <c:v>7629.01</c:v>
                </c:pt>
                <c:pt idx="165">
                  <c:v>7934.3959999999997</c:v>
                </c:pt>
                <c:pt idx="166">
                  <c:v>8368.3089999999993</c:v>
                </c:pt>
                <c:pt idx="167">
                  <c:v>8585.6620000000003</c:v>
                </c:pt>
              </c:numCache>
            </c:numRef>
          </c:val>
          <c:extLst>
            <c:ext xmlns:c16="http://schemas.microsoft.com/office/drawing/2014/chart" uri="{C3380CC4-5D6E-409C-BE32-E72D297353CC}">
              <c16:uniqueId val="{00000003-9521-4D8B-AEE0-6872E2EABBEB}"/>
            </c:ext>
          </c:extLst>
        </c:ser>
        <c:dLbls>
          <c:showLegendKey val="0"/>
          <c:showVal val="0"/>
          <c:showCatName val="0"/>
          <c:showSerName val="0"/>
          <c:showPercent val="0"/>
          <c:showBubbleSize val="0"/>
        </c:dLbls>
        <c:gapWidth val="150"/>
        <c:overlap val="100"/>
        <c:axId val="176853807"/>
        <c:axId val="176838831"/>
      </c:barChart>
      <c:dateAx>
        <c:axId val="176853807"/>
        <c:scaling>
          <c:orientation val="minMax"/>
          <c:max val="45976"/>
          <c:min val="42323"/>
        </c:scaling>
        <c:delete val="0"/>
        <c:axPos val="b"/>
        <c:numFmt formatCode="mmm\-yy" sourceLinked="1"/>
        <c:majorTickMark val="out"/>
        <c:minorTickMark val="none"/>
        <c:tickLblPos val="low"/>
        <c:spPr>
          <a:noFill/>
          <a:ln w="12700" cap="flat" cmpd="sng" algn="ctr">
            <a:solidFill>
              <a:srgbClr val="333333"/>
            </a:solidFill>
            <a:prstDash val="solid"/>
            <a:round/>
          </a:ln>
          <a:effectLst/>
        </c:spPr>
        <c:txPr>
          <a:bodyPr rot="-60000000" spcFirstLastPara="1" vertOverflow="ellipsis" vert="horz" wrap="square" anchor="ctr" anchorCtr="1"/>
          <a:lstStyle/>
          <a:p>
            <a:pPr>
              <a:defRPr sz="900" b="0" i="0" u="none" strike="noStrike" kern="1200" baseline="0">
                <a:solidFill>
                  <a:srgbClr val="000000"/>
                </a:solidFill>
                <a:latin typeface="Credit Suisse Type Light"/>
                <a:ea typeface="Credit Suisse Type Light"/>
                <a:cs typeface="Credit Suisse Type Light"/>
              </a:defRPr>
            </a:pPr>
            <a:endParaRPr lang="en-US"/>
          </a:p>
        </c:txPr>
        <c:crossAx val="176838831"/>
        <c:crosses val="autoZero"/>
        <c:auto val="1"/>
        <c:lblOffset val="100"/>
        <c:baseTimeUnit val="months"/>
        <c:majorUnit val="24"/>
        <c:majorTimeUnit val="months"/>
      </c:dateAx>
      <c:valAx>
        <c:axId val="176838831"/>
        <c:scaling>
          <c:orientation val="minMax"/>
          <c:max val="80000"/>
          <c:min val="-10000"/>
        </c:scaling>
        <c:delete val="0"/>
        <c:axPos val="l"/>
        <c:numFmt formatCode="#,##0" sourceLinked="0"/>
        <c:majorTickMark val="out"/>
        <c:minorTickMark val="none"/>
        <c:tickLblPos val="nextTo"/>
        <c:spPr>
          <a:noFill/>
          <a:ln w="12700">
            <a:solidFill>
              <a:srgbClr val="333333"/>
            </a:solidFill>
            <a:prstDash val="solid"/>
          </a:ln>
          <a:effectLst/>
        </c:spPr>
        <c:txPr>
          <a:bodyPr rot="-60000000" spcFirstLastPara="1" vertOverflow="ellipsis" vert="horz" wrap="square" anchor="ctr" anchorCtr="1"/>
          <a:lstStyle/>
          <a:p>
            <a:pPr>
              <a:defRPr sz="900" b="0" i="0" u="none" strike="noStrike" kern="1200" baseline="0">
                <a:solidFill>
                  <a:srgbClr val="000000"/>
                </a:solidFill>
                <a:latin typeface="Credit Suisse Type Light"/>
                <a:ea typeface="Credit Suisse Type Light"/>
                <a:cs typeface="Credit Suisse Type Light"/>
              </a:defRPr>
            </a:pPr>
            <a:endParaRPr lang="en-US"/>
          </a:p>
        </c:txPr>
        <c:crossAx val="176853807"/>
        <c:crosses val="autoZero"/>
        <c:crossBetween val="between"/>
        <c:majorUnit val="10000"/>
        <c:dispUnits>
          <c:builtInUnit val="thousands"/>
        </c:dispUnits>
      </c:valAx>
      <c:spPr>
        <a:noFill/>
        <a:ln w="25400">
          <a:noFill/>
        </a:ln>
        <a:effectLst/>
      </c:spPr>
    </c:plotArea>
    <c:legend>
      <c:legendPos val="b"/>
      <c:layout>
        <c:manualLayout>
          <c:xMode val="edge"/>
          <c:yMode val="edge"/>
          <c:x val="0.58692967989800704"/>
          <c:y val="9.5635951324102936E-2"/>
          <c:w val="0.41307026359551674"/>
          <c:h val="8.0249227058575567E-2"/>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000000"/>
              </a:solidFill>
              <a:latin typeface="Credit Suisse Type Light"/>
              <a:ea typeface="Credit Suisse Type Light"/>
              <a:cs typeface="Credit Suisse Type Light"/>
            </a:defRPr>
          </a:pPr>
          <a:endParaRPr lang="en-US"/>
        </a:p>
      </c:txPr>
    </c:legend>
    <c:plotVisOnly val="1"/>
    <c:dispBlanksAs val="zero"/>
    <c:showDLblsOverMax val="0"/>
  </c:chart>
  <c:spPr>
    <a:solidFill>
      <a:srgbClr val="FFFFFF"/>
    </a:solidFill>
    <a:ln w="25400" cap="flat" cmpd="sng" algn="ctr">
      <a:noFill/>
      <a:round/>
    </a:ln>
    <a:effectLst/>
  </c:spPr>
  <c:txPr>
    <a:bodyPr/>
    <a:lstStyle/>
    <a:p>
      <a:pPr>
        <a:defRPr sz="900" b="0" i="0">
          <a:solidFill>
            <a:srgbClr val="333333"/>
          </a:solidFill>
          <a:latin typeface="Credit Suisse Type Light"/>
          <a:ea typeface="Credit Suisse Type Light"/>
          <a:cs typeface="Credit Suisse Type Light"/>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080" b="0" i="0" u="none" strike="noStrike" kern="1200" spc="0" baseline="0">
                <a:solidFill>
                  <a:srgbClr val="333333"/>
                </a:solidFill>
                <a:latin typeface="Credit Suisse Type Light"/>
                <a:ea typeface="Credit Suisse Type Light"/>
                <a:cs typeface="Credit Suisse Type Light"/>
              </a:defRPr>
            </a:pPr>
            <a:r>
              <a:rPr lang="en-US" b="1"/>
              <a:t>Selected composition</a:t>
            </a:r>
            <a:r>
              <a:rPr lang="en-US" b="1" baseline="0"/>
              <a:t> of gross international reserves</a:t>
            </a:r>
          </a:p>
          <a:p>
            <a:pPr algn="l">
              <a:defRPr/>
            </a:pPr>
            <a:r>
              <a:rPr lang="en-US" baseline="0"/>
              <a:t>$bn </a:t>
            </a:r>
            <a:endParaRPr lang="en-US"/>
          </a:p>
        </c:rich>
      </c:tx>
      <c:layout>
        <c:manualLayout>
          <c:xMode val="edge"/>
          <c:yMode val="edge"/>
          <c:x val="2.6092756418634212E-2"/>
          <c:y val="4.5283036808017353E-2"/>
        </c:manualLayout>
      </c:layout>
      <c:overlay val="0"/>
      <c:spPr>
        <a:noFill/>
        <a:ln>
          <a:noFill/>
        </a:ln>
        <a:effectLst/>
      </c:spPr>
      <c:txPr>
        <a:bodyPr rot="0" spcFirstLastPara="1" vertOverflow="ellipsis" vert="horz" wrap="square" anchor="ctr" anchorCtr="1"/>
        <a:lstStyle/>
        <a:p>
          <a:pPr algn="l">
            <a:defRPr sz="1080" b="0" i="0" u="none" strike="noStrike" kern="1200" spc="0" baseline="0">
              <a:solidFill>
                <a:srgbClr val="333333"/>
              </a:solidFill>
              <a:latin typeface="Credit Suisse Type Light"/>
              <a:ea typeface="Credit Suisse Type Light"/>
              <a:cs typeface="Credit Suisse Type Light"/>
            </a:defRPr>
          </a:pPr>
          <a:endParaRPr lang="en-US"/>
        </a:p>
      </c:txPr>
    </c:title>
    <c:autoTitleDeleted val="0"/>
    <c:plotArea>
      <c:layout>
        <c:manualLayout>
          <c:xMode val="edge"/>
          <c:yMode val="edge"/>
          <c:x val="1.9662060274277998E-2"/>
          <c:y val="2.5818764227847523E-2"/>
          <c:w val="0.9781874986453305"/>
          <c:h val="0.97418123577215243"/>
        </c:manualLayout>
      </c:layout>
      <c:areaChart>
        <c:grouping val="stacked"/>
        <c:varyColors val="0"/>
        <c:ser>
          <c:idx val="0"/>
          <c:order val="0"/>
          <c:tx>
            <c:strRef>
              <c:f>'Net reserves'!$A$12</c:f>
              <c:strCache>
                <c:ptCount val="1"/>
                <c:pt idx="0">
                  <c:v>Net reserves</c:v>
                </c:pt>
              </c:strCache>
            </c:strRef>
          </c:tx>
          <c:spPr>
            <a:solidFill>
              <a:srgbClr val="8A0000"/>
            </a:solidFill>
            <a:ln w="12700">
              <a:noFill/>
              <a:prstDash val="solid"/>
            </a:ln>
            <a:effectLst/>
          </c:spPr>
          <c:cat>
            <c:numRef>
              <c:f>'Net reserves'!$H$10:$FX$10</c:f>
              <c:numCache>
                <c:formatCode>mmm\-yy</c:formatCode>
                <c:ptCount val="173"/>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pt idx="14">
                  <c:v>41334</c:v>
                </c:pt>
                <c:pt idx="15">
                  <c:v>41365</c:v>
                </c:pt>
                <c:pt idx="16">
                  <c:v>41395</c:v>
                </c:pt>
                <c:pt idx="17">
                  <c:v>41426</c:v>
                </c:pt>
                <c:pt idx="18">
                  <c:v>41456</c:v>
                </c:pt>
                <c:pt idx="19">
                  <c:v>41487</c:v>
                </c:pt>
                <c:pt idx="20">
                  <c:v>41518</c:v>
                </c:pt>
                <c:pt idx="21">
                  <c:v>41548</c:v>
                </c:pt>
                <c:pt idx="22">
                  <c:v>41579</c:v>
                </c:pt>
                <c:pt idx="23">
                  <c:v>41609</c:v>
                </c:pt>
                <c:pt idx="24">
                  <c:v>41640</c:v>
                </c:pt>
                <c:pt idx="25">
                  <c:v>41671</c:v>
                </c:pt>
                <c:pt idx="26">
                  <c:v>41699</c:v>
                </c:pt>
                <c:pt idx="27">
                  <c:v>41730</c:v>
                </c:pt>
                <c:pt idx="28">
                  <c:v>41760</c:v>
                </c:pt>
                <c:pt idx="29">
                  <c:v>41791</c:v>
                </c:pt>
                <c:pt idx="30">
                  <c:v>41821</c:v>
                </c:pt>
                <c:pt idx="31">
                  <c:v>41852</c:v>
                </c:pt>
                <c:pt idx="32">
                  <c:v>41883</c:v>
                </c:pt>
                <c:pt idx="33">
                  <c:v>41913</c:v>
                </c:pt>
                <c:pt idx="34">
                  <c:v>41944</c:v>
                </c:pt>
                <c:pt idx="35">
                  <c:v>41974</c:v>
                </c:pt>
                <c:pt idx="36">
                  <c:v>42005</c:v>
                </c:pt>
                <c:pt idx="37">
                  <c:v>42036</c:v>
                </c:pt>
                <c:pt idx="38">
                  <c:v>42064</c:v>
                </c:pt>
                <c:pt idx="39">
                  <c:v>42095</c:v>
                </c:pt>
                <c:pt idx="40">
                  <c:v>42125</c:v>
                </c:pt>
                <c:pt idx="41">
                  <c:v>42156</c:v>
                </c:pt>
                <c:pt idx="42">
                  <c:v>42186</c:v>
                </c:pt>
                <c:pt idx="43">
                  <c:v>42217</c:v>
                </c:pt>
                <c:pt idx="44">
                  <c:v>42248</c:v>
                </c:pt>
                <c:pt idx="45">
                  <c:v>42278</c:v>
                </c:pt>
                <c:pt idx="46">
                  <c:v>42309</c:v>
                </c:pt>
                <c:pt idx="47">
                  <c:v>42339</c:v>
                </c:pt>
                <c:pt idx="48">
                  <c:v>42370</c:v>
                </c:pt>
                <c:pt idx="49">
                  <c:v>42401</c:v>
                </c:pt>
                <c:pt idx="50">
                  <c:v>42430</c:v>
                </c:pt>
                <c:pt idx="51">
                  <c:v>42461</c:v>
                </c:pt>
                <c:pt idx="52">
                  <c:v>42491</c:v>
                </c:pt>
                <c:pt idx="53">
                  <c:v>42522</c:v>
                </c:pt>
                <c:pt idx="54">
                  <c:v>42552</c:v>
                </c:pt>
                <c:pt idx="55">
                  <c:v>42583</c:v>
                </c:pt>
                <c:pt idx="56">
                  <c:v>42614</c:v>
                </c:pt>
                <c:pt idx="57">
                  <c:v>42644</c:v>
                </c:pt>
                <c:pt idx="58">
                  <c:v>42675</c:v>
                </c:pt>
                <c:pt idx="59">
                  <c:v>42705</c:v>
                </c:pt>
                <c:pt idx="60">
                  <c:v>42736</c:v>
                </c:pt>
                <c:pt idx="61">
                  <c:v>42767</c:v>
                </c:pt>
                <c:pt idx="62">
                  <c:v>42795</c:v>
                </c:pt>
                <c:pt idx="63">
                  <c:v>42826</c:v>
                </c:pt>
                <c:pt idx="64">
                  <c:v>42856</c:v>
                </c:pt>
                <c:pt idx="65">
                  <c:v>42887</c:v>
                </c:pt>
                <c:pt idx="66">
                  <c:v>42917</c:v>
                </c:pt>
                <c:pt idx="67">
                  <c:v>42948</c:v>
                </c:pt>
                <c:pt idx="68">
                  <c:v>42979</c:v>
                </c:pt>
                <c:pt idx="69">
                  <c:v>43009</c:v>
                </c:pt>
                <c:pt idx="70">
                  <c:v>43040</c:v>
                </c:pt>
                <c:pt idx="71">
                  <c:v>43070</c:v>
                </c:pt>
                <c:pt idx="72">
                  <c:v>43101</c:v>
                </c:pt>
                <c:pt idx="73">
                  <c:v>43132</c:v>
                </c:pt>
                <c:pt idx="74">
                  <c:v>43160</c:v>
                </c:pt>
                <c:pt idx="75">
                  <c:v>43191</c:v>
                </c:pt>
                <c:pt idx="76">
                  <c:v>43221</c:v>
                </c:pt>
                <c:pt idx="77">
                  <c:v>43252</c:v>
                </c:pt>
                <c:pt idx="78">
                  <c:v>43282</c:v>
                </c:pt>
                <c:pt idx="79">
                  <c:v>43313</c:v>
                </c:pt>
                <c:pt idx="80">
                  <c:v>43344</c:v>
                </c:pt>
                <c:pt idx="81">
                  <c:v>43374</c:v>
                </c:pt>
                <c:pt idx="82">
                  <c:v>43405</c:v>
                </c:pt>
                <c:pt idx="83">
                  <c:v>43435</c:v>
                </c:pt>
                <c:pt idx="84">
                  <c:v>43466</c:v>
                </c:pt>
                <c:pt idx="85">
                  <c:v>43497</c:v>
                </c:pt>
                <c:pt idx="86">
                  <c:v>43525</c:v>
                </c:pt>
                <c:pt idx="87">
                  <c:v>43556</c:v>
                </c:pt>
                <c:pt idx="88">
                  <c:v>43586</c:v>
                </c:pt>
                <c:pt idx="89">
                  <c:v>43617</c:v>
                </c:pt>
                <c:pt idx="90">
                  <c:v>43647</c:v>
                </c:pt>
                <c:pt idx="91">
                  <c:v>43678</c:v>
                </c:pt>
                <c:pt idx="92">
                  <c:v>43709</c:v>
                </c:pt>
                <c:pt idx="93">
                  <c:v>43739</c:v>
                </c:pt>
                <c:pt idx="94">
                  <c:v>43770</c:v>
                </c:pt>
                <c:pt idx="95">
                  <c:v>43800</c:v>
                </c:pt>
                <c:pt idx="96">
                  <c:v>43831</c:v>
                </c:pt>
                <c:pt idx="97">
                  <c:v>43862</c:v>
                </c:pt>
                <c:pt idx="98">
                  <c:v>43891</c:v>
                </c:pt>
                <c:pt idx="99">
                  <c:v>43922</c:v>
                </c:pt>
                <c:pt idx="100">
                  <c:v>43952</c:v>
                </c:pt>
                <c:pt idx="101">
                  <c:v>43983</c:v>
                </c:pt>
                <c:pt idx="102">
                  <c:v>44013</c:v>
                </c:pt>
                <c:pt idx="103">
                  <c:v>44044</c:v>
                </c:pt>
                <c:pt idx="104">
                  <c:v>44075</c:v>
                </c:pt>
                <c:pt idx="105">
                  <c:v>44105</c:v>
                </c:pt>
                <c:pt idx="106">
                  <c:v>44136</c:v>
                </c:pt>
                <c:pt idx="107">
                  <c:v>44166</c:v>
                </c:pt>
                <c:pt idx="108">
                  <c:v>44197</c:v>
                </c:pt>
                <c:pt idx="109">
                  <c:v>44228</c:v>
                </c:pt>
                <c:pt idx="110">
                  <c:v>44256</c:v>
                </c:pt>
                <c:pt idx="111">
                  <c:v>44287</c:v>
                </c:pt>
                <c:pt idx="112">
                  <c:v>44317</c:v>
                </c:pt>
                <c:pt idx="113">
                  <c:v>44348</c:v>
                </c:pt>
                <c:pt idx="114">
                  <c:v>44378</c:v>
                </c:pt>
                <c:pt idx="115">
                  <c:v>44409</c:v>
                </c:pt>
                <c:pt idx="116">
                  <c:v>44440</c:v>
                </c:pt>
                <c:pt idx="117">
                  <c:v>44470</c:v>
                </c:pt>
                <c:pt idx="118">
                  <c:v>44501</c:v>
                </c:pt>
                <c:pt idx="119">
                  <c:v>44531</c:v>
                </c:pt>
                <c:pt idx="120">
                  <c:v>44562</c:v>
                </c:pt>
                <c:pt idx="121">
                  <c:v>44593</c:v>
                </c:pt>
                <c:pt idx="122">
                  <c:v>44621</c:v>
                </c:pt>
                <c:pt idx="123">
                  <c:v>44652</c:v>
                </c:pt>
                <c:pt idx="124">
                  <c:v>44682</c:v>
                </c:pt>
                <c:pt idx="125">
                  <c:v>44713</c:v>
                </c:pt>
                <c:pt idx="126">
                  <c:v>44743</c:v>
                </c:pt>
                <c:pt idx="127">
                  <c:v>44774</c:v>
                </c:pt>
                <c:pt idx="128">
                  <c:v>44805</c:v>
                </c:pt>
                <c:pt idx="129">
                  <c:v>44835</c:v>
                </c:pt>
                <c:pt idx="130">
                  <c:v>44866</c:v>
                </c:pt>
                <c:pt idx="131">
                  <c:v>44896</c:v>
                </c:pt>
                <c:pt idx="132">
                  <c:v>44927</c:v>
                </c:pt>
                <c:pt idx="133">
                  <c:v>44958</c:v>
                </c:pt>
                <c:pt idx="134">
                  <c:v>44986</c:v>
                </c:pt>
                <c:pt idx="135">
                  <c:v>45017</c:v>
                </c:pt>
                <c:pt idx="136">
                  <c:v>45047</c:v>
                </c:pt>
                <c:pt idx="137">
                  <c:v>45078</c:v>
                </c:pt>
                <c:pt idx="138">
                  <c:v>45108</c:v>
                </c:pt>
                <c:pt idx="139">
                  <c:v>45139</c:v>
                </c:pt>
                <c:pt idx="140">
                  <c:v>45170</c:v>
                </c:pt>
                <c:pt idx="141">
                  <c:v>45200</c:v>
                </c:pt>
                <c:pt idx="142">
                  <c:v>45231</c:v>
                </c:pt>
                <c:pt idx="143">
                  <c:v>45261</c:v>
                </c:pt>
                <c:pt idx="144">
                  <c:v>45292</c:v>
                </c:pt>
                <c:pt idx="145">
                  <c:v>45323</c:v>
                </c:pt>
                <c:pt idx="146">
                  <c:v>45352</c:v>
                </c:pt>
                <c:pt idx="147">
                  <c:v>45383</c:v>
                </c:pt>
                <c:pt idx="148">
                  <c:v>45413</c:v>
                </c:pt>
                <c:pt idx="149">
                  <c:v>45444</c:v>
                </c:pt>
                <c:pt idx="150">
                  <c:v>45474</c:v>
                </c:pt>
                <c:pt idx="151">
                  <c:v>45505</c:v>
                </c:pt>
                <c:pt idx="152">
                  <c:v>45536</c:v>
                </c:pt>
                <c:pt idx="153">
                  <c:v>45566</c:v>
                </c:pt>
                <c:pt idx="154">
                  <c:v>45597</c:v>
                </c:pt>
                <c:pt idx="155">
                  <c:v>45627</c:v>
                </c:pt>
                <c:pt idx="156">
                  <c:v>45658</c:v>
                </c:pt>
                <c:pt idx="157">
                  <c:v>45689</c:v>
                </c:pt>
                <c:pt idx="158">
                  <c:v>45717</c:v>
                </c:pt>
                <c:pt idx="159">
                  <c:v>45748</c:v>
                </c:pt>
                <c:pt idx="160">
                  <c:v>45778</c:v>
                </c:pt>
                <c:pt idx="161">
                  <c:v>45809</c:v>
                </c:pt>
                <c:pt idx="162">
                  <c:v>45839</c:v>
                </c:pt>
                <c:pt idx="163">
                  <c:v>45870</c:v>
                </c:pt>
                <c:pt idx="164">
                  <c:v>45901</c:v>
                </c:pt>
                <c:pt idx="165">
                  <c:v>45931</c:v>
                </c:pt>
                <c:pt idx="166">
                  <c:v>45962</c:v>
                </c:pt>
                <c:pt idx="167">
                  <c:v>45992</c:v>
                </c:pt>
                <c:pt idx="168">
                  <c:v>46023</c:v>
                </c:pt>
                <c:pt idx="169">
                  <c:v>46054</c:v>
                </c:pt>
                <c:pt idx="170">
                  <c:v>46082</c:v>
                </c:pt>
                <c:pt idx="171">
                  <c:v>46113</c:v>
                </c:pt>
                <c:pt idx="172">
                  <c:v>46143</c:v>
                </c:pt>
              </c:numCache>
            </c:numRef>
          </c:cat>
          <c:val>
            <c:numRef>
              <c:f>'Net reserves'!$H$12:$FX$12</c:f>
              <c:numCache>
                <c:formatCode>_(* #,##0.00_);_(* \(#,##0.00\);_(* "-"??_);_(@_)</c:formatCode>
                <c:ptCount val="173"/>
                <c:pt idx="0">
                  <c:v>38906.998575167941</c:v>
                </c:pt>
                <c:pt idx="1">
                  <c:v>39046.497944890929</c:v>
                </c:pt>
                <c:pt idx="2">
                  <c:v>39370.86746295022</c:v>
                </c:pt>
                <c:pt idx="3">
                  <c:v>40023.011065726634</c:v>
                </c:pt>
                <c:pt idx="4">
                  <c:v>39947.098896877105</c:v>
                </c:pt>
                <c:pt idx="5">
                  <c:v>40166.411977900549</c:v>
                </c:pt>
                <c:pt idx="6">
                  <c:v>40038.853928961747</c:v>
                </c:pt>
                <c:pt idx="7">
                  <c:v>37843.96859333045</c:v>
                </c:pt>
                <c:pt idx="8">
                  <c:v>37575.449846055162</c:v>
                </c:pt>
                <c:pt idx="9">
                  <c:v>36594.867022756</c:v>
                </c:pt>
                <c:pt idx="10">
                  <c:v>36248.632582213031</c:v>
                </c:pt>
                <c:pt idx="11">
                  <c:v>33858.245082482637</c:v>
                </c:pt>
                <c:pt idx="12">
                  <c:v>33639.652914400802</c:v>
                </c:pt>
                <c:pt idx="13">
                  <c:v>32864.759206923991</c:v>
                </c:pt>
                <c:pt idx="14">
                  <c:v>31986.636406115253</c:v>
                </c:pt>
                <c:pt idx="15">
                  <c:v>30532.050004830915</c:v>
                </c:pt>
                <c:pt idx="16">
                  <c:v>29536.084389057756</c:v>
                </c:pt>
                <c:pt idx="17">
                  <c:v>28081.651767441861</c:v>
                </c:pt>
                <c:pt idx="18">
                  <c:v>27734.514824065638</c:v>
                </c:pt>
                <c:pt idx="19">
                  <c:v>24505.176215852796</c:v>
                </c:pt>
                <c:pt idx="20">
                  <c:v>22120.37997835498</c:v>
                </c:pt>
                <c:pt idx="21">
                  <c:v>20310.946687712152</c:v>
                </c:pt>
                <c:pt idx="22">
                  <c:v>17956.071322169584</c:v>
                </c:pt>
                <c:pt idx="23">
                  <c:v>16190.752109521616</c:v>
                </c:pt>
                <c:pt idx="24">
                  <c:v>13056.723419518376</c:v>
                </c:pt>
                <c:pt idx="25">
                  <c:v>14938.487648261758</c:v>
                </c:pt>
                <c:pt idx="26">
                  <c:v>15098.470637826958</c:v>
                </c:pt>
                <c:pt idx="27">
                  <c:v>17333.652050301811</c:v>
                </c:pt>
                <c:pt idx="28">
                  <c:v>17659.578244084682</c:v>
                </c:pt>
                <c:pt idx="29">
                  <c:v>17787.687395892612</c:v>
                </c:pt>
                <c:pt idx="30">
                  <c:v>17924.781815177481</c:v>
                </c:pt>
                <c:pt idx="31">
                  <c:v>17585.437026104661</c:v>
                </c:pt>
                <c:pt idx="32">
                  <c:v>17098.613221957039</c:v>
                </c:pt>
                <c:pt idx="33">
                  <c:v>16180.354955595027</c:v>
                </c:pt>
                <c:pt idx="34">
                  <c:v>16161.911415094341</c:v>
                </c:pt>
                <c:pt idx="35">
                  <c:v>17017.012331374855</c:v>
                </c:pt>
                <c:pt idx="36">
                  <c:v>15920.056030250144</c:v>
                </c:pt>
                <c:pt idx="37">
                  <c:v>15072.470691244242</c:v>
                </c:pt>
                <c:pt idx="38">
                  <c:v>14356.583329532494</c:v>
                </c:pt>
                <c:pt idx="39">
                  <c:v>16140.270902934535</c:v>
                </c:pt>
                <c:pt idx="40">
                  <c:v>15140.36801621017</c:v>
                </c:pt>
                <c:pt idx="41">
                  <c:v>14772.109690265483</c:v>
                </c:pt>
                <c:pt idx="42">
                  <c:v>14442.367754510666</c:v>
                </c:pt>
                <c:pt idx="43">
                  <c:v>12398.463513513514</c:v>
                </c:pt>
                <c:pt idx="44">
                  <c:v>10893.057666666668</c:v>
                </c:pt>
                <c:pt idx="45">
                  <c:v>3198.6177091004738</c:v>
                </c:pt>
                <c:pt idx="46">
                  <c:v>1874.9284878175222</c:v>
                </c:pt>
                <c:pt idx="47">
                  <c:v>518.24403816793802</c:v>
                </c:pt>
                <c:pt idx="48">
                  <c:v>1723.1509753265591</c:v>
                </c:pt>
                <c:pt idx="49">
                  <c:v>1919.3192993630564</c:v>
                </c:pt>
                <c:pt idx="50">
                  <c:v>1200.7828767123306</c:v>
                </c:pt>
                <c:pt idx="51">
                  <c:v>6360.8643146853155</c:v>
                </c:pt>
                <c:pt idx="52">
                  <c:v>88.657142857141025</c:v>
                </c:pt>
                <c:pt idx="53">
                  <c:v>48.545999999999822</c:v>
                </c:pt>
                <c:pt idx="54">
                  <c:v>5545.9323333333332</c:v>
                </c:pt>
                <c:pt idx="55">
                  <c:v>5645.1750402684593</c:v>
                </c:pt>
                <c:pt idx="56">
                  <c:v>4649.5621437908485</c:v>
                </c:pt>
                <c:pt idx="57">
                  <c:v>5188.6139999999959</c:v>
                </c:pt>
                <c:pt idx="58">
                  <c:v>9074.6260062893125</c:v>
                </c:pt>
                <c:pt idx="59">
                  <c:v>10199.106805031448</c:v>
                </c:pt>
                <c:pt idx="60">
                  <c:v>11054.057591194971</c:v>
                </c:pt>
                <c:pt idx="61">
                  <c:v>14560.62093548387</c:v>
                </c:pt>
                <c:pt idx="62">
                  <c:v>12624.572285714283</c:v>
                </c:pt>
                <c:pt idx="63">
                  <c:v>15490.423000000001</c:v>
                </c:pt>
                <c:pt idx="64">
                  <c:v>16478.938161490685</c:v>
                </c:pt>
                <c:pt idx="65">
                  <c:v>20954.054927710848</c:v>
                </c:pt>
                <c:pt idx="66">
                  <c:v>17545.550484419258</c:v>
                </c:pt>
                <c:pt idx="67">
                  <c:v>18303.026826589594</c:v>
                </c:pt>
                <c:pt idx="68">
                  <c:v>21395.025456647403</c:v>
                </c:pt>
                <c:pt idx="69">
                  <c:v>24794.264855524081</c:v>
                </c:pt>
                <c:pt idx="70">
                  <c:v>26060.35870520231</c:v>
                </c:pt>
                <c:pt idx="71">
                  <c:v>27697.552172043004</c:v>
                </c:pt>
                <c:pt idx="72">
                  <c:v>30741.244020408165</c:v>
                </c:pt>
                <c:pt idx="73">
                  <c:v>34591.384417910456</c:v>
                </c:pt>
                <c:pt idx="74">
                  <c:v>34716.354640776706</c:v>
                </c:pt>
                <c:pt idx="75">
                  <c:v>29223.103240875909</c:v>
                </c:pt>
                <c:pt idx="76">
                  <c:v>24148.697218787638</c:v>
                </c:pt>
                <c:pt idx="77">
                  <c:v>33821.579694444445</c:v>
                </c:pt>
                <c:pt idx="78">
                  <c:v>30433.54378311499</c:v>
                </c:pt>
                <c:pt idx="79">
                  <c:v>25123.016623978201</c:v>
                </c:pt>
                <c:pt idx="80">
                  <c:v>22409.42284082625</c:v>
                </c:pt>
                <c:pt idx="81">
                  <c:v>27326.383736401673</c:v>
                </c:pt>
                <c:pt idx="82">
                  <c:v>24239.983424242422</c:v>
                </c:pt>
                <c:pt idx="83">
                  <c:v>29260.467085106386</c:v>
                </c:pt>
                <c:pt idx="84">
                  <c:v>29698.982302013421</c:v>
                </c:pt>
                <c:pt idx="85">
                  <c:v>31192.162089628677</c:v>
                </c:pt>
                <c:pt idx="86">
                  <c:v>27971.487231213872</c:v>
                </c:pt>
                <c:pt idx="87">
                  <c:v>32717.437191827466</c:v>
                </c:pt>
                <c:pt idx="88">
                  <c:v>25601.864110613526</c:v>
                </c:pt>
                <c:pt idx="89">
                  <c:v>26080.139647780928</c:v>
                </c:pt>
                <c:pt idx="90">
                  <c:v>29112.000566925533</c:v>
                </c:pt>
                <c:pt idx="91">
                  <c:v>20709.512752735231</c:v>
                </c:pt>
                <c:pt idx="92">
                  <c:v>17724.943015828838</c:v>
                </c:pt>
                <c:pt idx="93">
                  <c:v>12663.577102064799</c:v>
                </c:pt>
                <c:pt idx="94">
                  <c:v>13105.19044919786</c:v>
                </c:pt>
                <c:pt idx="95">
                  <c:v>13370.596780063557</c:v>
                </c:pt>
                <c:pt idx="96">
                  <c:v>11773.954726141079</c:v>
                </c:pt>
                <c:pt idx="97">
                  <c:v>10914.487234422801</c:v>
                </c:pt>
                <c:pt idx="98">
                  <c:v>10374.872488426285</c:v>
                </c:pt>
                <c:pt idx="99">
                  <c:v>9597.4023578064116</c:v>
                </c:pt>
                <c:pt idx="100">
                  <c:v>8083.1896370543545</c:v>
                </c:pt>
                <c:pt idx="101">
                  <c:v>9121.5612836839118</c:v>
                </c:pt>
                <c:pt idx="102">
                  <c:v>8453.3234148435331</c:v>
                </c:pt>
                <c:pt idx="103">
                  <c:v>6768.7705637149038</c:v>
                </c:pt>
                <c:pt idx="104">
                  <c:v>4712.6394111461595</c:v>
                </c:pt>
                <c:pt idx="105">
                  <c:v>3420.9222983891596</c:v>
                </c:pt>
                <c:pt idx="106">
                  <c:v>2412.8780077576657</c:v>
                </c:pt>
                <c:pt idx="107">
                  <c:v>3023.2615336109448</c:v>
                </c:pt>
                <c:pt idx="108">
                  <c:v>2402.9540510145603</c:v>
                </c:pt>
                <c:pt idx="109">
                  <c:v>2391.6270410164962</c:v>
                </c:pt>
                <c:pt idx="110">
                  <c:v>3370.6869575625692</c:v>
                </c:pt>
                <c:pt idx="111">
                  <c:v>4365.5023434624436</c:v>
                </c:pt>
                <c:pt idx="112">
                  <c:v>5811.304066363733</c:v>
                </c:pt>
                <c:pt idx="113">
                  <c:v>6331.136371888726</c:v>
                </c:pt>
                <c:pt idx="114">
                  <c:v>5880.4108686199424</c:v>
                </c:pt>
                <c:pt idx="115">
                  <c:v>9319.3738496517799</c:v>
                </c:pt>
                <c:pt idx="116">
                  <c:v>5618.8750519059204</c:v>
                </c:pt>
                <c:pt idx="117">
                  <c:v>5301.5250092350943</c:v>
                </c:pt>
                <c:pt idx="118">
                  <c:v>4366.583978782468</c:v>
                </c:pt>
                <c:pt idx="119">
                  <c:v>2105.9048739037198</c:v>
                </c:pt>
                <c:pt idx="120">
                  <c:v>-216.33949294700915</c:v>
                </c:pt>
                <c:pt idx="121">
                  <c:v>-1260.222220307408</c:v>
                </c:pt>
                <c:pt idx="122">
                  <c:v>5439.7140736633282</c:v>
                </c:pt>
                <c:pt idx="123">
                  <c:v>4496.4023824320784</c:v>
                </c:pt>
                <c:pt idx="124">
                  <c:v>4554.7966061615316</c:v>
                </c:pt>
                <c:pt idx="125">
                  <c:v>6506.8330095900237</c:v>
                </c:pt>
                <c:pt idx="126">
                  <c:v>2208.9700495540114</c:v>
                </c:pt>
                <c:pt idx="127">
                  <c:v>1157.1931739161773</c:v>
                </c:pt>
                <c:pt idx="128">
                  <c:v>3241.1755603858182</c:v>
                </c:pt>
                <c:pt idx="129">
                  <c:v>4640.382394553917</c:v>
                </c:pt>
                <c:pt idx="130">
                  <c:v>2903.3695348725914</c:v>
                </c:pt>
                <c:pt idx="131">
                  <c:v>8263.1674674121768</c:v>
                </c:pt>
                <c:pt idx="132">
                  <c:v>3664.4496928838971</c:v>
                </c:pt>
                <c:pt idx="133">
                  <c:v>1569.238343060139</c:v>
                </c:pt>
                <c:pt idx="134">
                  <c:v>2260.9612811646944</c:v>
                </c:pt>
                <c:pt idx="135">
                  <c:v>-851.12050916936323</c:v>
                </c:pt>
                <c:pt idx="136">
                  <c:v>-2080.4003330547425</c:v>
                </c:pt>
                <c:pt idx="137">
                  <c:v>-6004.2538791422994</c:v>
                </c:pt>
                <c:pt idx="138">
                  <c:v>-9253.2675286311569</c:v>
                </c:pt>
                <c:pt idx="139">
                  <c:v>-5193.4252246065826</c:v>
                </c:pt>
                <c:pt idx="140">
                  <c:v>-6037.6053805980828</c:v>
                </c:pt>
                <c:pt idx="141">
                  <c:v>-9968.3402460658072</c:v>
                </c:pt>
                <c:pt idx="142">
                  <c:v>-11573.153722222221</c:v>
                </c:pt>
                <c:pt idx="143">
                  <c:v>-10458.519459198216</c:v>
                </c:pt>
                <c:pt idx="144">
                  <c:v>-6392.7489203539808</c:v>
                </c:pt>
                <c:pt idx="145">
                  <c:v>-6838.457993814678</c:v>
                </c:pt>
                <c:pt idx="146">
                  <c:v>-6194.3803899591348</c:v>
                </c:pt>
                <c:pt idx="147">
                  <c:v>-5440.8976571428584</c:v>
                </c:pt>
                <c:pt idx="148">
                  <c:v>-4172.3784563758391</c:v>
                </c:pt>
                <c:pt idx="149">
                  <c:v>-3839.3036562328416</c:v>
                </c:pt>
                <c:pt idx="150">
                  <c:v>-7959.7091628156904</c:v>
                </c:pt>
                <c:pt idx="151">
                  <c:v>-8037.7708361344557</c:v>
                </c:pt>
                <c:pt idx="152">
                  <c:v>-9253.5249184726508</c:v>
                </c:pt>
                <c:pt idx="153">
                  <c:v>-9687.3949934376597</c:v>
                </c:pt>
                <c:pt idx="154">
                  <c:v>-8626.9543366336638</c:v>
                </c:pt>
                <c:pt idx="155">
                  <c:v>-7689.382901018922</c:v>
                </c:pt>
                <c:pt idx="156">
                  <c:v>-10201.130159695815</c:v>
                </c:pt>
                <c:pt idx="157">
                  <c:v>-9969.4380557253698</c:v>
                </c:pt>
                <c:pt idx="158">
                  <c:v>-12691.473023310024</c:v>
                </c:pt>
                <c:pt idx="159">
                  <c:v>-1440.0768168168161</c:v>
                </c:pt>
                <c:pt idx="160">
                  <c:v>-1873.905052809464</c:v>
                </c:pt>
                <c:pt idx="161">
                  <c:v>1554.2583969179523</c:v>
                </c:pt>
                <c:pt idx="162">
                  <c:v>-391.95792332968449</c:v>
                </c:pt>
                <c:pt idx="163">
                  <c:v>399.23861682243205</c:v>
                </c:pt>
                <c:pt idx="164">
                  <c:v>-528.23029661941109</c:v>
                </c:pt>
                <c:pt idx="165">
                  <c:v>-6714.4721926414413</c:v>
                </c:pt>
                <c:pt idx="166">
                  <c:v>-8255.7022273669663</c:v>
                </c:pt>
                <c:pt idx="167">
                  <c:v>-4491.7471875215451</c:v>
                </c:pt>
                <c:pt idx="168">
                  <c:v>-8681.1759982668973</c:v>
                </c:pt>
                <c:pt idx="169">
                  <c:v>-8456.3855780969516</c:v>
                </c:pt>
                <c:pt idx="170">
                  <c:v>-7914.5258239564446</c:v>
                </c:pt>
                <c:pt idx="171">
                  <c:v>-6151.2083184276962</c:v>
                </c:pt>
                <c:pt idx="172">
                  <c:v>-3197.9472130388313</c:v>
                </c:pt>
              </c:numCache>
            </c:numRef>
          </c:val>
          <c:extLst>
            <c:ext xmlns:c16="http://schemas.microsoft.com/office/drawing/2014/chart" uri="{C3380CC4-5D6E-409C-BE32-E72D297353CC}">
              <c16:uniqueId val="{00000000-29CD-415A-B505-32B25570C428}"/>
            </c:ext>
          </c:extLst>
        </c:ser>
        <c:ser>
          <c:idx val="1"/>
          <c:order val="1"/>
          <c:tx>
            <c:strRef>
              <c:f>'Net reserves'!$A$13</c:f>
              <c:strCache>
                <c:ptCount val="1"/>
                <c:pt idx="0">
                  <c:v>Repos</c:v>
                </c:pt>
              </c:strCache>
            </c:strRef>
          </c:tx>
          <c:spPr>
            <a:solidFill>
              <a:schemeClr val="tx1">
                <a:alpha val="16000"/>
              </a:schemeClr>
            </a:solidFill>
            <a:ln w="12700">
              <a:noFill/>
              <a:prstDash val="solid"/>
            </a:ln>
            <a:effectLst/>
          </c:spPr>
          <c:cat>
            <c:numRef>
              <c:f>'Net reserves'!$H$10:$FX$10</c:f>
              <c:numCache>
                <c:formatCode>mmm\-yy</c:formatCode>
                <c:ptCount val="173"/>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pt idx="14">
                  <c:v>41334</c:v>
                </c:pt>
                <c:pt idx="15">
                  <c:v>41365</c:v>
                </c:pt>
                <c:pt idx="16">
                  <c:v>41395</c:v>
                </c:pt>
                <c:pt idx="17">
                  <c:v>41426</c:v>
                </c:pt>
                <c:pt idx="18">
                  <c:v>41456</c:v>
                </c:pt>
                <c:pt idx="19">
                  <c:v>41487</c:v>
                </c:pt>
                <c:pt idx="20">
                  <c:v>41518</c:v>
                </c:pt>
                <c:pt idx="21">
                  <c:v>41548</c:v>
                </c:pt>
                <c:pt idx="22">
                  <c:v>41579</c:v>
                </c:pt>
                <c:pt idx="23">
                  <c:v>41609</c:v>
                </c:pt>
                <c:pt idx="24">
                  <c:v>41640</c:v>
                </c:pt>
                <c:pt idx="25">
                  <c:v>41671</c:v>
                </c:pt>
                <c:pt idx="26">
                  <c:v>41699</c:v>
                </c:pt>
                <c:pt idx="27">
                  <c:v>41730</c:v>
                </c:pt>
                <c:pt idx="28">
                  <c:v>41760</c:v>
                </c:pt>
                <c:pt idx="29">
                  <c:v>41791</c:v>
                </c:pt>
                <c:pt idx="30">
                  <c:v>41821</c:v>
                </c:pt>
                <c:pt idx="31">
                  <c:v>41852</c:v>
                </c:pt>
                <c:pt idx="32">
                  <c:v>41883</c:v>
                </c:pt>
                <c:pt idx="33">
                  <c:v>41913</c:v>
                </c:pt>
                <c:pt idx="34">
                  <c:v>41944</c:v>
                </c:pt>
                <c:pt idx="35">
                  <c:v>41974</c:v>
                </c:pt>
                <c:pt idx="36">
                  <c:v>42005</c:v>
                </c:pt>
                <c:pt idx="37">
                  <c:v>42036</c:v>
                </c:pt>
                <c:pt idx="38">
                  <c:v>42064</c:v>
                </c:pt>
                <c:pt idx="39">
                  <c:v>42095</c:v>
                </c:pt>
                <c:pt idx="40">
                  <c:v>42125</c:v>
                </c:pt>
                <c:pt idx="41">
                  <c:v>42156</c:v>
                </c:pt>
                <c:pt idx="42">
                  <c:v>42186</c:v>
                </c:pt>
                <c:pt idx="43">
                  <c:v>42217</c:v>
                </c:pt>
                <c:pt idx="44">
                  <c:v>42248</c:v>
                </c:pt>
                <c:pt idx="45">
                  <c:v>42278</c:v>
                </c:pt>
                <c:pt idx="46">
                  <c:v>42309</c:v>
                </c:pt>
                <c:pt idx="47">
                  <c:v>42339</c:v>
                </c:pt>
                <c:pt idx="48">
                  <c:v>42370</c:v>
                </c:pt>
                <c:pt idx="49">
                  <c:v>42401</c:v>
                </c:pt>
                <c:pt idx="50">
                  <c:v>42430</c:v>
                </c:pt>
                <c:pt idx="51">
                  <c:v>42461</c:v>
                </c:pt>
                <c:pt idx="52">
                  <c:v>42491</c:v>
                </c:pt>
                <c:pt idx="53">
                  <c:v>42522</c:v>
                </c:pt>
                <c:pt idx="54">
                  <c:v>42552</c:v>
                </c:pt>
                <c:pt idx="55">
                  <c:v>42583</c:v>
                </c:pt>
                <c:pt idx="56">
                  <c:v>42614</c:v>
                </c:pt>
                <c:pt idx="57">
                  <c:v>42644</c:v>
                </c:pt>
                <c:pt idx="58">
                  <c:v>42675</c:v>
                </c:pt>
                <c:pt idx="59">
                  <c:v>42705</c:v>
                </c:pt>
                <c:pt idx="60">
                  <c:v>42736</c:v>
                </c:pt>
                <c:pt idx="61">
                  <c:v>42767</c:v>
                </c:pt>
                <c:pt idx="62">
                  <c:v>42795</c:v>
                </c:pt>
                <c:pt idx="63">
                  <c:v>42826</c:v>
                </c:pt>
                <c:pt idx="64">
                  <c:v>42856</c:v>
                </c:pt>
                <c:pt idx="65">
                  <c:v>42887</c:v>
                </c:pt>
                <c:pt idx="66">
                  <c:v>42917</c:v>
                </c:pt>
                <c:pt idx="67">
                  <c:v>42948</c:v>
                </c:pt>
                <c:pt idx="68">
                  <c:v>42979</c:v>
                </c:pt>
                <c:pt idx="69">
                  <c:v>43009</c:v>
                </c:pt>
                <c:pt idx="70">
                  <c:v>43040</c:v>
                </c:pt>
                <c:pt idx="71">
                  <c:v>43070</c:v>
                </c:pt>
                <c:pt idx="72">
                  <c:v>43101</c:v>
                </c:pt>
                <c:pt idx="73">
                  <c:v>43132</c:v>
                </c:pt>
                <c:pt idx="74">
                  <c:v>43160</c:v>
                </c:pt>
                <c:pt idx="75">
                  <c:v>43191</c:v>
                </c:pt>
                <c:pt idx="76">
                  <c:v>43221</c:v>
                </c:pt>
                <c:pt idx="77">
                  <c:v>43252</c:v>
                </c:pt>
                <c:pt idx="78">
                  <c:v>43282</c:v>
                </c:pt>
                <c:pt idx="79">
                  <c:v>43313</c:v>
                </c:pt>
                <c:pt idx="80">
                  <c:v>43344</c:v>
                </c:pt>
                <c:pt idx="81">
                  <c:v>43374</c:v>
                </c:pt>
                <c:pt idx="82">
                  <c:v>43405</c:v>
                </c:pt>
                <c:pt idx="83">
                  <c:v>43435</c:v>
                </c:pt>
                <c:pt idx="84">
                  <c:v>43466</c:v>
                </c:pt>
                <c:pt idx="85">
                  <c:v>43497</c:v>
                </c:pt>
                <c:pt idx="86">
                  <c:v>43525</c:v>
                </c:pt>
                <c:pt idx="87">
                  <c:v>43556</c:v>
                </c:pt>
                <c:pt idx="88">
                  <c:v>43586</c:v>
                </c:pt>
                <c:pt idx="89">
                  <c:v>43617</c:v>
                </c:pt>
                <c:pt idx="90">
                  <c:v>43647</c:v>
                </c:pt>
                <c:pt idx="91">
                  <c:v>43678</c:v>
                </c:pt>
                <c:pt idx="92">
                  <c:v>43709</c:v>
                </c:pt>
                <c:pt idx="93">
                  <c:v>43739</c:v>
                </c:pt>
                <c:pt idx="94">
                  <c:v>43770</c:v>
                </c:pt>
                <c:pt idx="95">
                  <c:v>43800</c:v>
                </c:pt>
                <c:pt idx="96">
                  <c:v>43831</c:v>
                </c:pt>
                <c:pt idx="97">
                  <c:v>43862</c:v>
                </c:pt>
                <c:pt idx="98">
                  <c:v>43891</c:v>
                </c:pt>
                <c:pt idx="99">
                  <c:v>43922</c:v>
                </c:pt>
                <c:pt idx="100">
                  <c:v>43952</c:v>
                </c:pt>
                <c:pt idx="101">
                  <c:v>43983</c:v>
                </c:pt>
                <c:pt idx="102">
                  <c:v>44013</c:v>
                </c:pt>
                <c:pt idx="103">
                  <c:v>44044</c:v>
                </c:pt>
                <c:pt idx="104">
                  <c:v>44075</c:v>
                </c:pt>
                <c:pt idx="105">
                  <c:v>44105</c:v>
                </c:pt>
                <c:pt idx="106">
                  <c:v>44136</c:v>
                </c:pt>
                <c:pt idx="107">
                  <c:v>44166</c:v>
                </c:pt>
                <c:pt idx="108">
                  <c:v>44197</c:v>
                </c:pt>
                <c:pt idx="109">
                  <c:v>44228</c:v>
                </c:pt>
                <c:pt idx="110">
                  <c:v>44256</c:v>
                </c:pt>
                <c:pt idx="111">
                  <c:v>44287</c:v>
                </c:pt>
                <c:pt idx="112">
                  <c:v>44317</c:v>
                </c:pt>
                <c:pt idx="113">
                  <c:v>44348</c:v>
                </c:pt>
                <c:pt idx="114">
                  <c:v>44378</c:v>
                </c:pt>
                <c:pt idx="115">
                  <c:v>44409</c:v>
                </c:pt>
                <c:pt idx="116">
                  <c:v>44440</c:v>
                </c:pt>
                <c:pt idx="117">
                  <c:v>44470</c:v>
                </c:pt>
                <c:pt idx="118">
                  <c:v>44501</c:v>
                </c:pt>
                <c:pt idx="119">
                  <c:v>44531</c:v>
                </c:pt>
                <c:pt idx="120">
                  <c:v>44562</c:v>
                </c:pt>
                <c:pt idx="121">
                  <c:v>44593</c:v>
                </c:pt>
                <c:pt idx="122">
                  <c:v>44621</c:v>
                </c:pt>
                <c:pt idx="123">
                  <c:v>44652</c:v>
                </c:pt>
                <c:pt idx="124">
                  <c:v>44682</c:v>
                </c:pt>
                <c:pt idx="125">
                  <c:v>44713</c:v>
                </c:pt>
                <c:pt idx="126">
                  <c:v>44743</c:v>
                </c:pt>
                <c:pt idx="127">
                  <c:v>44774</c:v>
                </c:pt>
                <c:pt idx="128">
                  <c:v>44805</c:v>
                </c:pt>
                <c:pt idx="129">
                  <c:v>44835</c:v>
                </c:pt>
                <c:pt idx="130">
                  <c:v>44866</c:v>
                </c:pt>
                <c:pt idx="131">
                  <c:v>44896</c:v>
                </c:pt>
                <c:pt idx="132">
                  <c:v>44927</c:v>
                </c:pt>
                <c:pt idx="133">
                  <c:v>44958</c:v>
                </c:pt>
                <c:pt idx="134">
                  <c:v>44986</c:v>
                </c:pt>
                <c:pt idx="135">
                  <c:v>45017</c:v>
                </c:pt>
                <c:pt idx="136">
                  <c:v>45047</c:v>
                </c:pt>
                <c:pt idx="137">
                  <c:v>45078</c:v>
                </c:pt>
                <c:pt idx="138">
                  <c:v>45108</c:v>
                </c:pt>
                <c:pt idx="139">
                  <c:v>45139</c:v>
                </c:pt>
                <c:pt idx="140">
                  <c:v>45170</c:v>
                </c:pt>
                <c:pt idx="141">
                  <c:v>45200</c:v>
                </c:pt>
                <c:pt idx="142">
                  <c:v>45231</c:v>
                </c:pt>
                <c:pt idx="143">
                  <c:v>45261</c:v>
                </c:pt>
                <c:pt idx="144">
                  <c:v>45292</c:v>
                </c:pt>
                <c:pt idx="145">
                  <c:v>45323</c:v>
                </c:pt>
                <c:pt idx="146">
                  <c:v>45352</c:v>
                </c:pt>
                <c:pt idx="147">
                  <c:v>45383</c:v>
                </c:pt>
                <c:pt idx="148">
                  <c:v>45413</c:v>
                </c:pt>
                <c:pt idx="149">
                  <c:v>45444</c:v>
                </c:pt>
                <c:pt idx="150">
                  <c:v>45474</c:v>
                </c:pt>
                <c:pt idx="151">
                  <c:v>45505</c:v>
                </c:pt>
                <c:pt idx="152">
                  <c:v>45536</c:v>
                </c:pt>
                <c:pt idx="153">
                  <c:v>45566</c:v>
                </c:pt>
                <c:pt idx="154">
                  <c:v>45597</c:v>
                </c:pt>
                <c:pt idx="155">
                  <c:v>45627</c:v>
                </c:pt>
                <c:pt idx="156">
                  <c:v>45658</c:v>
                </c:pt>
                <c:pt idx="157">
                  <c:v>45689</c:v>
                </c:pt>
                <c:pt idx="158">
                  <c:v>45717</c:v>
                </c:pt>
                <c:pt idx="159">
                  <c:v>45748</c:v>
                </c:pt>
                <c:pt idx="160">
                  <c:v>45778</c:v>
                </c:pt>
                <c:pt idx="161">
                  <c:v>45809</c:v>
                </c:pt>
                <c:pt idx="162">
                  <c:v>45839</c:v>
                </c:pt>
                <c:pt idx="163">
                  <c:v>45870</c:v>
                </c:pt>
                <c:pt idx="164">
                  <c:v>45901</c:v>
                </c:pt>
                <c:pt idx="165">
                  <c:v>45931</c:v>
                </c:pt>
                <c:pt idx="166">
                  <c:v>45962</c:v>
                </c:pt>
                <c:pt idx="167">
                  <c:v>45992</c:v>
                </c:pt>
                <c:pt idx="168">
                  <c:v>46023</c:v>
                </c:pt>
                <c:pt idx="169">
                  <c:v>46054</c:v>
                </c:pt>
                <c:pt idx="170">
                  <c:v>46082</c:v>
                </c:pt>
                <c:pt idx="171">
                  <c:v>46113</c:v>
                </c:pt>
                <c:pt idx="172">
                  <c:v>46143</c:v>
                </c:pt>
              </c:numCache>
            </c:numRef>
          </c:cat>
          <c:val>
            <c:numRef>
              <c:f>'Net reserves'!$H$13:$FX$13</c:f>
              <c:numCache>
                <c:formatCode>0.000</c:formatCode>
                <c:ptCount val="173"/>
                <c:pt idx="0" formatCode="_(* #,##0.00_);_(* \(#,##0.00\);_(* &quot;-&quot;??_);_(@_)">
                  <c:v>946.60299999999995</c:v>
                </c:pt>
                <c:pt idx="1">
                  <c:v>966.99</c:v>
                </c:pt>
                <c:pt idx="2">
                  <c:v>881.43100000000004</c:v>
                </c:pt>
                <c:pt idx="3">
                  <c:v>860.15200000000004</c:v>
                </c:pt>
                <c:pt idx="4">
                  <c:v>911.31</c:v>
                </c:pt>
                <c:pt idx="5">
                  <c:v>946.47199999999998</c:v>
                </c:pt>
                <c:pt idx="6">
                  <c:v>957.15700000000004</c:v>
                </c:pt>
                <c:pt idx="7">
                  <c:v>951.10199999999998</c:v>
                </c:pt>
                <c:pt idx="8">
                  <c:v>755.91</c:v>
                </c:pt>
                <c:pt idx="9">
                  <c:v>931.53499999999997</c:v>
                </c:pt>
                <c:pt idx="10">
                  <c:v>915.779</c:v>
                </c:pt>
                <c:pt idx="11">
                  <c:v>931.85699999999997</c:v>
                </c:pt>
                <c:pt idx="12">
                  <c:v>789.19200000000001</c:v>
                </c:pt>
                <c:pt idx="13">
                  <c:v>1044.201</c:v>
                </c:pt>
                <c:pt idx="14">
                  <c:v>860.12800000000004</c:v>
                </c:pt>
                <c:pt idx="15">
                  <c:v>1012.607</c:v>
                </c:pt>
                <c:pt idx="16">
                  <c:v>1037.4839999999999</c:v>
                </c:pt>
                <c:pt idx="17">
                  <c:v>960.81799999999998</c:v>
                </c:pt>
                <c:pt idx="18">
                  <c:v>983.05399999999997</c:v>
                </c:pt>
                <c:pt idx="19">
                  <c:v>997.76800000000003</c:v>
                </c:pt>
                <c:pt idx="20">
                  <c:v>1001.026</c:v>
                </c:pt>
                <c:pt idx="21">
                  <c:v>997.55</c:v>
                </c:pt>
                <c:pt idx="22">
                  <c:v>946.98500000000001</c:v>
                </c:pt>
                <c:pt idx="23">
                  <c:v>1046.0640000000001</c:v>
                </c:pt>
                <c:pt idx="24">
                  <c:v>977.45399999999995</c:v>
                </c:pt>
                <c:pt idx="25">
                  <c:v>1016.703</c:v>
                </c:pt>
                <c:pt idx="26">
                  <c:v>1015.023</c:v>
                </c:pt>
                <c:pt idx="27">
                  <c:v>995.93600000000004</c:v>
                </c:pt>
                <c:pt idx="28">
                  <c:v>1010.849</c:v>
                </c:pt>
                <c:pt idx="29">
                  <c:v>1066.2719999999999</c:v>
                </c:pt>
                <c:pt idx="30">
                  <c:v>1074.087</c:v>
                </c:pt>
                <c:pt idx="31">
                  <c:v>947.58500000000004</c:v>
                </c:pt>
                <c:pt idx="32">
                  <c:v>966.4</c:v>
                </c:pt>
                <c:pt idx="33">
                  <c:v>1806.8</c:v>
                </c:pt>
                <c:pt idx="34">
                  <c:v>2534.77</c:v>
                </c:pt>
                <c:pt idx="35">
                  <c:v>3539.6210000000001</c:v>
                </c:pt>
                <c:pt idx="36">
                  <c:v>4384.6859999999997</c:v>
                </c:pt>
                <c:pt idx="37">
                  <c:v>4605.12</c:v>
                </c:pt>
                <c:pt idx="38">
                  <c:v>6323.88</c:v>
                </c:pt>
                <c:pt idx="39">
                  <c:v>7387.5870000000004</c:v>
                </c:pt>
                <c:pt idx="40">
                  <c:v>8032.65</c:v>
                </c:pt>
                <c:pt idx="41">
                  <c:v>9029.152</c:v>
                </c:pt>
                <c:pt idx="42">
                  <c:v>9051.3989999999994</c:v>
                </c:pt>
                <c:pt idx="43">
                  <c:v>11073.554</c:v>
                </c:pt>
                <c:pt idx="44">
                  <c:v>12119.123</c:v>
                </c:pt>
                <c:pt idx="45">
                  <c:v>12167.887000000001</c:v>
                </c:pt>
                <c:pt idx="46">
                  <c:v>12024.418</c:v>
                </c:pt>
                <c:pt idx="47">
                  <c:v>11855.968000000001</c:v>
                </c:pt>
                <c:pt idx="48">
                  <c:v>16647.13</c:v>
                </c:pt>
                <c:pt idx="49">
                  <c:v>16749.713</c:v>
                </c:pt>
                <c:pt idx="50">
                  <c:v>16923.009999999998</c:v>
                </c:pt>
                <c:pt idx="51">
                  <c:v>16793.02</c:v>
                </c:pt>
                <c:pt idx="52">
                  <c:v>16627.52</c:v>
                </c:pt>
                <c:pt idx="53">
                  <c:v>16627.708999999999</c:v>
                </c:pt>
                <c:pt idx="54">
                  <c:v>12587.683000000001</c:v>
                </c:pt>
                <c:pt idx="55">
                  <c:v>12515.293</c:v>
                </c:pt>
                <c:pt idx="56">
                  <c:v>12609.707</c:v>
                </c:pt>
                <c:pt idx="57">
                  <c:v>12448.271000000001</c:v>
                </c:pt>
                <c:pt idx="58">
                  <c:v>12381.31</c:v>
                </c:pt>
                <c:pt idx="59">
                  <c:v>11356.553</c:v>
                </c:pt>
                <c:pt idx="60">
                  <c:v>11446.907999999999</c:v>
                </c:pt>
                <c:pt idx="61">
                  <c:v>11468.630999999999</c:v>
                </c:pt>
                <c:pt idx="62">
                  <c:v>11449.512000000001</c:v>
                </c:pt>
                <c:pt idx="63">
                  <c:v>11431.428</c:v>
                </c:pt>
                <c:pt idx="64">
                  <c:v>11542.815000000001</c:v>
                </c:pt>
                <c:pt idx="65">
                  <c:v>11598.343000000001</c:v>
                </c:pt>
                <c:pt idx="66">
                  <c:v>11685.476000000001</c:v>
                </c:pt>
                <c:pt idx="67">
                  <c:v>11888.378000000001</c:v>
                </c:pt>
                <c:pt idx="68">
                  <c:v>11824.723</c:v>
                </c:pt>
                <c:pt idx="69">
                  <c:v>11825.583000000001</c:v>
                </c:pt>
                <c:pt idx="70">
                  <c:v>11865.606</c:v>
                </c:pt>
                <c:pt idx="71">
                  <c:v>12032.361000000001</c:v>
                </c:pt>
                <c:pt idx="72">
                  <c:v>12402.424000000001</c:v>
                </c:pt>
                <c:pt idx="73">
                  <c:v>12170.543</c:v>
                </c:pt>
                <c:pt idx="74">
                  <c:v>12228.329</c:v>
                </c:pt>
                <c:pt idx="75">
                  <c:v>12167.77</c:v>
                </c:pt>
                <c:pt idx="76">
                  <c:v>12007.273999999999</c:v>
                </c:pt>
                <c:pt idx="77">
                  <c:v>11661.584999999999</c:v>
                </c:pt>
                <c:pt idx="78">
                  <c:v>11352.554</c:v>
                </c:pt>
                <c:pt idx="79">
                  <c:v>11325.163</c:v>
                </c:pt>
                <c:pt idx="80">
                  <c:v>11268.816000000001</c:v>
                </c:pt>
                <c:pt idx="81">
                  <c:v>11111.709000000001</c:v>
                </c:pt>
                <c:pt idx="82">
                  <c:v>11161.65</c:v>
                </c:pt>
                <c:pt idx="83">
                  <c:v>19978.878000000001</c:v>
                </c:pt>
                <c:pt idx="84">
                  <c:v>20481.652999999998</c:v>
                </c:pt>
                <c:pt idx="85">
                  <c:v>20499.167000000001</c:v>
                </c:pt>
                <c:pt idx="86">
                  <c:v>20446.78</c:v>
                </c:pt>
                <c:pt idx="87">
                  <c:v>20381.349999999999</c:v>
                </c:pt>
                <c:pt idx="88">
                  <c:v>19909.363000000001</c:v>
                </c:pt>
                <c:pt idx="89">
                  <c:v>20017.776000000002</c:v>
                </c:pt>
                <c:pt idx="90">
                  <c:v>19971.689999999999</c:v>
                </c:pt>
                <c:pt idx="91">
                  <c:v>19256.612000000001</c:v>
                </c:pt>
                <c:pt idx="92">
                  <c:v>19279.75</c:v>
                </c:pt>
                <c:pt idx="93">
                  <c:v>19566.439999999999</c:v>
                </c:pt>
                <c:pt idx="94">
                  <c:v>19590.718000000001</c:v>
                </c:pt>
                <c:pt idx="95">
                  <c:v>19831.921999999999</c:v>
                </c:pt>
                <c:pt idx="96">
                  <c:v>20030.636999999999</c:v>
                </c:pt>
                <c:pt idx="97">
                  <c:v>20093.460999999999</c:v>
                </c:pt>
                <c:pt idx="98">
                  <c:v>19914.538</c:v>
                </c:pt>
                <c:pt idx="99">
                  <c:v>19745.506000000001</c:v>
                </c:pt>
                <c:pt idx="100">
                  <c:v>19828.904999999999</c:v>
                </c:pt>
                <c:pt idx="101">
                  <c:v>20057.482</c:v>
                </c:pt>
                <c:pt idx="102">
                  <c:v>20295.344000000001</c:v>
                </c:pt>
                <c:pt idx="103">
                  <c:v>20741.072</c:v>
                </c:pt>
                <c:pt idx="104">
                  <c:v>20902.346000000001</c:v>
                </c:pt>
                <c:pt idx="105">
                  <c:v>21187.188999999998</c:v>
                </c:pt>
                <c:pt idx="106">
                  <c:v>21519.96</c:v>
                </c:pt>
                <c:pt idx="107">
                  <c:v>21676.752</c:v>
                </c:pt>
                <c:pt idx="108">
                  <c:v>21983.675999999999</c:v>
                </c:pt>
                <c:pt idx="109">
                  <c:v>21842.288</c:v>
                </c:pt>
                <c:pt idx="110">
                  <c:v>21599.796999999999</c:v>
                </c:pt>
                <c:pt idx="111">
                  <c:v>21838.749</c:v>
                </c:pt>
                <c:pt idx="112">
                  <c:v>22168.657999999999</c:v>
                </c:pt>
                <c:pt idx="113">
                  <c:v>21894.092000000001</c:v>
                </c:pt>
                <c:pt idx="114">
                  <c:v>21880.973999999998</c:v>
                </c:pt>
                <c:pt idx="115">
                  <c:v>21883.883000000002</c:v>
                </c:pt>
                <c:pt idx="116">
                  <c:v>21934.264999999999</c:v>
                </c:pt>
                <c:pt idx="117">
                  <c:v>22056.955999999998</c:v>
                </c:pt>
                <c:pt idx="118">
                  <c:v>22187.703000000001</c:v>
                </c:pt>
                <c:pt idx="119">
                  <c:v>22214.169000000002</c:v>
                </c:pt>
                <c:pt idx="120">
                  <c:v>22197.311000000002</c:v>
                </c:pt>
                <c:pt idx="121">
                  <c:v>22337.167000000001</c:v>
                </c:pt>
                <c:pt idx="122">
                  <c:v>22263.093000000001</c:v>
                </c:pt>
                <c:pt idx="123">
                  <c:v>21429.756000000001</c:v>
                </c:pt>
                <c:pt idx="124">
                  <c:v>21244.647000000001</c:v>
                </c:pt>
                <c:pt idx="125">
                  <c:v>21162.987000000001</c:v>
                </c:pt>
                <c:pt idx="126">
                  <c:v>21036.291000000001</c:v>
                </c:pt>
                <c:pt idx="127">
                  <c:v>20630.434000000001</c:v>
                </c:pt>
                <c:pt idx="128">
                  <c:v>20035.154999999999</c:v>
                </c:pt>
                <c:pt idx="129">
                  <c:v>19562.865000000002</c:v>
                </c:pt>
                <c:pt idx="130">
                  <c:v>20098.579000000002</c:v>
                </c:pt>
                <c:pt idx="131">
                  <c:v>20624.513999999999</c:v>
                </c:pt>
                <c:pt idx="132">
                  <c:v>21036.054</c:v>
                </c:pt>
                <c:pt idx="133">
                  <c:v>20548.803</c:v>
                </c:pt>
                <c:pt idx="134">
                  <c:v>20743.813000000002</c:v>
                </c:pt>
                <c:pt idx="135">
                  <c:v>20657.850999999999</c:v>
                </c:pt>
                <c:pt idx="136">
                  <c:v>20161.339</c:v>
                </c:pt>
                <c:pt idx="137">
                  <c:v>19815.797999999999</c:v>
                </c:pt>
                <c:pt idx="138">
                  <c:v>20037.231</c:v>
                </c:pt>
                <c:pt idx="139">
                  <c:v>19776.272000000001</c:v>
                </c:pt>
                <c:pt idx="140">
                  <c:v>19709.003000000001</c:v>
                </c:pt>
                <c:pt idx="141">
                  <c:v>19694.37</c:v>
                </c:pt>
                <c:pt idx="142">
                  <c:v>20179.53</c:v>
                </c:pt>
                <c:pt idx="143">
                  <c:v>20301.095000000001</c:v>
                </c:pt>
                <c:pt idx="144">
                  <c:v>20156.565999999999</c:v>
                </c:pt>
                <c:pt idx="145">
                  <c:v>20136.964</c:v>
                </c:pt>
                <c:pt idx="146">
                  <c:v>20069.249</c:v>
                </c:pt>
                <c:pt idx="147">
                  <c:v>20062.733</c:v>
                </c:pt>
                <c:pt idx="148">
                  <c:v>20092.802</c:v>
                </c:pt>
                <c:pt idx="149">
                  <c:v>19910.633000000002</c:v>
                </c:pt>
                <c:pt idx="150">
                  <c:v>19945.144</c:v>
                </c:pt>
                <c:pt idx="151">
                  <c:v>20301.026000000002</c:v>
                </c:pt>
                <c:pt idx="152">
                  <c:v>20515.331999999999</c:v>
                </c:pt>
                <c:pt idx="153">
                  <c:v>20298.311000000002</c:v>
                </c:pt>
                <c:pt idx="154">
                  <c:v>19976.345000000001</c:v>
                </c:pt>
                <c:pt idx="155">
                  <c:v>19842.673999999999</c:v>
                </c:pt>
                <c:pt idx="156">
                  <c:v>20074.885999999999</c:v>
                </c:pt>
                <c:pt idx="157">
                  <c:v>20003.816999999999</c:v>
                </c:pt>
                <c:pt idx="158">
                  <c:v>20061.931</c:v>
                </c:pt>
                <c:pt idx="159">
                  <c:v>20032.173999999999</c:v>
                </c:pt>
                <c:pt idx="160">
                  <c:v>20213.882000000001</c:v>
                </c:pt>
                <c:pt idx="161">
                  <c:v>20439.297999999999</c:v>
                </c:pt>
                <c:pt idx="162">
                  <c:v>20366.042000000001</c:v>
                </c:pt>
                <c:pt idx="163">
                  <c:v>20549.654999999999</c:v>
                </c:pt>
                <c:pt idx="164">
                  <c:v>20575.036</c:v>
                </c:pt>
                <c:pt idx="165">
                  <c:v>24088.830999999998</c:v>
                </c:pt>
                <c:pt idx="166">
                  <c:v>24195.7</c:v>
                </c:pt>
                <c:pt idx="167">
                  <c:v>21914.429</c:v>
                </c:pt>
                <c:pt idx="168">
                  <c:v>26209.463</c:v>
                </c:pt>
                <c:pt idx="169">
                  <c:v>26451.827000000001</c:v>
                </c:pt>
                <c:pt idx="170">
                  <c:v>26363.468000000001</c:v>
                </c:pt>
                <c:pt idx="171">
                  <c:v>27442.845000000001</c:v>
                </c:pt>
                <c:pt idx="172">
                  <c:v>27600.838</c:v>
                </c:pt>
              </c:numCache>
            </c:numRef>
          </c:val>
          <c:extLst>
            <c:ext xmlns:c16="http://schemas.microsoft.com/office/drawing/2014/chart" uri="{C3380CC4-5D6E-409C-BE32-E72D297353CC}">
              <c16:uniqueId val="{00000001-29CD-415A-B505-32B25570C428}"/>
            </c:ext>
          </c:extLst>
        </c:ser>
        <c:ser>
          <c:idx val="2"/>
          <c:order val="2"/>
          <c:tx>
            <c:strRef>
              <c:f>'Net reserves'!$A$14</c:f>
              <c:strCache>
                <c:ptCount val="1"/>
                <c:pt idx="0">
                  <c:v>Private USD deposits</c:v>
                </c:pt>
              </c:strCache>
            </c:strRef>
          </c:tx>
          <c:spPr>
            <a:solidFill>
              <a:srgbClr val="ADC8E9"/>
            </a:solidFill>
            <a:ln w="12700">
              <a:noFill/>
              <a:prstDash val="solid"/>
            </a:ln>
            <a:effectLst/>
          </c:spPr>
          <c:cat>
            <c:numRef>
              <c:f>'Net reserves'!$H$10:$FX$10</c:f>
              <c:numCache>
                <c:formatCode>mmm\-yy</c:formatCode>
                <c:ptCount val="173"/>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pt idx="14">
                  <c:v>41334</c:v>
                </c:pt>
                <c:pt idx="15">
                  <c:v>41365</c:v>
                </c:pt>
                <c:pt idx="16">
                  <c:v>41395</c:v>
                </c:pt>
                <c:pt idx="17">
                  <c:v>41426</c:v>
                </c:pt>
                <c:pt idx="18">
                  <c:v>41456</c:v>
                </c:pt>
                <c:pt idx="19">
                  <c:v>41487</c:v>
                </c:pt>
                <c:pt idx="20">
                  <c:v>41518</c:v>
                </c:pt>
                <c:pt idx="21">
                  <c:v>41548</c:v>
                </c:pt>
                <c:pt idx="22">
                  <c:v>41579</c:v>
                </c:pt>
                <c:pt idx="23">
                  <c:v>41609</c:v>
                </c:pt>
                <c:pt idx="24">
                  <c:v>41640</c:v>
                </c:pt>
                <c:pt idx="25">
                  <c:v>41671</c:v>
                </c:pt>
                <c:pt idx="26">
                  <c:v>41699</c:v>
                </c:pt>
                <c:pt idx="27">
                  <c:v>41730</c:v>
                </c:pt>
                <c:pt idx="28">
                  <c:v>41760</c:v>
                </c:pt>
                <c:pt idx="29">
                  <c:v>41791</c:v>
                </c:pt>
                <c:pt idx="30">
                  <c:v>41821</c:v>
                </c:pt>
                <c:pt idx="31">
                  <c:v>41852</c:v>
                </c:pt>
                <c:pt idx="32">
                  <c:v>41883</c:v>
                </c:pt>
                <c:pt idx="33">
                  <c:v>41913</c:v>
                </c:pt>
                <c:pt idx="34">
                  <c:v>41944</c:v>
                </c:pt>
                <c:pt idx="35">
                  <c:v>41974</c:v>
                </c:pt>
                <c:pt idx="36">
                  <c:v>42005</c:v>
                </c:pt>
                <c:pt idx="37">
                  <c:v>42036</c:v>
                </c:pt>
                <c:pt idx="38">
                  <c:v>42064</c:v>
                </c:pt>
                <c:pt idx="39">
                  <c:v>42095</c:v>
                </c:pt>
                <c:pt idx="40">
                  <c:v>42125</c:v>
                </c:pt>
                <c:pt idx="41">
                  <c:v>42156</c:v>
                </c:pt>
                <c:pt idx="42">
                  <c:v>42186</c:v>
                </c:pt>
                <c:pt idx="43">
                  <c:v>42217</c:v>
                </c:pt>
                <c:pt idx="44">
                  <c:v>42248</c:v>
                </c:pt>
                <c:pt idx="45">
                  <c:v>42278</c:v>
                </c:pt>
                <c:pt idx="46">
                  <c:v>42309</c:v>
                </c:pt>
                <c:pt idx="47">
                  <c:v>42339</c:v>
                </c:pt>
                <c:pt idx="48">
                  <c:v>42370</c:v>
                </c:pt>
                <c:pt idx="49">
                  <c:v>42401</c:v>
                </c:pt>
                <c:pt idx="50">
                  <c:v>42430</c:v>
                </c:pt>
                <c:pt idx="51">
                  <c:v>42461</c:v>
                </c:pt>
                <c:pt idx="52">
                  <c:v>42491</c:v>
                </c:pt>
                <c:pt idx="53">
                  <c:v>42522</c:v>
                </c:pt>
                <c:pt idx="54">
                  <c:v>42552</c:v>
                </c:pt>
                <c:pt idx="55">
                  <c:v>42583</c:v>
                </c:pt>
                <c:pt idx="56">
                  <c:v>42614</c:v>
                </c:pt>
                <c:pt idx="57">
                  <c:v>42644</c:v>
                </c:pt>
                <c:pt idx="58">
                  <c:v>42675</c:v>
                </c:pt>
                <c:pt idx="59">
                  <c:v>42705</c:v>
                </c:pt>
                <c:pt idx="60">
                  <c:v>42736</c:v>
                </c:pt>
                <c:pt idx="61">
                  <c:v>42767</c:v>
                </c:pt>
                <c:pt idx="62">
                  <c:v>42795</c:v>
                </c:pt>
                <c:pt idx="63">
                  <c:v>42826</c:v>
                </c:pt>
                <c:pt idx="64">
                  <c:v>42856</c:v>
                </c:pt>
                <c:pt idx="65">
                  <c:v>42887</c:v>
                </c:pt>
                <c:pt idx="66">
                  <c:v>42917</c:v>
                </c:pt>
                <c:pt idx="67">
                  <c:v>42948</c:v>
                </c:pt>
                <c:pt idx="68">
                  <c:v>42979</c:v>
                </c:pt>
                <c:pt idx="69">
                  <c:v>43009</c:v>
                </c:pt>
                <c:pt idx="70">
                  <c:v>43040</c:v>
                </c:pt>
                <c:pt idx="71">
                  <c:v>43070</c:v>
                </c:pt>
                <c:pt idx="72">
                  <c:v>43101</c:v>
                </c:pt>
                <c:pt idx="73">
                  <c:v>43132</c:v>
                </c:pt>
                <c:pt idx="74">
                  <c:v>43160</c:v>
                </c:pt>
                <c:pt idx="75">
                  <c:v>43191</c:v>
                </c:pt>
                <c:pt idx="76">
                  <c:v>43221</c:v>
                </c:pt>
                <c:pt idx="77">
                  <c:v>43252</c:v>
                </c:pt>
                <c:pt idx="78">
                  <c:v>43282</c:v>
                </c:pt>
                <c:pt idx="79">
                  <c:v>43313</c:v>
                </c:pt>
                <c:pt idx="80">
                  <c:v>43344</c:v>
                </c:pt>
                <c:pt idx="81">
                  <c:v>43374</c:v>
                </c:pt>
                <c:pt idx="82">
                  <c:v>43405</c:v>
                </c:pt>
                <c:pt idx="83">
                  <c:v>43435</c:v>
                </c:pt>
                <c:pt idx="84">
                  <c:v>43466</c:v>
                </c:pt>
                <c:pt idx="85">
                  <c:v>43497</c:v>
                </c:pt>
                <c:pt idx="86">
                  <c:v>43525</c:v>
                </c:pt>
                <c:pt idx="87">
                  <c:v>43556</c:v>
                </c:pt>
                <c:pt idx="88">
                  <c:v>43586</c:v>
                </c:pt>
                <c:pt idx="89">
                  <c:v>43617</c:v>
                </c:pt>
                <c:pt idx="90">
                  <c:v>43647</c:v>
                </c:pt>
                <c:pt idx="91">
                  <c:v>43678</c:v>
                </c:pt>
                <c:pt idx="92">
                  <c:v>43709</c:v>
                </c:pt>
                <c:pt idx="93">
                  <c:v>43739</c:v>
                </c:pt>
                <c:pt idx="94">
                  <c:v>43770</c:v>
                </c:pt>
                <c:pt idx="95">
                  <c:v>43800</c:v>
                </c:pt>
                <c:pt idx="96">
                  <c:v>43831</c:v>
                </c:pt>
                <c:pt idx="97">
                  <c:v>43862</c:v>
                </c:pt>
                <c:pt idx="98">
                  <c:v>43891</c:v>
                </c:pt>
                <c:pt idx="99">
                  <c:v>43922</c:v>
                </c:pt>
                <c:pt idx="100">
                  <c:v>43952</c:v>
                </c:pt>
                <c:pt idx="101">
                  <c:v>43983</c:v>
                </c:pt>
                <c:pt idx="102">
                  <c:v>44013</c:v>
                </c:pt>
                <c:pt idx="103">
                  <c:v>44044</c:v>
                </c:pt>
                <c:pt idx="104">
                  <c:v>44075</c:v>
                </c:pt>
                <c:pt idx="105">
                  <c:v>44105</c:v>
                </c:pt>
                <c:pt idx="106">
                  <c:v>44136</c:v>
                </c:pt>
                <c:pt idx="107">
                  <c:v>44166</c:v>
                </c:pt>
                <c:pt idx="108">
                  <c:v>44197</c:v>
                </c:pt>
                <c:pt idx="109">
                  <c:v>44228</c:v>
                </c:pt>
                <c:pt idx="110">
                  <c:v>44256</c:v>
                </c:pt>
                <c:pt idx="111">
                  <c:v>44287</c:v>
                </c:pt>
                <c:pt idx="112">
                  <c:v>44317</c:v>
                </c:pt>
                <c:pt idx="113">
                  <c:v>44348</c:v>
                </c:pt>
                <c:pt idx="114">
                  <c:v>44378</c:v>
                </c:pt>
                <c:pt idx="115">
                  <c:v>44409</c:v>
                </c:pt>
                <c:pt idx="116">
                  <c:v>44440</c:v>
                </c:pt>
                <c:pt idx="117">
                  <c:v>44470</c:v>
                </c:pt>
                <c:pt idx="118">
                  <c:v>44501</c:v>
                </c:pt>
                <c:pt idx="119">
                  <c:v>44531</c:v>
                </c:pt>
                <c:pt idx="120">
                  <c:v>44562</c:v>
                </c:pt>
                <c:pt idx="121">
                  <c:v>44593</c:v>
                </c:pt>
                <c:pt idx="122">
                  <c:v>44621</c:v>
                </c:pt>
                <c:pt idx="123">
                  <c:v>44652</c:v>
                </c:pt>
                <c:pt idx="124">
                  <c:v>44682</c:v>
                </c:pt>
                <c:pt idx="125">
                  <c:v>44713</c:v>
                </c:pt>
                <c:pt idx="126">
                  <c:v>44743</c:v>
                </c:pt>
                <c:pt idx="127">
                  <c:v>44774</c:v>
                </c:pt>
                <c:pt idx="128">
                  <c:v>44805</c:v>
                </c:pt>
                <c:pt idx="129">
                  <c:v>44835</c:v>
                </c:pt>
                <c:pt idx="130">
                  <c:v>44866</c:v>
                </c:pt>
                <c:pt idx="131">
                  <c:v>44896</c:v>
                </c:pt>
                <c:pt idx="132">
                  <c:v>44927</c:v>
                </c:pt>
                <c:pt idx="133">
                  <c:v>44958</c:v>
                </c:pt>
                <c:pt idx="134">
                  <c:v>44986</c:v>
                </c:pt>
                <c:pt idx="135">
                  <c:v>45017</c:v>
                </c:pt>
                <c:pt idx="136">
                  <c:v>45047</c:v>
                </c:pt>
                <c:pt idx="137">
                  <c:v>45078</c:v>
                </c:pt>
                <c:pt idx="138">
                  <c:v>45108</c:v>
                </c:pt>
                <c:pt idx="139">
                  <c:v>45139</c:v>
                </c:pt>
                <c:pt idx="140">
                  <c:v>45170</c:v>
                </c:pt>
                <c:pt idx="141">
                  <c:v>45200</c:v>
                </c:pt>
                <c:pt idx="142">
                  <c:v>45231</c:v>
                </c:pt>
                <c:pt idx="143">
                  <c:v>45261</c:v>
                </c:pt>
                <c:pt idx="144">
                  <c:v>45292</c:v>
                </c:pt>
                <c:pt idx="145">
                  <c:v>45323</c:v>
                </c:pt>
                <c:pt idx="146">
                  <c:v>45352</c:v>
                </c:pt>
                <c:pt idx="147">
                  <c:v>45383</c:v>
                </c:pt>
                <c:pt idx="148">
                  <c:v>45413</c:v>
                </c:pt>
                <c:pt idx="149">
                  <c:v>45444</c:v>
                </c:pt>
                <c:pt idx="150">
                  <c:v>45474</c:v>
                </c:pt>
                <c:pt idx="151">
                  <c:v>45505</c:v>
                </c:pt>
                <c:pt idx="152">
                  <c:v>45536</c:v>
                </c:pt>
                <c:pt idx="153">
                  <c:v>45566</c:v>
                </c:pt>
                <c:pt idx="154">
                  <c:v>45597</c:v>
                </c:pt>
                <c:pt idx="155">
                  <c:v>45627</c:v>
                </c:pt>
                <c:pt idx="156">
                  <c:v>45658</c:v>
                </c:pt>
                <c:pt idx="157">
                  <c:v>45689</c:v>
                </c:pt>
                <c:pt idx="158">
                  <c:v>45717</c:v>
                </c:pt>
                <c:pt idx="159">
                  <c:v>45748</c:v>
                </c:pt>
                <c:pt idx="160">
                  <c:v>45778</c:v>
                </c:pt>
                <c:pt idx="161">
                  <c:v>45809</c:v>
                </c:pt>
                <c:pt idx="162">
                  <c:v>45839</c:v>
                </c:pt>
                <c:pt idx="163">
                  <c:v>45870</c:v>
                </c:pt>
                <c:pt idx="164">
                  <c:v>45901</c:v>
                </c:pt>
                <c:pt idx="165">
                  <c:v>45931</c:v>
                </c:pt>
                <c:pt idx="166">
                  <c:v>45962</c:v>
                </c:pt>
                <c:pt idx="167">
                  <c:v>45992</c:v>
                </c:pt>
                <c:pt idx="168">
                  <c:v>46023</c:v>
                </c:pt>
                <c:pt idx="169">
                  <c:v>46054</c:v>
                </c:pt>
                <c:pt idx="170">
                  <c:v>46082</c:v>
                </c:pt>
                <c:pt idx="171">
                  <c:v>46113</c:v>
                </c:pt>
                <c:pt idx="172">
                  <c:v>46143</c:v>
                </c:pt>
              </c:numCache>
            </c:numRef>
          </c:cat>
          <c:val>
            <c:numRef>
              <c:f>'Net reserves'!$H$14:$FX$14</c:f>
              <c:numCache>
                <c:formatCode>0.0</c:formatCode>
                <c:ptCount val="173"/>
                <c:pt idx="0">
                  <c:v>6740.3984248320585</c:v>
                </c:pt>
                <c:pt idx="1">
                  <c:v>6654.5120551090695</c:v>
                </c:pt>
                <c:pt idx="2">
                  <c:v>7038.701537049782</c:v>
                </c:pt>
                <c:pt idx="3">
                  <c:v>6960.8369342733677</c:v>
                </c:pt>
                <c:pt idx="4">
                  <c:v>6119.5911031228943</c:v>
                </c:pt>
                <c:pt idx="5">
                  <c:v>5235.116022099447</c:v>
                </c:pt>
                <c:pt idx="6">
                  <c:v>5821.9890710382506</c:v>
                </c:pt>
                <c:pt idx="7">
                  <c:v>6356.9294066695529</c:v>
                </c:pt>
                <c:pt idx="8">
                  <c:v>6678.640153944837</c:v>
                </c:pt>
                <c:pt idx="9">
                  <c:v>7747.5979772439941</c:v>
                </c:pt>
                <c:pt idx="10">
                  <c:v>8073.5884177869702</c:v>
                </c:pt>
                <c:pt idx="11">
                  <c:v>8499.8979175173554</c:v>
                </c:pt>
                <c:pt idx="12">
                  <c:v>8102.1550855991936</c:v>
                </c:pt>
                <c:pt idx="13">
                  <c:v>7700.0397930760055</c:v>
                </c:pt>
                <c:pt idx="14">
                  <c:v>7599.2355938847513</c:v>
                </c:pt>
                <c:pt idx="15">
                  <c:v>7987.3429951690823</c:v>
                </c:pt>
                <c:pt idx="16">
                  <c:v>7977.431610942248</c:v>
                </c:pt>
                <c:pt idx="17">
                  <c:v>7962.5302325581397</c:v>
                </c:pt>
                <c:pt idx="18">
                  <c:v>8331.4311759343655</c:v>
                </c:pt>
                <c:pt idx="19">
                  <c:v>8405.4847841472056</c:v>
                </c:pt>
                <c:pt idx="20">
                  <c:v>8981.6450216450212</c:v>
                </c:pt>
                <c:pt idx="21">
                  <c:v>9297.9803122878475</c:v>
                </c:pt>
                <c:pt idx="22">
                  <c:v>9414.131677830419</c:v>
                </c:pt>
                <c:pt idx="23">
                  <c:v>10972.711890478387</c:v>
                </c:pt>
                <c:pt idx="24">
                  <c:v>11252.078580481622</c:v>
                </c:pt>
                <c:pt idx="25">
                  <c:v>8967.1523517382411</c:v>
                </c:pt>
                <c:pt idx="26">
                  <c:v>8347.5603621730388</c:v>
                </c:pt>
                <c:pt idx="27">
                  <c:v>7320.8249496981889</c:v>
                </c:pt>
                <c:pt idx="28">
                  <c:v>7401.5317559153182</c:v>
                </c:pt>
                <c:pt idx="29">
                  <c:v>7790.399604107386</c:v>
                </c:pt>
                <c:pt idx="30">
                  <c:v>7461.897184822521</c:v>
                </c:pt>
                <c:pt idx="31">
                  <c:v>7534.9179738953408</c:v>
                </c:pt>
                <c:pt idx="32">
                  <c:v>7401.6467780429593</c:v>
                </c:pt>
                <c:pt idx="33">
                  <c:v>7799.3250444049736</c:v>
                </c:pt>
                <c:pt idx="34">
                  <c:v>7898.1485849056608</c:v>
                </c:pt>
                <c:pt idx="35">
                  <c:v>8495.5816686251455</c:v>
                </c:pt>
                <c:pt idx="36">
                  <c:v>8617.7079697498539</c:v>
                </c:pt>
                <c:pt idx="37">
                  <c:v>9385.4493087557603</c:v>
                </c:pt>
                <c:pt idx="38">
                  <c:v>8463.9566704675035</c:v>
                </c:pt>
                <c:pt idx="39">
                  <c:v>8032.7990970654637</c:v>
                </c:pt>
                <c:pt idx="40">
                  <c:v>7748.1609837898268</c:v>
                </c:pt>
                <c:pt idx="41">
                  <c:v>7723.8053097345137</c:v>
                </c:pt>
                <c:pt idx="42">
                  <c:v>8271.2192454893393</c:v>
                </c:pt>
                <c:pt idx="43">
                  <c:v>7884.8864864864863</c:v>
                </c:pt>
                <c:pt idx="44">
                  <c:v>8030.4213333333328</c:v>
                </c:pt>
                <c:pt idx="45">
                  <c:v>9340.1472908995256</c:v>
                </c:pt>
                <c:pt idx="46">
                  <c:v>9605.0285121824782</c:v>
                </c:pt>
                <c:pt idx="47">
                  <c:v>11081.854961832061</c:v>
                </c:pt>
                <c:pt idx="48">
                  <c:v>9488.44702467344</c:v>
                </c:pt>
                <c:pt idx="49">
                  <c:v>7285.7707006369437</c:v>
                </c:pt>
                <c:pt idx="50">
                  <c:v>9003.767123287671</c:v>
                </c:pt>
                <c:pt idx="51">
                  <c:v>8666.3146853146845</c:v>
                </c:pt>
                <c:pt idx="52">
                  <c:v>11041.792857142858</c:v>
                </c:pt>
                <c:pt idx="53">
                  <c:v>11213.480000000001</c:v>
                </c:pt>
                <c:pt idx="54">
                  <c:v>11695.826666666666</c:v>
                </c:pt>
                <c:pt idx="55">
                  <c:v>10395.093959731543</c:v>
                </c:pt>
                <c:pt idx="56">
                  <c:v>10034.97385620915</c:v>
                </c:pt>
                <c:pt idx="57">
                  <c:v>17250.125000000004</c:v>
                </c:pt>
                <c:pt idx="58">
                  <c:v>13780.238993710691</c:v>
                </c:pt>
                <c:pt idx="59">
                  <c:v>15650.591194968552</c:v>
                </c:pt>
                <c:pt idx="60">
                  <c:v>21985.465408805034</c:v>
                </c:pt>
                <c:pt idx="61">
                  <c:v>22287.258064516129</c:v>
                </c:pt>
                <c:pt idx="62">
                  <c:v>24245.785714285714</c:v>
                </c:pt>
                <c:pt idx="63">
                  <c:v>18781</c:v>
                </c:pt>
                <c:pt idx="64">
                  <c:v>15601.465838509315</c:v>
                </c:pt>
                <c:pt idx="65">
                  <c:v>13056.018072289155</c:v>
                </c:pt>
                <c:pt idx="66">
                  <c:v>15268.906515580738</c:v>
                </c:pt>
                <c:pt idx="67">
                  <c:v>16070.890173410406</c:v>
                </c:pt>
                <c:pt idx="68">
                  <c:v>14471.7225433526</c:v>
                </c:pt>
                <c:pt idx="69">
                  <c:v>12755.133144475922</c:v>
                </c:pt>
                <c:pt idx="70">
                  <c:v>14343.913294797689</c:v>
                </c:pt>
                <c:pt idx="71">
                  <c:v>13026.311827956988</c:v>
                </c:pt>
                <c:pt idx="72">
                  <c:v>16222.448979591836</c:v>
                </c:pt>
                <c:pt idx="73">
                  <c:v>12130.283582089553</c:v>
                </c:pt>
                <c:pt idx="74">
                  <c:v>12443.6213592233</c:v>
                </c:pt>
                <c:pt idx="75">
                  <c:v>12608.408759124086</c:v>
                </c:pt>
                <c:pt idx="76">
                  <c:v>11362.994781212365</c:v>
                </c:pt>
                <c:pt idx="77">
                  <c:v>13911.399305555555</c:v>
                </c:pt>
                <c:pt idx="78">
                  <c:v>13780.673216885009</c:v>
                </c:pt>
                <c:pt idx="79">
                  <c:v>13825.986376021798</c:v>
                </c:pt>
                <c:pt idx="80">
                  <c:v>13027.803159173754</c:v>
                </c:pt>
                <c:pt idx="81">
                  <c:v>13109.983263598326</c:v>
                </c:pt>
                <c:pt idx="82">
                  <c:v>13355.757575757576</c:v>
                </c:pt>
                <c:pt idx="83">
                  <c:v>14291.031914893618</c:v>
                </c:pt>
                <c:pt idx="84">
                  <c:v>14008.104697986579</c:v>
                </c:pt>
                <c:pt idx="85">
                  <c:v>13715.469910371319</c:v>
                </c:pt>
                <c:pt idx="86">
                  <c:v>15487.879768786128</c:v>
                </c:pt>
                <c:pt idx="87">
                  <c:v>16017.048808172533</c:v>
                </c:pt>
                <c:pt idx="88">
                  <c:v>16679.558889386477</c:v>
                </c:pt>
                <c:pt idx="89">
                  <c:v>15694.053352219074</c:v>
                </c:pt>
                <c:pt idx="90">
                  <c:v>15996.868433074464</c:v>
                </c:pt>
                <c:pt idx="91">
                  <c:v>11121.99124726477</c:v>
                </c:pt>
                <c:pt idx="92">
                  <c:v>8784.1589841711593</c:v>
                </c:pt>
                <c:pt idx="93">
                  <c:v>8030.543897935202</c:v>
                </c:pt>
                <c:pt idx="94">
                  <c:v>8171.8315508021387</c:v>
                </c:pt>
                <c:pt idx="95">
                  <c:v>8961.0152199364438</c:v>
                </c:pt>
                <c:pt idx="96">
                  <c:v>9972.1742738589219</c:v>
                </c:pt>
                <c:pt idx="97">
                  <c:v>10643.295765577201</c:v>
                </c:pt>
                <c:pt idx="98">
                  <c:v>10330.711511573714</c:v>
                </c:pt>
                <c:pt idx="99">
                  <c:v>10883.961642193588</c:v>
                </c:pt>
                <c:pt idx="100">
                  <c:v>11236.189362945646</c:v>
                </c:pt>
                <c:pt idx="101">
                  <c:v>10529.860716316089</c:v>
                </c:pt>
                <c:pt idx="102">
                  <c:v>10726.517585156465</c:v>
                </c:pt>
                <c:pt idx="103">
                  <c:v>11418.921436285096</c:v>
                </c:pt>
                <c:pt idx="104">
                  <c:v>12010.190588853839</c:v>
                </c:pt>
                <c:pt idx="105">
                  <c:v>11518.896701610842</c:v>
                </c:pt>
                <c:pt idx="106">
                  <c:v>11191.702992242335</c:v>
                </c:pt>
                <c:pt idx="107">
                  <c:v>10928.736466389055</c:v>
                </c:pt>
                <c:pt idx="108">
                  <c:v>11455.21494898544</c:v>
                </c:pt>
                <c:pt idx="109">
                  <c:v>11859.843958983503</c:v>
                </c:pt>
                <c:pt idx="110">
                  <c:v>11229.519042437432</c:v>
                </c:pt>
                <c:pt idx="111">
                  <c:v>10547.884656537557</c:v>
                </c:pt>
                <c:pt idx="112">
                  <c:v>10108.955933636267</c:v>
                </c:pt>
                <c:pt idx="113">
                  <c:v>10702.137628111273</c:v>
                </c:pt>
                <c:pt idx="114">
                  <c:v>11220.209131380059</c:v>
                </c:pt>
                <c:pt idx="115">
                  <c:v>11376.913150348219</c:v>
                </c:pt>
                <c:pt idx="116">
                  <c:v>11874.40794809408</c:v>
                </c:pt>
                <c:pt idx="117">
                  <c:v>11922.365990764907</c:v>
                </c:pt>
                <c:pt idx="118">
                  <c:v>11453.95102121753</c:v>
                </c:pt>
                <c:pt idx="119">
                  <c:v>12128.163126096279</c:v>
                </c:pt>
                <c:pt idx="120">
                  <c:v>12043.709492947008</c:v>
                </c:pt>
                <c:pt idx="121">
                  <c:v>12196.541220307407</c:v>
                </c:pt>
                <c:pt idx="122">
                  <c:v>11574.986926336671</c:v>
                </c:pt>
                <c:pt idx="123">
                  <c:v>12291.68561756792</c:v>
                </c:pt>
                <c:pt idx="124">
                  <c:v>12106.127393838467</c:v>
                </c:pt>
                <c:pt idx="125">
                  <c:v>11529.239990409975</c:v>
                </c:pt>
                <c:pt idx="126">
                  <c:v>11484.449950445987</c:v>
                </c:pt>
                <c:pt idx="127">
                  <c:v>11547.996826083821</c:v>
                </c:pt>
                <c:pt idx="128">
                  <c:v>11049.124439614183</c:v>
                </c:pt>
                <c:pt idx="129">
                  <c:v>11228.826605446082</c:v>
                </c:pt>
                <c:pt idx="130">
                  <c:v>11530.368465127407</c:v>
                </c:pt>
                <c:pt idx="131">
                  <c:v>12092.345532587824</c:v>
                </c:pt>
                <c:pt idx="132">
                  <c:v>12888.554307116103</c:v>
                </c:pt>
                <c:pt idx="133">
                  <c:v>12961.671656939861</c:v>
                </c:pt>
                <c:pt idx="134">
                  <c:v>12149.790718835304</c:v>
                </c:pt>
                <c:pt idx="135">
                  <c:v>11245.164509169364</c:v>
                </c:pt>
                <c:pt idx="136">
                  <c:v>11019.171333054743</c:v>
                </c:pt>
                <c:pt idx="137">
                  <c:v>10307.573879142301</c:v>
                </c:pt>
                <c:pt idx="138">
                  <c:v>9839.0925286311576</c:v>
                </c:pt>
                <c:pt idx="139">
                  <c:v>9385.2572246065811</c:v>
                </c:pt>
                <c:pt idx="140">
                  <c:v>9584.0603805980827</c:v>
                </c:pt>
                <c:pt idx="141">
                  <c:v>8896.1722460658093</c:v>
                </c:pt>
                <c:pt idx="142">
                  <c:v>8863.6897222222215</c:v>
                </c:pt>
                <c:pt idx="143">
                  <c:v>9134.5514591982155</c:v>
                </c:pt>
                <c:pt idx="144">
                  <c:v>9813.5929203539818</c:v>
                </c:pt>
                <c:pt idx="145">
                  <c:v>9333.2359938146783</c:v>
                </c:pt>
                <c:pt idx="146">
                  <c:v>8907.3643899591352</c:v>
                </c:pt>
                <c:pt idx="147">
                  <c:v>8401.9636571428582</c:v>
                </c:pt>
                <c:pt idx="148">
                  <c:v>8129.5684563758396</c:v>
                </c:pt>
                <c:pt idx="149">
                  <c:v>8333.7056562328398</c:v>
                </c:pt>
                <c:pt idx="150">
                  <c:v>9609.8771628156901</c:v>
                </c:pt>
                <c:pt idx="151">
                  <c:v>9495.1028361344543</c:v>
                </c:pt>
                <c:pt idx="152">
                  <c:v>10675.390918472653</c:v>
                </c:pt>
                <c:pt idx="153">
                  <c:v>12570.272993437658</c:v>
                </c:pt>
                <c:pt idx="154">
                  <c:v>13586.966336633663</c:v>
                </c:pt>
                <c:pt idx="155">
                  <c:v>12280.563901018922</c:v>
                </c:pt>
                <c:pt idx="156">
                  <c:v>12863.616159695817</c:v>
                </c:pt>
                <c:pt idx="157">
                  <c:v>12436.27105572537</c:v>
                </c:pt>
                <c:pt idx="158">
                  <c:v>11428.230023310023</c:v>
                </c:pt>
                <c:pt idx="159">
                  <c:v>13775.616816816817</c:v>
                </c:pt>
                <c:pt idx="160">
                  <c:v>12046.725052809463</c:v>
                </c:pt>
                <c:pt idx="161">
                  <c:v>11443.552603082049</c:v>
                </c:pt>
                <c:pt idx="162">
                  <c:v>12352.789923329683</c:v>
                </c:pt>
                <c:pt idx="163">
                  <c:v>12202.101383177569</c:v>
                </c:pt>
                <c:pt idx="164">
                  <c:v>12698.184296619411</c:v>
                </c:pt>
                <c:pt idx="165">
                  <c:v>14073.245192641443</c:v>
                </c:pt>
                <c:pt idx="166">
                  <c:v>16026.693227366966</c:v>
                </c:pt>
                <c:pt idx="167">
                  <c:v>15158.656187521545</c:v>
                </c:pt>
                <c:pt idx="168">
                  <c:v>17330.112998266897</c:v>
                </c:pt>
                <c:pt idx="169">
                  <c:v>17181.97457809695</c:v>
                </c:pt>
                <c:pt idx="170">
                  <c:v>14366.486823956444</c:v>
                </c:pt>
                <c:pt idx="171">
                  <c:v>14051.529318427694</c:v>
                </c:pt>
                <c:pt idx="172">
                  <c:v>14753.086213038832</c:v>
                </c:pt>
              </c:numCache>
            </c:numRef>
          </c:val>
          <c:extLst>
            <c:ext xmlns:c16="http://schemas.microsoft.com/office/drawing/2014/chart" uri="{C3380CC4-5D6E-409C-BE32-E72D297353CC}">
              <c16:uniqueId val="{00000002-29CD-415A-B505-32B25570C428}"/>
            </c:ext>
          </c:extLst>
        </c:ser>
        <c:ser>
          <c:idx val="3"/>
          <c:order val="3"/>
          <c:tx>
            <c:strRef>
              <c:f>'Net reserves'!$A$15</c:f>
              <c:strCache>
                <c:ptCount val="1"/>
                <c:pt idx="0">
                  <c:v>Gold</c:v>
                </c:pt>
              </c:strCache>
            </c:strRef>
          </c:tx>
          <c:spPr>
            <a:solidFill>
              <a:schemeClr val="accent4"/>
            </a:solidFill>
            <a:ln w="12700">
              <a:solidFill>
                <a:schemeClr val="accent4"/>
              </a:solidFill>
              <a:prstDash val="solid"/>
            </a:ln>
            <a:effectLst/>
          </c:spPr>
          <c:cat>
            <c:numRef>
              <c:f>'Net reserves'!$H$10:$FX$10</c:f>
              <c:numCache>
                <c:formatCode>mmm\-yy</c:formatCode>
                <c:ptCount val="173"/>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pt idx="14">
                  <c:v>41334</c:v>
                </c:pt>
                <c:pt idx="15">
                  <c:v>41365</c:v>
                </c:pt>
                <c:pt idx="16">
                  <c:v>41395</c:v>
                </c:pt>
                <c:pt idx="17">
                  <c:v>41426</c:v>
                </c:pt>
                <c:pt idx="18">
                  <c:v>41456</c:v>
                </c:pt>
                <c:pt idx="19">
                  <c:v>41487</c:v>
                </c:pt>
                <c:pt idx="20">
                  <c:v>41518</c:v>
                </c:pt>
                <c:pt idx="21">
                  <c:v>41548</c:v>
                </c:pt>
                <c:pt idx="22">
                  <c:v>41579</c:v>
                </c:pt>
                <c:pt idx="23">
                  <c:v>41609</c:v>
                </c:pt>
                <c:pt idx="24">
                  <c:v>41640</c:v>
                </c:pt>
                <c:pt idx="25">
                  <c:v>41671</c:v>
                </c:pt>
                <c:pt idx="26">
                  <c:v>41699</c:v>
                </c:pt>
                <c:pt idx="27">
                  <c:v>41730</c:v>
                </c:pt>
                <c:pt idx="28">
                  <c:v>41760</c:v>
                </c:pt>
                <c:pt idx="29">
                  <c:v>41791</c:v>
                </c:pt>
                <c:pt idx="30">
                  <c:v>41821</c:v>
                </c:pt>
                <c:pt idx="31">
                  <c:v>41852</c:v>
                </c:pt>
                <c:pt idx="32">
                  <c:v>41883</c:v>
                </c:pt>
                <c:pt idx="33">
                  <c:v>41913</c:v>
                </c:pt>
                <c:pt idx="34">
                  <c:v>41944</c:v>
                </c:pt>
                <c:pt idx="35">
                  <c:v>41974</c:v>
                </c:pt>
                <c:pt idx="36">
                  <c:v>42005</c:v>
                </c:pt>
                <c:pt idx="37">
                  <c:v>42036</c:v>
                </c:pt>
                <c:pt idx="38">
                  <c:v>42064</c:v>
                </c:pt>
                <c:pt idx="39">
                  <c:v>42095</c:v>
                </c:pt>
                <c:pt idx="40">
                  <c:v>42125</c:v>
                </c:pt>
                <c:pt idx="41">
                  <c:v>42156</c:v>
                </c:pt>
                <c:pt idx="42">
                  <c:v>42186</c:v>
                </c:pt>
                <c:pt idx="43">
                  <c:v>42217</c:v>
                </c:pt>
                <c:pt idx="44">
                  <c:v>42248</c:v>
                </c:pt>
                <c:pt idx="45">
                  <c:v>42278</c:v>
                </c:pt>
                <c:pt idx="46">
                  <c:v>42309</c:v>
                </c:pt>
                <c:pt idx="47">
                  <c:v>42339</c:v>
                </c:pt>
                <c:pt idx="48">
                  <c:v>42370</c:v>
                </c:pt>
                <c:pt idx="49">
                  <c:v>42401</c:v>
                </c:pt>
                <c:pt idx="50">
                  <c:v>42430</c:v>
                </c:pt>
                <c:pt idx="51">
                  <c:v>42461</c:v>
                </c:pt>
                <c:pt idx="52">
                  <c:v>42491</c:v>
                </c:pt>
                <c:pt idx="53">
                  <c:v>42522</c:v>
                </c:pt>
                <c:pt idx="54">
                  <c:v>42552</c:v>
                </c:pt>
                <c:pt idx="55">
                  <c:v>42583</c:v>
                </c:pt>
                <c:pt idx="56">
                  <c:v>42614</c:v>
                </c:pt>
                <c:pt idx="57">
                  <c:v>42644</c:v>
                </c:pt>
                <c:pt idx="58">
                  <c:v>42675</c:v>
                </c:pt>
                <c:pt idx="59">
                  <c:v>42705</c:v>
                </c:pt>
                <c:pt idx="60">
                  <c:v>42736</c:v>
                </c:pt>
                <c:pt idx="61">
                  <c:v>42767</c:v>
                </c:pt>
                <c:pt idx="62">
                  <c:v>42795</c:v>
                </c:pt>
                <c:pt idx="63">
                  <c:v>42826</c:v>
                </c:pt>
                <c:pt idx="64">
                  <c:v>42856</c:v>
                </c:pt>
                <c:pt idx="65">
                  <c:v>42887</c:v>
                </c:pt>
                <c:pt idx="66">
                  <c:v>42917</c:v>
                </c:pt>
                <c:pt idx="67">
                  <c:v>42948</c:v>
                </c:pt>
                <c:pt idx="68">
                  <c:v>42979</c:v>
                </c:pt>
                <c:pt idx="69">
                  <c:v>43009</c:v>
                </c:pt>
                <c:pt idx="70">
                  <c:v>43040</c:v>
                </c:pt>
                <c:pt idx="71">
                  <c:v>43070</c:v>
                </c:pt>
                <c:pt idx="72">
                  <c:v>43101</c:v>
                </c:pt>
                <c:pt idx="73">
                  <c:v>43132</c:v>
                </c:pt>
                <c:pt idx="74">
                  <c:v>43160</c:v>
                </c:pt>
                <c:pt idx="75">
                  <c:v>43191</c:v>
                </c:pt>
                <c:pt idx="76">
                  <c:v>43221</c:v>
                </c:pt>
                <c:pt idx="77">
                  <c:v>43252</c:v>
                </c:pt>
                <c:pt idx="78">
                  <c:v>43282</c:v>
                </c:pt>
                <c:pt idx="79">
                  <c:v>43313</c:v>
                </c:pt>
                <c:pt idx="80">
                  <c:v>43344</c:v>
                </c:pt>
                <c:pt idx="81">
                  <c:v>43374</c:v>
                </c:pt>
                <c:pt idx="82">
                  <c:v>43405</c:v>
                </c:pt>
                <c:pt idx="83">
                  <c:v>43435</c:v>
                </c:pt>
                <c:pt idx="84">
                  <c:v>43466</c:v>
                </c:pt>
                <c:pt idx="85">
                  <c:v>43497</c:v>
                </c:pt>
                <c:pt idx="86">
                  <c:v>43525</c:v>
                </c:pt>
                <c:pt idx="87">
                  <c:v>43556</c:v>
                </c:pt>
                <c:pt idx="88">
                  <c:v>43586</c:v>
                </c:pt>
                <c:pt idx="89">
                  <c:v>43617</c:v>
                </c:pt>
                <c:pt idx="90">
                  <c:v>43647</c:v>
                </c:pt>
                <c:pt idx="91">
                  <c:v>43678</c:v>
                </c:pt>
                <c:pt idx="92">
                  <c:v>43709</c:v>
                </c:pt>
                <c:pt idx="93">
                  <c:v>43739</c:v>
                </c:pt>
                <c:pt idx="94">
                  <c:v>43770</c:v>
                </c:pt>
                <c:pt idx="95">
                  <c:v>43800</c:v>
                </c:pt>
                <c:pt idx="96">
                  <c:v>43831</c:v>
                </c:pt>
                <c:pt idx="97">
                  <c:v>43862</c:v>
                </c:pt>
                <c:pt idx="98">
                  <c:v>43891</c:v>
                </c:pt>
                <c:pt idx="99">
                  <c:v>43922</c:v>
                </c:pt>
                <c:pt idx="100">
                  <c:v>43952</c:v>
                </c:pt>
                <c:pt idx="101">
                  <c:v>43983</c:v>
                </c:pt>
                <c:pt idx="102">
                  <c:v>44013</c:v>
                </c:pt>
                <c:pt idx="103">
                  <c:v>44044</c:v>
                </c:pt>
                <c:pt idx="104">
                  <c:v>44075</c:v>
                </c:pt>
                <c:pt idx="105">
                  <c:v>44105</c:v>
                </c:pt>
                <c:pt idx="106">
                  <c:v>44136</c:v>
                </c:pt>
                <c:pt idx="107">
                  <c:v>44166</c:v>
                </c:pt>
                <c:pt idx="108">
                  <c:v>44197</c:v>
                </c:pt>
                <c:pt idx="109">
                  <c:v>44228</c:v>
                </c:pt>
                <c:pt idx="110">
                  <c:v>44256</c:v>
                </c:pt>
                <c:pt idx="111">
                  <c:v>44287</c:v>
                </c:pt>
                <c:pt idx="112">
                  <c:v>44317</c:v>
                </c:pt>
                <c:pt idx="113">
                  <c:v>44348</c:v>
                </c:pt>
                <c:pt idx="114">
                  <c:v>44378</c:v>
                </c:pt>
                <c:pt idx="115">
                  <c:v>44409</c:v>
                </c:pt>
                <c:pt idx="116">
                  <c:v>44440</c:v>
                </c:pt>
                <c:pt idx="117">
                  <c:v>44470</c:v>
                </c:pt>
                <c:pt idx="118">
                  <c:v>44501</c:v>
                </c:pt>
                <c:pt idx="119">
                  <c:v>44531</c:v>
                </c:pt>
                <c:pt idx="120">
                  <c:v>44562</c:v>
                </c:pt>
                <c:pt idx="121">
                  <c:v>44593</c:v>
                </c:pt>
                <c:pt idx="122">
                  <c:v>44621</c:v>
                </c:pt>
                <c:pt idx="123">
                  <c:v>44652</c:v>
                </c:pt>
                <c:pt idx="124">
                  <c:v>44682</c:v>
                </c:pt>
                <c:pt idx="125">
                  <c:v>44713</c:v>
                </c:pt>
                <c:pt idx="126">
                  <c:v>44743</c:v>
                </c:pt>
                <c:pt idx="127">
                  <c:v>44774</c:v>
                </c:pt>
                <c:pt idx="128">
                  <c:v>44805</c:v>
                </c:pt>
                <c:pt idx="129">
                  <c:v>44835</c:v>
                </c:pt>
                <c:pt idx="130">
                  <c:v>44866</c:v>
                </c:pt>
                <c:pt idx="131">
                  <c:v>44896</c:v>
                </c:pt>
                <c:pt idx="132">
                  <c:v>44927</c:v>
                </c:pt>
                <c:pt idx="133">
                  <c:v>44958</c:v>
                </c:pt>
                <c:pt idx="134">
                  <c:v>44986</c:v>
                </c:pt>
                <c:pt idx="135">
                  <c:v>45017</c:v>
                </c:pt>
                <c:pt idx="136">
                  <c:v>45047</c:v>
                </c:pt>
                <c:pt idx="137">
                  <c:v>45078</c:v>
                </c:pt>
                <c:pt idx="138">
                  <c:v>45108</c:v>
                </c:pt>
                <c:pt idx="139">
                  <c:v>45139</c:v>
                </c:pt>
                <c:pt idx="140">
                  <c:v>45170</c:v>
                </c:pt>
                <c:pt idx="141">
                  <c:v>45200</c:v>
                </c:pt>
                <c:pt idx="142">
                  <c:v>45231</c:v>
                </c:pt>
                <c:pt idx="143">
                  <c:v>45261</c:v>
                </c:pt>
                <c:pt idx="144">
                  <c:v>45292</c:v>
                </c:pt>
                <c:pt idx="145">
                  <c:v>45323</c:v>
                </c:pt>
                <c:pt idx="146">
                  <c:v>45352</c:v>
                </c:pt>
                <c:pt idx="147">
                  <c:v>45383</c:v>
                </c:pt>
                <c:pt idx="148">
                  <c:v>45413</c:v>
                </c:pt>
                <c:pt idx="149">
                  <c:v>45444</c:v>
                </c:pt>
                <c:pt idx="150">
                  <c:v>45474</c:v>
                </c:pt>
                <c:pt idx="151">
                  <c:v>45505</c:v>
                </c:pt>
                <c:pt idx="152">
                  <c:v>45536</c:v>
                </c:pt>
                <c:pt idx="153">
                  <c:v>45566</c:v>
                </c:pt>
                <c:pt idx="154">
                  <c:v>45597</c:v>
                </c:pt>
                <c:pt idx="155">
                  <c:v>45627</c:v>
                </c:pt>
                <c:pt idx="156">
                  <c:v>45658</c:v>
                </c:pt>
                <c:pt idx="157">
                  <c:v>45689</c:v>
                </c:pt>
                <c:pt idx="158">
                  <c:v>45717</c:v>
                </c:pt>
                <c:pt idx="159">
                  <c:v>45748</c:v>
                </c:pt>
                <c:pt idx="160">
                  <c:v>45778</c:v>
                </c:pt>
                <c:pt idx="161">
                  <c:v>45809</c:v>
                </c:pt>
                <c:pt idx="162">
                  <c:v>45839</c:v>
                </c:pt>
                <c:pt idx="163">
                  <c:v>45870</c:v>
                </c:pt>
                <c:pt idx="164">
                  <c:v>45901</c:v>
                </c:pt>
                <c:pt idx="165">
                  <c:v>45931</c:v>
                </c:pt>
                <c:pt idx="166">
                  <c:v>45962</c:v>
                </c:pt>
                <c:pt idx="167">
                  <c:v>45992</c:v>
                </c:pt>
                <c:pt idx="168">
                  <c:v>46023</c:v>
                </c:pt>
                <c:pt idx="169">
                  <c:v>46054</c:v>
                </c:pt>
                <c:pt idx="170">
                  <c:v>46082</c:v>
                </c:pt>
                <c:pt idx="171">
                  <c:v>46113</c:v>
                </c:pt>
                <c:pt idx="172">
                  <c:v>46143</c:v>
                </c:pt>
              </c:numCache>
            </c:numRef>
          </c:cat>
          <c:val>
            <c:numRef>
              <c:f>'Net reserves'!$H$15:$FX$15</c:f>
              <c:numCache>
                <c:formatCode>0.0</c:formatCode>
                <c:ptCount val="173"/>
                <c:pt idx="0">
                  <c:v>3433.6390000000001</c:v>
                </c:pt>
                <c:pt idx="1">
                  <c:v>3419.7840000000001</c:v>
                </c:pt>
                <c:pt idx="2">
                  <c:v>3311.107</c:v>
                </c:pt>
                <c:pt idx="3">
                  <c:v>3300.4279999999999</c:v>
                </c:pt>
                <c:pt idx="4">
                  <c:v>3096.5929999999998</c:v>
                </c:pt>
                <c:pt idx="5">
                  <c:v>3175.038</c:v>
                </c:pt>
                <c:pt idx="6">
                  <c:v>3201.3589999999999</c:v>
                </c:pt>
                <c:pt idx="7">
                  <c:v>3346.4989999999998</c:v>
                </c:pt>
                <c:pt idx="8">
                  <c:v>3514.1480000000001</c:v>
                </c:pt>
                <c:pt idx="9">
                  <c:v>3411.1089999999999</c:v>
                </c:pt>
                <c:pt idx="10">
                  <c:v>3399.835</c:v>
                </c:pt>
                <c:pt idx="11">
                  <c:v>3326.471</c:v>
                </c:pt>
                <c:pt idx="12">
                  <c:v>3330.7379999999998</c:v>
                </c:pt>
                <c:pt idx="13">
                  <c:v>3137.2649999999999</c:v>
                </c:pt>
                <c:pt idx="14">
                  <c:v>3186.9679999999998</c:v>
                </c:pt>
                <c:pt idx="15">
                  <c:v>2922.9090000000001</c:v>
                </c:pt>
                <c:pt idx="16">
                  <c:v>2763.3980000000001</c:v>
                </c:pt>
                <c:pt idx="17">
                  <c:v>2432.7640000000001</c:v>
                </c:pt>
                <c:pt idx="18">
                  <c:v>2606.6260000000002</c:v>
                </c:pt>
                <c:pt idx="19">
                  <c:v>2769.5709999999999</c:v>
                </c:pt>
                <c:pt idx="20">
                  <c:v>2637.9490000000001</c:v>
                </c:pt>
                <c:pt idx="21">
                  <c:v>2625.5230000000001</c:v>
                </c:pt>
                <c:pt idx="22">
                  <c:v>2481.8119999999999</c:v>
                </c:pt>
                <c:pt idx="23">
                  <c:v>2389.4720000000002</c:v>
                </c:pt>
                <c:pt idx="24">
                  <c:v>2461.7440000000001</c:v>
                </c:pt>
                <c:pt idx="25">
                  <c:v>2623.6570000000002</c:v>
                </c:pt>
                <c:pt idx="26">
                  <c:v>2545.9459999999999</c:v>
                </c:pt>
                <c:pt idx="27">
                  <c:v>2569.587</c:v>
                </c:pt>
                <c:pt idx="28">
                  <c:v>2470.0410000000002</c:v>
                </c:pt>
                <c:pt idx="29">
                  <c:v>2633.6410000000001</c:v>
                </c:pt>
                <c:pt idx="30">
                  <c:v>2542.2339999999999</c:v>
                </c:pt>
                <c:pt idx="31">
                  <c:v>2552.06</c:v>
                </c:pt>
                <c:pt idx="32">
                  <c:v>2399.34</c:v>
                </c:pt>
                <c:pt idx="33">
                  <c:v>2324.52</c:v>
                </c:pt>
                <c:pt idx="34">
                  <c:v>2316.17</c:v>
                </c:pt>
                <c:pt idx="35">
                  <c:v>2354.7849999999999</c:v>
                </c:pt>
                <c:pt idx="36">
                  <c:v>2529.5500000000002</c:v>
                </c:pt>
                <c:pt idx="37">
                  <c:v>2406.96</c:v>
                </c:pt>
                <c:pt idx="38">
                  <c:v>2345.58</c:v>
                </c:pt>
                <c:pt idx="39">
                  <c:v>2348.3429999999998</c:v>
                </c:pt>
                <c:pt idx="40">
                  <c:v>2361.8209999999999</c:v>
                </c:pt>
                <c:pt idx="41">
                  <c:v>2325.933</c:v>
                </c:pt>
                <c:pt idx="42">
                  <c:v>2178.0140000000001</c:v>
                </c:pt>
                <c:pt idx="43">
                  <c:v>2249.096</c:v>
                </c:pt>
                <c:pt idx="44">
                  <c:v>2214.3980000000001</c:v>
                </c:pt>
                <c:pt idx="45">
                  <c:v>2263.348</c:v>
                </c:pt>
                <c:pt idx="46">
                  <c:v>2110.625</c:v>
                </c:pt>
                <c:pt idx="47">
                  <c:v>2106.933</c:v>
                </c:pt>
                <c:pt idx="48">
                  <c:v>2215.2719999999999</c:v>
                </c:pt>
                <c:pt idx="49">
                  <c:v>2444.1970000000001</c:v>
                </c:pt>
                <c:pt idx="50">
                  <c:v>2444.44</c:v>
                </c:pt>
                <c:pt idx="51">
                  <c:v>2559.8009999999999</c:v>
                </c:pt>
                <c:pt idx="52">
                  <c:v>2413.0300000000002</c:v>
                </c:pt>
                <c:pt idx="53">
                  <c:v>2617.2649999999999</c:v>
                </c:pt>
                <c:pt idx="54">
                  <c:v>2681.558</c:v>
                </c:pt>
                <c:pt idx="55">
                  <c:v>2594.4380000000001</c:v>
                </c:pt>
                <c:pt idx="56">
                  <c:v>2607.7570000000001</c:v>
                </c:pt>
                <c:pt idx="57">
                  <c:v>2322.9899999999998</c:v>
                </c:pt>
                <c:pt idx="58">
                  <c:v>2141.8249999999998</c:v>
                </c:pt>
                <c:pt idx="59">
                  <c:v>2101.7489999999998</c:v>
                </c:pt>
                <c:pt idx="60">
                  <c:v>2400.569</c:v>
                </c:pt>
                <c:pt idx="61">
                  <c:v>2291.4899999999998</c:v>
                </c:pt>
                <c:pt idx="62">
                  <c:v>2202.13</c:v>
                </c:pt>
                <c:pt idx="63">
                  <c:v>2514.1489999999999</c:v>
                </c:pt>
                <c:pt idx="64">
                  <c:v>2522.7809999999999</c:v>
                </c:pt>
                <c:pt idx="65">
                  <c:v>2386.5839999999998</c:v>
                </c:pt>
                <c:pt idx="66">
                  <c:v>2514.067</c:v>
                </c:pt>
                <c:pt idx="67">
                  <c:v>2614.7049999999999</c:v>
                </c:pt>
                <c:pt idx="68">
                  <c:v>2545.529</c:v>
                </c:pt>
                <c:pt idx="69">
                  <c:v>2435.0189999999998</c:v>
                </c:pt>
                <c:pt idx="70">
                  <c:v>2293.1219999999998</c:v>
                </c:pt>
                <c:pt idx="71">
                  <c:v>2298.7750000000001</c:v>
                </c:pt>
                <c:pt idx="72">
                  <c:v>2657.8829999999998</c:v>
                </c:pt>
                <c:pt idx="73">
                  <c:v>2616.7890000000002</c:v>
                </c:pt>
                <c:pt idx="74">
                  <c:v>2337.6950000000002</c:v>
                </c:pt>
                <c:pt idx="75">
                  <c:v>2623.7179999999998</c:v>
                </c:pt>
                <c:pt idx="76">
                  <c:v>2579.0340000000001</c:v>
                </c:pt>
                <c:pt idx="77">
                  <c:v>2486.4360000000001</c:v>
                </c:pt>
                <c:pt idx="78">
                  <c:v>2429.2289999999998</c:v>
                </c:pt>
                <c:pt idx="79">
                  <c:v>2383.8339999999998</c:v>
                </c:pt>
                <c:pt idx="80">
                  <c:v>2296.9580000000001</c:v>
                </c:pt>
                <c:pt idx="81">
                  <c:v>2406.924</c:v>
                </c:pt>
                <c:pt idx="82">
                  <c:v>2435.6089999999999</c:v>
                </c:pt>
                <c:pt idx="83">
                  <c:v>2255.623</c:v>
                </c:pt>
                <c:pt idx="84">
                  <c:v>2622.26</c:v>
                </c:pt>
                <c:pt idx="85">
                  <c:v>2608.201</c:v>
                </c:pt>
                <c:pt idx="86">
                  <c:v>2280.8530000000001</c:v>
                </c:pt>
                <c:pt idx="87">
                  <c:v>2547.1640000000002</c:v>
                </c:pt>
                <c:pt idx="88">
                  <c:v>2588.2139999999999</c:v>
                </c:pt>
                <c:pt idx="89">
                  <c:v>2486.0309999999999</c:v>
                </c:pt>
                <c:pt idx="90">
                  <c:v>2818.4409999999998</c:v>
                </c:pt>
                <c:pt idx="91">
                  <c:v>3011.884</c:v>
                </c:pt>
                <c:pt idx="92">
                  <c:v>2914.1480000000001</c:v>
                </c:pt>
                <c:pt idx="93">
                  <c:v>2999.4389999999999</c:v>
                </c:pt>
                <c:pt idx="94">
                  <c:v>2904.26</c:v>
                </c:pt>
                <c:pt idx="95">
                  <c:v>2684.4659999999999</c:v>
                </c:pt>
                <c:pt idx="96">
                  <c:v>3140.2339999999999</c:v>
                </c:pt>
                <c:pt idx="97">
                  <c:v>3139.7559999999999</c:v>
                </c:pt>
                <c:pt idx="98">
                  <c:v>2940.8780000000002</c:v>
                </c:pt>
                <c:pt idx="99">
                  <c:v>3341.13</c:v>
                </c:pt>
                <c:pt idx="100">
                  <c:v>3440.7159999999999</c:v>
                </c:pt>
                <c:pt idx="101">
                  <c:v>3533.096</c:v>
                </c:pt>
                <c:pt idx="102">
                  <c:v>3910.8150000000001</c:v>
                </c:pt>
                <c:pt idx="103">
                  <c:v>3913.2359999999999</c:v>
                </c:pt>
                <c:pt idx="104">
                  <c:v>3753.8240000000001</c:v>
                </c:pt>
                <c:pt idx="105">
                  <c:v>3728.9920000000002</c:v>
                </c:pt>
                <c:pt idx="106">
                  <c:v>3527.4589999999998</c:v>
                </c:pt>
                <c:pt idx="107">
                  <c:v>3758.25</c:v>
                </c:pt>
                <c:pt idx="108">
                  <c:v>3673.1550000000002</c:v>
                </c:pt>
                <c:pt idx="109">
                  <c:v>3424.241</c:v>
                </c:pt>
                <c:pt idx="110">
                  <c:v>3392.9969999999998</c:v>
                </c:pt>
                <c:pt idx="111">
                  <c:v>3510.864</c:v>
                </c:pt>
                <c:pt idx="112">
                  <c:v>3783.0819999999999</c:v>
                </c:pt>
                <c:pt idx="113">
                  <c:v>3509.634</c:v>
                </c:pt>
                <c:pt idx="114">
                  <c:v>3600.4059999999999</c:v>
                </c:pt>
                <c:pt idx="115">
                  <c:v>3599.83</c:v>
                </c:pt>
                <c:pt idx="116">
                  <c:v>3483.4520000000002</c:v>
                </c:pt>
                <c:pt idx="117">
                  <c:v>3536.1529999999998</c:v>
                </c:pt>
                <c:pt idx="118">
                  <c:v>3521.7620000000002</c:v>
                </c:pt>
                <c:pt idx="119">
                  <c:v>3213.7629999999999</c:v>
                </c:pt>
                <c:pt idx="120">
                  <c:v>3564.319</c:v>
                </c:pt>
                <c:pt idx="121">
                  <c:v>3744.5140000000001</c:v>
                </c:pt>
                <c:pt idx="122">
                  <c:v>3859.2060000000001</c:v>
                </c:pt>
                <c:pt idx="123">
                  <c:v>3789.1559999999999</c:v>
                </c:pt>
                <c:pt idx="124">
                  <c:v>3655.4290000000001</c:v>
                </c:pt>
                <c:pt idx="125">
                  <c:v>3587.94</c:v>
                </c:pt>
                <c:pt idx="126">
                  <c:v>3502.2890000000002</c:v>
                </c:pt>
                <c:pt idx="127">
                  <c:v>3398.3760000000002</c:v>
                </c:pt>
                <c:pt idx="128">
                  <c:v>3299.5450000000001</c:v>
                </c:pt>
                <c:pt idx="129">
                  <c:v>3243.9259999999999</c:v>
                </c:pt>
                <c:pt idx="130">
                  <c:v>3476.683</c:v>
                </c:pt>
                <c:pt idx="131">
                  <c:v>3617.973</c:v>
                </c:pt>
                <c:pt idx="132">
                  <c:v>3827.942</c:v>
                </c:pt>
                <c:pt idx="133">
                  <c:v>3629.2869999999998</c:v>
                </c:pt>
                <c:pt idx="134">
                  <c:v>3905.4349999999999</c:v>
                </c:pt>
                <c:pt idx="135">
                  <c:v>3949.105</c:v>
                </c:pt>
                <c:pt idx="136">
                  <c:v>3900.89</c:v>
                </c:pt>
                <c:pt idx="137">
                  <c:v>3806.8820000000001</c:v>
                </c:pt>
                <c:pt idx="138">
                  <c:v>3468.944</c:v>
                </c:pt>
                <c:pt idx="139">
                  <c:v>3849.8960000000002</c:v>
                </c:pt>
                <c:pt idx="140">
                  <c:v>3669.5419999999999</c:v>
                </c:pt>
                <c:pt idx="141">
                  <c:v>3936.7979999999998</c:v>
                </c:pt>
                <c:pt idx="142">
                  <c:v>4042.9340000000002</c:v>
                </c:pt>
                <c:pt idx="143">
                  <c:v>4095.873</c:v>
                </c:pt>
                <c:pt idx="144">
                  <c:v>4064.59</c:v>
                </c:pt>
                <c:pt idx="145">
                  <c:v>4058.2579999999998</c:v>
                </c:pt>
                <c:pt idx="146">
                  <c:v>4344.7669999999998</c:v>
                </c:pt>
                <c:pt idx="147">
                  <c:v>4554.201</c:v>
                </c:pt>
                <c:pt idx="148">
                  <c:v>4614.0079999999998</c:v>
                </c:pt>
                <c:pt idx="149">
                  <c:v>4616.9650000000001</c:v>
                </c:pt>
                <c:pt idx="150">
                  <c:v>4806.6880000000001</c:v>
                </c:pt>
                <c:pt idx="151">
                  <c:v>4960.6419999999998</c:v>
                </c:pt>
                <c:pt idx="152">
                  <c:v>5234.8019999999997</c:v>
                </c:pt>
                <c:pt idx="153">
                  <c:v>5436.8109999999997</c:v>
                </c:pt>
                <c:pt idx="154">
                  <c:v>5277.643</c:v>
                </c:pt>
                <c:pt idx="155">
                  <c:v>5206.1450000000004</c:v>
                </c:pt>
                <c:pt idx="156">
                  <c:v>5572.6279999999997</c:v>
                </c:pt>
                <c:pt idx="157">
                  <c:v>5646.35</c:v>
                </c:pt>
                <c:pt idx="158">
                  <c:v>6187.3119999999999</c:v>
                </c:pt>
                <c:pt idx="159">
                  <c:v>6560.2860000000001</c:v>
                </c:pt>
                <c:pt idx="160">
                  <c:v>6532.2979999999998</c:v>
                </c:pt>
                <c:pt idx="161">
                  <c:v>6535.8909999999996</c:v>
                </c:pt>
                <c:pt idx="162">
                  <c:v>6539.1260000000002</c:v>
                </c:pt>
                <c:pt idx="163">
                  <c:v>6835.0050000000001</c:v>
                </c:pt>
                <c:pt idx="164">
                  <c:v>7629.01</c:v>
                </c:pt>
                <c:pt idx="165">
                  <c:v>7934.3959999999997</c:v>
                </c:pt>
                <c:pt idx="166">
                  <c:v>8368.3089999999993</c:v>
                </c:pt>
                <c:pt idx="167">
                  <c:v>8585.6620000000003</c:v>
                </c:pt>
                <c:pt idx="168">
                  <c:v>9644.6</c:v>
                </c:pt>
                <c:pt idx="169">
                  <c:v>10388.584000000001</c:v>
                </c:pt>
                <c:pt idx="170">
                  <c:v>9236.5709999999999</c:v>
                </c:pt>
                <c:pt idx="171">
                  <c:v>9172.8340000000007</c:v>
                </c:pt>
                <c:pt idx="172">
                  <c:v>9037.0229999999992</c:v>
                </c:pt>
              </c:numCache>
            </c:numRef>
          </c:val>
          <c:extLst>
            <c:ext xmlns:c16="http://schemas.microsoft.com/office/drawing/2014/chart" uri="{C3380CC4-5D6E-409C-BE32-E72D297353CC}">
              <c16:uniqueId val="{00000003-29CD-415A-B505-32B25570C428}"/>
            </c:ext>
          </c:extLst>
        </c:ser>
        <c:dLbls>
          <c:showLegendKey val="0"/>
          <c:showVal val="0"/>
          <c:showCatName val="0"/>
          <c:showSerName val="0"/>
          <c:showPercent val="0"/>
          <c:showBubbleSize val="0"/>
        </c:dLbls>
        <c:axId val="176853807"/>
        <c:axId val="176838831"/>
      </c:areaChart>
      <c:dateAx>
        <c:axId val="176853807"/>
        <c:scaling>
          <c:orientation val="minMax"/>
          <c:max val="45976"/>
          <c:min val="42323"/>
        </c:scaling>
        <c:delete val="0"/>
        <c:axPos val="b"/>
        <c:numFmt formatCode="mmm\-yy" sourceLinked="1"/>
        <c:majorTickMark val="out"/>
        <c:minorTickMark val="none"/>
        <c:tickLblPos val="low"/>
        <c:spPr>
          <a:noFill/>
          <a:ln w="12700" cap="flat" cmpd="sng" algn="ctr">
            <a:solidFill>
              <a:srgbClr val="333333"/>
            </a:solidFill>
            <a:prstDash val="solid"/>
            <a:round/>
          </a:ln>
          <a:effectLst/>
        </c:spPr>
        <c:txPr>
          <a:bodyPr rot="-60000000" spcFirstLastPara="1" vertOverflow="ellipsis" vert="horz" wrap="square" anchor="ctr" anchorCtr="1"/>
          <a:lstStyle/>
          <a:p>
            <a:pPr>
              <a:defRPr sz="900" b="0" i="0" u="none" strike="noStrike" kern="1200" baseline="0">
                <a:solidFill>
                  <a:srgbClr val="000000"/>
                </a:solidFill>
                <a:latin typeface="Credit Suisse Type Light"/>
                <a:ea typeface="Credit Suisse Type Light"/>
                <a:cs typeface="Credit Suisse Type Light"/>
              </a:defRPr>
            </a:pPr>
            <a:endParaRPr lang="en-US"/>
          </a:p>
        </c:txPr>
        <c:crossAx val="176838831"/>
        <c:crosses val="autoZero"/>
        <c:auto val="1"/>
        <c:lblOffset val="100"/>
        <c:baseTimeUnit val="months"/>
        <c:majorUnit val="24"/>
        <c:majorTimeUnit val="months"/>
      </c:dateAx>
      <c:valAx>
        <c:axId val="176838831"/>
        <c:scaling>
          <c:orientation val="minMax"/>
          <c:max val="80000"/>
          <c:min val="-10000"/>
        </c:scaling>
        <c:delete val="0"/>
        <c:axPos val="l"/>
        <c:numFmt formatCode="#,##0" sourceLinked="0"/>
        <c:majorTickMark val="out"/>
        <c:minorTickMark val="none"/>
        <c:tickLblPos val="nextTo"/>
        <c:spPr>
          <a:noFill/>
          <a:ln w="12700">
            <a:solidFill>
              <a:srgbClr val="333333"/>
            </a:solidFill>
            <a:prstDash val="solid"/>
          </a:ln>
          <a:effectLst/>
        </c:spPr>
        <c:txPr>
          <a:bodyPr rot="-60000000" spcFirstLastPara="1" vertOverflow="ellipsis" vert="horz" wrap="square" anchor="ctr" anchorCtr="1"/>
          <a:lstStyle/>
          <a:p>
            <a:pPr>
              <a:defRPr sz="900" b="0" i="0" u="none" strike="noStrike" kern="1200" baseline="0">
                <a:solidFill>
                  <a:srgbClr val="000000"/>
                </a:solidFill>
                <a:latin typeface="Credit Suisse Type Light"/>
                <a:ea typeface="Credit Suisse Type Light"/>
                <a:cs typeface="Credit Suisse Type Light"/>
              </a:defRPr>
            </a:pPr>
            <a:endParaRPr lang="en-US"/>
          </a:p>
        </c:txPr>
        <c:crossAx val="176853807"/>
        <c:crosses val="autoZero"/>
        <c:crossBetween val="midCat"/>
        <c:majorUnit val="10000"/>
        <c:dispUnits>
          <c:builtInUnit val="thousands"/>
        </c:dispUnits>
      </c:valAx>
      <c:spPr>
        <a:noFill/>
        <a:ln w="25400">
          <a:noFill/>
        </a:ln>
        <a:effectLst/>
      </c:spPr>
    </c:plotArea>
    <c:legend>
      <c:legendPos val="b"/>
      <c:layout>
        <c:manualLayout>
          <c:xMode val="edge"/>
          <c:yMode val="edge"/>
          <c:x val="0.58692967989800704"/>
          <c:y val="9.5635951324102936E-2"/>
          <c:w val="0.27750641068475046"/>
          <c:h val="0.1813240714216770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000000"/>
              </a:solidFill>
              <a:latin typeface="Credit Suisse Type Light"/>
              <a:ea typeface="Credit Suisse Type Light"/>
              <a:cs typeface="Credit Suisse Type Light"/>
            </a:defRPr>
          </a:pPr>
          <a:endParaRPr lang="en-US"/>
        </a:p>
      </c:txPr>
    </c:legend>
    <c:plotVisOnly val="1"/>
    <c:dispBlanksAs val="zero"/>
    <c:showDLblsOverMax val="0"/>
  </c:chart>
  <c:spPr>
    <a:solidFill>
      <a:srgbClr val="FFFFFF"/>
    </a:solidFill>
    <a:ln w="25400" cap="flat" cmpd="sng" algn="ctr">
      <a:noFill/>
      <a:round/>
    </a:ln>
    <a:effectLst/>
  </c:spPr>
  <c:txPr>
    <a:bodyPr/>
    <a:lstStyle/>
    <a:p>
      <a:pPr>
        <a:defRPr sz="900" b="0" i="0">
          <a:solidFill>
            <a:srgbClr val="333333"/>
          </a:solidFill>
          <a:latin typeface="Credit Suisse Type Light"/>
          <a:ea typeface="Credit Suisse Type Light"/>
          <a:cs typeface="Credit Suisse Type Light"/>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40" b="0" i="0" u="none" strike="noStrike" kern="1200" spc="0" baseline="0">
                <a:solidFill>
                  <a:sysClr val="windowText" lastClr="000000"/>
                </a:solidFill>
                <a:latin typeface="Frutiger 45 Light" panose="020B0603020202020204" pitchFamily="34" charset="0"/>
                <a:ea typeface="Credit Suisse Type Light"/>
                <a:cs typeface="Credit Suisse Type Light"/>
              </a:defRPr>
            </a:pPr>
            <a:r>
              <a:rPr lang="en-US" b="1"/>
              <a:t>Selected composition of gross international reserves</a:t>
            </a:r>
          </a:p>
          <a:p>
            <a:pPr algn="l">
              <a:defRPr/>
            </a:pPr>
            <a:r>
              <a:rPr lang="en-US"/>
              <a:t>USD</a:t>
            </a:r>
            <a:r>
              <a:rPr lang="en-US" baseline="0"/>
              <a:t> billions</a:t>
            </a:r>
            <a:endParaRPr lang="en-US"/>
          </a:p>
        </c:rich>
      </c:tx>
      <c:layout>
        <c:manualLayout>
          <c:xMode val="edge"/>
          <c:yMode val="edge"/>
          <c:x val="0.12054205121854687"/>
          <c:y val="1.8991896846227554E-2"/>
        </c:manualLayout>
      </c:layout>
      <c:overlay val="0"/>
      <c:spPr>
        <a:noFill/>
        <a:ln>
          <a:noFill/>
        </a:ln>
        <a:effectLst/>
      </c:spPr>
      <c:txPr>
        <a:bodyPr rot="0" spcFirstLastPara="1" vertOverflow="ellipsis" vert="horz" wrap="square" anchor="ctr" anchorCtr="1"/>
        <a:lstStyle/>
        <a:p>
          <a:pPr algn="l">
            <a:defRPr sz="1440" b="0" i="0" u="none" strike="noStrike" kern="1200" spc="0" baseline="0">
              <a:solidFill>
                <a:sysClr val="windowText" lastClr="000000"/>
              </a:solidFill>
              <a:latin typeface="Frutiger 45 Light" panose="020B0603020202020204" pitchFamily="34" charset="0"/>
              <a:ea typeface="Credit Suisse Type Light"/>
              <a:cs typeface="Credit Suisse Type Light"/>
            </a:defRPr>
          </a:pPr>
          <a:endParaRPr lang="en-US"/>
        </a:p>
      </c:txPr>
    </c:title>
    <c:autoTitleDeleted val="0"/>
    <c:plotArea>
      <c:layout>
        <c:manualLayout>
          <c:layoutTarget val="inner"/>
          <c:xMode val="edge"/>
          <c:yMode val="edge"/>
          <c:x val="8.3008791613523661E-2"/>
          <c:y val="4.8181477315335591E-2"/>
          <c:w val="0.86213774664602327"/>
          <c:h val="0.87802566345873434"/>
        </c:manualLayout>
      </c:layout>
      <c:areaChart>
        <c:grouping val="stacked"/>
        <c:varyColors val="0"/>
        <c:ser>
          <c:idx val="0"/>
          <c:order val="0"/>
          <c:tx>
            <c:strRef>
              <c:f>'Net reserves'!$A$12</c:f>
              <c:strCache>
                <c:ptCount val="1"/>
                <c:pt idx="0">
                  <c:v>Net reserves</c:v>
                </c:pt>
              </c:strCache>
            </c:strRef>
          </c:tx>
          <c:spPr>
            <a:solidFill>
              <a:srgbClr val="8A0000"/>
            </a:solidFill>
            <a:ln w="12700">
              <a:noFill/>
              <a:prstDash val="solid"/>
            </a:ln>
            <a:effectLst/>
          </c:spPr>
          <c:cat>
            <c:numRef>
              <c:f>'Net reserves'!$H$10:$GA$10</c:f>
              <c:numCache>
                <c:formatCode>mmm\-yy</c:formatCode>
                <c:ptCount val="176"/>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pt idx="14">
                  <c:v>41334</c:v>
                </c:pt>
                <c:pt idx="15">
                  <c:v>41365</c:v>
                </c:pt>
                <c:pt idx="16">
                  <c:v>41395</c:v>
                </c:pt>
                <c:pt idx="17">
                  <c:v>41426</c:v>
                </c:pt>
                <c:pt idx="18">
                  <c:v>41456</c:v>
                </c:pt>
                <c:pt idx="19">
                  <c:v>41487</c:v>
                </c:pt>
                <c:pt idx="20">
                  <c:v>41518</c:v>
                </c:pt>
                <c:pt idx="21">
                  <c:v>41548</c:v>
                </c:pt>
                <c:pt idx="22">
                  <c:v>41579</c:v>
                </c:pt>
                <c:pt idx="23">
                  <c:v>41609</c:v>
                </c:pt>
                <c:pt idx="24">
                  <c:v>41640</c:v>
                </c:pt>
                <c:pt idx="25">
                  <c:v>41671</c:v>
                </c:pt>
                <c:pt idx="26">
                  <c:v>41699</c:v>
                </c:pt>
                <c:pt idx="27">
                  <c:v>41730</c:v>
                </c:pt>
                <c:pt idx="28">
                  <c:v>41760</c:v>
                </c:pt>
                <c:pt idx="29">
                  <c:v>41791</c:v>
                </c:pt>
                <c:pt idx="30">
                  <c:v>41821</c:v>
                </c:pt>
                <c:pt idx="31">
                  <c:v>41852</c:v>
                </c:pt>
                <c:pt idx="32">
                  <c:v>41883</c:v>
                </c:pt>
                <c:pt idx="33">
                  <c:v>41913</c:v>
                </c:pt>
                <c:pt idx="34">
                  <c:v>41944</c:v>
                </c:pt>
                <c:pt idx="35">
                  <c:v>41974</c:v>
                </c:pt>
                <c:pt idx="36">
                  <c:v>42005</c:v>
                </c:pt>
                <c:pt idx="37">
                  <c:v>42036</c:v>
                </c:pt>
                <c:pt idx="38">
                  <c:v>42064</c:v>
                </c:pt>
                <c:pt idx="39">
                  <c:v>42095</c:v>
                </c:pt>
                <c:pt idx="40">
                  <c:v>42125</c:v>
                </c:pt>
                <c:pt idx="41">
                  <c:v>42156</c:v>
                </c:pt>
                <c:pt idx="42">
                  <c:v>42186</c:v>
                </c:pt>
                <c:pt idx="43">
                  <c:v>42217</c:v>
                </c:pt>
                <c:pt idx="44">
                  <c:v>42248</c:v>
                </c:pt>
                <c:pt idx="45">
                  <c:v>42278</c:v>
                </c:pt>
                <c:pt idx="46">
                  <c:v>42309</c:v>
                </c:pt>
                <c:pt idx="47">
                  <c:v>42339</c:v>
                </c:pt>
                <c:pt idx="48">
                  <c:v>42370</c:v>
                </c:pt>
                <c:pt idx="49">
                  <c:v>42401</c:v>
                </c:pt>
                <c:pt idx="50">
                  <c:v>42430</c:v>
                </c:pt>
                <c:pt idx="51">
                  <c:v>42461</c:v>
                </c:pt>
                <c:pt idx="52">
                  <c:v>42491</c:v>
                </c:pt>
                <c:pt idx="53">
                  <c:v>42522</c:v>
                </c:pt>
                <c:pt idx="54">
                  <c:v>42552</c:v>
                </c:pt>
                <c:pt idx="55">
                  <c:v>42583</c:v>
                </c:pt>
                <c:pt idx="56">
                  <c:v>42614</c:v>
                </c:pt>
                <c:pt idx="57">
                  <c:v>42644</c:v>
                </c:pt>
                <c:pt idx="58">
                  <c:v>42675</c:v>
                </c:pt>
                <c:pt idx="59">
                  <c:v>42705</c:v>
                </c:pt>
                <c:pt idx="60">
                  <c:v>42736</c:v>
                </c:pt>
                <c:pt idx="61">
                  <c:v>42767</c:v>
                </c:pt>
                <c:pt idx="62">
                  <c:v>42795</c:v>
                </c:pt>
                <c:pt idx="63">
                  <c:v>42826</c:v>
                </c:pt>
                <c:pt idx="64">
                  <c:v>42856</c:v>
                </c:pt>
                <c:pt idx="65">
                  <c:v>42887</c:v>
                </c:pt>
                <c:pt idx="66">
                  <c:v>42917</c:v>
                </c:pt>
                <c:pt idx="67">
                  <c:v>42948</c:v>
                </c:pt>
                <c:pt idx="68">
                  <c:v>42979</c:v>
                </c:pt>
                <c:pt idx="69">
                  <c:v>43009</c:v>
                </c:pt>
                <c:pt idx="70">
                  <c:v>43040</c:v>
                </c:pt>
                <c:pt idx="71">
                  <c:v>43070</c:v>
                </c:pt>
                <c:pt idx="72">
                  <c:v>43101</c:v>
                </c:pt>
                <c:pt idx="73">
                  <c:v>43132</c:v>
                </c:pt>
                <c:pt idx="74">
                  <c:v>43160</c:v>
                </c:pt>
                <c:pt idx="75">
                  <c:v>43191</c:v>
                </c:pt>
                <c:pt idx="76">
                  <c:v>43221</c:v>
                </c:pt>
                <c:pt idx="77">
                  <c:v>43252</c:v>
                </c:pt>
                <c:pt idx="78">
                  <c:v>43282</c:v>
                </c:pt>
                <c:pt idx="79">
                  <c:v>43313</c:v>
                </c:pt>
                <c:pt idx="80">
                  <c:v>43344</c:v>
                </c:pt>
                <c:pt idx="81">
                  <c:v>43374</c:v>
                </c:pt>
                <c:pt idx="82">
                  <c:v>43405</c:v>
                </c:pt>
                <c:pt idx="83">
                  <c:v>43435</c:v>
                </c:pt>
                <c:pt idx="84">
                  <c:v>43466</c:v>
                </c:pt>
                <c:pt idx="85">
                  <c:v>43497</c:v>
                </c:pt>
                <c:pt idx="86">
                  <c:v>43525</c:v>
                </c:pt>
                <c:pt idx="87">
                  <c:v>43556</c:v>
                </c:pt>
                <c:pt idx="88">
                  <c:v>43586</c:v>
                </c:pt>
                <c:pt idx="89">
                  <c:v>43617</c:v>
                </c:pt>
                <c:pt idx="90">
                  <c:v>43647</c:v>
                </c:pt>
                <c:pt idx="91">
                  <c:v>43678</c:v>
                </c:pt>
                <c:pt idx="92">
                  <c:v>43709</c:v>
                </c:pt>
                <c:pt idx="93">
                  <c:v>43739</c:v>
                </c:pt>
                <c:pt idx="94">
                  <c:v>43770</c:v>
                </c:pt>
                <c:pt idx="95">
                  <c:v>43800</c:v>
                </c:pt>
                <c:pt idx="96">
                  <c:v>43831</c:v>
                </c:pt>
                <c:pt idx="97">
                  <c:v>43862</c:v>
                </c:pt>
                <c:pt idx="98">
                  <c:v>43891</c:v>
                </c:pt>
                <c:pt idx="99">
                  <c:v>43922</c:v>
                </c:pt>
                <c:pt idx="100">
                  <c:v>43952</c:v>
                </c:pt>
                <c:pt idx="101">
                  <c:v>43983</c:v>
                </c:pt>
                <c:pt idx="102">
                  <c:v>44013</c:v>
                </c:pt>
                <c:pt idx="103">
                  <c:v>44044</c:v>
                </c:pt>
                <c:pt idx="104">
                  <c:v>44075</c:v>
                </c:pt>
                <c:pt idx="105">
                  <c:v>44105</c:v>
                </c:pt>
                <c:pt idx="106">
                  <c:v>44136</c:v>
                </c:pt>
                <c:pt idx="107">
                  <c:v>44166</c:v>
                </c:pt>
                <c:pt idx="108">
                  <c:v>44197</c:v>
                </c:pt>
                <c:pt idx="109">
                  <c:v>44228</c:v>
                </c:pt>
                <c:pt idx="110">
                  <c:v>44256</c:v>
                </c:pt>
                <c:pt idx="111">
                  <c:v>44287</c:v>
                </c:pt>
                <c:pt idx="112">
                  <c:v>44317</c:v>
                </c:pt>
                <c:pt idx="113">
                  <c:v>44348</c:v>
                </c:pt>
                <c:pt idx="114">
                  <c:v>44378</c:v>
                </c:pt>
                <c:pt idx="115">
                  <c:v>44409</c:v>
                </c:pt>
                <c:pt idx="116">
                  <c:v>44440</c:v>
                </c:pt>
                <c:pt idx="117">
                  <c:v>44470</c:v>
                </c:pt>
                <c:pt idx="118">
                  <c:v>44501</c:v>
                </c:pt>
                <c:pt idx="119">
                  <c:v>44531</c:v>
                </c:pt>
                <c:pt idx="120">
                  <c:v>44562</c:v>
                </c:pt>
                <c:pt idx="121">
                  <c:v>44593</c:v>
                </c:pt>
                <c:pt idx="122">
                  <c:v>44621</c:v>
                </c:pt>
                <c:pt idx="123">
                  <c:v>44652</c:v>
                </c:pt>
                <c:pt idx="124">
                  <c:v>44682</c:v>
                </c:pt>
                <c:pt idx="125">
                  <c:v>44713</c:v>
                </c:pt>
                <c:pt idx="126">
                  <c:v>44743</c:v>
                </c:pt>
                <c:pt idx="127">
                  <c:v>44774</c:v>
                </c:pt>
                <c:pt idx="128">
                  <c:v>44805</c:v>
                </c:pt>
                <c:pt idx="129">
                  <c:v>44835</c:v>
                </c:pt>
                <c:pt idx="130">
                  <c:v>44866</c:v>
                </c:pt>
                <c:pt idx="131">
                  <c:v>44896</c:v>
                </c:pt>
                <c:pt idx="132">
                  <c:v>44927</c:v>
                </c:pt>
                <c:pt idx="133">
                  <c:v>44958</c:v>
                </c:pt>
                <c:pt idx="134">
                  <c:v>44986</c:v>
                </c:pt>
                <c:pt idx="135">
                  <c:v>45017</c:v>
                </c:pt>
                <c:pt idx="136">
                  <c:v>45047</c:v>
                </c:pt>
                <c:pt idx="137">
                  <c:v>45078</c:v>
                </c:pt>
                <c:pt idx="138">
                  <c:v>45108</c:v>
                </c:pt>
                <c:pt idx="139">
                  <c:v>45139</c:v>
                </c:pt>
                <c:pt idx="140">
                  <c:v>45170</c:v>
                </c:pt>
                <c:pt idx="141">
                  <c:v>45200</c:v>
                </c:pt>
                <c:pt idx="142">
                  <c:v>45231</c:v>
                </c:pt>
                <c:pt idx="143">
                  <c:v>45261</c:v>
                </c:pt>
                <c:pt idx="144">
                  <c:v>45292</c:v>
                </c:pt>
                <c:pt idx="145">
                  <c:v>45323</c:v>
                </c:pt>
                <c:pt idx="146">
                  <c:v>45352</c:v>
                </c:pt>
                <c:pt idx="147">
                  <c:v>45383</c:v>
                </c:pt>
                <c:pt idx="148">
                  <c:v>45413</c:v>
                </c:pt>
                <c:pt idx="149">
                  <c:v>45444</c:v>
                </c:pt>
                <c:pt idx="150">
                  <c:v>45474</c:v>
                </c:pt>
                <c:pt idx="151">
                  <c:v>45505</c:v>
                </c:pt>
                <c:pt idx="152">
                  <c:v>45536</c:v>
                </c:pt>
                <c:pt idx="153">
                  <c:v>45566</c:v>
                </c:pt>
                <c:pt idx="154">
                  <c:v>45597</c:v>
                </c:pt>
                <c:pt idx="155">
                  <c:v>45627</c:v>
                </c:pt>
                <c:pt idx="156">
                  <c:v>45658</c:v>
                </c:pt>
                <c:pt idx="157">
                  <c:v>45689</c:v>
                </c:pt>
                <c:pt idx="158">
                  <c:v>45717</c:v>
                </c:pt>
                <c:pt idx="159">
                  <c:v>45748</c:v>
                </c:pt>
                <c:pt idx="160">
                  <c:v>45778</c:v>
                </c:pt>
                <c:pt idx="161">
                  <c:v>45809</c:v>
                </c:pt>
                <c:pt idx="162">
                  <c:v>45839</c:v>
                </c:pt>
                <c:pt idx="163">
                  <c:v>45870</c:v>
                </c:pt>
                <c:pt idx="164">
                  <c:v>45901</c:v>
                </c:pt>
                <c:pt idx="165">
                  <c:v>45931</c:v>
                </c:pt>
                <c:pt idx="166">
                  <c:v>45962</c:v>
                </c:pt>
                <c:pt idx="167">
                  <c:v>45992</c:v>
                </c:pt>
                <c:pt idx="168">
                  <c:v>46023</c:v>
                </c:pt>
                <c:pt idx="169">
                  <c:v>46054</c:v>
                </c:pt>
                <c:pt idx="170">
                  <c:v>46082</c:v>
                </c:pt>
                <c:pt idx="171">
                  <c:v>46113</c:v>
                </c:pt>
                <c:pt idx="172">
                  <c:v>46143</c:v>
                </c:pt>
                <c:pt idx="173">
                  <c:v>46174</c:v>
                </c:pt>
                <c:pt idx="174">
                  <c:v>46204</c:v>
                </c:pt>
                <c:pt idx="175">
                  <c:v>46235</c:v>
                </c:pt>
              </c:numCache>
            </c:numRef>
          </c:cat>
          <c:val>
            <c:numRef>
              <c:f>'Net reserves'!$H$12:$GA$12</c:f>
              <c:numCache>
                <c:formatCode>_(* #,##0.00_);_(* \(#,##0.00\);_(* "-"??_);_(@_)</c:formatCode>
                <c:ptCount val="176"/>
                <c:pt idx="0">
                  <c:v>38906.998575167941</c:v>
                </c:pt>
                <c:pt idx="1">
                  <c:v>39046.497944890929</c:v>
                </c:pt>
                <c:pt idx="2">
                  <c:v>39370.86746295022</c:v>
                </c:pt>
                <c:pt idx="3">
                  <c:v>40023.011065726634</c:v>
                </c:pt>
                <c:pt idx="4">
                  <c:v>39947.098896877105</c:v>
                </c:pt>
                <c:pt idx="5">
                  <c:v>40166.411977900549</c:v>
                </c:pt>
                <c:pt idx="6">
                  <c:v>40038.853928961747</c:v>
                </c:pt>
                <c:pt idx="7">
                  <c:v>37843.96859333045</c:v>
                </c:pt>
                <c:pt idx="8">
                  <c:v>37575.449846055162</c:v>
                </c:pt>
                <c:pt idx="9">
                  <c:v>36594.867022756</c:v>
                </c:pt>
                <c:pt idx="10">
                  <c:v>36248.632582213031</c:v>
                </c:pt>
                <c:pt idx="11">
                  <c:v>33858.245082482637</c:v>
                </c:pt>
                <c:pt idx="12">
                  <c:v>33639.652914400802</c:v>
                </c:pt>
                <c:pt idx="13">
                  <c:v>32864.759206923991</c:v>
                </c:pt>
                <c:pt idx="14">
                  <c:v>31986.636406115253</c:v>
                </c:pt>
                <c:pt idx="15">
                  <c:v>30532.050004830915</c:v>
                </c:pt>
                <c:pt idx="16">
                  <c:v>29536.084389057756</c:v>
                </c:pt>
                <c:pt idx="17">
                  <c:v>28081.651767441861</c:v>
                </c:pt>
                <c:pt idx="18">
                  <c:v>27734.514824065638</c:v>
                </c:pt>
                <c:pt idx="19">
                  <c:v>24505.176215852796</c:v>
                </c:pt>
                <c:pt idx="20">
                  <c:v>22120.37997835498</c:v>
                </c:pt>
                <c:pt idx="21">
                  <c:v>20310.946687712152</c:v>
                </c:pt>
                <c:pt idx="22">
                  <c:v>17956.071322169584</c:v>
                </c:pt>
                <c:pt idx="23">
                  <c:v>16190.752109521616</c:v>
                </c:pt>
                <c:pt idx="24">
                  <c:v>13056.723419518376</c:v>
                </c:pt>
                <c:pt idx="25">
                  <c:v>14938.487648261758</c:v>
                </c:pt>
                <c:pt idx="26">
                  <c:v>15098.470637826958</c:v>
                </c:pt>
                <c:pt idx="27">
                  <c:v>17333.652050301811</c:v>
                </c:pt>
                <c:pt idx="28">
                  <c:v>17659.578244084682</c:v>
                </c:pt>
                <c:pt idx="29">
                  <c:v>17787.687395892612</c:v>
                </c:pt>
                <c:pt idx="30">
                  <c:v>17924.781815177481</c:v>
                </c:pt>
                <c:pt idx="31">
                  <c:v>17585.437026104661</c:v>
                </c:pt>
                <c:pt idx="32">
                  <c:v>17098.613221957039</c:v>
                </c:pt>
                <c:pt idx="33">
                  <c:v>16180.354955595027</c:v>
                </c:pt>
                <c:pt idx="34">
                  <c:v>16161.911415094341</c:v>
                </c:pt>
                <c:pt idx="35">
                  <c:v>17017.012331374855</c:v>
                </c:pt>
                <c:pt idx="36">
                  <c:v>15920.056030250144</c:v>
                </c:pt>
                <c:pt idx="37">
                  <c:v>15072.470691244242</c:v>
                </c:pt>
                <c:pt idx="38">
                  <c:v>14356.583329532494</c:v>
                </c:pt>
                <c:pt idx="39">
                  <c:v>16140.270902934535</c:v>
                </c:pt>
                <c:pt idx="40">
                  <c:v>15140.36801621017</c:v>
                </c:pt>
                <c:pt idx="41">
                  <c:v>14772.109690265483</c:v>
                </c:pt>
                <c:pt idx="42">
                  <c:v>14442.367754510666</c:v>
                </c:pt>
                <c:pt idx="43">
                  <c:v>12398.463513513514</c:v>
                </c:pt>
                <c:pt idx="44">
                  <c:v>10893.057666666668</c:v>
                </c:pt>
                <c:pt idx="45">
                  <c:v>3198.6177091004738</c:v>
                </c:pt>
                <c:pt idx="46">
                  <c:v>1874.9284878175222</c:v>
                </c:pt>
                <c:pt idx="47">
                  <c:v>518.24403816793802</c:v>
                </c:pt>
                <c:pt idx="48">
                  <c:v>1723.1509753265591</c:v>
                </c:pt>
                <c:pt idx="49">
                  <c:v>1919.3192993630564</c:v>
                </c:pt>
                <c:pt idx="50">
                  <c:v>1200.7828767123306</c:v>
                </c:pt>
                <c:pt idx="51">
                  <c:v>6360.8643146853155</c:v>
                </c:pt>
                <c:pt idx="52">
                  <c:v>88.657142857141025</c:v>
                </c:pt>
                <c:pt idx="53">
                  <c:v>48.545999999999822</c:v>
                </c:pt>
                <c:pt idx="54">
                  <c:v>5545.9323333333332</c:v>
                </c:pt>
                <c:pt idx="55">
                  <c:v>5645.1750402684593</c:v>
                </c:pt>
                <c:pt idx="56">
                  <c:v>4649.5621437908485</c:v>
                </c:pt>
                <c:pt idx="57">
                  <c:v>5188.6139999999959</c:v>
                </c:pt>
                <c:pt idx="58">
                  <c:v>9074.6260062893125</c:v>
                </c:pt>
                <c:pt idx="59">
                  <c:v>10199.106805031448</c:v>
                </c:pt>
                <c:pt idx="60">
                  <c:v>11054.057591194971</c:v>
                </c:pt>
                <c:pt idx="61">
                  <c:v>14560.62093548387</c:v>
                </c:pt>
                <c:pt idx="62">
                  <c:v>12624.572285714283</c:v>
                </c:pt>
                <c:pt idx="63">
                  <c:v>15490.423000000001</c:v>
                </c:pt>
                <c:pt idx="64">
                  <c:v>16478.938161490685</c:v>
                </c:pt>
                <c:pt idx="65">
                  <c:v>20954.054927710848</c:v>
                </c:pt>
                <c:pt idx="66">
                  <c:v>17545.550484419258</c:v>
                </c:pt>
                <c:pt idx="67">
                  <c:v>18303.026826589594</c:v>
                </c:pt>
                <c:pt idx="68">
                  <c:v>21395.025456647403</c:v>
                </c:pt>
                <c:pt idx="69">
                  <c:v>24794.264855524081</c:v>
                </c:pt>
                <c:pt idx="70">
                  <c:v>26060.35870520231</c:v>
                </c:pt>
                <c:pt idx="71">
                  <c:v>27697.552172043004</c:v>
                </c:pt>
                <c:pt idx="72">
                  <c:v>30741.244020408165</c:v>
                </c:pt>
                <c:pt idx="73">
                  <c:v>34591.384417910456</c:v>
                </c:pt>
                <c:pt idx="74">
                  <c:v>34716.354640776706</c:v>
                </c:pt>
                <c:pt idx="75">
                  <c:v>29223.103240875909</c:v>
                </c:pt>
                <c:pt idx="76">
                  <c:v>24148.697218787638</c:v>
                </c:pt>
                <c:pt idx="77">
                  <c:v>33821.579694444445</c:v>
                </c:pt>
                <c:pt idx="78">
                  <c:v>30433.54378311499</c:v>
                </c:pt>
                <c:pt idx="79">
                  <c:v>25123.016623978201</c:v>
                </c:pt>
                <c:pt idx="80">
                  <c:v>22409.42284082625</c:v>
                </c:pt>
                <c:pt idx="81">
                  <c:v>27326.383736401673</c:v>
                </c:pt>
                <c:pt idx="82">
                  <c:v>24239.983424242422</c:v>
                </c:pt>
                <c:pt idx="83">
                  <c:v>29260.467085106386</c:v>
                </c:pt>
                <c:pt idx="84">
                  <c:v>29698.982302013421</c:v>
                </c:pt>
                <c:pt idx="85">
                  <c:v>31192.162089628677</c:v>
                </c:pt>
                <c:pt idx="86">
                  <c:v>27971.487231213872</c:v>
                </c:pt>
                <c:pt idx="87">
                  <c:v>32717.437191827466</c:v>
                </c:pt>
                <c:pt idx="88">
                  <c:v>25601.864110613526</c:v>
                </c:pt>
                <c:pt idx="89">
                  <c:v>26080.139647780928</c:v>
                </c:pt>
                <c:pt idx="90">
                  <c:v>29112.000566925533</c:v>
                </c:pt>
                <c:pt idx="91">
                  <c:v>20709.512752735231</c:v>
                </c:pt>
                <c:pt idx="92">
                  <c:v>17724.943015828838</c:v>
                </c:pt>
                <c:pt idx="93">
                  <c:v>12663.577102064799</c:v>
                </c:pt>
                <c:pt idx="94">
                  <c:v>13105.19044919786</c:v>
                </c:pt>
                <c:pt idx="95">
                  <c:v>13370.596780063557</c:v>
                </c:pt>
                <c:pt idx="96">
                  <c:v>11773.954726141079</c:v>
                </c:pt>
                <c:pt idx="97">
                  <c:v>10914.487234422801</c:v>
                </c:pt>
                <c:pt idx="98">
                  <c:v>10374.872488426285</c:v>
                </c:pt>
                <c:pt idx="99">
                  <c:v>9597.4023578064116</c:v>
                </c:pt>
                <c:pt idx="100">
                  <c:v>8083.1896370543545</c:v>
                </c:pt>
                <c:pt idx="101">
                  <c:v>9121.5612836839118</c:v>
                </c:pt>
                <c:pt idx="102">
                  <c:v>8453.3234148435331</c:v>
                </c:pt>
                <c:pt idx="103">
                  <c:v>6768.7705637149038</c:v>
                </c:pt>
                <c:pt idx="104">
                  <c:v>4712.6394111461595</c:v>
                </c:pt>
                <c:pt idx="105">
                  <c:v>3420.9222983891596</c:v>
                </c:pt>
                <c:pt idx="106">
                  <c:v>2412.8780077576657</c:v>
                </c:pt>
                <c:pt idx="107">
                  <c:v>3023.2615336109448</c:v>
                </c:pt>
                <c:pt idx="108">
                  <c:v>2402.9540510145603</c:v>
                </c:pt>
                <c:pt idx="109">
                  <c:v>2391.6270410164962</c:v>
                </c:pt>
                <c:pt idx="110">
                  <c:v>3370.6869575625692</c:v>
                </c:pt>
                <c:pt idx="111">
                  <c:v>4365.5023434624436</c:v>
                </c:pt>
                <c:pt idx="112">
                  <c:v>5811.304066363733</c:v>
                </c:pt>
                <c:pt idx="113">
                  <c:v>6331.136371888726</c:v>
                </c:pt>
                <c:pt idx="114">
                  <c:v>5880.4108686199424</c:v>
                </c:pt>
                <c:pt idx="115">
                  <c:v>9319.3738496517799</c:v>
                </c:pt>
                <c:pt idx="116">
                  <c:v>5618.8750519059204</c:v>
                </c:pt>
                <c:pt idx="117">
                  <c:v>5301.5250092350943</c:v>
                </c:pt>
                <c:pt idx="118">
                  <c:v>4366.583978782468</c:v>
                </c:pt>
                <c:pt idx="119">
                  <c:v>2105.9048739037198</c:v>
                </c:pt>
                <c:pt idx="120">
                  <c:v>-216.33949294700915</c:v>
                </c:pt>
                <c:pt idx="121">
                  <c:v>-1260.222220307408</c:v>
                </c:pt>
                <c:pt idx="122">
                  <c:v>5439.7140736633282</c:v>
                </c:pt>
                <c:pt idx="123">
                  <c:v>4496.4023824320784</c:v>
                </c:pt>
                <c:pt idx="124">
                  <c:v>4554.7966061615316</c:v>
                </c:pt>
                <c:pt idx="125">
                  <c:v>6506.8330095900237</c:v>
                </c:pt>
                <c:pt idx="126">
                  <c:v>2208.9700495540114</c:v>
                </c:pt>
                <c:pt idx="127">
                  <c:v>1157.1931739161773</c:v>
                </c:pt>
                <c:pt idx="128">
                  <c:v>3241.1755603858182</c:v>
                </c:pt>
                <c:pt idx="129">
                  <c:v>4640.382394553917</c:v>
                </c:pt>
                <c:pt idx="130">
                  <c:v>2903.3695348725914</c:v>
                </c:pt>
                <c:pt idx="131">
                  <c:v>8263.1674674121768</c:v>
                </c:pt>
                <c:pt idx="132">
                  <c:v>3664.4496928838971</c:v>
                </c:pt>
                <c:pt idx="133">
                  <c:v>1569.238343060139</c:v>
                </c:pt>
                <c:pt idx="134">
                  <c:v>2260.9612811646944</c:v>
                </c:pt>
                <c:pt idx="135">
                  <c:v>-851.12050916936323</c:v>
                </c:pt>
                <c:pt idx="136">
                  <c:v>-2080.4003330547425</c:v>
                </c:pt>
                <c:pt idx="137">
                  <c:v>-6004.2538791422994</c:v>
                </c:pt>
                <c:pt idx="138">
                  <c:v>-9253.2675286311569</c:v>
                </c:pt>
                <c:pt idx="139">
                  <c:v>-5193.4252246065826</c:v>
                </c:pt>
                <c:pt idx="140">
                  <c:v>-6037.6053805980828</c:v>
                </c:pt>
                <c:pt idx="141">
                  <c:v>-9968.3402460658072</c:v>
                </c:pt>
                <c:pt idx="142">
                  <c:v>-11573.153722222221</c:v>
                </c:pt>
                <c:pt idx="143">
                  <c:v>-10458.519459198216</c:v>
                </c:pt>
                <c:pt idx="144">
                  <c:v>-6392.7489203539808</c:v>
                </c:pt>
                <c:pt idx="145">
                  <c:v>-6838.457993814678</c:v>
                </c:pt>
                <c:pt idx="146">
                  <c:v>-6194.3803899591348</c:v>
                </c:pt>
                <c:pt idx="147">
                  <c:v>-5440.8976571428584</c:v>
                </c:pt>
                <c:pt idx="148">
                  <c:v>-4172.3784563758391</c:v>
                </c:pt>
                <c:pt idx="149">
                  <c:v>-3839.3036562328416</c:v>
                </c:pt>
                <c:pt idx="150">
                  <c:v>-7959.7091628156904</c:v>
                </c:pt>
                <c:pt idx="151">
                  <c:v>-8037.7708361344557</c:v>
                </c:pt>
                <c:pt idx="152">
                  <c:v>-9253.5249184726508</c:v>
                </c:pt>
                <c:pt idx="153">
                  <c:v>-9687.3949934376597</c:v>
                </c:pt>
                <c:pt idx="154">
                  <c:v>-8626.9543366336638</c:v>
                </c:pt>
                <c:pt idx="155">
                  <c:v>-7689.382901018922</c:v>
                </c:pt>
                <c:pt idx="156">
                  <c:v>-10201.130159695815</c:v>
                </c:pt>
                <c:pt idx="157">
                  <c:v>-9969.4380557253698</c:v>
                </c:pt>
                <c:pt idx="158">
                  <c:v>-12691.473023310024</c:v>
                </c:pt>
                <c:pt idx="159">
                  <c:v>-1440.0768168168161</c:v>
                </c:pt>
                <c:pt idx="160">
                  <c:v>-1873.905052809464</c:v>
                </c:pt>
                <c:pt idx="161">
                  <c:v>1554.2583969179523</c:v>
                </c:pt>
                <c:pt idx="162">
                  <c:v>-391.95792332968449</c:v>
                </c:pt>
                <c:pt idx="163">
                  <c:v>399.23861682243205</c:v>
                </c:pt>
                <c:pt idx="164">
                  <c:v>-528.23029661941109</c:v>
                </c:pt>
                <c:pt idx="165">
                  <c:v>-6714.4721926414413</c:v>
                </c:pt>
                <c:pt idx="166">
                  <c:v>-8255.7022273669663</c:v>
                </c:pt>
                <c:pt idx="167">
                  <c:v>-4491.7471875215451</c:v>
                </c:pt>
                <c:pt idx="168">
                  <c:v>-8681.1759982668973</c:v>
                </c:pt>
                <c:pt idx="169">
                  <c:v>-8456.3855780969516</c:v>
                </c:pt>
                <c:pt idx="170">
                  <c:v>-7914.5258239564446</c:v>
                </c:pt>
                <c:pt idx="171">
                  <c:v>-6151.2083184276962</c:v>
                </c:pt>
                <c:pt idx="172">
                  <c:v>-3197.9472130388313</c:v>
                </c:pt>
                <c:pt idx="173">
                  <c:v>-3070.8748815566823</c:v>
                </c:pt>
                <c:pt idx="174">
                  <c:v>-341.87488155668234</c:v>
                </c:pt>
                <c:pt idx="175">
                  <c:v>1559.1251184433177</c:v>
                </c:pt>
              </c:numCache>
            </c:numRef>
          </c:val>
          <c:extLst>
            <c:ext xmlns:c16="http://schemas.microsoft.com/office/drawing/2014/chart" uri="{C3380CC4-5D6E-409C-BE32-E72D297353CC}">
              <c16:uniqueId val="{00000000-902D-4FD0-A4FD-DDE3B3A541D0}"/>
            </c:ext>
          </c:extLst>
        </c:ser>
        <c:ser>
          <c:idx val="1"/>
          <c:order val="1"/>
          <c:tx>
            <c:strRef>
              <c:f>'Net reserves'!$A$13</c:f>
              <c:strCache>
                <c:ptCount val="1"/>
                <c:pt idx="0">
                  <c:v>Repos</c:v>
                </c:pt>
              </c:strCache>
            </c:strRef>
          </c:tx>
          <c:spPr>
            <a:solidFill>
              <a:schemeClr val="tx1">
                <a:alpha val="16000"/>
              </a:schemeClr>
            </a:solidFill>
            <a:ln w="12700">
              <a:noFill/>
              <a:prstDash val="solid"/>
            </a:ln>
            <a:effectLst/>
          </c:spPr>
          <c:cat>
            <c:numRef>
              <c:f>'Net reserves'!$H$10:$GA$10</c:f>
              <c:numCache>
                <c:formatCode>mmm\-yy</c:formatCode>
                <c:ptCount val="176"/>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pt idx="14">
                  <c:v>41334</c:v>
                </c:pt>
                <c:pt idx="15">
                  <c:v>41365</c:v>
                </c:pt>
                <c:pt idx="16">
                  <c:v>41395</c:v>
                </c:pt>
                <c:pt idx="17">
                  <c:v>41426</c:v>
                </c:pt>
                <c:pt idx="18">
                  <c:v>41456</c:v>
                </c:pt>
                <c:pt idx="19">
                  <c:v>41487</c:v>
                </c:pt>
                <c:pt idx="20">
                  <c:v>41518</c:v>
                </c:pt>
                <c:pt idx="21">
                  <c:v>41548</c:v>
                </c:pt>
                <c:pt idx="22">
                  <c:v>41579</c:v>
                </c:pt>
                <c:pt idx="23">
                  <c:v>41609</c:v>
                </c:pt>
                <c:pt idx="24">
                  <c:v>41640</c:v>
                </c:pt>
                <c:pt idx="25">
                  <c:v>41671</c:v>
                </c:pt>
                <c:pt idx="26">
                  <c:v>41699</c:v>
                </c:pt>
                <c:pt idx="27">
                  <c:v>41730</c:v>
                </c:pt>
                <c:pt idx="28">
                  <c:v>41760</c:v>
                </c:pt>
                <c:pt idx="29">
                  <c:v>41791</c:v>
                </c:pt>
                <c:pt idx="30">
                  <c:v>41821</c:v>
                </c:pt>
                <c:pt idx="31">
                  <c:v>41852</c:v>
                </c:pt>
                <c:pt idx="32">
                  <c:v>41883</c:v>
                </c:pt>
                <c:pt idx="33">
                  <c:v>41913</c:v>
                </c:pt>
                <c:pt idx="34">
                  <c:v>41944</c:v>
                </c:pt>
                <c:pt idx="35">
                  <c:v>41974</c:v>
                </c:pt>
                <c:pt idx="36">
                  <c:v>42005</c:v>
                </c:pt>
                <c:pt idx="37">
                  <c:v>42036</c:v>
                </c:pt>
                <c:pt idx="38">
                  <c:v>42064</c:v>
                </c:pt>
                <c:pt idx="39">
                  <c:v>42095</c:v>
                </c:pt>
                <c:pt idx="40">
                  <c:v>42125</c:v>
                </c:pt>
                <c:pt idx="41">
                  <c:v>42156</c:v>
                </c:pt>
                <c:pt idx="42">
                  <c:v>42186</c:v>
                </c:pt>
                <c:pt idx="43">
                  <c:v>42217</c:v>
                </c:pt>
                <c:pt idx="44">
                  <c:v>42248</c:v>
                </c:pt>
                <c:pt idx="45">
                  <c:v>42278</c:v>
                </c:pt>
                <c:pt idx="46">
                  <c:v>42309</c:v>
                </c:pt>
                <c:pt idx="47">
                  <c:v>42339</c:v>
                </c:pt>
                <c:pt idx="48">
                  <c:v>42370</c:v>
                </c:pt>
                <c:pt idx="49">
                  <c:v>42401</c:v>
                </c:pt>
                <c:pt idx="50">
                  <c:v>42430</c:v>
                </c:pt>
                <c:pt idx="51">
                  <c:v>42461</c:v>
                </c:pt>
                <c:pt idx="52">
                  <c:v>42491</c:v>
                </c:pt>
                <c:pt idx="53">
                  <c:v>42522</c:v>
                </c:pt>
                <c:pt idx="54">
                  <c:v>42552</c:v>
                </c:pt>
                <c:pt idx="55">
                  <c:v>42583</c:v>
                </c:pt>
                <c:pt idx="56">
                  <c:v>42614</c:v>
                </c:pt>
                <c:pt idx="57">
                  <c:v>42644</c:v>
                </c:pt>
                <c:pt idx="58">
                  <c:v>42675</c:v>
                </c:pt>
                <c:pt idx="59">
                  <c:v>42705</c:v>
                </c:pt>
                <c:pt idx="60">
                  <c:v>42736</c:v>
                </c:pt>
                <c:pt idx="61">
                  <c:v>42767</c:v>
                </c:pt>
                <c:pt idx="62">
                  <c:v>42795</c:v>
                </c:pt>
                <c:pt idx="63">
                  <c:v>42826</c:v>
                </c:pt>
                <c:pt idx="64">
                  <c:v>42856</c:v>
                </c:pt>
                <c:pt idx="65">
                  <c:v>42887</c:v>
                </c:pt>
                <c:pt idx="66">
                  <c:v>42917</c:v>
                </c:pt>
                <c:pt idx="67">
                  <c:v>42948</c:v>
                </c:pt>
                <c:pt idx="68">
                  <c:v>42979</c:v>
                </c:pt>
                <c:pt idx="69">
                  <c:v>43009</c:v>
                </c:pt>
                <c:pt idx="70">
                  <c:v>43040</c:v>
                </c:pt>
                <c:pt idx="71">
                  <c:v>43070</c:v>
                </c:pt>
                <c:pt idx="72">
                  <c:v>43101</c:v>
                </c:pt>
                <c:pt idx="73">
                  <c:v>43132</c:v>
                </c:pt>
                <c:pt idx="74">
                  <c:v>43160</c:v>
                </c:pt>
                <c:pt idx="75">
                  <c:v>43191</c:v>
                </c:pt>
                <c:pt idx="76">
                  <c:v>43221</c:v>
                </c:pt>
                <c:pt idx="77">
                  <c:v>43252</c:v>
                </c:pt>
                <c:pt idx="78">
                  <c:v>43282</c:v>
                </c:pt>
                <c:pt idx="79">
                  <c:v>43313</c:v>
                </c:pt>
                <c:pt idx="80">
                  <c:v>43344</c:v>
                </c:pt>
                <c:pt idx="81">
                  <c:v>43374</c:v>
                </c:pt>
                <c:pt idx="82">
                  <c:v>43405</c:v>
                </c:pt>
                <c:pt idx="83">
                  <c:v>43435</c:v>
                </c:pt>
                <c:pt idx="84">
                  <c:v>43466</c:v>
                </c:pt>
                <c:pt idx="85">
                  <c:v>43497</c:v>
                </c:pt>
                <c:pt idx="86">
                  <c:v>43525</c:v>
                </c:pt>
                <c:pt idx="87">
                  <c:v>43556</c:v>
                </c:pt>
                <c:pt idx="88">
                  <c:v>43586</c:v>
                </c:pt>
                <c:pt idx="89">
                  <c:v>43617</c:v>
                </c:pt>
                <c:pt idx="90">
                  <c:v>43647</c:v>
                </c:pt>
                <c:pt idx="91">
                  <c:v>43678</c:v>
                </c:pt>
                <c:pt idx="92">
                  <c:v>43709</c:v>
                </c:pt>
                <c:pt idx="93">
                  <c:v>43739</c:v>
                </c:pt>
                <c:pt idx="94">
                  <c:v>43770</c:v>
                </c:pt>
                <c:pt idx="95">
                  <c:v>43800</c:v>
                </c:pt>
                <c:pt idx="96">
                  <c:v>43831</c:v>
                </c:pt>
                <c:pt idx="97">
                  <c:v>43862</c:v>
                </c:pt>
                <c:pt idx="98">
                  <c:v>43891</c:v>
                </c:pt>
                <c:pt idx="99">
                  <c:v>43922</c:v>
                </c:pt>
                <c:pt idx="100">
                  <c:v>43952</c:v>
                </c:pt>
                <c:pt idx="101">
                  <c:v>43983</c:v>
                </c:pt>
                <c:pt idx="102">
                  <c:v>44013</c:v>
                </c:pt>
                <c:pt idx="103">
                  <c:v>44044</c:v>
                </c:pt>
                <c:pt idx="104">
                  <c:v>44075</c:v>
                </c:pt>
                <c:pt idx="105">
                  <c:v>44105</c:v>
                </c:pt>
                <c:pt idx="106">
                  <c:v>44136</c:v>
                </c:pt>
                <c:pt idx="107">
                  <c:v>44166</c:v>
                </c:pt>
                <c:pt idx="108">
                  <c:v>44197</c:v>
                </c:pt>
                <c:pt idx="109">
                  <c:v>44228</c:v>
                </c:pt>
                <c:pt idx="110">
                  <c:v>44256</c:v>
                </c:pt>
                <c:pt idx="111">
                  <c:v>44287</c:v>
                </c:pt>
                <c:pt idx="112">
                  <c:v>44317</c:v>
                </c:pt>
                <c:pt idx="113">
                  <c:v>44348</c:v>
                </c:pt>
                <c:pt idx="114">
                  <c:v>44378</c:v>
                </c:pt>
                <c:pt idx="115">
                  <c:v>44409</c:v>
                </c:pt>
                <c:pt idx="116">
                  <c:v>44440</c:v>
                </c:pt>
                <c:pt idx="117">
                  <c:v>44470</c:v>
                </c:pt>
                <c:pt idx="118">
                  <c:v>44501</c:v>
                </c:pt>
                <c:pt idx="119">
                  <c:v>44531</c:v>
                </c:pt>
                <c:pt idx="120">
                  <c:v>44562</c:v>
                </c:pt>
                <c:pt idx="121">
                  <c:v>44593</c:v>
                </c:pt>
                <c:pt idx="122">
                  <c:v>44621</c:v>
                </c:pt>
                <c:pt idx="123">
                  <c:v>44652</c:v>
                </c:pt>
                <c:pt idx="124">
                  <c:v>44682</c:v>
                </c:pt>
                <c:pt idx="125">
                  <c:v>44713</c:v>
                </c:pt>
                <c:pt idx="126">
                  <c:v>44743</c:v>
                </c:pt>
                <c:pt idx="127">
                  <c:v>44774</c:v>
                </c:pt>
                <c:pt idx="128">
                  <c:v>44805</c:v>
                </c:pt>
                <c:pt idx="129">
                  <c:v>44835</c:v>
                </c:pt>
                <c:pt idx="130">
                  <c:v>44866</c:v>
                </c:pt>
                <c:pt idx="131">
                  <c:v>44896</c:v>
                </c:pt>
                <c:pt idx="132">
                  <c:v>44927</c:v>
                </c:pt>
                <c:pt idx="133">
                  <c:v>44958</c:v>
                </c:pt>
                <c:pt idx="134">
                  <c:v>44986</c:v>
                </c:pt>
                <c:pt idx="135">
                  <c:v>45017</c:v>
                </c:pt>
                <c:pt idx="136">
                  <c:v>45047</c:v>
                </c:pt>
                <c:pt idx="137">
                  <c:v>45078</c:v>
                </c:pt>
                <c:pt idx="138">
                  <c:v>45108</c:v>
                </c:pt>
                <c:pt idx="139">
                  <c:v>45139</c:v>
                </c:pt>
                <c:pt idx="140">
                  <c:v>45170</c:v>
                </c:pt>
                <c:pt idx="141">
                  <c:v>45200</c:v>
                </c:pt>
                <c:pt idx="142">
                  <c:v>45231</c:v>
                </c:pt>
                <c:pt idx="143">
                  <c:v>45261</c:v>
                </c:pt>
                <c:pt idx="144">
                  <c:v>45292</c:v>
                </c:pt>
                <c:pt idx="145">
                  <c:v>45323</c:v>
                </c:pt>
                <c:pt idx="146">
                  <c:v>45352</c:v>
                </c:pt>
                <c:pt idx="147">
                  <c:v>45383</c:v>
                </c:pt>
                <c:pt idx="148">
                  <c:v>45413</c:v>
                </c:pt>
                <c:pt idx="149">
                  <c:v>45444</c:v>
                </c:pt>
                <c:pt idx="150">
                  <c:v>45474</c:v>
                </c:pt>
                <c:pt idx="151">
                  <c:v>45505</c:v>
                </c:pt>
                <c:pt idx="152">
                  <c:v>45536</c:v>
                </c:pt>
                <c:pt idx="153">
                  <c:v>45566</c:v>
                </c:pt>
                <c:pt idx="154">
                  <c:v>45597</c:v>
                </c:pt>
                <c:pt idx="155">
                  <c:v>45627</c:v>
                </c:pt>
                <c:pt idx="156">
                  <c:v>45658</c:v>
                </c:pt>
                <c:pt idx="157">
                  <c:v>45689</c:v>
                </c:pt>
                <c:pt idx="158">
                  <c:v>45717</c:v>
                </c:pt>
                <c:pt idx="159">
                  <c:v>45748</c:v>
                </c:pt>
                <c:pt idx="160">
                  <c:v>45778</c:v>
                </c:pt>
                <c:pt idx="161">
                  <c:v>45809</c:v>
                </c:pt>
                <c:pt idx="162">
                  <c:v>45839</c:v>
                </c:pt>
                <c:pt idx="163">
                  <c:v>45870</c:v>
                </c:pt>
                <c:pt idx="164">
                  <c:v>45901</c:v>
                </c:pt>
                <c:pt idx="165">
                  <c:v>45931</c:v>
                </c:pt>
                <c:pt idx="166">
                  <c:v>45962</c:v>
                </c:pt>
                <c:pt idx="167">
                  <c:v>45992</c:v>
                </c:pt>
                <c:pt idx="168">
                  <c:v>46023</c:v>
                </c:pt>
                <c:pt idx="169">
                  <c:v>46054</c:v>
                </c:pt>
                <c:pt idx="170">
                  <c:v>46082</c:v>
                </c:pt>
                <c:pt idx="171">
                  <c:v>46113</c:v>
                </c:pt>
                <c:pt idx="172">
                  <c:v>46143</c:v>
                </c:pt>
                <c:pt idx="173">
                  <c:v>46174</c:v>
                </c:pt>
                <c:pt idx="174">
                  <c:v>46204</c:v>
                </c:pt>
                <c:pt idx="175">
                  <c:v>46235</c:v>
                </c:pt>
              </c:numCache>
            </c:numRef>
          </c:cat>
          <c:val>
            <c:numRef>
              <c:f>'Net reserves'!$H$13:$GA$13</c:f>
              <c:numCache>
                <c:formatCode>0.000</c:formatCode>
                <c:ptCount val="176"/>
                <c:pt idx="0" formatCode="_(* #,##0.00_);_(* \(#,##0.00\);_(* &quot;-&quot;??_);_(@_)">
                  <c:v>946.60299999999995</c:v>
                </c:pt>
                <c:pt idx="1">
                  <c:v>966.99</c:v>
                </c:pt>
                <c:pt idx="2">
                  <c:v>881.43100000000004</c:v>
                </c:pt>
                <c:pt idx="3">
                  <c:v>860.15200000000004</c:v>
                </c:pt>
                <c:pt idx="4">
                  <c:v>911.31</c:v>
                </c:pt>
                <c:pt idx="5">
                  <c:v>946.47199999999998</c:v>
                </c:pt>
                <c:pt idx="6">
                  <c:v>957.15700000000004</c:v>
                </c:pt>
                <c:pt idx="7">
                  <c:v>951.10199999999998</c:v>
                </c:pt>
                <c:pt idx="8">
                  <c:v>755.91</c:v>
                </c:pt>
                <c:pt idx="9">
                  <c:v>931.53499999999997</c:v>
                </c:pt>
                <c:pt idx="10">
                  <c:v>915.779</c:v>
                </c:pt>
                <c:pt idx="11">
                  <c:v>931.85699999999997</c:v>
                </c:pt>
                <c:pt idx="12">
                  <c:v>789.19200000000001</c:v>
                </c:pt>
                <c:pt idx="13">
                  <c:v>1044.201</c:v>
                </c:pt>
                <c:pt idx="14">
                  <c:v>860.12800000000004</c:v>
                </c:pt>
                <c:pt idx="15">
                  <c:v>1012.607</c:v>
                </c:pt>
                <c:pt idx="16">
                  <c:v>1037.4839999999999</c:v>
                </c:pt>
                <c:pt idx="17">
                  <c:v>960.81799999999998</c:v>
                </c:pt>
                <c:pt idx="18">
                  <c:v>983.05399999999997</c:v>
                </c:pt>
                <c:pt idx="19">
                  <c:v>997.76800000000003</c:v>
                </c:pt>
                <c:pt idx="20">
                  <c:v>1001.026</c:v>
                </c:pt>
                <c:pt idx="21">
                  <c:v>997.55</c:v>
                </c:pt>
                <c:pt idx="22">
                  <c:v>946.98500000000001</c:v>
                </c:pt>
                <c:pt idx="23">
                  <c:v>1046.0640000000001</c:v>
                </c:pt>
                <c:pt idx="24">
                  <c:v>977.45399999999995</c:v>
                </c:pt>
                <c:pt idx="25">
                  <c:v>1016.703</c:v>
                </c:pt>
                <c:pt idx="26">
                  <c:v>1015.023</c:v>
                </c:pt>
                <c:pt idx="27">
                  <c:v>995.93600000000004</c:v>
                </c:pt>
                <c:pt idx="28">
                  <c:v>1010.849</c:v>
                </c:pt>
                <c:pt idx="29">
                  <c:v>1066.2719999999999</c:v>
                </c:pt>
                <c:pt idx="30">
                  <c:v>1074.087</c:v>
                </c:pt>
                <c:pt idx="31">
                  <c:v>947.58500000000004</c:v>
                </c:pt>
                <c:pt idx="32">
                  <c:v>966.4</c:v>
                </c:pt>
                <c:pt idx="33">
                  <c:v>1806.8</c:v>
                </c:pt>
                <c:pt idx="34">
                  <c:v>2534.77</c:v>
                </c:pt>
                <c:pt idx="35">
                  <c:v>3539.6210000000001</c:v>
                </c:pt>
                <c:pt idx="36">
                  <c:v>4384.6859999999997</c:v>
                </c:pt>
                <c:pt idx="37">
                  <c:v>4605.12</c:v>
                </c:pt>
                <c:pt idx="38">
                  <c:v>6323.88</c:v>
                </c:pt>
                <c:pt idx="39">
                  <c:v>7387.5870000000004</c:v>
                </c:pt>
                <c:pt idx="40">
                  <c:v>8032.65</c:v>
                </c:pt>
                <c:pt idx="41">
                  <c:v>9029.152</c:v>
                </c:pt>
                <c:pt idx="42">
                  <c:v>9051.3989999999994</c:v>
                </c:pt>
                <c:pt idx="43">
                  <c:v>11073.554</c:v>
                </c:pt>
                <c:pt idx="44">
                  <c:v>12119.123</c:v>
                </c:pt>
                <c:pt idx="45">
                  <c:v>12167.887000000001</c:v>
                </c:pt>
                <c:pt idx="46">
                  <c:v>12024.418</c:v>
                </c:pt>
                <c:pt idx="47">
                  <c:v>11855.968000000001</c:v>
                </c:pt>
                <c:pt idx="48">
                  <c:v>16647.13</c:v>
                </c:pt>
                <c:pt idx="49">
                  <c:v>16749.713</c:v>
                </c:pt>
                <c:pt idx="50">
                  <c:v>16923.009999999998</c:v>
                </c:pt>
                <c:pt idx="51">
                  <c:v>16793.02</c:v>
                </c:pt>
                <c:pt idx="52">
                  <c:v>16627.52</c:v>
                </c:pt>
                <c:pt idx="53">
                  <c:v>16627.708999999999</c:v>
                </c:pt>
                <c:pt idx="54">
                  <c:v>12587.683000000001</c:v>
                </c:pt>
                <c:pt idx="55">
                  <c:v>12515.293</c:v>
                </c:pt>
                <c:pt idx="56">
                  <c:v>12609.707</c:v>
                </c:pt>
                <c:pt idx="57">
                  <c:v>12448.271000000001</c:v>
                </c:pt>
                <c:pt idx="58">
                  <c:v>12381.31</c:v>
                </c:pt>
                <c:pt idx="59">
                  <c:v>11356.553</c:v>
                </c:pt>
                <c:pt idx="60">
                  <c:v>11446.907999999999</c:v>
                </c:pt>
                <c:pt idx="61">
                  <c:v>11468.630999999999</c:v>
                </c:pt>
                <c:pt idx="62">
                  <c:v>11449.512000000001</c:v>
                </c:pt>
                <c:pt idx="63">
                  <c:v>11431.428</c:v>
                </c:pt>
                <c:pt idx="64">
                  <c:v>11542.815000000001</c:v>
                </c:pt>
                <c:pt idx="65">
                  <c:v>11598.343000000001</c:v>
                </c:pt>
                <c:pt idx="66">
                  <c:v>11685.476000000001</c:v>
                </c:pt>
                <c:pt idx="67">
                  <c:v>11888.378000000001</c:v>
                </c:pt>
                <c:pt idx="68">
                  <c:v>11824.723</c:v>
                </c:pt>
                <c:pt idx="69">
                  <c:v>11825.583000000001</c:v>
                </c:pt>
                <c:pt idx="70">
                  <c:v>11865.606</c:v>
                </c:pt>
                <c:pt idx="71">
                  <c:v>12032.361000000001</c:v>
                </c:pt>
                <c:pt idx="72">
                  <c:v>12402.424000000001</c:v>
                </c:pt>
                <c:pt idx="73">
                  <c:v>12170.543</c:v>
                </c:pt>
                <c:pt idx="74">
                  <c:v>12228.329</c:v>
                </c:pt>
                <c:pt idx="75">
                  <c:v>12167.77</c:v>
                </c:pt>
                <c:pt idx="76">
                  <c:v>12007.273999999999</c:v>
                </c:pt>
                <c:pt idx="77">
                  <c:v>11661.584999999999</c:v>
                </c:pt>
                <c:pt idx="78">
                  <c:v>11352.554</c:v>
                </c:pt>
                <c:pt idx="79">
                  <c:v>11325.163</c:v>
                </c:pt>
                <c:pt idx="80">
                  <c:v>11268.816000000001</c:v>
                </c:pt>
                <c:pt idx="81">
                  <c:v>11111.709000000001</c:v>
                </c:pt>
                <c:pt idx="82">
                  <c:v>11161.65</c:v>
                </c:pt>
                <c:pt idx="83">
                  <c:v>19978.878000000001</c:v>
                </c:pt>
                <c:pt idx="84">
                  <c:v>20481.652999999998</c:v>
                </c:pt>
                <c:pt idx="85">
                  <c:v>20499.167000000001</c:v>
                </c:pt>
                <c:pt idx="86">
                  <c:v>20446.78</c:v>
                </c:pt>
                <c:pt idx="87">
                  <c:v>20381.349999999999</c:v>
                </c:pt>
                <c:pt idx="88">
                  <c:v>19909.363000000001</c:v>
                </c:pt>
                <c:pt idx="89">
                  <c:v>20017.776000000002</c:v>
                </c:pt>
                <c:pt idx="90">
                  <c:v>19971.689999999999</c:v>
                </c:pt>
                <c:pt idx="91">
                  <c:v>19256.612000000001</c:v>
                </c:pt>
                <c:pt idx="92">
                  <c:v>19279.75</c:v>
                </c:pt>
                <c:pt idx="93">
                  <c:v>19566.439999999999</c:v>
                </c:pt>
                <c:pt idx="94">
                  <c:v>19590.718000000001</c:v>
                </c:pt>
                <c:pt idx="95">
                  <c:v>19831.921999999999</c:v>
                </c:pt>
                <c:pt idx="96">
                  <c:v>20030.636999999999</c:v>
                </c:pt>
                <c:pt idx="97">
                  <c:v>20093.460999999999</c:v>
                </c:pt>
                <c:pt idx="98">
                  <c:v>19914.538</c:v>
                </c:pt>
                <c:pt idx="99">
                  <c:v>19745.506000000001</c:v>
                </c:pt>
                <c:pt idx="100">
                  <c:v>19828.904999999999</c:v>
                </c:pt>
                <c:pt idx="101">
                  <c:v>20057.482</c:v>
                </c:pt>
                <c:pt idx="102">
                  <c:v>20295.344000000001</c:v>
                </c:pt>
                <c:pt idx="103">
                  <c:v>20741.072</c:v>
                </c:pt>
                <c:pt idx="104">
                  <c:v>20902.346000000001</c:v>
                </c:pt>
                <c:pt idx="105">
                  <c:v>21187.188999999998</c:v>
                </c:pt>
                <c:pt idx="106">
                  <c:v>21519.96</c:v>
                </c:pt>
                <c:pt idx="107">
                  <c:v>21676.752</c:v>
                </c:pt>
                <c:pt idx="108">
                  <c:v>21983.675999999999</c:v>
                </c:pt>
                <c:pt idx="109">
                  <c:v>21842.288</c:v>
                </c:pt>
                <c:pt idx="110">
                  <c:v>21599.796999999999</c:v>
                </c:pt>
                <c:pt idx="111">
                  <c:v>21838.749</c:v>
                </c:pt>
                <c:pt idx="112">
                  <c:v>22168.657999999999</c:v>
                </c:pt>
                <c:pt idx="113">
                  <c:v>21894.092000000001</c:v>
                </c:pt>
                <c:pt idx="114">
                  <c:v>21880.973999999998</c:v>
                </c:pt>
                <c:pt idx="115">
                  <c:v>21883.883000000002</c:v>
                </c:pt>
                <c:pt idx="116">
                  <c:v>21934.264999999999</c:v>
                </c:pt>
                <c:pt idx="117">
                  <c:v>22056.955999999998</c:v>
                </c:pt>
                <c:pt idx="118">
                  <c:v>22187.703000000001</c:v>
                </c:pt>
                <c:pt idx="119">
                  <c:v>22214.169000000002</c:v>
                </c:pt>
                <c:pt idx="120">
                  <c:v>22197.311000000002</c:v>
                </c:pt>
                <c:pt idx="121">
                  <c:v>22337.167000000001</c:v>
                </c:pt>
                <c:pt idx="122">
                  <c:v>22263.093000000001</c:v>
                </c:pt>
                <c:pt idx="123">
                  <c:v>21429.756000000001</c:v>
                </c:pt>
                <c:pt idx="124">
                  <c:v>21244.647000000001</c:v>
                </c:pt>
                <c:pt idx="125">
                  <c:v>21162.987000000001</c:v>
                </c:pt>
                <c:pt idx="126">
                  <c:v>21036.291000000001</c:v>
                </c:pt>
                <c:pt idx="127">
                  <c:v>20630.434000000001</c:v>
                </c:pt>
                <c:pt idx="128">
                  <c:v>20035.154999999999</c:v>
                </c:pt>
                <c:pt idx="129">
                  <c:v>19562.865000000002</c:v>
                </c:pt>
                <c:pt idx="130">
                  <c:v>20098.579000000002</c:v>
                </c:pt>
                <c:pt idx="131">
                  <c:v>20624.513999999999</c:v>
                </c:pt>
                <c:pt idx="132">
                  <c:v>21036.054</c:v>
                </c:pt>
                <c:pt idx="133">
                  <c:v>20548.803</c:v>
                </c:pt>
                <c:pt idx="134">
                  <c:v>20743.813000000002</c:v>
                </c:pt>
                <c:pt idx="135">
                  <c:v>20657.850999999999</c:v>
                </c:pt>
                <c:pt idx="136">
                  <c:v>20161.339</c:v>
                </c:pt>
                <c:pt idx="137">
                  <c:v>19815.797999999999</c:v>
                </c:pt>
                <c:pt idx="138">
                  <c:v>20037.231</c:v>
                </c:pt>
                <c:pt idx="139">
                  <c:v>19776.272000000001</c:v>
                </c:pt>
                <c:pt idx="140">
                  <c:v>19709.003000000001</c:v>
                </c:pt>
                <c:pt idx="141">
                  <c:v>19694.37</c:v>
                </c:pt>
                <c:pt idx="142">
                  <c:v>20179.53</c:v>
                </c:pt>
                <c:pt idx="143">
                  <c:v>20301.095000000001</c:v>
                </c:pt>
                <c:pt idx="144">
                  <c:v>20156.565999999999</c:v>
                </c:pt>
                <c:pt idx="145">
                  <c:v>20136.964</c:v>
                </c:pt>
                <c:pt idx="146">
                  <c:v>20069.249</c:v>
                </c:pt>
                <c:pt idx="147">
                  <c:v>20062.733</c:v>
                </c:pt>
                <c:pt idx="148">
                  <c:v>20092.802</c:v>
                </c:pt>
                <c:pt idx="149">
                  <c:v>19910.633000000002</c:v>
                </c:pt>
                <c:pt idx="150">
                  <c:v>19945.144</c:v>
                </c:pt>
                <c:pt idx="151">
                  <c:v>20301.026000000002</c:v>
                </c:pt>
                <c:pt idx="152">
                  <c:v>20515.331999999999</c:v>
                </c:pt>
                <c:pt idx="153">
                  <c:v>20298.311000000002</c:v>
                </c:pt>
                <c:pt idx="154">
                  <c:v>19976.345000000001</c:v>
                </c:pt>
                <c:pt idx="155">
                  <c:v>19842.673999999999</c:v>
                </c:pt>
                <c:pt idx="156">
                  <c:v>20074.885999999999</c:v>
                </c:pt>
                <c:pt idx="157">
                  <c:v>20003.816999999999</c:v>
                </c:pt>
                <c:pt idx="158">
                  <c:v>20061.931</c:v>
                </c:pt>
                <c:pt idx="159">
                  <c:v>20032.173999999999</c:v>
                </c:pt>
                <c:pt idx="160">
                  <c:v>20213.882000000001</c:v>
                </c:pt>
                <c:pt idx="161">
                  <c:v>20439.297999999999</c:v>
                </c:pt>
                <c:pt idx="162">
                  <c:v>20366.042000000001</c:v>
                </c:pt>
                <c:pt idx="163">
                  <c:v>20549.654999999999</c:v>
                </c:pt>
                <c:pt idx="164">
                  <c:v>20575.036</c:v>
                </c:pt>
                <c:pt idx="165">
                  <c:v>24088.830999999998</c:v>
                </c:pt>
                <c:pt idx="166">
                  <c:v>24195.7</c:v>
                </c:pt>
                <c:pt idx="167">
                  <c:v>21914.429</c:v>
                </c:pt>
                <c:pt idx="168">
                  <c:v>26209.463</c:v>
                </c:pt>
                <c:pt idx="169">
                  <c:v>26451.827000000001</c:v>
                </c:pt>
                <c:pt idx="170">
                  <c:v>26363.468000000001</c:v>
                </c:pt>
                <c:pt idx="171">
                  <c:v>27442.845000000001</c:v>
                </c:pt>
                <c:pt idx="172">
                  <c:v>27600.838</c:v>
                </c:pt>
                <c:pt idx="173">
                  <c:v>27542.727999999999</c:v>
                </c:pt>
                <c:pt idx="174">
                  <c:v>27542.727999999999</c:v>
                </c:pt>
                <c:pt idx="175">
                  <c:v>27542.727999999999</c:v>
                </c:pt>
              </c:numCache>
            </c:numRef>
          </c:val>
          <c:extLst>
            <c:ext xmlns:c16="http://schemas.microsoft.com/office/drawing/2014/chart" uri="{C3380CC4-5D6E-409C-BE32-E72D297353CC}">
              <c16:uniqueId val="{00000001-902D-4FD0-A4FD-DDE3B3A541D0}"/>
            </c:ext>
          </c:extLst>
        </c:ser>
        <c:ser>
          <c:idx val="2"/>
          <c:order val="2"/>
          <c:tx>
            <c:strRef>
              <c:f>'Net reserves'!$A$14</c:f>
              <c:strCache>
                <c:ptCount val="1"/>
                <c:pt idx="0">
                  <c:v>Private USD deposits</c:v>
                </c:pt>
              </c:strCache>
            </c:strRef>
          </c:tx>
          <c:spPr>
            <a:solidFill>
              <a:srgbClr val="ADC8E9"/>
            </a:solidFill>
            <a:ln w="12700">
              <a:noFill/>
              <a:prstDash val="solid"/>
            </a:ln>
            <a:effectLst/>
          </c:spPr>
          <c:cat>
            <c:numRef>
              <c:f>'Net reserves'!$H$10:$GA$10</c:f>
              <c:numCache>
                <c:formatCode>mmm\-yy</c:formatCode>
                <c:ptCount val="176"/>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pt idx="14">
                  <c:v>41334</c:v>
                </c:pt>
                <c:pt idx="15">
                  <c:v>41365</c:v>
                </c:pt>
                <c:pt idx="16">
                  <c:v>41395</c:v>
                </c:pt>
                <c:pt idx="17">
                  <c:v>41426</c:v>
                </c:pt>
                <c:pt idx="18">
                  <c:v>41456</c:v>
                </c:pt>
                <c:pt idx="19">
                  <c:v>41487</c:v>
                </c:pt>
                <c:pt idx="20">
                  <c:v>41518</c:v>
                </c:pt>
                <c:pt idx="21">
                  <c:v>41548</c:v>
                </c:pt>
                <c:pt idx="22">
                  <c:v>41579</c:v>
                </c:pt>
                <c:pt idx="23">
                  <c:v>41609</c:v>
                </c:pt>
                <c:pt idx="24">
                  <c:v>41640</c:v>
                </c:pt>
                <c:pt idx="25">
                  <c:v>41671</c:v>
                </c:pt>
                <c:pt idx="26">
                  <c:v>41699</c:v>
                </c:pt>
                <c:pt idx="27">
                  <c:v>41730</c:v>
                </c:pt>
                <c:pt idx="28">
                  <c:v>41760</c:v>
                </c:pt>
                <c:pt idx="29">
                  <c:v>41791</c:v>
                </c:pt>
                <c:pt idx="30">
                  <c:v>41821</c:v>
                </c:pt>
                <c:pt idx="31">
                  <c:v>41852</c:v>
                </c:pt>
                <c:pt idx="32">
                  <c:v>41883</c:v>
                </c:pt>
                <c:pt idx="33">
                  <c:v>41913</c:v>
                </c:pt>
                <c:pt idx="34">
                  <c:v>41944</c:v>
                </c:pt>
                <c:pt idx="35">
                  <c:v>41974</c:v>
                </c:pt>
                <c:pt idx="36">
                  <c:v>42005</c:v>
                </c:pt>
                <c:pt idx="37">
                  <c:v>42036</c:v>
                </c:pt>
                <c:pt idx="38">
                  <c:v>42064</c:v>
                </c:pt>
                <c:pt idx="39">
                  <c:v>42095</c:v>
                </c:pt>
                <c:pt idx="40">
                  <c:v>42125</c:v>
                </c:pt>
                <c:pt idx="41">
                  <c:v>42156</c:v>
                </c:pt>
                <c:pt idx="42">
                  <c:v>42186</c:v>
                </c:pt>
                <c:pt idx="43">
                  <c:v>42217</c:v>
                </c:pt>
                <c:pt idx="44">
                  <c:v>42248</c:v>
                </c:pt>
                <c:pt idx="45">
                  <c:v>42278</c:v>
                </c:pt>
                <c:pt idx="46">
                  <c:v>42309</c:v>
                </c:pt>
                <c:pt idx="47">
                  <c:v>42339</c:v>
                </c:pt>
                <c:pt idx="48">
                  <c:v>42370</c:v>
                </c:pt>
                <c:pt idx="49">
                  <c:v>42401</c:v>
                </c:pt>
                <c:pt idx="50">
                  <c:v>42430</c:v>
                </c:pt>
                <c:pt idx="51">
                  <c:v>42461</c:v>
                </c:pt>
                <c:pt idx="52">
                  <c:v>42491</c:v>
                </c:pt>
                <c:pt idx="53">
                  <c:v>42522</c:v>
                </c:pt>
                <c:pt idx="54">
                  <c:v>42552</c:v>
                </c:pt>
                <c:pt idx="55">
                  <c:v>42583</c:v>
                </c:pt>
                <c:pt idx="56">
                  <c:v>42614</c:v>
                </c:pt>
                <c:pt idx="57">
                  <c:v>42644</c:v>
                </c:pt>
                <c:pt idx="58">
                  <c:v>42675</c:v>
                </c:pt>
                <c:pt idx="59">
                  <c:v>42705</c:v>
                </c:pt>
                <c:pt idx="60">
                  <c:v>42736</c:v>
                </c:pt>
                <c:pt idx="61">
                  <c:v>42767</c:v>
                </c:pt>
                <c:pt idx="62">
                  <c:v>42795</c:v>
                </c:pt>
                <c:pt idx="63">
                  <c:v>42826</c:v>
                </c:pt>
                <c:pt idx="64">
                  <c:v>42856</c:v>
                </c:pt>
                <c:pt idx="65">
                  <c:v>42887</c:v>
                </c:pt>
                <c:pt idx="66">
                  <c:v>42917</c:v>
                </c:pt>
                <c:pt idx="67">
                  <c:v>42948</c:v>
                </c:pt>
                <c:pt idx="68">
                  <c:v>42979</c:v>
                </c:pt>
                <c:pt idx="69">
                  <c:v>43009</c:v>
                </c:pt>
                <c:pt idx="70">
                  <c:v>43040</c:v>
                </c:pt>
                <c:pt idx="71">
                  <c:v>43070</c:v>
                </c:pt>
                <c:pt idx="72">
                  <c:v>43101</c:v>
                </c:pt>
                <c:pt idx="73">
                  <c:v>43132</c:v>
                </c:pt>
                <c:pt idx="74">
                  <c:v>43160</c:v>
                </c:pt>
                <c:pt idx="75">
                  <c:v>43191</c:v>
                </c:pt>
                <c:pt idx="76">
                  <c:v>43221</c:v>
                </c:pt>
                <c:pt idx="77">
                  <c:v>43252</c:v>
                </c:pt>
                <c:pt idx="78">
                  <c:v>43282</c:v>
                </c:pt>
                <c:pt idx="79">
                  <c:v>43313</c:v>
                </c:pt>
                <c:pt idx="80">
                  <c:v>43344</c:v>
                </c:pt>
                <c:pt idx="81">
                  <c:v>43374</c:v>
                </c:pt>
                <c:pt idx="82">
                  <c:v>43405</c:v>
                </c:pt>
                <c:pt idx="83">
                  <c:v>43435</c:v>
                </c:pt>
                <c:pt idx="84">
                  <c:v>43466</c:v>
                </c:pt>
                <c:pt idx="85">
                  <c:v>43497</c:v>
                </c:pt>
                <c:pt idx="86">
                  <c:v>43525</c:v>
                </c:pt>
                <c:pt idx="87">
                  <c:v>43556</c:v>
                </c:pt>
                <c:pt idx="88">
                  <c:v>43586</c:v>
                </c:pt>
                <c:pt idx="89">
                  <c:v>43617</c:v>
                </c:pt>
                <c:pt idx="90">
                  <c:v>43647</c:v>
                </c:pt>
                <c:pt idx="91">
                  <c:v>43678</c:v>
                </c:pt>
                <c:pt idx="92">
                  <c:v>43709</c:v>
                </c:pt>
                <c:pt idx="93">
                  <c:v>43739</c:v>
                </c:pt>
                <c:pt idx="94">
                  <c:v>43770</c:v>
                </c:pt>
                <c:pt idx="95">
                  <c:v>43800</c:v>
                </c:pt>
                <c:pt idx="96">
                  <c:v>43831</c:v>
                </c:pt>
                <c:pt idx="97">
                  <c:v>43862</c:v>
                </c:pt>
                <c:pt idx="98">
                  <c:v>43891</c:v>
                </c:pt>
                <c:pt idx="99">
                  <c:v>43922</c:v>
                </c:pt>
                <c:pt idx="100">
                  <c:v>43952</c:v>
                </c:pt>
                <c:pt idx="101">
                  <c:v>43983</c:v>
                </c:pt>
                <c:pt idx="102">
                  <c:v>44013</c:v>
                </c:pt>
                <c:pt idx="103">
                  <c:v>44044</c:v>
                </c:pt>
                <c:pt idx="104">
                  <c:v>44075</c:v>
                </c:pt>
                <c:pt idx="105">
                  <c:v>44105</c:v>
                </c:pt>
                <c:pt idx="106">
                  <c:v>44136</c:v>
                </c:pt>
                <c:pt idx="107">
                  <c:v>44166</c:v>
                </c:pt>
                <c:pt idx="108">
                  <c:v>44197</c:v>
                </c:pt>
                <c:pt idx="109">
                  <c:v>44228</c:v>
                </c:pt>
                <c:pt idx="110">
                  <c:v>44256</c:v>
                </c:pt>
                <c:pt idx="111">
                  <c:v>44287</c:v>
                </c:pt>
                <c:pt idx="112">
                  <c:v>44317</c:v>
                </c:pt>
                <c:pt idx="113">
                  <c:v>44348</c:v>
                </c:pt>
                <c:pt idx="114">
                  <c:v>44378</c:v>
                </c:pt>
                <c:pt idx="115">
                  <c:v>44409</c:v>
                </c:pt>
                <c:pt idx="116">
                  <c:v>44440</c:v>
                </c:pt>
                <c:pt idx="117">
                  <c:v>44470</c:v>
                </c:pt>
                <c:pt idx="118">
                  <c:v>44501</c:v>
                </c:pt>
                <c:pt idx="119">
                  <c:v>44531</c:v>
                </c:pt>
                <c:pt idx="120">
                  <c:v>44562</c:v>
                </c:pt>
                <c:pt idx="121">
                  <c:v>44593</c:v>
                </c:pt>
                <c:pt idx="122">
                  <c:v>44621</c:v>
                </c:pt>
                <c:pt idx="123">
                  <c:v>44652</c:v>
                </c:pt>
                <c:pt idx="124">
                  <c:v>44682</c:v>
                </c:pt>
                <c:pt idx="125">
                  <c:v>44713</c:v>
                </c:pt>
                <c:pt idx="126">
                  <c:v>44743</c:v>
                </c:pt>
                <c:pt idx="127">
                  <c:v>44774</c:v>
                </c:pt>
                <c:pt idx="128">
                  <c:v>44805</c:v>
                </c:pt>
                <c:pt idx="129">
                  <c:v>44835</c:v>
                </c:pt>
                <c:pt idx="130">
                  <c:v>44866</c:v>
                </c:pt>
                <c:pt idx="131">
                  <c:v>44896</c:v>
                </c:pt>
                <c:pt idx="132">
                  <c:v>44927</c:v>
                </c:pt>
                <c:pt idx="133">
                  <c:v>44958</c:v>
                </c:pt>
                <c:pt idx="134">
                  <c:v>44986</c:v>
                </c:pt>
                <c:pt idx="135">
                  <c:v>45017</c:v>
                </c:pt>
                <c:pt idx="136">
                  <c:v>45047</c:v>
                </c:pt>
                <c:pt idx="137">
                  <c:v>45078</c:v>
                </c:pt>
                <c:pt idx="138">
                  <c:v>45108</c:v>
                </c:pt>
                <c:pt idx="139">
                  <c:v>45139</c:v>
                </c:pt>
                <c:pt idx="140">
                  <c:v>45170</c:v>
                </c:pt>
                <c:pt idx="141">
                  <c:v>45200</c:v>
                </c:pt>
                <c:pt idx="142">
                  <c:v>45231</c:v>
                </c:pt>
                <c:pt idx="143">
                  <c:v>45261</c:v>
                </c:pt>
                <c:pt idx="144">
                  <c:v>45292</c:v>
                </c:pt>
                <c:pt idx="145">
                  <c:v>45323</c:v>
                </c:pt>
                <c:pt idx="146">
                  <c:v>45352</c:v>
                </c:pt>
                <c:pt idx="147">
                  <c:v>45383</c:v>
                </c:pt>
                <c:pt idx="148">
                  <c:v>45413</c:v>
                </c:pt>
                <c:pt idx="149">
                  <c:v>45444</c:v>
                </c:pt>
                <c:pt idx="150">
                  <c:v>45474</c:v>
                </c:pt>
                <c:pt idx="151">
                  <c:v>45505</c:v>
                </c:pt>
                <c:pt idx="152">
                  <c:v>45536</c:v>
                </c:pt>
                <c:pt idx="153">
                  <c:v>45566</c:v>
                </c:pt>
                <c:pt idx="154">
                  <c:v>45597</c:v>
                </c:pt>
                <c:pt idx="155">
                  <c:v>45627</c:v>
                </c:pt>
                <c:pt idx="156">
                  <c:v>45658</c:v>
                </c:pt>
                <c:pt idx="157">
                  <c:v>45689</c:v>
                </c:pt>
                <c:pt idx="158">
                  <c:v>45717</c:v>
                </c:pt>
                <c:pt idx="159">
                  <c:v>45748</c:v>
                </c:pt>
                <c:pt idx="160">
                  <c:v>45778</c:v>
                </c:pt>
                <c:pt idx="161">
                  <c:v>45809</c:v>
                </c:pt>
                <c:pt idx="162">
                  <c:v>45839</c:v>
                </c:pt>
                <c:pt idx="163">
                  <c:v>45870</c:v>
                </c:pt>
                <c:pt idx="164">
                  <c:v>45901</c:v>
                </c:pt>
                <c:pt idx="165">
                  <c:v>45931</c:v>
                </c:pt>
                <c:pt idx="166">
                  <c:v>45962</c:v>
                </c:pt>
                <c:pt idx="167">
                  <c:v>45992</c:v>
                </c:pt>
                <c:pt idx="168">
                  <c:v>46023</c:v>
                </c:pt>
                <c:pt idx="169">
                  <c:v>46054</c:v>
                </c:pt>
                <c:pt idx="170">
                  <c:v>46082</c:v>
                </c:pt>
                <c:pt idx="171">
                  <c:v>46113</c:v>
                </c:pt>
                <c:pt idx="172">
                  <c:v>46143</c:v>
                </c:pt>
                <c:pt idx="173">
                  <c:v>46174</c:v>
                </c:pt>
                <c:pt idx="174">
                  <c:v>46204</c:v>
                </c:pt>
                <c:pt idx="175">
                  <c:v>46235</c:v>
                </c:pt>
              </c:numCache>
            </c:numRef>
          </c:cat>
          <c:val>
            <c:numRef>
              <c:f>'Net reserves'!$H$14:$GA$14</c:f>
              <c:numCache>
                <c:formatCode>0.0</c:formatCode>
                <c:ptCount val="176"/>
                <c:pt idx="0">
                  <c:v>6740.3984248320585</c:v>
                </c:pt>
                <c:pt idx="1">
                  <c:v>6654.5120551090695</c:v>
                </c:pt>
                <c:pt idx="2">
                  <c:v>7038.701537049782</c:v>
                </c:pt>
                <c:pt idx="3">
                  <c:v>6960.8369342733677</c:v>
                </c:pt>
                <c:pt idx="4">
                  <c:v>6119.5911031228943</c:v>
                </c:pt>
                <c:pt idx="5">
                  <c:v>5235.116022099447</c:v>
                </c:pt>
                <c:pt idx="6">
                  <c:v>5821.9890710382506</c:v>
                </c:pt>
                <c:pt idx="7">
                  <c:v>6356.9294066695529</c:v>
                </c:pt>
                <c:pt idx="8">
                  <c:v>6678.640153944837</c:v>
                </c:pt>
                <c:pt idx="9">
                  <c:v>7747.5979772439941</c:v>
                </c:pt>
                <c:pt idx="10">
                  <c:v>8073.5884177869702</c:v>
                </c:pt>
                <c:pt idx="11">
                  <c:v>8499.8979175173554</c:v>
                </c:pt>
                <c:pt idx="12">
                  <c:v>8102.1550855991936</c:v>
                </c:pt>
                <c:pt idx="13">
                  <c:v>7700.0397930760055</c:v>
                </c:pt>
                <c:pt idx="14">
                  <c:v>7599.2355938847513</c:v>
                </c:pt>
                <c:pt idx="15">
                  <c:v>7987.3429951690823</c:v>
                </c:pt>
                <c:pt idx="16">
                  <c:v>7977.431610942248</c:v>
                </c:pt>
                <c:pt idx="17">
                  <c:v>7962.5302325581397</c:v>
                </c:pt>
                <c:pt idx="18">
                  <c:v>8331.4311759343655</c:v>
                </c:pt>
                <c:pt idx="19">
                  <c:v>8405.4847841472056</c:v>
                </c:pt>
                <c:pt idx="20">
                  <c:v>8981.6450216450212</c:v>
                </c:pt>
                <c:pt idx="21">
                  <c:v>9297.9803122878475</c:v>
                </c:pt>
                <c:pt idx="22">
                  <c:v>9414.131677830419</c:v>
                </c:pt>
                <c:pt idx="23">
                  <c:v>10972.711890478387</c:v>
                </c:pt>
                <c:pt idx="24">
                  <c:v>11252.078580481622</c:v>
                </c:pt>
                <c:pt idx="25">
                  <c:v>8967.1523517382411</c:v>
                </c:pt>
                <c:pt idx="26">
                  <c:v>8347.5603621730388</c:v>
                </c:pt>
                <c:pt idx="27">
                  <c:v>7320.8249496981889</c:v>
                </c:pt>
                <c:pt idx="28">
                  <c:v>7401.5317559153182</c:v>
                </c:pt>
                <c:pt idx="29">
                  <c:v>7790.399604107386</c:v>
                </c:pt>
                <c:pt idx="30">
                  <c:v>7461.897184822521</c:v>
                </c:pt>
                <c:pt idx="31">
                  <c:v>7534.9179738953408</c:v>
                </c:pt>
                <c:pt idx="32">
                  <c:v>7401.6467780429593</c:v>
                </c:pt>
                <c:pt idx="33">
                  <c:v>7799.3250444049736</c:v>
                </c:pt>
                <c:pt idx="34">
                  <c:v>7898.1485849056608</c:v>
                </c:pt>
                <c:pt idx="35">
                  <c:v>8495.5816686251455</c:v>
                </c:pt>
                <c:pt idx="36">
                  <c:v>8617.7079697498539</c:v>
                </c:pt>
                <c:pt idx="37">
                  <c:v>9385.4493087557603</c:v>
                </c:pt>
                <c:pt idx="38">
                  <c:v>8463.9566704675035</c:v>
                </c:pt>
                <c:pt idx="39">
                  <c:v>8032.7990970654637</c:v>
                </c:pt>
                <c:pt idx="40">
                  <c:v>7748.1609837898268</c:v>
                </c:pt>
                <c:pt idx="41">
                  <c:v>7723.8053097345137</c:v>
                </c:pt>
                <c:pt idx="42">
                  <c:v>8271.2192454893393</c:v>
                </c:pt>
                <c:pt idx="43">
                  <c:v>7884.8864864864863</c:v>
                </c:pt>
                <c:pt idx="44">
                  <c:v>8030.4213333333328</c:v>
                </c:pt>
                <c:pt idx="45">
                  <c:v>9340.1472908995256</c:v>
                </c:pt>
                <c:pt idx="46">
                  <c:v>9605.0285121824782</c:v>
                </c:pt>
                <c:pt idx="47">
                  <c:v>11081.854961832061</c:v>
                </c:pt>
                <c:pt idx="48">
                  <c:v>9488.44702467344</c:v>
                </c:pt>
                <c:pt idx="49">
                  <c:v>7285.7707006369437</c:v>
                </c:pt>
                <c:pt idx="50">
                  <c:v>9003.767123287671</c:v>
                </c:pt>
                <c:pt idx="51">
                  <c:v>8666.3146853146845</c:v>
                </c:pt>
                <c:pt idx="52">
                  <c:v>11041.792857142858</c:v>
                </c:pt>
                <c:pt idx="53">
                  <c:v>11213.480000000001</c:v>
                </c:pt>
                <c:pt idx="54">
                  <c:v>11695.826666666666</c:v>
                </c:pt>
                <c:pt idx="55">
                  <c:v>10395.093959731543</c:v>
                </c:pt>
                <c:pt idx="56">
                  <c:v>10034.97385620915</c:v>
                </c:pt>
                <c:pt idx="57">
                  <c:v>17250.125000000004</c:v>
                </c:pt>
                <c:pt idx="58">
                  <c:v>13780.238993710691</c:v>
                </c:pt>
                <c:pt idx="59">
                  <c:v>15650.591194968552</c:v>
                </c:pt>
                <c:pt idx="60">
                  <c:v>21985.465408805034</c:v>
                </c:pt>
                <c:pt idx="61">
                  <c:v>22287.258064516129</c:v>
                </c:pt>
                <c:pt idx="62">
                  <c:v>24245.785714285714</c:v>
                </c:pt>
                <c:pt idx="63">
                  <c:v>18781</c:v>
                </c:pt>
                <c:pt idx="64">
                  <c:v>15601.465838509315</c:v>
                </c:pt>
                <c:pt idx="65">
                  <c:v>13056.018072289155</c:v>
                </c:pt>
                <c:pt idx="66">
                  <c:v>15268.906515580738</c:v>
                </c:pt>
                <c:pt idx="67">
                  <c:v>16070.890173410406</c:v>
                </c:pt>
                <c:pt idx="68">
                  <c:v>14471.7225433526</c:v>
                </c:pt>
                <c:pt idx="69">
                  <c:v>12755.133144475922</c:v>
                </c:pt>
                <c:pt idx="70">
                  <c:v>14343.913294797689</c:v>
                </c:pt>
                <c:pt idx="71">
                  <c:v>13026.311827956988</c:v>
                </c:pt>
                <c:pt idx="72">
                  <c:v>16222.448979591836</c:v>
                </c:pt>
                <c:pt idx="73">
                  <c:v>12130.283582089553</c:v>
                </c:pt>
                <c:pt idx="74">
                  <c:v>12443.6213592233</c:v>
                </c:pt>
                <c:pt idx="75">
                  <c:v>12608.408759124086</c:v>
                </c:pt>
                <c:pt idx="76">
                  <c:v>11362.994781212365</c:v>
                </c:pt>
                <c:pt idx="77">
                  <c:v>13911.399305555555</c:v>
                </c:pt>
                <c:pt idx="78">
                  <c:v>13780.673216885009</c:v>
                </c:pt>
                <c:pt idx="79">
                  <c:v>13825.986376021798</c:v>
                </c:pt>
                <c:pt idx="80">
                  <c:v>13027.803159173754</c:v>
                </c:pt>
                <c:pt idx="81">
                  <c:v>13109.983263598326</c:v>
                </c:pt>
                <c:pt idx="82">
                  <c:v>13355.757575757576</c:v>
                </c:pt>
                <c:pt idx="83">
                  <c:v>14291.031914893618</c:v>
                </c:pt>
                <c:pt idx="84">
                  <c:v>14008.104697986579</c:v>
                </c:pt>
                <c:pt idx="85">
                  <c:v>13715.469910371319</c:v>
                </c:pt>
                <c:pt idx="86">
                  <c:v>15487.879768786128</c:v>
                </c:pt>
                <c:pt idx="87">
                  <c:v>16017.048808172533</c:v>
                </c:pt>
                <c:pt idx="88">
                  <c:v>16679.558889386477</c:v>
                </c:pt>
                <c:pt idx="89">
                  <c:v>15694.053352219074</c:v>
                </c:pt>
                <c:pt idx="90">
                  <c:v>15996.868433074464</c:v>
                </c:pt>
                <c:pt idx="91">
                  <c:v>11121.99124726477</c:v>
                </c:pt>
                <c:pt idx="92">
                  <c:v>8784.1589841711593</c:v>
                </c:pt>
                <c:pt idx="93">
                  <c:v>8030.543897935202</c:v>
                </c:pt>
                <c:pt idx="94">
                  <c:v>8171.8315508021387</c:v>
                </c:pt>
                <c:pt idx="95">
                  <c:v>8961.0152199364438</c:v>
                </c:pt>
                <c:pt idx="96">
                  <c:v>9972.1742738589219</c:v>
                </c:pt>
                <c:pt idx="97">
                  <c:v>10643.295765577201</c:v>
                </c:pt>
                <c:pt idx="98">
                  <c:v>10330.711511573714</c:v>
                </c:pt>
                <c:pt idx="99">
                  <c:v>10883.961642193588</c:v>
                </c:pt>
                <c:pt idx="100">
                  <c:v>11236.189362945646</c:v>
                </c:pt>
                <c:pt idx="101">
                  <c:v>10529.860716316089</c:v>
                </c:pt>
                <c:pt idx="102">
                  <c:v>10726.517585156465</c:v>
                </c:pt>
                <c:pt idx="103">
                  <c:v>11418.921436285096</c:v>
                </c:pt>
                <c:pt idx="104">
                  <c:v>12010.190588853839</c:v>
                </c:pt>
                <c:pt idx="105">
                  <c:v>11518.896701610842</c:v>
                </c:pt>
                <c:pt idx="106">
                  <c:v>11191.702992242335</c:v>
                </c:pt>
                <c:pt idx="107">
                  <c:v>10928.736466389055</c:v>
                </c:pt>
                <c:pt idx="108">
                  <c:v>11455.21494898544</c:v>
                </c:pt>
                <c:pt idx="109">
                  <c:v>11859.843958983503</c:v>
                </c:pt>
                <c:pt idx="110">
                  <c:v>11229.519042437432</c:v>
                </c:pt>
                <c:pt idx="111">
                  <c:v>10547.884656537557</c:v>
                </c:pt>
                <c:pt idx="112">
                  <c:v>10108.955933636267</c:v>
                </c:pt>
                <c:pt idx="113">
                  <c:v>10702.137628111273</c:v>
                </c:pt>
                <c:pt idx="114">
                  <c:v>11220.209131380059</c:v>
                </c:pt>
                <c:pt idx="115">
                  <c:v>11376.913150348219</c:v>
                </c:pt>
                <c:pt idx="116">
                  <c:v>11874.40794809408</c:v>
                </c:pt>
                <c:pt idx="117">
                  <c:v>11922.365990764907</c:v>
                </c:pt>
                <c:pt idx="118">
                  <c:v>11453.95102121753</c:v>
                </c:pt>
                <c:pt idx="119">
                  <c:v>12128.163126096279</c:v>
                </c:pt>
                <c:pt idx="120">
                  <c:v>12043.709492947008</c:v>
                </c:pt>
                <c:pt idx="121">
                  <c:v>12196.541220307407</c:v>
                </c:pt>
                <c:pt idx="122">
                  <c:v>11574.986926336671</c:v>
                </c:pt>
                <c:pt idx="123">
                  <c:v>12291.68561756792</c:v>
                </c:pt>
                <c:pt idx="124">
                  <c:v>12106.127393838467</c:v>
                </c:pt>
                <c:pt idx="125">
                  <c:v>11529.239990409975</c:v>
                </c:pt>
                <c:pt idx="126">
                  <c:v>11484.449950445987</c:v>
                </c:pt>
                <c:pt idx="127">
                  <c:v>11547.996826083821</c:v>
                </c:pt>
                <c:pt idx="128">
                  <c:v>11049.124439614183</c:v>
                </c:pt>
                <c:pt idx="129">
                  <c:v>11228.826605446082</c:v>
                </c:pt>
                <c:pt idx="130">
                  <c:v>11530.368465127407</c:v>
                </c:pt>
                <c:pt idx="131">
                  <c:v>12092.345532587824</c:v>
                </c:pt>
                <c:pt idx="132">
                  <c:v>12888.554307116103</c:v>
                </c:pt>
                <c:pt idx="133">
                  <c:v>12961.671656939861</c:v>
                </c:pt>
                <c:pt idx="134">
                  <c:v>12149.790718835304</c:v>
                </c:pt>
                <c:pt idx="135">
                  <c:v>11245.164509169364</c:v>
                </c:pt>
                <c:pt idx="136">
                  <c:v>11019.171333054743</c:v>
                </c:pt>
                <c:pt idx="137">
                  <c:v>10307.573879142301</c:v>
                </c:pt>
                <c:pt idx="138">
                  <c:v>9839.0925286311576</c:v>
                </c:pt>
                <c:pt idx="139">
                  <c:v>9385.2572246065811</c:v>
                </c:pt>
                <c:pt idx="140">
                  <c:v>9584.0603805980827</c:v>
                </c:pt>
                <c:pt idx="141">
                  <c:v>8896.1722460658093</c:v>
                </c:pt>
                <c:pt idx="142">
                  <c:v>8863.6897222222215</c:v>
                </c:pt>
                <c:pt idx="143">
                  <c:v>9134.5514591982155</c:v>
                </c:pt>
                <c:pt idx="144">
                  <c:v>9813.5929203539818</c:v>
                </c:pt>
                <c:pt idx="145">
                  <c:v>9333.2359938146783</c:v>
                </c:pt>
                <c:pt idx="146">
                  <c:v>8907.3643899591352</c:v>
                </c:pt>
                <c:pt idx="147">
                  <c:v>8401.9636571428582</c:v>
                </c:pt>
                <c:pt idx="148">
                  <c:v>8129.5684563758396</c:v>
                </c:pt>
                <c:pt idx="149">
                  <c:v>8333.7056562328398</c:v>
                </c:pt>
                <c:pt idx="150">
                  <c:v>9609.8771628156901</c:v>
                </c:pt>
                <c:pt idx="151">
                  <c:v>9495.1028361344543</c:v>
                </c:pt>
                <c:pt idx="152">
                  <c:v>10675.390918472653</c:v>
                </c:pt>
                <c:pt idx="153">
                  <c:v>12570.272993437658</c:v>
                </c:pt>
                <c:pt idx="154">
                  <c:v>13586.966336633663</c:v>
                </c:pt>
                <c:pt idx="155">
                  <c:v>12280.563901018922</c:v>
                </c:pt>
                <c:pt idx="156">
                  <c:v>12863.616159695817</c:v>
                </c:pt>
                <c:pt idx="157">
                  <c:v>12436.27105572537</c:v>
                </c:pt>
                <c:pt idx="158">
                  <c:v>11428.230023310023</c:v>
                </c:pt>
                <c:pt idx="159">
                  <c:v>13775.616816816817</c:v>
                </c:pt>
                <c:pt idx="160">
                  <c:v>12046.725052809463</c:v>
                </c:pt>
                <c:pt idx="161">
                  <c:v>11443.552603082049</c:v>
                </c:pt>
                <c:pt idx="162">
                  <c:v>12352.789923329683</c:v>
                </c:pt>
                <c:pt idx="163">
                  <c:v>12202.101383177569</c:v>
                </c:pt>
                <c:pt idx="164">
                  <c:v>12698.184296619411</c:v>
                </c:pt>
                <c:pt idx="165">
                  <c:v>14073.245192641443</c:v>
                </c:pt>
                <c:pt idx="166">
                  <c:v>16026.693227366966</c:v>
                </c:pt>
                <c:pt idx="167">
                  <c:v>15158.656187521545</c:v>
                </c:pt>
                <c:pt idx="168">
                  <c:v>17330.112998266897</c:v>
                </c:pt>
                <c:pt idx="169">
                  <c:v>17181.97457809695</c:v>
                </c:pt>
                <c:pt idx="170">
                  <c:v>14366.486823956444</c:v>
                </c:pt>
                <c:pt idx="171">
                  <c:v>14051.529318427694</c:v>
                </c:pt>
                <c:pt idx="172">
                  <c:v>14753.086213038832</c:v>
                </c:pt>
                <c:pt idx="173">
                  <c:v>12397.849881556684</c:v>
                </c:pt>
                <c:pt idx="174" formatCode="0.000">
                  <c:v>12397.849881556684</c:v>
                </c:pt>
                <c:pt idx="175" formatCode="0.000">
                  <c:v>12397.849881556684</c:v>
                </c:pt>
              </c:numCache>
            </c:numRef>
          </c:val>
          <c:extLst>
            <c:ext xmlns:c16="http://schemas.microsoft.com/office/drawing/2014/chart" uri="{C3380CC4-5D6E-409C-BE32-E72D297353CC}">
              <c16:uniqueId val="{00000002-902D-4FD0-A4FD-DDE3B3A541D0}"/>
            </c:ext>
          </c:extLst>
        </c:ser>
        <c:ser>
          <c:idx val="3"/>
          <c:order val="3"/>
          <c:tx>
            <c:strRef>
              <c:f>'Net reserves'!$A$15</c:f>
              <c:strCache>
                <c:ptCount val="1"/>
                <c:pt idx="0">
                  <c:v>Gold</c:v>
                </c:pt>
              </c:strCache>
            </c:strRef>
          </c:tx>
          <c:spPr>
            <a:solidFill>
              <a:srgbClr val="C89B1C"/>
            </a:solidFill>
            <a:ln w="12700">
              <a:noFill/>
              <a:prstDash val="solid"/>
            </a:ln>
            <a:effectLst/>
          </c:spPr>
          <c:cat>
            <c:numRef>
              <c:f>'Net reserves'!$H$10:$GA$10</c:f>
              <c:numCache>
                <c:formatCode>mmm\-yy</c:formatCode>
                <c:ptCount val="176"/>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pt idx="14">
                  <c:v>41334</c:v>
                </c:pt>
                <c:pt idx="15">
                  <c:v>41365</c:v>
                </c:pt>
                <c:pt idx="16">
                  <c:v>41395</c:v>
                </c:pt>
                <c:pt idx="17">
                  <c:v>41426</c:v>
                </c:pt>
                <c:pt idx="18">
                  <c:v>41456</c:v>
                </c:pt>
                <c:pt idx="19">
                  <c:v>41487</c:v>
                </c:pt>
                <c:pt idx="20">
                  <c:v>41518</c:v>
                </c:pt>
                <c:pt idx="21">
                  <c:v>41548</c:v>
                </c:pt>
                <c:pt idx="22">
                  <c:v>41579</c:v>
                </c:pt>
                <c:pt idx="23">
                  <c:v>41609</c:v>
                </c:pt>
                <c:pt idx="24">
                  <c:v>41640</c:v>
                </c:pt>
                <c:pt idx="25">
                  <c:v>41671</c:v>
                </c:pt>
                <c:pt idx="26">
                  <c:v>41699</c:v>
                </c:pt>
                <c:pt idx="27">
                  <c:v>41730</c:v>
                </c:pt>
                <c:pt idx="28">
                  <c:v>41760</c:v>
                </c:pt>
                <c:pt idx="29">
                  <c:v>41791</c:v>
                </c:pt>
                <c:pt idx="30">
                  <c:v>41821</c:v>
                </c:pt>
                <c:pt idx="31">
                  <c:v>41852</c:v>
                </c:pt>
                <c:pt idx="32">
                  <c:v>41883</c:v>
                </c:pt>
                <c:pt idx="33">
                  <c:v>41913</c:v>
                </c:pt>
                <c:pt idx="34">
                  <c:v>41944</c:v>
                </c:pt>
                <c:pt idx="35">
                  <c:v>41974</c:v>
                </c:pt>
                <c:pt idx="36">
                  <c:v>42005</c:v>
                </c:pt>
                <c:pt idx="37">
                  <c:v>42036</c:v>
                </c:pt>
                <c:pt idx="38">
                  <c:v>42064</c:v>
                </c:pt>
                <c:pt idx="39">
                  <c:v>42095</c:v>
                </c:pt>
                <c:pt idx="40">
                  <c:v>42125</c:v>
                </c:pt>
                <c:pt idx="41">
                  <c:v>42156</c:v>
                </c:pt>
                <c:pt idx="42">
                  <c:v>42186</c:v>
                </c:pt>
                <c:pt idx="43">
                  <c:v>42217</c:v>
                </c:pt>
                <c:pt idx="44">
                  <c:v>42248</c:v>
                </c:pt>
                <c:pt idx="45">
                  <c:v>42278</c:v>
                </c:pt>
                <c:pt idx="46">
                  <c:v>42309</c:v>
                </c:pt>
                <c:pt idx="47">
                  <c:v>42339</c:v>
                </c:pt>
                <c:pt idx="48">
                  <c:v>42370</c:v>
                </c:pt>
                <c:pt idx="49">
                  <c:v>42401</c:v>
                </c:pt>
                <c:pt idx="50">
                  <c:v>42430</c:v>
                </c:pt>
                <c:pt idx="51">
                  <c:v>42461</c:v>
                </c:pt>
                <c:pt idx="52">
                  <c:v>42491</c:v>
                </c:pt>
                <c:pt idx="53">
                  <c:v>42522</c:v>
                </c:pt>
                <c:pt idx="54">
                  <c:v>42552</c:v>
                </c:pt>
                <c:pt idx="55">
                  <c:v>42583</c:v>
                </c:pt>
                <c:pt idx="56">
                  <c:v>42614</c:v>
                </c:pt>
                <c:pt idx="57">
                  <c:v>42644</c:v>
                </c:pt>
                <c:pt idx="58">
                  <c:v>42675</c:v>
                </c:pt>
                <c:pt idx="59">
                  <c:v>42705</c:v>
                </c:pt>
                <c:pt idx="60">
                  <c:v>42736</c:v>
                </c:pt>
                <c:pt idx="61">
                  <c:v>42767</c:v>
                </c:pt>
                <c:pt idx="62">
                  <c:v>42795</c:v>
                </c:pt>
                <c:pt idx="63">
                  <c:v>42826</c:v>
                </c:pt>
                <c:pt idx="64">
                  <c:v>42856</c:v>
                </c:pt>
                <c:pt idx="65">
                  <c:v>42887</c:v>
                </c:pt>
                <c:pt idx="66">
                  <c:v>42917</c:v>
                </c:pt>
                <c:pt idx="67">
                  <c:v>42948</c:v>
                </c:pt>
                <c:pt idx="68">
                  <c:v>42979</c:v>
                </c:pt>
                <c:pt idx="69">
                  <c:v>43009</c:v>
                </c:pt>
                <c:pt idx="70">
                  <c:v>43040</c:v>
                </c:pt>
                <c:pt idx="71">
                  <c:v>43070</c:v>
                </c:pt>
                <c:pt idx="72">
                  <c:v>43101</c:v>
                </c:pt>
                <c:pt idx="73">
                  <c:v>43132</c:v>
                </c:pt>
                <c:pt idx="74">
                  <c:v>43160</c:v>
                </c:pt>
                <c:pt idx="75">
                  <c:v>43191</c:v>
                </c:pt>
                <c:pt idx="76">
                  <c:v>43221</c:v>
                </c:pt>
                <c:pt idx="77">
                  <c:v>43252</c:v>
                </c:pt>
                <c:pt idx="78">
                  <c:v>43282</c:v>
                </c:pt>
                <c:pt idx="79">
                  <c:v>43313</c:v>
                </c:pt>
                <c:pt idx="80">
                  <c:v>43344</c:v>
                </c:pt>
                <c:pt idx="81">
                  <c:v>43374</c:v>
                </c:pt>
                <c:pt idx="82">
                  <c:v>43405</c:v>
                </c:pt>
                <c:pt idx="83">
                  <c:v>43435</c:v>
                </c:pt>
                <c:pt idx="84">
                  <c:v>43466</c:v>
                </c:pt>
                <c:pt idx="85">
                  <c:v>43497</c:v>
                </c:pt>
                <c:pt idx="86">
                  <c:v>43525</c:v>
                </c:pt>
                <c:pt idx="87">
                  <c:v>43556</c:v>
                </c:pt>
                <c:pt idx="88">
                  <c:v>43586</c:v>
                </c:pt>
                <c:pt idx="89">
                  <c:v>43617</c:v>
                </c:pt>
                <c:pt idx="90">
                  <c:v>43647</c:v>
                </c:pt>
                <c:pt idx="91">
                  <c:v>43678</c:v>
                </c:pt>
                <c:pt idx="92">
                  <c:v>43709</c:v>
                </c:pt>
                <c:pt idx="93">
                  <c:v>43739</c:v>
                </c:pt>
                <c:pt idx="94">
                  <c:v>43770</c:v>
                </c:pt>
                <c:pt idx="95">
                  <c:v>43800</c:v>
                </c:pt>
                <c:pt idx="96">
                  <c:v>43831</c:v>
                </c:pt>
                <c:pt idx="97">
                  <c:v>43862</c:v>
                </c:pt>
                <c:pt idx="98">
                  <c:v>43891</c:v>
                </c:pt>
                <c:pt idx="99">
                  <c:v>43922</c:v>
                </c:pt>
                <c:pt idx="100">
                  <c:v>43952</c:v>
                </c:pt>
                <c:pt idx="101">
                  <c:v>43983</c:v>
                </c:pt>
                <c:pt idx="102">
                  <c:v>44013</c:v>
                </c:pt>
                <c:pt idx="103">
                  <c:v>44044</c:v>
                </c:pt>
                <c:pt idx="104">
                  <c:v>44075</c:v>
                </c:pt>
                <c:pt idx="105">
                  <c:v>44105</c:v>
                </c:pt>
                <c:pt idx="106">
                  <c:v>44136</c:v>
                </c:pt>
                <c:pt idx="107">
                  <c:v>44166</c:v>
                </c:pt>
                <c:pt idx="108">
                  <c:v>44197</c:v>
                </c:pt>
                <c:pt idx="109">
                  <c:v>44228</c:v>
                </c:pt>
                <c:pt idx="110">
                  <c:v>44256</c:v>
                </c:pt>
                <c:pt idx="111">
                  <c:v>44287</c:v>
                </c:pt>
                <c:pt idx="112">
                  <c:v>44317</c:v>
                </c:pt>
                <c:pt idx="113">
                  <c:v>44348</c:v>
                </c:pt>
                <c:pt idx="114">
                  <c:v>44378</c:v>
                </c:pt>
                <c:pt idx="115">
                  <c:v>44409</c:v>
                </c:pt>
                <c:pt idx="116">
                  <c:v>44440</c:v>
                </c:pt>
                <c:pt idx="117">
                  <c:v>44470</c:v>
                </c:pt>
                <c:pt idx="118">
                  <c:v>44501</c:v>
                </c:pt>
                <c:pt idx="119">
                  <c:v>44531</c:v>
                </c:pt>
                <c:pt idx="120">
                  <c:v>44562</c:v>
                </c:pt>
                <c:pt idx="121">
                  <c:v>44593</c:v>
                </c:pt>
                <c:pt idx="122">
                  <c:v>44621</c:v>
                </c:pt>
                <c:pt idx="123">
                  <c:v>44652</c:v>
                </c:pt>
                <c:pt idx="124">
                  <c:v>44682</c:v>
                </c:pt>
                <c:pt idx="125">
                  <c:v>44713</c:v>
                </c:pt>
                <c:pt idx="126">
                  <c:v>44743</c:v>
                </c:pt>
                <c:pt idx="127">
                  <c:v>44774</c:v>
                </c:pt>
                <c:pt idx="128">
                  <c:v>44805</c:v>
                </c:pt>
                <c:pt idx="129">
                  <c:v>44835</c:v>
                </c:pt>
                <c:pt idx="130">
                  <c:v>44866</c:v>
                </c:pt>
                <c:pt idx="131">
                  <c:v>44896</c:v>
                </c:pt>
                <c:pt idx="132">
                  <c:v>44927</c:v>
                </c:pt>
                <c:pt idx="133">
                  <c:v>44958</c:v>
                </c:pt>
                <c:pt idx="134">
                  <c:v>44986</c:v>
                </c:pt>
                <c:pt idx="135">
                  <c:v>45017</c:v>
                </c:pt>
                <c:pt idx="136">
                  <c:v>45047</c:v>
                </c:pt>
                <c:pt idx="137">
                  <c:v>45078</c:v>
                </c:pt>
                <c:pt idx="138">
                  <c:v>45108</c:v>
                </c:pt>
                <c:pt idx="139">
                  <c:v>45139</c:v>
                </c:pt>
                <c:pt idx="140">
                  <c:v>45170</c:v>
                </c:pt>
                <c:pt idx="141">
                  <c:v>45200</c:v>
                </c:pt>
                <c:pt idx="142">
                  <c:v>45231</c:v>
                </c:pt>
                <c:pt idx="143">
                  <c:v>45261</c:v>
                </c:pt>
                <c:pt idx="144">
                  <c:v>45292</c:v>
                </c:pt>
                <c:pt idx="145">
                  <c:v>45323</c:v>
                </c:pt>
                <c:pt idx="146">
                  <c:v>45352</c:v>
                </c:pt>
                <c:pt idx="147">
                  <c:v>45383</c:v>
                </c:pt>
                <c:pt idx="148">
                  <c:v>45413</c:v>
                </c:pt>
                <c:pt idx="149">
                  <c:v>45444</c:v>
                </c:pt>
                <c:pt idx="150">
                  <c:v>45474</c:v>
                </c:pt>
                <c:pt idx="151">
                  <c:v>45505</c:v>
                </c:pt>
                <c:pt idx="152">
                  <c:v>45536</c:v>
                </c:pt>
                <c:pt idx="153">
                  <c:v>45566</c:v>
                </c:pt>
                <c:pt idx="154">
                  <c:v>45597</c:v>
                </c:pt>
                <c:pt idx="155">
                  <c:v>45627</c:v>
                </c:pt>
                <c:pt idx="156">
                  <c:v>45658</c:v>
                </c:pt>
                <c:pt idx="157">
                  <c:v>45689</c:v>
                </c:pt>
                <c:pt idx="158">
                  <c:v>45717</c:v>
                </c:pt>
                <c:pt idx="159">
                  <c:v>45748</c:v>
                </c:pt>
                <c:pt idx="160">
                  <c:v>45778</c:v>
                </c:pt>
                <c:pt idx="161">
                  <c:v>45809</c:v>
                </c:pt>
                <c:pt idx="162">
                  <c:v>45839</c:v>
                </c:pt>
                <c:pt idx="163">
                  <c:v>45870</c:v>
                </c:pt>
                <c:pt idx="164">
                  <c:v>45901</c:v>
                </c:pt>
                <c:pt idx="165">
                  <c:v>45931</c:v>
                </c:pt>
                <c:pt idx="166">
                  <c:v>45962</c:v>
                </c:pt>
                <c:pt idx="167">
                  <c:v>45992</c:v>
                </c:pt>
                <c:pt idx="168">
                  <c:v>46023</c:v>
                </c:pt>
                <c:pt idx="169">
                  <c:v>46054</c:v>
                </c:pt>
                <c:pt idx="170">
                  <c:v>46082</c:v>
                </c:pt>
                <c:pt idx="171">
                  <c:v>46113</c:v>
                </c:pt>
                <c:pt idx="172">
                  <c:v>46143</c:v>
                </c:pt>
                <c:pt idx="173">
                  <c:v>46174</c:v>
                </c:pt>
                <c:pt idx="174">
                  <c:v>46204</c:v>
                </c:pt>
                <c:pt idx="175">
                  <c:v>46235</c:v>
                </c:pt>
              </c:numCache>
            </c:numRef>
          </c:cat>
          <c:val>
            <c:numRef>
              <c:f>'Net reserves'!$H$15:$GA$15</c:f>
              <c:numCache>
                <c:formatCode>0.0</c:formatCode>
                <c:ptCount val="176"/>
                <c:pt idx="0">
                  <c:v>3433.6390000000001</c:v>
                </c:pt>
                <c:pt idx="1">
                  <c:v>3419.7840000000001</c:v>
                </c:pt>
                <c:pt idx="2">
                  <c:v>3311.107</c:v>
                </c:pt>
                <c:pt idx="3">
                  <c:v>3300.4279999999999</c:v>
                </c:pt>
                <c:pt idx="4">
                  <c:v>3096.5929999999998</c:v>
                </c:pt>
                <c:pt idx="5">
                  <c:v>3175.038</c:v>
                </c:pt>
                <c:pt idx="6">
                  <c:v>3201.3589999999999</c:v>
                </c:pt>
                <c:pt idx="7">
                  <c:v>3346.4989999999998</c:v>
                </c:pt>
                <c:pt idx="8">
                  <c:v>3514.1480000000001</c:v>
                </c:pt>
                <c:pt idx="9">
                  <c:v>3411.1089999999999</c:v>
                </c:pt>
                <c:pt idx="10">
                  <c:v>3399.835</c:v>
                </c:pt>
                <c:pt idx="11">
                  <c:v>3326.471</c:v>
                </c:pt>
                <c:pt idx="12">
                  <c:v>3330.7379999999998</c:v>
                </c:pt>
                <c:pt idx="13">
                  <c:v>3137.2649999999999</c:v>
                </c:pt>
                <c:pt idx="14">
                  <c:v>3186.9679999999998</c:v>
                </c:pt>
                <c:pt idx="15">
                  <c:v>2922.9090000000001</c:v>
                </c:pt>
                <c:pt idx="16">
                  <c:v>2763.3980000000001</c:v>
                </c:pt>
                <c:pt idx="17">
                  <c:v>2432.7640000000001</c:v>
                </c:pt>
                <c:pt idx="18">
                  <c:v>2606.6260000000002</c:v>
                </c:pt>
                <c:pt idx="19">
                  <c:v>2769.5709999999999</c:v>
                </c:pt>
                <c:pt idx="20">
                  <c:v>2637.9490000000001</c:v>
                </c:pt>
                <c:pt idx="21">
                  <c:v>2625.5230000000001</c:v>
                </c:pt>
                <c:pt idx="22">
                  <c:v>2481.8119999999999</c:v>
                </c:pt>
                <c:pt idx="23">
                  <c:v>2389.4720000000002</c:v>
                </c:pt>
                <c:pt idx="24">
                  <c:v>2461.7440000000001</c:v>
                </c:pt>
                <c:pt idx="25">
                  <c:v>2623.6570000000002</c:v>
                </c:pt>
                <c:pt idx="26">
                  <c:v>2545.9459999999999</c:v>
                </c:pt>
                <c:pt idx="27">
                  <c:v>2569.587</c:v>
                </c:pt>
                <c:pt idx="28">
                  <c:v>2470.0410000000002</c:v>
                </c:pt>
                <c:pt idx="29">
                  <c:v>2633.6410000000001</c:v>
                </c:pt>
                <c:pt idx="30">
                  <c:v>2542.2339999999999</c:v>
                </c:pt>
                <c:pt idx="31">
                  <c:v>2552.06</c:v>
                </c:pt>
                <c:pt idx="32">
                  <c:v>2399.34</c:v>
                </c:pt>
                <c:pt idx="33">
                  <c:v>2324.52</c:v>
                </c:pt>
                <c:pt idx="34">
                  <c:v>2316.17</c:v>
                </c:pt>
                <c:pt idx="35">
                  <c:v>2354.7849999999999</c:v>
                </c:pt>
                <c:pt idx="36">
                  <c:v>2529.5500000000002</c:v>
                </c:pt>
                <c:pt idx="37">
                  <c:v>2406.96</c:v>
                </c:pt>
                <c:pt idx="38">
                  <c:v>2345.58</c:v>
                </c:pt>
                <c:pt idx="39">
                  <c:v>2348.3429999999998</c:v>
                </c:pt>
                <c:pt idx="40">
                  <c:v>2361.8209999999999</c:v>
                </c:pt>
                <c:pt idx="41">
                  <c:v>2325.933</c:v>
                </c:pt>
                <c:pt idx="42">
                  <c:v>2178.0140000000001</c:v>
                </c:pt>
                <c:pt idx="43">
                  <c:v>2249.096</c:v>
                </c:pt>
                <c:pt idx="44">
                  <c:v>2214.3980000000001</c:v>
                </c:pt>
                <c:pt idx="45">
                  <c:v>2263.348</c:v>
                </c:pt>
                <c:pt idx="46">
                  <c:v>2110.625</c:v>
                </c:pt>
                <c:pt idx="47">
                  <c:v>2106.933</c:v>
                </c:pt>
                <c:pt idx="48">
                  <c:v>2215.2719999999999</c:v>
                </c:pt>
                <c:pt idx="49">
                  <c:v>2444.1970000000001</c:v>
                </c:pt>
                <c:pt idx="50">
                  <c:v>2444.44</c:v>
                </c:pt>
                <c:pt idx="51">
                  <c:v>2559.8009999999999</c:v>
                </c:pt>
                <c:pt idx="52">
                  <c:v>2413.0300000000002</c:v>
                </c:pt>
                <c:pt idx="53">
                  <c:v>2617.2649999999999</c:v>
                </c:pt>
                <c:pt idx="54">
                  <c:v>2681.558</c:v>
                </c:pt>
                <c:pt idx="55">
                  <c:v>2594.4380000000001</c:v>
                </c:pt>
                <c:pt idx="56">
                  <c:v>2607.7570000000001</c:v>
                </c:pt>
                <c:pt idx="57">
                  <c:v>2322.9899999999998</c:v>
                </c:pt>
                <c:pt idx="58">
                  <c:v>2141.8249999999998</c:v>
                </c:pt>
                <c:pt idx="59">
                  <c:v>2101.7489999999998</c:v>
                </c:pt>
                <c:pt idx="60">
                  <c:v>2400.569</c:v>
                </c:pt>
                <c:pt idx="61">
                  <c:v>2291.4899999999998</c:v>
                </c:pt>
                <c:pt idx="62">
                  <c:v>2202.13</c:v>
                </c:pt>
                <c:pt idx="63">
                  <c:v>2514.1489999999999</c:v>
                </c:pt>
                <c:pt idx="64">
                  <c:v>2522.7809999999999</c:v>
                </c:pt>
                <c:pt idx="65">
                  <c:v>2386.5839999999998</c:v>
                </c:pt>
                <c:pt idx="66">
                  <c:v>2514.067</c:v>
                </c:pt>
                <c:pt idx="67">
                  <c:v>2614.7049999999999</c:v>
                </c:pt>
                <c:pt idx="68">
                  <c:v>2545.529</c:v>
                </c:pt>
                <c:pt idx="69">
                  <c:v>2435.0189999999998</c:v>
                </c:pt>
                <c:pt idx="70">
                  <c:v>2293.1219999999998</c:v>
                </c:pt>
                <c:pt idx="71">
                  <c:v>2298.7750000000001</c:v>
                </c:pt>
                <c:pt idx="72">
                  <c:v>2657.8829999999998</c:v>
                </c:pt>
                <c:pt idx="73">
                  <c:v>2616.7890000000002</c:v>
                </c:pt>
                <c:pt idx="74">
                  <c:v>2337.6950000000002</c:v>
                </c:pt>
                <c:pt idx="75">
                  <c:v>2623.7179999999998</c:v>
                </c:pt>
                <c:pt idx="76">
                  <c:v>2579.0340000000001</c:v>
                </c:pt>
                <c:pt idx="77">
                  <c:v>2486.4360000000001</c:v>
                </c:pt>
                <c:pt idx="78">
                  <c:v>2429.2289999999998</c:v>
                </c:pt>
                <c:pt idx="79">
                  <c:v>2383.8339999999998</c:v>
                </c:pt>
                <c:pt idx="80">
                  <c:v>2296.9580000000001</c:v>
                </c:pt>
                <c:pt idx="81">
                  <c:v>2406.924</c:v>
                </c:pt>
                <c:pt idx="82">
                  <c:v>2435.6089999999999</c:v>
                </c:pt>
                <c:pt idx="83">
                  <c:v>2255.623</c:v>
                </c:pt>
                <c:pt idx="84">
                  <c:v>2622.26</c:v>
                </c:pt>
                <c:pt idx="85">
                  <c:v>2608.201</c:v>
                </c:pt>
                <c:pt idx="86">
                  <c:v>2280.8530000000001</c:v>
                </c:pt>
                <c:pt idx="87">
                  <c:v>2547.1640000000002</c:v>
                </c:pt>
                <c:pt idx="88">
                  <c:v>2588.2139999999999</c:v>
                </c:pt>
                <c:pt idx="89">
                  <c:v>2486.0309999999999</c:v>
                </c:pt>
                <c:pt idx="90">
                  <c:v>2818.4409999999998</c:v>
                </c:pt>
                <c:pt idx="91">
                  <c:v>3011.884</c:v>
                </c:pt>
                <c:pt idx="92">
                  <c:v>2914.1480000000001</c:v>
                </c:pt>
                <c:pt idx="93">
                  <c:v>2999.4389999999999</c:v>
                </c:pt>
                <c:pt idx="94">
                  <c:v>2904.26</c:v>
                </c:pt>
                <c:pt idx="95">
                  <c:v>2684.4659999999999</c:v>
                </c:pt>
                <c:pt idx="96">
                  <c:v>3140.2339999999999</c:v>
                </c:pt>
                <c:pt idx="97">
                  <c:v>3139.7559999999999</c:v>
                </c:pt>
                <c:pt idx="98">
                  <c:v>2940.8780000000002</c:v>
                </c:pt>
                <c:pt idx="99">
                  <c:v>3341.13</c:v>
                </c:pt>
                <c:pt idx="100">
                  <c:v>3440.7159999999999</c:v>
                </c:pt>
                <c:pt idx="101">
                  <c:v>3533.096</c:v>
                </c:pt>
                <c:pt idx="102">
                  <c:v>3910.8150000000001</c:v>
                </c:pt>
                <c:pt idx="103">
                  <c:v>3913.2359999999999</c:v>
                </c:pt>
                <c:pt idx="104">
                  <c:v>3753.8240000000001</c:v>
                </c:pt>
                <c:pt idx="105">
                  <c:v>3728.9920000000002</c:v>
                </c:pt>
                <c:pt idx="106">
                  <c:v>3527.4589999999998</c:v>
                </c:pt>
                <c:pt idx="107">
                  <c:v>3758.25</c:v>
                </c:pt>
                <c:pt idx="108">
                  <c:v>3673.1550000000002</c:v>
                </c:pt>
                <c:pt idx="109">
                  <c:v>3424.241</c:v>
                </c:pt>
                <c:pt idx="110">
                  <c:v>3392.9969999999998</c:v>
                </c:pt>
                <c:pt idx="111">
                  <c:v>3510.864</c:v>
                </c:pt>
                <c:pt idx="112">
                  <c:v>3783.0819999999999</c:v>
                </c:pt>
                <c:pt idx="113">
                  <c:v>3509.634</c:v>
                </c:pt>
                <c:pt idx="114">
                  <c:v>3600.4059999999999</c:v>
                </c:pt>
                <c:pt idx="115">
                  <c:v>3599.83</c:v>
                </c:pt>
                <c:pt idx="116">
                  <c:v>3483.4520000000002</c:v>
                </c:pt>
                <c:pt idx="117">
                  <c:v>3536.1529999999998</c:v>
                </c:pt>
                <c:pt idx="118">
                  <c:v>3521.7620000000002</c:v>
                </c:pt>
                <c:pt idx="119">
                  <c:v>3213.7629999999999</c:v>
                </c:pt>
                <c:pt idx="120">
                  <c:v>3564.319</c:v>
                </c:pt>
                <c:pt idx="121">
                  <c:v>3744.5140000000001</c:v>
                </c:pt>
                <c:pt idx="122">
                  <c:v>3859.2060000000001</c:v>
                </c:pt>
                <c:pt idx="123">
                  <c:v>3789.1559999999999</c:v>
                </c:pt>
                <c:pt idx="124">
                  <c:v>3655.4290000000001</c:v>
                </c:pt>
                <c:pt idx="125">
                  <c:v>3587.94</c:v>
                </c:pt>
                <c:pt idx="126">
                  <c:v>3502.2890000000002</c:v>
                </c:pt>
                <c:pt idx="127">
                  <c:v>3398.3760000000002</c:v>
                </c:pt>
                <c:pt idx="128">
                  <c:v>3299.5450000000001</c:v>
                </c:pt>
                <c:pt idx="129">
                  <c:v>3243.9259999999999</c:v>
                </c:pt>
                <c:pt idx="130">
                  <c:v>3476.683</c:v>
                </c:pt>
                <c:pt idx="131">
                  <c:v>3617.973</c:v>
                </c:pt>
                <c:pt idx="132">
                  <c:v>3827.942</c:v>
                </c:pt>
                <c:pt idx="133">
                  <c:v>3629.2869999999998</c:v>
                </c:pt>
                <c:pt idx="134">
                  <c:v>3905.4349999999999</c:v>
                </c:pt>
                <c:pt idx="135">
                  <c:v>3949.105</c:v>
                </c:pt>
                <c:pt idx="136">
                  <c:v>3900.89</c:v>
                </c:pt>
                <c:pt idx="137">
                  <c:v>3806.8820000000001</c:v>
                </c:pt>
                <c:pt idx="138">
                  <c:v>3468.944</c:v>
                </c:pt>
                <c:pt idx="139">
                  <c:v>3849.8960000000002</c:v>
                </c:pt>
                <c:pt idx="140">
                  <c:v>3669.5419999999999</c:v>
                </c:pt>
                <c:pt idx="141">
                  <c:v>3936.7979999999998</c:v>
                </c:pt>
                <c:pt idx="142">
                  <c:v>4042.9340000000002</c:v>
                </c:pt>
                <c:pt idx="143">
                  <c:v>4095.873</c:v>
                </c:pt>
                <c:pt idx="144">
                  <c:v>4064.59</c:v>
                </c:pt>
                <c:pt idx="145">
                  <c:v>4058.2579999999998</c:v>
                </c:pt>
                <c:pt idx="146">
                  <c:v>4344.7669999999998</c:v>
                </c:pt>
                <c:pt idx="147">
                  <c:v>4554.201</c:v>
                </c:pt>
                <c:pt idx="148">
                  <c:v>4614.0079999999998</c:v>
                </c:pt>
                <c:pt idx="149">
                  <c:v>4616.9650000000001</c:v>
                </c:pt>
                <c:pt idx="150">
                  <c:v>4806.6880000000001</c:v>
                </c:pt>
                <c:pt idx="151">
                  <c:v>4960.6419999999998</c:v>
                </c:pt>
                <c:pt idx="152">
                  <c:v>5234.8019999999997</c:v>
                </c:pt>
                <c:pt idx="153">
                  <c:v>5436.8109999999997</c:v>
                </c:pt>
                <c:pt idx="154">
                  <c:v>5277.643</c:v>
                </c:pt>
                <c:pt idx="155">
                  <c:v>5206.1450000000004</c:v>
                </c:pt>
                <c:pt idx="156">
                  <c:v>5572.6279999999997</c:v>
                </c:pt>
                <c:pt idx="157">
                  <c:v>5646.35</c:v>
                </c:pt>
                <c:pt idx="158">
                  <c:v>6187.3119999999999</c:v>
                </c:pt>
                <c:pt idx="159">
                  <c:v>6560.2860000000001</c:v>
                </c:pt>
                <c:pt idx="160">
                  <c:v>6532.2979999999998</c:v>
                </c:pt>
                <c:pt idx="161">
                  <c:v>6535.8909999999996</c:v>
                </c:pt>
                <c:pt idx="162">
                  <c:v>6539.1260000000002</c:v>
                </c:pt>
                <c:pt idx="163">
                  <c:v>6835.0050000000001</c:v>
                </c:pt>
                <c:pt idx="164">
                  <c:v>7629.01</c:v>
                </c:pt>
                <c:pt idx="165">
                  <c:v>7934.3959999999997</c:v>
                </c:pt>
                <c:pt idx="166">
                  <c:v>8368.3089999999993</c:v>
                </c:pt>
                <c:pt idx="167">
                  <c:v>8585.6620000000003</c:v>
                </c:pt>
                <c:pt idx="168">
                  <c:v>9644.6</c:v>
                </c:pt>
                <c:pt idx="169">
                  <c:v>10388.584000000001</c:v>
                </c:pt>
                <c:pt idx="170">
                  <c:v>9236.5709999999999</c:v>
                </c:pt>
                <c:pt idx="171">
                  <c:v>9172.8340000000007</c:v>
                </c:pt>
                <c:pt idx="172">
                  <c:v>9037.0229999999992</c:v>
                </c:pt>
                <c:pt idx="173">
                  <c:v>8000.2969999999996</c:v>
                </c:pt>
                <c:pt idx="174" formatCode="0.000">
                  <c:v>8000.2969999999996</c:v>
                </c:pt>
                <c:pt idx="175" formatCode="0.000">
                  <c:v>8000.2969999999996</c:v>
                </c:pt>
              </c:numCache>
            </c:numRef>
          </c:val>
          <c:extLst>
            <c:ext xmlns:c16="http://schemas.microsoft.com/office/drawing/2014/chart" uri="{C3380CC4-5D6E-409C-BE32-E72D297353CC}">
              <c16:uniqueId val="{00000003-902D-4FD0-A4FD-DDE3B3A541D0}"/>
            </c:ext>
          </c:extLst>
        </c:ser>
        <c:dLbls>
          <c:showLegendKey val="0"/>
          <c:showVal val="0"/>
          <c:showCatName val="0"/>
          <c:showSerName val="0"/>
          <c:showPercent val="0"/>
          <c:showBubbleSize val="0"/>
        </c:dLbls>
        <c:axId val="176853807"/>
        <c:axId val="176838831"/>
      </c:areaChart>
      <c:dateAx>
        <c:axId val="176853807"/>
        <c:scaling>
          <c:orientation val="minMax"/>
          <c:max val="46249"/>
          <c:min val="42597"/>
        </c:scaling>
        <c:delete val="0"/>
        <c:axPos val="b"/>
        <c:numFmt formatCode="mmm\-yy" sourceLinked="1"/>
        <c:majorTickMark val="out"/>
        <c:minorTickMark val="none"/>
        <c:tickLblPos val="low"/>
        <c:spPr>
          <a:noFill/>
          <a:ln w="12700" cap="flat" cmpd="sng" algn="ctr">
            <a:solidFill>
              <a:srgbClr val="333333"/>
            </a:solidFill>
            <a:prstDash val="solid"/>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Frutiger 45 Light" panose="020B0603020202020204" pitchFamily="34" charset="0"/>
                <a:ea typeface="Credit Suisse Type Light"/>
                <a:cs typeface="Credit Suisse Type Light"/>
              </a:defRPr>
            </a:pPr>
            <a:endParaRPr lang="en-US"/>
          </a:p>
        </c:txPr>
        <c:crossAx val="176838831"/>
        <c:crosses val="autoZero"/>
        <c:auto val="1"/>
        <c:lblOffset val="100"/>
        <c:baseTimeUnit val="months"/>
        <c:majorUnit val="24"/>
        <c:majorTimeUnit val="months"/>
      </c:dateAx>
      <c:valAx>
        <c:axId val="176838831"/>
        <c:scaling>
          <c:orientation val="minMax"/>
          <c:max val="80000"/>
          <c:min val="-10000"/>
        </c:scaling>
        <c:delete val="0"/>
        <c:axPos val="l"/>
        <c:numFmt formatCode="#,##0" sourceLinked="0"/>
        <c:majorTickMark val="out"/>
        <c:minorTickMark val="none"/>
        <c:tickLblPos val="nextTo"/>
        <c:spPr>
          <a:noFill/>
          <a:ln w="12700">
            <a:solidFill>
              <a:srgbClr val="333333"/>
            </a:solidFill>
            <a:prstDash val="soli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Frutiger 45 Light" panose="020B0603020202020204" pitchFamily="34" charset="0"/>
                <a:ea typeface="Credit Suisse Type Light"/>
                <a:cs typeface="Credit Suisse Type Light"/>
              </a:defRPr>
            </a:pPr>
            <a:endParaRPr lang="en-US"/>
          </a:p>
        </c:txPr>
        <c:crossAx val="176853807"/>
        <c:crosses val="autoZero"/>
        <c:crossBetween val="midCat"/>
        <c:majorUnit val="10000"/>
        <c:dispUnits>
          <c:builtInUnit val="thousands"/>
        </c:dispUnits>
      </c:valAx>
      <c:spPr>
        <a:noFill/>
        <a:ln w="25400">
          <a:noFill/>
        </a:ln>
        <a:effectLst/>
      </c:spPr>
    </c:plotArea>
    <c:legend>
      <c:legendPos val="b"/>
      <c:layout>
        <c:manualLayout>
          <c:xMode val="edge"/>
          <c:yMode val="edge"/>
          <c:x val="0.563344764687433"/>
          <c:y val="0.1154772320126651"/>
          <c:w val="0.32729679426864094"/>
          <c:h val="0.23423400199975"/>
        </c:manualLayout>
      </c:layout>
      <c:overlay val="0"/>
      <c:spPr>
        <a:noFill/>
        <a:ln w="25400">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Frutiger 45 Light" panose="020B0603020202020204" pitchFamily="34" charset="0"/>
              <a:ea typeface="Credit Suisse Type Light"/>
              <a:cs typeface="Credit Suisse Type Light"/>
            </a:defRPr>
          </a:pPr>
          <a:endParaRPr lang="en-US"/>
        </a:p>
      </c:txPr>
    </c:legend>
    <c:plotVisOnly val="1"/>
    <c:dispBlanksAs val="zero"/>
    <c:showDLblsOverMax val="0"/>
  </c:chart>
  <c:spPr>
    <a:solidFill>
      <a:srgbClr val="FFFFFF"/>
    </a:solidFill>
    <a:ln w="25400" cap="flat" cmpd="sng" algn="ctr">
      <a:noFill/>
      <a:round/>
    </a:ln>
    <a:effectLst/>
  </c:spPr>
  <c:txPr>
    <a:bodyPr/>
    <a:lstStyle/>
    <a:p>
      <a:pPr>
        <a:defRPr sz="1200" b="0" i="0">
          <a:solidFill>
            <a:sysClr val="windowText" lastClr="000000"/>
          </a:solidFill>
          <a:latin typeface="Frutiger 45 Light" panose="020B0603020202020204" pitchFamily="34" charset="0"/>
          <a:ea typeface="Credit Suisse Type Light"/>
          <a:cs typeface="Credit Suisse Type Light"/>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40" b="0" i="0" u="none" strike="noStrike" kern="1200" spc="0" baseline="0">
                <a:solidFill>
                  <a:sysClr val="windowText" lastClr="000000"/>
                </a:solidFill>
                <a:latin typeface="Frutiger 45 Light" panose="020B0603020202020204" pitchFamily="34" charset="0"/>
                <a:ea typeface="Credit Suisse Type Light"/>
                <a:cs typeface="Credit Suisse Type Light"/>
              </a:defRPr>
            </a:pPr>
            <a:r>
              <a:rPr lang="en-US" b="1"/>
              <a:t>Selected composition of gross international reserves</a:t>
            </a:r>
          </a:p>
          <a:p>
            <a:pPr algn="l">
              <a:defRPr/>
            </a:pPr>
            <a:r>
              <a:rPr lang="en-US"/>
              <a:t>USD</a:t>
            </a:r>
            <a:r>
              <a:rPr lang="en-US" baseline="0"/>
              <a:t> billions</a:t>
            </a:r>
            <a:endParaRPr lang="en-US"/>
          </a:p>
        </c:rich>
      </c:tx>
      <c:layout>
        <c:manualLayout>
          <c:xMode val="edge"/>
          <c:yMode val="edge"/>
          <c:x val="0.12054205121854687"/>
          <c:y val="1.8991896846227554E-2"/>
        </c:manualLayout>
      </c:layout>
      <c:overlay val="0"/>
      <c:spPr>
        <a:noFill/>
        <a:ln>
          <a:noFill/>
        </a:ln>
        <a:effectLst/>
      </c:spPr>
      <c:txPr>
        <a:bodyPr rot="0" spcFirstLastPara="1" vertOverflow="ellipsis" vert="horz" wrap="square" anchor="ctr" anchorCtr="1"/>
        <a:lstStyle/>
        <a:p>
          <a:pPr algn="l">
            <a:defRPr sz="1440" b="0" i="0" u="none" strike="noStrike" kern="1200" spc="0" baseline="0">
              <a:solidFill>
                <a:sysClr val="windowText" lastClr="000000"/>
              </a:solidFill>
              <a:latin typeface="Frutiger 45 Light" panose="020B0603020202020204" pitchFamily="34" charset="0"/>
              <a:ea typeface="Credit Suisse Type Light"/>
              <a:cs typeface="Credit Suisse Type Light"/>
            </a:defRPr>
          </a:pPr>
          <a:endParaRPr lang="en-US"/>
        </a:p>
      </c:txPr>
    </c:title>
    <c:autoTitleDeleted val="0"/>
    <c:plotArea>
      <c:layout>
        <c:manualLayout>
          <c:layoutTarget val="inner"/>
          <c:xMode val="edge"/>
          <c:yMode val="edge"/>
          <c:x val="8.3008791613523661E-2"/>
          <c:y val="4.8181477315335591E-2"/>
          <c:w val="0.86213774664602327"/>
          <c:h val="0.87802566345873434"/>
        </c:manualLayout>
      </c:layout>
      <c:areaChart>
        <c:grouping val="stacked"/>
        <c:varyColors val="0"/>
        <c:ser>
          <c:idx val="0"/>
          <c:order val="0"/>
          <c:tx>
            <c:strRef>
              <c:f>'Net reserves'!$A$12</c:f>
              <c:strCache>
                <c:ptCount val="1"/>
                <c:pt idx="0">
                  <c:v>Net reserves</c:v>
                </c:pt>
              </c:strCache>
            </c:strRef>
          </c:tx>
          <c:spPr>
            <a:solidFill>
              <a:srgbClr val="8A0000"/>
            </a:solidFill>
            <a:ln w="12700">
              <a:noFill/>
              <a:prstDash val="solid"/>
            </a:ln>
            <a:effectLst/>
          </c:spPr>
          <c:cat>
            <c:numRef>
              <c:f>'Net reserves'!$H$10:$GA$10</c:f>
              <c:numCache>
                <c:formatCode>mmm\-yy</c:formatCode>
                <c:ptCount val="176"/>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pt idx="14">
                  <c:v>41334</c:v>
                </c:pt>
                <c:pt idx="15">
                  <c:v>41365</c:v>
                </c:pt>
                <c:pt idx="16">
                  <c:v>41395</c:v>
                </c:pt>
                <c:pt idx="17">
                  <c:v>41426</c:v>
                </c:pt>
                <c:pt idx="18">
                  <c:v>41456</c:v>
                </c:pt>
                <c:pt idx="19">
                  <c:v>41487</c:v>
                </c:pt>
                <c:pt idx="20">
                  <c:v>41518</c:v>
                </c:pt>
                <c:pt idx="21">
                  <c:v>41548</c:v>
                </c:pt>
                <c:pt idx="22">
                  <c:v>41579</c:v>
                </c:pt>
                <c:pt idx="23">
                  <c:v>41609</c:v>
                </c:pt>
                <c:pt idx="24">
                  <c:v>41640</c:v>
                </c:pt>
                <c:pt idx="25">
                  <c:v>41671</c:v>
                </c:pt>
                <c:pt idx="26">
                  <c:v>41699</c:v>
                </c:pt>
                <c:pt idx="27">
                  <c:v>41730</c:v>
                </c:pt>
                <c:pt idx="28">
                  <c:v>41760</c:v>
                </c:pt>
                <c:pt idx="29">
                  <c:v>41791</c:v>
                </c:pt>
                <c:pt idx="30">
                  <c:v>41821</c:v>
                </c:pt>
                <c:pt idx="31">
                  <c:v>41852</c:v>
                </c:pt>
                <c:pt idx="32">
                  <c:v>41883</c:v>
                </c:pt>
                <c:pt idx="33">
                  <c:v>41913</c:v>
                </c:pt>
                <c:pt idx="34">
                  <c:v>41944</c:v>
                </c:pt>
                <c:pt idx="35">
                  <c:v>41974</c:v>
                </c:pt>
                <c:pt idx="36">
                  <c:v>42005</c:v>
                </c:pt>
                <c:pt idx="37">
                  <c:v>42036</c:v>
                </c:pt>
                <c:pt idx="38">
                  <c:v>42064</c:v>
                </c:pt>
                <c:pt idx="39">
                  <c:v>42095</c:v>
                </c:pt>
                <c:pt idx="40">
                  <c:v>42125</c:v>
                </c:pt>
                <c:pt idx="41">
                  <c:v>42156</c:v>
                </c:pt>
                <c:pt idx="42">
                  <c:v>42186</c:v>
                </c:pt>
                <c:pt idx="43">
                  <c:v>42217</c:v>
                </c:pt>
                <c:pt idx="44">
                  <c:v>42248</c:v>
                </c:pt>
                <c:pt idx="45">
                  <c:v>42278</c:v>
                </c:pt>
                <c:pt idx="46">
                  <c:v>42309</c:v>
                </c:pt>
                <c:pt idx="47">
                  <c:v>42339</c:v>
                </c:pt>
                <c:pt idx="48">
                  <c:v>42370</c:v>
                </c:pt>
                <c:pt idx="49">
                  <c:v>42401</c:v>
                </c:pt>
                <c:pt idx="50">
                  <c:v>42430</c:v>
                </c:pt>
                <c:pt idx="51">
                  <c:v>42461</c:v>
                </c:pt>
                <c:pt idx="52">
                  <c:v>42491</c:v>
                </c:pt>
                <c:pt idx="53">
                  <c:v>42522</c:v>
                </c:pt>
                <c:pt idx="54">
                  <c:v>42552</c:v>
                </c:pt>
                <c:pt idx="55">
                  <c:v>42583</c:v>
                </c:pt>
                <c:pt idx="56">
                  <c:v>42614</c:v>
                </c:pt>
                <c:pt idx="57">
                  <c:v>42644</c:v>
                </c:pt>
                <c:pt idx="58">
                  <c:v>42675</c:v>
                </c:pt>
                <c:pt idx="59">
                  <c:v>42705</c:v>
                </c:pt>
                <c:pt idx="60">
                  <c:v>42736</c:v>
                </c:pt>
                <c:pt idx="61">
                  <c:v>42767</c:v>
                </c:pt>
                <c:pt idx="62">
                  <c:v>42795</c:v>
                </c:pt>
                <c:pt idx="63">
                  <c:v>42826</c:v>
                </c:pt>
                <c:pt idx="64">
                  <c:v>42856</c:v>
                </c:pt>
                <c:pt idx="65">
                  <c:v>42887</c:v>
                </c:pt>
                <c:pt idx="66">
                  <c:v>42917</c:v>
                </c:pt>
                <c:pt idx="67">
                  <c:v>42948</c:v>
                </c:pt>
                <c:pt idx="68">
                  <c:v>42979</c:v>
                </c:pt>
                <c:pt idx="69">
                  <c:v>43009</c:v>
                </c:pt>
                <c:pt idx="70">
                  <c:v>43040</c:v>
                </c:pt>
                <c:pt idx="71">
                  <c:v>43070</c:v>
                </c:pt>
                <c:pt idx="72">
                  <c:v>43101</c:v>
                </c:pt>
                <c:pt idx="73">
                  <c:v>43132</c:v>
                </c:pt>
                <c:pt idx="74">
                  <c:v>43160</c:v>
                </c:pt>
                <c:pt idx="75">
                  <c:v>43191</c:v>
                </c:pt>
                <c:pt idx="76">
                  <c:v>43221</c:v>
                </c:pt>
                <c:pt idx="77">
                  <c:v>43252</c:v>
                </c:pt>
                <c:pt idx="78">
                  <c:v>43282</c:v>
                </c:pt>
                <c:pt idx="79">
                  <c:v>43313</c:v>
                </c:pt>
                <c:pt idx="80">
                  <c:v>43344</c:v>
                </c:pt>
                <c:pt idx="81">
                  <c:v>43374</c:v>
                </c:pt>
                <c:pt idx="82">
                  <c:v>43405</c:v>
                </c:pt>
                <c:pt idx="83">
                  <c:v>43435</c:v>
                </c:pt>
                <c:pt idx="84">
                  <c:v>43466</c:v>
                </c:pt>
                <c:pt idx="85">
                  <c:v>43497</c:v>
                </c:pt>
                <c:pt idx="86">
                  <c:v>43525</c:v>
                </c:pt>
                <c:pt idx="87">
                  <c:v>43556</c:v>
                </c:pt>
                <c:pt idx="88">
                  <c:v>43586</c:v>
                </c:pt>
                <c:pt idx="89">
                  <c:v>43617</c:v>
                </c:pt>
                <c:pt idx="90">
                  <c:v>43647</c:v>
                </c:pt>
                <c:pt idx="91">
                  <c:v>43678</c:v>
                </c:pt>
                <c:pt idx="92">
                  <c:v>43709</c:v>
                </c:pt>
                <c:pt idx="93">
                  <c:v>43739</c:v>
                </c:pt>
                <c:pt idx="94">
                  <c:v>43770</c:v>
                </c:pt>
                <c:pt idx="95">
                  <c:v>43800</c:v>
                </c:pt>
                <c:pt idx="96">
                  <c:v>43831</c:v>
                </c:pt>
                <c:pt idx="97">
                  <c:v>43862</c:v>
                </c:pt>
                <c:pt idx="98">
                  <c:v>43891</c:v>
                </c:pt>
                <c:pt idx="99">
                  <c:v>43922</c:v>
                </c:pt>
                <c:pt idx="100">
                  <c:v>43952</c:v>
                </c:pt>
                <c:pt idx="101">
                  <c:v>43983</c:v>
                </c:pt>
                <c:pt idx="102">
                  <c:v>44013</c:v>
                </c:pt>
                <c:pt idx="103">
                  <c:v>44044</c:v>
                </c:pt>
                <c:pt idx="104">
                  <c:v>44075</c:v>
                </c:pt>
                <c:pt idx="105">
                  <c:v>44105</c:v>
                </c:pt>
                <c:pt idx="106">
                  <c:v>44136</c:v>
                </c:pt>
                <c:pt idx="107">
                  <c:v>44166</c:v>
                </c:pt>
                <c:pt idx="108">
                  <c:v>44197</c:v>
                </c:pt>
                <c:pt idx="109">
                  <c:v>44228</c:v>
                </c:pt>
                <c:pt idx="110">
                  <c:v>44256</c:v>
                </c:pt>
                <c:pt idx="111">
                  <c:v>44287</c:v>
                </c:pt>
                <c:pt idx="112">
                  <c:v>44317</c:v>
                </c:pt>
                <c:pt idx="113">
                  <c:v>44348</c:v>
                </c:pt>
                <c:pt idx="114">
                  <c:v>44378</c:v>
                </c:pt>
                <c:pt idx="115">
                  <c:v>44409</c:v>
                </c:pt>
                <c:pt idx="116">
                  <c:v>44440</c:v>
                </c:pt>
                <c:pt idx="117">
                  <c:v>44470</c:v>
                </c:pt>
                <c:pt idx="118">
                  <c:v>44501</c:v>
                </c:pt>
                <c:pt idx="119">
                  <c:v>44531</c:v>
                </c:pt>
                <c:pt idx="120">
                  <c:v>44562</c:v>
                </c:pt>
                <c:pt idx="121">
                  <c:v>44593</c:v>
                </c:pt>
                <c:pt idx="122">
                  <c:v>44621</c:v>
                </c:pt>
                <c:pt idx="123">
                  <c:v>44652</c:v>
                </c:pt>
                <c:pt idx="124">
                  <c:v>44682</c:v>
                </c:pt>
                <c:pt idx="125">
                  <c:v>44713</c:v>
                </c:pt>
                <c:pt idx="126">
                  <c:v>44743</c:v>
                </c:pt>
                <c:pt idx="127">
                  <c:v>44774</c:v>
                </c:pt>
                <c:pt idx="128">
                  <c:v>44805</c:v>
                </c:pt>
                <c:pt idx="129">
                  <c:v>44835</c:v>
                </c:pt>
                <c:pt idx="130">
                  <c:v>44866</c:v>
                </c:pt>
                <c:pt idx="131">
                  <c:v>44896</c:v>
                </c:pt>
                <c:pt idx="132">
                  <c:v>44927</c:v>
                </c:pt>
                <c:pt idx="133">
                  <c:v>44958</c:v>
                </c:pt>
                <c:pt idx="134">
                  <c:v>44986</c:v>
                </c:pt>
                <c:pt idx="135">
                  <c:v>45017</c:v>
                </c:pt>
                <c:pt idx="136">
                  <c:v>45047</c:v>
                </c:pt>
                <c:pt idx="137">
                  <c:v>45078</c:v>
                </c:pt>
                <c:pt idx="138">
                  <c:v>45108</c:v>
                </c:pt>
                <c:pt idx="139">
                  <c:v>45139</c:v>
                </c:pt>
                <c:pt idx="140">
                  <c:v>45170</c:v>
                </c:pt>
                <c:pt idx="141">
                  <c:v>45200</c:v>
                </c:pt>
                <c:pt idx="142">
                  <c:v>45231</c:v>
                </c:pt>
                <c:pt idx="143">
                  <c:v>45261</c:v>
                </c:pt>
                <c:pt idx="144">
                  <c:v>45292</c:v>
                </c:pt>
                <c:pt idx="145">
                  <c:v>45323</c:v>
                </c:pt>
                <c:pt idx="146">
                  <c:v>45352</c:v>
                </c:pt>
                <c:pt idx="147">
                  <c:v>45383</c:v>
                </c:pt>
                <c:pt idx="148">
                  <c:v>45413</c:v>
                </c:pt>
                <c:pt idx="149">
                  <c:v>45444</c:v>
                </c:pt>
                <c:pt idx="150">
                  <c:v>45474</c:v>
                </c:pt>
                <c:pt idx="151">
                  <c:v>45505</c:v>
                </c:pt>
                <c:pt idx="152">
                  <c:v>45536</c:v>
                </c:pt>
                <c:pt idx="153">
                  <c:v>45566</c:v>
                </c:pt>
                <c:pt idx="154">
                  <c:v>45597</c:v>
                </c:pt>
                <c:pt idx="155">
                  <c:v>45627</c:v>
                </c:pt>
                <c:pt idx="156">
                  <c:v>45658</c:v>
                </c:pt>
                <c:pt idx="157">
                  <c:v>45689</c:v>
                </c:pt>
                <c:pt idx="158">
                  <c:v>45717</c:v>
                </c:pt>
                <c:pt idx="159">
                  <c:v>45748</c:v>
                </c:pt>
                <c:pt idx="160">
                  <c:v>45778</c:v>
                </c:pt>
                <c:pt idx="161">
                  <c:v>45809</c:v>
                </c:pt>
                <c:pt idx="162">
                  <c:v>45839</c:v>
                </c:pt>
                <c:pt idx="163">
                  <c:v>45870</c:v>
                </c:pt>
                <c:pt idx="164">
                  <c:v>45901</c:v>
                </c:pt>
                <c:pt idx="165">
                  <c:v>45931</c:v>
                </c:pt>
                <c:pt idx="166">
                  <c:v>45962</c:v>
                </c:pt>
                <c:pt idx="167">
                  <c:v>45992</c:v>
                </c:pt>
                <c:pt idx="168">
                  <c:v>46023</c:v>
                </c:pt>
                <c:pt idx="169">
                  <c:v>46054</c:v>
                </c:pt>
                <c:pt idx="170">
                  <c:v>46082</c:v>
                </c:pt>
                <c:pt idx="171">
                  <c:v>46113</c:v>
                </c:pt>
                <c:pt idx="172">
                  <c:v>46143</c:v>
                </c:pt>
                <c:pt idx="173">
                  <c:v>46174</c:v>
                </c:pt>
                <c:pt idx="174">
                  <c:v>46204</c:v>
                </c:pt>
                <c:pt idx="175">
                  <c:v>46235</c:v>
                </c:pt>
              </c:numCache>
            </c:numRef>
          </c:cat>
          <c:val>
            <c:numRef>
              <c:f>'Net reserves'!$H$12:$GA$12</c:f>
              <c:numCache>
                <c:formatCode>_(* #,##0.00_);_(* \(#,##0.00\);_(* "-"??_);_(@_)</c:formatCode>
                <c:ptCount val="176"/>
                <c:pt idx="0">
                  <c:v>38906.998575167941</c:v>
                </c:pt>
                <c:pt idx="1">
                  <c:v>39046.497944890929</c:v>
                </c:pt>
                <c:pt idx="2">
                  <c:v>39370.86746295022</c:v>
                </c:pt>
                <c:pt idx="3">
                  <c:v>40023.011065726634</c:v>
                </c:pt>
                <c:pt idx="4">
                  <c:v>39947.098896877105</c:v>
                </c:pt>
                <c:pt idx="5">
                  <c:v>40166.411977900549</c:v>
                </c:pt>
                <c:pt idx="6">
                  <c:v>40038.853928961747</c:v>
                </c:pt>
                <c:pt idx="7">
                  <c:v>37843.96859333045</c:v>
                </c:pt>
                <c:pt idx="8">
                  <c:v>37575.449846055162</c:v>
                </c:pt>
                <c:pt idx="9">
                  <c:v>36594.867022756</c:v>
                </c:pt>
                <c:pt idx="10">
                  <c:v>36248.632582213031</c:v>
                </c:pt>
                <c:pt idx="11">
                  <c:v>33858.245082482637</c:v>
                </c:pt>
                <c:pt idx="12">
                  <c:v>33639.652914400802</c:v>
                </c:pt>
                <c:pt idx="13">
                  <c:v>32864.759206923991</c:v>
                </c:pt>
                <c:pt idx="14">
                  <c:v>31986.636406115253</c:v>
                </c:pt>
                <c:pt idx="15">
                  <c:v>30532.050004830915</c:v>
                </c:pt>
                <c:pt idx="16">
                  <c:v>29536.084389057756</c:v>
                </c:pt>
                <c:pt idx="17">
                  <c:v>28081.651767441861</c:v>
                </c:pt>
                <c:pt idx="18">
                  <c:v>27734.514824065638</c:v>
                </c:pt>
                <c:pt idx="19">
                  <c:v>24505.176215852796</c:v>
                </c:pt>
                <c:pt idx="20">
                  <c:v>22120.37997835498</c:v>
                </c:pt>
                <c:pt idx="21">
                  <c:v>20310.946687712152</c:v>
                </c:pt>
                <c:pt idx="22">
                  <c:v>17956.071322169584</c:v>
                </c:pt>
                <c:pt idx="23">
                  <c:v>16190.752109521616</c:v>
                </c:pt>
                <c:pt idx="24">
                  <c:v>13056.723419518376</c:v>
                </c:pt>
                <c:pt idx="25">
                  <c:v>14938.487648261758</c:v>
                </c:pt>
                <c:pt idx="26">
                  <c:v>15098.470637826958</c:v>
                </c:pt>
                <c:pt idx="27">
                  <c:v>17333.652050301811</c:v>
                </c:pt>
                <c:pt idx="28">
                  <c:v>17659.578244084682</c:v>
                </c:pt>
                <c:pt idx="29">
                  <c:v>17787.687395892612</c:v>
                </c:pt>
                <c:pt idx="30">
                  <c:v>17924.781815177481</c:v>
                </c:pt>
                <c:pt idx="31">
                  <c:v>17585.437026104661</c:v>
                </c:pt>
                <c:pt idx="32">
                  <c:v>17098.613221957039</c:v>
                </c:pt>
                <c:pt idx="33">
                  <c:v>16180.354955595027</c:v>
                </c:pt>
                <c:pt idx="34">
                  <c:v>16161.911415094341</c:v>
                </c:pt>
                <c:pt idx="35">
                  <c:v>17017.012331374855</c:v>
                </c:pt>
                <c:pt idx="36">
                  <c:v>15920.056030250144</c:v>
                </c:pt>
                <c:pt idx="37">
                  <c:v>15072.470691244242</c:v>
                </c:pt>
                <c:pt idx="38">
                  <c:v>14356.583329532494</c:v>
                </c:pt>
                <c:pt idx="39">
                  <c:v>16140.270902934535</c:v>
                </c:pt>
                <c:pt idx="40">
                  <c:v>15140.36801621017</c:v>
                </c:pt>
                <c:pt idx="41">
                  <c:v>14772.109690265483</c:v>
                </c:pt>
                <c:pt idx="42">
                  <c:v>14442.367754510666</c:v>
                </c:pt>
                <c:pt idx="43">
                  <c:v>12398.463513513514</c:v>
                </c:pt>
                <c:pt idx="44">
                  <c:v>10893.057666666668</c:v>
                </c:pt>
                <c:pt idx="45">
                  <c:v>3198.6177091004738</c:v>
                </c:pt>
                <c:pt idx="46">
                  <c:v>1874.9284878175222</c:v>
                </c:pt>
                <c:pt idx="47">
                  <c:v>518.24403816793802</c:v>
                </c:pt>
                <c:pt idx="48">
                  <c:v>1723.1509753265591</c:v>
                </c:pt>
                <c:pt idx="49">
                  <c:v>1919.3192993630564</c:v>
                </c:pt>
                <c:pt idx="50">
                  <c:v>1200.7828767123306</c:v>
                </c:pt>
                <c:pt idx="51">
                  <c:v>6360.8643146853155</c:v>
                </c:pt>
                <c:pt idx="52">
                  <c:v>88.657142857141025</c:v>
                </c:pt>
                <c:pt idx="53">
                  <c:v>48.545999999999822</c:v>
                </c:pt>
                <c:pt idx="54">
                  <c:v>5545.9323333333332</c:v>
                </c:pt>
                <c:pt idx="55">
                  <c:v>5645.1750402684593</c:v>
                </c:pt>
                <c:pt idx="56">
                  <c:v>4649.5621437908485</c:v>
                </c:pt>
                <c:pt idx="57">
                  <c:v>5188.6139999999959</c:v>
                </c:pt>
                <c:pt idx="58">
                  <c:v>9074.6260062893125</c:v>
                </c:pt>
                <c:pt idx="59">
                  <c:v>10199.106805031448</c:v>
                </c:pt>
                <c:pt idx="60">
                  <c:v>11054.057591194971</c:v>
                </c:pt>
                <c:pt idx="61">
                  <c:v>14560.62093548387</c:v>
                </c:pt>
                <c:pt idx="62">
                  <c:v>12624.572285714283</c:v>
                </c:pt>
                <c:pt idx="63">
                  <c:v>15490.423000000001</c:v>
                </c:pt>
                <c:pt idx="64">
                  <c:v>16478.938161490685</c:v>
                </c:pt>
                <c:pt idx="65">
                  <c:v>20954.054927710848</c:v>
                </c:pt>
                <c:pt idx="66">
                  <c:v>17545.550484419258</c:v>
                </c:pt>
                <c:pt idx="67">
                  <c:v>18303.026826589594</c:v>
                </c:pt>
                <c:pt idx="68">
                  <c:v>21395.025456647403</c:v>
                </c:pt>
                <c:pt idx="69">
                  <c:v>24794.264855524081</c:v>
                </c:pt>
                <c:pt idx="70">
                  <c:v>26060.35870520231</c:v>
                </c:pt>
                <c:pt idx="71">
                  <c:v>27697.552172043004</c:v>
                </c:pt>
                <c:pt idx="72">
                  <c:v>30741.244020408165</c:v>
                </c:pt>
                <c:pt idx="73">
                  <c:v>34591.384417910456</c:v>
                </c:pt>
                <c:pt idx="74">
                  <c:v>34716.354640776706</c:v>
                </c:pt>
                <c:pt idx="75">
                  <c:v>29223.103240875909</c:v>
                </c:pt>
                <c:pt idx="76">
                  <c:v>24148.697218787638</c:v>
                </c:pt>
                <c:pt idx="77">
                  <c:v>33821.579694444445</c:v>
                </c:pt>
                <c:pt idx="78">
                  <c:v>30433.54378311499</c:v>
                </c:pt>
                <c:pt idx="79">
                  <c:v>25123.016623978201</c:v>
                </c:pt>
                <c:pt idx="80">
                  <c:v>22409.42284082625</c:v>
                </c:pt>
                <c:pt idx="81">
                  <c:v>27326.383736401673</c:v>
                </c:pt>
                <c:pt idx="82">
                  <c:v>24239.983424242422</c:v>
                </c:pt>
                <c:pt idx="83">
                  <c:v>29260.467085106386</c:v>
                </c:pt>
                <c:pt idx="84">
                  <c:v>29698.982302013421</c:v>
                </c:pt>
                <c:pt idx="85">
                  <c:v>31192.162089628677</c:v>
                </c:pt>
                <c:pt idx="86">
                  <c:v>27971.487231213872</c:v>
                </c:pt>
                <c:pt idx="87">
                  <c:v>32717.437191827466</c:v>
                </c:pt>
                <c:pt idx="88">
                  <c:v>25601.864110613526</c:v>
                </c:pt>
                <c:pt idx="89">
                  <c:v>26080.139647780928</c:v>
                </c:pt>
                <c:pt idx="90">
                  <c:v>29112.000566925533</c:v>
                </c:pt>
                <c:pt idx="91">
                  <c:v>20709.512752735231</c:v>
                </c:pt>
                <c:pt idx="92">
                  <c:v>17724.943015828838</c:v>
                </c:pt>
                <c:pt idx="93">
                  <c:v>12663.577102064799</c:v>
                </c:pt>
                <c:pt idx="94">
                  <c:v>13105.19044919786</c:v>
                </c:pt>
                <c:pt idx="95">
                  <c:v>13370.596780063557</c:v>
                </c:pt>
                <c:pt idx="96">
                  <c:v>11773.954726141079</c:v>
                </c:pt>
                <c:pt idx="97">
                  <c:v>10914.487234422801</c:v>
                </c:pt>
                <c:pt idx="98">
                  <c:v>10374.872488426285</c:v>
                </c:pt>
                <c:pt idx="99">
                  <c:v>9597.4023578064116</c:v>
                </c:pt>
                <c:pt idx="100">
                  <c:v>8083.1896370543545</c:v>
                </c:pt>
                <c:pt idx="101">
                  <c:v>9121.5612836839118</c:v>
                </c:pt>
                <c:pt idx="102">
                  <c:v>8453.3234148435331</c:v>
                </c:pt>
                <c:pt idx="103">
                  <c:v>6768.7705637149038</c:v>
                </c:pt>
                <c:pt idx="104">
                  <c:v>4712.6394111461595</c:v>
                </c:pt>
                <c:pt idx="105">
                  <c:v>3420.9222983891596</c:v>
                </c:pt>
                <c:pt idx="106">
                  <c:v>2412.8780077576657</c:v>
                </c:pt>
                <c:pt idx="107">
                  <c:v>3023.2615336109448</c:v>
                </c:pt>
                <c:pt idx="108">
                  <c:v>2402.9540510145603</c:v>
                </c:pt>
                <c:pt idx="109">
                  <c:v>2391.6270410164962</c:v>
                </c:pt>
                <c:pt idx="110">
                  <c:v>3370.6869575625692</c:v>
                </c:pt>
                <c:pt idx="111">
                  <c:v>4365.5023434624436</c:v>
                </c:pt>
                <c:pt idx="112">
                  <c:v>5811.304066363733</c:v>
                </c:pt>
                <c:pt idx="113">
                  <c:v>6331.136371888726</c:v>
                </c:pt>
                <c:pt idx="114">
                  <c:v>5880.4108686199424</c:v>
                </c:pt>
                <c:pt idx="115">
                  <c:v>9319.3738496517799</c:v>
                </c:pt>
                <c:pt idx="116">
                  <c:v>5618.8750519059204</c:v>
                </c:pt>
                <c:pt idx="117">
                  <c:v>5301.5250092350943</c:v>
                </c:pt>
                <c:pt idx="118">
                  <c:v>4366.583978782468</c:v>
                </c:pt>
                <c:pt idx="119">
                  <c:v>2105.9048739037198</c:v>
                </c:pt>
                <c:pt idx="120">
                  <c:v>-216.33949294700915</c:v>
                </c:pt>
                <c:pt idx="121">
                  <c:v>-1260.222220307408</c:v>
                </c:pt>
                <c:pt idx="122">
                  <c:v>5439.7140736633282</c:v>
                </c:pt>
                <c:pt idx="123">
                  <c:v>4496.4023824320784</c:v>
                </c:pt>
                <c:pt idx="124">
                  <c:v>4554.7966061615316</c:v>
                </c:pt>
                <c:pt idx="125">
                  <c:v>6506.8330095900237</c:v>
                </c:pt>
                <c:pt idx="126">
                  <c:v>2208.9700495540114</c:v>
                </c:pt>
                <c:pt idx="127">
                  <c:v>1157.1931739161773</c:v>
                </c:pt>
                <c:pt idx="128">
                  <c:v>3241.1755603858182</c:v>
                </c:pt>
                <c:pt idx="129">
                  <c:v>4640.382394553917</c:v>
                </c:pt>
                <c:pt idx="130">
                  <c:v>2903.3695348725914</c:v>
                </c:pt>
                <c:pt idx="131">
                  <c:v>8263.1674674121768</c:v>
                </c:pt>
                <c:pt idx="132">
                  <c:v>3664.4496928838971</c:v>
                </c:pt>
                <c:pt idx="133">
                  <c:v>1569.238343060139</c:v>
                </c:pt>
                <c:pt idx="134">
                  <c:v>2260.9612811646944</c:v>
                </c:pt>
                <c:pt idx="135">
                  <c:v>-851.12050916936323</c:v>
                </c:pt>
                <c:pt idx="136">
                  <c:v>-2080.4003330547425</c:v>
                </c:pt>
                <c:pt idx="137">
                  <c:v>-6004.2538791422994</c:v>
                </c:pt>
                <c:pt idx="138">
                  <c:v>-9253.2675286311569</c:v>
                </c:pt>
                <c:pt idx="139">
                  <c:v>-5193.4252246065826</c:v>
                </c:pt>
                <c:pt idx="140">
                  <c:v>-6037.6053805980828</c:v>
                </c:pt>
                <c:pt idx="141">
                  <c:v>-9968.3402460658072</c:v>
                </c:pt>
                <c:pt idx="142">
                  <c:v>-11573.153722222221</c:v>
                </c:pt>
                <c:pt idx="143">
                  <c:v>-10458.519459198216</c:v>
                </c:pt>
                <c:pt idx="144">
                  <c:v>-6392.7489203539808</c:v>
                </c:pt>
                <c:pt idx="145">
                  <c:v>-6838.457993814678</c:v>
                </c:pt>
                <c:pt idx="146">
                  <c:v>-6194.3803899591348</c:v>
                </c:pt>
                <c:pt idx="147">
                  <c:v>-5440.8976571428584</c:v>
                </c:pt>
                <c:pt idx="148">
                  <c:v>-4172.3784563758391</c:v>
                </c:pt>
                <c:pt idx="149">
                  <c:v>-3839.3036562328416</c:v>
                </c:pt>
                <c:pt idx="150">
                  <c:v>-7959.7091628156904</c:v>
                </c:pt>
                <c:pt idx="151">
                  <c:v>-8037.7708361344557</c:v>
                </c:pt>
                <c:pt idx="152">
                  <c:v>-9253.5249184726508</c:v>
                </c:pt>
                <c:pt idx="153">
                  <c:v>-9687.3949934376597</c:v>
                </c:pt>
                <c:pt idx="154">
                  <c:v>-8626.9543366336638</c:v>
                </c:pt>
                <c:pt idx="155">
                  <c:v>-7689.382901018922</c:v>
                </c:pt>
                <c:pt idx="156">
                  <c:v>-10201.130159695815</c:v>
                </c:pt>
                <c:pt idx="157">
                  <c:v>-9969.4380557253698</c:v>
                </c:pt>
                <c:pt idx="158">
                  <c:v>-12691.473023310024</c:v>
                </c:pt>
                <c:pt idx="159">
                  <c:v>-1440.0768168168161</c:v>
                </c:pt>
                <c:pt idx="160">
                  <c:v>-1873.905052809464</c:v>
                </c:pt>
                <c:pt idx="161">
                  <c:v>1554.2583969179523</c:v>
                </c:pt>
                <c:pt idx="162">
                  <c:v>-391.95792332968449</c:v>
                </c:pt>
                <c:pt idx="163">
                  <c:v>399.23861682243205</c:v>
                </c:pt>
                <c:pt idx="164">
                  <c:v>-528.23029661941109</c:v>
                </c:pt>
                <c:pt idx="165">
                  <c:v>-6714.4721926414413</c:v>
                </c:pt>
                <c:pt idx="166">
                  <c:v>-8255.7022273669663</c:v>
                </c:pt>
                <c:pt idx="167">
                  <c:v>-4491.7471875215451</c:v>
                </c:pt>
                <c:pt idx="168">
                  <c:v>-8681.1759982668973</c:v>
                </c:pt>
                <c:pt idx="169">
                  <c:v>-8456.3855780969516</c:v>
                </c:pt>
                <c:pt idx="170">
                  <c:v>-7914.5258239564446</c:v>
                </c:pt>
                <c:pt idx="171">
                  <c:v>-6151.2083184276962</c:v>
                </c:pt>
                <c:pt idx="172">
                  <c:v>-3197.9472130388313</c:v>
                </c:pt>
                <c:pt idx="173">
                  <c:v>-3070.8748815566823</c:v>
                </c:pt>
                <c:pt idx="174">
                  <c:v>-341.87488155668234</c:v>
                </c:pt>
                <c:pt idx="175">
                  <c:v>1559.1251184433177</c:v>
                </c:pt>
              </c:numCache>
            </c:numRef>
          </c:val>
          <c:extLst>
            <c:ext xmlns:c16="http://schemas.microsoft.com/office/drawing/2014/chart" uri="{C3380CC4-5D6E-409C-BE32-E72D297353CC}">
              <c16:uniqueId val="{00000000-7F40-4647-90DF-A7429A60A7CE}"/>
            </c:ext>
          </c:extLst>
        </c:ser>
        <c:ser>
          <c:idx val="1"/>
          <c:order val="1"/>
          <c:tx>
            <c:strRef>
              <c:f>'Net reserves'!$A$13</c:f>
              <c:strCache>
                <c:ptCount val="1"/>
                <c:pt idx="0">
                  <c:v>Repos</c:v>
                </c:pt>
              </c:strCache>
            </c:strRef>
          </c:tx>
          <c:spPr>
            <a:solidFill>
              <a:schemeClr val="tx1">
                <a:alpha val="16000"/>
              </a:schemeClr>
            </a:solidFill>
            <a:ln w="12700">
              <a:noFill/>
              <a:prstDash val="solid"/>
            </a:ln>
            <a:effectLst/>
          </c:spPr>
          <c:cat>
            <c:numRef>
              <c:f>'Net reserves'!$H$10:$GA$10</c:f>
              <c:numCache>
                <c:formatCode>mmm\-yy</c:formatCode>
                <c:ptCount val="176"/>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pt idx="14">
                  <c:v>41334</c:v>
                </c:pt>
                <c:pt idx="15">
                  <c:v>41365</c:v>
                </c:pt>
                <c:pt idx="16">
                  <c:v>41395</c:v>
                </c:pt>
                <c:pt idx="17">
                  <c:v>41426</c:v>
                </c:pt>
                <c:pt idx="18">
                  <c:v>41456</c:v>
                </c:pt>
                <c:pt idx="19">
                  <c:v>41487</c:v>
                </c:pt>
                <c:pt idx="20">
                  <c:v>41518</c:v>
                </c:pt>
                <c:pt idx="21">
                  <c:v>41548</c:v>
                </c:pt>
                <c:pt idx="22">
                  <c:v>41579</c:v>
                </c:pt>
                <c:pt idx="23">
                  <c:v>41609</c:v>
                </c:pt>
                <c:pt idx="24">
                  <c:v>41640</c:v>
                </c:pt>
                <c:pt idx="25">
                  <c:v>41671</c:v>
                </c:pt>
                <c:pt idx="26">
                  <c:v>41699</c:v>
                </c:pt>
                <c:pt idx="27">
                  <c:v>41730</c:v>
                </c:pt>
                <c:pt idx="28">
                  <c:v>41760</c:v>
                </c:pt>
                <c:pt idx="29">
                  <c:v>41791</c:v>
                </c:pt>
                <c:pt idx="30">
                  <c:v>41821</c:v>
                </c:pt>
                <c:pt idx="31">
                  <c:v>41852</c:v>
                </c:pt>
                <c:pt idx="32">
                  <c:v>41883</c:v>
                </c:pt>
                <c:pt idx="33">
                  <c:v>41913</c:v>
                </c:pt>
                <c:pt idx="34">
                  <c:v>41944</c:v>
                </c:pt>
                <c:pt idx="35">
                  <c:v>41974</c:v>
                </c:pt>
                <c:pt idx="36">
                  <c:v>42005</c:v>
                </c:pt>
                <c:pt idx="37">
                  <c:v>42036</c:v>
                </c:pt>
                <c:pt idx="38">
                  <c:v>42064</c:v>
                </c:pt>
                <c:pt idx="39">
                  <c:v>42095</c:v>
                </c:pt>
                <c:pt idx="40">
                  <c:v>42125</c:v>
                </c:pt>
                <c:pt idx="41">
                  <c:v>42156</c:v>
                </c:pt>
                <c:pt idx="42">
                  <c:v>42186</c:v>
                </c:pt>
                <c:pt idx="43">
                  <c:v>42217</c:v>
                </c:pt>
                <c:pt idx="44">
                  <c:v>42248</c:v>
                </c:pt>
                <c:pt idx="45">
                  <c:v>42278</c:v>
                </c:pt>
                <c:pt idx="46">
                  <c:v>42309</c:v>
                </c:pt>
                <c:pt idx="47">
                  <c:v>42339</c:v>
                </c:pt>
                <c:pt idx="48">
                  <c:v>42370</c:v>
                </c:pt>
                <c:pt idx="49">
                  <c:v>42401</c:v>
                </c:pt>
                <c:pt idx="50">
                  <c:v>42430</c:v>
                </c:pt>
                <c:pt idx="51">
                  <c:v>42461</c:v>
                </c:pt>
                <c:pt idx="52">
                  <c:v>42491</c:v>
                </c:pt>
                <c:pt idx="53">
                  <c:v>42522</c:v>
                </c:pt>
                <c:pt idx="54">
                  <c:v>42552</c:v>
                </c:pt>
                <c:pt idx="55">
                  <c:v>42583</c:v>
                </c:pt>
                <c:pt idx="56">
                  <c:v>42614</c:v>
                </c:pt>
                <c:pt idx="57">
                  <c:v>42644</c:v>
                </c:pt>
                <c:pt idx="58">
                  <c:v>42675</c:v>
                </c:pt>
                <c:pt idx="59">
                  <c:v>42705</c:v>
                </c:pt>
                <c:pt idx="60">
                  <c:v>42736</c:v>
                </c:pt>
                <c:pt idx="61">
                  <c:v>42767</c:v>
                </c:pt>
                <c:pt idx="62">
                  <c:v>42795</c:v>
                </c:pt>
                <c:pt idx="63">
                  <c:v>42826</c:v>
                </c:pt>
                <c:pt idx="64">
                  <c:v>42856</c:v>
                </c:pt>
                <c:pt idx="65">
                  <c:v>42887</c:v>
                </c:pt>
                <c:pt idx="66">
                  <c:v>42917</c:v>
                </c:pt>
                <c:pt idx="67">
                  <c:v>42948</c:v>
                </c:pt>
                <c:pt idx="68">
                  <c:v>42979</c:v>
                </c:pt>
                <c:pt idx="69">
                  <c:v>43009</c:v>
                </c:pt>
                <c:pt idx="70">
                  <c:v>43040</c:v>
                </c:pt>
                <c:pt idx="71">
                  <c:v>43070</c:v>
                </c:pt>
                <c:pt idx="72">
                  <c:v>43101</c:v>
                </c:pt>
                <c:pt idx="73">
                  <c:v>43132</c:v>
                </c:pt>
                <c:pt idx="74">
                  <c:v>43160</c:v>
                </c:pt>
                <c:pt idx="75">
                  <c:v>43191</c:v>
                </c:pt>
                <c:pt idx="76">
                  <c:v>43221</c:v>
                </c:pt>
                <c:pt idx="77">
                  <c:v>43252</c:v>
                </c:pt>
                <c:pt idx="78">
                  <c:v>43282</c:v>
                </c:pt>
                <c:pt idx="79">
                  <c:v>43313</c:v>
                </c:pt>
                <c:pt idx="80">
                  <c:v>43344</c:v>
                </c:pt>
                <c:pt idx="81">
                  <c:v>43374</c:v>
                </c:pt>
                <c:pt idx="82">
                  <c:v>43405</c:v>
                </c:pt>
                <c:pt idx="83">
                  <c:v>43435</c:v>
                </c:pt>
                <c:pt idx="84">
                  <c:v>43466</c:v>
                </c:pt>
                <c:pt idx="85">
                  <c:v>43497</c:v>
                </c:pt>
                <c:pt idx="86">
                  <c:v>43525</c:v>
                </c:pt>
                <c:pt idx="87">
                  <c:v>43556</c:v>
                </c:pt>
                <c:pt idx="88">
                  <c:v>43586</c:v>
                </c:pt>
                <c:pt idx="89">
                  <c:v>43617</c:v>
                </c:pt>
                <c:pt idx="90">
                  <c:v>43647</c:v>
                </c:pt>
                <c:pt idx="91">
                  <c:v>43678</c:v>
                </c:pt>
                <c:pt idx="92">
                  <c:v>43709</c:v>
                </c:pt>
                <c:pt idx="93">
                  <c:v>43739</c:v>
                </c:pt>
                <c:pt idx="94">
                  <c:v>43770</c:v>
                </c:pt>
                <c:pt idx="95">
                  <c:v>43800</c:v>
                </c:pt>
                <c:pt idx="96">
                  <c:v>43831</c:v>
                </c:pt>
                <c:pt idx="97">
                  <c:v>43862</c:v>
                </c:pt>
                <c:pt idx="98">
                  <c:v>43891</c:v>
                </c:pt>
                <c:pt idx="99">
                  <c:v>43922</c:v>
                </c:pt>
                <c:pt idx="100">
                  <c:v>43952</c:v>
                </c:pt>
                <c:pt idx="101">
                  <c:v>43983</c:v>
                </c:pt>
                <c:pt idx="102">
                  <c:v>44013</c:v>
                </c:pt>
                <c:pt idx="103">
                  <c:v>44044</c:v>
                </c:pt>
                <c:pt idx="104">
                  <c:v>44075</c:v>
                </c:pt>
                <c:pt idx="105">
                  <c:v>44105</c:v>
                </c:pt>
                <c:pt idx="106">
                  <c:v>44136</c:v>
                </c:pt>
                <c:pt idx="107">
                  <c:v>44166</c:v>
                </c:pt>
                <c:pt idx="108">
                  <c:v>44197</c:v>
                </c:pt>
                <c:pt idx="109">
                  <c:v>44228</c:v>
                </c:pt>
                <c:pt idx="110">
                  <c:v>44256</c:v>
                </c:pt>
                <c:pt idx="111">
                  <c:v>44287</c:v>
                </c:pt>
                <c:pt idx="112">
                  <c:v>44317</c:v>
                </c:pt>
                <c:pt idx="113">
                  <c:v>44348</c:v>
                </c:pt>
                <c:pt idx="114">
                  <c:v>44378</c:v>
                </c:pt>
                <c:pt idx="115">
                  <c:v>44409</c:v>
                </c:pt>
                <c:pt idx="116">
                  <c:v>44440</c:v>
                </c:pt>
                <c:pt idx="117">
                  <c:v>44470</c:v>
                </c:pt>
                <c:pt idx="118">
                  <c:v>44501</c:v>
                </c:pt>
                <c:pt idx="119">
                  <c:v>44531</c:v>
                </c:pt>
                <c:pt idx="120">
                  <c:v>44562</c:v>
                </c:pt>
                <c:pt idx="121">
                  <c:v>44593</c:v>
                </c:pt>
                <c:pt idx="122">
                  <c:v>44621</c:v>
                </c:pt>
                <c:pt idx="123">
                  <c:v>44652</c:v>
                </c:pt>
                <c:pt idx="124">
                  <c:v>44682</c:v>
                </c:pt>
                <c:pt idx="125">
                  <c:v>44713</c:v>
                </c:pt>
                <c:pt idx="126">
                  <c:v>44743</c:v>
                </c:pt>
                <c:pt idx="127">
                  <c:v>44774</c:v>
                </c:pt>
                <c:pt idx="128">
                  <c:v>44805</c:v>
                </c:pt>
                <c:pt idx="129">
                  <c:v>44835</c:v>
                </c:pt>
                <c:pt idx="130">
                  <c:v>44866</c:v>
                </c:pt>
                <c:pt idx="131">
                  <c:v>44896</c:v>
                </c:pt>
                <c:pt idx="132">
                  <c:v>44927</c:v>
                </c:pt>
                <c:pt idx="133">
                  <c:v>44958</c:v>
                </c:pt>
                <c:pt idx="134">
                  <c:v>44986</c:v>
                </c:pt>
                <c:pt idx="135">
                  <c:v>45017</c:v>
                </c:pt>
                <c:pt idx="136">
                  <c:v>45047</c:v>
                </c:pt>
                <c:pt idx="137">
                  <c:v>45078</c:v>
                </c:pt>
                <c:pt idx="138">
                  <c:v>45108</c:v>
                </c:pt>
                <c:pt idx="139">
                  <c:v>45139</c:v>
                </c:pt>
                <c:pt idx="140">
                  <c:v>45170</c:v>
                </c:pt>
                <c:pt idx="141">
                  <c:v>45200</c:v>
                </c:pt>
                <c:pt idx="142">
                  <c:v>45231</c:v>
                </c:pt>
                <c:pt idx="143">
                  <c:v>45261</c:v>
                </c:pt>
                <c:pt idx="144">
                  <c:v>45292</c:v>
                </c:pt>
                <c:pt idx="145">
                  <c:v>45323</c:v>
                </c:pt>
                <c:pt idx="146">
                  <c:v>45352</c:v>
                </c:pt>
                <c:pt idx="147">
                  <c:v>45383</c:v>
                </c:pt>
                <c:pt idx="148">
                  <c:v>45413</c:v>
                </c:pt>
                <c:pt idx="149">
                  <c:v>45444</c:v>
                </c:pt>
                <c:pt idx="150">
                  <c:v>45474</c:v>
                </c:pt>
                <c:pt idx="151">
                  <c:v>45505</c:v>
                </c:pt>
                <c:pt idx="152">
                  <c:v>45536</c:v>
                </c:pt>
                <c:pt idx="153">
                  <c:v>45566</c:v>
                </c:pt>
                <c:pt idx="154">
                  <c:v>45597</c:v>
                </c:pt>
                <c:pt idx="155">
                  <c:v>45627</c:v>
                </c:pt>
                <c:pt idx="156">
                  <c:v>45658</c:v>
                </c:pt>
                <c:pt idx="157">
                  <c:v>45689</c:v>
                </c:pt>
                <c:pt idx="158">
                  <c:v>45717</c:v>
                </c:pt>
                <c:pt idx="159">
                  <c:v>45748</c:v>
                </c:pt>
                <c:pt idx="160">
                  <c:v>45778</c:v>
                </c:pt>
                <c:pt idx="161">
                  <c:v>45809</c:v>
                </c:pt>
                <c:pt idx="162">
                  <c:v>45839</c:v>
                </c:pt>
                <c:pt idx="163">
                  <c:v>45870</c:v>
                </c:pt>
                <c:pt idx="164">
                  <c:v>45901</c:v>
                </c:pt>
                <c:pt idx="165">
                  <c:v>45931</c:v>
                </c:pt>
                <c:pt idx="166">
                  <c:v>45962</c:v>
                </c:pt>
                <c:pt idx="167">
                  <c:v>45992</c:v>
                </c:pt>
                <c:pt idx="168">
                  <c:v>46023</c:v>
                </c:pt>
                <c:pt idx="169">
                  <c:v>46054</c:v>
                </c:pt>
                <c:pt idx="170">
                  <c:v>46082</c:v>
                </c:pt>
                <c:pt idx="171">
                  <c:v>46113</c:v>
                </c:pt>
                <c:pt idx="172">
                  <c:v>46143</c:v>
                </c:pt>
                <c:pt idx="173">
                  <c:v>46174</c:v>
                </c:pt>
                <c:pt idx="174">
                  <c:v>46204</c:v>
                </c:pt>
                <c:pt idx="175">
                  <c:v>46235</c:v>
                </c:pt>
              </c:numCache>
            </c:numRef>
          </c:cat>
          <c:val>
            <c:numRef>
              <c:f>'Net reserves'!$H$13:$GA$13</c:f>
              <c:numCache>
                <c:formatCode>0.000</c:formatCode>
                <c:ptCount val="176"/>
                <c:pt idx="0" formatCode="_(* #,##0.00_);_(* \(#,##0.00\);_(* &quot;-&quot;??_);_(@_)">
                  <c:v>946.60299999999995</c:v>
                </c:pt>
                <c:pt idx="1">
                  <c:v>966.99</c:v>
                </c:pt>
                <c:pt idx="2">
                  <c:v>881.43100000000004</c:v>
                </c:pt>
                <c:pt idx="3">
                  <c:v>860.15200000000004</c:v>
                </c:pt>
                <c:pt idx="4">
                  <c:v>911.31</c:v>
                </c:pt>
                <c:pt idx="5">
                  <c:v>946.47199999999998</c:v>
                </c:pt>
                <c:pt idx="6">
                  <c:v>957.15700000000004</c:v>
                </c:pt>
                <c:pt idx="7">
                  <c:v>951.10199999999998</c:v>
                </c:pt>
                <c:pt idx="8">
                  <c:v>755.91</c:v>
                </c:pt>
                <c:pt idx="9">
                  <c:v>931.53499999999997</c:v>
                </c:pt>
                <c:pt idx="10">
                  <c:v>915.779</c:v>
                </c:pt>
                <c:pt idx="11">
                  <c:v>931.85699999999997</c:v>
                </c:pt>
                <c:pt idx="12">
                  <c:v>789.19200000000001</c:v>
                </c:pt>
                <c:pt idx="13">
                  <c:v>1044.201</c:v>
                </c:pt>
                <c:pt idx="14">
                  <c:v>860.12800000000004</c:v>
                </c:pt>
                <c:pt idx="15">
                  <c:v>1012.607</c:v>
                </c:pt>
                <c:pt idx="16">
                  <c:v>1037.4839999999999</c:v>
                </c:pt>
                <c:pt idx="17">
                  <c:v>960.81799999999998</c:v>
                </c:pt>
                <c:pt idx="18">
                  <c:v>983.05399999999997</c:v>
                </c:pt>
                <c:pt idx="19">
                  <c:v>997.76800000000003</c:v>
                </c:pt>
                <c:pt idx="20">
                  <c:v>1001.026</c:v>
                </c:pt>
                <c:pt idx="21">
                  <c:v>997.55</c:v>
                </c:pt>
                <c:pt idx="22">
                  <c:v>946.98500000000001</c:v>
                </c:pt>
                <c:pt idx="23">
                  <c:v>1046.0640000000001</c:v>
                </c:pt>
                <c:pt idx="24">
                  <c:v>977.45399999999995</c:v>
                </c:pt>
                <c:pt idx="25">
                  <c:v>1016.703</c:v>
                </c:pt>
                <c:pt idx="26">
                  <c:v>1015.023</c:v>
                </c:pt>
                <c:pt idx="27">
                  <c:v>995.93600000000004</c:v>
                </c:pt>
                <c:pt idx="28">
                  <c:v>1010.849</c:v>
                </c:pt>
                <c:pt idx="29">
                  <c:v>1066.2719999999999</c:v>
                </c:pt>
                <c:pt idx="30">
                  <c:v>1074.087</c:v>
                </c:pt>
                <c:pt idx="31">
                  <c:v>947.58500000000004</c:v>
                </c:pt>
                <c:pt idx="32">
                  <c:v>966.4</c:v>
                </c:pt>
                <c:pt idx="33">
                  <c:v>1806.8</c:v>
                </c:pt>
                <c:pt idx="34">
                  <c:v>2534.77</c:v>
                </c:pt>
                <c:pt idx="35">
                  <c:v>3539.6210000000001</c:v>
                </c:pt>
                <c:pt idx="36">
                  <c:v>4384.6859999999997</c:v>
                </c:pt>
                <c:pt idx="37">
                  <c:v>4605.12</c:v>
                </c:pt>
                <c:pt idx="38">
                  <c:v>6323.88</c:v>
                </c:pt>
                <c:pt idx="39">
                  <c:v>7387.5870000000004</c:v>
                </c:pt>
                <c:pt idx="40">
                  <c:v>8032.65</c:v>
                </c:pt>
                <c:pt idx="41">
                  <c:v>9029.152</c:v>
                </c:pt>
                <c:pt idx="42">
                  <c:v>9051.3989999999994</c:v>
                </c:pt>
                <c:pt idx="43">
                  <c:v>11073.554</c:v>
                </c:pt>
                <c:pt idx="44">
                  <c:v>12119.123</c:v>
                </c:pt>
                <c:pt idx="45">
                  <c:v>12167.887000000001</c:v>
                </c:pt>
                <c:pt idx="46">
                  <c:v>12024.418</c:v>
                </c:pt>
                <c:pt idx="47">
                  <c:v>11855.968000000001</c:v>
                </c:pt>
                <c:pt idx="48">
                  <c:v>16647.13</c:v>
                </c:pt>
                <c:pt idx="49">
                  <c:v>16749.713</c:v>
                </c:pt>
                <c:pt idx="50">
                  <c:v>16923.009999999998</c:v>
                </c:pt>
                <c:pt idx="51">
                  <c:v>16793.02</c:v>
                </c:pt>
                <c:pt idx="52">
                  <c:v>16627.52</c:v>
                </c:pt>
                <c:pt idx="53">
                  <c:v>16627.708999999999</c:v>
                </c:pt>
                <c:pt idx="54">
                  <c:v>12587.683000000001</c:v>
                </c:pt>
                <c:pt idx="55">
                  <c:v>12515.293</c:v>
                </c:pt>
                <c:pt idx="56">
                  <c:v>12609.707</c:v>
                </c:pt>
                <c:pt idx="57">
                  <c:v>12448.271000000001</c:v>
                </c:pt>
                <c:pt idx="58">
                  <c:v>12381.31</c:v>
                </c:pt>
                <c:pt idx="59">
                  <c:v>11356.553</c:v>
                </c:pt>
                <c:pt idx="60">
                  <c:v>11446.907999999999</c:v>
                </c:pt>
                <c:pt idx="61">
                  <c:v>11468.630999999999</c:v>
                </c:pt>
                <c:pt idx="62">
                  <c:v>11449.512000000001</c:v>
                </c:pt>
                <c:pt idx="63">
                  <c:v>11431.428</c:v>
                </c:pt>
                <c:pt idx="64">
                  <c:v>11542.815000000001</c:v>
                </c:pt>
                <c:pt idx="65">
                  <c:v>11598.343000000001</c:v>
                </c:pt>
                <c:pt idx="66">
                  <c:v>11685.476000000001</c:v>
                </c:pt>
                <c:pt idx="67">
                  <c:v>11888.378000000001</c:v>
                </c:pt>
                <c:pt idx="68">
                  <c:v>11824.723</c:v>
                </c:pt>
                <c:pt idx="69">
                  <c:v>11825.583000000001</c:v>
                </c:pt>
                <c:pt idx="70">
                  <c:v>11865.606</c:v>
                </c:pt>
                <c:pt idx="71">
                  <c:v>12032.361000000001</c:v>
                </c:pt>
                <c:pt idx="72">
                  <c:v>12402.424000000001</c:v>
                </c:pt>
                <c:pt idx="73">
                  <c:v>12170.543</c:v>
                </c:pt>
                <c:pt idx="74">
                  <c:v>12228.329</c:v>
                </c:pt>
                <c:pt idx="75">
                  <c:v>12167.77</c:v>
                </c:pt>
                <c:pt idx="76">
                  <c:v>12007.273999999999</c:v>
                </c:pt>
                <c:pt idx="77">
                  <c:v>11661.584999999999</c:v>
                </c:pt>
                <c:pt idx="78">
                  <c:v>11352.554</c:v>
                </c:pt>
                <c:pt idx="79">
                  <c:v>11325.163</c:v>
                </c:pt>
                <c:pt idx="80">
                  <c:v>11268.816000000001</c:v>
                </c:pt>
                <c:pt idx="81">
                  <c:v>11111.709000000001</c:v>
                </c:pt>
                <c:pt idx="82">
                  <c:v>11161.65</c:v>
                </c:pt>
                <c:pt idx="83">
                  <c:v>19978.878000000001</c:v>
                </c:pt>
                <c:pt idx="84">
                  <c:v>20481.652999999998</c:v>
                </c:pt>
                <c:pt idx="85">
                  <c:v>20499.167000000001</c:v>
                </c:pt>
                <c:pt idx="86">
                  <c:v>20446.78</c:v>
                </c:pt>
                <c:pt idx="87">
                  <c:v>20381.349999999999</c:v>
                </c:pt>
                <c:pt idx="88">
                  <c:v>19909.363000000001</c:v>
                </c:pt>
                <c:pt idx="89">
                  <c:v>20017.776000000002</c:v>
                </c:pt>
                <c:pt idx="90">
                  <c:v>19971.689999999999</c:v>
                </c:pt>
                <c:pt idx="91">
                  <c:v>19256.612000000001</c:v>
                </c:pt>
                <c:pt idx="92">
                  <c:v>19279.75</c:v>
                </c:pt>
                <c:pt idx="93">
                  <c:v>19566.439999999999</c:v>
                </c:pt>
                <c:pt idx="94">
                  <c:v>19590.718000000001</c:v>
                </c:pt>
                <c:pt idx="95">
                  <c:v>19831.921999999999</c:v>
                </c:pt>
                <c:pt idx="96">
                  <c:v>20030.636999999999</c:v>
                </c:pt>
                <c:pt idx="97">
                  <c:v>20093.460999999999</c:v>
                </c:pt>
                <c:pt idx="98">
                  <c:v>19914.538</c:v>
                </c:pt>
                <c:pt idx="99">
                  <c:v>19745.506000000001</c:v>
                </c:pt>
                <c:pt idx="100">
                  <c:v>19828.904999999999</c:v>
                </c:pt>
                <c:pt idx="101">
                  <c:v>20057.482</c:v>
                </c:pt>
                <c:pt idx="102">
                  <c:v>20295.344000000001</c:v>
                </c:pt>
                <c:pt idx="103">
                  <c:v>20741.072</c:v>
                </c:pt>
                <c:pt idx="104">
                  <c:v>20902.346000000001</c:v>
                </c:pt>
                <c:pt idx="105">
                  <c:v>21187.188999999998</c:v>
                </c:pt>
                <c:pt idx="106">
                  <c:v>21519.96</c:v>
                </c:pt>
                <c:pt idx="107">
                  <c:v>21676.752</c:v>
                </c:pt>
                <c:pt idx="108">
                  <c:v>21983.675999999999</c:v>
                </c:pt>
                <c:pt idx="109">
                  <c:v>21842.288</c:v>
                </c:pt>
                <c:pt idx="110">
                  <c:v>21599.796999999999</c:v>
                </c:pt>
                <c:pt idx="111">
                  <c:v>21838.749</c:v>
                </c:pt>
                <c:pt idx="112">
                  <c:v>22168.657999999999</c:v>
                </c:pt>
                <c:pt idx="113">
                  <c:v>21894.092000000001</c:v>
                </c:pt>
                <c:pt idx="114">
                  <c:v>21880.973999999998</c:v>
                </c:pt>
                <c:pt idx="115">
                  <c:v>21883.883000000002</c:v>
                </c:pt>
                <c:pt idx="116">
                  <c:v>21934.264999999999</c:v>
                </c:pt>
                <c:pt idx="117">
                  <c:v>22056.955999999998</c:v>
                </c:pt>
                <c:pt idx="118">
                  <c:v>22187.703000000001</c:v>
                </c:pt>
                <c:pt idx="119">
                  <c:v>22214.169000000002</c:v>
                </c:pt>
                <c:pt idx="120">
                  <c:v>22197.311000000002</c:v>
                </c:pt>
                <c:pt idx="121">
                  <c:v>22337.167000000001</c:v>
                </c:pt>
                <c:pt idx="122">
                  <c:v>22263.093000000001</c:v>
                </c:pt>
                <c:pt idx="123">
                  <c:v>21429.756000000001</c:v>
                </c:pt>
                <c:pt idx="124">
                  <c:v>21244.647000000001</c:v>
                </c:pt>
                <c:pt idx="125">
                  <c:v>21162.987000000001</c:v>
                </c:pt>
                <c:pt idx="126">
                  <c:v>21036.291000000001</c:v>
                </c:pt>
                <c:pt idx="127">
                  <c:v>20630.434000000001</c:v>
                </c:pt>
                <c:pt idx="128">
                  <c:v>20035.154999999999</c:v>
                </c:pt>
                <c:pt idx="129">
                  <c:v>19562.865000000002</c:v>
                </c:pt>
                <c:pt idx="130">
                  <c:v>20098.579000000002</c:v>
                </c:pt>
                <c:pt idx="131">
                  <c:v>20624.513999999999</c:v>
                </c:pt>
                <c:pt idx="132">
                  <c:v>21036.054</c:v>
                </c:pt>
                <c:pt idx="133">
                  <c:v>20548.803</c:v>
                </c:pt>
                <c:pt idx="134">
                  <c:v>20743.813000000002</c:v>
                </c:pt>
                <c:pt idx="135">
                  <c:v>20657.850999999999</c:v>
                </c:pt>
                <c:pt idx="136">
                  <c:v>20161.339</c:v>
                </c:pt>
                <c:pt idx="137">
                  <c:v>19815.797999999999</c:v>
                </c:pt>
                <c:pt idx="138">
                  <c:v>20037.231</c:v>
                </c:pt>
                <c:pt idx="139">
                  <c:v>19776.272000000001</c:v>
                </c:pt>
                <c:pt idx="140">
                  <c:v>19709.003000000001</c:v>
                </c:pt>
                <c:pt idx="141">
                  <c:v>19694.37</c:v>
                </c:pt>
                <c:pt idx="142">
                  <c:v>20179.53</c:v>
                </c:pt>
                <c:pt idx="143">
                  <c:v>20301.095000000001</c:v>
                </c:pt>
                <c:pt idx="144">
                  <c:v>20156.565999999999</c:v>
                </c:pt>
                <c:pt idx="145">
                  <c:v>20136.964</c:v>
                </c:pt>
                <c:pt idx="146">
                  <c:v>20069.249</c:v>
                </c:pt>
                <c:pt idx="147">
                  <c:v>20062.733</c:v>
                </c:pt>
                <c:pt idx="148">
                  <c:v>20092.802</c:v>
                </c:pt>
                <c:pt idx="149">
                  <c:v>19910.633000000002</c:v>
                </c:pt>
                <c:pt idx="150">
                  <c:v>19945.144</c:v>
                </c:pt>
                <c:pt idx="151">
                  <c:v>20301.026000000002</c:v>
                </c:pt>
                <c:pt idx="152">
                  <c:v>20515.331999999999</c:v>
                </c:pt>
                <c:pt idx="153">
                  <c:v>20298.311000000002</c:v>
                </c:pt>
                <c:pt idx="154">
                  <c:v>19976.345000000001</c:v>
                </c:pt>
                <c:pt idx="155">
                  <c:v>19842.673999999999</c:v>
                </c:pt>
                <c:pt idx="156">
                  <c:v>20074.885999999999</c:v>
                </c:pt>
                <c:pt idx="157">
                  <c:v>20003.816999999999</c:v>
                </c:pt>
                <c:pt idx="158">
                  <c:v>20061.931</c:v>
                </c:pt>
                <c:pt idx="159">
                  <c:v>20032.173999999999</c:v>
                </c:pt>
                <c:pt idx="160">
                  <c:v>20213.882000000001</c:v>
                </c:pt>
                <c:pt idx="161">
                  <c:v>20439.297999999999</c:v>
                </c:pt>
                <c:pt idx="162">
                  <c:v>20366.042000000001</c:v>
                </c:pt>
                <c:pt idx="163">
                  <c:v>20549.654999999999</c:v>
                </c:pt>
                <c:pt idx="164">
                  <c:v>20575.036</c:v>
                </c:pt>
                <c:pt idx="165">
                  <c:v>24088.830999999998</c:v>
                </c:pt>
                <c:pt idx="166">
                  <c:v>24195.7</c:v>
                </c:pt>
                <c:pt idx="167">
                  <c:v>21914.429</c:v>
                </c:pt>
                <c:pt idx="168">
                  <c:v>26209.463</c:v>
                </c:pt>
                <c:pt idx="169">
                  <c:v>26451.827000000001</c:v>
                </c:pt>
                <c:pt idx="170">
                  <c:v>26363.468000000001</c:v>
                </c:pt>
                <c:pt idx="171">
                  <c:v>27442.845000000001</c:v>
                </c:pt>
                <c:pt idx="172">
                  <c:v>27600.838</c:v>
                </c:pt>
                <c:pt idx="173">
                  <c:v>27542.727999999999</c:v>
                </c:pt>
                <c:pt idx="174">
                  <c:v>27542.727999999999</c:v>
                </c:pt>
                <c:pt idx="175">
                  <c:v>27542.727999999999</c:v>
                </c:pt>
              </c:numCache>
            </c:numRef>
          </c:val>
          <c:extLst>
            <c:ext xmlns:c16="http://schemas.microsoft.com/office/drawing/2014/chart" uri="{C3380CC4-5D6E-409C-BE32-E72D297353CC}">
              <c16:uniqueId val="{00000001-7F40-4647-90DF-A7429A60A7CE}"/>
            </c:ext>
          </c:extLst>
        </c:ser>
        <c:ser>
          <c:idx val="2"/>
          <c:order val="2"/>
          <c:tx>
            <c:strRef>
              <c:f>'Net reserves'!$A$14</c:f>
              <c:strCache>
                <c:ptCount val="1"/>
                <c:pt idx="0">
                  <c:v>Private USD deposits</c:v>
                </c:pt>
              </c:strCache>
            </c:strRef>
          </c:tx>
          <c:spPr>
            <a:solidFill>
              <a:srgbClr val="ADC8E9"/>
            </a:solidFill>
            <a:ln w="12700">
              <a:noFill/>
              <a:prstDash val="solid"/>
            </a:ln>
            <a:effectLst/>
          </c:spPr>
          <c:cat>
            <c:numRef>
              <c:f>'Net reserves'!$H$10:$GA$10</c:f>
              <c:numCache>
                <c:formatCode>mmm\-yy</c:formatCode>
                <c:ptCount val="176"/>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pt idx="14">
                  <c:v>41334</c:v>
                </c:pt>
                <c:pt idx="15">
                  <c:v>41365</c:v>
                </c:pt>
                <c:pt idx="16">
                  <c:v>41395</c:v>
                </c:pt>
                <c:pt idx="17">
                  <c:v>41426</c:v>
                </c:pt>
                <c:pt idx="18">
                  <c:v>41456</c:v>
                </c:pt>
                <c:pt idx="19">
                  <c:v>41487</c:v>
                </c:pt>
                <c:pt idx="20">
                  <c:v>41518</c:v>
                </c:pt>
                <c:pt idx="21">
                  <c:v>41548</c:v>
                </c:pt>
                <c:pt idx="22">
                  <c:v>41579</c:v>
                </c:pt>
                <c:pt idx="23">
                  <c:v>41609</c:v>
                </c:pt>
                <c:pt idx="24">
                  <c:v>41640</c:v>
                </c:pt>
                <c:pt idx="25">
                  <c:v>41671</c:v>
                </c:pt>
                <c:pt idx="26">
                  <c:v>41699</c:v>
                </c:pt>
                <c:pt idx="27">
                  <c:v>41730</c:v>
                </c:pt>
                <c:pt idx="28">
                  <c:v>41760</c:v>
                </c:pt>
                <c:pt idx="29">
                  <c:v>41791</c:v>
                </c:pt>
                <c:pt idx="30">
                  <c:v>41821</c:v>
                </c:pt>
                <c:pt idx="31">
                  <c:v>41852</c:v>
                </c:pt>
                <c:pt idx="32">
                  <c:v>41883</c:v>
                </c:pt>
                <c:pt idx="33">
                  <c:v>41913</c:v>
                </c:pt>
                <c:pt idx="34">
                  <c:v>41944</c:v>
                </c:pt>
                <c:pt idx="35">
                  <c:v>41974</c:v>
                </c:pt>
                <c:pt idx="36">
                  <c:v>42005</c:v>
                </c:pt>
                <c:pt idx="37">
                  <c:v>42036</c:v>
                </c:pt>
                <c:pt idx="38">
                  <c:v>42064</c:v>
                </c:pt>
                <c:pt idx="39">
                  <c:v>42095</c:v>
                </c:pt>
                <c:pt idx="40">
                  <c:v>42125</c:v>
                </c:pt>
                <c:pt idx="41">
                  <c:v>42156</c:v>
                </c:pt>
                <c:pt idx="42">
                  <c:v>42186</c:v>
                </c:pt>
                <c:pt idx="43">
                  <c:v>42217</c:v>
                </c:pt>
                <c:pt idx="44">
                  <c:v>42248</c:v>
                </c:pt>
                <c:pt idx="45">
                  <c:v>42278</c:v>
                </c:pt>
                <c:pt idx="46">
                  <c:v>42309</c:v>
                </c:pt>
                <c:pt idx="47">
                  <c:v>42339</c:v>
                </c:pt>
                <c:pt idx="48">
                  <c:v>42370</c:v>
                </c:pt>
                <c:pt idx="49">
                  <c:v>42401</c:v>
                </c:pt>
                <c:pt idx="50">
                  <c:v>42430</c:v>
                </c:pt>
                <c:pt idx="51">
                  <c:v>42461</c:v>
                </c:pt>
                <c:pt idx="52">
                  <c:v>42491</c:v>
                </c:pt>
                <c:pt idx="53">
                  <c:v>42522</c:v>
                </c:pt>
                <c:pt idx="54">
                  <c:v>42552</c:v>
                </c:pt>
                <c:pt idx="55">
                  <c:v>42583</c:v>
                </c:pt>
                <c:pt idx="56">
                  <c:v>42614</c:v>
                </c:pt>
                <c:pt idx="57">
                  <c:v>42644</c:v>
                </c:pt>
                <c:pt idx="58">
                  <c:v>42675</c:v>
                </c:pt>
                <c:pt idx="59">
                  <c:v>42705</c:v>
                </c:pt>
                <c:pt idx="60">
                  <c:v>42736</c:v>
                </c:pt>
                <c:pt idx="61">
                  <c:v>42767</c:v>
                </c:pt>
                <c:pt idx="62">
                  <c:v>42795</c:v>
                </c:pt>
                <c:pt idx="63">
                  <c:v>42826</c:v>
                </c:pt>
                <c:pt idx="64">
                  <c:v>42856</c:v>
                </c:pt>
                <c:pt idx="65">
                  <c:v>42887</c:v>
                </c:pt>
                <c:pt idx="66">
                  <c:v>42917</c:v>
                </c:pt>
                <c:pt idx="67">
                  <c:v>42948</c:v>
                </c:pt>
                <c:pt idx="68">
                  <c:v>42979</c:v>
                </c:pt>
                <c:pt idx="69">
                  <c:v>43009</c:v>
                </c:pt>
                <c:pt idx="70">
                  <c:v>43040</c:v>
                </c:pt>
                <c:pt idx="71">
                  <c:v>43070</c:v>
                </c:pt>
                <c:pt idx="72">
                  <c:v>43101</c:v>
                </c:pt>
                <c:pt idx="73">
                  <c:v>43132</c:v>
                </c:pt>
                <c:pt idx="74">
                  <c:v>43160</c:v>
                </c:pt>
                <c:pt idx="75">
                  <c:v>43191</c:v>
                </c:pt>
                <c:pt idx="76">
                  <c:v>43221</c:v>
                </c:pt>
                <c:pt idx="77">
                  <c:v>43252</c:v>
                </c:pt>
                <c:pt idx="78">
                  <c:v>43282</c:v>
                </c:pt>
                <c:pt idx="79">
                  <c:v>43313</c:v>
                </c:pt>
                <c:pt idx="80">
                  <c:v>43344</c:v>
                </c:pt>
                <c:pt idx="81">
                  <c:v>43374</c:v>
                </c:pt>
                <c:pt idx="82">
                  <c:v>43405</c:v>
                </c:pt>
                <c:pt idx="83">
                  <c:v>43435</c:v>
                </c:pt>
                <c:pt idx="84">
                  <c:v>43466</c:v>
                </c:pt>
                <c:pt idx="85">
                  <c:v>43497</c:v>
                </c:pt>
                <c:pt idx="86">
                  <c:v>43525</c:v>
                </c:pt>
                <c:pt idx="87">
                  <c:v>43556</c:v>
                </c:pt>
                <c:pt idx="88">
                  <c:v>43586</c:v>
                </c:pt>
                <c:pt idx="89">
                  <c:v>43617</c:v>
                </c:pt>
                <c:pt idx="90">
                  <c:v>43647</c:v>
                </c:pt>
                <c:pt idx="91">
                  <c:v>43678</c:v>
                </c:pt>
                <c:pt idx="92">
                  <c:v>43709</c:v>
                </c:pt>
                <c:pt idx="93">
                  <c:v>43739</c:v>
                </c:pt>
                <c:pt idx="94">
                  <c:v>43770</c:v>
                </c:pt>
                <c:pt idx="95">
                  <c:v>43800</c:v>
                </c:pt>
                <c:pt idx="96">
                  <c:v>43831</c:v>
                </c:pt>
                <c:pt idx="97">
                  <c:v>43862</c:v>
                </c:pt>
                <c:pt idx="98">
                  <c:v>43891</c:v>
                </c:pt>
                <c:pt idx="99">
                  <c:v>43922</c:v>
                </c:pt>
                <c:pt idx="100">
                  <c:v>43952</c:v>
                </c:pt>
                <c:pt idx="101">
                  <c:v>43983</c:v>
                </c:pt>
                <c:pt idx="102">
                  <c:v>44013</c:v>
                </c:pt>
                <c:pt idx="103">
                  <c:v>44044</c:v>
                </c:pt>
                <c:pt idx="104">
                  <c:v>44075</c:v>
                </c:pt>
                <c:pt idx="105">
                  <c:v>44105</c:v>
                </c:pt>
                <c:pt idx="106">
                  <c:v>44136</c:v>
                </c:pt>
                <c:pt idx="107">
                  <c:v>44166</c:v>
                </c:pt>
                <c:pt idx="108">
                  <c:v>44197</c:v>
                </c:pt>
                <c:pt idx="109">
                  <c:v>44228</c:v>
                </c:pt>
                <c:pt idx="110">
                  <c:v>44256</c:v>
                </c:pt>
                <c:pt idx="111">
                  <c:v>44287</c:v>
                </c:pt>
                <c:pt idx="112">
                  <c:v>44317</c:v>
                </c:pt>
                <c:pt idx="113">
                  <c:v>44348</c:v>
                </c:pt>
                <c:pt idx="114">
                  <c:v>44378</c:v>
                </c:pt>
                <c:pt idx="115">
                  <c:v>44409</c:v>
                </c:pt>
                <c:pt idx="116">
                  <c:v>44440</c:v>
                </c:pt>
                <c:pt idx="117">
                  <c:v>44470</c:v>
                </c:pt>
                <c:pt idx="118">
                  <c:v>44501</c:v>
                </c:pt>
                <c:pt idx="119">
                  <c:v>44531</c:v>
                </c:pt>
                <c:pt idx="120">
                  <c:v>44562</c:v>
                </c:pt>
                <c:pt idx="121">
                  <c:v>44593</c:v>
                </c:pt>
                <c:pt idx="122">
                  <c:v>44621</c:v>
                </c:pt>
                <c:pt idx="123">
                  <c:v>44652</c:v>
                </c:pt>
                <c:pt idx="124">
                  <c:v>44682</c:v>
                </c:pt>
                <c:pt idx="125">
                  <c:v>44713</c:v>
                </c:pt>
                <c:pt idx="126">
                  <c:v>44743</c:v>
                </c:pt>
                <c:pt idx="127">
                  <c:v>44774</c:v>
                </c:pt>
                <c:pt idx="128">
                  <c:v>44805</c:v>
                </c:pt>
                <c:pt idx="129">
                  <c:v>44835</c:v>
                </c:pt>
                <c:pt idx="130">
                  <c:v>44866</c:v>
                </c:pt>
                <c:pt idx="131">
                  <c:v>44896</c:v>
                </c:pt>
                <c:pt idx="132">
                  <c:v>44927</c:v>
                </c:pt>
                <c:pt idx="133">
                  <c:v>44958</c:v>
                </c:pt>
                <c:pt idx="134">
                  <c:v>44986</c:v>
                </c:pt>
                <c:pt idx="135">
                  <c:v>45017</c:v>
                </c:pt>
                <c:pt idx="136">
                  <c:v>45047</c:v>
                </c:pt>
                <c:pt idx="137">
                  <c:v>45078</c:v>
                </c:pt>
                <c:pt idx="138">
                  <c:v>45108</c:v>
                </c:pt>
                <c:pt idx="139">
                  <c:v>45139</c:v>
                </c:pt>
                <c:pt idx="140">
                  <c:v>45170</c:v>
                </c:pt>
                <c:pt idx="141">
                  <c:v>45200</c:v>
                </c:pt>
                <c:pt idx="142">
                  <c:v>45231</c:v>
                </c:pt>
                <c:pt idx="143">
                  <c:v>45261</c:v>
                </c:pt>
                <c:pt idx="144">
                  <c:v>45292</c:v>
                </c:pt>
                <c:pt idx="145">
                  <c:v>45323</c:v>
                </c:pt>
                <c:pt idx="146">
                  <c:v>45352</c:v>
                </c:pt>
                <c:pt idx="147">
                  <c:v>45383</c:v>
                </c:pt>
                <c:pt idx="148">
                  <c:v>45413</c:v>
                </c:pt>
                <c:pt idx="149">
                  <c:v>45444</c:v>
                </c:pt>
                <c:pt idx="150">
                  <c:v>45474</c:v>
                </c:pt>
                <c:pt idx="151">
                  <c:v>45505</c:v>
                </c:pt>
                <c:pt idx="152">
                  <c:v>45536</c:v>
                </c:pt>
                <c:pt idx="153">
                  <c:v>45566</c:v>
                </c:pt>
                <c:pt idx="154">
                  <c:v>45597</c:v>
                </c:pt>
                <c:pt idx="155">
                  <c:v>45627</c:v>
                </c:pt>
                <c:pt idx="156">
                  <c:v>45658</c:v>
                </c:pt>
                <c:pt idx="157">
                  <c:v>45689</c:v>
                </c:pt>
                <c:pt idx="158">
                  <c:v>45717</c:v>
                </c:pt>
                <c:pt idx="159">
                  <c:v>45748</c:v>
                </c:pt>
                <c:pt idx="160">
                  <c:v>45778</c:v>
                </c:pt>
                <c:pt idx="161">
                  <c:v>45809</c:v>
                </c:pt>
                <c:pt idx="162">
                  <c:v>45839</c:v>
                </c:pt>
                <c:pt idx="163">
                  <c:v>45870</c:v>
                </c:pt>
                <c:pt idx="164">
                  <c:v>45901</c:v>
                </c:pt>
                <c:pt idx="165">
                  <c:v>45931</c:v>
                </c:pt>
                <c:pt idx="166">
                  <c:v>45962</c:v>
                </c:pt>
                <c:pt idx="167">
                  <c:v>45992</c:v>
                </c:pt>
                <c:pt idx="168">
                  <c:v>46023</c:v>
                </c:pt>
                <c:pt idx="169">
                  <c:v>46054</c:v>
                </c:pt>
                <c:pt idx="170">
                  <c:v>46082</c:v>
                </c:pt>
                <c:pt idx="171">
                  <c:v>46113</c:v>
                </c:pt>
                <c:pt idx="172">
                  <c:v>46143</c:v>
                </c:pt>
                <c:pt idx="173">
                  <c:v>46174</c:v>
                </c:pt>
                <c:pt idx="174">
                  <c:v>46204</c:v>
                </c:pt>
                <c:pt idx="175">
                  <c:v>46235</c:v>
                </c:pt>
              </c:numCache>
            </c:numRef>
          </c:cat>
          <c:val>
            <c:numRef>
              <c:f>'Net reserves'!$H$14:$GA$14</c:f>
              <c:numCache>
                <c:formatCode>0.0</c:formatCode>
                <c:ptCount val="176"/>
                <c:pt idx="0">
                  <c:v>6740.3984248320585</c:v>
                </c:pt>
                <c:pt idx="1">
                  <c:v>6654.5120551090695</c:v>
                </c:pt>
                <c:pt idx="2">
                  <c:v>7038.701537049782</c:v>
                </c:pt>
                <c:pt idx="3">
                  <c:v>6960.8369342733677</c:v>
                </c:pt>
                <c:pt idx="4">
                  <c:v>6119.5911031228943</c:v>
                </c:pt>
                <c:pt idx="5">
                  <c:v>5235.116022099447</c:v>
                </c:pt>
                <c:pt idx="6">
                  <c:v>5821.9890710382506</c:v>
                </c:pt>
                <c:pt idx="7">
                  <c:v>6356.9294066695529</c:v>
                </c:pt>
                <c:pt idx="8">
                  <c:v>6678.640153944837</c:v>
                </c:pt>
                <c:pt idx="9">
                  <c:v>7747.5979772439941</c:v>
                </c:pt>
                <c:pt idx="10">
                  <c:v>8073.5884177869702</c:v>
                </c:pt>
                <c:pt idx="11">
                  <c:v>8499.8979175173554</c:v>
                </c:pt>
                <c:pt idx="12">
                  <c:v>8102.1550855991936</c:v>
                </c:pt>
                <c:pt idx="13">
                  <c:v>7700.0397930760055</c:v>
                </c:pt>
                <c:pt idx="14">
                  <c:v>7599.2355938847513</c:v>
                </c:pt>
                <c:pt idx="15">
                  <c:v>7987.3429951690823</c:v>
                </c:pt>
                <c:pt idx="16">
                  <c:v>7977.431610942248</c:v>
                </c:pt>
                <c:pt idx="17">
                  <c:v>7962.5302325581397</c:v>
                </c:pt>
                <c:pt idx="18">
                  <c:v>8331.4311759343655</c:v>
                </c:pt>
                <c:pt idx="19">
                  <c:v>8405.4847841472056</c:v>
                </c:pt>
                <c:pt idx="20">
                  <c:v>8981.6450216450212</c:v>
                </c:pt>
                <c:pt idx="21">
                  <c:v>9297.9803122878475</c:v>
                </c:pt>
                <c:pt idx="22">
                  <c:v>9414.131677830419</c:v>
                </c:pt>
                <c:pt idx="23">
                  <c:v>10972.711890478387</c:v>
                </c:pt>
                <c:pt idx="24">
                  <c:v>11252.078580481622</c:v>
                </c:pt>
                <c:pt idx="25">
                  <c:v>8967.1523517382411</c:v>
                </c:pt>
                <c:pt idx="26">
                  <c:v>8347.5603621730388</c:v>
                </c:pt>
                <c:pt idx="27">
                  <c:v>7320.8249496981889</c:v>
                </c:pt>
                <c:pt idx="28">
                  <c:v>7401.5317559153182</c:v>
                </c:pt>
                <c:pt idx="29">
                  <c:v>7790.399604107386</c:v>
                </c:pt>
                <c:pt idx="30">
                  <c:v>7461.897184822521</c:v>
                </c:pt>
                <c:pt idx="31">
                  <c:v>7534.9179738953408</c:v>
                </c:pt>
                <c:pt idx="32">
                  <c:v>7401.6467780429593</c:v>
                </c:pt>
                <c:pt idx="33">
                  <c:v>7799.3250444049736</c:v>
                </c:pt>
                <c:pt idx="34">
                  <c:v>7898.1485849056608</c:v>
                </c:pt>
                <c:pt idx="35">
                  <c:v>8495.5816686251455</c:v>
                </c:pt>
                <c:pt idx="36">
                  <c:v>8617.7079697498539</c:v>
                </c:pt>
                <c:pt idx="37">
                  <c:v>9385.4493087557603</c:v>
                </c:pt>
                <c:pt idx="38">
                  <c:v>8463.9566704675035</c:v>
                </c:pt>
                <c:pt idx="39">
                  <c:v>8032.7990970654637</c:v>
                </c:pt>
                <c:pt idx="40">
                  <c:v>7748.1609837898268</c:v>
                </c:pt>
                <c:pt idx="41">
                  <c:v>7723.8053097345137</c:v>
                </c:pt>
                <c:pt idx="42">
                  <c:v>8271.2192454893393</c:v>
                </c:pt>
                <c:pt idx="43">
                  <c:v>7884.8864864864863</c:v>
                </c:pt>
                <c:pt idx="44">
                  <c:v>8030.4213333333328</c:v>
                </c:pt>
                <c:pt idx="45">
                  <c:v>9340.1472908995256</c:v>
                </c:pt>
                <c:pt idx="46">
                  <c:v>9605.0285121824782</c:v>
                </c:pt>
                <c:pt idx="47">
                  <c:v>11081.854961832061</c:v>
                </c:pt>
                <c:pt idx="48">
                  <c:v>9488.44702467344</c:v>
                </c:pt>
                <c:pt idx="49">
                  <c:v>7285.7707006369437</c:v>
                </c:pt>
                <c:pt idx="50">
                  <c:v>9003.767123287671</c:v>
                </c:pt>
                <c:pt idx="51">
                  <c:v>8666.3146853146845</c:v>
                </c:pt>
                <c:pt idx="52">
                  <c:v>11041.792857142858</c:v>
                </c:pt>
                <c:pt idx="53">
                  <c:v>11213.480000000001</c:v>
                </c:pt>
                <c:pt idx="54">
                  <c:v>11695.826666666666</c:v>
                </c:pt>
                <c:pt idx="55">
                  <c:v>10395.093959731543</c:v>
                </c:pt>
                <c:pt idx="56">
                  <c:v>10034.97385620915</c:v>
                </c:pt>
                <c:pt idx="57">
                  <c:v>17250.125000000004</c:v>
                </c:pt>
                <c:pt idx="58">
                  <c:v>13780.238993710691</c:v>
                </c:pt>
                <c:pt idx="59">
                  <c:v>15650.591194968552</c:v>
                </c:pt>
                <c:pt idx="60">
                  <c:v>21985.465408805034</c:v>
                </c:pt>
                <c:pt idx="61">
                  <c:v>22287.258064516129</c:v>
                </c:pt>
                <c:pt idx="62">
                  <c:v>24245.785714285714</c:v>
                </c:pt>
                <c:pt idx="63">
                  <c:v>18781</c:v>
                </c:pt>
                <c:pt idx="64">
                  <c:v>15601.465838509315</c:v>
                </c:pt>
                <c:pt idx="65">
                  <c:v>13056.018072289155</c:v>
                </c:pt>
                <c:pt idx="66">
                  <c:v>15268.906515580738</c:v>
                </c:pt>
                <c:pt idx="67">
                  <c:v>16070.890173410406</c:v>
                </c:pt>
                <c:pt idx="68">
                  <c:v>14471.7225433526</c:v>
                </c:pt>
                <c:pt idx="69">
                  <c:v>12755.133144475922</c:v>
                </c:pt>
                <c:pt idx="70">
                  <c:v>14343.913294797689</c:v>
                </c:pt>
                <c:pt idx="71">
                  <c:v>13026.311827956988</c:v>
                </c:pt>
                <c:pt idx="72">
                  <c:v>16222.448979591836</c:v>
                </c:pt>
                <c:pt idx="73">
                  <c:v>12130.283582089553</c:v>
                </c:pt>
                <c:pt idx="74">
                  <c:v>12443.6213592233</c:v>
                </c:pt>
                <c:pt idx="75">
                  <c:v>12608.408759124086</c:v>
                </c:pt>
                <c:pt idx="76">
                  <c:v>11362.994781212365</c:v>
                </c:pt>
                <c:pt idx="77">
                  <c:v>13911.399305555555</c:v>
                </c:pt>
                <c:pt idx="78">
                  <c:v>13780.673216885009</c:v>
                </c:pt>
                <c:pt idx="79">
                  <c:v>13825.986376021798</c:v>
                </c:pt>
                <c:pt idx="80">
                  <c:v>13027.803159173754</c:v>
                </c:pt>
                <c:pt idx="81">
                  <c:v>13109.983263598326</c:v>
                </c:pt>
                <c:pt idx="82">
                  <c:v>13355.757575757576</c:v>
                </c:pt>
                <c:pt idx="83">
                  <c:v>14291.031914893618</c:v>
                </c:pt>
                <c:pt idx="84">
                  <c:v>14008.104697986579</c:v>
                </c:pt>
                <c:pt idx="85">
                  <c:v>13715.469910371319</c:v>
                </c:pt>
                <c:pt idx="86">
                  <c:v>15487.879768786128</c:v>
                </c:pt>
                <c:pt idx="87">
                  <c:v>16017.048808172533</c:v>
                </c:pt>
                <c:pt idx="88">
                  <c:v>16679.558889386477</c:v>
                </c:pt>
                <c:pt idx="89">
                  <c:v>15694.053352219074</c:v>
                </c:pt>
                <c:pt idx="90">
                  <c:v>15996.868433074464</c:v>
                </c:pt>
                <c:pt idx="91">
                  <c:v>11121.99124726477</c:v>
                </c:pt>
                <c:pt idx="92">
                  <c:v>8784.1589841711593</c:v>
                </c:pt>
                <c:pt idx="93">
                  <c:v>8030.543897935202</c:v>
                </c:pt>
                <c:pt idx="94">
                  <c:v>8171.8315508021387</c:v>
                </c:pt>
                <c:pt idx="95">
                  <c:v>8961.0152199364438</c:v>
                </c:pt>
                <c:pt idx="96">
                  <c:v>9972.1742738589219</c:v>
                </c:pt>
                <c:pt idx="97">
                  <c:v>10643.295765577201</c:v>
                </c:pt>
                <c:pt idx="98">
                  <c:v>10330.711511573714</c:v>
                </c:pt>
                <c:pt idx="99">
                  <c:v>10883.961642193588</c:v>
                </c:pt>
                <c:pt idx="100">
                  <c:v>11236.189362945646</c:v>
                </c:pt>
                <c:pt idx="101">
                  <c:v>10529.860716316089</c:v>
                </c:pt>
                <c:pt idx="102">
                  <c:v>10726.517585156465</c:v>
                </c:pt>
                <c:pt idx="103">
                  <c:v>11418.921436285096</c:v>
                </c:pt>
                <c:pt idx="104">
                  <c:v>12010.190588853839</c:v>
                </c:pt>
                <c:pt idx="105">
                  <c:v>11518.896701610842</c:v>
                </c:pt>
                <c:pt idx="106">
                  <c:v>11191.702992242335</c:v>
                </c:pt>
                <c:pt idx="107">
                  <c:v>10928.736466389055</c:v>
                </c:pt>
                <c:pt idx="108">
                  <c:v>11455.21494898544</c:v>
                </c:pt>
                <c:pt idx="109">
                  <c:v>11859.843958983503</c:v>
                </c:pt>
                <c:pt idx="110">
                  <c:v>11229.519042437432</c:v>
                </c:pt>
                <c:pt idx="111">
                  <c:v>10547.884656537557</c:v>
                </c:pt>
                <c:pt idx="112">
                  <c:v>10108.955933636267</c:v>
                </c:pt>
                <c:pt idx="113">
                  <c:v>10702.137628111273</c:v>
                </c:pt>
                <c:pt idx="114">
                  <c:v>11220.209131380059</c:v>
                </c:pt>
                <c:pt idx="115">
                  <c:v>11376.913150348219</c:v>
                </c:pt>
                <c:pt idx="116">
                  <c:v>11874.40794809408</c:v>
                </c:pt>
                <c:pt idx="117">
                  <c:v>11922.365990764907</c:v>
                </c:pt>
                <c:pt idx="118">
                  <c:v>11453.95102121753</c:v>
                </c:pt>
                <c:pt idx="119">
                  <c:v>12128.163126096279</c:v>
                </c:pt>
                <c:pt idx="120">
                  <c:v>12043.709492947008</c:v>
                </c:pt>
                <c:pt idx="121">
                  <c:v>12196.541220307407</c:v>
                </c:pt>
                <c:pt idx="122">
                  <c:v>11574.986926336671</c:v>
                </c:pt>
                <c:pt idx="123">
                  <c:v>12291.68561756792</c:v>
                </c:pt>
                <c:pt idx="124">
                  <c:v>12106.127393838467</c:v>
                </c:pt>
                <c:pt idx="125">
                  <c:v>11529.239990409975</c:v>
                </c:pt>
                <c:pt idx="126">
                  <c:v>11484.449950445987</c:v>
                </c:pt>
                <c:pt idx="127">
                  <c:v>11547.996826083821</c:v>
                </c:pt>
                <c:pt idx="128">
                  <c:v>11049.124439614183</c:v>
                </c:pt>
                <c:pt idx="129">
                  <c:v>11228.826605446082</c:v>
                </c:pt>
                <c:pt idx="130">
                  <c:v>11530.368465127407</c:v>
                </c:pt>
                <c:pt idx="131">
                  <c:v>12092.345532587824</c:v>
                </c:pt>
                <c:pt idx="132">
                  <c:v>12888.554307116103</c:v>
                </c:pt>
                <c:pt idx="133">
                  <c:v>12961.671656939861</c:v>
                </c:pt>
                <c:pt idx="134">
                  <c:v>12149.790718835304</c:v>
                </c:pt>
                <c:pt idx="135">
                  <c:v>11245.164509169364</c:v>
                </c:pt>
                <c:pt idx="136">
                  <c:v>11019.171333054743</c:v>
                </c:pt>
                <c:pt idx="137">
                  <c:v>10307.573879142301</c:v>
                </c:pt>
                <c:pt idx="138">
                  <c:v>9839.0925286311576</c:v>
                </c:pt>
                <c:pt idx="139">
                  <c:v>9385.2572246065811</c:v>
                </c:pt>
                <c:pt idx="140">
                  <c:v>9584.0603805980827</c:v>
                </c:pt>
                <c:pt idx="141">
                  <c:v>8896.1722460658093</c:v>
                </c:pt>
                <c:pt idx="142">
                  <c:v>8863.6897222222215</c:v>
                </c:pt>
                <c:pt idx="143">
                  <c:v>9134.5514591982155</c:v>
                </c:pt>
                <c:pt idx="144">
                  <c:v>9813.5929203539818</c:v>
                </c:pt>
                <c:pt idx="145">
                  <c:v>9333.2359938146783</c:v>
                </c:pt>
                <c:pt idx="146">
                  <c:v>8907.3643899591352</c:v>
                </c:pt>
                <c:pt idx="147">
                  <c:v>8401.9636571428582</c:v>
                </c:pt>
                <c:pt idx="148">
                  <c:v>8129.5684563758396</c:v>
                </c:pt>
                <c:pt idx="149">
                  <c:v>8333.7056562328398</c:v>
                </c:pt>
                <c:pt idx="150">
                  <c:v>9609.8771628156901</c:v>
                </c:pt>
                <c:pt idx="151">
                  <c:v>9495.1028361344543</c:v>
                </c:pt>
                <c:pt idx="152">
                  <c:v>10675.390918472653</c:v>
                </c:pt>
                <c:pt idx="153">
                  <c:v>12570.272993437658</c:v>
                </c:pt>
                <c:pt idx="154">
                  <c:v>13586.966336633663</c:v>
                </c:pt>
                <c:pt idx="155">
                  <c:v>12280.563901018922</c:v>
                </c:pt>
                <c:pt idx="156">
                  <c:v>12863.616159695817</c:v>
                </c:pt>
                <c:pt idx="157">
                  <c:v>12436.27105572537</c:v>
                </c:pt>
                <c:pt idx="158">
                  <c:v>11428.230023310023</c:v>
                </c:pt>
                <c:pt idx="159">
                  <c:v>13775.616816816817</c:v>
                </c:pt>
                <c:pt idx="160">
                  <c:v>12046.725052809463</c:v>
                </c:pt>
                <c:pt idx="161">
                  <c:v>11443.552603082049</c:v>
                </c:pt>
                <c:pt idx="162">
                  <c:v>12352.789923329683</c:v>
                </c:pt>
                <c:pt idx="163">
                  <c:v>12202.101383177569</c:v>
                </c:pt>
                <c:pt idx="164">
                  <c:v>12698.184296619411</c:v>
                </c:pt>
                <c:pt idx="165">
                  <c:v>14073.245192641443</c:v>
                </c:pt>
                <c:pt idx="166">
                  <c:v>16026.693227366966</c:v>
                </c:pt>
                <c:pt idx="167">
                  <c:v>15158.656187521545</c:v>
                </c:pt>
                <c:pt idx="168">
                  <c:v>17330.112998266897</c:v>
                </c:pt>
                <c:pt idx="169">
                  <c:v>17181.97457809695</c:v>
                </c:pt>
                <c:pt idx="170">
                  <c:v>14366.486823956444</c:v>
                </c:pt>
                <c:pt idx="171">
                  <c:v>14051.529318427694</c:v>
                </c:pt>
                <c:pt idx="172">
                  <c:v>14753.086213038832</c:v>
                </c:pt>
                <c:pt idx="173">
                  <c:v>12397.849881556684</c:v>
                </c:pt>
                <c:pt idx="174" formatCode="0.000">
                  <c:v>12397.849881556684</c:v>
                </c:pt>
                <c:pt idx="175" formatCode="0.000">
                  <c:v>12397.849881556684</c:v>
                </c:pt>
              </c:numCache>
            </c:numRef>
          </c:val>
          <c:extLst>
            <c:ext xmlns:c16="http://schemas.microsoft.com/office/drawing/2014/chart" uri="{C3380CC4-5D6E-409C-BE32-E72D297353CC}">
              <c16:uniqueId val="{00000002-7F40-4647-90DF-A7429A60A7CE}"/>
            </c:ext>
          </c:extLst>
        </c:ser>
        <c:dLbls>
          <c:showLegendKey val="0"/>
          <c:showVal val="0"/>
          <c:showCatName val="0"/>
          <c:showSerName val="0"/>
          <c:showPercent val="0"/>
          <c:showBubbleSize val="0"/>
        </c:dLbls>
        <c:axId val="176853807"/>
        <c:axId val="176838831"/>
      </c:areaChart>
      <c:dateAx>
        <c:axId val="176853807"/>
        <c:scaling>
          <c:orientation val="minMax"/>
          <c:max val="46249"/>
          <c:min val="42597"/>
        </c:scaling>
        <c:delete val="0"/>
        <c:axPos val="b"/>
        <c:numFmt formatCode="mmm\-yy" sourceLinked="1"/>
        <c:majorTickMark val="out"/>
        <c:minorTickMark val="none"/>
        <c:tickLblPos val="low"/>
        <c:spPr>
          <a:noFill/>
          <a:ln w="12700" cap="flat" cmpd="sng" algn="ctr">
            <a:solidFill>
              <a:srgbClr val="333333"/>
            </a:solidFill>
            <a:prstDash val="solid"/>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Frutiger 45 Light" panose="020B0603020202020204" pitchFamily="34" charset="0"/>
                <a:ea typeface="Credit Suisse Type Light"/>
                <a:cs typeface="Credit Suisse Type Light"/>
              </a:defRPr>
            </a:pPr>
            <a:endParaRPr lang="en-US"/>
          </a:p>
        </c:txPr>
        <c:crossAx val="176838831"/>
        <c:crosses val="autoZero"/>
        <c:auto val="1"/>
        <c:lblOffset val="100"/>
        <c:baseTimeUnit val="months"/>
        <c:majorUnit val="24"/>
        <c:majorTimeUnit val="months"/>
      </c:dateAx>
      <c:valAx>
        <c:axId val="176838831"/>
        <c:scaling>
          <c:orientation val="minMax"/>
          <c:max val="80000"/>
          <c:min val="-10000"/>
        </c:scaling>
        <c:delete val="0"/>
        <c:axPos val="l"/>
        <c:numFmt formatCode="#,##0" sourceLinked="0"/>
        <c:majorTickMark val="out"/>
        <c:minorTickMark val="none"/>
        <c:tickLblPos val="nextTo"/>
        <c:spPr>
          <a:noFill/>
          <a:ln w="12700">
            <a:solidFill>
              <a:srgbClr val="333333"/>
            </a:solidFill>
            <a:prstDash val="soli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Frutiger 45 Light" panose="020B0603020202020204" pitchFamily="34" charset="0"/>
                <a:ea typeface="Credit Suisse Type Light"/>
                <a:cs typeface="Credit Suisse Type Light"/>
              </a:defRPr>
            </a:pPr>
            <a:endParaRPr lang="en-US"/>
          </a:p>
        </c:txPr>
        <c:crossAx val="176853807"/>
        <c:crosses val="autoZero"/>
        <c:crossBetween val="midCat"/>
        <c:majorUnit val="10000"/>
        <c:dispUnits>
          <c:builtInUnit val="thousands"/>
        </c:dispUnits>
      </c:valAx>
      <c:spPr>
        <a:noFill/>
        <a:ln w="25400">
          <a:noFill/>
        </a:ln>
        <a:effectLst/>
      </c:spPr>
    </c:plotArea>
    <c:legend>
      <c:legendPos val="b"/>
      <c:layout>
        <c:manualLayout>
          <c:xMode val="edge"/>
          <c:yMode val="edge"/>
          <c:x val="0.563344764687433"/>
          <c:y val="0.1154772320126651"/>
          <c:w val="0.32729679426864094"/>
          <c:h val="0.23423400199975"/>
        </c:manualLayout>
      </c:layout>
      <c:overlay val="0"/>
      <c:spPr>
        <a:noFill/>
        <a:ln w="25400">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Frutiger 45 Light" panose="020B0603020202020204" pitchFamily="34" charset="0"/>
              <a:ea typeface="Credit Suisse Type Light"/>
              <a:cs typeface="Credit Suisse Type Light"/>
            </a:defRPr>
          </a:pPr>
          <a:endParaRPr lang="en-US"/>
        </a:p>
      </c:txPr>
    </c:legend>
    <c:plotVisOnly val="1"/>
    <c:dispBlanksAs val="zero"/>
    <c:showDLblsOverMax val="0"/>
  </c:chart>
  <c:spPr>
    <a:solidFill>
      <a:srgbClr val="FFFFFF"/>
    </a:solidFill>
    <a:ln w="25400" cap="flat" cmpd="sng" algn="ctr">
      <a:noFill/>
      <a:round/>
    </a:ln>
    <a:effectLst/>
  </c:spPr>
  <c:txPr>
    <a:bodyPr/>
    <a:lstStyle/>
    <a:p>
      <a:pPr>
        <a:defRPr sz="1200" b="0" i="0">
          <a:solidFill>
            <a:sysClr val="windowText" lastClr="000000"/>
          </a:solidFill>
          <a:latin typeface="Frutiger 45 Light" panose="020B0603020202020204" pitchFamily="34" charset="0"/>
          <a:ea typeface="Credit Suisse Type Light"/>
          <a:cs typeface="Credit Suisse Type Light"/>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008791613523661E-2"/>
          <c:y val="4.8181477315335591E-2"/>
          <c:w val="0.86213774664602327"/>
          <c:h val="0.87802566345873434"/>
        </c:manualLayout>
      </c:layout>
      <c:areaChart>
        <c:grouping val="stacked"/>
        <c:varyColors val="0"/>
        <c:ser>
          <c:idx val="0"/>
          <c:order val="0"/>
          <c:tx>
            <c:strRef>
              <c:f>'Net reserves'!$A$12</c:f>
              <c:strCache>
                <c:ptCount val="1"/>
                <c:pt idx="0">
                  <c:v>Net reserves</c:v>
                </c:pt>
              </c:strCache>
            </c:strRef>
          </c:tx>
          <c:spPr>
            <a:solidFill>
              <a:srgbClr val="8A0000"/>
            </a:solidFill>
            <a:ln w="12700">
              <a:noFill/>
              <a:prstDash val="solid"/>
            </a:ln>
            <a:effectLst/>
          </c:spPr>
          <c:cat>
            <c:numRef>
              <c:f>'Net reserves'!$H$10:$GA$10</c:f>
              <c:numCache>
                <c:formatCode>mmm\-yy</c:formatCode>
                <c:ptCount val="176"/>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pt idx="14">
                  <c:v>41334</c:v>
                </c:pt>
                <c:pt idx="15">
                  <c:v>41365</c:v>
                </c:pt>
                <c:pt idx="16">
                  <c:v>41395</c:v>
                </c:pt>
                <c:pt idx="17">
                  <c:v>41426</c:v>
                </c:pt>
                <c:pt idx="18">
                  <c:v>41456</c:v>
                </c:pt>
                <c:pt idx="19">
                  <c:v>41487</c:v>
                </c:pt>
                <c:pt idx="20">
                  <c:v>41518</c:v>
                </c:pt>
                <c:pt idx="21">
                  <c:v>41548</c:v>
                </c:pt>
                <c:pt idx="22">
                  <c:v>41579</c:v>
                </c:pt>
                <c:pt idx="23">
                  <c:v>41609</c:v>
                </c:pt>
                <c:pt idx="24">
                  <c:v>41640</c:v>
                </c:pt>
                <c:pt idx="25">
                  <c:v>41671</c:v>
                </c:pt>
                <c:pt idx="26">
                  <c:v>41699</c:v>
                </c:pt>
                <c:pt idx="27">
                  <c:v>41730</c:v>
                </c:pt>
                <c:pt idx="28">
                  <c:v>41760</c:v>
                </c:pt>
                <c:pt idx="29">
                  <c:v>41791</c:v>
                </c:pt>
                <c:pt idx="30">
                  <c:v>41821</c:v>
                </c:pt>
                <c:pt idx="31">
                  <c:v>41852</c:v>
                </c:pt>
                <c:pt idx="32">
                  <c:v>41883</c:v>
                </c:pt>
                <c:pt idx="33">
                  <c:v>41913</c:v>
                </c:pt>
                <c:pt idx="34">
                  <c:v>41944</c:v>
                </c:pt>
                <c:pt idx="35">
                  <c:v>41974</c:v>
                </c:pt>
                <c:pt idx="36">
                  <c:v>42005</c:v>
                </c:pt>
                <c:pt idx="37">
                  <c:v>42036</c:v>
                </c:pt>
                <c:pt idx="38">
                  <c:v>42064</c:v>
                </c:pt>
                <c:pt idx="39">
                  <c:v>42095</c:v>
                </c:pt>
                <c:pt idx="40">
                  <c:v>42125</c:v>
                </c:pt>
                <c:pt idx="41">
                  <c:v>42156</c:v>
                </c:pt>
                <c:pt idx="42">
                  <c:v>42186</c:v>
                </c:pt>
                <c:pt idx="43">
                  <c:v>42217</c:v>
                </c:pt>
                <c:pt idx="44">
                  <c:v>42248</c:v>
                </c:pt>
                <c:pt idx="45">
                  <c:v>42278</c:v>
                </c:pt>
                <c:pt idx="46">
                  <c:v>42309</c:v>
                </c:pt>
                <c:pt idx="47">
                  <c:v>42339</c:v>
                </c:pt>
                <c:pt idx="48">
                  <c:v>42370</c:v>
                </c:pt>
                <c:pt idx="49">
                  <c:v>42401</c:v>
                </c:pt>
                <c:pt idx="50">
                  <c:v>42430</c:v>
                </c:pt>
                <c:pt idx="51">
                  <c:v>42461</c:v>
                </c:pt>
                <c:pt idx="52">
                  <c:v>42491</c:v>
                </c:pt>
                <c:pt idx="53">
                  <c:v>42522</c:v>
                </c:pt>
                <c:pt idx="54">
                  <c:v>42552</c:v>
                </c:pt>
                <c:pt idx="55">
                  <c:v>42583</c:v>
                </c:pt>
                <c:pt idx="56">
                  <c:v>42614</c:v>
                </c:pt>
                <c:pt idx="57">
                  <c:v>42644</c:v>
                </c:pt>
                <c:pt idx="58">
                  <c:v>42675</c:v>
                </c:pt>
                <c:pt idx="59">
                  <c:v>42705</c:v>
                </c:pt>
                <c:pt idx="60">
                  <c:v>42736</c:v>
                </c:pt>
                <c:pt idx="61">
                  <c:v>42767</c:v>
                </c:pt>
                <c:pt idx="62">
                  <c:v>42795</c:v>
                </c:pt>
                <c:pt idx="63">
                  <c:v>42826</c:v>
                </c:pt>
                <c:pt idx="64">
                  <c:v>42856</c:v>
                </c:pt>
                <c:pt idx="65">
                  <c:v>42887</c:v>
                </c:pt>
                <c:pt idx="66">
                  <c:v>42917</c:v>
                </c:pt>
                <c:pt idx="67">
                  <c:v>42948</c:v>
                </c:pt>
                <c:pt idx="68">
                  <c:v>42979</c:v>
                </c:pt>
                <c:pt idx="69">
                  <c:v>43009</c:v>
                </c:pt>
                <c:pt idx="70">
                  <c:v>43040</c:v>
                </c:pt>
                <c:pt idx="71">
                  <c:v>43070</c:v>
                </c:pt>
                <c:pt idx="72">
                  <c:v>43101</c:v>
                </c:pt>
                <c:pt idx="73">
                  <c:v>43132</c:v>
                </c:pt>
                <c:pt idx="74">
                  <c:v>43160</c:v>
                </c:pt>
                <c:pt idx="75">
                  <c:v>43191</c:v>
                </c:pt>
                <c:pt idx="76">
                  <c:v>43221</c:v>
                </c:pt>
                <c:pt idx="77">
                  <c:v>43252</c:v>
                </c:pt>
                <c:pt idx="78">
                  <c:v>43282</c:v>
                </c:pt>
                <c:pt idx="79">
                  <c:v>43313</c:v>
                </c:pt>
                <c:pt idx="80">
                  <c:v>43344</c:v>
                </c:pt>
                <c:pt idx="81">
                  <c:v>43374</c:v>
                </c:pt>
                <c:pt idx="82">
                  <c:v>43405</c:v>
                </c:pt>
                <c:pt idx="83">
                  <c:v>43435</c:v>
                </c:pt>
                <c:pt idx="84">
                  <c:v>43466</c:v>
                </c:pt>
                <c:pt idx="85">
                  <c:v>43497</c:v>
                </c:pt>
                <c:pt idx="86">
                  <c:v>43525</c:v>
                </c:pt>
                <c:pt idx="87">
                  <c:v>43556</c:v>
                </c:pt>
                <c:pt idx="88">
                  <c:v>43586</c:v>
                </c:pt>
                <c:pt idx="89">
                  <c:v>43617</c:v>
                </c:pt>
                <c:pt idx="90">
                  <c:v>43647</c:v>
                </c:pt>
                <c:pt idx="91">
                  <c:v>43678</c:v>
                </c:pt>
                <c:pt idx="92">
                  <c:v>43709</c:v>
                </c:pt>
                <c:pt idx="93">
                  <c:v>43739</c:v>
                </c:pt>
                <c:pt idx="94">
                  <c:v>43770</c:v>
                </c:pt>
                <c:pt idx="95">
                  <c:v>43800</c:v>
                </c:pt>
                <c:pt idx="96">
                  <c:v>43831</c:v>
                </c:pt>
                <c:pt idx="97">
                  <c:v>43862</c:v>
                </c:pt>
                <c:pt idx="98">
                  <c:v>43891</c:v>
                </c:pt>
                <c:pt idx="99">
                  <c:v>43922</c:v>
                </c:pt>
                <c:pt idx="100">
                  <c:v>43952</c:v>
                </c:pt>
                <c:pt idx="101">
                  <c:v>43983</c:v>
                </c:pt>
                <c:pt idx="102">
                  <c:v>44013</c:v>
                </c:pt>
                <c:pt idx="103">
                  <c:v>44044</c:v>
                </c:pt>
                <c:pt idx="104">
                  <c:v>44075</c:v>
                </c:pt>
                <c:pt idx="105">
                  <c:v>44105</c:v>
                </c:pt>
                <c:pt idx="106">
                  <c:v>44136</c:v>
                </c:pt>
                <c:pt idx="107">
                  <c:v>44166</c:v>
                </c:pt>
                <c:pt idx="108">
                  <c:v>44197</c:v>
                </c:pt>
                <c:pt idx="109">
                  <c:v>44228</c:v>
                </c:pt>
                <c:pt idx="110">
                  <c:v>44256</c:v>
                </c:pt>
                <c:pt idx="111">
                  <c:v>44287</c:v>
                </c:pt>
                <c:pt idx="112">
                  <c:v>44317</c:v>
                </c:pt>
                <c:pt idx="113">
                  <c:v>44348</c:v>
                </c:pt>
                <c:pt idx="114">
                  <c:v>44378</c:v>
                </c:pt>
                <c:pt idx="115">
                  <c:v>44409</c:v>
                </c:pt>
                <c:pt idx="116">
                  <c:v>44440</c:v>
                </c:pt>
                <c:pt idx="117">
                  <c:v>44470</c:v>
                </c:pt>
                <c:pt idx="118">
                  <c:v>44501</c:v>
                </c:pt>
                <c:pt idx="119">
                  <c:v>44531</c:v>
                </c:pt>
                <c:pt idx="120">
                  <c:v>44562</c:v>
                </c:pt>
                <c:pt idx="121">
                  <c:v>44593</c:v>
                </c:pt>
                <c:pt idx="122">
                  <c:v>44621</c:v>
                </c:pt>
                <c:pt idx="123">
                  <c:v>44652</c:v>
                </c:pt>
                <c:pt idx="124">
                  <c:v>44682</c:v>
                </c:pt>
                <c:pt idx="125">
                  <c:v>44713</c:v>
                </c:pt>
                <c:pt idx="126">
                  <c:v>44743</c:v>
                </c:pt>
                <c:pt idx="127">
                  <c:v>44774</c:v>
                </c:pt>
                <c:pt idx="128">
                  <c:v>44805</c:v>
                </c:pt>
                <c:pt idx="129">
                  <c:v>44835</c:v>
                </c:pt>
                <c:pt idx="130">
                  <c:v>44866</c:v>
                </c:pt>
                <c:pt idx="131">
                  <c:v>44896</c:v>
                </c:pt>
                <c:pt idx="132">
                  <c:v>44927</c:v>
                </c:pt>
                <c:pt idx="133">
                  <c:v>44958</c:v>
                </c:pt>
                <c:pt idx="134">
                  <c:v>44986</c:v>
                </c:pt>
                <c:pt idx="135">
                  <c:v>45017</c:v>
                </c:pt>
                <c:pt idx="136">
                  <c:v>45047</c:v>
                </c:pt>
                <c:pt idx="137">
                  <c:v>45078</c:v>
                </c:pt>
                <c:pt idx="138">
                  <c:v>45108</c:v>
                </c:pt>
                <c:pt idx="139">
                  <c:v>45139</c:v>
                </c:pt>
                <c:pt idx="140">
                  <c:v>45170</c:v>
                </c:pt>
                <c:pt idx="141">
                  <c:v>45200</c:v>
                </c:pt>
                <c:pt idx="142">
                  <c:v>45231</c:v>
                </c:pt>
                <c:pt idx="143">
                  <c:v>45261</c:v>
                </c:pt>
                <c:pt idx="144">
                  <c:v>45292</c:v>
                </c:pt>
                <c:pt idx="145">
                  <c:v>45323</c:v>
                </c:pt>
                <c:pt idx="146">
                  <c:v>45352</c:v>
                </c:pt>
                <c:pt idx="147">
                  <c:v>45383</c:v>
                </c:pt>
                <c:pt idx="148">
                  <c:v>45413</c:v>
                </c:pt>
                <c:pt idx="149">
                  <c:v>45444</c:v>
                </c:pt>
                <c:pt idx="150">
                  <c:v>45474</c:v>
                </c:pt>
                <c:pt idx="151">
                  <c:v>45505</c:v>
                </c:pt>
                <c:pt idx="152">
                  <c:v>45536</c:v>
                </c:pt>
                <c:pt idx="153">
                  <c:v>45566</c:v>
                </c:pt>
                <c:pt idx="154">
                  <c:v>45597</c:v>
                </c:pt>
                <c:pt idx="155">
                  <c:v>45627</c:v>
                </c:pt>
                <c:pt idx="156">
                  <c:v>45658</c:v>
                </c:pt>
                <c:pt idx="157">
                  <c:v>45689</c:v>
                </c:pt>
                <c:pt idx="158">
                  <c:v>45717</c:v>
                </c:pt>
                <c:pt idx="159">
                  <c:v>45748</c:v>
                </c:pt>
                <c:pt idx="160">
                  <c:v>45778</c:v>
                </c:pt>
                <c:pt idx="161">
                  <c:v>45809</c:v>
                </c:pt>
                <c:pt idx="162">
                  <c:v>45839</c:v>
                </c:pt>
                <c:pt idx="163">
                  <c:v>45870</c:v>
                </c:pt>
                <c:pt idx="164">
                  <c:v>45901</c:v>
                </c:pt>
                <c:pt idx="165">
                  <c:v>45931</c:v>
                </c:pt>
                <c:pt idx="166">
                  <c:v>45962</c:v>
                </c:pt>
                <c:pt idx="167">
                  <c:v>45992</c:v>
                </c:pt>
                <c:pt idx="168">
                  <c:v>46023</c:v>
                </c:pt>
                <c:pt idx="169">
                  <c:v>46054</c:v>
                </c:pt>
                <c:pt idx="170">
                  <c:v>46082</c:v>
                </c:pt>
                <c:pt idx="171">
                  <c:v>46113</c:v>
                </c:pt>
                <c:pt idx="172">
                  <c:v>46143</c:v>
                </c:pt>
                <c:pt idx="173">
                  <c:v>46174</c:v>
                </c:pt>
                <c:pt idx="174">
                  <c:v>46204</c:v>
                </c:pt>
                <c:pt idx="175">
                  <c:v>46235</c:v>
                </c:pt>
              </c:numCache>
            </c:numRef>
          </c:cat>
          <c:val>
            <c:numRef>
              <c:f>'Net reserves'!$H$12:$GA$12</c:f>
              <c:numCache>
                <c:formatCode>_(* #,##0.00_);_(* \(#,##0.00\);_(* "-"??_);_(@_)</c:formatCode>
                <c:ptCount val="176"/>
                <c:pt idx="0">
                  <c:v>38906.998575167941</c:v>
                </c:pt>
                <c:pt idx="1">
                  <c:v>39046.497944890929</c:v>
                </c:pt>
                <c:pt idx="2">
                  <c:v>39370.86746295022</c:v>
                </c:pt>
                <c:pt idx="3">
                  <c:v>40023.011065726634</c:v>
                </c:pt>
                <c:pt idx="4">
                  <c:v>39947.098896877105</c:v>
                </c:pt>
                <c:pt idx="5">
                  <c:v>40166.411977900549</c:v>
                </c:pt>
                <c:pt idx="6">
                  <c:v>40038.853928961747</c:v>
                </c:pt>
                <c:pt idx="7">
                  <c:v>37843.96859333045</c:v>
                </c:pt>
                <c:pt idx="8">
                  <c:v>37575.449846055162</c:v>
                </c:pt>
                <c:pt idx="9">
                  <c:v>36594.867022756</c:v>
                </c:pt>
                <c:pt idx="10">
                  <c:v>36248.632582213031</c:v>
                </c:pt>
                <c:pt idx="11">
                  <c:v>33858.245082482637</c:v>
                </c:pt>
                <c:pt idx="12">
                  <c:v>33639.652914400802</c:v>
                </c:pt>
                <c:pt idx="13">
                  <c:v>32864.759206923991</c:v>
                </c:pt>
                <c:pt idx="14">
                  <c:v>31986.636406115253</c:v>
                </c:pt>
                <c:pt idx="15">
                  <c:v>30532.050004830915</c:v>
                </c:pt>
                <c:pt idx="16">
                  <c:v>29536.084389057756</c:v>
                </c:pt>
                <c:pt idx="17">
                  <c:v>28081.651767441861</c:v>
                </c:pt>
                <c:pt idx="18">
                  <c:v>27734.514824065638</c:v>
                </c:pt>
                <c:pt idx="19">
                  <c:v>24505.176215852796</c:v>
                </c:pt>
                <c:pt idx="20">
                  <c:v>22120.37997835498</c:v>
                </c:pt>
                <c:pt idx="21">
                  <c:v>20310.946687712152</c:v>
                </c:pt>
                <c:pt idx="22">
                  <c:v>17956.071322169584</c:v>
                </c:pt>
                <c:pt idx="23">
                  <c:v>16190.752109521616</c:v>
                </c:pt>
                <c:pt idx="24">
                  <c:v>13056.723419518376</c:v>
                </c:pt>
                <c:pt idx="25">
                  <c:v>14938.487648261758</c:v>
                </c:pt>
                <c:pt idx="26">
                  <c:v>15098.470637826958</c:v>
                </c:pt>
                <c:pt idx="27">
                  <c:v>17333.652050301811</c:v>
                </c:pt>
                <c:pt idx="28">
                  <c:v>17659.578244084682</c:v>
                </c:pt>
                <c:pt idx="29">
                  <c:v>17787.687395892612</c:v>
                </c:pt>
                <c:pt idx="30">
                  <c:v>17924.781815177481</c:v>
                </c:pt>
                <c:pt idx="31">
                  <c:v>17585.437026104661</c:v>
                </c:pt>
                <c:pt idx="32">
                  <c:v>17098.613221957039</c:v>
                </c:pt>
                <c:pt idx="33">
                  <c:v>16180.354955595027</c:v>
                </c:pt>
                <c:pt idx="34">
                  <c:v>16161.911415094341</c:v>
                </c:pt>
                <c:pt idx="35">
                  <c:v>17017.012331374855</c:v>
                </c:pt>
                <c:pt idx="36">
                  <c:v>15920.056030250144</c:v>
                </c:pt>
                <c:pt idx="37">
                  <c:v>15072.470691244242</c:v>
                </c:pt>
                <c:pt idx="38">
                  <c:v>14356.583329532494</c:v>
                </c:pt>
                <c:pt idx="39">
                  <c:v>16140.270902934535</c:v>
                </c:pt>
                <c:pt idx="40">
                  <c:v>15140.36801621017</c:v>
                </c:pt>
                <c:pt idx="41">
                  <c:v>14772.109690265483</c:v>
                </c:pt>
                <c:pt idx="42">
                  <c:v>14442.367754510666</c:v>
                </c:pt>
                <c:pt idx="43">
                  <c:v>12398.463513513514</c:v>
                </c:pt>
                <c:pt idx="44">
                  <c:v>10893.057666666668</c:v>
                </c:pt>
                <c:pt idx="45">
                  <c:v>3198.6177091004738</c:v>
                </c:pt>
                <c:pt idx="46">
                  <c:v>1874.9284878175222</c:v>
                </c:pt>
                <c:pt idx="47">
                  <c:v>518.24403816793802</c:v>
                </c:pt>
                <c:pt idx="48">
                  <c:v>1723.1509753265591</c:v>
                </c:pt>
                <c:pt idx="49">
                  <c:v>1919.3192993630564</c:v>
                </c:pt>
                <c:pt idx="50">
                  <c:v>1200.7828767123306</c:v>
                </c:pt>
                <c:pt idx="51">
                  <c:v>6360.8643146853155</c:v>
                </c:pt>
                <c:pt idx="52">
                  <c:v>88.657142857141025</c:v>
                </c:pt>
                <c:pt idx="53">
                  <c:v>48.545999999999822</c:v>
                </c:pt>
                <c:pt idx="54">
                  <c:v>5545.9323333333332</c:v>
                </c:pt>
                <c:pt idx="55">
                  <c:v>5645.1750402684593</c:v>
                </c:pt>
                <c:pt idx="56">
                  <c:v>4649.5621437908485</c:v>
                </c:pt>
                <c:pt idx="57">
                  <c:v>5188.6139999999959</c:v>
                </c:pt>
                <c:pt idx="58">
                  <c:v>9074.6260062893125</c:v>
                </c:pt>
                <c:pt idx="59">
                  <c:v>10199.106805031448</c:v>
                </c:pt>
                <c:pt idx="60">
                  <c:v>11054.057591194971</c:v>
                </c:pt>
                <c:pt idx="61">
                  <c:v>14560.62093548387</c:v>
                </c:pt>
                <c:pt idx="62">
                  <c:v>12624.572285714283</c:v>
                </c:pt>
                <c:pt idx="63">
                  <c:v>15490.423000000001</c:v>
                </c:pt>
                <c:pt idx="64">
                  <c:v>16478.938161490685</c:v>
                </c:pt>
                <c:pt idx="65">
                  <c:v>20954.054927710848</c:v>
                </c:pt>
                <c:pt idx="66">
                  <c:v>17545.550484419258</c:v>
                </c:pt>
                <c:pt idx="67">
                  <c:v>18303.026826589594</c:v>
                </c:pt>
                <c:pt idx="68">
                  <c:v>21395.025456647403</c:v>
                </c:pt>
                <c:pt idx="69">
                  <c:v>24794.264855524081</c:v>
                </c:pt>
                <c:pt idx="70">
                  <c:v>26060.35870520231</c:v>
                </c:pt>
                <c:pt idx="71">
                  <c:v>27697.552172043004</c:v>
                </c:pt>
                <c:pt idx="72">
                  <c:v>30741.244020408165</c:v>
                </c:pt>
                <c:pt idx="73">
                  <c:v>34591.384417910456</c:v>
                </c:pt>
                <c:pt idx="74">
                  <c:v>34716.354640776706</c:v>
                </c:pt>
                <c:pt idx="75">
                  <c:v>29223.103240875909</c:v>
                </c:pt>
                <c:pt idx="76">
                  <c:v>24148.697218787638</c:v>
                </c:pt>
                <c:pt idx="77">
                  <c:v>33821.579694444445</c:v>
                </c:pt>
                <c:pt idx="78">
                  <c:v>30433.54378311499</c:v>
                </c:pt>
                <c:pt idx="79">
                  <c:v>25123.016623978201</c:v>
                </c:pt>
                <c:pt idx="80">
                  <c:v>22409.42284082625</c:v>
                </c:pt>
                <c:pt idx="81">
                  <c:v>27326.383736401673</c:v>
                </c:pt>
                <c:pt idx="82">
                  <c:v>24239.983424242422</c:v>
                </c:pt>
                <c:pt idx="83">
                  <c:v>29260.467085106386</c:v>
                </c:pt>
                <c:pt idx="84">
                  <c:v>29698.982302013421</c:v>
                </c:pt>
                <c:pt idx="85">
                  <c:v>31192.162089628677</c:v>
                </c:pt>
                <c:pt idx="86">
                  <c:v>27971.487231213872</c:v>
                </c:pt>
                <c:pt idx="87">
                  <c:v>32717.437191827466</c:v>
                </c:pt>
                <c:pt idx="88">
                  <c:v>25601.864110613526</c:v>
                </c:pt>
                <c:pt idx="89">
                  <c:v>26080.139647780928</c:v>
                </c:pt>
                <c:pt idx="90">
                  <c:v>29112.000566925533</c:v>
                </c:pt>
                <c:pt idx="91">
                  <c:v>20709.512752735231</c:v>
                </c:pt>
                <c:pt idx="92">
                  <c:v>17724.943015828838</c:v>
                </c:pt>
                <c:pt idx="93">
                  <c:v>12663.577102064799</c:v>
                </c:pt>
                <c:pt idx="94">
                  <c:v>13105.19044919786</c:v>
                </c:pt>
                <c:pt idx="95">
                  <c:v>13370.596780063557</c:v>
                </c:pt>
                <c:pt idx="96">
                  <c:v>11773.954726141079</c:v>
                </c:pt>
                <c:pt idx="97">
                  <c:v>10914.487234422801</c:v>
                </c:pt>
                <c:pt idx="98">
                  <c:v>10374.872488426285</c:v>
                </c:pt>
                <c:pt idx="99">
                  <c:v>9597.4023578064116</c:v>
                </c:pt>
                <c:pt idx="100">
                  <c:v>8083.1896370543545</c:v>
                </c:pt>
                <c:pt idx="101">
                  <c:v>9121.5612836839118</c:v>
                </c:pt>
                <c:pt idx="102">
                  <c:v>8453.3234148435331</c:v>
                </c:pt>
                <c:pt idx="103">
                  <c:v>6768.7705637149038</c:v>
                </c:pt>
                <c:pt idx="104">
                  <c:v>4712.6394111461595</c:v>
                </c:pt>
                <c:pt idx="105">
                  <c:v>3420.9222983891596</c:v>
                </c:pt>
                <c:pt idx="106">
                  <c:v>2412.8780077576657</c:v>
                </c:pt>
                <c:pt idx="107">
                  <c:v>3023.2615336109448</c:v>
                </c:pt>
                <c:pt idx="108">
                  <c:v>2402.9540510145603</c:v>
                </c:pt>
                <c:pt idx="109">
                  <c:v>2391.6270410164962</c:v>
                </c:pt>
                <c:pt idx="110">
                  <c:v>3370.6869575625692</c:v>
                </c:pt>
                <c:pt idx="111">
                  <c:v>4365.5023434624436</c:v>
                </c:pt>
                <c:pt idx="112">
                  <c:v>5811.304066363733</c:v>
                </c:pt>
                <c:pt idx="113">
                  <c:v>6331.136371888726</c:v>
                </c:pt>
                <c:pt idx="114">
                  <c:v>5880.4108686199424</c:v>
                </c:pt>
                <c:pt idx="115">
                  <c:v>9319.3738496517799</c:v>
                </c:pt>
                <c:pt idx="116">
                  <c:v>5618.8750519059204</c:v>
                </c:pt>
                <c:pt idx="117">
                  <c:v>5301.5250092350943</c:v>
                </c:pt>
                <c:pt idx="118">
                  <c:v>4366.583978782468</c:v>
                </c:pt>
                <c:pt idx="119">
                  <c:v>2105.9048739037198</c:v>
                </c:pt>
                <c:pt idx="120">
                  <c:v>-216.33949294700915</c:v>
                </c:pt>
                <c:pt idx="121">
                  <c:v>-1260.222220307408</c:v>
                </c:pt>
                <c:pt idx="122">
                  <c:v>5439.7140736633282</c:v>
                </c:pt>
                <c:pt idx="123">
                  <c:v>4496.4023824320784</c:v>
                </c:pt>
                <c:pt idx="124">
                  <c:v>4554.7966061615316</c:v>
                </c:pt>
                <c:pt idx="125">
                  <c:v>6506.8330095900237</c:v>
                </c:pt>
                <c:pt idx="126">
                  <c:v>2208.9700495540114</c:v>
                </c:pt>
                <c:pt idx="127">
                  <c:v>1157.1931739161773</c:v>
                </c:pt>
                <c:pt idx="128">
                  <c:v>3241.1755603858182</c:v>
                </c:pt>
                <c:pt idx="129">
                  <c:v>4640.382394553917</c:v>
                </c:pt>
                <c:pt idx="130">
                  <c:v>2903.3695348725914</c:v>
                </c:pt>
                <c:pt idx="131">
                  <c:v>8263.1674674121768</c:v>
                </c:pt>
                <c:pt idx="132">
                  <c:v>3664.4496928838971</c:v>
                </c:pt>
                <c:pt idx="133">
                  <c:v>1569.238343060139</c:v>
                </c:pt>
                <c:pt idx="134">
                  <c:v>2260.9612811646944</c:v>
                </c:pt>
                <c:pt idx="135">
                  <c:v>-851.12050916936323</c:v>
                </c:pt>
                <c:pt idx="136">
                  <c:v>-2080.4003330547425</c:v>
                </c:pt>
                <c:pt idx="137">
                  <c:v>-6004.2538791422994</c:v>
                </c:pt>
                <c:pt idx="138">
                  <c:v>-9253.2675286311569</c:v>
                </c:pt>
                <c:pt idx="139">
                  <c:v>-5193.4252246065826</c:v>
                </c:pt>
                <c:pt idx="140">
                  <c:v>-6037.6053805980828</c:v>
                </c:pt>
                <c:pt idx="141">
                  <c:v>-9968.3402460658072</c:v>
                </c:pt>
                <c:pt idx="142">
                  <c:v>-11573.153722222221</c:v>
                </c:pt>
                <c:pt idx="143">
                  <c:v>-10458.519459198216</c:v>
                </c:pt>
                <c:pt idx="144">
                  <c:v>-6392.7489203539808</c:v>
                </c:pt>
                <c:pt idx="145">
                  <c:v>-6838.457993814678</c:v>
                </c:pt>
                <c:pt idx="146">
                  <c:v>-6194.3803899591348</c:v>
                </c:pt>
                <c:pt idx="147">
                  <c:v>-5440.8976571428584</c:v>
                </c:pt>
                <c:pt idx="148">
                  <c:v>-4172.3784563758391</c:v>
                </c:pt>
                <c:pt idx="149">
                  <c:v>-3839.3036562328416</c:v>
                </c:pt>
                <c:pt idx="150">
                  <c:v>-7959.7091628156904</c:v>
                </c:pt>
                <c:pt idx="151">
                  <c:v>-8037.7708361344557</c:v>
                </c:pt>
                <c:pt idx="152">
                  <c:v>-9253.5249184726508</c:v>
                </c:pt>
                <c:pt idx="153">
                  <c:v>-9687.3949934376597</c:v>
                </c:pt>
                <c:pt idx="154">
                  <c:v>-8626.9543366336638</c:v>
                </c:pt>
                <c:pt idx="155">
                  <c:v>-7689.382901018922</c:v>
                </c:pt>
                <c:pt idx="156">
                  <c:v>-10201.130159695815</c:v>
                </c:pt>
                <c:pt idx="157">
                  <c:v>-9969.4380557253698</c:v>
                </c:pt>
                <c:pt idx="158">
                  <c:v>-12691.473023310024</c:v>
                </c:pt>
                <c:pt idx="159">
                  <c:v>-1440.0768168168161</c:v>
                </c:pt>
                <c:pt idx="160">
                  <c:v>-1873.905052809464</c:v>
                </c:pt>
                <c:pt idx="161">
                  <c:v>1554.2583969179523</c:v>
                </c:pt>
                <c:pt idx="162">
                  <c:v>-391.95792332968449</c:v>
                </c:pt>
                <c:pt idx="163">
                  <c:v>399.23861682243205</c:v>
                </c:pt>
                <c:pt idx="164">
                  <c:v>-528.23029661941109</c:v>
                </c:pt>
                <c:pt idx="165">
                  <c:v>-6714.4721926414413</c:v>
                </c:pt>
                <c:pt idx="166">
                  <c:v>-8255.7022273669663</c:v>
                </c:pt>
                <c:pt idx="167">
                  <c:v>-4491.7471875215451</c:v>
                </c:pt>
                <c:pt idx="168">
                  <c:v>-8681.1759982668973</c:v>
                </c:pt>
                <c:pt idx="169">
                  <c:v>-8456.3855780969516</c:v>
                </c:pt>
                <c:pt idx="170">
                  <c:v>-7914.5258239564446</c:v>
                </c:pt>
                <c:pt idx="171">
                  <c:v>-6151.2083184276962</c:v>
                </c:pt>
                <c:pt idx="172">
                  <c:v>-3197.9472130388313</c:v>
                </c:pt>
                <c:pt idx="173">
                  <c:v>-3070.8748815566823</c:v>
                </c:pt>
                <c:pt idx="174">
                  <c:v>-341.87488155668234</c:v>
                </c:pt>
                <c:pt idx="175">
                  <c:v>1559.1251184433177</c:v>
                </c:pt>
              </c:numCache>
            </c:numRef>
          </c:val>
          <c:extLst>
            <c:ext xmlns:c16="http://schemas.microsoft.com/office/drawing/2014/chart" uri="{C3380CC4-5D6E-409C-BE32-E72D297353CC}">
              <c16:uniqueId val="{00000000-29DF-484E-BBFF-DC9AB7BC2BA9}"/>
            </c:ext>
          </c:extLst>
        </c:ser>
        <c:ser>
          <c:idx val="1"/>
          <c:order val="1"/>
          <c:tx>
            <c:strRef>
              <c:f>'Net reserves'!$A$13</c:f>
              <c:strCache>
                <c:ptCount val="1"/>
                <c:pt idx="0">
                  <c:v>Repos</c:v>
                </c:pt>
              </c:strCache>
            </c:strRef>
          </c:tx>
          <c:spPr>
            <a:solidFill>
              <a:schemeClr val="tx1">
                <a:alpha val="16000"/>
              </a:schemeClr>
            </a:solidFill>
            <a:ln w="12700">
              <a:noFill/>
              <a:prstDash val="solid"/>
            </a:ln>
            <a:effectLst/>
          </c:spPr>
          <c:cat>
            <c:numRef>
              <c:f>'Net reserves'!$H$10:$GA$10</c:f>
              <c:numCache>
                <c:formatCode>mmm\-yy</c:formatCode>
                <c:ptCount val="176"/>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pt idx="14">
                  <c:v>41334</c:v>
                </c:pt>
                <c:pt idx="15">
                  <c:v>41365</c:v>
                </c:pt>
                <c:pt idx="16">
                  <c:v>41395</c:v>
                </c:pt>
                <c:pt idx="17">
                  <c:v>41426</c:v>
                </c:pt>
                <c:pt idx="18">
                  <c:v>41456</c:v>
                </c:pt>
                <c:pt idx="19">
                  <c:v>41487</c:v>
                </c:pt>
                <c:pt idx="20">
                  <c:v>41518</c:v>
                </c:pt>
                <c:pt idx="21">
                  <c:v>41548</c:v>
                </c:pt>
                <c:pt idx="22">
                  <c:v>41579</c:v>
                </c:pt>
                <c:pt idx="23">
                  <c:v>41609</c:v>
                </c:pt>
                <c:pt idx="24">
                  <c:v>41640</c:v>
                </c:pt>
                <c:pt idx="25">
                  <c:v>41671</c:v>
                </c:pt>
                <c:pt idx="26">
                  <c:v>41699</c:v>
                </c:pt>
                <c:pt idx="27">
                  <c:v>41730</c:v>
                </c:pt>
                <c:pt idx="28">
                  <c:v>41760</c:v>
                </c:pt>
                <c:pt idx="29">
                  <c:v>41791</c:v>
                </c:pt>
                <c:pt idx="30">
                  <c:v>41821</c:v>
                </c:pt>
                <c:pt idx="31">
                  <c:v>41852</c:v>
                </c:pt>
                <c:pt idx="32">
                  <c:v>41883</c:v>
                </c:pt>
                <c:pt idx="33">
                  <c:v>41913</c:v>
                </c:pt>
                <c:pt idx="34">
                  <c:v>41944</c:v>
                </c:pt>
                <c:pt idx="35">
                  <c:v>41974</c:v>
                </c:pt>
                <c:pt idx="36">
                  <c:v>42005</c:v>
                </c:pt>
                <c:pt idx="37">
                  <c:v>42036</c:v>
                </c:pt>
                <c:pt idx="38">
                  <c:v>42064</c:v>
                </c:pt>
                <c:pt idx="39">
                  <c:v>42095</c:v>
                </c:pt>
                <c:pt idx="40">
                  <c:v>42125</c:v>
                </c:pt>
                <c:pt idx="41">
                  <c:v>42156</c:v>
                </c:pt>
                <c:pt idx="42">
                  <c:v>42186</c:v>
                </c:pt>
                <c:pt idx="43">
                  <c:v>42217</c:v>
                </c:pt>
                <c:pt idx="44">
                  <c:v>42248</c:v>
                </c:pt>
                <c:pt idx="45">
                  <c:v>42278</c:v>
                </c:pt>
                <c:pt idx="46">
                  <c:v>42309</c:v>
                </c:pt>
                <c:pt idx="47">
                  <c:v>42339</c:v>
                </c:pt>
                <c:pt idx="48">
                  <c:v>42370</c:v>
                </c:pt>
                <c:pt idx="49">
                  <c:v>42401</c:v>
                </c:pt>
                <c:pt idx="50">
                  <c:v>42430</c:v>
                </c:pt>
                <c:pt idx="51">
                  <c:v>42461</c:v>
                </c:pt>
                <c:pt idx="52">
                  <c:v>42491</c:v>
                </c:pt>
                <c:pt idx="53">
                  <c:v>42522</c:v>
                </c:pt>
                <c:pt idx="54">
                  <c:v>42552</c:v>
                </c:pt>
                <c:pt idx="55">
                  <c:v>42583</c:v>
                </c:pt>
                <c:pt idx="56">
                  <c:v>42614</c:v>
                </c:pt>
                <c:pt idx="57">
                  <c:v>42644</c:v>
                </c:pt>
                <c:pt idx="58">
                  <c:v>42675</c:v>
                </c:pt>
                <c:pt idx="59">
                  <c:v>42705</c:v>
                </c:pt>
                <c:pt idx="60">
                  <c:v>42736</c:v>
                </c:pt>
                <c:pt idx="61">
                  <c:v>42767</c:v>
                </c:pt>
                <c:pt idx="62">
                  <c:v>42795</c:v>
                </c:pt>
                <c:pt idx="63">
                  <c:v>42826</c:v>
                </c:pt>
                <c:pt idx="64">
                  <c:v>42856</c:v>
                </c:pt>
                <c:pt idx="65">
                  <c:v>42887</c:v>
                </c:pt>
                <c:pt idx="66">
                  <c:v>42917</c:v>
                </c:pt>
                <c:pt idx="67">
                  <c:v>42948</c:v>
                </c:pt>
                <c:pt idx="68">
                  <c:v>42979</c:v>
                </c:pt>
                <c:pt idx="69">
                  <c:v>43009</c:v>
                </c:pt>
                <c:pt idx="70">
                  <c:v>43040</c:v>
                </c:pt>
                <c:pt idx="71">
                  <c:v>43070</c:v>
                </c:pt>
                <c:pt idx="72">
                  <c:v>43101</c:v>
                </c:pt>
                <c:pt idx="73">
                  <c:v>43132</c:v>
                </c:pt>
                <c:pt idx="74">
                  <c:v>43160</c:v>
                </c:pt>
                <c:pt idx="75">
                  <c:v>43191</c:v>
                </c:pt>
                <c:pt idx="76">
                  <c:v>43221</c:v>
                </c:pt>
                <c:pt idx="77">
                  <c:v>43252</c:v>
                </c:pt>
                <c:pt idx="78">
                  <c:v>43282</c:v>
                </c:pt>
                <c:pt idx="79">
                  <c:v>43313</c:v>
                </c:pt>
                <c:pt idx="80">
                  <c:v>43344</c:v>
                </c:pt>
                <c:pt idx="81">
                  <c:v>43374</c:v>
                </c:pt>
                <c:pt idx="82">
                  <c:v>43405</c:v>
                </c:pt>
                <c:pt idx="83">
                  <c:v>43435</c:v>
                </c:pt>
                <c:pt idx="84">
                  <c:v>43466</c:v>
                </c:pt>
                <c:pt idx="85">
                  <c:v>43497</c:v>
                </c:pt>
                <c:pt idx="86">
                  <c:v>43525</c:v>
                </c:pt>
                <c:pt idx="87">
                  <c:v>43556</c:v>
                </c:pt>
                <c:pt idx="88">
                  <c:v>43586</c:v>
                </c:pt>
                <c:pt idx="89">
                  <c:v>43617</c:v>
                </c:pt>
                <c:pt idx="90">
                  <c:v>43647</c:v>
                </c:pt>
                <c:pt idx="91">
                  <c:v>43678</c:v>
                </c:pt>
                <c:pt idx="92">
                  <c:v>43709</c:v>
                </c:pt>
                <c:pt idx="93">
                  <c:v>43739</c:v>
                </c:pt>
                <c:pt idx="94">
                  <c:v>43770</c:v>
                </c:pt>
                <c:pt idx="95">
                  <c:v>43800</c:v>
                </c:pt>
                <c:pt idx="96">
                  <c:v>43831</c:v>
                </c:pt>
                <c:pt idx="97">
                  <c:v>43862</c:v>
                </c:pt>
                <c:pt idx="98">
                  <c:v>43891</c:v>
                </c:pt>
                <c:pt idx="99">
                  <c:v>43922</c:v>
                </c:pt>
                <c:pt idx="100">
                  <c:v>43952</c:v>
                </c:pt>
                <c:pt idx="101">
                  <c:v>43983</c:v>
                </c:pt>
                <c:pt idx="102">
                  <c:v>44013</c:v>
                </c:pt>
                <c:pt idx="103">
                  <c:v>44044</c:v>
                </c:pt>
                <c:pt idx="104">
                  <c:v>44075</c:v>
                </c:pt>
                <c:pt idx="105">
                  <c:v>44105</c:v>
                </c:pt>
                <c:pt idx="106">
                  <c:v>44136</c:v>
                </c:pt>
                <c:pt idx="107">
                  <c:v>44166</c:v>
                </c:pt>
                <c:pt idx="108">
                  <c:v>44197</c:v>
                </c:pt>
                <c:pt idx="109">
                  <c:v>44228</c:v>
                </c:pt>
                <c:pt idx="110">
                  <c:v>44256</c:v>
                </c:pt>
                <c:pt idx="111">
                  <c:v>44287</c:v>
                </c:pt>
                <c:pt idx="112">
                  <c:v>44317</c:v>
                </c:pt>
                <c:pt idx="113">
                  <c:v>44348</c:v>
                </c:pt>
                <c:pt idx="114">
                  <c:v>44378</c:v>
                </c:pt>
                <c:pt idx="115">
                  <c:v>44409</c:v>
                </c:pt>
                <c:pt idx="116">
                  <c:v>44440</c:v>
                </c:pt>
                <c:pt idx="117">
                  <c:v>44470</c:v>
                </c:pt>
                <c:pt idx="118">
                  <c:v>44501</c:v>
                </c:pt>
                <c:pt idx="119">
                  <c:v>44531</c:v>
                </c:pt>
                <c:pt idx="120">
                  <c:v>44562</c:v>
                </c:pt>
                <c:pt idx="121">
                  <c:v>44593</c:v>
                </c:pt>
                <c:pt idx="122">
                  <c:v>44621</c:v>
                </c:pt>
                <c:pt idx="123">
                  <c:v>44652</c:v>
                </c:pt>
                <c:pt idx="124">
                  <c:v>44682</c:v>
                </c:pt>
                <c:pt idx="125">
                  <c:v>44713</c:v>
                </c:pt>
                <c:pt idx="126">
                  <c:v>44743</c:v>
                </c:pt>
                <c:pt idx="127">
                  <c:v>44774</c:v>
                </c:pt>
                <c:pt idx="128">
                  <c:v>44805</c:v>
                </c:pt>
                <c:pt idx="129">
                  <c:v>44835</c:v>
                </c:pt>
                <c:pt idx="130">
                  <c:v>44866</c:v>
                </c:pt>
                <c:pt idx="131">
                  <c:v>44896</c:v>
                </c:pt>
                <c:pt idx="132">
                  <c:v>44927</c:v>
                </c:pt>
                <c:pt idx="133">
                  <c:v>44958</c:v>
                </c:pt>
                <c:pt idx="134">
                  <c:v>44986</c:v>
                </c:pt>
                <c:pt idx="135">
                  <c:v>45017</c:v>
                </c:pt>
                <c:pt idx="136">
                  <c:v>45047</c:v>
                </c:pt>
                <c:pt idx="137">
                  <c:v>45078</c:v>
                </c:pt>
                <c:pt idx="138">
                  <c:v>45108</c:v>
                </c:pt>
                <c:pt idx="139">
                  <c:v>45139</c:v>
                </c:pt>
                <c:pt idx="140">
                  <c:v>45170</c:v>
                </c:pt>
                <c:pt idx="141">
                  <c:v>45200</c:v>
                </c:pt>
                <c:pt idx="142">
                  <c:v>45231</c:v>
                </c:pt>
                <c:pt idx="143">
                  <c:v>45261</c:v>
                </c:pt>
                <c:pt idx="144">
                  <c:v>45292</c:v>
                </c:pt>
                <c:pt idx="145">
                  <c:v>45323</c:v>
                </c:pt>
                <c:pt idx="146">
                  <c:v>45352</c:v>
                </c:pt>
                <c:pt idx="147">
                  <c:v>45383</c:v>
                </c:pt>
                <c:pt idx="148">
                  <c:v>45413</c:v>
                </c:pt>
                <c:pt idx="149">
                  <c:v>45444</c:v>
                </c:pt>
                <c:pt idx="150">
                  <c:v>45474</c:v>
                </c:pt>
                <c:pt idx="151">
                  <c:v>45505</c:v>
                </c:pt>
                <c:pt idx="152">
                  <c:v>45536</c:v>
                </c:pt>
                <c:pt idx="153">
                  <c:v>45566</c:v>
                </c:pt>
                <c:pt idx="154">
                  <c:v>45597</c:v>
                </c:pt>
                <c:pt idx="155">
                  <c:v>45627</c:v>
                </c:pt>
                <c:pt idx="156">
                  <c:v>45658</c:v>
                </c:pt>
                <c:pt idx="157">
                  <c:v>45689</c:v>
                </c:pt>
                <c:pt idx="158">
                  <c:v>45717</c:v>
                </c:pt>
                <c:pt idx="159">
                  <c:v>45748</c:v>
                </c:pt>
                <c:pt idx="160">
                  <c:v>45778</c:v>
                </c:pt>
                <c:pt idx="161">
                  <c:v>45809</c:v>
                </c:pt>
                <c:pt idx="162">
                  <c:v>45839</c:v>
                </c:pt>
                <c:pt idx="163">
                  <c:v>45870</c:v>
                </c:pt>
                <c:pt idx="164">
                  <c:v>45901</c:v>
                </c:pt>
                <c:pt idx="165">
                  <c:v>45931</c:v>
                </c:pt>
                <c:pt idx="166">
                  <c:v>45962</c:v>
                </c:pt>
                <c:pt idx="167">
                  <c:v>45992</c:v>
                </c:pt>
                <c:pt idx="168">
                  <c:v>46023</c:v>
                </c:pt>
                <c:pt idx="169">
                  <c:v>46054</c:v>
                </c:pt>
                <c:pt idx="170">
                  <c:v>46082</c:v>
                </c:pt>
                <c:pt idx="171">
                  <c:v>46113</c:v>
                </c:pt>
                <c:pt idx="172">
                  <c:v>46143</c:v>
                </c:pt>
                <c:pt idx="173">
                  <c:v>46174</c:v>
                </c:pt>
                <c:pt idx="174">
                  <c:v>46204</c:v>
                </c:pt>
                <c:pt idx="175">
                  <c:v>46235</c:v>
                </c:pt>
              </c:numCache>
            </c:numRef>
          </c:cat>
          <c:val>
            <c:numRef>
              <c:f>'Net reserves'!$H$13:$GA$13</c:f>
              <c:numCache>
                <c:formatCode>0.000</c:formatCode>
                <c:ptCount val="176"/>
                <c:pt idx="0" formatCode="_(* #,##0.00_);_(* \(#,##0.00\);_(* &quot;-&quot;??_);_(@_)">
                  <c:v>946.60299999999995</c:v>
                </c:pt>
                <c:pt idx="1">
                  <c:v>966.99</c:v>
                </c:pt>
                <c:pt idx="2">
                  <c:v>881.43100000000004</c:v>
                </c:pt>
                <c:pt idx="3">
                  <c:v>860.15200000000004</c:v>
                </c:pt>
                <c:pt idx="4">
                  <c:v>911.31</c:v>
                </c:pt>
                <c:pt idx="5">
                  <c:v>946.47199999999998</c:v>
                </c:pt>
                <c:pt idx="6">
                  <c:v>957.15700000000004</c:v>
                </c:pt>
                <c:pt idx="7">
                  <c:v>951.10199999999998</c:v>
                </c:pt>
                <c:pt idx="8">
                  <c:v>755.91</c:v>
                </c:pt>
                <c:pt idx="9">
                  <c:v>931.53499999999997</c:v>
                </c:pt>
                <c:pt idx="10">
                  <c:v>915.779</c:v>
                </c:pt>
                <c:pt idx="11">
                  <c:v>931.85699999999997</c:v>
                </c:pt>
                <c:pt idx="12">
                  <c:v>789.19200000000001</c:v>
                </c:pt>
                <c:pt idx="13">
                  <c:v>1044.201</c:v>
                </c:pt>
                <c:pt idx="14">
                  <c:v>860.12800000000004</c:v>
                </c:pt>
                <c:pt idx="15">
                  <c:v>1012.607</c:v>
                </c:pt>
                <c:pt idx="16">
                  <c:v>1037.4839999999999</c:v>
                </c:pt>
                <c:pt idx="17">
                  <c:v>960.81799999999998</c:v>
                </c:pt>
                <c:pt idx="18">
                  <c:v>983.05399999999997</c:v>
                </c:pt>
                <c:pt idx="19">
                  <c:v>997.76800000000003</c:v>
                </c:pt>
                <c:pt idx="20">
                  <c:v>1001.026</c:v>
                </c:pt>
                <c:pt idx="21">
                  <c:v>997.55</c:v>
                </c:pt>
                <c:pt idx="22">
                  <c:v>946.98500000000001</c:v>
                </c:pt>
                <c:pt idx="23">
                  <c:v>1046.0640000000001</c:v>
                </c:pt>
                <c:pt idx="24">
                  <c:v>977.45399999999995</c:v>
                </c:pt>
                <c:pt idx="25">
                  <c:v>1016.703</c:v>
                </c:pt>
                <c:pt idx="26">
                  <c:v>1015.023</c:v>
                </c:pt>
                <c:pt idx="27">
                  <c:v>995.93600000000004</c:v>
                </c:pt>
                <c:pt idx="28">
                  <c:v>1010.849</c:v>
                </c:pt>
                <c:pt idx="29">
                  <c:v>1066.2719999999999</c:v>
                </c:pt>
                <c:pt idx="30">
                  <c:v>1074.087</c:v>
                </c:pt>
                <c:pt idx="31">
                  <c:v>947.58500000000004</c:v>
                </c:pt>
                <c:pt idx="32">
                  <c:v>966.4</c:v>
                </c:pt>
                <c:pt idx="33">
                  <c:v>1806.8</c:v>
                </c:pt>
                <c:pt idx="34">
                  <c:v>2534.77</c:v>
                </c:pt>
                <c:pt idx="35">
                  <c:v>3539.6210000000001</c:v>
                </c:pt>
                <c:pt idx="36">
                  <c:v>4384.6859999999997</c:v>
                </c:pt>
                <c:pt idx="37">
                  <c:v>4605.12</c:v>
                </c:pt>
                <c:pt idx="38">
                  <c:v>6323.88</c:v>
                </c:pt>
                <c:pt idx="39">
                  <c:v>7387.5870000000004</c:v>
                </c:pt>
                <c:pt idx="40">
                  <c:v>8032.65</c:v>
                </c:pt>
                <c:pt idx="41">
                  <c:v>9029.152</c:v>
                </c:pt>
                <c:pt idx="42">
                  <c:v>9051.3989999999994</c:v>
                </c:pt>
                <c:pt idx="43">
                  <c:v>11073.554</c:v>
                </c:pt>
                <c:pt idx="44">
                  <c:v>12119.123</c:v>
                </c:pt>
                <c:pt idx="45">
                  <c:v>12167.887000000001</c:v>
                </c:pt>
                <c:pt idx="46">
                  <c:v>12024.418</c:v>
                </c:pt>
                <c:pt idx="47">
                  <c:v>11855.968000000001</c:v>
                </c:pt>
                <c:pt idx="48">
                  <c:v>16647.13</c:v>
                </c:pt>
                <c:pt idx="49">
                  <c:v>16749.713</c:v>
                </c:pt>
                <c:pt idx="50">
                  <c:v>16923.009999999998</c:v>
                </c:pt>
                <c:pt idx="51">
                  <c:v>16793.02</c:v>
                </c:pt>
                <c:pt idx="52">
                  <c:v>16627.52</c:v>
                </c:pt>
                <c:pt idx="53">
                  <c:v>16627.708999999999</c:v>
                </c:pt>
                <c:pt idx="54">
                  <c:v>12587.683000000001</c:v>
                </c:pt>
                <c:pt idx="55">
                  <c:v>12515.293</c:v>
                </c:pt>
                <c:pt idx="56">
                  <c:v>12609.707</c:v>
                </c:pt>
                <c:pt idx="57">
                  <c:v>12448.271000000001</c:v>
                </c:pt>
                <c:pt idx="58">
                  <c:v>12381.31</c:v>
                </c:pt>
                <c:pt idx="59">
                  <c:v>11356.553</c:v>
                </c:pt>
                <c:pt idx="60">
                  <c:v>11446.907999999999</c:v>
                </c:pt>
                <c:pt idx="61">
                  <c:v>11468.630999999999</c:v>
                </c:pt>
                <c:pt idx="62">
                  <c:v>11449.512000000001</c:v>
                </c:pt>
                <c:pt idx="63">
                  <c:v>11431.428</c:v>
                </c:pt>
                <c:pt idx="64">
                  <c:v>11542.815000000001</c:v>
                </c:pt>
                <c:pt idx="65">
                  <c:v>11598.343000000001</c:v>
                </c:pt>
                <c:pt idx="66">
                  <c:v>11685.476000000001</c:v>
                </c:pt>
                <c:pt idx="67">
                  <c:v>11888.378000000001</c:v>
                </c:pt>
                <c:pt idx="68">
                  <c:v>11824.723</c:v>
                </c:pt>
                <c:pt idx="69">
                  <c:v>11825.583000000001</c:v>
                </c:pt>
                <c:pt idx="70">
                  <c:v>11865.606</c:v>
                </c:pt>
                <c:pt idx="71">
                  <c:v>12032.361000000001</c:v>
                </c:pt>
                <c:pt idx="72">
                  <c:v>12402.424000000001</c:v>
                </c:pt>
                <c:pt idx="73">
                  <c:v>12170.543</c:v>
                </c:pt>
                <c:pt idx="74">
                  <c:v>12228.329</c:v>
                </c:pt>
                <c:pt idx="75">
                  <c:v>12167.77</c:v>
                </c:pt>
                <c:pt idx="76">
                  <c:v>12007.273999999999</c:v>
                </c:pt>
                <c:pt idx="77">
                  <c:v>11661.584999999999</c:v>
                </c:pt>
                <c:pt idx="78">
                  <c:v>11352.554</c:v>
                </c:pt>
                <c:pt idx="79">
                  <c:v>11325.163</c:v>
                </c:pt>
                <c:pt idx="80">
                  <c:v>11268.816000000001</c:v>
                </c:pt>
                <c:pt idx="81">
                  <c:v>11111.709000000001</c:v>
                </c:pt>
                <c:pt idx="82">
                  <c:v>11161.65</c:v>
                </c:pt>
                <c:pt idx="83">
                  <c:v>19978.878000000001</c:v>
                </c:pt>
                <c:pt idx="84">
                  <c:v>20481.652999999998</c:v>
                </c:pt>
                <c:pt idx="85">
                  <c:v>20499.167000000001</c:v>
                </c:pt>
                <c:pt idx="86">
                  <c:v>20446.78</c:v>
                </c:pt>
                <c:pt idx="87">
                  <c:v>20381.349999999999</c:v>
                </c:pt>
                <c:pt idx="88">
                  <c:v>19909.363000000001</c:v>
                </c:pt>
                <c:pt idx="89">
                  <c:v>20017.776000000002</c:v>
                </c:pt>
                <c:pt idx="90">
                  <c:v>19971.689999999999</c:v>
                </c:pt>
                <c:pt idx="91">
                  <c:v>19256.612000000001</c:v>
                </c:pt>
                <c:pt idx="92">
                  <c:v>19279.75</c:v>
                </c:pt>
                <c:pt idx="93">
                  <c:v>19566.439999999999</c:v>
                </c:pt>
                <c:pt idx="94">
                  <c:v>19590.718000000001</c:v>
                </c:pt>
                <c:pt idx="95">
                  <c:v>19831.921999999999</c:v>
                </c:pt>
                <c:pt idx="96">
                  <c:v>20030.636999999999</c:v>
                </c:pt>
                <c:pt idx="97">
                  <c:v>20093.460999999999</c:v>
                </c:pt>
                <c:pt idx="98">
                  <c:v>19914.538</c:v>
                </c:pt>
                <c:pt idx="99">
                  <c:v>19745.506000000001</c:v>
                </c:pt>
                <c:pt idx="100">
                  <c:v>19828.904999999999</c:v>
                </c:pt>
                <c:pt idx="101">
                  <c:v>20057.482</c:v>
                </c:pt>
                <c:pt idx="102">
                  <c:v>20295.344000000001</c:v>
                </c:pt>
                <c:pt idx="103">
                  <c:v>20741.072</c:v>
                </c:pt>
                <c:pt idx="104">
                  <c:v>20902.346000000001</c:v>
                </c:pt>
                <c:pt idx="105">
                  <c:v>21187.188999999998</c:v>
                </c:pt>
                <c:pt idx="106">
                  <c:v>21519.96</c:v>
                </c:pt>
                <c:pt idx="107">
                  <c:v>21676.752</c:v>
                </c:pt>
                <c:pt idx="108">
                  <c:v>21983.675999999999</c:v>
                </c:pt>
                <c:pt idx="109">
                  <c:v>21842.288</c:v>
                </c:pt>
                <c:pt idx="110">
                  <c:v>21599.796999999999</c:v>
                </c:pt>
                <c:pt idx="111">
                  <c:v>21838.749</c:v>
                </c:pt>
                <c:pt idx="112">
                  <c:v>22168.657999999999</c:v>
                </c:pt>
                <c:pt idx="113">
                  <c:v>21894.092000000001</c:v>
                </c:pt>
                <c:pt idx="114">
                  <c:v>21880.973999999998</c:v>
                </c:pt>
                <c:pt idx="115">
                  <c:v>21883.883000000002</c:v>
                </c:pt>
                <c:pt idx="116">
                  <c:v>21934.264999999999</c:v>
                </c:pt>
                <c:pt idx="117">
                  <c:v>22056.955999999998</c:v>
                </c:pt>
                <c:pt idx="118">
                  <c:v>22187.703000000001</c:v>
                </c:pt>
                <c:pt idx="119">
                  <c:v>22214.169000000002</c:v>
                </c:pt>
                <c:pt idx="120">
                  <c:v>22197.311000000002</c:v>
                </c:pt>
                <c:pt idx="121">
                  <c:v>22337.167000000001</c:v>
                </c:pt>
                <c:pt idx="122">
                  <c:v>22263.093000000001</c:v>
                </c:pt>
                <c:pt idx="123">
                  <c:v>21429.756000000001</c:v>
                </c:pt>
                <c:pt idx="124">
                  <c:v>21244.647000000001</c:v>
                </c:pt>
                <c:pt idx="125">
                  <c:v>21162.987000000001</c:v>
                </c:pt>
                <c:pt idx="126">
                  <c:v>21036.291000000001</c:v>
                </c:pt>
                <c:pt idx="127">
                  <c:v>20630.434000000001</c:v>
                </c:pt>
                <c:pt idx="128">
                  <c:v>20035.154999999999</c:v>
                </c:pt>
                <c:pt idx="129">
                  <c:v>19562.865000000002</c:v>
                </c:pt>
                <c:pt idx="130">
                  <c:v>20098.579000000002</c:v>
                </c:pt>
                <c:pt idx="131">
                  <c:v>20624.513999999999</c:v>
                </c:pt>
                <c:pt idx="132">
                  <c:v>21036.054</c:v>
                </c:pt>
                <c:pt idx="133">
                  <c:v>20548.803</c:v>
                </c:pt>
                <c:pt idx="134">
                  <c:v>20743.813000000002</c:v>
                </c:pt>
                <c:pt idx="135">
                  <c:v>20657.850999999999</c:v>
                </c:pt>
                <c:pt idx="136">
                  <c:v>20161.339</c:v>
                </c:pt>
                <c:pt idx="137">
                  <c:v>19815.797999999999</c:v>
                </c:pt>
                <c:pt idx="138">
                  <c:v>20037.231</c:v>
                </c:pt>
                <c:pt idx="139">
                  <c:v>19776.272000000001</c:v>
                </c:pt>
                <c:pt idx="140">
                  <c:v>19709.003000000001</c:v>
                </c:pt>
                <c:pt idx="141">
                  <c:v>19694.37</c:v>
                </c:pt>
                <c:pt idx="142">
                  <c:v>20179.53</c:v>
                </c:pt>
                <c:pt idx="143">
                  <c:v>20301.095000000001</c:v>
                </c:pt>
                <c:pt idx="144">
                  <c:v>20156.565999999999</c:v>
                </c:pt>
                <c:pt idx="145">
                  <c:v>20136.964</c:v>
                </c:pt>
                <c:pt idx="146">
                  <c:v>20069.249</c:v>
                </c:pt>
                <c:pt idx="147">
                  <c:v>20062.733</c:v>
                </c:pt>
                <c:pt idx="148">
                  <c:v>20092.802</c:v>
                </c:pt>
                <c:pt idx="149">
                  <c:v>19910.633000000002</c:v>
                </c:pt>
                <c:pt idx="150">
                  <c:v>19945.144</c:v>
                </c:pt>
                <c:pt idx="151">
                  <c:v>20301.026000000002</c:v>
                </c:pt>
                <c:pt idx="152">
                  <c:v>20515.331999999999</c:v>
                </c:pt>
                <c:pt idx="153">
                  <c:v>20298.311000000002</c:v>
                </c:pt>
                <c:pt idx="154">
                  <c:v>19976.345000000001</c:v>
                </c:pt>
                <c:pt idx="155">
                  <c:v>19842.673999999999</c:v>
                </c:pt>
                <c:pt idx="156">
                  <c:v>20074.885999999999</c:v>
                </c:pt>
                <c:pt idx="157">
                  <c:v>20003.816999999999</c:v>
                </c:pt>
                <c:pt idx="158">
                  <c:v>20061.931</c:v>
                </c:pt>
                <c:pt idx="159">
                  <c:v>20032.173999999999</c:v>
                </c:pt>
                <c:pt idx="160">
                  <c:v>20213.882000000001</c:v>
                </c:pt>
                <c:pt idx="161">
                  <c:v>20439.297999999999</c:v>
                </c:pt>
                <c:pt idx="162">
                  <c:v>20366.042000000001</c:v>
                </c:pt>
                <c:pt idx="163">
                  <c:v>20549.654999999999</c:v>
                </c:pt>
                <c:pt idx="164">
                  <c:v>20575.036</c:v>
                </c:pt>
                <c:pt idx="165">
                  <c:v>24088.830999999998</c:v>
                </c:pt>
                <c:pt idx="166">
                  <c:v>24195.7</c:v>
                </c:pt>
                <c:pt idx="167">
                  <c:v>21914.429</c:v>
                </c:pt>
                <c:pt idx="168">
                  <c:v>26209.463</c:v>
                </c:pt>
                <c:pt idx="169">
                  <c:v>26451.827000000001</c:v>
                </c:pt>
                <c:pt idx="170">
                  <c:v>26363.468000000001</c:v>
                </c:pt>
                <c:pt idx="171">
                  <c:v>27442.845000000001</c:v>
                </c:pt>
                <c:pt idx="172">
                  <c:v>27600.838</c:v>
                </c:pt>
                <c:pt idx="173">
                  <c:v>27542.727999999999</c:v>
                </c:pt>
                <c:pt idx="174">
                  <c:v>27542.727999999999</c:v>
                </c:pt>
                <c:pt idx="175">
                  <c:v>27542.727999999999</c:v>
                </c:pt>
              </c:numCache>
            </c:numRef>
          </c:val>
          <c:extLst>
            <c:ext xmlns:c16="http://schemas.microsoft.com/office/drawing/2014/chart" uri="{C3380CC4-5D6E-409C-BE32-E72D297353CC}">
              <c16:uniqueId val="{00000001-29DF-484E-BBFF-DC9AB7BC2BA9}"/>
            </c:ext>
          </c:extLst>
        </c:ser>
        <c:ser>
          <c:idx val="2"/>
          <c:order val="2"/>
          <c:tx>
            <c:strRef>
              <c:f>'Net reserves'!$A$14</c:f>
              <c:strCache>
                <c:ptCount val="1"/>
                <c:pt idx="0">
                  <c:v>Private USD deposits</c:v>
                </c:pt>
              </c:strCache>
            </c:strRef>
          </c:tx>
          <c:spPr>
            <a:solidFill>
              <a:srgbClr val="ADC8E9"/>
            </a:solidFill>
            <a:ln w="12700">
              <a:noFill/>
              <a:prstDash val="solid"/>
            </a:ln>
            <a:effectLst/>
          </c:spPr>
          <c:cat>
            <c:numRef>
              <c:f>'Net reserves'!$H$10:$GA$10</c:f>
              <c:numCache>
                <c:formatCode>mmm\-yy</c:formatCode>
                <c:ptCount val="176"/>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pt idx="14">
                  <c:v>41334</c:v>
                </c:pt>
                <c:pt idx="15">
                  <c:v>41365</c:v>
                </c:pt>
                <c:pt idx="16">
                  <c:v>41395</c:v>
                </c:pt>
                <c:pt idx="17">
                  <c:v>41426</c:v>
                </c:pt>
                <c:pt idx="18">
                  <c:v>41456</c:v>
                </c:pt>
                <c:pt idx="19">
                  <c:v>41487</c:v>
                </c:pt>
                <c:pt idx="20">
                  <c:v>41518</c:v>
                </c:pt>
                <c:pt idx="21">
                  <c:v>41548</c:v>
                </c:pt>
                <c:pt idx="22">
                  <c:v>41579</c:v>
                </c:pt>
                <c:pt idx="23">
                  <c:v>41609</c:v>
                </c:pt>
                <c:pt idx="24">
                  <c:v>41640</c:v>
                </c:pt>
                <c:pt idx="25">
                  <c:v>41671</c:v>
                </c:pt>
                <c:pt idx="26">
                  <c:v>41699</c:v>
                </c:pt>
                <c:pt idx="27">
                  <c:v>41730</c:v>
                </c:pt>
                <c:pt idx="28">
                  <c:v>41760</c:v>
                </c:pt>
                <c:pt idx="29">
                  <c:v>41791</c:v>
                </c:pt>
                <c:pt idx="30">
                  <c:v>41821</c:v>
                </c:pt>
                <c:pt idx="31">
                  <c:v>41852</c:v>
                </c:pt>
                <c:pt idx="32">
                  <c:v>41883</c:v>
                </c:pt>
                <c:pt idx="33">
                  <c:v>41913</c:v>
                </c:pt>
                <c:pt idx="34">
                  <c:v>41944</c:v>
                </c:pt>
                <c:pt idx="35">
                  <c:v>41974</c:v>
                </c:pt>
                <c:pt idx="36">
                  <c:v>42005</c:v>
                </c:pt>
                <c:pt idx="37">
                  <c:v>42036</c:v>
                </c:pt>
                <c:pt idx="38">
                  <c:v>42064</c:v>
                </c:pt>
                <c:pt idx="39">
                  <c:v>42095</c:v>
                </c:pt>
                <c:pt idx="40">
                  <c:v>42125</c:v>
                </c:pt>
                <c:pt idx="41">
                  <c:v>42156</c:v>
                </c:pt>
                <c:pt idx="42">
                  <c:v>42186</c:v>
                </c:pt>
                <c:pt idx="43">
                  <c:v>42217</c:v>
                </c:pt>
                <c:pt idx="44">
                  <c:v>42248</c:v>
                </c:pt>
                <c:pt idx="45">
                  <c:v>42278</c:v>
                </c:pt>
                <c:pt idx="46">
                  <c:v>42309</c:v>
                </c:pt>
                <c:pt idx="47">
                  <c:v>42339</c:v>
                </c:pt>
                <c:pt idx="48">
                  <c:v>42370</c:v>
                </c:pt>
                <c:pt idx="49">
                  <c:v>42401</c:v>
                </c:pt>
                <c:pt idx="50">
                  <c:v>42430</c:v>
                </c:pt>
                <c:pt idx="51">
                  <c:v>42461</c:v>
                </c:pt>
                <c:pt idx="52">
                  <c:v>42491</c:v>
                </c:pt>
                <c:pt idx="53">
                  <c:v>42522</c:v>
                </c:pt>
                <c:pt idx="54">
                  <c:v>42552</c:v>
                </c:pt>
                <c:pt idx="55">
                  <c:v>42583</c:v>
                </c:pt>
                <c:pt idx="56">
                  <c:v>42614</c:v>
                </c:pt>
                <c:pt idx="57">
                  <c:v>42644</c:v>
                </c:pt>
                <c:pt idx="58">
                  <c:v>42675</c:v>
                </c:pt>
                <c:pt idx="59">
                  <c:v>42705</c:v>
                </c:pt>
                <c:pt idx="60">
                  <c:v>42736</c:v>
                </c:pt>
                <c:pt idx="61">
                  <c:v>42767</c:v>
                </c:pt>
                <c:pt idx="62">
                  <c:v>42795</c:v>
                </c:pt>
                <c:pt idx="63">
                  <c:v>42826</c:v>
                </c:pt>
                <c:pt idx="64">
                  <c:v>42856</c:v>
                </c:pt>
                <c:pt idx="65">
                  <c:v>42887</c:v>
                </c:pt>
                <c:pt idx="66">
                  <c:v>42917</c:v>
                </c:pt>
                <c:pt idx="67">
                  <c:v>42948</c:v>
                </c:pt>
                <c:pt idx="68">
                  <c:v>42979</c:v>
                </c:pt>
                <c:pt idx="69">
                  <c:v>43009</c:v>
                </c:pt>
                <c:pt idx="70">
                  <c:v>43040</c:v>
                </c:pt>
                <c:pt idx="71">
                  <c:v>43070</c:v>
                </c:pt>
                <c:pt idx="72">
                  <c:v>43101</c:v>
                </c:pt>
                <c:pt idx="73">
                  <c:v>43132</c:v>
                </c:pt>
                <c:pt idx="74">
                  <c:v>43160</c:v>
                </c:pt>
                <c:pt idx="75">
                  <c:v>43191</c:v>
                </c:pt>
                <c:pt idx="76">
                  <c:v>43221</c:v>
                </c:pt>
                <c:pt idx="77">
                  <c:v>43252</c:v>
                </c:pt>
                <c:pt idx="78">
                  <c:v>43282</c:v>
                </c:pt>
                <c:pt idx="79">
                  <c:v>43313</c:v>
                </c:pt>
                <c:pt idx="80">
                  <c:v>43344</c:v>
                </c:pt>
                <c:pt idx="81">
                  <c:v>43374</c:v>
                </c:pt>
                <c:pt idx="82">
                  <c:v>43405</c:v>
                </c:pt>
                <c:pt idx="83">
                  <c:v>43435</c:v>
                </c:pt>
                <c:pt idx="84">
                  <c:v>43466</c:v>
                </c:pt>
                <c:pt idx="85">
                  <c:v>43497</c:v>
                </c:pt>
                <c:pt idx="86">
                  <c:v>43525</c:v>
                </c:pt>
                <c:pt idx="87">
                  <c:v>43556</c:v>
                </c:pt>
                <c:pt idx="88">
                  <c:v>43586</c:v>
                </c:pt>
                <c:pt idx="89">
                  <c:v>43617</c:v>
                </c:pt>
                <c:pt idx="90">
                  <c:v>43647</c:v>
                </c:pt>
                <c:pt idx="91">
                  <c:v>43678</c:v>
                </c:pt>
                <c:pt idx="92">
                  <c:v>43709</c:v>
                </c:pt>
                <c:pt idx="93">
                  <c:v>43739</c:v>
                </c:pt>
                <c:pt idx="94">
                  <c:v>43770</c:v>
                </c:pt>
                <c:pt idx="95">
                  <c:v>43800</c:v>
                </c:pt>
                <c:pt idx="96">
                  <c:v>43831</c:v>
                </c:pt>
                <c:pt idx="97">
                  <c:v>43862</c:v>
                </c:pt>
                <c:pt idx="98">
                  <c:v>43891</c:v>
                </c:pt>
                <c:pt idx="99">
                  <c:v>43922</c:v>
                </c:pt>
                <c:pt idx="100">
                  <c:v>43952</c:v>
                </c:pt>
                <c:pt idx="101">
                  <c:v>43983</c:v>
                </c:pt>
                <c:pt idx="102">
                  <c:v>44013</c:v>
                </c:pt>
                <c:pt idx="103">
                  <c:v>44044</c:v>
                </c:pt>
                <c:pt idx="104">
                  <c:v>44075</c:v>
                </c:pt>
                <c:pt idx="105">
                  <c:v>44105</c:v>
                </c:pt>
                <c:pt idx="106">
                  <c:v>44136</c:v>
                </c:pt>
                <c:pt idx="107">
                  <c:v>44166</c:v>
                </c:pt>
                <c:pt idx="108">
                  <c:v>44197</c:v>
                </c:pt>
                <c:pt idx="109">
                  <c:v>44228</c:v>
                </c:pt>
                <c:pt idx="110">
                  <c:v>44256</c:v>
                </c:pt>
                <c:pt idx="111">
                  <c:v>44287</c:v>
                </c:pt>
                <c:pt idx="112">
                  <c:v>44317</c:v>
                </c:pt>
                <c:pt idx="113">
                  <c:v>44348</c:v>
                </c:pt>
                <c:pt idx="114">
                  <c:v>44378</c:v>
                </c:pt>
                <c:pt idx="115">
                  <c:v>44409</c:v>
                </c:pt>
                <c:pt idx="116">
                  <c:v>44440</c:v>
                </c:pt>
                <c:pt idx="117">
                  <c:v>44470</c:v>
                </c:pt>
                <c:pt idx="118">
                  <c:v>44501</c:v>
                </c:pt>
                <c:pt idx="119">
                  <c:v>44531</c:v>
                </c:pt>
                <c:pt idx="120">
                  <c:v>44562</c:v>
                </c:pt>
                <c:pt idx="121">
                  <c:v>44593</c:v>
                </c:pt>
                <c:pt idx="122">
                  <c:v>44621</c:v>
                </c:pt>
                <c:pt idx="123">
                  <c:v>44652</c:v>
                </c:pt>
                <c:pt idx="124">
                  <c:v>44682</c:v>
                </c:pt>
                <c:pt idx="125">
                  <c:v>44713</c:v>
                </c:pt>
                <c:pt idx="126">
                  <c:v>44743</c:v>
                </c:pt>
                <c:pt idx="127">
                  <c:v>44774</c:v>
                </c:pt>
                <c:pt idx="128">
                  <c:v>44805</c:v>
                </c:pt>
                <c:pt idx="129">
                  <c:v>44835</c:v>
                </c:pt>
                <c:pt idx="130">
                  <c:v>44866</c:v>
                </c:pt>
                <c:pt idx="131">
                  <c:v>44896</c:v>
                </c:pt>
                <c:pt idx="132">
                  <c:v>44927</c:v>
                </c:pt>
                <c:pt idx="133">
                  <c:v>44958</c:v>
                </c:pt>
                <c:pt idx="134">
                  <c:v>44986</c:v>
                </c:pt>
                <c:pt idx="135">
                  <c:v>45017</c:v>
                </c:pt>
                <c:pt idx="136">
                  <c:v>45047</c:v>
                </c:pt>
                <c:pt idx="137">
                  <c:v>45078</c:v>
                </c:pt>
                <c:pt idx="138">
                  <c:v>45108</c:v>
                </c:pt>
                <c:pt idx="139">
                  <c:v>45139</c:v>
                </c:pt>
                <c:pt idx="140">
                  <c:v>45170</c:v>
                </c:pt>
                <c:pt idx="141">
                  <c:v>45200</c:v>
                </c:pt>
                <c:pt idx="142">
                  <c:v>45231</c:v>
                </c:pt>
                <c:pt idx="143">
                  <c:v>45261</c:v>
                </c:pt>
                <c:pt idx="144">
                  <c:v>45292</c:v>
                </c:pt>
                <c:pt idx="145">
                  <c:v>45323</c:v>
                </c:pt>
                <c:pt idx="146">
                  <c:v>45352</c:v>
                </c:pt>
                <c:pt idx="147">
                  <c:v>45383</c:v>
                </c:pt>
                <c:pt idx="148">
                  <c:v>45413</c:v>
                </c:pt>
                <c:pt idx="149">
                  <c:v>45444</c:v>
                </c:pt>
                <c:pt idx="150">
                  <c:v>45474</c:v>
                </c:pt>
                <c:pt idx="151">
                  <c:v>45505</c:v>
                </c:pt>
                <c:pt idx="152">
                  <c:v>45536</c:v>
                </c:pt>
                <c:pt idx="153">
                  <c:v>45566</c:v>
                </c:pt>
                <c:pt idx="154">
                  <c:v>45597</c:v>
                </c:pt>
                <c:pt idx="155">
                  <c:v>45627</c:v>
                </c:pt>
                <c:pt idx="156">
                  <c:v>45658</c:v>
                </c:pt>
                <c:pt idx="157">
                  <c:v>45689</c:v>
                </c:pt>
                <c:pt idx="158">
                  <c:v>45717</c:v>
                </c:pt>
                <c:pt idx="159">
                  <c:v>45748</c:v>
                </c:pt>
                <c:pt idx="160">
                  <c:v>45778</c:v>
                </c:pt>
                <c:pt idx="161">
                  <c:v>45809</c:v>
                </c:pt>
                <c:pt idx="162">
                  <c:v>45839</c:v>
                </c:pt>
                <c:pt idx="163">
                  <c:v>45870</c:v>
                </c:pt>
                <c:pt idx="164">
                  <c:v>45901</c:v>
                </c:pt>
                <c:pt idx="165">
                  <c:v>45931</c:v>
                </c:pt>
                <c:pt idx="166">
                  <c:v>45962</c:v>
                </c:pt>
                <c:pt idx="167">
                  <c:v>45992</c:v>
                </c:pt>
                <c:pt idx="168">
                  <c:v>46023</c:v>
                </c:pt>
                <c:pt idx="169">
                  <c:v>46054</c:v>
                </c:pt>
                <c:pt idx="170">
                  <c:v>46082</c:v>
                </c:pt>
                <c:pt idx="171">
                  <c:v>46113</c:v>
                </c:pt>
                <c:pt idx="172">
                  <c:v>46143</c:v>
                </c:pt>
                <c:pt idx="173">
                  <c:v>46174</c:v>
                </c:pt>
                <c:pt idx="174">
                  <c:v>46204</c:v>
                </c:pt>
                <c:pt idx="175">
                  <c:v>46235</c:v>
                </c:pt>
              </c:numCache>
            </c:numRef>
          </c:cat>
          <c:val>
            <c:numRef>
              <c:f>'Net reserves'!$H$14:$GA$14</c:f>
              <c:numCache>
                <c:formatCode>0.0</c:formatCode>
                <c:ptCount val="176"/>
                <c:pt idx="0">
                  <c:v>6740.3984248320585</c:v>
                </c:pt>
                <c:pt idx="1">
                  <c:v>6654.5120551090695</c:v>
                </c:pt>
                <c:pt idx="2">
                  <c:v>7038.701537049782</c:v>
                </c:pt>
                <c:pt idx="3">
                  <c:v>6960.8369342733677</c:v>
                </c:pt>
                <c:pt idx="4">
                  <c:v>6119.5911031228943</c:v>
                </c:pt>
                <c:pt idx="5">
                  <c:v>5235.116022099447</c:v>
                </c:pt>
                <c:pt idx="6">
                  <c:v>5821.9890710382506</c:v>
                </c:pt>
                <c:pt idx="7">
                  <c:v>6356.9294066695529</c:v>
                </c:pt>
                <c:pt idx="8">
                  <c:v>6678.640153944837</c:v>
                </c:pt>
                <c:pt idx="9">
                  <c:v>7747.5979772439941</c:v>
                </c:pt>
                <c:pt idx="10">
                  <c:v>8073.5884177869702</c:v>
                </c:pt>
                <c:pt idx="11">
                  <c:v>8499.8979175173554</c:v>
                </c:pt>
                <c:pt idx="12">
                  <c:v>8102.1550855991936</c:v>
                </c:pt>
                <c:pt idx="13">
                  <c:v>7700.0397930760055</c:v>
                </c:pt>
                <c:pt idx="14">
                  <c:v>7599.2355938847513</c:v>
                </c:pt>
                <c:pt idx="15">
                  <c:v>7987.3429951690823</c:v>
                </c:pt>
                <c:pt idx="16">
                  <c:v>7977.431610942248</c:v>
                </c:pt>
                <c:pt idx="17">
                  <c:v>7962.5302325581397</c:v>
                </c:pt>
                <c:pt idx="18">
                  <c:v>8331.4311759343655</c:v>
                </c:pt>
                <c:pt idx="19">
                  <c:v>8405.4847841472056</c:v>
                </c:pt>
                <c:pt idx="20">
                  <c:v>8981.6450216450212</c:v>
                </c:pt>
                <c:pt idx="21">
                  <c:v>9297.9803122878475</c:v>
                </c:pt>
                <c:pt idx="22">
                  <c:v>9414.131677830419</c:v>
                </c:pt>
                <c:pt idx="23">
                  <c:v>10972.711890478387</c:v>
                </c:pt>
                <c:pt idx="24">
                  <c:v>11252.078580481622</c:v>
                </c:pt>
                <c:pt idx="25">
                  <c:v>8967.1523517382411</c:v>
                </c:pt>
                <c:pt idx="26">
                  <c:v>8347.5603621730388</c:v>
                </c:pt>
                <c:pt idx="27">
                  <c:v>7320.8249496981889</c:v>
                </c:pt>
                <c:pt idx="28">
                  <c:v>7401.5317559153182</c:v>
                </c:pt>
                <c:pt idx="29">
                  <c:v>7790.399604107386</c:v>
                </c:pt>
                <c:pt idx="30">
                  <c:v>7461.897184822521</c:v>
                </c:pt>
                <c:pt idx="31">
                  <c:v>7534.9179738953408</c:v>
                </c:pt>
                <c:pt idx="32">
                  <c:v>7401.6467780429593</c:v>
                </c:pt>
                <c:pt idx="33">
                  <c:v>7799.3250444049736</c:v>
                </c:pt>
                <c:pt idx="34">
                  <c:v>7898.1485849056608</c:v>
                </c:pt>
                <c:pt idx="35">
                  <c:v>8495.5816686251455</c:v>
                </c:pt>
                <c:pt idx="36">
                  <c:v>8617.7079697498539</c:v>
                </c:pt>
                <c:pt idx="37">
                  <c:v>9385.4493087557603</c:v>
                </c:pt>
                <c:pt idx="38">
                  <c:v>8463.9566704675035</c:v>
                </c:pt>
                <c:pt idx="39">
                  <c:v>8032.7990970654637</c:v>
                </c:pt>
                <c:pt idx="40">
                  <c:v>7748.1609837898268</c:v>
                </c:pt>
                <c:pt idx="41">
                  <c:v>7723.8053097345137</c:v>
                </c:pt>
                <c:pt idx="42">
                  <c:v>8271.2192454893393</c:v>
                </c:pt>
                <c:pt idx="43">
                  <c:v>7884.8864864864863</c:v>
                </c:pt>
                <c:pt idx="44">
                  <c:v>8030.4213333333328</c:v>
                </c:pt>
                <c:pt idx="45">
                  <c:v>9340.1472908995256</c:v>
                </c:pt>
                <c:pt idx="46">
                  <c:v>9605.0285121824782</c:v>
                </c:pt>
                <c:pt idx="47">
                  <c:v>11081.854961832061</c:v>
                </c:pt>
                <c:pt idx="48">
                  <c:v>9488.44702467344</c:v>
                </c:pt>
                <c:pt idx="49">
                  <c:v>7285.7707006369437</c:v>
                </c:pt>
                <c:pt idx="50">
                  <c:v>9003.767123287671</c:v>
                </c:pt>
                <c:pt idx="51">
                  <c:v>8666.3146853146845</c:v>
                </c:pt>
                <c:pt idx="52">
                  <c:v>11041.792857142858</c:v>
                </c:pt>
                <c:pt idx="53">
                  <c:v>11213.480000000001</c:v>
                </c:pt>
                <c:pt idx="54">
                  <c:v>11695.826666666666</c:v>
                </c:pt>
                <c:pt idx="55">
                  <c:v>10395.093959731543</c:v>
                </c:pt>
                <c:pt idx="56">
                  <c:v>10034.97385620915</c:v>
                </c:pt>
                <c:pt idx="57">
                  <c:v>17250.125000000004</c:v>
                </c:pt>
                <c:pt idx="58">
                  <c:v>13780.238993710691</c:v>
                </c:pt>
                <c:pt idx="59">
                  <c:v>15650.591194968552</c:v>
                </c:pt>
                <c:pt idx="60">
                  <c:v>21985.465408805034</c:v>
                </c:pt>
                <c:pt idx="61">
                  <c:v>22287.258064516129</c:v>
                </c:pt>
                <c:pt idx="62">
                  <c:v>24245.785714285714</c:v>
                </c:pt>
                <c:pt idx="63">
                  <c:v>18781</c:v>
                </c:pt>
                <c:pt idx="64">
                  <c:v>15601.465838509315</c:v>
                </c:pt>
                <c:pt idx="65">
                  <c:v>13056.018072289155</c:v>
                </c:pt>
                <c:pt idx="66">
                  <c:v>15268.906515580738</c:v>
                </c:pt>
                <c:pt idx="67">
                  <c:v>16070.890173410406</c:v>
                </c:pt>
                <c:pt idx="68">
                  <c:v>14471.7225433526</c:v>
                </c:pt>
                <c:pt idx="69">
                  <c:v>12755.133144475922</c:v>
                </c:pt>
                <c:pt idx="70">
                  <c:v>14343.913294797689</c:v>
                </c:pt>
                <c:pt idx="71">
                  <c:v>13026.311827956988</c:v>
                </c:pt>
                <c:pt idx="72">
                  <c:v>16222.448979591836</c:v>
                </c:pt>
                <c:pt idx="73">
                  <c:v>12130.283582089553</c:v>
                </c:pt>
                <c:pt idx="74">
                  <c:v>12443.6213592233</c:v>
                </c:pt>
                <c:pt idx="75">
                  <c:v>12608.408759124086</c:v>
                </c:pt>
                <c:pt idx="76">
                  <c:v>11362.994781212365</c:v>
                </c:pt>
                <c:pt idx="77">
                  <c:v>13911.399305555555</c:v>
                </c:pt>
                <c:pt idx="78">
                  <c:v>13780.673216885009</c:v>
                </c:pt>
                <c:pt idx="79">
                  <c:v>13825.986376021798</c:v>
                </c:pt>
                <c:pt idx="80">
                  <c:v>13027.803159173754</c:v>
                </c:pt>
                <c:pt idx="81">
                  <c:v>13109.983263598326</c:v>
                </c:pt>
                <c:pt idx="82">
                  <c:v>13355.757575757576</c:v>
                </c:pt>
                <c:pt idx="83">
                  <c:v>14291.031914893618</c:v>
                </c:pt>
                <c:pt idx="84">
                  <c:v>14008.104697986579</c:v>
                </c:pt>
                <c:pt idx="85">
                  <c:v>13715.469910371319</c:v>
                </c:pt>
                <c:pt idx="86">
                  <c:v>15487.879768786128</c:v>
                </c:pt>
                <c:pt idx="87">
                  <c:v>16017.048808172533</c:v>
                </c:pt>
                <c:pt idx="88">
                  <c:v>16679.558889386477</c:v>
                </c:pt>
                <c:pt idx="89">
                  <c:v>15694.053352219074</c:v>
                </c:pt>
                <c:pt idx="90">
                  <c:v>15996.868433074464</c:v>
                </c:pt>
                <c:pt idx="91">
                  <c:v>11121.99124726477</c:v>
                </c:pt>
                <c:pt idx="92">
                  <c:v>8784.1589841711593</c:v>
                </c:pt>
                <c:pt idx="93">
                  <c:v>8030.543897935202</c:v>
                </c:pt>
                <c:pt idx="94">
                  <c:v>8171.8315508021387</c:v>
                </c:pt>
                <c:pt idx="95">
                  <c:v>8961.0152199364438</c:v>
                </c:pt>
                <c:pt idx="96">
                  <c:v>9972.1742738589219</c:v>
                </c:pt>
                <c:pt idx="97">
                  <c:v>10643.295765577201</c:v>
                </c:pt>
                <c:pt idx="98">
                  <c:v>10330.711511573714</c:v>
                </c:pt>
                <c:pt idx="99">
                  <c:v>10883.961642193588</c:v>
                </c:pt>
                <c:pt idx="100">
                  <c:v>11236.189362945646</c:v>
                </c:pt>
                <c:pt idx="101">
                  <c:v>10529.860716316089</c:v>
                </c:pt>
                <c:pt idx="102">
                  <c:v>10726.517585156465</c:v>
                </c:pt>
                <c:pt idx="103">
                  <c:v>11418.921436285096</c:v>
                </c:pt>
                <c:pt idx="104">
                  <c:v>12010.190588853839</c:v>
                </c:pt>
                <c:pt idx="105">
                  <c:v>11518.896701610842</c:v>
                </c:pt>
                <c:pt idx="106">
                  <c:v>11191.702992242335</c:v>
                </c:pt>
                <c:pt idx="107">
                  <c:v>10928.736466389055</c:v>
                </c:pt>
                <c:pt idx="108">
                  <c:v>11455.21494898544</c:v>
                </c:pt>
                <c:pt idx="109">
                  <c:v>11859.843958983503</c:v>
                </c:pt>
                <c:pt idx="110">
                  <c:v>11229.519042437432</c:v>
                </c:pt>
                <c:pt idx="111">
                  <c:v>10547.884656537557</c:v>
                </c:pt>
                <c:pt idx="112">
                  <c:v>10108.955933636267</c:v>
                </c:pt>
                <c:pt idx="113">
                  <c:v>10702.137628111273</c:v>
                </c:pt>
                <c:pt idx="114">
                  <c:v>11220.209131380059</c:v>
                </c:pt>
                <c:pt idx="115">
                  <c:v>11376.913150348219</c:v>
                </c:pt>
                <c:pt idx="116">
                  <c:v>11874.40794809408</c:v>
                </c:pt>
                <c:pt idx="117">
                  <c:v>11922.365990764907</c:v>
                </c:pt>
                <c:pt idx="118">
                  <c:v>11453.95102121753</c:v>
                </c:pt>
                <c:pt idx="119">
                  <c:v>12128.163126096279</c:v>
                </c:pt>
                <c:pt idx="120">
                  <c:v>12043.709492947008</c:v>
                </c:pt>
                <c:pt idx="121">
                  <c:v>12196.541220307407</c:v>
                </c:pt>
                <c:pt idx="122">
                  <c:v>11574.986926336671</c:v>
                </c:pt>
                <c:pt idx="123">
                  <c:v>12291.68561756792</c:v>
                </c:pt>
                <c:pt idx="124">
                  <c:v>12106.127393838467</c:v>
                </c:pt>
                <c:pt idx="125">
                  <c:v>11529.239990409975</c:v>
                </c:pt>
                <c:pt idx="126">
                  <c:v>11484.449950445987</c:v>
                </c:pt>
                <c:pt idx="127">
                  <c:v>11547.996826083821</c:v>
                </c:pt>
                <c:pt idx="128">
                  <c:v>11049.124439614183</c:v>
                </c:pt>
                <c:pt idx="129">
                  <c:v>11228.826605446082</c:v>
                </c:pt>
                <c:pt idx="130">
                  <c:v>11530.368465127407</c:v>
                </c:pt>
                <c:pt idx="131">
                  <c:v>12092.345532587824</c:v>
                </c:pt>
                <c:pt idx="132">
                  <c:v>12888.554307116103</c:v>
                </c:pt>
                <c:pt idx="133">
                  <c:v>12961.671656939861</c:v>
                </c:pt>
                <c:pt idx="134">
                  <c:v>12149.790718835304</c:v>
                </c:pt>
                <c:pt idx="135">
                  <c:v>11245.164509169364</c:v>
                </c:pt>
                <c:pt idx="136">
                  <c:v>11019.171333054743</c:v>
                </c:pt>
                <c:pt idx="137">
                  <c:v>10307.573879142301</c:v>
                </c:pt>
                <c:pt idx="138">
                  <c:v>9839.0925286311576</c:v>
                </c:pt>
                <c:pt idx="139">
                  <c:v>9385.2572246065811</c:v>
                </c:pt>
                <c:pt idx="140">
                  <c:v>9584.0603805980827</c:v>
                </c:pt>
                <c:pt idx="141">
                  <c:v>8896.1722460658093</c:v>
                </c:pt>
                <c:pt idx="142">
                  <c:v>8863.6897222222215</c:v>
                </c:pt>
                <c:pt idx="143">
                  <c:v>9134.5514591982155</c:v>
                </c:pt>
                <c:pt idx="144">
                  <c:v>9813.5929203539818</c:v>
                </c:pt>
                <c:pt idx="145">
                  <c:v>9333.2359938146783</c:v>
                </c:pt>
                <c:pt idx="146">
                  <c:v>8907.3643899591352</c:v>
                </c:pt>
                <c:pt idx="147">
                  <c:v>8401.9636571428582</c:v>
                </c:pt>
                <c:pt idx="148">
                  <c:v>8129.5684563758396</c:v>
                </c:pt>
                <c:pt idx="149">
                  <c:v>8333.7056562328398</c:v>
                </c:pt>
                <c:pt idx="150">
                  <c:v>9609.8771628156901</c:v>
                </c:pt>
                <c:pt idx="151">
                  <c:v>9495.1028361344543</c:v>
                </c:pt>
                <c:pt idx="152">
                  <c:v>10675.390918472653</c:v>
                </c:pt>
                <c:pt idx="153">
                  <c:v>12570.272993437658</c:v>
                </c:pt>
                <c:pt idx="154">
                  <c:v>13586.966336633663</c:v>
                </c:pt>
                <c:pt idx="155">
                  <c:v>12280.563901018922</c:v>
                </c:pt>
                <c:pt idx="156">
                  <c:v>12863.616159695817</c:v>
                </c:pt>
                <c:pt idx="157">
                  <c:v>12436.27105572537</c:v>
                </c:pt>
                <c:pt idx="158">
                  <c:v>11428.230023310023</c:v>
                </c:pt>
                <c:pt idx="159">
                  <c:v>13775.616816816817</c:v>
                </c:pt>
                <c:pt idx="160">
                  <c:v>12046.725052809463</c:v>
                </c:pt>
                <c:pt idx="161">
                  <c:v>11443.552603082049</c:v>
                </c:pt>
                <c:pt idx="162">
                  <c:v>12352.789923329683</c:v>
                </c:pt>
                <c:pt idx="163">
                  <c:v>12202.101383177569</c:v>
                </c:pt>
                <c:pt idx="164">
                  <c:v>12698.184296619411</c:v>
                </c:pt>
                <c:pt idx="165">
                  <c:v>14073.245192641443</c:v>
                </c:pt>
                <c:pt idx="166">
                  <c:v>16026.693227366966</c:v>
                </c:pt>
                <c:pt idx="167">
                  <c:v>15158.656187521545</c:v>
                </c:pt>
                <c:pt idx="168">
                  <c:v>17330.112998266897</c:v>
                </c:pt>
                <c:pt idx="169">
                  <c:v>17181.97457809695</c:v>
                </c:pt>
                <c:pt idx="170">
                  <c:v>14366.486823956444</c:v>
                </c:pt>
                <c:pt idx="171">
                  <c:v>14051.529318427694</c:v>
                </c:pt>
                <c:pt idx="172">
                  <c:v>14753.086213038832</c:v>
                </c:pt>
                <c:pt idx="173">
                  <c:v>12397.849881556684</c:v>
                </c:pt>
                <c:pt idx="174" formatCode="0.000">
                  <c:v>12397.849881556684</c:v>
                </c:pt>
                <c:pt idx="175" formatCode="0.000">
                  <c:v>12397.849881556684</c:v>
                </c:pt>
              </c:numCache>
            </c:numRef>
          </c:val>
          <c:extLst>
            <c:ext xmlns:c16="http://schemas.microsoft.com/office/drawing/2014/chart" uri="{C3380CC4-5D6E-409C-BE32-E72D297353CC}">
              <c16:uniqueId val="{00000002-29DF-484E-BBFF-DC9AB7BC2BA9}"/>
            </c:ext>
          </c:extLst>
        </c:ser>
        <c:dLbls>
          <c:showLegendKey val="0"/>
          <c:showVal val="0"/>
          <c:showCatName val="0"/>
          <c:showSerName val="0"/>
          <c:showPercent val="0"/>
          <c:showBubbleSize val="0"/>
        </c:dLbls>
        <c:axId val="176853807"/>
        <c:axId val="176838831"/>
      </c:areaChart>
      <c:dateAx>
        <c:axId val="176853807"/>
        <c:scaling>
          <c:orientation val="minMax"/>
          <c:max val="46249"/>
          <c:min val="42597"/>
        </c:scaling>
        <c:delete val="0"/>
        <c:axPos val="b"/>
        <c:numFmt formatCode="mmm\-yy" sourceLinked="1"/>
        <c:majorTickMark val="out"/>
        <c:minorTickMark val="none"/>
        <c:tickLblPos val="low"/>
        <c:spPr>
          <a:noFill/>
          <a:ln w="12700" cap="flat" cmpd="sng" algn="ctr">
            <a:solidFill>
              <a:srgbClr val="333333"/>
            </a:solidFill>
            <a:prstDash val="solid"/>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Frutiger 45 Light" panose="020B0603020202020204" pitchFamily="34" charset="0"/>
                <a:ea typeface="Credit Suisse Type Light"/>
                <a:cs typeface="Credit Suisse Type Light"/>
              </a:defRPr>
            </a:pPr>
            <a:endParaRPr lang="en-US"/>
          </a:p>
        </c:txPr>
        <c:crossAx val="176838831"/>
        <c:crosses val="autoZero"/>
        <c:auto val="1"/>
        <c:lblOffset val="100"/>
        <c:baseTimeUnit val="months"/>
        <c:majorUnit val="24"/>
        <c:majorTimeUnit val="months"/>
      </c:dateAx>
      <c:valAx>
        <c:axId val="176838831"/>
        <c:scaling>
          <c:orientation val="minMax"/>
          <c:max val="80000"/>
          <c:min val="-10000"/>
        </c:scaling>
        <c:delete val="0"/>
        <c:axPos val="l"/>
        <c:numFmt formatCode="#,##0" sourceLinked="0"/>
        <c:majorTickMark val="out"/>
        <c:minorTickMark val="none"/>
        <c:tickLblPos val="nextTo"/>
        <c:spPr>
          <a:noFill/>
          <a:ln w="12700">
            <a:solidFill>
              <a:srgbClr val="333333"/>
            </a:solidFill>
            <a:prstDash val="soli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Frutiger 45 Light" panose="020B0603020202020204" pitchFamily="34" charset="0"/>
                <a:ea typeface="Credit Suisse Type Light"/>
                <a:cs typeface="Credit Suisse Type Light"/>
              </a:defRPr>
            </a:pPr>
            <a:endParaRPr lang="en-US"/>
          </a:p>
        </c:txPr>
        <c:crossAx val="176853807"/>
        <c:crosses val="autoZero"/>
        <c:crossBetween val="midCat"/>
        <c:majorUnit val="10000"/>
        <c:dispUnits>
          <c:builtInUnit val="thousands"/>
        </c:dispUnits>
      </c:valAx>
      <c:spPr>
        <a:noFill/>
        <a:ln w="25400">
          <a:noFill/>
        </a:ln>
        <a:effectLst/>
      </c:spPr>
    </c:plotArea>
    <c:legend>
      <c:legendPos val="b"/>
      <c:layout>
        <c:manualLayout>
          <c:xMode val="edge"/>
          <c:yMode val="edge"/>
          <c:x val="0.563344764687433"/>
          <c:y val="0.1154772320126651"/>
          <c:w val="0.32729679426864094"/>
          <c:h val="0.23423400199975"/>
        </c:manualLayout>
      </c:layout>
      <c:overlay val="0"/>
      <c:spPr>
        <a:noFill/>
        <a:ln w="25400">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Frutiger 45 Light" panose="020B0603020202020204" pitchFamily="34" charset="0"/>
              <a:ea typeface="Credit Suisse Type Light"/>
              <a:cs typeface="Credit Suisse Type Light"/>
            </a:defRPr>
          </a:pPr>
          <a:endParaRPr lang="en-US"/>
        </a:p>
      </c:txPr>
    </c:legend>
    <c:plotVisOnly val="1"/>
    <c:dispBlanksAs val="zero"/>
    <c:showDLblsOverMax val="0"/>
  </c:chart>
  <c:spPr>
    <a:solidFill>
      <a:srgbClr val="FFFFFF"/>
    </a:solidFill>
    <a:ln w="25400" cap="flat" cmpd="sng" algn="ctr">
      <a:noFill/>
      <a:round/>
    </a:ln>
    <a:effectLst/>
  </c:spPr>
  <c:txPr>
    <a:bodyPr/>
    <a:lstStyle/>
    <a:p>
      <a:pPr>
        <a:defRPr sz="1200" b="0" i="0">
          <a:solidFill>
            <a:sysClr val="windowText" lastClr="000000"/>
          </a:solidFill>
          <a:latin typeface="Frutiger 45 Light" panose="020B0603020202020204" pitchFamily="34" charset="0"/>
          <a:ea typeface="Credit Suisse Type Light"/>
          <a:cs typeface="Credit Suisse Type Light"/>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008791613523661E-2"/>
          <c:y val="4.8181477315335591E-2"/>
          <c:w val="0.86213774664602327"/>
          <c:h val="0.87802566345873434"/>
        </c:manualLayout>
      </c:layout>
      <c:areaChart>
        <c:grouping val="stacked"/>
        <c:varyColors val="0"/>
        <c:ser>
          <c:idx val="0"/>
          <c:order val="0"/>
          <c:tx>
            <c:strRef>
              <c:f>'Net reserves'!$A$12</c:f>
              <c:strCache>
                <c:ptCount val="1"/>
                <c:pt idx="0">
                  <c:v>Net reserves</c:v>
                </c:pt>
              </c:strCache>
            </c:strRef>
          </c:tx>
          <c:spPr>
            <a:solidFill>
              <a:srgbClr val="8A0000"/>
            </a:solidFill>
            <a:ln w="12700">
              <a:noFill/>
              <a:prstDash val="solid"/>
            </a:ln>
            <a:effectLst/>
          </c:spPr>
          <c:cat>
            <c:numRef>
              <c:f>'Net reserves'!$H$10:$GA$10</c:f>
              <c:numCache>
                <c:formatCode>mmm\-yy</c:formatCode>
                <c:ptCount val="176"/>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pt idx="14">
                  <c:v>41334</c:v>
                </c:pt>
                <c:pt idx="15">
                  <c:v>41365</c:v>
                </c:pt>
                <c:pt idx="16">
                  <c:v>41395</c:v>
                </c:pt>
                <c:pt idx="17">
                  <c:v>41426</c:v>
                </c:pt>
                <c:pt idx="18">
                  <c:v>41456</c:v>
                </c:pt>
                <c:pt idx="19">
                  <c:v>41487</c:v>
                </c:pt>
                <c:pt idx="20">
                  <c:v>41518</c:v>
                </c:pt>
                <c:pt idx="21">
                  <c:v>41548</c:v>
                </c:pt>
                <c:pt idx="22">
                  <c:v>41579</c:v>
                </c:pt>
                <c:pt idx="23">
                  <c:v>41609</c:v>
                </c:pt>
                <c:pt idx="24">
                  <c:v>41640</c:v>
                </c:pt>
                <c:pt idx="25">
                  <c:v>41671</c:v>
                </c:pt>
                <c:pt idx="26">
                  <c:v>41699</c:v>
                </c:pt>
                <c:pt idx="27">
                  <c:v>41730</c:v>
                </c:pt>
                <c:pt idx="28">
                  <c:v>41760</c:v>
                </c:pt>
                <c:pt idx="29">
                  <c:v>41791</c:v>
                </c:pt>
                <c:pt idx="30">
                  <c:v>41821</c:v>
                </c:pt>
                <c:pt idx="31">
                  <c:v>41852</c:v>
                </c:pt>
                <c:pt idx="32">
                  <c:v>41883</c:v>
                </c:pt>
                <c:pt idx="33">
                  <c:v>41913</c:v>
                </c:pt>
                <c:pt idx="34">
                  <c:v>41944</c:v>
                </c:pt>
                <c:pt idx="35">
                  <c:v>41974</c:v>
                </c:pt>
                <c:pt idx="36">
                  <c:v>42005</c:v>
                </c:pt>
                <c:pt idx="37">
                  <c:v>42036</c:v>
                </c:pt>
                <c:pt idx="38">
                  <c:v>42064</c:v>
                </c:pt>
                <c:pt idx="39">
                  <c:v>42095</c:v>
                </c:pt>
                <c:pt idx="40">
                  <c:v>42125</c:v>
                </c:pt>
                <c:pt idx="41">
                  <c:v>42156</c:v>
                </c:pt>
                <c:pt idx="42">
                  <c:v>42186</c:v>
                </c:pt>
                <c:pt idx="43">
                  <c:v>42217</c:v>
                </c:pt>
                <c:pt idx="44">
                  <c:v>42248</c:v>
                </c:pt>
                <c:pt idx="45">
                  <c:v>42278</c:v>
                </c:pt>
                <c:pt idx="46">
                  <c:v>42309</c:v>
                </c:pt>
                <c:pt idx="47">
                  <c:v>42339</c:v>
                </c:pt>
                <c:pt idx="48">
                  <c:v>42370</c:v>
                </c:pt>
                <c:pt idx="49">
                  <c:v>42401</c:v>
                </c:pt>
                <c:pt idx="50">
                  <c:v>42430</c:v>
                </c:pt>
                <c:pt idx="51">
                  <c:v>42461</c:v>
                </c:pt>
                <c:pt idx="52">
                  <c:v>42491</c:v>
                </c:pt>
                <c:pt idx="53">
                  <c:v>42522</c:v>
                </c:pt>
                <c:pt idx="54">
                  <c:v>42552</c:v>
                </c:pt>
                <c:pt idx="55">
                  <c:v>42583</c:v>
                </c:pt>
                <c:pt idx="56">
                  <c:v>42614</c:v>
                </c:pt>
                <c:pt idx="57">
                  <c:v>42644</c:v>
                </c:pt>
                <c:pt idx="58">
                  <c:v>42675</c:v>
                </c:pt>
                <c:pt idx="59">
                  <c:v>42705</c:v>
                </c:pt>
                <c:pt idx="60">
                  <c:v>42736</c:v>
                </c:pt>
                <c:pt idx="61">
                  <c:v>42767</c:v>
                </c:pt>
                <c:pt idx="62">
                  <c:v>42795</c:v>
                </c:pt>
                <c:pt idx="63">
                  <c:v>42826</c:v>
                </c:pt>
                <c:pt idx="64">
                  <c:v>42856</c:v>
                </c:pt>
                <c:pt idx="65">
                  <c:v>42887</c:v>
                </c:pt>
                <c:pt idx="66">
                  <c:v>42917</c:v>
                </c:pt>
                <c:pt idx="67">
                  <c:v>42948</c:v>
                </c:pt>
                <c:pt idx="68">
                  <c:v>42979</c:v>
                </c:pt>
                <c:pt idx="69">
                  <c:v>43009</c:v>
                </c:pt>
                <c:pt idx="70">
                  <c:v>43040</c:v>
                </c:pt>
                <c:pt idx="71">
                  <c:v>43070</c:v>
                </c:pt>
                <c:pt idx="72">
                  <c:v>43101</c:v>
                </c:pt>
                <c:pt idx="73">
                  <c:v>43132</c:v>
                </c:pt>
                <c:pt idx="74">
                  <c:v>43160</c:v>
                </c:pt>
                <c:pt idx="75">
                  <c:v>43191</c:v>
                </c:pt>
                <c:pt idx="76">
                  <c:v>43221</c:v>
                </c:pt>
                <c:pt idx="77">
                  <c:v>43252</c:v>
                </c:pt>
                <c:pt idx="78">
                  <c:v>43282</c:v>
                </c:pt>
                <c:pt idx="79">
                  <c:v>43313</c:v>
                </c:pt>
                <c:pt idx="80">
                  <c:v>43344</c:v>
                </c:pt>
                <c:pt idx="81">
                  <c:v>43374</c:v>
                </c:pt>
                <c:pt idx="82">
                  <c:v>43405</c:v>
                </c:pt>
                <c:pt idx="83">
                  <c:v>43435</c:v>
                </c:pt>
                <c:pt idx="84">
                  <c:v>43466</c:v>
                </c:pt>
                <c:pt idx="85">
                  <c:v>43497</c:v>
                </c:pt>
                <c:pt idx="86">
                  <c:v>43525</c:v>
                </c:pt>
                <c:pt idx="87">
                  <c:v>43556</c:v>
                </c:pt>
                <c:pt idx="88">
                  <c:v>43586</c:v>
                </c:pt>
                <c:pt idx="89">
                  <c:v>43617</c:v>
                </c:pt>
                <c:pt idx="90">
                  <c:v>43647</c:v>
                </c:pt>
                <c:pt idx="91">
                  <c:v>43678</c:v>
                </c:pt>
                <c:pt idx="92">
                  <c:v>43709</c:v>
                </c:pt>
                <c:pt idx="93">
                  <c:v>43739</c:v>
                </c:pt>
                <c:pt idx="94">
                  <c:v>43770</c:v>
                </c:pt>
                <c:pt idx="95">
                  <c:v>43800</c:v>
                </c:pt>
                <c:pt idx="96">
                  <c:v>43831</c:v>
                </c:pt>
                <c:pt idx="97">
                  <c:v>43862</c:v>
                </c:pt>
                <c:pt idx="98">
                  <c:v>43891</c:v>
                </c:pt>
                <c:pt idx="99">
                  <c:v>43922</c:v>
                </c:pt>
                <c:pt idx="100">
                  <c:v>43952</c:v>
                </c:pt>
                <c:pt idx="101">
                  <c:v>43983</c:v>
                </c:pt>
                <c:pt idx="102">
                  <c:v>44013</c:v>
                </c:pt>
                <c:pt idx="103">
                  <c:v>44044</c:v>
                </c:pt>
                <c:pt idx="104">
                  <c:v>44075</c:v>
                </c:pt>
                <c:pt idx="105">
                  <c:v>44105</c:v>
                </c:pt>
                <c:pt idx="106">
                  <c:v>44136</c:v>
                </c:pt>
                <c:pt idx="107">
                  <c:v>44166</c:v>
                </c:pt>
                <c:pt idx="108">
                  <c:v>44197</c:v>
                </c:pt>
                <c:pt idx="109">
                  <c:v>44228</c:v>
                </c:pt>
                <c:pt idx="110">
                  <c:v>44256</c:v>
                </c:pt>
                <c:pt idx="111">
                  <c:v>44287</c:v>
                </c:pt>
                <c:pt idx="112">
                  <c:v>44317</c:v>
                </c:pt>
                <c:pt idx="113">
                  <c:v>44348</c:v>
                </c:pt>
                <c:pt idx="114">
                  <c:v>44378</c:v>
                </c:pt>
                <c:pt idx="115">
                  <c:v>44409</c:v>
                </c:pt>
                <c:pt idx="116">
                  <c:v>44440</c:v>
                </c:pt>
                <c:pt idx="117">
                  <c:v>44470</c:v>
                </c:pt>
                <c:pt idx="118">
                  <c:v>44501</c:v>
                </c:pt>
                <c:pt idx="119">
                  <c:v>44531</c:v>
                </c:pt>
                <c:pt idx="120">
                  <c:v>44562</c:v>
                </c:pt>
                <c:pt idx="121">
                  <c:v>44593</c:v>
                </c:pt>
                <c:pt idx="122">
                  <c:v>44621</c:v>
                </c:pt>
                <c:pt idx="123">
                  <c:v>44652</c:v>
                </c:pt>
                <c:pt idx="124">
                  <c:v>44682</c:v>
                </c:pt>
                <c:pt idx="125">
                  <c:v>44713</c:v>
                </c:pt>
                <c:pt idx="126">
                  <c:v>44743</c:v>
                </c:pt>
                <c:pt idx="127">
                  <c:v>44774</c:v>
                </c:pt>
                <c:pt idx="128">
                  <c:v>44805</c:v>
                </c:pt>
                <c:pt idx="129">
                  <c:v>44835</c:v>
                </c:pt>
                <c:pt idx="130">
                  <c:v>44866</c:v>
                </c:pt>
                <c:pt idx="131">
                  <c:v>44896</c:v>
                </c:pt>
                <c:pt idx="132">
                  <c:v>44927</c:v>
                </c:pt>
                <c:pt idx="133">
                  <c:v>44958</c:v>
                </c:pt>
                <c:pt idx="134">
                  <c:v>44986</c:v>
                </c:pt>
                <c:pt idx="135">
                  <c:v>45017</c:v>
                </c:pt>
                <c:pt idx="136">
                  <c:v>45047</c:v>
                </c:pt>
                <c:pt idx="137">
                  <c:v>45078</c:v>
                </c:pt>
                <c:pt idx="138">
                  <c:v>45108</c:v>
                </c:pt>
                <c:pt idx="139">
                  <c:v>45139</c:v>
                </c:pt>
                <c:pt idx="140">
                  <c:v>45170</c:v>
                </c:pt>
                <c:pt idx="141">
                  <c:v>45200</c:v>
                </c:pt>
                <c:pt idx="142">
                  <c:v>45231</c:v>
                </c:pt>
                <c:pt idx="143">
                  <c:v>45261</c:v>
                </c:pt>
                <c:pt idx="144">
                  <c:v>45292</c:v>
                </c:pt>
                <c:pt idx="145">
                  <c:v>45323</c:v>
                </c:pt>
                <c:pt idx="146">
                  <c:v>45352</c:v>
                </c:pt>
                <c:pt idx="147">
                  <c:v>45383</c:v>
                </c:pt>
                <c:pt idx="148">
                  <c:v>45413</c:v>
                </c:pt>
                <c:pt idx="149">
                  <c:v>45444</c:v>
                </c:pt>
                <c:pt idx="150">
                  <c:v>45474</c:v>
                </c:pt>
                <c:pt idx="151">
                  <c:v>45505</c:v>
                </c:pt>
                <c:pt idx="152">
                  <c:v>45536</c:v>
                </c:pt>
                <c:pt idx="153">
                  <c:v>45566</c:v>
                </c:pt>
                <c:pt idx="154">
                  <c:v>45597</c:v>
                </c:pt>
                <c:pt idx="155">
                  <c:v>45627</c:v>
                </c:pt>
                <c:pt idx="156">
                  <c:v>45658</c:v>
                </c:pt>
                <c:pt idx="157">
                  <c:v>45689</c:v>
                </c:pt>
                <c:pt idx="158">
                  <c:v>45717</c:v>
                </c:pt>
                <c:pt idx="159">
                  <c:v>45748</c:v>
                </c:pt>
                <c:pt idx="160">
                  <c:v>45778</c:v>
                </c:pt>
                <c:pt idx="161">
                  <c:v>45809</c:v>
                </c:pt>
                <c:pt idx="162">
                  <c:v>45839</c:v>
                </c:pt>
                <c:pt idx="163">
                  <c:v>45870</c:v>
                </c:pt>
                <c:pt idx="164">
                  <c:v>45901</c:v>
                </c:pt>
                <c:pt idx="165">
                  <c:v>45931</c:v>
                </c:pt>
                <c:pt idx="166">
                  <c:v>45962</c:v>
                </c:pt>
                <c:pt idx="167">
                  <c:v>45992</c:v>
                </c:pt>
                <c:pt idx="168">
                  <c:v>46023</c:v>
                </c:pt>
                <c:pt idx="169">
                  <c:v>46054</c:v>
                </c:pt>
                <c:pt idx="170">
                  <c:v>46082</c:v>
                </c:pt>
                <c:pt idx="171">
                  <c:v>46113</c:v>
                </c:pt>
                <c:pt idx="172">
                  <c:v>46143</c:v>
                </c:pt>
                <c:pt idx="173">
                  <c:v>46174</c:v>
                </c:pt>
                <c:pt idx="174">
                  <c:v>46204</c:v>
                </c:pt>
                <c:pt idx="175">
                  <c:v>46235</c:v>
                </c:pt>
              </c:numCache>
            </c:numRef>
          </c:cat>
          <c:val>
            <c:numRef>
              <c:f>'Net reserves'!$H$12:$GA$12</c:f>
              <c:numCache>
                <c:formatCode>_(* #,##0.00_);_(* \(#,##0.00\);_(* "-"??_);_(@_)</c:formatCode>
                <c:ptCount val="176"/>
                <c:pt idx="0">
                  <c:v>38906.998575167941</c:v>
                </c:pt>
                <c:pt idx="1">
                  <c:v>39046.497944890929</c:v>
                </c:pt>
                <c:pt idx="2">
                  <c:v>39370.86746295022</c:v>
                </c:pt>
                <c:pt idx="3">
                  <c:v>40023.011065726634</c:v>
                </c:pt>
                <c:pt idx="4">
                  <c:v>39947.098896877105</c:v>
                </c:pt>
                <c:pt idx="5">
                  <c:v>40166.411977900549</c:v>
                </c:pt>
                <c:pt idx="6">
                  <c:v>40038.853928961747</c:v>
                </c:pt>
                <c:pt idx="7">
                  <c:v>37843.96859333045</c:v>
                </c:pt>
                <c:pt idx="8">
                  <c:v>37575.449846055162</c:v>
                </c:pt>
                <c:pt idx="9">
                  <c:v>36594.867022756</c:v>
                </c:pt>
                <c:pt idx="10">
                  <c:v>36248.632582213031</c:v>
                </c:pt>
                <c:pt idx="11">
                  <c:v>33858.245082482637</c:v>
                </c:pt>
                <c:pt idx="12">
                  <c:v>33639.652914400802</c:v>
                </c:pt>
                <c:pt idx="13">
                  <c:v>32864.759206923991</c:v>
                </c:pt>
                <c:pt idx="14">
                  <c:v>31986.636406115253</c:v>
                </c:pt>
                <c:pt idx="15">
                  <c:v>30532.050004830915</c:v>
                </c:pt>
                <c:pt idx="16">
                  <c:v>29536.084389057756</c:v>
                </c:pt>
                <c:pt idx="17">
                  <c:v>28081.651767441861</c:v>
                </c:pt>
                <c:pt idx="18">
                  <c:v>27734.514824065638</c:v>
                </c:pt>
                <c:pt idx="19">
                  <c:v>24505.176215852796</c:v>
                </c:pt>
                <c:pt idx="20">
                  <c:v>22120.37997835498</c:v>
                </c:pt>
                <c:pt idx="21">
                  <c:v>20310.946687712152</c:v>
                </c:pt>
                <c:pt idx="22">
                  <c:v>17956.071322169584</c:v>
                </c:pt>
                <c:pt idx="23">
                  <c:v>16190.752109521616</c:v>
                </c:pt>
                <c:pt idx="24">
                  <c:v>13056.723419518376</c:v>
                </c:pt>
                <c:pt idx="25">
                  <c:v>14938.487648261758</c:v>
                </c:pt>
                <c:pt idx="26">
                  <c:v>15098.470637826958</c:v>
                </c:pt>
                <c:pt idx="27">
                  <c:v>17333.652050301811</c:v>
                </c:pt>
                <c:pt idx="28">
                  <c:v>17659.578244084682</c:v>
                </c:pt>
                <c:pt idx="29">
                  <c:v>17787.687395892612</c:v>
                </c:pt>
                <c:pt idx="30">
                  <c:v>17924.781815177481</c:v>
                </c:pt>
                <c:pt idx="31">
                  <c:v>17585.437026104661</c:v>
                </c:pt>
                <c:pt idx="32">
                  <c:v>17098.613221957039</c:v>
                </c:pt>
                <c:pt idx="33">
                  <c:v>16180.354955595027</c:v>
                </c:pt>
                <c:pt idx="34">
                  <c:v>16161.911415094341</c:v>
                </c:pt>
                <c:pt idx="35">
                  <c:v>17017.012331374855</c:v>
                </c:pt>
                <c:pt idx="36">
                  <c:v>15920.056030250144</c:v>
                </c:pt>
                <c:pt idx="37">
                  <c:v>15072.470691244242</c:v>
                </c:pt>
                <c:pt idx="38">
                  <c:v>14356.583329532494</c:v>
                </c:pt>
                <c:pt idx="39">
                  <c:v>16140.270902934535</c:v>
                </c:pt>
                <c:pt idx="40">
                  <c:v>15140.36801621017</c:v>
                </c:pt>
                <c:pt idx="41">
                  <c:v>14772.109690265483</c:v>
                </c:pt>
                <c:pt idx="42">
                  <c:v>14442.367754510666</c:v>
                </c:pt>
                <c:pt idx="43">
                  <c:v>12398.463513513514</c:v>
                </c:pt>
                <c:pt idx="44">
                  <c:v>10893.057666666668</c:v>
                </c:pt>
                <c:pt idx="45">
                  <c:v>3198.6177091004738</c:v>
                </c:pt>
                <c:pt idx="46">
                  <c:v>1874.9284878175222</c:v>
                </c:pt>
                <c:pt idx="47">
                  <c:v>518.24403816793802</c:v>
                </c:pt>
                <c:pt idx="48">
                  <c:v>1723.1509753265591</c:v>
                </c:pt>
                <c:pt idx="49">
                  <c:v>1919.3192993630564</c:v>
                </c:pt>
                <c:pt idx="50">
                  <c:v>1200.7828767123306</c:v>
                </c:pt>
                <c:pt idx="51">
                  <c:v>6360.8643146853155</c:v>
                </c:pt>
                <c:pt idx="52">
                  <c:v>88.657142857141025</c:v>
                </c:pt>
                <c:pt idx="53">
                  <c:v>48.545999999999822</c:v>
                </c:pt>
                <c:pt idx="54">
                  <c:v>5545.9323333333332</c:v>
                </c:pt>
                <c:pt idx="55">
                  <c:v>5645.1750402684593</c:v>
                </c:pt>
                <c:pt idx="56">
                  <c:v>4649.5621437908485</c:v>
                </c:pt>
                <c:pt idx="57">
                  <c:v>5188.6139999999959</c:v>
                </c:pt>
                <c:pt idx="58">
                  <c:v>9074.6260062893125</c:v>
                </c:pt>
                <c:pt idx="59">
                  <c:v>10199.106805031448</c:v>
                </c:pt>
                <c:pt idx="60">
                  <c:v>11054.057591194971</c:v>
                </c:pt>
                <c:pt idx="61">
                  <c:v>14560.62093548387</c:v>
                </c:pt>
                <c:pt idx="62">
                  <c:v>12624.572285714283</c:v>
                </c:pt>
                <c:pt idx="63">
                  <c:v>15490.423000000001</c:v>
                </c:pt>
                <c:pt idx="64">
                  <c:v>16478.938161490685</c:v>
                </c:pt>
                <c:pt idx="65">
                  <c:v>20954.054927710848</c:v>
                </c:pt>
                <c:pt idx="66">
                  <c:v>17545.550484419258</c:v>
                </c:pt>
                <c:pt idx="67">
                  <c:v>18303.026826589594</c:v>
                </c:pt>
                <c:pt idx="68">
                  <c:v>21395.025456647403</c:v>
                </c:pt>
                <c:pt idx="69">
                  <c:v>24794.264855524081</c:v>
                </c:pt>
                <c:pt idx="70">
                  <c:v>26060.35870520231</c:v>
                </c:pt>
                <c:pt idx="71">
                  <c:v>27697.552172043004</c:v>
                </c:pt>
                <c:pt idx="72">
                  <c:v>30741.244020408165</c:v>
                </c:pt>
                <c:pt idx="73">
                  <c:v>34591.384417910456</c:v>
                </c:pt>
                <c:pt idx="74">
                  <c:v>34716.354640776706</c:v>
                </c:pt>
                <c:pt idx="75">
                  <c:v>29223.103240875909</c:v>
                </c:pt>
                <c:pt idx="76">
                  <c:v>24148.697218787638</c:v>
                </c:pt>
                <c:pt idx="77">
                  <c:v>33821.579694444445</c:v>
                </c:pt>
                <c:pt idx="78">
                  <c:v>30433.54378311499</c:v>
                </c:pt>
                <c:pt idx="79">
                  <c:v>25123.016623978201</c:v>
                </c:pt>
                <c:pt idx="80">
                  <c:v>22409.42284082625</c:v>
                </c:pt>
                <c:pt idx="81">
                  <c:v>27326.383736401673</c:v>
                </c:pt>
                <c:pt idx="82">
                  <c:v>24239.983424242422</c:v>
                </c:pt>
                <c:pt idx="83">
                  <c:v>29260.467085106386</c:v>
                </c:pt>
                <c:pt idx="84">
                  <c:v>29698.982302013421</c:v>
                </c:pt>
                <c:pt idx="85">
                  <c:v>31192.162089628677</c:v>
                </c:pt>
                <c:pt idx="86">
                  <c:v>27971.487231213872</c:v>
                </c:pt>
                <c:pt idx="87">
                  <c:v>32717.437191827466</c:v>
                </c:pt>
                <c:pt idx="88">
                  <c:v>25601.864110613526</c:v>
                </c:pt>
                <c:pt idx="89">
                  <c:v>26080.139647780928</c:v>
                </c:pt>
                <c:pt idx="90">
                  <c:v>29112.000566925533</c:v>
                </c:pt>
                <c:pt idx="91">
                  <c:v>20709.512752735231</c:v>
                </c:pt>
                <c:pt idx="92">
                  <c:v>17724.943015828838</c:v>
                </c:pt>
                <c:pt idx="93">
                  <c:v>12663.577102064799</c:v>
                </c:pt>
                <c:pt idx="94">
                  <c:v>13105.19044919786</c:v>
                </c:pt>
                <c:pt idx="95">
                  <c:v>13370.596780063557</c:v>
                </c:pt>
                <c:pt idx="96">
                  <c:v>11773.954726141079</c:v>
                </c:pt>
                <c:pt idx="97">
                  <c:v>10914.487234422801</c:v>
                </c:pt>
                <c:pt idx="98">
                  <c:v>10374.872488426285</c:v>
                </c:pt>
                <c:pt idx="99">
                  <c:v>9597.4023578064116</c:v>
                </c:pt>
                <c:pt idx="100">
                  <c:v>8083.1896370543545</c:v>
                </c:pt>
                <c:pt idx="101">
                  <c:v>9121.5612836839118</c:v>
                </c:pt>
                <c:pt idx="102">
                  <c:v>8453.3234148435331</c:v>
                </c:pt>
                <c:pt idx="103">
                  <c:v>6768.7705637149038</c:v>
                </c:pt>
                <c:pt idx="104">
                  <c:v>4712.6394111461595</c:v>
                </c:pt>
                <c:pt idx="105">
                  <c:v>3420.9222983891596</c:v>
                </c:pt>
                <c:pt idx="106">
                  <c:v>2412.8780077576657</c:v>
                </c:pt>
                <c:pt idx="107">
                  <c:v>3023.2615336109448</c:v>
                </c:pt>
                <c:pt idx="108">
                  <c:v>2402.9540510145603</c:v>
                </c:pt>
                <c:pt idx="109">
                  <c:v>2391.6270410164962</c:v>
                </c:pt>
                <c:pt idx="110">
                  <c:v>3370.6869575625692</c:v>
                </c:pt>
                <c:pt idx="111">
                  <c:v>4365.5023434624436</c:v>
                </c:pt>
                <c:pt idx="112">
                  <c:v>5811.304066363733</c:v>
                </c:pt>
                <c:pt idx="113">
                  <c:v>6331.136371888726</c:v>
                </c:pt>
                <c:pt idx="114">
                  <c:v>5880.4108686199424</c:v>
                </c:pt>
                <c:pt idx="115">
                  <c:v>9319.3738496517799</c:v>
                </c:pt>
                <c:pt idx="116">
                  <c:v>5618.8750519059204</c:v>
                </c:pt>
                <c:pt idx="117">
                  <c:v>5301.5250092350943</c:v>
                </c:pt>
                <c:pt idx="118">
                  <c:v>4366.583978782468</c:v>
                </c:pt>
                <c:pt idx="119">
                  <c:v>2105.9048739037198</c:v>
                </c:pt>
                <c:pt idx="120">
                  <c:v>-216.33949294700915</c:v>
                </c:pt>
                <c:pt idx="121">
                  <c:v>-1260.222220307408</c:v>
                </c:pt>
                <c:pt idx="122">
                  <c:v>5439.7140736633282</c:v>
                </c:pt>
                <c:pt idx="123">
                  <c:v>4496.4023824320784</c:v>
                </c:pt>
                <c:pt idx="124">
                  <c:v>4554.7966061615316</c:v>
                </c:pt>
                <c:pt idx="125">
                  <c:v>6506.8330095900237</c:v>
                </c:pt>
                <c:pt idx="126">
                  <c:v>2208.9700495540114</c:v>
                </c:pt>
                <c:pt idx="127">
                  <c:v>1157.1931739161773</c:v>
                </c:pt>
                <c:pt idx="128">
                  <c:v>3241.1755603858182</c:v>
                </c:pt>
                <c:pt idx="129">
                  <c:v>4640.382394553917</c:v>
                </c:pt>
                <c:pt idx="130">
                  <c:v>2903.3695348725914</c:v>
                </c:pt>
                <c:pt idx="131">
                  <c:v>8263.1674674121768</c:v>
                </c:pt>
                <c:pt idx="132">
                  <c:v>3664.4496928838971</c:v>
                </c:pt>
                <c:pt idx="133">
                  <c:v>1569.238343060139</c:v>
                </c:pt>
                <c:pt idx="134">
                  <c:v>2260.9612811646944</c:v>
                </c:pt>
                <c:pt idx="135">
                  <c:v>-851.12050916936323</c:v>
                </c:pt>
                <c:pt idx="136">
                  <c:v>-2080.4003330547425</c:v>
                </c:pt>
                <c:pt idx="137">
                  <c:v>-6004.2538791422994</c:v>
                </c:pt>
                <c:pt idx="138">
                  <c:v>-9253.2675286311569</c:v>
                </c:pt>
                <c:pt idx="139">
                  <c:v>-5193.4252246065826</c:v>
                </c:pt>
                <c:pt idx="140">
                  <c:v>-6037.6053805980828</c:v>
                </c:pt>
                <c:pt idx="141">
                  <c:v>-9968.3402460658072</c:v>
                </c:pt>
                <c:pt idx="142">
                  <c:v>-11573.153722222221</c:v>
                </c:pt>
                <c:pt idx="143">
                  <c:v>-10458.519459198216</c:v>
                </c:pt>
                <c:pt idx="144">
                  <c:v>-6392.7489203539808</c:v>
                </c:pt>
                <c:pt idx="145">
                  <c:v>-6838.457993814678</c:v>
                </c:pt>
                <c:pt idx="146">
                  <c:v>-6194.3803899591348</c:v>
                </c:pt>
                <c:pt idx="147">
                  <c:v>-5440.8976571428584</c:v>
                </c:pt>
                <c:pt idx="148">
                  <c:v>-4172.3784563758391</c:v>
                </c:pt>
                <c:pt idx="149">
                  <c:v>-3839.3036562328416</c:v>
                </c:pt>
                <c:pt idx="150">
                  <c:v>-7959.7091628156904</c:v>
                </c:pt>
                <c:pt idx="151">
                  <c:v>-8037.7708361344557</c:v>
                </c:pt>
                <c:pt idx="152">
                  <c:v>-9253.5249184726508</c:v>
                </c:pt>
                <c:pt idx="153">
                  <c:v>-9687.3949934376597</c:v>
                </c:pt>
                <c:pt idx="154">
                  <c:v>-8626.9543366336638</c:v>
                </c:pt>
                <c:pt idx="155">
                  <c:v>-7689.382901018922</c:v>
                </c:pt>
                <c:pt idx="156">
                  <c:v>-10201.130159695815</c:v>
                </c:pt>
                <c:pt idx="157">
                  <c:v>-9969.4380557253698</c:v>
                </c:pt>
                <c:pt idx="158">
                  <c:v>-12691.473023310024</c:v>
                </c:pt>
                <c:pt idx="159">
                  <c:v>-1440.0768168168161</c:v>
                </c:pt>
                <c:pt idx="160">
                  <c:v>-1873.905052809464</c:v>
                </c:pt>
                <c:pt idx="161">
                  <c:v>1554.2583969179523</c:v>
                </c:pt>
                <c:pt idx="162">
                  <c:v>-391.95792332968449</c:v>
                </c:pt>
                <c:pt idx="163">
                  <c:v>399.23861682243205</c:v>
                </c:pt>
                <c:pt idx="164">
                  <c:v>-528.23029661941109</c:v>
                </c:pt>
                <c:pt idx="165">
                  <c:v>-6714.4721926414413</c:v>
                </c:pt>
                <c:pt idx="166">
                  <c:v>-8255.7022273669663</c:v>
                </c:pt>
                <c:pt idx="167">
                  <c:v>-4491.7471875215451</c:v>
                </c:pt>
                <c:pt idx="168">
                  <c:v>-8681.1759982668973</c:v>
                </c:pt>
                <c:pt idx="169">
                  <c:v>-8456.3855780969516</c:v>
                </c:pt>
                <c:pt idx="170">
                  <c:v>-7914.5258239564446</c:v>
                </c:pt>
                <c:pt idx="171">
                  <c:v>-6151.2083184276962</c:v>
                </c:pt>
                <c:pt idx="172">
                  <c:v>-3197.9472130388313</c:v>
                </c:pt>
                <c:pt idx="173">
                  <c:v>-3070.8748815566823</c:v>
                </c:pt>
                <c:pt idx="174">
                  <c:v>-341.87488155668234</c:v>
                </c:pt>
                <c:pt idx="175">
                  <c:v>1559.1251184433177</c:v>
                </c:pt>
              </c:numCache>
            </c:numRef>
          </c:val>
          <c:extLst>
            <c:ext xmlns:c16="http://schemas.microsoft.com/office/drawing/2014/chart" uri="{C3380CC4-5D6E-409C-BE32-E72D297353CC}">
              <c16:uniqueId val="{00000000-FD4E-4B2E-8E65-1D04EAE64A2B}"/>
            </c:ext>
          </c:extLst>
        </c:ser>
        <c:ser>
          <c:idx val="1"/>
          <c:order val="1"/>
          <c:tx>
            <c:strRef>
              <c:f>'Net reserves'!$A$13</c:f>
              <c:strCache>
                <c:ptCount val="1"/>
                <c:pt idx="0">
                  <c:v>Repos</c:v>
                </c:pt>
              </c:strCache>
            </c:strRef>
          </c:tx>
          <c:spPr>
            <a:solidFill>
              <a:schemeClr val="tx1">
                <a:alpha val="16000"/>
              </a:schemeClr>
            </a:solidFill>
            <a:ln w="12700">
              <a:noFill/>
              <a:prstDash val="solid"/>
            </a:ln>
            <a:effectLst/>
          </c:spPr>
          <c:cat>
            <c:numRef>
              <c:f>'Net reserves'!$H$10:$GA$10</c:f>
              <c:numCache>
                <c:formatCode>mmm\-yy</c:formatCode>
                <c:ptCount val="176"/>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pt idx="14">
                  <c:v>41334</c:v>
                </c:pt>
                <c:pt idx="15">
                  <c:v>41365</c:v>
                </c:pt>
                <c:pt idx="16">
                  <c:v>41395</c:v>
                </c:pt>
                <c:pt idx="17">
                  <c:v>41426</c:v>
                </c:pt>
                <c:pt idx="18">
                  <c:v>41456</c:v>
                </c:pt>
                <c:pt idx="19">
                  <c:v>41487</c:v>
                </c:pt>
                <c:pt idx="20">
                  <c:v>41518</c:v>
                </c:pt>
                <c:pt idx="21">
                  <c:v>41548</c:v>
                </c:pt>
                <c:pt idx="22">
                  <c:v>41579</c:v>
                </c:pt>
                <c:pt idx="23">
                  <c:v>41609</c:v>
                </c:pt>
                <c:pt idx="24">
                  <c:v>41640</c:v>
                </c:pt>
                <c:pt idx="25">
                  <c:v>41671</c:v>
                </c:pt>
                <c:pt idx="26">
                  <c:v>41699</c:v>
                </c:pt>
                <c:pt idx="27">
                  <c:v>41730</c:v>
                </c:pt>
                <c:pt idx="28">
                  <c:v>41760</c:v>
                </c:pt>
                <c:pt idx="29">
                  <c:v>41791</c:v>
                </c:pt>
                <c:pt idx="30">
                  <c:v>41821</c:v>
                </c:pt>
                <c:pt idx="31">
                  <c:v>41852</c:v>
                </c:pt>
                <c:pt idx="32">
                  <c:v>41883</c:v>
                </c:pt>
                <c:pt idx="33">
                  <c:v>41913</c:v>
                </c:pt>
                <c:pt idx="34">
                  <c:v>41944</c:v>
                </c:pt>
                <c:pt idx="35">
                  <c:v>41974</c:v>
                </c:pt>
                <c:pt idx="36">
                  <c:v>42005</c:v>
                </c:pt>
                <c:pt idx="37">
                  <c:v>42036</c:v>
                </c:pt>
                <c:pt idx="38">
                  <c:v>42064</c:v>
                </c:pt>
                <c:pt idx="39">
                  <c:v>42095</c:v>
                </c:pt>
                <c:pt idx="40">
                  <c:v>42125</c:v>
                </c:pt>
                <c:pt idx="41">
                  <c:v>42156</c:v>
                </c:pt>
                <c:pt idx="42">
                  <c:v>42186</c:v>
                </c:pt>
                <c:pt idx="43">
                  <c:v>42217</c:v>
                </c:pt>
                <c:pt idx="44">
                  <c:v>42248</c:v>
                </c:pt>
                <c:pt idx="45">
                  <c:v>42278</c:v>
                </c:pt>
                <c:pt idx="46">
                  <c:v>42309</c:v>
                </c:pt>
                <c:pt idx="47">
                  <c:v>42339</c:v>
                </c:pt>
                <c:pt idx="48">
                  <c:v>42370</c:v>
                </c:pt>
                <c:pt idx="49">
                  <c:v>42401</c:v>
                </c:pt>
                <c:pt idx="50">
                  <c:v>42430</c:v>
                </c:pt>
                <c:pt idx="51">
                  <c:v>42461</c:v>
                </c:pt>
                <c:pt idx="52">
                  <c:v>42491</c:v>
                </c:pt>
                <c:pt idx="53">
                  <c:v>42522</c:v>
                </c:pt>
                <c:pt idx="54">
                  <c:v>42552</c:v>
                </c:pt>
                <c:pt idx="55">
                  <c:v>42583</c:v>
                </c:pt>
                <c:pt idx="56">
                  <c:v>42614</c:v>
                </c:pt>
                <c:pt idx="57">
                  <c:v>42644</c:v>
                </c:pt>
                <c:pt idx="58">
                  <c:v>42675</c:v>
                </c:pt>
                <c:pt idx="59">
                  <c:v>42705</c:v>
                </c:pt>
                <c:pt idx="60">
                  <c:v>42736</c:v>
                </c:pt>
                <c:pt idx="61">
                  <c:v>42767</c:v>
                </c:pt>
                <c:pt idx="62">
                  <c:v>42795</c:v>
                </c:pt>
                <c:pt idx="63">
                  <c:v>42826</c:v>
                </c:pt>
                <c:pt idx="64">
                  <c:v>42856</c:v>
                </c:pt>
                <c:pt idx="65">
                  <c:v>42887</c:v>
                </c:pt>
                <c:pt idx="66">
                  <c:v>42917</c:v>
                </c:pt>
                <c:pt idx="67">
                  <c:v>42948</c:v>
                </c:pt>
                <c:pt idx="68">
                  <c:v>42979</c:v>
                </c:pt>
                <c:pt idx="69">
                  <c:v>43009</c:v>
                </c:pt>
                <c:pt idx="70">
                  <c:v>43040</c:v>
                </c:pt>
                <c:pt idx="71">
                  <c:v>43070</c:v>
                </c:pt>
                <c:pt idx="72">
                  <c:v>43101</c:v>
                </c:pt>
                <c:pt idx="73">
                  <c:v>43132</c:v>
                </c:pt>
                <c:pt idx="74">
                  <c:v>43160</c:v>
                </c:pt>
                <c:pt idx="75">
                  <c:v>43191</c:v>
                </c:pt>
                <c:pt idx="76">
                  <c:v>43221</c:v>
                </c:pt>
                <c:pt idx="77">
                  <c:v>43252</c:v>
                </c:pt>
                <c:pt idx="78">
                  <c:v>43282</c:v>
                </c:pt>
                <c:pt idx="79">
                  <c:v>43313</c:v>
                </c:pt>
                <c:pt idx="80">
                  <c:v>43344</c:v>
                </c:pt>
                <c:pt idx="81">
                  <c:v>43374</c:v>
                </c:pt>
                <c:pt idx="82">
                  <c:v>43405</c:v>
                </c:pt>
                <c:pt idx="83">
                  <c:v>43435</c:v>
                </c:pt>
                <c:pt idx="84">
                  <c:v>43466</c:v>
                </c:pt>
                <c:pt idx="85">
                  <c:v>43497</c:v>
                </c:pt>
                <c:pt idx="86">
                  <c:v>43525</c:v>
                </c:pt>
                <c:pt idx="87">
                  <c:v>43556</c:v>
                </c:pt>
                <c:pt idx="88">
                  <c:v>43586</c:v>
                </c:pt>
                <c:pt idx="89">
                  <c:v>43617</c:v>
                </c:pt>
                <c:pt idx="90">
                  <c:v>43647</c:v>
                </c:pt>
                <c:pt idx="91">
                  <c:v>43678</c:v>
                </c:pt>
                <c:pt idx="92">
                  <c:v>43709</c:v>
                </c:pt>
                <c:pt idx="93">
                  <c:v>43739</c:v>
                </c:pt>
                <c:pt idx="94">
                  <c:v>43770</c:v>
                </c:pt>
                <c:pt idx="95">
                  <c:v>43800</c:v>
                </c:pt>
                <c:pt idx="96">
                  <c:v>43831</c:v>
                </c:pt>
                <c:pt idx="97">
                  <c:v>43862</c:v>
                </c:pt>
                <c:pt idx="98">
                  <c:v>43891</c:v>
                </c:pt>
                <c:pt idx="99">
                  <c:v>43922</c:v>
                </c:pt>
                <c:pt idx="100">
                  <c:v>43952</c:v>
                </c:pt>
                <c:pt idx="101">
                  <c:v>43983</c:v>
                </c:pt>
                <c:pt idx="102">
                  <c:v>44013</c:v>
                </c:pt>
                <c:pt idx="103">
                  <c:v>44044</c:v>
                </c:pt>
                <c:pt idx="104">
                  <c:v>44075</c:v>
                </c:pt>
                <c:pt idx="105">
                  <c:v>44105</c:v>
                </c:pt>
                <c:pt idx="106">
                  <c:v>44136</c:v>
                </c:pt>
                <c:pt idx="107">
                  <c:v>44166</c:v>
                </c:pt>
                <c:pt idx="108">
                  <c:v>44197</c:v>
                </c:pt>
                <c:pt idx="109">
                  <c:v>44228</c:v>
                </c:pt>
                <c:pt idx="110">
                  <c:v>44256</c:v>
                </c:pt>
                <c:pt idx="111">
                  <c:v>44287</c:v>
                </c:pt>
                <c:pt idx="112">
                  <c:v>44317</c:v>
                </c:pt>
                <c:pt idx="113">
                  <c:v>44348</c:v>
                </c:pt>
                <c:pt idx="114">
                  <c:v>44378</c:v>
                </c:pt>
                <c:pt idx="115">
                  <c:v>44409</c:v>
                </c:pt>
                <c:pt idx="116">
                  <c:v>44440</c:v>
                </c:pt>
                <c:pt idx="117">
                  <c:v>44470</c:v>
                </c:pt>
                <c:pt idx="118">
                  <c:v>44501</c:v>
                </c:pt>
                <c:pt idx="119">
                  <c:v>44531</c:v>
                </c:pt>
                <c:pt idx="120">
                  <c:v>44562</c:v>
                </c:pt>
                <c:pt idx="121">
                  <c:v>44593</c:v>
                </c:pt>
                <c:pt idx="122">
                  <c:v>44621</c:v>
                </c:pt>
                <c:pt idx="123">
                  <c:v>44652</c:v>
                </c:pt>
                <c:pt idx="124">
                  <c:v>44682</c:v>
                </c:pt>
                <c:pt idx="125">
                  <c:v>44713</c:v>
                </c:pt>
                <c:pt idx="126">
                  <c:v>44743</c:v>
                </c:pt>
                <c:pt idx="127">
                  <c:v>44774</c:v>
                </c:pt>
                <c:pt idx="128">
                  <c:v>44805</c:v>
                </c:pt>
                <c:pt idx="129">
                  <c:v>44835</c:v>
                </c:pt>
                <c:pt idx="130">
                  <c:v>44866</c:v>
                </c:pt>
                <c:pt idx="131">
                  <c:v>44896</c:v>
                </c:pt>
                <c:pt idx="132">
                  <c:v>44927</c:v>
                </c:pt>
                <c:pt idx="133">
                  <c:v>44958</c:v>
                </c:pt>
                <c:pt idx="134">
                  <c:v>44986</c:v>
                </c:pt>
                <c:pt idx="135">
                  <c:v>45017</c:v>
                </c:pt>
                <c:pt idx="136">
                  <c:v>45047</c:v>
                </c:pt>
                <c:pt idx="137">
                  <c:v>45078</c:v>
                </c:pt>
                <c:pt idx="138">
                  <c:v>45108</c:v>
                </c:pt>
                <c:pt idx="139">
                  <c:v>45139</c:v>
                </c:pt>
                <c:pt idx="140">
                  <c:v>45170</c:v>
                </c:pt>
                <c:pt idx="141">
                  <c:v>45200</c:v>
                </c:pt>
                <c:pt idx="142">
                  <c:v>45231</c:v>
                </c:pt>
                <c:pt idx="143">
                  <c:v>45261</c:v>
                </c:pt>
                <c:pt idx="144">
                  <c:v>45292</c:v>
                </c:pt>
                <c:pt idx="145">
                  <c:v>45323</c:v>
                </c:pt>
                <c:pt idx="146">
                  <c:v>45352</c:v>
                </c:pt>
                <c:pt idx="147">
                  <c:v>45383</c:v>
                </c:pt>
                <c:pt idx="148">
                  <c:v>45413</c:v>
                </c:pt>
                <c:pt idx="149">
                  <c:v>45444</c:v>
                </c:pt>
                <c:pt idx="150">
                  <c:v>45474</c:v>
                </c:pt>
                <c:pt idx="151">
                  <c:v>45505</c:v>
                </c:pt>
                <c:pt idx="152">
                  <c:v>45536</c:v>
                </c:pt>
                <c:pt idx="153">
                  <c:v>45566</c:v>
                </c:pt>
                <c:pt idx="154">
                  <c:v>45597</c:v>
                </c:pt>
                <c:pt idx="155">
                  <c:v>45627</c:v>
                </c:pt>
                <c:pt idx="156">
                  <c:v>45658</c:v>
                </c:pt>
                <c:pt idx="157">
                  <c:v>45689</c:v>
                </c:pt>
                <c:pt idx="158">
                  <c:v>45717</c:v>
                </c:pt>
                <c:pt idx="159">
                  <c:v>45748</c:v>
                </c:pt>
                <c:pt idx="160">
                  <c:v>45778</c:v>
                </c:pt>
                <c:pt idx="161">
                  <c:v>45809</c:v>
                </c:pt>
                <c:pt idx="162">
                  <c:v>45839</c:v>
                </c:pt>
                <c:pt idx="163">
                  <c:v>45870</c:v>
                </c:pt>
                <c:pt idx="164">
                  <c:v>45901</c:v>
                </c:pt>
                <c:pt idx="165">
                  <c:v>45931</c:v>
                </c:pt>
                <c:pt idx="166">
                  <c:v>45962</c:v>
                </c:pt>
                <c:pt idx="167">
                  <c:v>45992</c:v>
                </c:pt>
                <c:pt idx="168">
                  <c:v>46023</c:v>
                </c:pt>
                <c:pt idx="169">
                  <c:v>46054</c:v>
                </c:pt>
                <c:pt idx="170">
                  <c:v>46082</c:v>
                </c:pt>
                <c:pt idx="171">
                  <c:v>46113</c:v>
                </c:pt>
                <c:pt idx="172">
                  <c:v>46143</c:v>
                </c:pt>
                <c:pt idx="173">
                  <c:v>46174</c:v>
                </c:pt>
                <c:pt idx="174">
                  <c:v>46204</c:v>
                </c:pt>
                <c:pt idx="175">
                  <c:v>46235</c:v>
                </c:pt>
              </c:numCache>
            </c:numRef>
          </c:cat>
          <c:val>
            <c:numRef>
              <c:f>'Net reserves'!$H$13:$GA$13</c:f>
              <c:numCache>
                <c:formatCode>0.000</c:formatCode>
                <c:ptCount val="176"/>
                <c:pt idx="0" formatCode="_(* #,##0.00_);_(* \(#,##0.00\);_(* &quot;-&quot;??_);_(@_)">
                  <c:v>946.60299999999995</c:v>
                </c:pt>
                <c:pt idx="1">
                  <c:v>966.99</c:v>
                </c:pt>
                <c:pt idx="2">
                  <c:v>881.43100000000004</c:v>
                </c:pt>
                <c:pt idx="3">
                  <c:v>860.15200000000004</c:v>
                </c:pt>
                <c:pt idx="4">
                  <c:v>911.31</c:v>
                </c:pt>
                <c:pt idx="5">
                  <c:v>946.47199999999998</c:v>
                </c:pt>
                <c:pt idx="6">
                  <c:v>957.15700000000004</c:v>
                </c:pt>
                <c:pt idx="7">
                  <c:v>951.10199999999998</c:v>
                </c:pt>
                <c:pt idx="8">
                  <c:v>755.91</c:v>
                </c:pt>
                <c:pt idx="9">
                  <c:v>931.53499999999997</c:v>
                </c:pt>
                <c:pt idx="10">
                  <c:v>915.779</c:v>
                </c:pt>
                <c:pt idx="11">
                  <c:v>931.85699999999997</c:v>
                </c:pt>
                <c:pt idx="12">
                  <c:v>789.19200000000001</c:v>
                </c:pt>
                <c:pt idx="13">
                  <c:v>1044.201</c:v>
                </c:pt>
                <c:pt idx="14">
                  <c:v>860.12800000000004</c:v>
                </c:pt>
                <c:pt idx="15">
                  <c:v>1012.607</c:v>
                </c:pt>
                <c:pt idx="16">
                  <c:v>1037.4839999999999</c:v>
                </c:pt>
                <c:pt idx="17">
                  <c:v>960.81799999999998</c:v>
                </c:pt>
                <c:pt idx="18">
                  <c:v>983.05399999999997</c:v>
                </c:pt>
                <c:pt idx="19">
                  <c:v>997.76800000000003</c:v>
                </c:pt>
                <c:pt idx="20">
                  <c:v>1001.026</c:v>
                </c:pt>
                <c:pt idx="21">
                  <c:v>997.55</c:v>
                </c:pt>
                <c:pt idx="22">
                  <c:v>946.98500000000001</c:v>
                </c:pt>
                <c:pt idx="23">
                  <c:v>1046.0640000000001</c:v>
                </c:pt>
                <c:pt idx="24">
                  <c:v>977.45399999999995</c:v>
                </c:pt>
                <c:pt idx="25">
                  <c:v>1016.703</c:v>
                </c:pt>
                <c:pt idx="26">
                  <c:v>1015.023</c:v>
                </c:pt>
                <c:pt idx="27">
                  <c:v>995.93600000000004</c:v>
                </c:pt>
                <c:pt idx="28">
                  <c:v>1010.849</c:v>
                </c:pt>
                <c:pt idx="29">
                  <c:v>1066.2719999999999</c:v>
                </c:pt>
                <c:pt idx="30">
                  <c:v>1074.087</c:v>
                </c:pt>
                <c:pt idx="31">
                  <c:v>947.58500000000004</c:v>
                </c:pt>
                <c:pt idx="32">
                  <c:v>966.4</c:v>
                </c:pt>
                <c:pt idx="33">
                  <c:v>1806.8</c:v>
                </c:pt>
                <c:pt idx="34">
                  <c:v>2534.77</c:v>
                </c:pt>
                <c:pt idx="35">
                  <c:v>3539.6210000000001</c:v>
                </c:pt>
                <c:pt idx="36">
                  <c:v>4384.6859999999997</c:v>
                </c:pt>
                <c:pt idx="37">
                  <c:v>4605.12</c:v>
                </c:pt>
                <c:pt idx="38">
                  <c:v>6323.88</c:v>
                </c:pt>
                <c:pt idx="39">
                  <c:v>7387.5870000000004</c:v>
                </c:pt>
                <c:pt idx="40">
                  <c:v>8032.65</c:v>
                </c:pt>
                <c:pt idx="41">
                  <c:v>9029.152</c:v>
                </c:pt>
                <c:pt idx="42">
                  <c:v>9051.3989999999994</c:v>
                </c:pt>
                <c:pt idx="43">
                  <c:v>11073.554</c:v>
                </c:pt>
                <c:pt idx="44">
                  <c:v>12119.123</c:v>
                </c:pt>
                <c:pt idx="45">
                  <c:v>12167.887000000001</c:v>
                </c:pt>
                <c:pt idx="46">
                  <c:v>12024.418</c:v>
                </c:pt>
                <c:pt idx="47">
                  <c:v>11855.968000000001</c:v>
                </c:pt>
                <c:pt idx="48">
                  <c:v>16647.13</c:v>
                </c:pt>
                <c:pt idx="49">
                  <c:v>16749.713</c:v>
                </c:pt>
                <c:pt idx="50">
                  <c:v>16923.009999999998</c:v>
                </c:pt>
                <c:pt idx="51">
                  <c:v>16793.02</c:v>
                </c:pt>
                <c:pt idx="52">
                  <c:v>16627.52</c:v>
                </c:pt>
                <c:pt idx="53">
                  <c:v>16627.708999999999</c:v>
                </c:pt>
                <c:pt idx="54">
                  <c:v>12587.683000000001</c:v>
                </c:pt>
                <c:pt idx="55">
                  <c:v>12515.293</c:v>
                </c:pt>
                <c:pt idx="56">
                  <c:v>12609.707</c:v>
                </c:pt>
                <c:pt idx="57">
                  <c:v>12448.271000000001</c:v>
                </c:pt>
                <c:pt idx="58">
                  <c:v>12381.31</c:v>
                </c:pt>
                <c:pt idx="59">
                  <c:v>11356.553</c:v>
                </c:pt>
                <c:pt idx="60">
                  <c:v>11446.907999999999</c:v>
                </c:pt>
                <c:pt idx="61">
                  <c:v>11468.630999999999</c:v>
                </c:pt>
                <c:pt idx="62">
                  <c:v>11449.512000000001</c:v>
                </c:pt>
                <c:pt idx="63">
                  <c:v>11431.428</c:v>
                </c:pt>
                <c:pt idx="64">
                  <c:v>11542.815000000001</c:v>
                </c:pt>
                <c:pt idx="65">
                  <c:v>11598.343000000001</c:v>
                </c:pt>
                <c:pt idx="66">
                  <c:v>11685.476000000001</c:v>
                </c:pt>
                <c:pt idx="67">
                  <c:v>11888.378000000001</c:v>
                </c:pt>
                <c:pt idx="68">
                  <c:v>11824.723</c:v>
                </c:pt>
                <c:pt idx="69">
                  <c:v>11825.583000000001</c:v>
                </c:pt>
                <c:pt idx="70">
                  <c:v>11865.606</c:v>
                </c:pt>
                <c:pt idx="71">
                  <c:v>12032.361000000001</c:v>
                </c:pt>
                <c:pt idx="72">
                  <c:v>12402.424000000001</c:v>
                </c:pt>
                <c:pt idx="73">
                  <c:v>12170.543</c:v>
                </c:pt>
                <c:pt idx="74">
                  <c:v>12228.329</c:v>
                </c:pt>
                <c:pt idx="75">
                  <c:v>12167.77</c:v>
                </c:pt>
                <c:pt idx="76">
                  <c:v>12007.273999999999</c:v>
                </c:pt>
                <c:pt idx="77">
                  <c:v>11661.584999999999</c:v>
                </c:pt>
                <c:pt idx="78">
                  <c:v>11352.554</c:v>
                </c:pt>
                <c:pt idx="79">
                  <c:v>11325.163</c:v>
                </c:pt>
                <c:pt idx="80">
                  <c:v>11268.816000000001</c:v>
                </c:pt>
                <c:pt idx="81">
                  <c:v>11111.709000000001</c:v>
                </c:pt>
                <c:pt idx="82">
                  <c:v>11161.65</c:v>
                </c:pt>
                <c:pt idx="83">
                  <c:v>19978.878000000001</c:v>
                </c:pt>
                <c:pt idx="84">
                  <c:v>20481.652999999998</c:v>
                </c:pt>
                <c:pt idx="85">
                  <c:v>20499.167000000001</c:v>
                </c:pt>
                <c:pt idx="86">
                  <c:v>20446.78</c:v>
                </c:pt>
                <c:pt idx="87">
                  <c:v>20381.349999999999</c:v>
                </c:pt>
                <c:pt idx="88">
                  <c:v>19909.363000000001</c:v>
                </c:pt>
                <c:pt idx="89">
                  <c:v>20017.776000000002</c:v>
                </c:pt>
                <c:pt idx="90">
                  <c:v>19971.689999999999</c:v>
                </c:pt>
                <c:pt idx="91">
                  <c:v>19256.612000000001</c:v>
                </c:pt>
                <c:pt idx="92">
                  <c:v>19279.75</c:v>
                </c:pt>
                <c:pt idx="93">
                  <c:v>19566.439999999999</c:v>
                </c:pt>
                <c:pt idx="94">
                  <c:v>19590.718000000001</c:v>
                </c:pt>
                <c:pt idx="95">
                  <c:v>19831.921999999999</c:v>
                </c:pt>
                <c:pt idx="96">
                  <c:v>20030.636999999999</c:v>
                </c:pt>
                <c:pt idx="97">
                  <c:v>20093.460999999999</c:v>
                </c:pt>
                <c:pt idx="98">
                  <c:v>19914.538</c:v>
                </c:pt>
                <c:pt idx="99">
                  <c:v>19745.506000000001</c:v>
                </c:pt>
                <c:pt idx="100">
                  <c:v>19828.904999999999</c:v>
                </c:pt>
                <c:pt idx="101">
                  <c:v>20057.482</c:v>
                </c:pt>
                <c:pt idx="102">
                  <c:v>20295.344000000001</c:v>
                </c:pt>
                <c:pt idx="103">
                  <c:v>20741.072</c:v>
                </c:pt>
                <c:pt idx="104">
                  <c:v>20902.346000000001</c:v>
                </c:pt>
                <c:pt idx="105">
                  <c:v>21187.188999999998</c:v>
                </c:pt>
                <c:pt idx="106">
                  <c:v>21519.96</c:v>
                </c:pt>
                <c:pt idx="107">
                  <c:v>21676.752</c:v>
                </c:pt>
                <c:pt idx="108">
                  <c:v>21983.675999999999</c:v>
                </c:pt>
                <c:pt idx="109">
                  <c:v>21842.288</c:v>
                </c:pt>
                <c:pt idx="110">
                  <c:v>21599.796999999999</c:v>
                </c:pt>
                <c:pt idx="111">
                  <c:v>21838.749</c:v>
                </c:pt>
                <c:pt idx="112">
                  <c:v>22168.657999999999</c:v>
                </c:pt>
                <c:pt idx="113">
                  <c:v>21894.092000000001</c:v>
                </c:pt>
                <c:pt idx="114">
                  <c:v>21880.973999999998</c:v>
                </c:pt>
                <c:pt idx="115">
                  <c:v>21883.883000000002</c:v>
                </c:pt>
                <c:pt idx="116">
                  <c:v>21934.264999999999</c:v>
                </c:pt>
                <c:pt idx="117">
                  <c:v>22056.955999999998</c:v>
                </c:pt>
                <c:pt idx="118">
                  <c:v>22187.703000000001</c:v>
                </c:pt>
                <c:pt idx="119">
                  <c:v>22214.169000000002</c:v>
                </c:pt>
                <c:pt idx="120">
                  <c:v>22197.311000000002</c:v>
                </c:pt>
                <c:pt idx="121">
                  <c:v>22337.167000000001</c:v>
                </c:pt>
                <c:pt idx="122">
                  <c:v>22263.093000000001</c:v>
                </c:pt>
                <c:pt idx="123">
                  <c:v>21429.756000000001</c:v>
                </c:pt>
                <c:pt idx="124">
                  <c:v>21244.647000000001</c:v>
                </c:pt>
                <c:pt idx="125">
                  <c:v>21162.987000000001</c:v>
                </c:pt>
                <c:pt idx="126">
                  <c:v>21036.291000000001</c:v>
                </c:pt>
                <c:pt idx="127">
                  <c:v>20630.434000000001</c:v>
                </c:pt>
                <c:pt idx="128">
                  <c:v>20035.154999999999</c:v>
                </c:pt>
                <c:pt idx="129">
                  <c:v>19562.865000000002</c:v>
                </c:pt>
                <c:pt idx="130">
                  <c:v>20098.579000000002</c:v>
                </c:pt>
                <c:pt idx="131">
                  <c:v>20624.513999999999</c:v>
                </c:pt>
                <c:pt idx="132">
                  <c:v>21036.054</c:v>
                </c:pt>
                <c:pt idx="133">
                  <c:v>20548.803</c:v>
                </c:pt>
                <c:pt idx="134">
                  <c:v>20743.813000000002</c:v>
                </c:pt>
                <c:pt idx="135">
                  <c:v>20657.850999999999</c:v>
                </c:pt>
                <c:pt idx="136">
                  <c:v>20161.339</c:v>
                </c:pt>
                <c:pt idx="137">
                  <c:v>19815.797999999999</c:v>
                </c:pt>
                <c:pt idx="138">
                  <c:v>20037.231</c:v>
                </c:pt>
                <c:pt idx="139">
                  <c:v>19776.272000000001</c:v>
                </c:pt>
                <c:pt idx="140">
                  <c:v>19709.003000000001</c:v>
                </c:pt>
                <c:pt idx="141">
                  <c:v>19694.37</c:v>
                </c:pt>
                <c:pt idx="142">
                  <c:v>20179.53</c:v>
                </c:pt>
                <c:pt idx="143">
                  <c:v>20301.095000000001</c:v>
                </c:pt>
                <c:pt idx="144">
                  <c:v>20156.565999999999</c:v>
                </c:pt>
                <c:pt idx="145">
                  <c:v>20136.964</c:v>
                </c:pt>
                <c:pt idx="146">
                  <c:v>20069.249</c:v>
                </c:pt>
                <c:pt idx="147">
                  <c:v>20062.733</c:v>
                </c:pt>
                <c:pt idx="148">
                  <c:v>20092.802</c:v>
                </c:pt>
                <c:pt idx="149">
                  <c:v>19910.633000000002</c:v>
                </c:pt>
                <c:pt idx="150">
                  <c:v>19945.144</c:v>
                </c:pt>
                <c:pt idx="151">
                  <c:v>20301.026000000002</c:v>
                </c:pt>
                <c:pt idx="152">
                  <c:v>20515.331999999999</c:v>
                </c:pt>
                <c:pt idx="153">
                  <c:v>20298.311000000002</c:v>
                </c:pt>
                <c:pt idx="154">
                  <c:v>19976.345000000001</c:v>
                </c:pt>
                <c:pt idx="155">
                  <c:v>19842.673999999999</c:v>
                </c:pt>
                <c:pt idx="156">
                  <c:v>20074.885999999999</c:v>
                </c:pt>
                <c:pt idx="157">
                  <c:v>20003.816999999999</c:v>
                </c:pt>
                <c:pt idx="158">
                  <c:v>20061.931</c:v>
                </c:pt>
                <c:pt idx="159">
                  <c:v>20032.173999999999</c:v>
                </c:pt>
                <c:pt idx="160">
                  <c:v>20213.882000000001</c:v>
                </c:pt>
                <c:pt idx="161">
                  <c:v>20439.297999999999</c:v>
                </c:pt>
                <c:pt idx="162">
                  <c:v>20366.042000000001</c:v>
                </c:pt>
                <c:pt idx="163">
                  <c:v>20549.654999999999</c:v>
                </c:pt>
                <c:pt idx="164">
                  <c:v>20575.036</c:v>
                </c:pt>
                <c:pt idx="165">
                  <c:v>24088.830999999998</c:v>
                </c:pt>
                <c:pt idx="166">
                  <c:v>24195.7</c:v>
                </c:pt>
                <c:pt idx="167">
                  <c:v>21914.429</c:v>
                </c:pt>
                <c:pt idx="168">
                  <c:v>26209.463</c:v>
                </c:pt>
                <c:pt idx="169">
                  <c:v>26451.827000000001</c:v>
                </c:pt>
                <c:pt idx="170">
                  <c:v>26363.468000000001</c:v>
                </c:pt>
                <c:pt idx="171">
                  <c:v>27442.845000000001</c:v>
                </c:pt>
                <c:pt idx="172">
                  <c:v>27600.838</c:v>
                </c:pt>
                <c:pt idx="173">
                  <c:v>27542.727999999999</c:v>
                </c:pt>
                <c:pt idx="174">
                  <c:v>27542.727999999999</c:v>
                </c:pt>
                <c:pt idx="175">
                  <c:v>27542.727999999999</c:v>
                </c:pt>
              </c:numCache>
            </c:numRef>
          </c:val>
          <c:extLst>
            <c:ext xmlns:c16="http://schemas.microsoft.com/office/drawing/2014/chart" uri="{C3380CC4-5D6E-409C-BE32-E72D297353CC}">
              <c16:uniqueId val="{00000001-FD4E-4B2E-8E65-1D04EAE64A2B}"/>
            </c:ext>
          </c:extLst>
        </c:ser>
        <c:ser>
          <c:idx val="2"/>
          <c:order val="2"/>
          <c:tx>
            <c:strRef>
              <c:f>'Net reserves'!$A$14</c:f>
              <c:strCache>
                <c:ptCount val="1"/>
                <c:pt idx="0">
                  <c:v>Private USD deposits</c:v>
                </c:pt>
              </c:strCache>
            </c:strRef>
          </c:tx>
          <c:spPr>
            <a:solidFill>
              <a:srgbClr val="ADC8E9"/>
            </a:solidFill>
            <a:ln w="12700">
              <a:noFill/>
              <a:prstDash val="solid"/>
            </a:ln>
            <a:effectLst/>
          </c:spPr>
          <c:cat>
            <c:numRef>
              <c:f>'Net reserves'!$H$10:$GA$10</c:f>
              <c:numCache>
                <c:formatCode>mmm\-yy</c:formatCode>
                <c:ptCount val="176"/>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pt idx="14">
                  <c:v>41334</c:v>
                </c:pt>
                <c:pt idx="15">
                  <c:v>41365</c:v>
                </c:pt>
                <c:pt idx="16">
                  <c:v>41395</c:v>
                </c:pt>
                <c:pt idx="17">
                  <c:v>41426</c:v>
                </c:pt>
                <c:pt idx="18">
                  <c:v>41456</c:v>
                </c:pt>
                <c:pt idx="19">
                  <c:v>41487</c:v>
                </c:pt>
                <c:pt idx="20">
                  <c:v>41518</c:v>
                </c:pt>
                <c:pt idx="21">
                  <c:v>41548</c:v>
                </c:pt>
                <c:pt idx="22">
                  <c:v>41579</c:v>
                </c:pt>
                <c:pt idx="23">
                  <c:v>41609</c:v>
                </c:pt>
                <c:pt idx="24">
                  <c:v>41640</c:v>
                </c:pt>
                <c:pt idx="25">
                  <c:v>41671</c:v>
                </c:pt>
                <c:pt idx="26">
                  <c:v>41699</c:v>
                </c:pt>
                <c:pt idx="27">
                  <c:v>41730</c:v>
                </c:pt>
                <c:pt idx="28">
                  <c:v>41760</c:v>
                </c:pt>
                <c:pt idx="29">
                  <c:v>41791</c:v>
                </c:pt>
                <c:pt idx="30">
                  <c:v>41821</c:v>
                </c:pt>
                <c:pt idx="31">
                  <c:v>41852</c:v>
                </c:pt>
                <c:pt idx="32">
                  <c:v>41883</c:v>
                </c:pt>
                <c:pt idx="33">
                  <c:v>41913</c:v>
                </c:pt>
                <c:pt idx="34">
                  <c:v>41944</c:v>
                </c:pt>
                <c:pt idx="35">
                  <c:v>41974</c:v>
                </c:pt>
                <c:pt idx="36">
                  <c:v>42005</c:v>
                </c:pt>
                <c:pt idx="37">
                  <c:v>42036</c:v>
                </c:pt>
                <c:pt idx="38">
                  <c:v>42064</c:v>
                </c:pt>
                <c:pt idx="39">
                  <c:v>42095</c:v>
                </c:pt>
                <c:pt idx="40">
                  <c:v>42125</c:v>
                </c:pt>
                <c:pt idx="41">
                  <c:v>42156</c:v>
                </c:pt>
                <c:pt idx="42">
                  <c:v>42186</c:v>
                </c:pt>
                <c:pt idx="43">
                  <c:v>42217</c:v>
                </c:pt>
                <c:pt idx="44">
                  <c:v>42248</c:v>
                </c:pt>
                <c:pt idx="45">
                  <c:v>42278</c:v>
                </c:pt>
                <c:pt idx="46">
                  <c:v>42309</c:v>
                </c:pt>
                <c:pt idx="47">
                  <c:v>42339</c:v>
                </c:pt>
                <c:pt idx="48">
                  <c:v>42370</c:v>
                </c:pt>
                <c:pt idx="49">
                  <c:v>42401</c:v>
                </c:pt>
                <c:pt idx="50">
                  <c:v>42430</c:v>
                </c:pt>
                <c:pt idx="51">
                  <c:v>42461</c:v>
                </c:pt>
                <c:pt idx="52">
                  <c:v>42491</c:v>
                </c:pt>
                <c:pt idx="53">
                  <c:v>42522</c:v>
                </c:pt>
                <c:pt idx="54">
                  <c:v>42552</c:v>
                </c:pt>
                <c:pt idx="55">
                  <c:v>42583</c:v>
                </c:pt>
                <c:pt idx="56">
                  <c:v>42614</c:v>
                </c:pt>
                <c:pt idx="57">
                  <c:v>42644</c:v>
                </c:pt>
                <c:pt idx="58">
                  <c:v>42675</c:v>
                </c:pt>
                <c:pt idx="59">
                  <c:v>42705</c:v>
                </c:pt>
                <c:pt idx="60">
                  <c:v>42736</c:v>
                </c:pt>
                <c:pt idx="61">
                  <c:v>42767</c:v>
                </c:pt>
                <c:pt idx="62">
                  <c:v>42795</c:v>
                </c:pt>
                <c:pt idx="63">
                  <c:v>42826</c:v>
                </c:pt>
                <c:pt idx="64">
                  <c:v>42856</c:v>
                </c:pt>
                <c:pt idx="65">
                  <c:v>42887</c:v>
                </c:pt>
                <c:pt idx="66">
                  <c:v>42917</c:v>
                </c:pt>
                <c:pt idx="67">
                  <c:v>42948</c:v>
                </c:pt>
                <c:pt idx="68">
                  <c:v>42979</c:v>
                </c:pt>
                <c:pt idx="69">
                  <c:v>43009</c:v>
                </c:pt>
                <c:pt idx="70">
                  <c:v>43040</c:v>
                </c:pt>
                <c:pt idx="71">
                  <c:v>43070</c:v>
                </c:pt>
                <c:pt idx="72">
                  <c:v>43101</c:v>
                </c:pt>
                <c:pt idx="73">
                  <c:v>43132</c:v>
                </c:pt>
                <c:pt idx="74">
                  <c:v>43160</c:v>
                </c:pt>
                <c:pt idx="75">
                  <c:v>43191</c:v>
                </c:pt>
                <c:pt idx="76">
                  <c:v>43221</c:v>
                </c:pt>
                <c:pt idx="77">
                  <c:v>43252</c:v>
                </c:pt>
                <c:pt idx="78">
                  <c:v>43282</c:v>
                </c:pt>
                <c:pt idx="79">
                  <c:v>43313</c:v>
                </c:pt>
                <c:pt idx="80">
                  <c:v>43344</c:v>
                </c:pt>
                <c:pt idx="81">
                  <c:v>43374</c:v>
                </c:pt>
                <c:pt idx="82">
                  <c:v>43405</c:v>
                </c:pt>
                <c:pt idx="83">
                  <c:v>43435</c:v>
                </c:pt>
                <c:pt idx="84">
                  <c:v>43466</c:v>
                </c:pt>
                <c:pt idx="85">
                  <c:v>43497</c:v>
                </c:pt>
                <c:pt idx="86">
                  <c:v>43525</c:v>
                </c:pt>
                <c:pt idx="87">
                  <c:v>43556</c:v>
                </c:pt>
                <c:pt idx="88">
                  <c:v>43586</c:v>
                </c:pt>
                <c:pt idx="89">
                  <c:v>43617</c:v>
                </c:pt>
                <c:pt idx="90">
                  <c:v>43647</c:v>
                </c:pt>
                <c:pt idx="91">
                  <c:v>43678</c:v>
                </c:pt>
                <c:pt idx="92">
                  <c:v>43709</c:v>
                </c:pt>
                <c:pt idx="93">
                  <c:v>43739</c:v>
                </c:pt>
                <c:pt idx="94">
                  <c:v>43770</c:v>
                </c:pt>
                <c:pt idx="95">
                  <c:v>43800</c:v>
                </c:pt>
                <c:pt idx="96">
                  <c:v>43831</c:v>
                </c:pt>
                <c:pt idx="97">
                  <c:v>43862</c:v>
                </c:pt>
                <c:pt idx="98">
                  <c:v>43891</c:v>
                </c:pt>
                <c:pt idx="99">
                  <c:v>43922</c:v>
                </c:pt>
                <c:pt idx="100">
                  <c:v>43952</c:v>
                </c:pt>
                <c:pt idx="101">
                  <c:v>43983</c:v>
                </c:pt>
                <c:pt idx="102">
                  <c:v>44013</c:v>
                </c:pt>
                <c:pt idx="103">
                  <c:v>44044</c:v>
                </c:pt>
                <c:pt idx="104">
                  <c:v>44075</c:v>
                </c:pt>
                <c:pt idx="105">
                  <c:v>44105</c:v>
                </c:pt>
                <c:pt idx="106">
                  <c:v>44136</c:v>
                </c:pt>
                <c:pt idx="107">
                  <c:v>44166</c:v>
                </c:pt>
                <c:pt idx="108">
                  <c:v>44197</c:v>
                </c:pt>
                <c:pt idx="109">
                  <c:v>44228</c:v>
                </c:pt>
                <c:pt idx="110">
                  <c:v>44256</c:v>
                </c:pt>
                <c:pt idx="111">
                  <c:v>44287</c:v>
                </c:pt>
                <c:pt idx="112">
                  <c:v>44317</c:v>
                </c:pt>
                <c:pt idx="113">
                  <c:v>44348</c:v>
                </c:pt>
                <c:pt idx="114">
                  <c:v>44378</c:v>
                </c:pt>
                <c:pt idx="115">
                  <c:v>44409</c:v>
                </c:pt>
                <c:pt idx="116">
                  <c:v>44440</c:v>
                </c:pt>
                <c:pt idx="117">
                  <c:v>44470</c:v>
                </c:pt>
                <c:pt idx="118">
                  <c:v>44501</c:v>
                </c:pt>
                <c:pt idx="119">
                  <c:v>44531</c:v>
                </c:pt>
                <c:pt idx="120">
                  <c:v>44562</c:v>
                </c:pt>
                <c:pt idx="121">
                  <c:v>44593</c:v>
                </c:pt>
                <c:pt idx="122">
                  <c:v>44621</c:v>
                </c:pt>
                <c:pt idx="123">
                  <c:v>44652</c:v>
                </c:pt>
                <c:pt idx="124">
                  <c:v>44682</c:v>
                </c:pt>
                <c:pt idx="125">
                  <c:v>44713</c:v>
                </c:pt>
                <c:pt idx="126">
                  <c:v>44743</c:v>
                </c:pt>
                <c:pt idx="127">
                  <c:v>44774</c:v>
                </c:pt>
                <c:pt idx="128">
                  <c:v>44805</c:v>
                </c:pt>
                <c:pt idx="129">
                  <c:v>44835</c:v>
                </c:pt>
                <c:pt idx="130">
                  <c:v>44866</c:v>
                </c:pt>
                <c:pt idx="131">
                  <c:v>44896</c:v>
                </c:pt>
                <c:pt idx="132">
                  <c:v>44927</c:v>
                </c:pt>
                <c:pt idx="133">
                  <c:v>44958</c:v>
                </c:pt>
                <c:pt idx="134">
                  <c:v>44986</c:v>
                </c:pt>
                <c:pt idx="135">
                  <c:v>45017</c:v>
                </c:pt>
                <c:pt idx="136">
                  <c:v>45047</c:v>
                </c:pt>
                <c:pt idx="137">
                  <c:v>45078</c:v>
                </c:pt>
                <c:pt idx="138">
                  <c:v>45108</c:v>
                </c:pt>
                <c:pt idx="139">
                  <c:v>45139</c:v>
                </c:pt>
                <c:pt idx="140">
                  <c:v>45170</c:v>
                </c:pt>
                <c:pt idx="141">
                  <c:v>45200</c:v>
                </c:pt>
                <c:pt idx="142">
                  <c:v>45231</c:v>
                </c:pt>
                <c:pt idx="143">
                  <c:v>45261</c:v>
                </c:pt>
                <c:pt idx="144">
                  <c:v>45292</c:v>
                </c:pt>
                <c:pt idx="145">
                  <c:v>45323</c:v>
                </c:pt>
                <c:pt idx="146">
                  <c:v>45352</c:v>
                </c:pt>
                <c:pt idx="147">
                  <c:v>45383</c:v>
                </c:pt>
                <c:pt idx="148">
                  <c:v>45413</c:v>
                </c:pt>
                <c:pt idx="149">
                  <c:v>45444</c:v>
                </c:pt>
                <c:pt idx="150">
                  <c:v>45474</c:v>
                </c:pt>
                <c:pt idx="151">
                  <c:v>45505</c:v>
                </c:pt>
                <c:pt idx="152">
                  <c:v>45536</c:v>
                </c:pt>
                <c:pt idx="153">
                  <c:v>45566</c:v>
                </c:pt>
                <c:pt idx="154">
                  <c:v>45597</c:v>
                </c:pt>
                <c:pt idx="155">
                  <c:v>45627</c:v>
                </c:pt>
                <c:pt idx="156">
                  <c:v>45658</c:v>
                </c:pt>
                <c:pt idx="157">
                  <c:v>45689</c:v>
                </c:pt>
                <c:pt idx="158">
                  <c:v>45717</c:v>
                </c:pt>
                <c:pt idx="159">
                  <c:v>45748</c:v>
                </c:pt>
                <c:pt idx="160">
                  <c:v>45778</c:v>
                </c:pt>
                <c:pt idx="161">
                  <c:v>45809</c:v>
                </c:pt>
                <c:pt idx="162">
                  <c:v>45839</c:v>
                </c:pt>
                <c:pt idx="163">
                  <c:v>45870</c:v>
                </c:pt>
                <c:pt idx="164">
                  <c:v>45901</c:v>
                </c:pt>
                <c:pt idx="165">
                  <c:v>45931</c:v>
                </c:pt>
                <c:pt idx="166">
                  <c:v>45962</c:v>
                </c:pt>
                <c:pt idx="167">
                  <c:v>45992</c:v>
                </c:pt>
                <c:pt idx="168">
                  <c:v>46023</c:v>
                </c:pt>
                <c:pt idx="169">
                  <c:v>46054</c:v>
                </c:pt>
                <c:pt idx="170">
                  <c:v>46082</c:v>
                </c:pt>
                <c:pt idx="171">
                  <c:v>46113</c:v>
                </c:pt>
                <c:pt idx="172">
                  <c:v>46143</c:v>
                </c:pt>
                <c:pt idx="173">
                  <c:v>46174</c:v>
                </c:pt>
                <c:pt idx="174">
                  <c:v>46204</c:v>
                </c:pt>
                <c:pt idx="175">
                  <c:v>46235</c:v>
                </c:pt>
              </c:numCache>
            </c:numRef>
          </c:cat>
          <c:val>
            <c:numRef>
              <c:f>'Net reserves'!$H$14:$GA$14</c:f>
              <c:numCache>
                <c:formatCode>0.0</c:formatCode>
                <c:ptCount val="176"/>
                <c:pt idx="0">
                  <c:v>6740.3984248320585</c:v>
                </c:pt>
                <c:pt idx="1">
                  <c:v>6654.5120551090695</c:v>
                </c:pt>
                <c:pt idx="2">
                  <c:v>7038.701537049782</c:v>
                </c:pt>
                <c:pt idx="3">
                  <c:v>6960.8369342733677</c:v>
                </c:pt>
                <c:pt idx="4">
                  <c:v>6119.5911031228943</c:v>
                </c:pt>
                <c:pt idx="5">
                  <c:v>5235.116022099447</c:v>
                </c:pt>
                <c:pt idx="6">
                  <c:v>5821.9890710382506</c:v>
                </c:pt>
                <c:pt idx="7">
                  <c:v>6356.9294066695529</c:v>
                </c:pt>
                <c:pt idx="8">
                  <c:v>6678.640153944837</c:v>
                </c:pt>
                <c:pt idx="9">
                  <c:v>7747.5979772439941</c:v>
                </c:pt>
                <c:pt idx="10">
                  <c:v>8073.5884177869702</c:v>
                </c:pt>
                <c:pt idx="11">
                  <c:v>8499.8979175173554</c:v>
                </c:pt>
                <c:pt idx="12">
                  <c:v>8102.1550855991936</c:v>
                </c:pt>
                <c:pt idx="13">
                  <c:v>7700.0397930760055</c:v>
                </c:pt>
                <c:pt idx="14">
                  <c:v>7599.2355938847513</c:v>
                </c:pt>
                <c:pt idx="15">
                  <c:v>7987.3429951690823</c:v>
                </c:pt>
                <c:pt idx="16">
                  <c:v>7977.431610942248</c:v>
                </c:pt>
                <c:pt idx="17">
                  <c:v>7962.5302325581397</c:v>
                </c:pt>
                <c:pt idx="18">
                  <c:v>8331.4311759343655</c:v>
                </c:pt>
                <c:pt idx="19">
                  <c:v>8405.4847841472056</c:v>
                </c:pt>
                <c:pt idx="20">
                  <c:v>8981.6450216450212</c:v>
                </c:pt>
                <c:pt idx="21">
                  <c:v>9297.9803122878475</c:v>
                </c:pt>
                <c:pt idx="22">
                  <c:v>9414.131677830419</c:v>
                </c:pt>
                <c:pt idx="23">
                  <c:v>10972.711890478387</c:v>
                </c:pt>
                <c:pt idx="24">
                  <c:v>11252.078580481622</c:v>
                </c:pt>
                <c:pt idx="25">
                  <c:v>8967.1523517382411</c:v>
                </c:pt>
                <c:pt idx="26">
                  <c:v>8347.5603621730388</c:v>
                </c:pt>
                <c:pt idx="27">
                  <c:v>7320.8249496981889</c:v>
                </c:pt>
                <c:pt idx="28">
                  <c:v>7401.5317559153182</c:v>
                </c:pt>
                <c:pt idx="29">
                  <c:v>7790.399604107386</c:v>
                </c:pt>
                <c:pt idx="30">
                  <c:v>7461.897184822521</c:v>
                </c:pt>
                <c:pt idx="31">
                  <c:v>7534.9179738953408</c:v>
                </c:pt>
                <c:pt idx="32">
                  <c:v>7401.6467780429593</c:v>
                </c:pt>
                <c:pt idx="33">
                  <c:v>7799.3250444049736</c:v>
                </c:pt>
                <c:pt idx="34">
                  <c:v>7898.1485849056608</c:v>
                </c:pt>
                <c:pt idx="35">
                  <c:v>8495.5816686251455</c:v>
                </c:pt>
                <c:pt idx="36">
                  <c:v>8617.7079697498539</c:v>
                </c:pt>
                <c:pt idx="37">
                  <c:v>9385.4493087557603</c:v>
                </c:pt>
                <c:pt idx="38">
                  <c:v>8463.9566704675035</c:v>
                </c:pt>
                <c:pt idx="39">
                  <c:v>8032.7990970654637</c:v>
                </c:pt>
                <c:pt idx="40">
                  <c:v>7748.1609837898268</c:v>
                </c:pt>
                <c:pt idx="41">
                  <c:v>7723.8053097345137</c:v>
                </c:pt>
                <c:pt idx="42">
                  <c:v>8271.2192454893393</c:v>
                </c:pt>
                <c:pt idx="43">
                  <c:v>7884.8864864864863</c:v>
                </c:pt>
                <c:pt idx="44">
                  <c:v>8030.4213333333328</c:v>
                </c:pt>
                <c:pt idx="45">
                  <c:v>9340.1472908995256</c:v>
                </c:pt>
                <c:pt idx="46">
                  <c:v>9605.0285121824782</c:v>
                </c:pt>
                <c:pt idx="47">
                  <c:v>11081.854961832061</c:v>
                </c:pt>
                <c:pt idx="48">
                  <c:v>9488.44702467344</c:v>
                </c:pt>
                <c:pt idx="49">
                  <c:v>7285.7707006369437</c:v>
                </c:pt>
                <c:pt idx="50">
                  <c:v>9003.767123287671</c:v>
                </c:pt>
                <c:pt idx="51">
                  <c:v>8666.3146853146845</c:v>
                </c:pt>
                <c:pt idx="52">
                  <c:v>11041.792857142858</c:v>
                </c:pt>
                <c:pt idx="53">
                  <c:v>11213.480000000001</c:v>
                </c:pt>
                <c:pt idx="54">
                  <c:v>11695.826666666666</c:v>
                </c:pt>
                <c:pt idx="55">
                  <c:v>10395.093959731543</c:v>
                </c:pt>
                <c:pt idx="56">
                  <c:v>10034.97385620915</c:v>
                </c:pt>
                <c:pt idx="57">
                  <c:v>17250.125000000004</c:v>
                </c:pt>
                <c:pt idx="58">
                  <c:v>13780.238993710691</c:v>
                </c:pt>
                <c:pt idx="59">
                  <c:v>15650.591194968552</c:v>
                </c:pt>
                <c:pt idx="60">
                  <c:v>21985.465408805034</c:v>
                </c:pt>
                <c:pt idx="61">
                  <c:v>22287.258064516129</c:v>
                </c:pt>
                <c:pt idx="62">
                  <c:v>24245.785714285714</c:v>
                </c:pt>
                <c:pt idx="63">
                  <c:v>18781</c:v>
                </c:pt>
                <c:pt idx="64">
                  <c:v>15601.465838509315</c:v>
                </c:pt>
                <c:pt idx="65">
                  <c:v>13056.018072289155</c:v>
                </c:pt>
                <c:pt idx="66">
                  <c:v>15268.906515580738</c:v>
                </c:pt>
                <c:pt idx="67">
                  <c:v>16070.890173410406</c:v>
                </c:pt>
                <c:pt idx="68">
                  <c:v>14471.7225433526</c:v>
                </c:pt>
                <c:pt idx="69">
                  <c:v>12755.133144475922</c:v>
                </c:pt>
                <c:pt idx="70">
                  <c:v>14343.913294797689</c:v>
                </c:pt>
                <c:pt idx="71">
                  <c:v>13026.311827956988</c:v>
                </c:pt>
                <c:pt idx="72">
                  <c:v>16222.448979591836</c:v>
                </c:pt>
                <c:pt idx="73">
                  <c:v>12130.283582089553</c:v>
                </c:pt>
                <c:pt idx="74">
                  <c:v>12443.6213592233</c:v>
                </c:pt>
                <c:pt idx="75">
                  <c:v>12608.408759124086</c:v>
                </c:pt>
                <c:pt idx="76">
                  <c:v>11362.994781212365</c:v>
                </c:pt>
                <c:pt idx="77">
                  <c:v>13911.399305555555</c:v>
                </c:pt>
                <c:pt idx="78">
                  <c:v>13780.673216885009</c:v>
                </c:pt>
                <c:pt idx="79">
                  <c:v>13825.986376021798</c:v>
                </c:pt>
                <c:pt idx="80">
                  <c:v>13027.803159173754</c:v>
                </c:pt>
                <c:pt idx="81">
                  <c:v>13109.983263598326</c:v>
                </c:pt>
                <c:pt idx="82">
                  <c:v>13355.757575757576</c:v>
                </c:pt>
                <c:pt idx="83">
                  <c:v>14291.031914893618</c:v>
                </c:pt>
                <c:pt idx="84">
                  <c:v>14008.104697986579</c:v>
                </c:pt>
                <c:pt idx="85">
                  <c:v>13715.469910371319</c:v>
                </c:pt>
                <c:pt idx="86">
                  <c:v>15487.879768786128</c:v>
                </c:pt>
                <c:pt idx="87">
                  <c:v>16017.048808172533</c:v>
                </c:pt>
                <c:pt idx="88">
                  <c:v>16679.558889386477</c:v>
                </c:pt>
                <c:pt idx="89">
                  <c:v>15694.053352219074</c:v>
                </c:pt>
                <c:pt idx="90">
                  <c:v>15996.868433074464</c:v>
                </c:pt>
                <c:pt idx="91">
                  <c:v>11121.99124726477</c:v>
                </c:pt>
                <c:pt idx="92">
                  <c:v>8784.1589841711593</c:v>
                </c:pt>
                <c:pt idx="93">
                  <c:v>8030.543897935202</c:v>
                </c:pt>
                <c:pt idx="94">
                  <c:v>8171.8315508021387</c:v>
                </c:pt>
                <c:pt idx="95">
                  <c:v>8961.0152199364438</c:v>
                </c:pt>
                <c:pt idx="96">
                  <c:v>9972.1742738589219</c:v>
                </c:pt>
                <c:pt idx="97">
                  <c:v>10643.295765577201</c:v>
                </c:pt>
                <c:pt idx="98">
                  <c:v>10330.711511573714</c:v>
                </c:pt>
                <c:pt idx="99">
                  <c:v>10883.961642193588</c:v>
                </c:pt>
                <c:pt idx="100">
                  <c:v>11236.189362945646</c:v>
                </c:pt>
                <c:pt idx="101">
                  <c:v>10529.860716316089</c:v>
                </c:pt>
                <c:pt idx="102">
                  <c:v>10726.517585156465</c:v>
                </c:pt>
                <c:pt idx="103">
                  <c:v>11418.921436285096</c:v>
                </c:pt>
                <c:pt idx="104">
                  <c:v>12010.190588853839</c:v>
                </c:pt>
                <c:pt idx="105">
                  <c:v>11518.896701610842</c:v>
                </c:pt>
                <c:pt idx="106">
                  <c:v>11191.702992242335</c:v>
                </c:pt>
                <c:pt idx="107">
                  <c:v>10928.736466389055</c:v>
                </c:pt>
                <c:pt idx="108">
                  <c:v>11455.21494898544</c:v>
                </c:pt>
                <c:pt idx="109">
                  <c:v>11859.843958983503</c:v>
                </c:pt>
                <c:pt idx="110">
                  <c:v>11229.519042437432</c:v>
                </c:pt>
                <c:pt idx="111">
                  <c:v>10547.884656537557</c:v>
                </c:pt>
                <c:pt idx="112">
                  <c:v>10108.955933636267</c:v>
                </c:pt>
                <c:pt idx="113">
                  <c:v>10702.137628111273</c:v>
                </c:pt>
                <c:pt idx="114">
                  <c:v>11220.209131380059</c:v>
                </c:pt>
                <c:pt idx="115">
                  <c:v>11376.913150348219</c:v>
                </c:pt>
                <c:pt idx="116">
                  <c:v>11874.40794809408</c:v>
                </c:pt>
                <c:pt idx="117">
                  <c:v>11922.365990764907</c:v>
                </c:pt>
                <c:pt idx="118">
                  <c:v>11453.95102121753</c:v>
                </c:pt>
                <c:pt idx="119">
                  <c:v>12128.163126096279</c:v>
                </c:pt>
                <c:pt idx="120">
                  <c:v>12043.709492947008</c:v>
                </c:pt>
                <c:pt idx="121">
                  <c:v>12196.541220307407</c:v>
                </c:pt>
                <c:pt idx="122">
                  <c:v>11574.986926336671</c:v>
                </c:pt>
                <c:pt idx="123">
                  <c:v>12291.68561756792</c:v>
                </c:pt>
                <c:pt idx="124">
                  <c:v>12106.127393838467</c:v>
                </c:pt>
                <c:pt idx="125">
                  <c:v>11529.239990409975</c:v>
                </c:pt>
                <c:pt idx="126">
                  <c:v>11484.449950445987</c:v>
                </c:pt>
                <c:pt idx="127">
                  <c:v>11547.996826083821</c:v>
                </c:pt>
                <c:pt idx="128">
                  <c:v>11049.124439614183</c:v>
                </c:pt>
                <c:pt idx="129">
                  <c:v>11228.826605446082</c:v>
                </c:pt>
                <c:pt idx="130">
                  <c:v>11530.368465127407</c:v>
                </c:pt>
                <c:pt idx="131">
                  <c:v>12092.345532587824</c:v>
                </c:pt>
                <c:pt idx="132">
                  <c:v>12888.554307116103</c:v>
                </c:pt>
                <c:pt idx="133">
                  <c:v>12961.671656939861</c:v>
                </c:pt>
                <c:pt idx="134">
                  <c:v>12149.790718835304</c:v>
                </c:pt>
                <c:pt idx="135">
                  <c:v>11245.164509169364</c:v>
                </c:pt>
                <c:pt idx="136">
                  <c:v>11019.171333054743</c:v>
                </c:pt>
                <c:pt idx="137">
                  <c:v>10307.573879142301</c:v>
                </c:pt>
                <c:pt idx="138">
                  <c:v>9839.0925286311576</c:v>
                </c:pt>
                <c:pt idx="139">
                  <c:v>9385.2572246065811</c:v>
                </c:pt>
                <c:pt idx="140">
                  <c:v>9584.0603805980827</c:v>
                </c:pt>
                <c:pt idx="141">
                  <c:v>8896.1722460658093</c:v>
                </c:pt>
                <c:pt idx="142">
                  <c:v>8863.6897222222215</c:v>
                </c:pt>
                <c:pt idx="143">
                  <c:v>9134.5514591982155</c:v>
                </c:pt>
                <c:pt idx="144">
                  <c:v>9813.5929203539818</c:v>
                </c:pt>
                <c:pt idx="145">
                  <c:v>9333.2359938146783</c:v>
                </c:pt>
                <c:pt idx="146">
                  <c:v>8907.3643899591352</c:v>
                </c:pt>
                <c:pt idx="147">
                  <c:v>8401.9636571428582</c:v>
                </c:pt>
                <c:pt idx="148">
                  <c:v>8129.5684563758396</c:v>
                </c:pt>
                <c:pt idx="149">
                  <c:v>8333.7056562328398</c:v>
                </c:pt>
                <c:pt idx="150">
                  <c:v>9609.8771628156901</c:v>
                </c:pt>
                <c:pt idx="151">
                  <c:v>9495.1028361344543</c:v>
                </c:pt>
                <c:pt idx="152">
                  <c:v>10675.390918472653</c:v>
                </c:pt>
                <c:pt idx="153">
                  <c:v>12570.272993437658</c:v>
                </c:pt>
                <c:pt idx="154">
                  <c:v>13586.966336633663</c:v>
                </c:pt>
                <c:pt idx="155">
                  <c:v>12280.563901018922</c:v>
                </c:pt>
                <c:pt idx="156">
                  <c:v>12863.616159695817</c:v>
                </c:pt>
                <c:pt idx="157">
                  <c:v>12436.27105572537</c:v>
                </c:pt>
                <c:pt idx="158">
                  <c:v>11428.230023310023</c:v>
                </c:pt>
                <c:pt idx="159">
                  <c:v>13775.616816816817</c:v>
                </c:pt>
                <c:pt idx="160">
                  <c:v>12046.725052809463</c:v>
                </c:pt>
                <c:pt idx="161">
                  <c:v>11443.552603082049</c:v>
                </c:pt>
                <c:pt idx="162">
                  <c:v>12352.789923329683</c:v>
                </c:pt>
                <c:pt idx="163">
                  <c:v>12202.101383177569</c:v>
                </c:pt>
                <c:pt idx="164">
                  <c:v>12698.184296619411</c:v>
                </c:pt>
                <c:pt idx="165">
                  <c:v>14073.245192641443</c:v>
                </c:pt>
                <c:pt idx="166">
                  <c:v>16026.693227366966</c:v>
                </c:pt>
                <c:pt idx="167">
                  <c:v>15158.656187521545</c:v>
                </c:pt>
                <c:pt idx="168">
                  <c:v>17330.112998266897</c:v>
                </c:pt>
                <c:pt idx="169">
                  <c:v>17181.97457809695</c:v>
                </c:pt>
                <c:pt idx="170">
                  <c:v>14366.486823956444</c:v>
                </c:pt>
                <c:pt idx="171">
                  <c:v>14051.529318427694</c:v>
                </c:pt>
                <c:pt idx="172">
                  <c:v>14753.086213038832</c:v>
                </c:pt>
                <c:pt idx="173">
                  <c:v>12397.849881556684</c:v>
                </c:pt>
                <c:pt idx="174" formatCode="0.000">
                  <c:v>12397.849881556684</c:v>
                </c:pt>
                <c:pt idx="175" formatCode="0.000">
                  <c:v>12397.849881556684</c:v>
                </c:pt>
              </c:numCache>
            </c:numRef>
          </c:val>
          <c:extLst>
            <c:ext xmlns:c16="http://schemas.microsoft.com/office/drawing/2014/chart" uri="{C3380CC4-5D6E-409C-BE32-E72D297353CC}">
              <c16:uniqueId val="{00000002-FD4E-4B2E-8E65-1D04EAE64A2B}"/>
            </c:ext>
          </c:extLst>
        </c:ser>
        <c:ser>
          <c:idx val="3"/>
          <c:order val="3"/>
          <c:tx>
            <c:strRef>
              <c:f>'Net reserves'!$A$15</c:f>
              <c:strCache>
                <c:ptCount val="1"/>
                <c:pt idx="0">
                  <c:v>Gold</c:v>
                </c:pt>
              </c:strCache>
            </c:strRef>
          </c:tx>
          <c:spPr>
            <a:solidFill>
              <a:srgbClr val="C89B1C"/>
            </a:solidFill>
            <a:ln w="12700">
              <a:noFill/>
              <a:prstDash val="solid"/>
            </a:ln>
            <a:effectLst/>
          </c:spPr>
          <c:cat>
            <c:numRef>
              <c:f>'Net reserves'!$H$10:$GA$10</c:f>
              <c:numCache>
                <c:formatCode>mmm\-yy</c:formatCode>
                <c:ptCount val="176"/>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pt idx="14">
                  <c:v>41334</c:v>
                </c:pt>
                <c:pt idx="15">
                  <c:v>41365</c:v>
                </c:pt>
                <c:pt idx="16">
                  <c:v>41395</c:v>
                </c:pt>
                <c:pt idx="17">
                  <c:v>41426</c:v>
                </c:pt>
                <c:pt idx="18">
                  <c:v>41456</c:v>
                </c:pt>
                <c:pt idx="19">
                  <c:v>41487</c:v>
                </c:pt>
                <c:pt idx="20">
                  <c:v>41518</c:v>
                </c:pt>
                <c:pt idx="21">
                  <c:v>41548</c:v>
                </c:pt>
                <c:pt idx="22">
                  <c:v>41579</c:v>
                </c:pt>
                <c:pt idx="23">
                  <c:v>41609</c:v>
                </c:pt>
                <c:pt idx="24">
                  <c:v>41640</c:v>
                </c:pt>
                <c:pt idx="25">
                  <c:v>41671</c:v>
                </c:pt>
                <c:pt idx="26">
                  <c:v>41699</c:v>
                </c:pt>
                <c:pt idx="27">
                  <c:v>41730</c:v>
                </c:pt>
                <c:pt idx="28">
                  <c:v>41760</c:v>
                </c:pt>
                <c:pt idx="29">
                  <c:v>41791</c:v>
                </c:pt>
                <c:pt idx="30">
                  <c:v>41821</c:v>
                </c:pt>
                <c:pt idx="31">
                  <c:v>41852</c:v>
                </c:pt>
                <c:pt idx="32">
                  <c:v>41883</c:v>
                </c:pt>
                <c:pt idx="33">
                  <c:v>41913</c:v>
                </c:pt>
                <c:pt idx="34">
                  <c:v>41944</c:v>
                </c:pt>
                <c:pt idx="35">
                  <c:v>41974</c:v>
                </c:pt>
                <c:pt idx="36">
                  <c:v>42005</c:v>
                </c:pt>
                <c:pt idx="37">
                  <c:v>42036</c:v>
                </c:pt>
                <c:pt idx="38">
                  <c:v>42064</c:v>
                </c:pt>
                <c:pt idx="39">
                  <c:v>42095</c:v>
                </c:pt>
                <c:pt idx="40">
                  <c:v>42125</c:v>
                </c:pt>
                <c:pt idx="41">
                  <c:v>42156</c:v>
                </c:pt>
                <c:pt idx="42">
                  <c:v>42186</c:v>
                </c:pt>
                <c:pt idx="43">
                  <c:v>42217</c:v>
                </c:pt>
                <c:pt idx="44">
                  <c:v>42248</c:v>
                </c:pt>
                <c:pt idx="45">
                  <c:v>42278</c:v>
                </c:pt>
                <c:pt idx="46">
                  <c:v>42309</c:v>
                </c:pt>
                <c:pt idx="47">
                  <c:v>42339</c:v>
                </c:pt>
                <c:pt idx="48">
                  <c:v>42370</c:v>
                </c:pt>
                <c:pt idx="49">
                  <c:v>42401</c:v>
                </c:pt>
                <c:pt idx="50">
                  <c:v>42430</c:v>
                </c:pt>
                <c:pt idx="51">
                  <c:v>42461</c:v>
                </c:pt>
                <c:pt idx="52">
                  <c:v>42491</c:v>
                </c:pt>
                <c:pt idx="53">
                  <c:v>42522</c:v>
                </c:pt>
                <c:pt idx="54">
                  <c:v>42552</c:v>
                </c:pt>
                <c:pt idx="55">
                  <c:v>42583</c:v>
                </c:pt>
                <c:pt idx="56">
                  <c:v>42614</c:v>
                </c:pt>
                <c:pt idx="57">
                  <c:v>42644</c:v>
                </c:pt>
                <c:pt idx="58">
                  <c:v>42675</c:v>
                </c:pt>
                <c:pt idx="59">
                  <c:v>42705</c:v>
                </c:pt>
                <c:pt idx="60">
                  <c:v>42736</c:v>
                </c:pt>
                <c:pt idx="61">
                  <c:v>42767</c:v>
                </c:pt>
                <c:pt idx="62">
                  <c:v>42795</c:v>
                </c:pt>
                <c:pt idx="63">
                  <c:v>42826</c:v>
                </c:pt>
                <c:pt idx="64">
                  <c:v>42856</c:v>
                </c:pt>
                <c:pt idx="65">
                  <c:v>42887</c:v>
                </c:pt>
                <c:pt idx="66">
                  <c:v>42917</c:v>
                </c:pt>
                <c:pt idx="67">
                  <c:v>42948</c:v>
                </c:pt>
                <c:pt idx="68">
                  <c:v>42979</c:v>
                </c:pt>
                <c:pt idx="69">
                  <c:v>43009</c:v>
                </c:pt>
                <c:pt idx="70">
                  <c:v>43040</c:v>
                </c:pt>
                <c:pt idx="71">
                  <c:v>43070</c:v>
                </c:pt>
                <c:pt idx="72">
                  <c:v>43101</c:v>
                </c:pt>
                <c:pt idx="73">
                  <c:v>43132</c:v>
                </c:pt>
                <c:pt idx="74">
                  <c:v>43160</c:v>
                </c:pt>
                <c:pt idx="75">
                  <c:v>43191</c:v>
                </c:pt>
                <c:pt idx="76">
                  <c:v>43221</c:v>
                </c:pt>
                <c:pt idx="77">
                  <c:v>43252</c:v>
                </c:pt>
                <c:pt idx="78">
                  <c:v>43282</c:v>
                </c:pt>
                <c:pt idx="79">
                  <c:v>43313</c:v>
                </c:pt>
                <c:pt idx="80">
                  <c:v>43344</c:v>
                </c:pt>
                <c:pt idx="81">
                  <c:v>43374</c:v>
                </c:pt>
                <c:pt idx="82">
                  <c:v>43405</c:v>
                </c:pt>
                <c:pt idx="83">
                  <c:v>43435</c:v>
                </c:pt>
                <c:pt idx="84">
                  <c:v>43466</c:v>
                </c:pt>
                <c:pt idx="85">
                  <c:v>43497</c:v>
                </c:pt>
                <c:pt idx="86">
                  <c:v>43525</c:v>
                </c:pt>
                <c:pt idx="87">
                  <c:v>43556</c:v>
                </c:pt>
                <c:pt idx="88">
                  <c:v>43586</c:v>
                </c:pt>
                <c:pt idx="89">
                  <c:v>43617</c:v>
                </c:pt>
                <c:pt idx="90">
                  <c:v>43647</c:v>
                </c:pt>
                <c:pt idx="91">
                  <c:v>43678</c:v>
                </c:pt>
                <c:pt idx="92">
                  <c:v>43709</c:v>
                </c:pt>
                <c:pt idx="93">
                  <c:v>43739</c:v>
                </c:pt>
                <c:pt idx="94">
                  <c:v>43770</c:v>
                </c:pt>
                <c:pt idx="95">
                  <c:v>43800</c:v>
                </c:pt>
                <c:pt idx="96">
                  <c:v>43831</c:v>
                </c:pt>
                <c:pt idx="97">
                  <c:v>43862</c:v>
                </c:pt>
                <c:pt idx="98">
                  <c:v>43891</c:v>
                </c:pt>
                <c:pt idx="99">
                  <c:v>43922</c:v>
                </c:pt>
                <c:pt idx="100">
                  <c:v>43952</c:v>
                </c:pt>
                <c:pt idx="101">
                  <c:v>43983</c:v>
                </c:pt>
                <c:pt idx="102">
                  <c:v>44013</c:v>
                </c:pt>
                <c:pt idx="103">
                  <c:v>44044</c:v>
                </c:pt>
                <c:pt idx="104">
                  <c:v>44075</c:v>
                </c:pt>
                <c:pt idx="105">
                  <c:v>44105</c:v>
                </c:pt>
                <c:pt idx="106">
                  <c:v>44136</c:v>
                </c:pt>
                <c:pt idx="107">
                  <c:v>44166</c:v>
                </c:pt>
                <c:pt idx="108">
                  <c:v>44197</c:v>
                </c:pt>
                <c:pt idx="109">
                  <c:v>44228</c:v>
                </c:pt>
                <c:pt idx="110">
                  <c:v>44256</c:v>
                </c:pt>
                <c:pt idx="111">
                  <c:v>44287</c:v>
                </c:pt>
                <c:pt idx="112">
                  <c:v>44317</c:v>
                </c:pt>
                <c:pt idx="113">
                  <c:v>44348</c:v>
                </c:pt>
                <c:pt idx="114">
                  <c:v>44378</c:v>
                </c:pt>
                <c:pt idx="115">
                  <c:v>44409</c:v>
                </c:pt>
                <c:pt idx="116">
                  <c:v>44440</c:v>
                </c:pt>
                <c:pt idx="117">
                  <c:v>44470</c:v>
                </c:pt>
                <c:pt idx="118">
                  <c:v>44501</c:v>
                </c:pt>
                <c:pt idx="119">
                  <c:v>44531</c:v>
                </c:pt>
                <c:pt idx="120">
                  <c:v>44562</c:v>
                </c:pt>
                <c:pt idx="121">
                  <c:v>44593</c:v>
                </c:pt>
                <c:pt idx="122">
                  <c:v>44621</c:v>
                </c:pt>
                <c:pt idx="123">
                  <c:v>44652</c:v>
                </c:pt>
                <c:pt idx="124">
                  <c:v>44682</c:v>
                </c:pt>
                <c:pt idx="125">
                  <c:v>44713</c:v>
                </c:pt>
                <c:pt idx="126">
                  <c:v>44743</c:v>
                </c:pt>
                <c:pt idx="127">
                  <c:v>44774</c:v>
                </c:pt>
                <c:pt idx="128">
                  <c:v>44805</c:v>
                </c:pt>
                <c:pt idx="129">
                  <c:v>44835</c:v>
                </c:pt>
                <c:pt idx="130">
                  <c:v>44866</c:v>
                </c:pt>
                <c:pt idx="131">
                  <c:v>44896</c:v>
                </c:pt>
                <c:pt idx="132">
                  <c:v>44927</c:v>
                </c:pt>
                <c:pt idx="133">
                  <c:v>44958</c:v>
                </c:pt>
                <c:pt idx="134">
                  <c:v>44986</c:v>
                </c:pt>
                <c:pt idx="135">
                  <c:v>45017</c:v>
                </c:pt>
                <c:pt idx="136">
                  <c:v>45047</c:v>
                </c:pt>
                <c:pt idx="137">
                  <c:v>45078</c:v>
                </c:pt>
                <c:pt idx="138">
                  <c:v>45108</c:v>
                </c:pt>
                <c:pt idx="139">
                  <c:v>45139</c:v>
                </c:pt>
                <c:pt idx="140">
                  <c:v>45170</c:v>
                </c:pt>
                <c:pt idx="141">
                  <c:v>45200</c:v>
                </c:pt>
                <c:pt idx="142">
                  <c:v>45231</c:v>
                </c:pt>
                <c:pt idx="143">
                  <c:v>45261</c:v>
                </c:pt>
                <c:pt idx="144">
                  <c:v>45292</c:v>
                </c:pt>
                <c:pt idx="145">
                  <c:v>45323</c:v>
                </c:pt>
                <c:pt idx="146">
                  <c:v>45352</c:v>
                </c:pt>
                <c:pt idx="147">
                  <c:v>45383</c:v>
                </c:pt>
                <c:pt idx="148">
                  <c:v>45413</c:v>
                </c:pt>
                <c:pt idx="149">
                  <c:v>45444</c:v>
                </c:pt>
                <c:pt idx="150">
                  <c:v>45474</c:v>
                </c:pt>
                <c:pt idx="151">
                  <c:v>45505</c:v>
                </c:pt>
                <c:pt idx="152">
                  <c:v>45536</c:v>
                </c:pt>
                <c:pt idx="153">
                  <c:v>45566</c:v>
                </c:pt>
                <c:pt idx="154">
                  <c:v>45597</c:v>
                </c:pt>
                <c:pt idx="155">
                  <c:v>45627</c:v>
                </c:pt>
                <c:pt idx="156">
                  <c:v>45658</c:v>
                </c:pt>
                <c:pt idx="157">
                  <c:v>45689</c:v>
                </c:pt>
                <c:pt idx="158">
                  <c:v>45717</c:v>
                </c:pt>
                <c:pt idx="159">
                  <c:v>45748</c:v>
                </c:pt>
                <c:pt idx="160">
                  <c:v>45778</c:v>
                </c:pt>
                <c:pt idx="161">
                  <c:v>45809</c:v>
                </c:pt>
                <c:pt idx="162">
                  <c:v>45839</c:v>
                </c:pt>
                <c:pt idx="163">
                  <c:v>45870</c:v>
                </c:pt>
                <c:pt idx="164">
                  <c:v>45901</c:v>
                </c:pt>
                <c:pt idx="165">
                  <c:v>45931</c:v>
                </c:pt>
                <c:pt idx="166">
                  <c:v>45962</c:v>
                </c:pt>
                <c:pt idx="167">
                  <c:v>45992</c:v>
                </c:pt>
                <c:pt idx="168">
                  <c:v>46023</c:v>
                </c:pt>
                <c:pt idx="169">
                  <c:v>46054</c:v>
                </c:pt>
                <c:pt idx="170">
                  <c:v>46082</c:v>
                </c:pt>
                <c:pt idx="171">
                  <c:v>46113</c:v>
                </c:pt>
                <c:pt idx="172">
                  <c:v>46143</c:v>
                </c:pt>
                <c:pt idx="173">
                  <c:v>46174</c:v>
                </c:pt>
                <c:pt idx="174">
                  <c:v>46204</c:v>
                </c:pt>
                <c:pt idx="175">
                  <c:v>46235</c:v>
                </c:pt>
              </c:numCache>
            </c:numRef>
          </c:cat>
          <c:val>
            <c:numRef>
              <c:f>'Net reserves'!$H$15:$GA$15</c:f>
              <c:numCache>
                <c:formatCode>0.0</c:formatCode>
                <c:ptCount val="176"/>
                <c:pt idx="0">
                  <c:v>3433.6390000000001</c:v>
                </c:pt>
                <c:pt idx="1">
                  <c:v>3419.7840000000001</c:v>
                </c:pt>
                <c:pt idx="2">
                  <c:v>3311.107</c:v>
                </c:pt>
                <c:pt idx="3">
                  <c:v>3300.4279999999999</c:v>
                </c:pt>
                <c:pt idx="4">
                  <c:v>3096.5929999999998</c:v>
                </c:pt>
                <c:pt idx="5">
                  <c:v>3175.038</c:v>
                </c:pt>
                <c:pt idx="6">
                  <c:v>3201.3589999999999</c:v>
                </c:pt>
                <c:pt idx="7">
                  <c:v>3346.4989999999998</c:v>
                </c:pt>
                <c:pt idx="8">
                  <c:v>3514.1480000000001</c:v>
                </c:pt>
                <c:pt idx="9">
                  <c:v>3411.1089999999999</c:v>
                </c:pt>
                <c:pt idx="10">
                  <c:v>3399.835</c:v>
                </c:pt>
                <c:pt idx="11">
                  <c:v>3326.471</c:v>
                </c:pt>
                <c:pt idx="12">
                  <c:v>3330.7379999999998</c:v>
                </c:pt>
                <c:pt idx="13">
                  <c:v>3137.2649999999999</c:v>
                </c:pt>
                <c:pt idx="14">
                  <c:v>3186.9679999999998</c:v>
                </c:pt>
                <c:pt idx="15">
                  <c:v>2922.9090000000001</c:v>
                </c:pt>
                <c:pt idx="16">
                  <c:v>2763.3980000000001</c:v>
                </c:pt>
                <c:pt idx="17">
                  <c:v>2432.7640000000001</c:v>
                </c:pt>
                <c:pt idx="18">
                  <c:v>2606.6260000000002</c:v>
                </c:pt>
                <c:pt idx="19">
                  <c:v>2769.5709999999999</c:v>
                </c:pt>
                <c:pt idx="20">
                  <c:v>2637.9490000000001</c:v>
                </c:pt>
                <c:pt idx="21">
                  <c:v>2625.5230000000001</c:v>
                </c:pt>
                <c:pt idx="22">
                  <c:v>2481.8119999999999</c:v>
                </c:pt>
                <c:pt idx="23">
                  <c:v>2389.4720000000002</c:v>
                </c:pt>
                <c:pt idx="24">
                  <c:v>2461.7440000000001</c:v>
                </c:pt>
                <c:pt idx="25">
                  <c:v>2623.6570000000002</c:v>
                </c:pt>
                <c:pt idx="26">
                  <c:v>2545.9459999999999</c:v>
                </c:pt>
                <c:pt idx="27">
                  <c:v>2569.587</c:v>
                </c:pt>
                <c:pt idx="28">
                  <c:v>2470.0410000000002</c:v>
                </c:pt>
                <c:pt idx="29">
                  <c:v>2633.6410000000001</c:v>
                </c:pt>
                <c:pt idx="30">
                  <c:v>2542.2339999999999</c:v>
                </c:pt>
                <c:pt idx="31">
                  <c:v>2552.06</c:v>
                </c:pt>
                <c:pt idx="32">
                  <c:v>2399.34</c:v>
                </c:pt>
                <c:pt idx="33">
                  <c:v>2324.52</c:v>
                </c:pt>
                <c:pt idx="34">
                  <c:v>2316.17</c:v>
                </c:pt>
                <c:pt idx="35">
                  <c:v>2354.7849999999999</c:v>
                </c:pt>
                <c:pt idx="36">
                  <c:v>2529.5500000000002</c:v>
                </c:pt>
                <c:pt idx="37">
                  <c:v>2406.96</c:v>
                </c:pt>
                <c:pt idx="38">
                  <c:v>2345.58</c:v>
                </c:pt>
                <c:pt idx="39">
                  <c:v>2348.3429999999998</c:v>
                </c:pt>
                <c:pt idx="40">
                  <c:v>2361.8209999999999</c:v>
                </c:pt>
                <c:pt idx="41">
                  <c:v>2325.933</c:v>
                </c:pt>
                <c:pt idx="42">
                  <c:v>2178.0140000000001</c:v>
                </c:pt>
                <c:pt idx="43">
                  <c:v>2249.096</c:v>
                </c:pt>
                <c:pt idx="44">
                  <c:v>2214.3980000000001</c:v>
                </c:pt>
                <c:pt idx="45">
                  <c:v>2263.348</c:v>
                </c:pt>
                <c:pt idx="46">
                  <c:v>2110.625</c:v>
                </c:pt>
                <c:pt idx="47">
                  <c:v>2106.933</c:v>
                </c:pt>
                <c:pt idx="48">
                  <c:v>2215.2719999999999</c:v>
                </c:pt>
                <c:pt idx="49">
                  <c:v>2444.1970000000001</c:v>
                </c:pt>
                <c:pt idx="50">
                  <c:v>2444.44</c:v>
                </c:pt>
                <c:pt idx="51">
                  <c:v>2559.8009999999999</c:v>
                </c:pt>
                <c:pt idx="52">
                  <c:v>2413.0300000000002</c:v>
                </c:pt>
                <c:pt idx="53">
                  <c:v>2617.2649999999999</c:v>
                </c:pt>
                <c:pt idx="54">
                  <c:v>2681.558</c:v>
                </c:pt>
                <c:pt idx="55">
                  <c:v>2594.4380000000001</c:v>
                </c:pt>
                <c:pt idx="56">
                  <c:v>2607.7570000000001</c:v>
                </c:pt>
                <c:pt idx="57">
                  <c:v>2322.9899999999998</c:v>
                </c:pt>
                <c:pt idx="58">
                  <c:v>2141.8249999999998</c:v>
                </c:pt>
                <c:pt idx="59">
                  <c:v>2101.7489999999998</c:v>
                </c:pt>
                <c:pt idx="60">
                  <c:v>2400.569</c:v>
                </c:pt>
                <c:pt idx="61">
                  <c:v>2291.4899999999998</c:v>
                </c:pt>
                <c:pt idx="62">
                  <c:v>2202.13</c:v>
                </c:pt>
                <c:pt idx="63">
                  <c:v>2514.1489999999999</c:v>
                </c:pt>
                <c:pt idx="64">
                  <c:v>2522.7809999999999</c:v>
                </c:pt>
                <c:pt idx="65">
                  <c:v>2386.5839999999998</c:v>
                </c:pt>
                <c:pt idx="66">
                  <c:v>2514.067</c:v>
                </c:pt>
                <c:pt idx="67">
                  <c:v>2614.7049999999999</c:v>
                </c:pt>
                <c:pt idx="68">
                  <c:v>2545.529</c:v>
                </c:pt>
                <c:pt idx="69">
                  <c:v>2435.0189999999998</c:v>
                </c:pt>
                <c:pt idx="70">
                  <c:v>2293.1219999999998</c:v>
                </c:pt>
                <c:pt idx="71">
                  <c:v>2298.7750000000001</c:v>
                </c:pt>
                <c:pt idx="72">
                  <c:v>2657.8829999999998</c:v>
                </c:pt>
                <c:pt idx="73">
                  <c:v>2616.7890000000002</c:v>
                </c:pt>
                <c:pt idx="74">
                  <c:v>2337.6950000000002</c:v>
                </c:pt>
                <c:pt idx="75">
                  <c:v>2623.7179999999998</c:v>
                </c:pt>
                <c:pt idx="76">
                  <c:v>2579.0340000000001</c:v>
                </c:pt>
                <c:pt idx="77">
                  <c:v>2486.4360000000001</c:v>
                </c:pt>
                <c:pt idx="78">
                  <c:v>2429.2289999999998</c:v>
                </c:pt>
                <c:pt idx="79">
                  <c:v>2383.8339999999998</c:v>
                </c:pt>
                <c:pt idx="80">
                  <c:v>2296.9580000000001</c:v>
                </c:pt>
                <c:pt idx="81">
                  <c:v>2406.924</c:v>
                </c:pt>
                <c:pt idx="82">
                  <c:v>2435.6089999999999</c:v>
                </c:pt>
                <c:pt idx="83">
                  <c:v>2255.623</c:v>
                </c:pt>
                <c:pt idx="84">
                  <c:v>2622.26</c:v>
                </c:pt>
                <c:pt idx="85">
                  <c:v>2608.201</c:v>
                </c:pt>
                <c:pt idx="86">
                  <c:v>2280.8530000000001</c:v>
                </c:pt>
                <c:pt idx="87">
                  <c:v>2547.1640000000002</c:v>
                </c:pt>
                <c:pt idx="88">
                  <c:v>2588.2139999999999</c:v>
                </c:pt>
                <c:pt idx="89">
                  <c:v>2486.0309999999999</c:v>
                </c:pt>
                <c:pt idx="90">
                  <c:v>2818.4409999999998</c:v>
                </c:pt>
                <c:pt idx="91">
                  <c:v>3011.884</c:v>
                </c:pt>
                <c:pt idx="92">
                  <c:v>2914.1480000000001</c:v>
                </c:pt>
                <c:pt idx="93">
                  <c:v>2999.4389999999999</c:v>
                </c:pt>
                <c:pt idx="94">
                  <c:v>2904.26</c:v>
                </c:pt>
                <c:pt idx="95">
                  <c:v>2684.4659999999999</c:v>
                </c:pt>
                <c:pt idx="96">
                  <c:v>3140.2339999999999</c:v>
                </c:pt>
                <c:pt idx="97">
                  <c:v>3139.7559999999999</c:v>
                </c:pt>
                <c:pt idx="98">
                  <c:v>2940.8780000000002</c:v>
                </c:pt>
                <c:pt idx="99">
                  <c:v>3341.13</c:v>
                </c:pt>
                <c:pt idx="100">
                  <c:v>3440.7159999999999</c:v>
                </c:pt>
                <c:pt idx="101">
                  <c:v>3533.096</c:v>
                </c:pt>
                <c:pt idx="102">
                  <c:v>3910.8150000000001</c:v>
                </c:pt>
                <c:pt idx="103">
                  <c:v>3913.2359999999999</c:v>
                </c:pt>
                <c:pt idx="104">
                  <c:v>3753.8240000000001</c:v>
                </c:pt>
                <c:pt idx="105">
                  <c:v>3728.9920000000002</c:v>
                </c:pt>
                <c:pt idx="106">
                  <c:v>3527.4589999999998</c:v>
                </c:pt>
                <c:pt idx="107">
                  <c:v>3758.25</c:v>
                </c:pt>
                <c:pt idx="108">
                  <c:v>3673.1550000000002</c:v>
                </c:pt>
                <c:pt idx="109">
                  <c:v>3424.241</c:v>
                </c:pt>
                <c:pt idx="110">
                  <c:v>3392.9969999999998</c:v>
                </c:pt>
                <c:pt idx="111">
                  <c:v>3510.864</c:v>
                </c:pt>
                <c:pt idx="112">
                  <c:v>3783.0819999999999</c:v>
                </c:pt>
                <c:pt idx="113">
                  <c:v>3509.634</c:v>
                </c:pt>
                <c:pt idx="114">
                  <c:v>3600.4059999999999</c:v>
                </c:pt>
                <c:pt idx="115">
                  <c:v>3599.83</c:v>
                </c:pt>
                <c:pt idx="116">
                  <c:v>3483.4520000000002</c:v>
                </c:pt>
                <c:pt idx="117">
                  <c:v>3536.1529999999998</c:v>
                </c:pt>
                <c:pt idx="118">
                  <c:v>3521.7620000000002</c:v>
                </c:pt>
                <c:pt idx="119">
                  <c:v>3213.7629999999999</c:v>
                </c:pt>
                <c:pt idx="120">
                  <c:v>3564.319</c:v>
                </c:pt>
                <c:pt idx="121">
                  <c:v>3744.5140000000001</c:v>
                </c:pt>
                <c:pt idx="122">
                  <c:v>3859.2060000000001</c:v>
                </c:pt>
                <c:pt idx="123">
                  <c:v>3789.1559999999999</c:v>
                </c:pt>
                <c:pt idx="124">
                  <c:v>3655.4290000000001</c:v>
                </c:pt>
                <c:pt idx="125">
                  <c:v>3587.94</c:v>
                </c:pt>
                <c:pt idx="126">
                  <c:v>3502.2890000000002</c:v>
                </c:pt>
                <c:pt idx="127">
                  <c:v>3398.3760000000002</c:v>
                </c:pt>
                <c:pt idx="128">
                  <c:v>3299.5450000000001</c:v>
                </c:pt>
                <c:pt idx="129">
                  <c:v>3243.9259999999999</c:v>
                </c:pt>
                <c:pt idx="130">
                  <c:v>3476.683</c:v>
                </c:pt>
                <c:pt idx="131">
                  <c:v>3617.973</c:v>
                </c:pt>
                <c:pt idx="132">
                  <c:v>3827.942</c:v>
                </c:pt>
                <c:pt idx="133">
                  <c:v>3629.2869999999998</c:v>
                </c:pt>
                <c:pt idx="134">
                  <c:v>3905.4349999999999</c:v>
                </c:pt>
                <c:pt idx="135">
                  <c:v>3949.105</c:v>
                </c:pt>
                <c:pt idx="136">
                  <c:v>3900.89</c:v>
                </c:pt>
                <c:pt idx="137">
                  <c:v>3806.8820000000001</c:v>
                </c:pt>
                <c:pt idx="138">
                  <c:v>3468.944</c:v>
                </c:pt>
                <c:pt idx="139">
                  <c:v>3849.8960000000002</c:v>
                </c:pt>
                <c:pt idx="140">
                  <c:v>3669.5419999999999</c:v>
                </c:pt>
                <c:pt idx="141">
                  <c:v>3936.7979999999998</c:v>
                </c:pt>
                <c:pt idx="142">
                  <c:v>4042.9340000000002</c:v>
                </c:pt>
                <c:pt idx="143">
                  <c:v>4095.873</c:v>
                </c:pt>
                <c:pt idx="144">
                  <c:v>4064.59</c:v>
                </c:pt>
                <c:pt idx="145">
                  <c:v>4058.2579999999998</c:v>
                </c:pt>
                <c:pt idx="146">
                  <c:v>4344.7669999999998</c:v>
                </c:pt>
                <c:pt idx="147">
                  <c:v>4554.201</c:v>
                </c:pt>
                <c:pt idx="148">
                  <c:v>4614.0079999999998</c:v>
                </c:pt>
                <c:pt idx="149">
                  <c:v>4616.9650000000001</c:v>
                </c:pt>
                <c:pt idx="150">
                  <c:v>4806.6880000000001</c:v>
                </c:pt>
                <c:pt idx="151">
                  <c:v>4960.6419999999998</c:v>
                </c:pt>
                <c:pt idx="152">
                  <c:v>5234.8019999999997</c:v>
                </c:pt>
                <c:pt idx="153">
                  <c:v>5436.8109999999997</c:v>
                </c:pt>
                <c:pt idx="154">
                  <c:v>5277.643</c:v>
                </c:pt>
                <c:pt idx="155">
                  <c:v>5206.1450000000004</c:v>
                </c:pt>
                <c:pt idx="156">
                  <c:v>5572.6279999999997</c:v>
                </c:pt>
                <c:pt idx="157">
                  <c:v>5646.35</c:v>
                </c:pt>
                <c:pt idx="158">
                  <c:v>6187.3119999999999</c:v>
                </c:pt>
                <c:pt idx="159">
                  <c:v>6560.2860000000001</c:v>
                </c:pt>
                <c:pt idx="160">
                  <c:v>6532.2979999999998</c:v>
                </c:pt>
                <c:pt idx="161">
                  <c:v>6535.8909999999996</c:v>
                </c:pt>
                <c:pt idx="162">
                  <c:v>6539.1260000000002</c:v>
                </c:pt>
                <c:pt idx="163">
                  <c:v>6835.0050000000001</c:v>
                </c:pt>
                <c:pt idx="164">
                  <c:v>7629.01</c:v>
                </c:pt>
                <c:pt idx="165">
                  <c:v>7934.3959999999997</c:v>
                </c:pt>
                <c:pt idx="166">
                  <c:v>8368.3089999999993</c:v>
                </c:pt>
                <c:pt idx="167">
                  <c:v>8585.6620000000003</c:v>
                </c:pt>
                <c:pt idx="168">
                  <c:v>9644.6</c:v>
                </c:pt>
                <c:pt idx="169">
                  <c:v>10388.584000000001</c:v>
                </c:pt>
                <c:pt idx="170">
                  <c:v>9236.5709999999999</c:v>
                </c:pt>
                <c:pt idx="171">
                  <c:v>9172.8340000000007</c:v>
                </c:pt>
                <c:pt idx="172">
                  <c:v>9037.0229999999992</c:v>
                </c:pt>
                <c:pt idx="173">
                  <c:v>8000.2969999999996</c:v>
                </c:pt>
                <c:pt idx="174" formatCode="0.000">
                  <c:v>8000.2969999999996</c:v>
                </c:pt>
                <c:pt idx="175" formatCode="0.000">
                  <c:v>8000.2969999999996</c:v>
                </c:pt>
              </c:numCache>
            </c:numRef>
          </c:val>
          <c:extLst>
            <c:ext xmlns:c16="http://schemas.microsoft.com/office/drawing/2014/chart" uri="{C3380CC4-5D6E-409C-BE32-E72D297353CC}">
              <c16:uniqueId val="{00000003-FD4E-4B2E-8E65-1D04EAE64A2B}"/>
            </c:ext>
          </c:extLst>
        </c:ser>
        <c:dLbls>
          <c:showLegendKey val="0"/>
          <c:showVal val="0"/>
          <c:showCatName val="0"/>
          <c:showSerName val="0"/>
          <c:showPercent val="0"/>
          <c:showBubbleSize val="0"/>
        </c:dLbls>
        <c:axId val="176853807"/>
        <c:axId val="176838831"/>
      </c:areaChart>
      <c:dateAx>
        <c:axId val="176853807"/>
        <c:scaling>
          <c:orientation val="minMax"/>
          <c:max val="46249"/>
          <c:min val="42597"/>
        </c:scaling>
        <c:delete val="0"/>
        <c:axPos val="b"/>
        <c:numFmt formatCode="mmm\-yy" sourceLinked="1"/>
        <c:majorTickMark val="out"/>
        <c:minorTickMark val="none"/>
        <c:tickLblPos val="low"/>
        <c:spPr>
          <a:noFill/>
          <a:ln w="12700" cap="flat" cmpd="sng" algn="ctr">
            <a:solidFill>
              <a:srgbClr val="333333"/>
            </a:solidFill>
            <a:prstDash val="solid"/>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Frutiger 45 Light" panose="020B0603020202020204" pitchFamily="34" charset="0"/>
                <a:ea typeface="Credit Suisse Type Light"/>
                <a:cs typeface="Credit Suisse Type Light"/>
              </a:defRPr>
            </a:pPr>
            <a:endParaRPr lang="en-US"/>
          </a:p>
        </c:txPr>
        <c:crossAx val="176838831"/>
        <c:crosses val="autoZero"/>
        <c:auto val="1"/>
        <c:lblOffset val="100"/>
        <c:baseTimeUnit val="months"/>
        <c:majorUnit val="24"/>
        <c:majorTimeUnit val="months"/>
      </c:dateAx>
      <c:valAx>
        <c:axId val="176838831"/>
        <c:scaling>
          <c:orientation val="minMax"/>
          <c:max val="80000"/>
          <c:min val="-10000"/>
        </c:scaling>
        <c:delete val="0"/>
        <c:axPos val="l"/>
        <c:numFmt formatCode="#,##0" sourceLinked="0"/>
        <c:majorTickMark val="out"/>
        <c:minorTickMark val="none"/>
        <c:tickLblPos val="nextTo"/>
        <c:spPr>
          <a:noFill/>
          <a:ln w="12700">
            <a:solidFill>
              <a:srgbClr val="333333"/>
            </a:solidFill>
            <a:prstDash val="soli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Frutiger 45 Light" panose="020B0603020202020204" pitchFamily="34" charset="0"/>
                <a:ea typeface="Credit Suisse Type Light"/>
                <a:cs typeface="Credit Suisse Type Light"/>
              </a:defRPr>
            </a:pPr>
            <a:endParaRPr lang="en-US"/>
          </a:p>
        </c:txPr>
        <c:crossAx val="176853807"/>
        <c:crosses val="autoZero"/>
        <c:crossBetween val="midCat"/>
        <c:majorUnit val="10000"/>
        <c:dispUnits>
          <c:builtInUnit val="thousands"/>
        </c:dispUnits>
      </c:valAx>
      <c:spPr>
        <a:noFill/>
        <a:ln w="25400">
          <a:noFill/>
        </a:ln>
        <a:effectLst/>
      </c:spPr>
    </c:plotArea>
    <c:legend>
      <c:legendPos val="b"/>
      <c:layout>
        <c:manualLayout>
          <c:xMode val="edge"/>
          <c:yMode val="edge"/>
          <c:x val="0.563344764687433"/>
          <c:y val="0.1154772320126651"/>
          <c:w val="0.32729679426864094"/>
          <c:h val="0.23423400199975"/>
        </c:manualLayout>
      </c:layout>
      <c:overlay val="0"/>
      <c:spPr>
        <a:noFill/>
        <a:ln w="25400">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Frutiger 45 Light" panose="020B0603020202020204" pitchFamily="34" charset="0"/>
              <a:ea typeface="Credit Suisse Type Light"/>
              <a:cs typeface="Credit Suisse Type Light"/>
            </a:defRPr>
          </a:pPr>
          <a:endParaRPr lang="en-US"/>
        </a:p>
      </c:txPr>
    </c:legend>
    <c:plotVisOnly val="1"/>
    <c:dispBlanksAs val="zero"/>
    <c:showDLblsOverMax val="0"/>
  </c:chart>
  <c:spPr>
    <a:solidFill>
      <a:srgbClr val="FFFFFF"/>
    </a:solidFill>
    <a:ln w="25400" cap="flat" cmpd="sng" algn="ctr">
      <a:noFill/>
      <a:round/>
    </a:ln>
    <a:effectLst/>
  </c:spPr>
  <c:txPr>
    <a:bodyPr/>
    <a:lstStyle/>
    <a:p>
      <a:pPr>
        <a:defRPr sz="1200" b="0" i="0">
          <a:solidFill>
            <a:sysClr val="windowText" lastClr="000000"/>
          </a:solidFill>
          <a:latin typeface="Frutiger 45 Light" panose="020B0603020202020204" pitchFamily="34" charset="0"/>
          <a:ea typeface="Credit Suisse Type Light"/>
          <a:cs typeface="Credit Suisse Type Light"/>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'GDP demand contributions'!$D$7</c:f>
              <c:strCache>
                <c:ptCount val="1"/>
                <c:pt idx="0">
                  <c:v>Private
consumption</c:v>
                </c:pt>
              </c:strCache>
            </c:strRef>
          </c:tx>
          <c:spPr>
            <a:solidFill>
              <a:srgbClr val="2F5C8F"/>
            </a:solidFill>
            <a:ln w="0">
              <a:noFill/>
            </a:ln>
          </c:spPr>
          <c:invertIfNegative val="0"/>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'GDP demand contributions'!$B$80:$B$92</c:f>
              <c:strCache>
                <c:ptCount val="13"/>
                <c:pt idx="0">
                  <c:v>1Q 2023</c:v>
                </c:pt>
                <c:pt idx="1">
                  <c:v>2Q 2023</c:v>
                </c:pt>
                <c:pt idx="2">
                  <c:v>3Q 2023</c:v>
                </c:pt>
                <c:pt idx="3">
                  <c:v>4Q 2023</c:v>
                </c:pt>
                <c:pt idx="4">
                  <c:v>1Q 2024</c:v>
                </c:pt>
                <c:pt idx="5">
                  <c:v>2Q 2024</c:v>
                </c:pt>
                <c:pt idx="6">
                  <c:v>3Q 2024</c:v>
                </c:pt>
                <c:pt idx="7">
                  <c:v>4Q 2024</c:v>
                </c:pt>
                <c:pt idx="8">
                  <c:v>1Q 2025</c:v>
                </c:pt>
                <c:pt idx="9">
                  <c:v>2Q 2025</c:v>
                </c:pt>
                <c:pt idx="10">
                  <c:v>3Q 2025</c:v>
                </c:pt>
                <c:pt idx="11">
                  <c:v>4Q 2025</c:v>
                </c:pt>
                <c:pt idx="12">
                  <c:v>1Q 2026</c:v>
                </c:pt>
              </c:strCache>
            </c:strRef>
          </c:cat>
          <c:val>
            <c:numRef>
              <c:f>'GDP demand contributions'!$D$80:$D$92</c:f>
              <c:numCache>
                <c:formatCode>\+0.00;\-0.00;\-</c:formatCode>
                <c:ptCount val="13"/>
                <c:pt idx="0">
                  <c:v>2.7797510662904603</c:v>
                </c:pt>
                <c:pt idx="1">
                  <c:v>1.4893286089733946</c:v>
                </c:pt>
                <c:pt idx="2">
                  <c:v>-0.14001165256137435</c:v>
                </c:pt>
                <c:pt idx="3">
                  <c:v>-1.3301207556408954</c:v>
                </c:pt>
                <c:pt idx="4">
                  <c:v>-3.9329009506077801</c:v>
                </c:pt>
                <c:pt idx="5">
                  <c:v>-6.7323065020745005</c:v>
                </c:pt>
                <c:pt idx="6">
                  <c:v>-0.85848964413524609</c:v>
                </c:pt>
                <c:pt idx="7">
                  <c:v>3.3413722366255749</c:v>
                </c:pt>
                <c:pt idx="8">
                  <c:v>8.7252764036597235</c:v>
                </c:pt>
                <c:pt idx="9">
                  <c:v>8.5996844372566663</c:v>
                </c:pt>
                <c:pt idx="10">
                  <c:v>4.5380793067726435</c:v>
                </c:pt>
                <c:pt idx="11">
                  <c:v>2.9673279044948422</c:v>
                </c:pt>
                <c:pt idx="12">
                  <c:v>2.1949152717143301</c:v>
                </c:pt>
              </c:numCache>
            </c:numRef>
          </c:val>
          <c:extLst>
            <c:ext xmlns:c16="http://schemas.microsoft.com/office/drawing/2014/chart" uri="{C3380CC4-5D6E-409C-BE32-E72D297353CC}">
              <c16:uniqueId val="{00000000-CF50-4130-819B-1039E824DEF4}"/>
            </c:ext>
          </c:extLst>
        </c:ser>
        <c:ser>
          <c:idx val="1"/>
          <c:order val="1"/>
          <c:tx>
            <c:strRef>
              <c:f>'GDP demand contributions'!$E$7</c:f>
              <c:strCache>
                <c:ptCount val="1"/>
                <c:pt idx="0">
                  <c:v>Public
consumption</c:v>
                </c:pt>
              </c:strCache>
            </c:strRef>
          </c:tx>
          <c:spPr>
            <a:solidFill>
              <a:srgbClr val="8AA0B8"/>
            </a:solidFill>
            <a:ln w="0">
              <a:noFill/>
            </a:ln>
          </c:spPr>
          <c:invertIfNegative val="0"/>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'GDP demand contributions'!$B$80:$B$92</c:f>
              <c:strCache>
                <c:ptCount val="13"/>
                <c:pt idx="0">
                  <c:v>1Q 2023</c:v>
                </c:pt>
                <c:pt idx="1">
                  <c:v>2Q 2023</c:v>
                </c:pt>
                <c:pt idx="2">
                  <c:v>3Q 2023</c:v>
                </c:pt>
                <c:pt idx="3">
                  <c:v>4Q 2023</c:v>
                </c:pt>
                <c:pt idx="4">
                  <c:v>1Q 2024</c:v>
                </c:pt>
                <c:pt idx="5">
                  <c:v>2Q 2024</c:v>
                </c:pt>
                <c:pt idx="6">
                  <c:v>3Q 2024</c:v>
                </c:pt>
                <c:pt idx="7">
                  <c:v>4Q 2024</c:v>
                </c:pt>
                <c:pt idx="8">
                  <c:v>1Q 2025</c:v>
                </c:pt>
                <c:pt idx="9">
                  <c:v>2Q 2025</c:v>
                </c:pt>
                <c:pt idx="10">
                  <c:v>3Q 2025</c:v>
                </c:pt>
                <c:pt idx="11">
                  <c:v>4Q 2025</c:v>
                </c:pt>
                <c:pt idx="12">
                  <c:v>1Q 2026</c:v>
                </c:pt>
              </c:strCache>
            </c:strRef>
          </c:cat>
          <c:val>
            <c:numRef>
              <c:f>'GDP demand contributions'!$E$80:$E$92</c:f>
              <c:numCache>
                <c:formatCode>\+0.00;\-0.00;\-</c:formatCode>
                <c:ptCount val="13"/>
                <c:pt idx="0">
                  <c:v>0.4046667425877965</c:v>
                </c:pt>
                <c:pt idx="1">
                  <c:v>0.55763555796945863</c:v>
                </c:pt>
                <c:pt idx="2">
                  <c:v>0.46521309415409912</c:v>
                </c:pt>
                <c:pt idx="3">
                  <c:v>-0.22582984754712238</c:v>
                </c:pt>
                <c:pt idx="4">
                  <c:v>-0.62621193103480344</c:v>
                </c:pt>
                <c:pt idx="5">
                  <c:v>-0.77931732705046652</c:v>
                </c:pt>
                <c:pt idx="6">
                  <c:v>-0.53845233465188547</c:v>
                </c:pt>
                <c:pt idx="7">
                  <c:v>0.27787572479376854</c:v>
                </c:pt>
                <c:pt idx="8">
                  <c:v>-0.23988992571259699</c:v>
                </c:pt>
                <c:pt idx="9">
                  <c:v>0.20146278599792164</c:v>
                </c:pt>
                <c:pt idx="10">
                  <c:v>0.17119547480217473</c:v>
                </c:pt>
                <c:pt idx="11">
                  <c:v>5.1830121102282647E-2</c:v>
                </c:pt>
                <c:pt idx="12">
                  <c:v>-0.11715373105571866</c:v>
                </c:pt>
              </c:numCache>
            </c:numRef>
          </c:val>
          <c:extLst>
            <c:ext xmlns:c16="http://schemas.microsoft.com/office/drawing/2014/chart" uri="{C3380CC4-5D6E-409C-BE32-E72D297353CC}">
              <c16:uniqueId val="{00000001-CF50-4130-819B-1039E824DEF4}"/>
            </c:ext>
          </c:extLst>
        </c:ser>
        <c:ser>
          <c:idx val="2"/>
          <c:order val="2"/>
          <c:tx>
            <c:strRef>
              <c:f>'GDP demand contributions'!$F$7</c:f>
              <c:strCache>
                <c:ptCount val="1"/>
                <c:pt idx="0">
                  <c:v>GFCF</c:v>
                </c:pt>
              </c:strCache>
            </c:strRef>
          </c:tx>
          <c:spPr>
            <a:solidFill>
              <a:srgbClr val="D1495B"/>
            </a:solidFill>
            <a:ln w="0">
              <a:noFill/>
            </a:ln>
          </c:spPr>
          <c:invertIfNegative val="0"/>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'GDP demand contributions'!$B$80:$B$92</c:f>
              <c:strCache>
                <c:ptCount val="13"/>
                <c:pt idx="0">
                  <c:v>1Q 2023</c:v>
                </c:pt>
                <c:pt idx="1">
                  <c:v>2Q 2023</c:v>
                </c:pt>
                <c:pt idx="2">
                  <c:v>3Q 2023</c:v>
                </c:pt>
                <c:pt idx="3">
                  <c:v>4Q 2023</c:v>
                </c:pt>
                <c:pt idx="4">
                  <c:v>1Q 2024</c:v>
                </c:pt>
                <c:pt idx="5">
                  <c:v>2Q 2024</c:v>
                </c:pt>
                <c:pt idx="6">
                  <c:v>3Q 2024</c:v>
                </c:pt>
                <c:pt idx="7">
                  <c:v>4Q 2024</c:v>
                </c:pt>
                <c:pt idx="8">
                  <c:v>1Q 2025</c:v>
                </c:pt>
                <c:pt idx="9">
                  <c:v>2Q 2025</c:v>
                </c:pt>
                <c:pt idx="10">
                  <c:v>3Q 2025</c:v>
                </c:pt>
                <c:pt idx="11">
                  <c:v>4Q 2025</c:v>
                </c:pt>
                <c:pt idx="12">
                  <c:v>1Q 2026</c:v>
                </c:pt>
              </c:strCache>
            </c:strRef>
          </c:cat>
          <c:val>
            <c:numRef>
              <c:f>'GDP demand contributions'!$F$80:$F$92</c:f>
              <c:numCache>
                <c:formatCode>\+0.00;\-0.00;\-</c:formatCode>
                <c:ptCount val="13"/>
                <c:pt idx="0">
                  <c:v>-0.27631035592780584</c:v>
                </c:pt>
                <c:pt idx="1">
                  <c:v>-0.3809826840753357</c:v>
                </c:pt>
                <c:pt idx="2">
                  <c:v>0.16709167618515319</c:v>
                </c:pt>
                <c:pt idx="3">
                  <c:v>-1.6206495335803637</c:v>
                </c:pt>
                <c:pt idx="4">
                  <c:v>-4.827192035184007</c:v>
                </c:pt>
                <c:pt idx="5">
                  <c:v>-6.2776746249994426</c:v>
                </c:pt>
                <c:pt idx="6">
                  <c:v>-3.7303825502014951</c:v>
                </c:pt>
                <c:pt idx="7">
                  <c:v>0.36620014267236167</c:v>
                </c:pt>
                <c:pt idx="8">
                  <c:v>5.0654467947194268</c:v>
                </c:pt>
                <c:pt idx="9">
                  <c:v>4.9319206757469516</c:v>
                </c:pt>
                <c:pt idx="10">
                  <c:v>1.9361396865914298</c:v>
                </c:pt>
                <c:pt idx="11">
                  <c:v>-0.50651191225626069</c:v>
                </c:pt>
                <c:pt idx="12">
                  <c:v>-2.3248094993235084</c:v>
                </c:pt>
              </c:numCache>
            </c:numRef>
          </c:val>
          <c:extLst>
            <c:ext xmlns:c16="http://schemas.microsoft.com/office/drawing/2014/chart" uri="{C3380CC4-5D6E-409C-BE32-E72D297353CC}">
              <c16:uniqueId val="{00000002-CF50-4130-819B-1039E824DEF4}"/>
            </c:ext>
          </c:extLst>
        </c:ser>
        <c:ser>
          <c:idx val="3"/>
          <c:order val="3"/>
          <c:tx>
            <c:strRef>
              <c:f>'GDP demand contributions'!$G$7</c:f>
              <c:strCache>
                <c:ptCount val="1"/>
                <c:pt idx="0">
                  <c:v>Inventories +
discrepancy</c:v>
                </c:pt>
              </c:strCache>
            </c:strRef>
          </c:tx>
          <c:spPr>
            <a:solidFill>
              <a:srgbClr val="E8A33D"/>
            </a:solidFill>
            <a:ln w="0">
              <a:noFill/>
            </a:ln>
          </c:spPr>
          <c:invertIfNegative val="0"/>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'GDP demand contributions'!$B$80:$B$92</c:f>
              <c:strCache>
                <c:ptCount val="13"/>
                <c:pt idx="0">
                  <c:v>1Q 2023</c:v>
                </c:pt>
                <c:pt idx="1">
                  <c:v>2Q 2023</c:v>
                </c:pt>
                <c:pt idx="2">
                  <c:v>3Q 2023</c:v>
                </c:pt>
                <c:pt idx="3">
                  <c:v>4Q 2023</c:v>
                </c:pt>
                <c:pt idx="4">
                  <c:v>1Q 2024</c:v>
                </c:pt>
                <c:pt idx="5">
                  <c:v>2Q 2024</c:v>
                </c:pt>
                <c:pt idx="6">
                  <c:v>3Q 2024</c:v>
                </c:pt>
                <c:pt idx="7">
                  <c:v>4Q 2024</c:v>
                </c:pt>
                <c:pt idx="8">
                  <c:v>1Q 2025</c:v>
                </c:pt>
                <c:pt idx="9">
                  <c:v>2Q 2025</c:v>
                </c:pt>
                <c:pt idx="10">
                  <c:v>3Q 2025</c:v>
                </c:pt>
                <c:pt idx="11">
                  <c:v>4Q 2025</c:v>
                </c:pt>
                <c:pt idx="12">
                  <c:v>1Q 2026</c:v>
                </c:pt>
              </c:strCache>
            </c:strRef>
          </c:cat>
          <c:val>
            <c:numRef>
              <c:f>'GDP demand contributions'!$G$80:$G$92</c:f>
              <c:numCache>
                <c:formatCode>\+0.00;\-0.00;\-</c:formatCode>
                <c:ptCount val="13"/>
                <c:pt idx="0">
                  <c:v>0.32023245311411702</c:v>
                </c:pt>
                <c:pt idx="1">
                  <c:v>-3.6659386247684811</c:v>
                </c:pt>
                <c:pt idx="2">
                  <c:v>1.2483127070350033</c:v>
                </c:pt>
                <c:pt idx="3">
                  <c:v>3.7590130648522213</c:v>
                </c:pt>
                <c:pt idx="4">
                  <c:v>-2.3825257772443358</c:v>
                </c:pt>
                <c:pt idx="5">
                  <c:v>2.4242840431095911</c:v>
                </c:pt>
                <c:pt idx="6">
                  <c:v>-4.0698600367434921</c:v>
                </c:pt>
                <c:pt idx="7">
                  <c:v>-4.0853839621312966</c:v>
                </c:pt>
                <c:pt idx="8">
                  <c:v>1.0851799889114124</c:v>
                </c:pt>
                <c:pt idx="9">
                  <c:v>0.7799192612966408</c:v>
                </c:pt>
                <c:pt idx="10">
                  <c:v>0.44455245005612404</c:v>
                </c:pt>
                <c:pt idx="11">
                  <c:v>-8.720104790282765E-2</c:v>
                </c:pt>
                <c:pt idx="12">
                  <c:v>-2.0200720789571198</c:v>
                </c:pt>
              </c:numCache>
            </c:numRef>
          </c:val>
          <c:extLst>
            <c:ext xmlns:c16="http://schemas.microsoft.com/office/drawing/2014/chart" uri="{C3380CC4-5D6E-409C-BE32-E72D297353CC}">
              <c16:uniqueId val="{00000003-CF50-4130-819B-1039E824DEF4}"/>
            </c:ext>
          </c:extLst>
        </c:ser>
        <c:ser>
          <c:idx val="4"/>
          <c:order val="4"/>
          <c:tx>
            <c:strRef>
              <c:f>'GDP demand contributions'!$H$7</c:f>
              <c:strCache>
                <c:ptCount val="1"/>
                <c:pt idx="0">
                  <c:v>Exports</c:v>
                </c:pt>
              </c:strCache>
            </c:strRef>
          </c:tx>
          <c:spPr>
            <a:solidFill>
              <a:srgbClr val="4F9D69"/>
            </a:solidFill>
            <a:ln w="0">
              <a:noFill/>
            </a:ln>
          </c:spPr>
          <c:invertIfNegative val="0"/>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'GDP demand contributions'!$B$80:$B$92</c:f>
              <c:strCache>
                <c:ptCount val="13"/>
                <c:pt idx="0">
                  <c:v>1Q 2023</c:v>
                </c:pt>
                <c:pt idx="1">
                  <c:v>2Q 2023</c:v>
                </c:pt>
                <c:pt idx="2">
                  <c:v>3Q 2023</c:v>
                </c:pt>
                <c:pt idx="3">
                  <c:v>4Q 2023</c:v>
                </c:pt>
                <c:pt idx="4">
                  <c:v>1Q 2024</c:v>
                </c:pt>
                <c:pt idx="5">
                  <c:v>2Q 2024</c:v>
                </c:pt>
                <c:pt idx="6">
                  <c:v>3Q 2024</c:v>
                </c:pt>
                <c:pt idx="7">
                  <c:v>4Q 2024</c:v>
                </c:pt>
                <c:pt idx="8">
                  <c:v>1Q 2025</c:v>
                </c:pt>
                <c:pt idx="9">
                  <c:v>2Q 2025</c:v>
                </c:pt>
                <c:pt idx="10">
                  <c:v>3Q 2025</c:v>
                </c:pt>
                <c:pt idx="11">
                  <c:v>4Q 2025</c:v>
                </c:pt>
                <c:pt idx="12">
                  <c:v>1Q 2026</c:v>
                </c:pt>
              </c:strCache>
            </c:strRef>
          </c:cat>
          <c:val>
            <c:numRef>
              <c:f>'GDP demand contributions'!$H$80:$H$92</c:f>
              <c:numCache>
                <c:formatCode>\+0.00;\-0.00;\-</c:formatCode>
                <c:ptCount val="13"/>
                <c:pt idx="0">
                  <c:v>-1.2751608844565414</c:v>
                </c:pt>
                <c:pt idx="1">
                  <c:v>-2.6468623700299716</c:v>
                </c:pt>
                <c:pt idx="2">
                  <c:v>-1.801561471165162</c:v>
                </c:pt>
                <c:pt idx="3">
                  <c:v>-2.5279465374947763</c:v>
                </c:pt>
                <c:pt idx="4">
                  <c:v>2.9737530346787957</c:v>
                </c:pt>
                <c:pt idx="5">
                  <c:v>3.6941387494006181</c:v>
                </c:pt>
                <c:pt idx="6">
                  <c:v>3.8668075181996562</c:v>
                </c:pt>
                <c:pt idx="7">
                  <c:v>5.2069911180249742</c:v>
                </c:pt>
                <c:pt idx="8">
                  <c:v>1.4215424375141543</c:v>
                </c:pt>
                <c:pt idx="9">
                  <c:v>0.7941754318168095</c:v>
                </c:pt>
                <c:pt idx="10">
                  <c:v>2.473551299998261</c:v>
                </c:pt>
                <c:pt idx="11">
                  <c:v>2.8319701130236004</c:v>
                </c:pt>
                <c:pt idx="12">
                  <c:v>2.1753871448536062</c:v>
                </c:pt>
              </c:numCache>
            </c:numRef>
          </c:val>
          <c:extLst>
            <c:ext xmlns:c16="http://schemas.microsoft.com/office/drawing/2014/chart" uri="{C3380CC4-5D6E-409C-BE32-E72D297353CC}">
              <c16:uniqueId val="{00000004-CF50-4130-819B-1039E824DEF4}"/>
            </c:ext>
          </c:extLst>
        </c:ser>
        <c:ser>
          <c:idx val="5"/>
          <c:order val="5"/>
          <c:tx>
            <c:strRef>
              <c:f>'GDP demand contributions'!$I$7</c:f>
              <c:strCache>
                <c:ptCount val="1"/>
                <c:pt idx="0">
                  <c:v>Imports</c:v>
                </c:pt>
              </c:strCache>
            </c:strRef>
          </c:tx>
          <c:spPr>
            <a:solidFill>
              <a:srgbClr val="7D5BA6"/>
            </a:solidFill>
            <a:ln w="0">
              <a:noFill/>
            </a:ln>
          </c:spPr>
          <c:invertIfNegative val="0"/>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'GDP demand contributions'!$B$80:$B$92</c:f>
              <c:strCache>
                <c:ptCount val="13"/>
                <c:pt idx="0">
                  <c:v>1Q 2023</c:v>
                </c:pt>
                <c:pt idx="1">
                  <c:v>2Q 2023</c:v>
                </c:pt>
                <c:pt idx="2">
                  <c:v>3Q 2023</c:v>
                </c:pt>
                <c:pt idx="3">
                  <c:v>4Q 2023</c:v>
                </c:pt>
                <c:pt idx="4">
                  <c:v>1Q 2024</c:v>
                </c:pt>
                <c:pt idx="5">
                  <c:v>2Q 2024</c:v>
                </c:pt>
                <c:pt idx="6">
                  <c:v>3Q 2024</c:v>
                </c:pt>
                <c:pt idx="7">
                  <c:v>4Q 2024</c:v>
                </c:pt>
                <c:pt idx="8">
                  <c:v>1Q 2025</c:v>
                </c:pt>
                <c:pt idx="9">
                  <c:v>2Q 2025</c:v>
                </c:pt>
                <c:pt idx="10">
                  <c:v>3Q 2025</c:v>
                </c:pt>
                <c:pt idx="11">
                  <c:v>4Q 2025</c:v>
                </c:pt>
                <c:pt idx="12">
                  <c:v>1Q 2026</c:v>
                </c:pt>
              </c:strCache>
            </c:strRef>
          </c:cat>
          <c:val>
            <c:numRef>
              <c:f>'GDP demand contributions'!$I$80:$I$92</c:f>
              <c:numCache>
                <c:formatCode>\+0.00;\-0.00;\-</c:formatCode>
                <c:ptCount val="13"/>
                <c:pt idx="0">
                  <c:v>-1.0381103377518153</c:v>
                </c:pt>
                <c:pt idx="1">
                  <c:v>-1.0042139017315863</c:v>
                </c:pt>
                <c:pt idx="2">
                  <c:v>-0.50136464684031212</c:v>
                </c:pt>
                <c:pt idx="3">
                  <c:v>0.234215134753881</c:v>
                </c:pt>
                <c:pt idx="4">
                  <c:v>3.7114206945421806</c:v>
                </c:pt>
                <c:pt idx="5">
                  <c:v>6.5573780123617045</c:v>
                </c:pt>
                <c:pt idx="6">
                  <c:v>3.375371997801027</c:v>
                </c:pt>
                <c:pt idx="7">
                  <c:v>-2.3977117007783022</c:v>
                </c:pt>
                <c:pt idx="8">
                  <c:v>-9.9404810152821792</c:v>
                </c:pt>
                <c:pt idx="9">
                  <c:v>-8.7894784897016578</c:v>
                </c:pt>
                <c:pt idx="10">
                  <c:v>-6.366559696159432</c:v>
                </c:pt>
                <c:pt idx="11">
                  <c:v>-3.0783635306098431</c:v>
                </c:pt>
                <c:pt idx="12">
                  <c:v>2.4193641649042168</c:v>
                </c:pt>
              </c:numCache>
            </c:numRef>
          </c:val>
          <c:extLst>
            <c:ext xmlns:c16="http://schemas.microsoft.com/office/drawing/2014/chart" uri="{C3380CC4-5D6E-409C-BE32-E72D297353CC}">
              <c16:uniqueId val="{00000005-CF50-4130-819B-1039E824DEF4}"/>
            </c:ext>
          </c:extLst>
        </c:ser>
        <c:dLbls>
          <c:showLegendKey val="0"/>
          <c:showVal val="0"/>
          <c:showCatName val="0"/>
          <c:showSerName val="0"/>
          <c:showPercent val="0"/>
          <c:showBubbleSize val="0"/>
        </c:dLbls>
        <c:gapWidth val="110"/>
        <c:overlap val="100"/>
        <c:axId val="64405662"/>
        <c:axId val="79012386"/>
      </c:barChart>
      <c:catAx>
        <c:axId val="64405662"/>
        <c:scaling>
          <c:orientation val="minMax"/>
        </c:scaling>
        <c:delete val="0"/>
        <c:axPos val="b"/>
        <c:numFmt formatCode="General" sourceLinked="1"/>
        <c:majorTickMark val="none"/>
        <c:minorTickMark val="none"/>
        <c:tickLblPos val="low"/>
        <c:spPr>
          <a:ln w="9360">
            <a:solidFill>
              <a:srgbClr val="878787"/>
            </a:solidFill>
            <a:round/>
          </a:ln>
        </c:spPr>
        <c:crossAx val="79012386"/>
        <c:crosses val="autoZero"/>
        <c:auto val="1"/>
        <c:lblAlgn val="ctr"/>
        <c:lblOffset val="100"/>
        <c:noMultiLvlLbl val="0"/>
      </c:catAx>
      <c:valAx>
        <c:axId val="79012386"/>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crossAx val="64405662"/>
        <c:crosses val="autoZero"/>
        <c:crossBetween val="between"/>
      </c:valAx>
      <c:spPr>
        <a:noFill/>
        <a:ln w="0">
          <a:noFill/>
        </a:ln>
      </c:spPr>
    </c:plotArea>
    <c:legend>
      <c:legendPos val="r"/>
      <c:overlay val="0"/>
      <c:spPr>
        <a:noFill/>
        <a:ln w="0">
          <a:noFill/>
        </a:ln>
      </c:spPr>
    </c:legend>
    <c:plotVisOnly val="1"/>
    <c:dispBlanksAs val="gap"/>
    <c:showDLblsOverMax val="1"/>
  </c:chart>
  <c:spPr>
    <a:solidFill>
      <a:srgbClr val="FFFFFF"/>
    </a:solidFill>
    <a:ln w="9360">
      <a:solidFill>
        <a:srgbClr val="D9D9D9"/>
      </a:solidFill>
      <a:round/>
    </a:ln>
  </c:spPr>
  <c:txPr>
    <a:bodyPr/>
    <a:lstStyle/>
    <a:p>
      <a:pPr>
        <a:defRPr sz="1200">
          <a:solidFill>
            <a:sysClr val="windowText" lastClr="000000"/>
          </a:solidFill>
          <a:latin typeface="Frutiger 45 Light" panose="020B0603020202020204" pitchFamily="34"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Annual contributions to GDP growth (pp)</a:t>
            </a:r>
          </a:p>
        </c:rich>
      </c:tx>
      <c:overlay val="0"/>
      <c:spPr>
        <a:noFill/>
        <a:ln w="0">
          <a:noFill/>
        </a:ln>
      </c:spPr>
    </c:title>
    <c:autoTitleDeleted val="0"/>
    <c:plotArea>
      <c:layout/>
      <c:barChart>
        <c:barDir val="col"/>
        <c:grouping val="stacked"/>
        <c:varyColors val="0"/>
        <c:ser>
          <c:idx val="0"/>
          <c:order val="0"/>
          <c:tx>
            <c:strRef>
              <c:f>'GDP demand contributions'!$D$98</c:f>
              <c:strCache>
                <c:ptCount val="1"/>
                <c:pt idx="0">
                  <c:v>Private
consumption</c:v>
                </c:pt>
              </c:strCache>
            </c:strRef>
          </c:tx>
          <c:spPr>
            <a:solidFill>
              <a:srgbClr val="2F5C8F"/>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'GDP demand contributions'!$B$99:$B$119</c:f>
              <c:numCache>
                <c:formatCode>0</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'GDP demand contributions'!$D$99:$D$119</c:f>
              <c:numCache>
                <c:formatCode>\+0.00;\-0.00;\-</c:formatCode>
                <c:ptCount val="21"/>
                <c:pt idx="0">
                  <c:v>4.7557566277488901</c:v>
                </c:pt>
                <c:pt idx="1">
                  <c:v>6.9538322864392548</c:v>
                </c:pt>
                <c:pt idx="2">
                  <c:v>6.0868750431471543</c:v>
                </c:pt>
                <c:pt idx="3">
                  <c:v>4.736266447945332</c:v>
                </c:pt>
                <c:pt idx="4">
                  <c:v>-3.6368636464959359</c:v>
                </c:pt>
                <c:pt idx="5">
                  <c:v>7.5801847223610954</c:v>
                </c:pt>
                <c:pt idx="6">
                  <c:v>6.4087203212204082</c:v>
                </c:pt>
                <c:pt idx="7">
                  <c:v>0.78360174825268958</c:v>
                </c:pt>
                <c:pt idx="8">
                  <c:v>2.6237454808433056</c:v>
                </c:pt>
                <c:pt idx="9">
                  <c:v>-3.1801596212566894</c:v>
                </c:pt>
                <c:pt idx="10">
                  <c:v>2.6173851464678104</c:v>
                </c:pt>
                <c:pt idx="11">
                  <c:v>-0.56360695792077209</c:v>
                </c:pt>
                <c:pt idx="12">
                  <c:v>3.0436178538471954</c:v>
                </c:pt>
                <c:pt idx="13">
                  <c:v>-1.6650960645496142</c:v>
                </c:pt>
                <c:pt idx="14">
                  <c:v>-4.5601427250549396</c:v>
                </c:pt>
                <c:pt idx="15">
                  <c:v>-8.6775084676385639</c:v>
                </c:pt>
                <c:pt idx="16">
                  <c:v>6.5787719606734196</c:v>
                </c:pt>
                <c:pt idx="17">
                  <c:v>6.5206815505835483</c:v>
                </c:pt>
                <c:pt idx="18">
                  <c:v>0.70205623436296749</c:v>
                </c:pt>
                <c:pt idx="19">
                  <c:v>-2.0976340399205142</c:v>
                </c:pt>
                <c:pt idx="20">
                  <c:v>6.1738342296629298</c:v>
                </c:pt>
              </c:numCache>
            </c:numRef>
          </c:val>
          <c:extLst>
            <c:ext xmlns:c16="http://schemas.microsoft.com/office/drawing/2014/chart" uri="{C3380CC4-5D6E-409C-BE32-E72D297353CC}">
              <c16:uniqueId val="{00000000-A695-4DCA-B65C-5E6BF95B1CC1}"/>
            </c:ext>
          </c:extLst>
        </c:ser>
        <c:ser>
          <c:idx val="1"/>
          <c:order val="1"/>
          <c:tx>
            <c:strRef>
              <c:f>'GDP demand contributions'!$E$98</c:f>
              <c:strCache>
                <c:ptCount val="1"/>
                <c:pt idx="0">
                  <c:v>Public
consumption</c:v>
                </c:pt>
              </c:strCache>
            </c:strRef>
          </c:tx>
          <c:spPr>
            <a:solidFill>
              <a:srgbClr val="8AA0B8"/>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'GDP demand contributions'!$B$99:$B$119</c:f>
              <c:numCache>
                <c:formatCode>0</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'GDP demand contributions'!$E$99:$E$119</c:f>
              <c:numCache>
                <c:formatCode>\+0.00;\-0.00;\-</c:formatCode>
                <c:ptCount val="21"/>
                <c:pt idx="0">
                  <c:v>1.0953957432899473</c:v>
                </c:pt>
                <c:pt idx="1">
                  <c:v>0.41756023043962337</c:v>
                </c:pt>
                <c:pt idx="2">
                  <c:v>0.84312306715742091</c:v>
                </c:pt>
                <c:pt idx="3">
                  <c:v>0.53419639891582094</c:v>
                </c:pt>
                <c:pt idx="4">
                  <c:v>0.60567416244901229</c:v>
                </c:pt>
                <c:pt idx="5">
                  <c:v>0.65807152825351767</c:v>
                </c:pt>
                <c:pt idx="6">
                  <c:v>0.52759842771040422</c:v>
                </c:pt>
                <c:pt idx="7">
                  <c:v>0.34308374455592744</c:v>
                </c:pt>
                <c:pt idx="8">
                  <c:v>0.63156080927039071</c:v>
                </c:pt>
                <c:pt idx="9">
                  <c:v>0.35940253745286238</c:v>
                </c:pt>
                <c:pt idx="10">
                  <c:v>0.8951245912169743</c:v>
                </c:pt>
                <c:pt idx="11">
                  <c:v>-7.0348246451785029E-2</c:v>
                </c:pt>
                <c:pt idx="12">
                  <c:v>0.35940827457483721</c:v>
                </c:pt>
                <c:pt idx="13">
                  <c:v>-0.25732154035681482</c:v>
                </c:pt>
                <c:pt idx="14">
                  <c:v>-0.87721279720956424</c:v>
                </c:pt>
                <c:pt idx="15">
                  <c:v>-0.26464187800588707</c:v>
                </c:pt>
                <c:pt idx="16">
                  <c:v>1.0142308745441135</c:v>
                </c:pt>
                <c:pt idx="17">
                  <c:v>0.38202367181339503</c:v>
                </c:pt>
                <c:pt idx="18">
                  <c:v>0.30712443781329279</c:v>
                </c:pt>
                <c:pt idx="19">
                  <c:v>-0.42271759775484291</c:v>
                </c:pt>
                <c:pt idx="20">
                  <c:v>5.1670443505879148E-2</c:v>
                </c:pt>
              </c:numCache>
            </c:numRef>
          </c:val>
          <c:extLst>
            <c:ext xmlns:c16="http://schemas.microsoft.com/office/drawing/2014/chart" uri="{C3380CC4-5D6E-409C-BE32-E72D297353CC}">
              <c16:uniqueId val="{00000001-A695-4DCA-B65C-5E6BF95B1CC1}"/>
            </c:ext>
          </c:extLst>
        </c:ser>
        <c:ser>
          <c:idx val="2"/>
          <c:order val="2"/>
          <c:tx>
            <c:strRef>
              <c:f>'GDP demand contributions'!$F$98</c:f>
              <c:strCache>
                <c:ptCount val="1"/>
                <c:pt idx="0">
                  <c:v>GFCF</c:v>
                </c:pt>
              </c:strCache>
            </c:strRef>
          </c:tx>
          <c:spPr>
            <a:solidFill>
              <a:srgbClr val="D1495B"/>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'GDP demand contributions'!$B$99:$B$119</c:f>
              <c:numCache>
                <c:formatCode>0</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'GDP demand contributions'!$F$99:$F$119</c:f>
              <c:numCache>
                <c:formatCode>\+0.00;\-0.00;\-</c:formatCode>
                <c:ptCount val="21"/>
                <c:pt idx="0">
                  <c:v>2.5157278398267988</c:v>
                </c:pt>
                <c:pt idx="1">
                  <c:v>2.4477120873810918</c:v>
                </c:pt>
                <c:pt idx="2">
                  <c:v>3.6648615825929931</c:v>
                </c:pt>
                <c:pt idx="3">
                  <c:v>1.7216663460034771</c:v>
                </c:pt>
                <c:pt idx="4">
                  <c:v>-4.668562409073723</c:v>
                </c:pt>
                <c:pt idx="5">
                  <c:v>4.4688008742879699</c:v>
                </c:pt>
                <c:pt idx="6">
                  <c:v>3.3911295504866183</c:v>
                </c:pt>
                <c:pt idx="7">
                  <c:v>-1.5287935202925571</c:v>
                </c:pt>
                <c:pt idx="8">
                  <c:v>0.47461725435270447</c:v>
                </c:pt>
                <c:pt idx="9">
                  <c:v>-1.3696312414891911</c:v>
                </c:pt>
                <c:pt idx="10">
                  <c:v>0.67144132556439229</c:v>
                </c:pt>
                <c:pt idx="11">
                  <c:v>-1.1285252664669203</c:v>
                </c:pt>
                <c:pt idx="12">
                  <c:v>2.5145103989803732</c:v>
                </c:pt>
                <c:pt idx="13">
                  <c:v>-1.1906526367600507</c:v>
                </c:pt>
                <c:pt idx="14">
                  <c:v>-3.1994037533125694</c:v>
                </c:pt>
                <c:pt idx="15">
                  <c:v>-2.2475780789975759</c:v>
                </c:pt>
                <c:pt idx="16">
                  <c:v>5.6458707400672932</c:v>
                </c:pt>
                <c:pt idx="17">
                  <c:v>2.1053002495247615</c:v>
                </c:pt>
                <c:pt idx="18">
                  <c:v>-0.52078920182883226</c:v>
                </c:pt>
                <c:pt idx="19">
                  <c:v>-3.6546515075419421</c:v>
                </c:pt>
                <c:pt idx="20">
                  <c:v>2.8260448376290856</c:v>
                </c:pt>
              </c:numCache>
            </c:numRef>
          </c:val>
          <c:extLst>
            <c:ext xmlns:c16="http://schemas.microsoft.com/office/drawing/2014/chart" uri="{C3380CC4-5D6E-409C-BE32-E72D297353CC}">
              <c16:uniqueId val="{00000002-A695-4DCA-B65C-5E6BF95B1CC1}"/>
            </c:ext>
          </c:extLst>
        </c:ser>
        <c:ser>
          <c:idx val="3"/>
          <c:order val="3"/>
          <c:tx>
            <c:strRef>
              <c:f>'GDP demand contributions'!$G$98</c:f>
              <c:strCache>
                <c:ptCount val="1"/>
                <c:pt idx="0">
                  <c:v>Inventories +
discrepancy</c:v>
                </c:pt>
              </c:strCache>
            </c:strRef>
          </c:tx>
          <c:spPr>
            <a:solidFill>
              <a:srgbClr val="E8A33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'GDP demand contributions'!$B$99:$B$119</c:f>
              <c:numCache>
                <c:formatCode>0</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'GDP demand contributions'!$G$99:$G$119</c:f>
              <c:numCache>
                <c:formatCode>\+0.00;\-0.00;\-</c:formatCode>
                <c:ptCount val="21"/>
                <c:pt idx="0">
                  <c:v>8.1216328565811804E-2</c:v>
                </c:pt>
                <c:pt idx="1">
                  <c:v>-1.176736004747529</c:v>
                </c:pt>
                <c:pt idx="2">
                  <c:v>5.7070709808990178E-2</c:v>
                </c:pt>
                <c:pt idx="3">
                  <c:v>-0.37100222748889156</c:v>
                </c:pt>
                <c:pt idx="4">
                  <c:v>-0.11166295619975107</c:v>
                </c:pt>
                <c:pt idx="5">
                  <c:v>1.0443575701420384</c:v>
                </c:pt>
                <c:pt idx="6">
                  <c:v>-0.10979104633205762</c:v>
                </c:pt>
                <c:pt idx="7">
                  <c:v>-0.96892011384240362</c:v>
                </c:pt>
                <c:pt idx="8">
                  <c:v>0.46099738528757206</c:v>
                </c:pt>
                <c:pt idx="9">
                  <c:v>9.4945196209014315E-2</c:v>
                </c:pt>
                <c:pt idx="10">
                  <c:v>0.22632468454672985</c:v>
                </c:pt>
                <c:pt idx="11">
                  <c:v>0.1090739913068421</c:v>
                </c:pt>
                <c:pt idx="12">
                  <c:v>0.48897620066933462</c:v>
                </c:pt>
                <c:pt idx="13">
                  <c:v>-0.95851785421838709</c:v>
                </c:pt>
                <c:pt idx="14">
                  <c:v>-0.79924785615617489</c:v>
                </c:pt>
                <c:pt idx="15">
                  <c:v>1.1526290486444335</c:v>
                </c:pt>
                <c:pt idx="16">
                  <c:v>-0.47987680706217301</c:v>
                </c:pt>
                <c:pt idx="17">
                  <c:v>0.23740909261584733</c:v>
                </c:pt>
                <c:pt idx="18">
                  <c:v>0.32446841477951499</c:v>
                </c:pt>
                <c:pt idx="19">
                  <c:v>-1.9904200762748629</c:v>
                </c:pt>
                <c:pt idx="20">
                  <c:v>0.5470465176322078</c:v>
                </c:pt>
              </c:numCache>
            </c:numRef>
          </c:val>
          <c:extLst>
            <c:ext xmlns:c16="http://schemas.microsoft.com/office/drawing/2014/chart" uri="{C3380CC4-5D6E-409C-BE32-E72D297353CC}">
              <c16:uniqueId val="{00000003-A695-4DCA-B65C-5E6BF95B1CC1}"/>
            </c:ext>
          </c:extLst>
        </c:ser>
        <c:ser>
          <c:idx val="4"/>
          <c:order val="4"/>
          <c:tx>
            <c:strRef>
              <c:f>'GDP demand contributions'!$H$98</c:f>
              <c:strCache>
                <c:ptCount val="1"/>
                <c:pt idx="0">
                  <c:v>Exports</c:v>
                </c:pt>
              </c:strCache>
            </c:strRef>
          </c:tx>
          <c:spPr>
            <a:solidFill>
              <a:srgbClr val="4F9D69"/>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'GDP demand contributions'!$B$99:$B$119</c:f>
              <c:numCache>
                <c:formatCode>0</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'GDP demand contributions'!$H$99:$H$119</c:f>
              <c:numCache>
                <c:formatCode>\+0.00;\-0.00;\-</c:formatCode>
                <c:ptCount val="21"/>
                <c:pt idx="0">
                  <c:v>3.0732022666034169</c:v>
                </c:pt>
                <c:pt idx="1">
                  <c:v>1.3753778323262653</c:v>
                </c:pt>
                <c:pt idx="2">
                  <c:v>1.9727465836891496</c:v>
                </c:pt>
                <c:pt idx="3">
                  <c:v>0.17739031485074372</c:v>
                </c:pt>
                <c:pt idx="4">
                  <c:v>-2.1695924414483105</c:v>
                </c:pt>
                <c:pt idx="5">
                  <c:v>3.1081135871800019</c:v>
                </c:pt>
                <c:pt idx="6">
                  <c:v>0.95968130861861667</c:v>
                </c:pt>
                <c:pt idx="7">
                  <c:v>-0.93368119568267904</c:v>
                </c:pt>
                <c:pt idx="8">
                  <c:v>-0.77512057773887366</c:v>
                </c:pt>
                <c:pt idx="9">
                  <c:v>-1.4478189328686972</c:v>
                </c:pt>
                <c:pt idx="10">
                  <c:v>-0.54976442039912266</c:v>
                </c:pt>
                <c:pt idx="11">
                  <c:v>0.99610055056926428</c:v>
                </c:pt>
                <c:pt idx="12">
                  <c:v>0.52695580360933081</c:v>
                </c:pt>
                <c:pt idx="13">
                  <c:v>0.12989989587921588</c:v>
                </c:pt>
                <c:pt idx="14">
                  <c:v>2.026488861766889</c:v>
                </c:pt>
                <c:pt idx="15">
                  <c:v>-4.0585390808307853</c:v>
                </c:pt>
                <c:pt idx="16">
                  <c:v>1.8028213864410412</c:v>
                </c:pt>
                <c:pt idx="17">
                  <c:v>0.9543770686388483</c:v>
                </c:pt>
                <c:pt idx="18">
                  <c:v>-2.0790669399037509</c:v>
                </c:pt>
                <c:pt idx="19">
                  <c:v>3.9304341897886141</c:v>
                </c:pt>
                <c:pt idx="20">
                  <c:v>1.8835431602456181</c:v>
                </c:pt>
              </c:numCache>
            </c:numRef>
          </c:val>
          <c:extLst>
            <c:ext xmlns:c16="http://schemas.microsoft.com/office/drawing/2014/chart" uri="{C3380CC4-5D6E-409C-BE32-E72D297353CC}">
              <c16:uniqueId val="{00000004-A695-4DCA-B65C-5E6BF95B1CC1}"/>
            </c:ext>
          </c:extLst>
        </c:ser>
        <c:ser>
          <c:idx val="5"/>
          <c:order val="5"/>
          <c:tx>
            <c:strRef>
              <c:f>'GDP demand contributions'!$I$98</c:f>
              <c:strCache>
                <c:ptCount val="1"/>
                <c:pt idx="0">
                  <c:v>Imports</c:v>
                </c:pt>
              </c:strCache>
            </c:strRef>
          </c:tx>
          <c:spPr>
            <a:solidFill>
              <a:srgbClr val="7D5BA6"/>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'GDP demand contributions'!$B$99:$B$119</c:f>
              <c:numCache>
                <c:formatCode>0</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'GDP demand contributions'!$I$99:$I$119</c:f>
              <c:numCache>
                <c:formatCode>\+0.00;\-0.00;\-</c:formatCode>
                <c:ptCount val="21"/>
                <c:pt idx="0">
                  <c:v>-2.6696388866203509</c:v>
                </c:pt>
                <c:pt idx="1">
                  <c:v>-1.9705949281810706</c:v>
                </c:pt>
                <c:pt idx="2">
                  <c:v>-3.6170261072307031</c:v>
                </c:pt>
                <c:pt idx="3">
                  <c:v>-2.7412841778475694</c:v>
                </c:pt>
                <c:pt idx="4">
                  <c:v>4.0624822104174809</c:v>
                </c:pt>
                <c:pt idx="5">
                  <c:v>-6.7341301215881018</c:v>
                </c:pt>
                <c:pt idx="6">
                  <c:v>-5.1733868724337091</c:v>
                </c:pt>
                <c:pt idx="7">
                  <c:v>1.278288873932689</c:v>
                </c:pt>
                <c:pt idx="8">
                  <c:v>-1.0104765648447323</c:v>
                </c:pt>
                <c:pt idx="9">
                  <c:v>3.0306467356724651</c:v>
                </c:pt>
                <c:pt idx="10">
                  <c:v>-1.1293514883319822</c:v>
                </c:pt>
                <c:pt idx="11">
                  <c:v>-1.4230219203016889</c:v>
                </c:pt>
                <c:pt idx="12">
                  <c:v>-4.1149655588436325</c:v>
                </c:pt>
                <c:pt idx="13">
                  <c:v>1.3242917393487139</c:v>
                </c:pt>
                <c:pt idx="14">
                  <c:v>5.4449472075546543</c:v>
                </c:pt>
                <c:pt idx="15">
                  <c:v>4.1581227619317502</c:v>
                </c:pt>
                <c:pt idx="16">
                  <c:v>-4.1200061522071421</c:v>
                </c:pt>
                <c:pt idx="17">
                  <c:v>-4.179046259263985</c:v>
                </c:pt>
                <c:pt idx="18">
                  <c:v>-0.58462542412659591</c:v>
                </c:pt>
                <c:pt idx="19">
                  <c:v>2.86723166593739</c:v>
                </c:pt>
                <c:pt idx="20">
                  <c:v>-6.9988945589193552</c:v>
                </c:pt>
              </c:numCache>
            </c:numRef>
          </c:val>
          <c:extLst>
            <c:ext xmlns:c16="http://schemas.microsoft.com/office/drawing/2014/chart" uri="{C3380CC4-5D6E-409C-BE32-E72D297353CC}">
              <c16:uniqueId val="{00000005-A695-4DCA-B65C-5E6BF95B1CC1}"/>
            </c:ext>
          </c:extLst>
        </c:ser>
        <c:dLbls>
          <c:showLegendKey val="0"/>
          <c:showVal val="0"/>
          <c:showCatName val="0"/>
          <c:showSerName val="0"/>
          <c:showPercent val="0"/>
          <c:showBubbleSize val="0"/>
        </c:dLbls>
        <c:gapWidth val="150"/>
        <c:overlap val="100"/>
        <c:axId val="46830027"/>
        <c:axId val="80449578"/>
      </c:barChart>
      <c:catAx>
        <c:axId val="46830027"/>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0449578"/>
        <c:crosses val="autoZero"/>
        <c:auto val="1"/>
        <c:lblAlgn val="ctr"/>
        <c:lblOffset val="100"/>
        <c:noMultiLvlLbl val="0"/>
      </c:catAx>
      <c:valAx>
        <c:axId val="80449578"/>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683002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'GDP demand contributions'!$D$7</c:f>
              <c:strCache>
                <c:ptCount val="1"/>
                <c:pt idx="0">
                  <c:v>Private
consumption</c:v>
                </c:pt>
              </c:strCache>
            </c:strRef>
          </c:tx>
          <c:spPr>
            <a:solidFill>
              <a:srgbClr val="AE8626"/>
            </a:solidFill>
            <a:ln w="0">
              <a:noFill/>
            </a:ln>
          </c:spPr>
          <c:invertIfNegative val="0"/>
          <c:dLbls>
            <c:dLbl>
              <c:idx val="0"/>
              <c:spPr>
                <a:noFill/>
                <a:ln>
                  <a:noFill/>
                </a:ln>
                <a:effectLst/>
              </c:spPr>
              <c:txPr>
                <a:bodyPr wrap="square" lIns="38100" tIns="19050" rIns="38100" bIns="19050" anchor="ctr">
                  <a:spAutoFit/>
                </a:bodyPr>
                <a:lstStyle/>
                <a:p>
                  <a:pPr>
                    <a:defRPr>
                      <a:solidFill>
                        <a:sysClr val="windowText" lastClr="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0-631E-4517-96A2-9675C9493D8C}"/>
                </c:ext>
              </c:extLst>
            </c:dLbl>
            <c:dLbl>
              <c:idx val="1"/>
              <c:spPr>
                <a:noFill/>
                <a:ln>
                  <a:noFill/>
                </a:ln>
                <a:effectLst/>
              </c:spPr>
              <c:txPr>
                <a:bodyPr wrap="square" lIns="38100" tIns="19050" rIns="38100" bIns="19050" anchor="ctr">
                  <a:spAutoFit/>
                </a:bodyPr>
                <a:lstStyle/>
                <a:p>
                  <a:pPr>
                    <a:defRPr>
                      <a:solidFill>
                        <a:sysClr val="windowText" lastClr="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631E-4517-96A2-9675C9493D8C}"/>
                </c:ext>
              </c:extLst>
            </c:dLbl>
            <c:dLbl>
              <c:idx val="2"/>
              <c:spPr>
                <a:noFill/>
                <a:ln>
                  <a:noFill/>
                </a:ln>
                <a:effectLst/>
              </c:spPr>
              <c:txPr>
                <a:bodyPr wrap="square" lIns="38100" tIns="19050" rIns="38100" bIns="19050" anchor="ctr">
                  <a:spAutoFit/>
                </a:bodyPr>
                <a:lstStyle/>
                <a:p>
                  <a:pPr>
                    <a:defRPr>
                      <a:solidFill>
                        <a:sysClr val="windowText" lastClr="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2-631E-4517-96A2-9675C9493D8C}"/>
                </c:ext>
              </c:extLst>
            </c:dLbl>
            <c:dLbl>
              <c:idx val="3"/>
              <c:spPr>
                <a:noFill/>
                <a:ln>
                  <a:noFill/>
                </a:ln>
                <a:effectLst/>
              </c:spPr>
              <c:txPr>
                <a:bodyPr wrap="square" lIns="38100" tIns="19050" rIns="38100" bIns="19050" anchor="ctr">
                  <a:spAutoFit/>
                </a:bodyPr>
                <a:lstStyle/>
                <a:p>
                  <a:pPr>
                    <a:defRPr>
                      <a:solidFill>
                        <a:sysClr val="windowText" lastClr="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631E-4517-96A2-9675C9493D8C}"/>
                </c:ext>
              </c:extLst>
            </c:dLbl>
            <c:dLbl>
              <c:idx val="4"/>
              <c:spPr>
                <a:noFill/>
                <a:ln>
                  <a:noFill/>
                </a:ln>
                <a:effectLst/>
              </c:spPr>
              <c:txPr>
                <a:bodyPr wrap="square" lIns="38100" tIns="19050" rIns="38100" bIns="19050" anchor="ctr">
                  <a:spAutoFit/>
                </a:bodyPr>
                <a:lstStyle/>
                <a:p>
                  <a:pPr>
                    <a:defRPr>
                      <a:solidFill>
                        <a:sysClr val="windowText" lastClr="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631E-4517-96A2-9675C9493D8C}"/>
                </c:ext>
              </c:extLst>
            </c:dLbl>
            <c:dLbl>
              <c:idx val="5"/>
              <c:spPr>
                <a:noFill/>
                <a:ln>
                  <a:noFill/>
                </a:ln>
                <a:effectLst/>
              </c:spPr>
              <c:txPr>
                <a:bodyPr wrap="square" lIns="38100" tIns="19050" rIns="38100" bIns="19050" anchor="ctr">
                  <a:spAutoFit/>
                </a:bodyPr>
                <a:lstStyle/>
                <a:p>
                  <a:pPr>
                    <a:defRPr>
                      <a:solidFill>
                        <a:sysClr val="windowText" lastClr="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631E-4517-96A2-9675C9493D8C}"/>
                </c:ext>
              </c:extLst>
            </c:dLbl>
            <c:dLbl>
              <c:idx val="6"/>
              <c:spPr>
                <a:noFill/>
                <a:ln>
                  <a:noFill/>
                </a:ln>
                <a:effectLst/>
              </c:spPr>
              <c:txPr>
                <a:bodyPr wrap="square" lIns="38100" tIns="19050" rIns="38100" bIns="19050" anchor="ctr">
                  <a:spAutoFit/>
                </a:bodyPr>
                <a:lstStyle/>
                <a:p>
                  <a:pPr>
                    <a:defRPr>
                      <a:solidFill>
                        <a:sysClr val="windowText" lastClr="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6-631E-4517-96A2-9675C9493D8C}"/>
                </c:ext>
              </c:extLst>
            </c:dLbl>
            <c:dLbl>
              <c:idx val="7"/>
              <c:spPr>
                <a:noFill/>
                <a:ln>
                  <a:noFill/>
                </a:ln>
                <a:effectLst/>
              </c:spPr>
              <c:txPr>
                <a:bodyPr wrap="square" lIns="38100" tIns="19050" rIns="38100" bIns="19050" anchor="ctr">
                  <a:spAutoFit/>
                </a:bodyPr>
                <a:lstStyle/>
                <a:p>
                  <a:pPr>
                    <a:defRPr>
                      <a:solidFill>
                        <a:sysClr val="windowText" lastClr="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631E-4517-96A2-9675C9493D8C}"/>
                </c:ext>
              </c:extLst>
            </c:dLbl>
            <c:dLbl>
              <c:idx val="8"/>
              <c:spPr>
                <a:noFill/>
                <a:ln>
                  <a:noFill/>
                </a:ln>
                <a:effectLst/>
              </c:spPr>
              <c:txPr>
                <a:bodyPr wrap="square" lIns="38100" tIns="19050" rIns="38100" bIns="19050" anchor="ctr">
                  <a:spAutoFit/>
                </a:bodyPr>
                <a:lstStyle/>
                <a:p>
                  <a:pPr>
                    <a:defRPr>
                      <a:solidFill>
                        <a:sysClr val="windowText" lastClr="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8-631E-4517-96A2-9675C9493D8C}"/>
                </c:ext>
              </c:extLst>
            </c:dLbl>
            <c:dLbl>
              <c:idx val="9"/>
              <c:spPr>
                <a:noFill/>
                <a:ln>
                  <a:noFill/>
                </a:ln>
                <a:effectLst/>
              </c:spPr>
              <c:txPr>
                <a:bodyPr wrap="square" lIns="38100" tIns="19050" rIns="38100" bIns="19050" anchor="ctr">
                  <a:spAutoFit/>
                </a:bodyPr>
                <a:lstStyle/>
                <a:p>
                  <a:pPr>
                    <a:defRPr>
                      <a:solidFill>
                        <a:sysClr val="windowText" lastClr="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631E-4517-96A2-9675C9493D8C}"/>
                </c:ext>
              </c:extLst>
            </c:dLbl>
            <c:dLbl>
              <c:idx val="10"/>
              <c:spPr>
                <a:noFill/>
                <a:ln>
                  <a:noFill/>
                </a:ln>
                <a:effectLst/>
              </c:spPr>
              <c:txPr>
                <a:bodyPr wrap="square" lIns="38100" tIns="19050" rIns="38100" bIns="19050" anchor="ctr">
                  <a:spAutoFit/>
                </a:bodyPr>
                <a:lstStyle/>
                <a:p>
                  <a:pPr>
                    <a:defRPr>
                      <a:solidFill>
                        <a:sysClr val="windowText" lastClr="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A-631E-4517-96A2-9675C9493D8C}"/>
                </c:ext>
              </c:extLst>
            </c:dLbl>
            <c:dLbl>
              <c:idx val="11"/>
              <c:spPr>
                <a:noFill/>
                <a:ln>
                  <a:noFill/>
                </a:ln>
                <a:effectLst/>
              </c:spPr>
              <c:txPr>
                <a:bodyPr wrap="square" lIns="38100" tIns="19050" rIns="38100" bIns="19050" anchor="ctr">
                  <a:spAutoFit/>
                </a:bodyPr>
                <a:lstStyle/>
                <a:p>
                  <a:pPr>
                    <a:defRPr>
                      <a:solidFill>
                        <a:sysClr val="windowText" lastClr="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631E-4517-96A2-9675C9493D8C}"/>
                </c:ext>
              </c:extLst>
            </c:dLbl>
            <c:dLbl>
              <c:idx val="12"/>
              <c:spPr>
                <a:noFill/>
                <a:ln>
                  <a:noFill/>
                </a:ln>
                <a:effectLst/>
              </c:spPr>
              <c:txPr>
                <a:bodyPr wrap="square" lIns="38100" tIns="19050" rIns="38100" bIns="19050" anchor="ctr">
                  <a:spAutoFit/>
                </a:bodyPr>
                <a:lstStyle/>
                <a:p>
                  <a:pPr>
                    <a:defRPr>
                      <a:solidFill>
                        <a:sysClr val="windowText" lastClr="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C-631E-4517-96A2-9675C9493D8C}"/>
                </c:ext>
              </c:extLst>
            </c:dLbl>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'GDP demand contributions'!$B$80:$B$92</c:f>
              <c:strCache>
                <c:ptCount val="13"/>
                <c:pt idx="0">
                  <c:v>1Q 2023</c:v>
                </c:pt>
                <c:pt idx="1">
                  <c:v>2Q 2023</c:v>
                </c:pt>
                <c:pt idx="2">
                  <c:v>3Q 2023</c:v>
                </c:pt>
                <c:pt idx="3">
                  <c:v>4Q 2023</c:v>
                </c:pt>
                <c:pt idx="4">
                  <c:v>1Q 2024</c:v>
                </c:pt>
                <c:pt idx="5">
                  <c:v>2Q 2024</c:v>
                </c:pt>
                <c:pt idx="6">
                  <c:v>3Q 2024</c:v>
                </c:pt>
                <c:pt idx="7">
                  <c:v>4Q 2024</c:v>
                </c:pt>
                <c:pt idx="8">
                  <c:v>1Q 2025</c:v>
                </c:pt>
                <c:pt idx="9">
                  <c:v>2Q 2025</c:v>
                </c:pt>
                <c:pt idx="10">
                  <c:v>3Q 2025</c:v>
                </c:pt>
                <c:pt idx="11">
                  <c:v>4Q 2025</c:v>
                </c:pt>
                <c:pt idx="12">
                  <c:v>1Q 2026</c:v>
                </c:pt>
              </c:strCache>
            </c:strRef>
          </c:cat>
          <c:val>
            <c:numRef>
              <c:f>'GDP demand contributions'!$D$80:$D$92</c:f>
              <c:numCache>
                <c:formatCode>\+0.00;\-0.00;\-</c:formatCode>
                <c:ptCount val="13"/>
                <c:pt idx="0">
                  <c:v>2.7797510662904603</c:v>
                </c:pt>
                <c:pt idx="1">
                  <c:v>1.4893286089733946</c:v>
                </c:pt>
                <c:pt idx="2">
                  <c:v>-0.14001165256137435</c:v>
                </c:pt>
                <c:pt idx="3">
                  <c:v>-1.3301207556408954</c:v>
                </c:pt>
                <c:pt idx="4">
                  <c:v>-3.9329009506077801</c:v>
                </c:pt>
                <c:pt idx="5">
                  <c:v>-6.7323065020745005</c:v>
                </c:pt>
                <c:pt idx="6">
                  <c:v>-0.85848964413524609</c:v>
                </c:pt>
                <c:pt idx="7">
                  <c:v>3.3413722366255749</c:v>
                </c:pt>
                <c:pt idx="8">
                  <c:v>8.7252764036597235</c:v>
                </c:pt>
                <c:pt idx="9">
                  <c:v>8.5996844372566663</c:v>
                </c:pt>
                <c:pt idx="10">
                  <c:v>4.5380793067726435</c:v>
                </c:pt>
                <c:pt idx="11">
                  <c:v>2.9673279044948422</c:v>
                </c:pt>
                <c:pt idx="12">
                  <c:v>2.1949152717143301</c:v>
                </c:pt>
              </c:numCache>
            </c:numRef>
          </c:val>
          <c:extLst>
            <c:ext xmlns:c16="http://schemas.microsoft.com/office/drawing/2014/chart" uri="{C3380CC4-5D6E-409C-BE32-E72D297353CC}">
              <c16:uniqueId val="{0000000D-631E-4517-96A2-9675C9493D8C}"/>
            </c:ext>
          </c:extLst>
        </c:ser>
        <c:ser>
          <c:idx val="1"/>
          <c:order val="1"/>
          <c:tx>
            <c:strRef>
              <c:f>'GDP demand contributions'!$E$7</c:f>
              <c:strCache>
                <c:ptCount val="1"/>
                <c:pt idx="0">
                  <c:v>Public
consumption</c:v>
                </c:pt>
              </c:strCache>
            </c:strRef>
          </c:tx>
          <c:spPr>
            <a:solidFill>
              <a:srgbClr val="00769E"/>
            </a:solidFill>
            <a:ln w="0">
              <a:noFill/>
            </a:ln>
          </c:spPr>
          <c:invertIfNegative val="0"/>
          <c:dLbls>
            <c:dLbl>
              <c:idx val="0"/>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E-631E-4517-96A2-9675C9493D8C}"/>
                </c:ext>
              </c:extLst>
            </c:dLbl>
            <c:dLbl>
              <c:idx val="1"/>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631E-4517-96A2-9675C9493D8C}"/>
                </c:ext>
              </c:extLst>
            </c:dLbl>
            <c:dLbl>
              <c:idx val="2"/>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0-631E-4517-96A2-9675C9493D8C}"/>
                </c:ext>
              </c:extLst>
            </c:dLbl>
            <c:dLbl>
              <c:idx val="3"/>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631E-4517-96A2-9675C9493D8C}"/>
                </c:ext>
              </c:extLst>
            </c:dLbl>
            <c:dLbl>
              <c:idx val="4"/>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2-631E-4517-96A2-9675C9493D8C}"/>
                </c:ext>
              </c:extLst>
            </c:dLbl>
            <c:dLbl>
              <c:idx val="5"/>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631E-4517-96A2-9675C9493D8C}"/>
                </c:ext>
              </c:extLst>
            </c:dLbl>
            <c:dLbl>
              <c:idx val="6"/>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4-631E-4517-96A2-9675C9493D8C}"/>
                </c:ext>
              </c:extLst>
            </c:dLbl>
            <c:dLbl>
              <c:idx val="7"/>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5-631E-4517-96A2-9675C9493D8C}"/>
                </c:ext>
              </c:extLst>
            </c:dLbl>
            <c:dLbl>
              <c:idx val="8"/>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6-631E-4517-96A2-9675C9493D8C}"/>
                </c:ext>
              </c:extLst>
            </c:dLbl>
            <c:dLbl>
              <c:idx val="9"/>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7-631E-4517-96A2-9675C9493D8C}"/>
                </c:ext>
              </c:extLst>
            </c:dLbl>
            <c:dLbl>
              <c:idx val="10"/>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8-631E-4517-96A2-9675C9493D8C}"/>
                </c:ext>
              </c:extLst>
            </c:dLbl>
            <c:dLbl>
              <c:idx val="11"/>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9-631E-4517-96A2-9675C9493D8C}"/>
                </c:ext>
              </c:extLst>
            </c:dLbl>
            <c:dLbl>
              <c:idx val="12"/>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A-631E-4517-96A2-9675C9493D8C}"/>
                </c:ext>
              </c:extLst>
            </c:dLbl>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'GDP demand contributions'!$B$80:$B$92</c:f>
              <c:strCache>
                <c:ptCount val="13"/>
                <c:pt idx="0">
                  <c:v>1Q 2023</c:v>
                </c:pt>
                <c:pt idx="1">
                  <c:v>2Q 2023</c:v>
                </c:pt>
                <c:pt idx="2">
                  <c:v>3Q 2023</c:v>
                </c:pt>
                <c:pt idx="3">
                  <c:v>4Q 2023</c:v>
                </c:pt>
                <c:pt idx="4">
                  <c:v>1Q 2024</c:v>
                </c:pt>
                <c:pt idx="5">
                  <c:v>2Q 2024</c:v>
                </c:pt>
                <c:pt idx="6">
                  <c:v>3Q 2024</c:v>
                </c:pt>
                <c:pt idx="7">
                  <c:v>4Q 2024</c:v>
                </c:pt>
                <c:pt idx="8">
                  <c:v>1Q 2025</c:v>
                </c:pt>
                <c:pt idx="9">
                  <c:v>2Q 2025</c:v>
                </c:pt>
                <c:pt idx="10">
                  <c:v>3Q 2025</c:v>
                </c:pt>
                <c:pt idx="11">
                  <c:v>4Q 2025</c:v>
                </c:pt>
                <c:pt idx="12">
                  <c:v>1Q 2026</c:v>
                </c:pt>
              </c:strCache>
            </c:strRef>
          </c:cat>
          <c:val>
            <c:numRef>
              <c:f>'GDP demand contributions'!$E$80:$E$92</c:f>
              <c:numCache>
                <c:formatCode>\+0.00;\-0.00;\-</c:formatCode>
                <c:ptCount val="13"/>
                <c:pt idx="0">
                  <c:v>0.4046667425877965</c:v>
                </c:pt>
                <c:pt idx="1">
                  <c:v>0.55763555796945863</c:v>
                </c:pt>
                <c:pt idx="2">
                  <c:v>0.46521309415409912</c:v>
                </c:pt>
                <c:pt idx="3">
                  <c:v>-0.22582984754712238</c:v>
                </c:pt>
                <c:pt idx="4">
                  <c:v>-0.62621193103480344</c:v>
                </c:pt>
                <c:pt idx="5">
                  <c:v>-0.77931732705046652</c:v>
                </c:pt>
                <c:pt idx="6">
                  <c:v>-0.53845233465188547</c:v>
                </c:pt>
                <c:pt idx="7">
                  <c:v>0.27787572479376854</c:v>
                </c:pt>
                <c:pt idx="8">
                  <c:v>-0.23988992571259699</c:v>
                </c:pt>
                <c:pt idx="9">
                  <c:v>0.20146278599792164</c:v>
                </c:pt>
                <c:pt idx="10">
                  <c:v>0.17119547480217473</c:v>
                </c:pt>
                <c:pt idx="11">
                  <c:v>5.1830121102282647E-2</c:v>
                </c:pt>
                <c:pt idx="12">
                  <c:v>-0.11715373105571866</c:v>
                </c:pt>
              </c:numCache>
            </c:numRef>
          </c:val>
          <c:extLst>
            <c:ext xmlns:c16="http://schemas.microsoft.com/office/drawing/2014/chart" uri="{C3380CC4-5D6E-409C-BE32-E72D297353CC}">
              <c16:uniqueId val="{0000001B-631E-4517-96A2-9675C9493D8C}"/>
            </c:ext>
          </c:extLst>
        </c:ser>
        <c:ser>
          <c:idx val="2"/>
          <c:order val="2"/>
          <c:tx>
            <c:strRef>
              <c:f>'GDP demand contributions'!$F$7</c:f>
              <c:strCache>
                <c:ptCount val="1"/>
                <c:pt idx="0">
                  <c:v>GFCF</c:v>
                </c:pt>
              </c:strCache>
            </c:strRef>
          </c:tx>
          <c:spPr>
            <a:solidFill>
              <a:srgbClr val="879420"/>
            </a:solidFill>
            <a:ln w="0">
              <a:noFill/>
            </a:ln>
          </c:spPr>
          <c:invertIfNegative val="0"/>
          <c:dLbls>
            <c:dLbl>
              <c:idx val="0"/>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C-631E-4517-96A2-9675C9493D8C}"/>
                </c:ext>
              </c:extLst>
            </c:dLbl>
            <c:dLbl>
              <c:idx val="1"/>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D-631E-4517-96A2-9675C9493D8C}"/>
                </c:ext>
              </c:extLst>
            </c:dLbl>
            <c:dLbl>
              <c:idx val="2"/>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E-631E-4517-96A2-9675C9493D8C}"/>
                </c:ext>
              </c:extLst>
            </c:dLbl>
            <c:dLbl>
              <c:idx val="3"/>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F-631E-4517-96A2-9675C9493D8C}"/>
                </c:ext>
              </c:extLst>
            </c:dLbl>
            <c:dLbl>
              <c:idx val="4"/>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0-631E-4517-96A2-9675C9493D8C}"/>
                </c:ext>
              </c:extLst>
            </c:dLbl>
            <c:dLbl>
              <c:idx val="5"/>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1-631E-4517-96A2-9675C9493D8C}"/>
                </c:ext>
              </c:extLst>
            </c:dLbl>
            <c:dLbl>
              <c:idx val="6"/>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2-631E-4517-96A2-9675C9493D8C}"/>
                </c:ext>
              </c:extLst>
            </c:dLbl>
            <c:dLbl>
              <c:idx val="7"/>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3-631E-4517-96A2-9675C9493D8C}"/>
                </c:ext>
              </c:extLst>
            </c:dLbl>
            <c:dLbl>
              <c:idx val="8"/>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4-631E-4517-96A2-9675C9493D8C}"/>
                </c:ext>
              </c:extLst>
            </c:dLbl>
            <c:dLbl>
              <c:idx val="9"/>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5-631E-4517-96A2-9675C9493D8C}"/>
                </c:ext>
              </c:extLst>
            </c:dLbl>
            <c:dLbl>
              <c:idx val="10"/>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6-631E-4517-96A2-9675C9493D8C}"/>
                </c:ext>
              </c:extLst>
            </c:dLbl>
            <c:dLbl>
              <c:idx val="11"/>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7-631E-4517-96A2-9675C9493D8C}"/>
                </c:ext>
              </c:extLst>
            </c:dLbl>
            <c:dLbl>
              <c:idx val="12"/>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8-631E-4517-96A2-9675C9493D8C}"/>
                </c:ext>
              </c:extLst>
            </c:dLbl>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'GDP demand contributions'!$B$80:$B$92</c:f>
              <c:strCache>
                <c:ptCount val="13"/>
                <c:pt idx="0">
                  <c:v>1Q 2023</c:v>
                </c:pt>
                <c:pt idx="1">
                  <c:v>2Q 2023</c:v>
                </c:pt>
                <c:pt idx="2">
                  <c:v>3Q 2023</c:v>
                </c:pt>
                <c:pt idx="3">
                  <c:v>4Q 2023</c:v>
                </c:pt>
                <c:pt idx="4">
                  <c:v>1Q 2024</c:v>
                </c:pt>
                <c:pt idx="5">
                  <c:v>2Q 2024</c:v>
                </c:pt>
                <c:pt idx="6">
                  <c:v>3Q 2024</c:v>
                </c:pt>
                <c:pt idx="7">
                  <c:v>4Q 2024</c:v>
                </c:pt>
                <c:pt idx="8">
                  <c:v>1Q 2025</c:v>
                </c:pt>
                <c:pt idx="9">
                  <c:v>2Q 2025</c:v>
                </c:pt>
                <c:pt idx="10">
                  <c:v>3Q 2025</c:v>
                </c:pt>
                <c:pt idx="11">
                  <c:v>4Q 2025</c:v>
                </c:pt>
                <c:pt idx="12">
                  <c:v>1Q 2026</c:v>
                </c:pt>
              </c:strCache>
            </c:strRef>
          </c:cat>
          <c:val>
            <c:numRef>
              <c:f>'GDP demand contributions'!$F$80:$F$92</c:f>
              <c:numCache>
                <c:formatCode>\+0.00;\-0.00;\-</c:formatCode>
                <c:ptCount val="13"/>
                <c:pt idx="0">
                  <c:v>-0.27631035592780584</c:v>
                </c:pt>
                <c:pt idx="1">
                  <c:v>-0.3809826840753357</c:v>
                </c:pt>
                <c:pt idx="2">
                  <c:v>0.16709167618515319</c:v>
                </c:pt>
                <c:pt idx="3">
                  <c:v>-1.6206495335803637</c:v>
                </c:pt>
                <c:pt idx="4">
                  <c:v>-4.827192035184007</c:v>
                </c:pt>
                <c:pt idx="5">
                  <c:v>-6.2776746249994426</c:v>
                </c:pt>
                <c:pt idx="6">
                  <c:v>-3.7303825502014951</c:v>
                </c:pt>
                <c:pt idx="7">
                  <c:v>0.36620014267236167</c:v>
                </c:pt>
                <c:pt idx="8">
                  <c:v>5.0654467947194268</c:v>
                </c:pt>
                <c:pt idx="9">
                  <c:v>4.9319206757469516</c:v>
                </c:pt>
                <c:pt idx="10">
                  <c:v>1.9361396865914298</c:v>
                </c:pt>
                <c:pt idx="11">
                  <c:v>-0.50651191225626069</c:v>
                </c:pt>
                <c:pt idx="12">
                  <c:v>-2.3248094993235084</c:v>
                </c:pt>
              </c:numCache>
            </c:numRef>
          </c:val>
          <c:extLst>
            <c:ext xmlns:c16="http://schemas.microsoft.com/office/drawing/2014/chart" uri="{C3380CC4-5D6E-409C-BE32-E72D297353CC}">
              <c16:uniqueId val="{00000029-631E-4517-96A2-9675C9493D8C}"/>
            </c:ext>
          </c:extLst>
        </c:ser>
        <c:ser>
          <c:idx val="3"/>
          <c:order val="3"/>
          <c:tx>
            <c:strRef>
              <c:f>'GDP demand contributions'!$G$7</c:f>
              <c:strCache>
                <c:ptCount val="1"/>
                <c:pt idx="0">
                  <c:v>Inventories +
discrepancy</c:v>
                </c:pt>
              </c:strCache>
            </c:strRef>
          </c:tx>
          <c:spPr>
            <a:solidFill>
              <a:srgbClr val="4C2D59"/>
            </a:solidFill>
            <a:ln w="0">
              <a:noFill/>
            </a:ln>
          </c:spPr>
          <c:invertIfNegative val="0"/>
          <c:dLbls>
            <c:dLbl>
              <c:idx val="0"/>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A-631E-4517-96A2-9675C9493D8C}"/>
                </c:ext>
              </c:extLst>
            </c:dLbl>
            <c:dLbl>
              <c:idx val="1"/>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B-631E-4517-96A2-9675C9493D8C}"/>
                </c:ext>
              </c:extLst>
            </c:dLbl>
            <c:dLbl>
              <c:idx val="2"/>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C-631E-4517-96A2-9675C9493D8C}"/>
                </c:ext>
              </c:extLst>
            </c:dLbl>
            <c:dLbl>
              <c:idx val="3"/>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D-631E-4517-96A2-9675C9493D8C}"/>
                </c:ext>
              </c:extLst>
            </c:dLbl>
            <c:dLbl>
              <c:idx val="4"/>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E-631E-4517-96A2-9675C9493D8C}"/>
                </c:ext>
              </c:extLst>
            </c:dLbl>
            <c:dLbl>
              <c:idx val="5"/>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2F-631E-4517-96A2-9675C9493D8C}"/>
                </c:ext>
              </c:extLst>
            </c:dLbl>
            <c:dLbl>
              <c:idx val="6"/>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30-631E-4517-96A2-9675C9493D8C}"/>
                </c:ext>
              </c:extLst>
            </c:dLbl>
            <c:dLbl>
              <c:idx val="7"/>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31-631E-4517-96A2-9675C9493D8C}"/>
                </c:ext>
              </c:extLst>
            </c:dLbl>
            <c:dLbl>
              <c:idx val="8"/>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32-631E-4517-96A2-9675C9493D8C}"/>
                </c:ext>
              </c:extLst>
            </c:dLbl>
            <c:dLbl>
              <c:idx val="9"/>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33-631E-4517-96A2-9675C9493D8C}"/>
                </c:ext>
              </c:extLst>
            </c:dLbl>
            <c:dLbl>
              <c:idx val="10"/>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34-631E-4517-96A2-9675C9493D8C}"/>
                </c:ext>
              </c:extLst>
            </c:dLbl>
            <c:dLbl>
              <c:idx val="11"/>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35-631E-4517-96A2-9675C9493D8C}"/>
                </c:ext>
              </c:extLst>
            </c:dLbl>
            <c:dLbl>
              <c:idx val="12"/>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36-631E-4517-96A2-9675C9493D8C}"/>
                </c:ext>
              </c:extLst>
            </c:dLbl>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'GDP demand contributions'!$B$80:$B$92</c:f>
              <c:strCache>
                <c:ptCount val="13"/>
                <c:pt idx="0">
                  <c:v>1Q 2023</c:v>
                </c:pt>
                <c:pt idx="1">
                  <c:v>2Q 2023</c:v>
                </c:pt>
                <c:pt idx="2">
                  <c:v>3Q 2023</c:v>
                </c:pt>
                <c:pt idx="3">
                  <c:v>4Q 2023</c:v>
                </c:pt>
                <c:pt idx="4">
                  <c:v>1Q 2024</c:v>
                </c:pt>
                <c:pt idx="5">
                  <c:v>2Q 2024</c:v>
                </c:pt>
                <c:pt idx="6">
                  <c:v>3Q 2024</c:v>
                </c:pt>
                <c:pt idx="7">
                  <c:v>4Q 2024</c:v>
                </c:pt>
                <c:pt idx="8">
                  <c:v>1Q 2025</c:v>
                </c:pt>
                <c:pt idx="9">
                  <c:v>2Q 2025</c:v>
                </c:pt>
                <c:pt idx="10">
                  <c:v>3Q 2025</c:v>
                </c:pt>
                <c:pt idx="11">
                  <c:v>4Q 2025</c:v>
                </c:pt>
                <c:pt idx="12">
                  <c:v>1Q 2026</c:v>
                </c:pt>
              </c:strCache>
            </c:strRef>
          </c:cat>
          <c:val>
            <c:numRef>
              <c:f>'GDP demand contributions'!$G$80:$G$92</c:f>
              <c:numCache>
                <c:formatCode>\+0.00;\-0.00;\-</c:formatCode>
                <c:ptCount val="13"/>
                <c:pt idx="0">
                  <c:v>0.32023245311411702</c:v>
                </c:pt>
                <c:pt idx="1">
                  <c:v>-3.6659386247684811</c:v>
                </c:pt>
                <c:pt idx="2">
                  <c:v>1.2483127070350033</c:v>
                </c:pt>
                <c:pt idx="3">
                  <c:v>3.7590130648522213</c:v>
                </c:pt>
                <c:pt idx="4">
                  <c:v>-2.3825257772443358</c:v>
                </c:pt>
                <c:pt idx="5">
                  <c:v>2.4242840431095911</c:v>
                </c:pt>
                <c:pt idx="6">
                  <c:v>-4.0698600367434921</c:v>
                </c:pt>
                <c:pt idx="7">
                  <c:v>-4.0853839621312966</c:v>
                </c:pt>
                <c:pt idx="8">
                  <c:v>1.0851799889114124</c:v>
                </c:pt>
                <c:pt idx="9">
                  <c:v>0.7799192612966408</c:v>
                </c:pt>
                <c:pt idx="10">
                  <c:v>0.44455245005612404</c:v>
                </c:pt>
                <c:pt idx="11">
                  <c:v>-8.720104790282765E-2</c:v>
                </c:pt>
                <c:pt idx="12">
                  <c:v>-2.0200720789571198</c:v>
                </c:pt>
              </c:numCache>
            </c:numRef>
          </c:val>
          <c:extLst>
            <c:ext xmlns:c16="http://schemas.microsoft.com/office/drawing/2014/chart" uri="{C3380CC4-5D6E-409C-BE32-E72D297353CC}">
              <c16:uniqueId val="{00000037-631E-4517-96A2-9675C9493D8C}"/>
            </c:ext>
          </c:extLst>
        </c:ser>
        <c:ser>
          <c:idx val="4"/>
          <c:order val="4"/>
          <c:tx>
            <c:strRef>
              <c:f>'GDP demand contributions'!$H$7</c:f>
              <c:strCache>
                <c:ptCount val="1"/>
                <c:pt idx="0">
                  <c:v>Exports</c:v>
                </c:pt>
              </c:strCache>
            </c:strRef>
          </c:tx>
          <c:spPr>
            <a:solidFill>
              <a:srgbClr val="9F8866"/>
            </a:solidFill>
            <a:ln w="0">
              <a:noFill/>
            </a:ln>
          </c:spPr>
          <c:invertIfNegative val="0"/>
          <c:dLbls>
            <c:dLbl>
              <c:idx val="0"/>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38-631E-4517-96A2-9675C9493D8C}"/>
                </c:ext>
              </c:extLst>
            </c:dLbl>
            <c:dLbl>
              <c:idx val="1"/>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39-631E-4517-96A2-9675C9493D8C}"/>
                </c:ext>
              </c:extLst>
            </c:dLbl>
            <c:dLbl>
              <c:idx val="2"/>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3A-631E-4517-96A2-9675C9493D8C}"/>
                </c:ext>
              </c:extLst>
            </c:dLbl>
            <c:dLbl>
              <c:idx val="3"/>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3B-631E-4517-96A2-9675C9493D8C}"/>
                </c:ext>
              </c:extLst>
            </c:dLbl>
            <c:dLbl>
              <c:idx val="4"/>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3C-631E-4517-96A2-9675C9493D8C}"/>
                </c:ext>
              </c:extLst>
            </c:dLbl>
            <c:dLbl>
              <c:idx val="5"/>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3D-631E-4517-96A2-9675C9493D8C}"/>
                </c:ext>
              </c:extLst>
            </c:dLbl>
            <c:dLbl>
              <c:idx val="6"/>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3E-631E-4517-96A2-9675C9493D8C}"/>
                </c:ext>
              </c:extLst>
            </c:dLbl>
            <c:dLbl>
              <c:idx val="7"/>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3F-631E-4517-96A2-9675C9493D8C}"/>
                </c:ext>
              </c:extLst>
            </c:dLbl>
            <c:dLbl>
              <c:idx val="8"/>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40-631E-4517-96A2-9675C9493D8C}"/>
                </c:ext>
              </c:extLst>
            </c:dLbl>
            <c:dLbl>
              <c:idx val="9"/>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41-631E-4517-96A2-9675C9493D8C}"/>
                </c:ext>
              </c:extLst>
            </c:dLbl>
            <c:dLbl>
              <c:idx val="10"/>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42-631E-4517-96A2-9675C9493D8C}"/>
                </c:ext>
              </c:extLst>
            </c:dLbl>
            <c:dLbl>
              <c:idx val="11"/>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43-631E-4517-96A2-9675C9493D8C}"/>
                </c:ext>
              </c:extLst>
            </c:dLbl>
            <c:dLbl>
              <c:idx val="12"/>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44-631E-4517-96A2-9675C9493D8C}"/>
                </c:ext>
              </c:extLst>
            </c:dLbl>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'GDP demand contributions'!$B$80:$B$92</c:f>
              <c:strCache>
                <c:ptCount val="13"/>
                <c:pt idx="0">
                  <c:v>1Q 2023</c:v>
                </c:pt>
                <c:pt idx="1">
                  <c:v>2Q 2023</c:v>
                </c:pt>
                <c:pt idx="2">
                  <c:v>3Q 2023</c:v>
                </c:pt>
                <c:pt idx="3">
                  <c:v>4Q 2023</c:v>
                </c:pt>
                <c:pt idx="4">
                  <c:v>1Q 2024</c:v>
                </c:pt>
                <c:pt idx="5">
                  <c:v>2Q 2024</c:v>
                </c:pt>
                <c:pt idx="6">
                  <c:v>3Q 2024</c:v>
                </c:pt>
                <c:pt idx="7">
                  <c:v>4Q 2024</c:v>
                </c:pt>
                <c:pt idx="8">
                  <c:v>1Q 2025</c:v>
                </c:pt>
                <c:pt idx="9">
                  <c:v>2Q 2025</c:v>
                </c:pt>
                <c:pt idx="10">
                  <c:v>3Q 2025</c:v>
                </c:pt>
                <c:pt idx="11">
                  <c:v>4Q 2025</c:v>
                </c:pt>
                <c:pt idx="12">
                  <c:v>1Q 2026</c:v>
                </c:pt>
              </c:strCache>
            </c:strRef>
          </c:cat>
          <c:val>
            <c:numRef>
              <c:f>'GDP demand contributions'!$H$80:$H$92</c:f>
              <c:numCache>
                <c:formatCode>\+0.00;\-0.00;\-</c:formatCode>
                <c:ptCount val="13"/>
                <c:pt idx="0">
                  <c:v>-1.2751608844565414</c:v>
                </c:pt>
                <c:pt idx="1">
                  <c:v>-2.6468623700299716</c:v>
                </c:pt>
                <c:pt idx="2">
                  <c:v>-1.801561471165162</c:v>
                </c:pt>
                <c:pt idx="3">
                  <c:v>-2.5279465374947763</c:v>
                </c:pt>
                <c:pt idx="4">
                  <c:v>2.9737530346787957</c:v>
                </c:pt>
                <c:pt idx="5">
                  <c:v>3.6941387494006181</c:v>
                </c:pt>
                <c:pt idx="6">
                  <c:v>3.8668075181996562</c:v>
                </c:pt>
                <c:pt idx="7">
                  <c:v>5.2069911180249742</c:v>
                </c:pt>
                <c:pt idx="8">
                  <c:v>1.4215424375141543</c:v>
                </c:pt>
                <c:pt idx="9">
                  <c:v>0.7941754318168095</c:v>
                </c:pt>
                <c:pt idx="10">
                  <c:v>2.473551299998261</c:v>
                </c:pt>
                <c:pt idx="11">
                  <c:v>2.8319701130236004</c:v>
                </c:pt>
                <c:pt idx="12">
                  <c:v>2.1753871448536062</c:v>
                </c:pt>
              </c:numCache>
            </c:numRef>
          </c:val>
          <c:extLst>
            <c:ext xmlns:c16="http://schemas.microsoft.com/office/drawing/2014/chart" uri="{C3380CC4-5D6E-409C-BE32-E72D297353CC}">
              <c16:uniqueId val="{00000045-631E-4517-96A2-9675C9493D8C}"/>
            </c:ext>
          </c:extLst>
        </c:ser>
        <c:ser>
          <c:idx val="5"/>
          <c:order val="5"/>
          <c:tx>
            <c:strRef>
              <c:f>'GDP demand contributions'!$I$7</c:f>
              <c:strCache>
                <c:ptCount val="1"/>
                <c:pt idx="0">
                  <c:v>Imports</c:v>
                </c:pt>
              </c:strCache>
            </c:strRef>
          </c:tx>
          <c:spPr>
            <a:solidFill>
              <a:srgbClr val="2F476B"/>
            </a:solidFill>
            <a:ln w="0">
              <a:noFill/>
            </a:ln>
          </c:spPr>
          <c:invertIfNegative val="0"/>
          <c:dLbls>
            <c:dLbl>
              <c:idx val="0"/>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46-631E-4517-96A2-9675C9493D8C}"/>
                </c:ext>
              </c:extLst>
            </c:dLbl>
            <c:dLbl>
              <c:idx val="1"/>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47-631E-4517-96A2-9675C9493D8C}"/>
                </c:ext>
              </c:extLst>
            </c:dLbl>
            <c:dLbl>
              <c:idx val="2"/>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48-631E-4517-96A2-9675C9493D8C}"/>
                </c:ext>
              </c:extLst>
            </c:dLbl>
            <c:dLbl>
              <c:idx val="3"/>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49-631E-4517-96A2-9675C9493D8C}"/>
                </c:ext>
              </c:extLst>
            </c:dLbl>
            <c:dLbl>
              <c:idx val="4"/>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4A-631E-4517-96A2-9675C9493D8C}"/>
                </c:ext>
              </c:extLst>
            </c:dLbl>
            <c:dLbl>
              <c:idx val="5"/>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4B-631E-4517-96A2-9675C9493D8C}"/>
                </c:ext>
              </c:extLst>
            </c:dLbl>
            <c:dLbl>
              <c:idx val="6"/>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4C-631E-4517-96A2-9675C9493D8C}"/>
                </c:ext>
              </c:extLst>
            </c:dLbl>
            <c:dLbl>
              <c:idx val="7"/>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4D-631E-4517-96A2-9675C9493D8C}"/>
                </c:ext>
              </c:extLst>
            </c:dLbl>
            <c:dLbl>
              <c:idx val="8"/>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4E-631E-4517-96A2-9675C9493D8C}"/>
                </c:ext>
              </c:extLst>
            </c:dLbl>
            <c:dLbl>
              <c:idx val="9"/>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4F-631E-4517-96A2-9675C9493D8C}"/>
                </c:ext>
              </c:extLst>
            </c:dLbl>
            <c:dLbl>
              <c:idx val="10"/>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50-631E-4517-96A2-9675C9493D8C}"/>
                </c:ext>
              </c:extLst>
            </c:dLbl>
            <c:dLbl>
              <c:idx val="11"/>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51-631E-4517-96A2-9675C9493D8C}"/>
                </c:ext>
              </c:extLst>
            </c:dLbl>
            <c:dLbl>
              <c:idx val="12"/>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52-631E-4517-96A2-9675C9493D8C}"/>
                </c:ext>
              </c:extLst>
            </c:dLbl>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'GDP demand contributions'!$B$80:$B$92</c:f>
              <c:strCache>
                <c:ptCount val="13"/>
                <c:pt idx="0">
                  <c:v>1Q 2023</c:v>
                </c:pt>
                <c:pt idx="1">
                  <c:v>2Q 2023</c:v>
                </c:pt>
                <c:pt idx="2">
                  <c:v>3Q 2023</c:v>
                </c:pt>
                <c:pt idx="3">
                  <c:v>4Q 2023</c:v>
                </c:pt>
                <c:pt idx="4">
                  <c:v>1Q 2024</c:v>
                </c:pt>
                <c:pt idx="5">
                  <c:v>2Q 2024</c:v>
                </c:pt>
                <c:pt idx="6">
                  <c:v>3Q 2024</c:v>
                </c:pt>
                <c:pt idx="7">
                  <c:v>4Q 2024</c:v>
                </c:pt>
                <c:pt idx="8">
                  <c:v>1Q 2025</c:v>
                </c:pt>
                <c:pt idx="9">
                  <c:v>2Q 2025</c:v>
                </c:pt>
                <c:pt idx="10">
                  <c:v>3Q 2025</c:v>
                </c:pt>
                <c:pt idx="11">
                  <c:v>4Q 2025</c:v>
                </c:pt>
                <c:pt idx="12">
                  <c:v>1Q 2026</c:v>
                </c:pt>
              </c:strCache>
            </c:strRef>
          </c:cat>
          <c:val>
            <c:numRef>
              <c:f>'GDP demand contributions'!$I$80:$I$92</c:f>
              <c:numCache>
                <c:formatCode>\+0.00;\-0.00;\-</c:formatCode>
                <c:ptCount val="13"/>
                <c:pt idx="0">
                  <c:v>-1.0381103377518153</c:v>
                </c:pt>
                <c:pt idx="1">
                  <c:v>-1.0042139017315863</c:v>
                </c:pt>
                <c:pt idx="2">
                  <c:v>-0.50136464684031212</c:v>
                </c:pt>
                <c:pt idx="3">
                  <c:v>0.234215134753881</c:v>
                </c:pt>
                <c:pt idx="4">
                  <c:v>3.7114206945421806</c:v>
                </c:pt>
                <c:pt idx="5">
                  <c:v>6.5573780123617045</c:v>
                </c:pt>
                <c:pt idx="6">
                  <c:v>3.375371997801027</c:v>
                </c:pt>
                <c:pt idx="7">
                  <c:v>-2.3977117007783022</c:v>
                </c:pt>
                <c:pt idx="8">
                  <c:v>-9.9404810152821792</c:v>
                </c:pt>
                <c:pt idx="9">
                  <c:v>-8.7894784897016578</c:v>
                </c:pt>
                <c:pt idx="10">
                  <c:v>-6.366559696159432</c:v>
                </c:pt>
                <c:pt idx="11">
                  <c:v>-3.0783635306098431</c:v>
                </c:pt>
                <c:pt idx="12">
                  <c:v>2.4193641649042168</c:v>
                </c:pt>
              </c:numCache>
            </c:numRef>
          </c:val>
          <c:extLst>
            <c:ext xmlns:c16="http://schemas.microsoft.com/office/drawing/2014/chart" uri="{C3380CC4-5D6E-409C-BE32-E72D297353CC}">
              <c16:uniqueId val="{00000053-631E-4517-96A2-9675C9493D8C}"/>
            </c:ext>
          </c:extLst>
        </c:ser>
        <c:dLbls>
          <c:showLegendKey val="0"/>
          <c:showVal val="0"/>
          <c:showCatName val="0"/>
          <c:showSerName val="0"/>
          <c:showPercent val="0"/>
          <c:showBubbleSize val="0"/>
        </c:dLbls>
        <c:gapWidth val="110"/>
        <c:overlap val="100"/>
        <c:axId val="64405662"/>
        <c:axId val="79012386"/>
      </c:barChart>
      <c:catAx>
        <c:axId val="64405662"/>
        <c:scaling>
          <c:orientation val="minMax"/>
        </c:scaling>
        <c:delete val="0"/>
        <c:axPos val="b"/>
        <c:numFmt formatCode="General" sourceLinked="1"/>
        <c:majorTickMark val="none"/>
        <c:minorTickMark val="none"/>
        <c:tickLblPos val="low"/>
        <c:spPr>
          <a:ln w="9360">
            <a:solidFill>
              <a:srgbClr val="878787"/>
            </a:solidFill>
            <a:round/>
          </a:ln>
        </c:spPr>
        <c:crossAx val="79012386"/>
        <c:crosses val="autoZero"/>
        <c:auto val="1"/>
        <c:lblAlgn val="ctr"/>
        <c:lblOffset val="100"/>
        <c:noMultiLvlLbl val="0"/>
      </c:catAx>
      <c:valAx>
        <c:axId val="79012386"/>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crossAx val="64405662"/>
        <c:crosses val="autoZero"/>
        <c:crossBetween val="between"/>
      </c:valAx>
      <c:spPr>
        <a:noFill/>
        <a:ln w="0">
          <a:noFill/>
        </a:ln>
      </c:spPr>
    </c:plotArea>
    <c:legend>
      <c:legendPos val="r"/>
      <c:overlay val="0"/>
      <c:spPr>
        <a:noFill/>
        <a:ln w="0">
          <a:noFill/>
        </a:ln>
      </c:spPr>
    </c:legend>
    <c:plotVisOnly val="1"/>
    <c:dispBlanksAs val="gap"/>
    <c:showDLblsOverMax val="1"/>
  </c:chart>
  <c:spPr>
    <a:solidFill>
      <a:srgbClr val="FFFFFF"/>
    </a:solidFill>
    <a:ln w="9360">
      <a:solidFill>
        <a:srgbClr val="D9D9D9"/>
      </a:solidFill>
      <a:round/>
    </a:ln>
  </c:spPr>
  <c:txPr>
    <a:bodyPr/>
    <a:lstStyle/>
    <a:p>
      <a:pPr>
        <a:defRPr sz="1200">
          <a:solidFill>
            <a:sysClr val="windowText" lastClr="000000"/>
          </a:solidFill>
          <a:latin typeface="Frutiger 45 Light" panose="020B0603020202020204" pitchFamily="34" charset="0"/>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4502951050997226E-2"/>
          <c:y val="2.9643211493431756E-2"/>
          <c:w val="0.92734505478080409"/>
          <c:h val="0.90151922847958088"/>
        </c:manualLayout>
      </c:layout>
      <c:barChart>
        <c:barDir val="col"/>
        <c:grouping val="stacked"/>
        <c:varyColors val="0"/>
        <c:ser>
          <c:idx val="2"/>
          <c:order val="0"/>
          <c:tx>
            <c:strRef>
              <c:f>'GDP demand contributions'!$P$7</c:f>
              <c:strCache>
                <c:ptCount val="1"/>
                <c:pt idx="0">
                  <c:v>Inventories + discrepancy</c:v>
                </c:pt>
              </c:strCache>
            </c:strRef>
          </c:tx>
          <c:spPr>
            <a:solidFill>
              <a:schemeClr val="bg1">
                <a:lumMod val="75000"/>
              </a:schemeClr>
            </a:solidFill>
            <a:ln w="0">
              <a:noFill/>
            </a:ln>
          </c:spPr>
          <c:invertIfNegative val="0"/>
          <c:dLbls>
            <c:dLbl>
              <c:idx val="0"/>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0-3A1B-41ED-BE31-A046B46E72B0}"/>
                </c:ext>
              </c:extLst>
            </c:dLbl>
            <c:dLbl>
              <c:idx val="1"/>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3A1B-41ED-BE31-A046B46E72B0}"/>
                </c:ext>
              </c:extLst>
            </c:dLbl>
            <c:dLbl>
              <c:idx val="2"/>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2-3A1B-41ED-BE31-A046B46E72B0}"/>
                </c:ext>
              </c:extLst>
            </c:dLbl>
            <c:dLbl>
              <c:idx val="3"/>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3A1B-41ED-BE31-A046B46E72B0}"/>
                </c:ext>
              </c:extLst>
            </c:dLbl>
            <c:dLbl>
              <c:idx val="4"/>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3A1B-41ED-BE31-A046B46E72B0}"/>
                </c:ext>
              </c:extLst>
            </c:dLbl>
            <c:dLbl>
              <c:idx val="5"/>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3A1B-41ED-BE31-A046B46E72B0}"/>
                </c:ext>
              </c:extLst>
            </c:dLbl>
            <c:dLbl>
              <c:idx val="6"/>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6-3A1B-41ED-BE31-A046B46E72B0}"/>
                </c:ext>
              </c:extLst>
            </c:dLbl>
            <c:dLbl>
              <c:idx val="7"/>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3A1B-41ED-BE31-A046B46E72B0}"/>
                </c:ext>
              </c:extLst>
            </c:dLbl>
            <c:dLbl>
              <c:idx val="8"/>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8-3A1B-41ED-BE31-A046B46E72B0}"/>
                </c:ext>
              </c:extLst>
            </c:dLbl>
            <c:dLbl>
              <c:idx val="9"/>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3A1B-41ED-BE31-A046B46E72B0}"/>
                </c:ext>
              </c:extLst>
            </c:dLbl>
            <c:dLbl>
              <c:idx val="10"/>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A-3A1B-41ED-BE31-A046B46E72B0}"/>
                </c:ext>
              </c:extLst>
            </c:dLbl>
            <c:dLbl>
              <c:idx val="11"/>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3A1B-41ED-BE31-A046B46E72B0}"/>
                </c:ext>
              </c:extLst>
            </c:dLbl>
            <c:dLbl>
              <c:idx val="12"/>
              <c:spPr>
                <a:noFill/>
                <a:ln>
                  <a:noFill/>
                </a:ln>
                <a:effectLst/>
              </c:spPr>
              <c:txPr>
                <a:bodyPr wrap="square" lIns="38100" tIns="19050" rIns="38100" bIns="19050" anchor="ctr">
                  <a:spAutoFit/>
                </a:bodyPr>
                <a:lstStyle/>
                <a:p>
                  <a:pPr>
                    <a:defRPr>
                      <a:solidFill>
                        <a:srgbClr val="000000"/>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C-3A1B-41ED-BE31-A046B46E72B0}"/>
                </c:ext>
              </c:extLst>
            </c:dLbl>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'GDP demand contributions'!$B$80:$B$92</c:f>
              <c:strCache>
                <c:ptCount val="13"/>
                <c:pt idx="0">
                  <c:v>1Q 2023</c:v>
                </c:pt>
                <c:pt idx="1">
                  <c:v>2Q 2023</c:v>
                </c:pt>
                <c:pt idx="2">
                  <c:v>3Q 2023</c:v>
                </c:pt>
                <c:pt idx="3">
                  <c:v>4Q 2023</c:v>
                </c:pt>
                <c:pt idx="4">
                  <c:v>1Q 2024</c:v>
                </c:pt>
                <c:pt idx="5">
                  <c:v>2Q 2024</c:v>
                </c:pt>
                <c:pt idx="6">
                  <c:v>3Q 2024</c:v>
                </c:pt>
                <c:pt idx="7">
                  <c:v>4Q 2024</c:v>
                </c:pt>
                <c:pt idx="8">
                  <c:v>1Q 2025</c:v>
                </c:pt>
                <c:pt idx="9">
                  <c:v>2Q 2025</c:v>
                </c:pt>
                <c:pt idx="10">
                  <c:v>3Q 2025</c:v>
                </c:pt>
                <c:pt idx="11">
                  <c:v>4Q 2025</c:v>
                </c:pt>
                <c:pt idx="12">
                  <c:v>1Q 2026</c:v>
                </c:pt>
              </c:strCache>
            </c:strRef>
          </c:cat>
          <c:val>
            <c:numRef>
              <c:f>'GDP demand contributions'!$P$80:$P$92</c:f>
              <c:numCache>
                <c:formatCode>\+0.00;\-0.00;\-</c:formatCode>
                <c:ptCount val="13"/>
                <c:pt idx="0">
                  <c:v>0.32023245311411702</c:v>
                </c:pt>
                <c:pt idx="1">
                  <c:v>-3.6659386247684811</c:v>
                </c:pt>
                <c:pt idx="2">
                  <c:v>1.2483127070350033</c:v>
                </c:pt>
                <c:pt idx="3">
                  <c:v>3.7590130648522213</c:v>
                </c:pt>
                <c:pt idx="4">
                  <c:v>-2.3825257772443358</c:v>
                </c:pt>
                <c:pt idx="5">
                  <c:v>2.4242840431095911</c:v>
                </c:pt>
                <c:pt idx="6">
                  <c:v>-4.0698600367434921</c:v>
                </c:pt>
                <c:pt idx="7">
                  <c:v>-4.0853839621312966</c:v>
                </c:pt>
                <c:pt idx="8">
                  <c:v>1.0851799889114124</c:v>
                </c:pt>
                <c:pt idx="9">
                  <c:v>0.7799192612966408</c:v>
                </c:pt>
                <c:pt idx="10">
                  <c:v>0.44455245005612404</c:v>
                </c:pt>
                <c:pt idx="11">
                  <c:v>-8.720104790282765E-2</c:v>
                </c:pt>
                <c:pt idx="12">
                  <c:v>-2.0200720789571198</c:v>
                </c:pt>
              </c:numCache>
            </c:numRef>
          </c:val>
          <c:extLst>
            <c:ext xmlns:c16="http://schemas.microsoft.com/office/drawing/2014/chart" uri="{C3380CC4-5D6E-409C-BE32-E72D297353CC}">
              <c16:uniqueId val="{0000000D-3A1B-41ED-BE31-A046B46E72B0}"/>
            </c:ext>
          </c:extLst>
        </c:ser>
        <c:ser>
          <c:idx val="1"/>
          <c:order val="1"/>
          <c:tx>
            <c:strRef>
              <c:f>'GDP demand contributions'!$O$7</c:f>
              <c:strCache>
                <c:ptCount val="1"/>
                <c:pt idx="0">
                  <c:v>Domestic demand</c:v>
                </c:pt>
              </c:strCache>
            </c:strRef>
          </c:tx>
          <c:spPr>
            <a:solidFill>
              <a:srgbClr val="CC0000"/>
            </a:solidFill>
            <a:ln w="0">
              <a:noFill/>
            </a:ln>
          </c:spPr>
          <c:invertIfNegative val="0"/>
          <c:dLbls>
            <c:dLbl>
              <c:idx val="0"/>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E-3A1B-41ED-BE31-A046B46E72B0}"/>
                </c:ext>
              </c:extLst>
            </c:dLbl>
            <c:dLbl>
              <c:idx val="1"/>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3A1B-41ED-BE31-A046B46E72B0}"/>
                </c:ext>
              </c:extLst>
            </c:dLbl>
            <c:dLbl>
              <c:idx val="2"/>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0-3A1B-41ED-BE31-A046B46E72B0}"/>
                </c:ext>
              </c:extLst>
            </c:dLbl>
            <c:dLbl>
              <c:idx val="3"/>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3A1B-41ED-BE31-A046B46E72B0}"/>
                </c:ext>
              </c:extLst>
            </c:dLbl>
            <c:dLbl>
              <c:idx val="4"/>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2-3A1B-41ED-BE31-A046B46E72B0}"/>
                </c:ext>
              </c:extLst>
            </c:dLbl>
            <c:dLbl>
              <c:idx val="5"/>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3A1B-41ED-BE31-A046B46E72B0}"/>
                </c:ext>
              </c:extLst>
            </c:dLbl>
            <c:dLbl>
              <c:idx val="6"/>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4-3A1B-41ED-BE31-A046B46E72B0}"/>
                </c:ext>
              </c:extLst>
            </c:dLbl>
            <c:dLbl>
              <c:idx val="7"/>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5-3A1B-41ED-BE31-A046B46E72B0}"/>
                </c:ext>
              </c:extLst>
            </c:dLbl>
            <c:dLbl>
              <c:idx val="8"/>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6-3A1B-41ED-BE31-A046B46E72B0}"/>
                </c:ext>
              </c:extLst>
            </c:dLbl>
            <c:dLbl>
              <c:idx val="9"/>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7-3A1B-41ED-BE31-A046B46E72B0}"/>
                </c:ext>
              </c:extLst>
            </c:dLbl>
            <c:dLbl>
              <c:idx val="10"/>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8-3A1B-41ED-BE31-A046B46E72B0}"/>
                </c:ext>
              </c:extLst>
            </c:dLbl>
            <c:dLbl>
              <c:idx val="11"/>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9-3A1B-41ED-BE31-A046B46E72B0}"/>
                </c:ext>
              </c:extLst>
            </c:dLbl>
            <c:dLbl>
              <c:idx val="12"/>
              <c:spPr>
                <a:noFill/>
                <a:ln>
                  <a:noFill/>
                </a:ln>
                <a:effectLst/>
              </c:spPr>
              <c:txPr>
                <a:bodyPr wrap="square" lIns="38100" tIns="19050" rIns="38100" bIns="19050" anchor="ctr">
                  <a:spAutoFit/>
                </a:bodyPr>
                <a:lstStyle/>
                <a:p>
                  <a:pPr>
                    <a:defRPr>
                      <a:solidFill>
                        <a:srgbClr val="FFFFFF"/>
                      </a:solidFil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A-3A1B-41ED-BE31-A046B46E72B0}"/>
                </c:ext>
              </c:extLst>
            </c:dLbl>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'GDP demand contributions'!$B$80:$B$92</c:f>
              <c:strCache>
                <c:ptCount val="13"/>
                <c:pt idx="0">
                  <c:v>1Q 2023</c:v>
                </c:pt>
                <c:pt idx="1">
                  <c:v>2Q 2023</c:v>
                </c:pt>
                <c:pt idx="2">
                  <c:v>3Q 2023</c:v>
                </c:pt>
                <c:pt idx="3">
                  <c:v>4Q 2023</c:v>
                </c:pt>
                <c:pt idx="4">
                  <c:v>1Q 2024</c:v>
                </c:pt>
                <c:pt idx="5">
                  <c:v>2Q 2024</c:v>
                </c:pt>
                <c:pt idx="6">
                  <c:v>3Q 2024</c:v>
                </c:pt>
                <c:pt idx="7">
                  <c:v>4Q 2024</c:v>
                </c:pt>
                <c:pt idx="8">
                  <c:v>1Q 2025</c:v>
                </c:pt>
                <c:pt idx="9">
                  <c:v>2Q 2025</c:v>
                </c:pt>
                <c:pt idx="10">
                  <c:v>3Q 2025</c:v>
                </c:pt>
                <c:pt idx="11">
                  <c:v>4Q 2025</c:v>
                </c:pt>
                <c:pt idx="12">
                  <c:v>1Q 2026</c:v>
                </c:pt>
              </c:strCache>
            </c:strRef>
          </c:cat>
          <c:val>
            <c:numRef>
              <c:f>'GDP demand contributions'!$O$80:$O$92</c:f>
              <c:numCache>
                <c:formatCode>\+0.00;\-0.00;\-</c:formatCode>
                <c:ptCount val="13"/>
                <c:pt idx="0">
                  <c:v>2.9081074529504507</c:v>
                </c:pt>
                <c:pt idx="1">
                  <c:v>1.6659814828675177</c:v>
                </c:pt>
                <c:pt idx="2">
                  <c:v>0.49229311777787799</c:v>
                </c:pt>
                <c:pt idx="3">
                  <c:v>-3.1766001367683812</c:v>
                </c:pt>
                <c:pt idx="4">
                  <c:v>-9.3863049168265906</c:v>
                </c:pt>
                <c:pt idx="5">
                  <c:v>-13.78929845412441</c:v>
                </c:pt>
                <c:pt idx="6">
                  <c:v>-5.1273245289886269</c:v>
                </c:pt>
                <c:pt idx="7">
                  <c:v>3.9854481040917049</c:v>
                </c:pt>
                <c:pt idx="8">
                  <c:v>13.550833272666555</c:v>
                </c:pt>
                <c:pt idx="9">
                  <c:v>13.73306789900154</c:v>
                </c:pt>
                <c:pt idx="10">
                  <c:v>6.6454144681662477</c:v>
                </c:pt>
                <c:pt idx="11">
                  <c:v>2.512646113340864</c:v>
                </c:pt>
                <c:pt idx="12">
                  <c:v>-0.24704795866489704</c:v>
                </c:pt>
              </c:numCache>
            </c:numRef>
          </c:val>
          <c:extLst>
            <c:ext xmlns:c16="http://schemas.microsoft.com/office/drawing/2014/chart" uri="{C3380CC4-5D6E-409C-BE32-E72D297353CC}">
              <c16:uniqueId val="{0000001B-3A1B-41ED-BE31-A046B46E72B0}"/>
            </c:ext>
          </c:extLst>
        </c:ser>
        <c:ser>
          <c:idx val="3"/>
          <c:order val="2"/>
          <c:tx>
            <c:strRef>
              <c:f>'GDP demand contributions'!$Q$7</c:f>
              <c:strCache>
                <c:ptCount val="1"/>
                <c:pt idx="0">
                  <c:v>External sector</c:v>
                </c:pt>
              </c:strCache>
            </c:strRef>
          </c:tx>
          <c:spPr>
            <a:solidFill>
              <a:schemeClr val="accent1">
                <a:lumMod val="75000"/>
              </a:schemeClr>
            </a:solidFill>
          </c:spPr>
          <c:invertIfNegative val="0"/>
          <c:cat>
            <c:strRef>
              <c:f>'GDP demand contributions'!$B$80:$B$92</c:f>
              <c:strCache>
                <c:ptCount val="13"/>
                <c:pt idx="0">
                  <c:v>1Q 2023</c:v>
                </c:pt>
                <c:pt idx="1">
                  <c:v>2Q 2023</c:v>
                </c:pt>
                <c:pt idx="2">
                  <c:v>3Q 2023</c:v>
                </c:pt>
                <c:pt idx="3">
                  <c:v>4Q 2023</c:v>
                </c:pt>
                <c:pt idx="4">
                  <c:v>1Q 2024</c:v>
                </c:pt>
                <c:pt idx="5">
                  <c:v>2Q 2024</c:v>
                </c:pt>
                <c:pt idx="6">
                  <c:v>3Q 2024</c:v>
                </c:pt>
                <c:pt idx="7">
                  <c:v>4Q 2024</c:v>
                </c:pt>
                <c:pt idx="8">
                  <c:v>1Q 2025</c:v>
                </c:pt>
                <c:pt idx="9">
                  <c:v>2Q 2025</c:v>
                </c:pt>
                <c:pt idx="10">
                  <c:v>3Q 2025</c:v>
                </c:pt>
                <c:pt idx="11">
                  <c:v>4Q 2025</c:v>
                </c:pt>
                <c:pt idx="12">
                  <c:v>1Q 2026</c:v>
                </c:pt>
              </c:strCache>
            </c:strRef>
          </c:cat>
          <c:val>
            <c:numRef>
              <c:f>'GDP demand contributions'!$Q$80:$Q$92</c:f>
              <c:numCache>
                <c:formatCode>\+0.00;\-0.00;\-</c:formatCode>
                <c:ptCount val="13"/>
                <c:pt idx="0">
                  <c:v>-2.3132712222083569</c:v>
                </c:pt>
                <c:pt idx="1">
                  <c:v>-3.6510762717615579</c:v>
                </c:pt>
                <c:pt idx="2">
                  <c:v>-2.3029261180054741</c:v>
                </c:pt>
                <c:pt idx="3">
                  <c:v>-2.293731402740895</c:v>
                </c:pt>
                <c:pt idx="4">
                  <c:v>6.6851737292209759</c:v>
                </c:pt>
                <c:pt idx="5">
                  <c:v>10.251516761762323</c:v>
                </c:pt>
                <c:pt idx="6">
                  <c:v>7.2421795160006832</c:v>
                </c:pt>
                <c:pt idx="7">
                  <c:v>2.809279417246672</c:v>
                </c:pt>
                <c:pt idx="8">
                  <c:v>-8.5189385777680258</c:v>
                </c:pt>
                <c:pt idx="9">
                  <c:v>-7.9953030578848487</c:v>
                </c:pt>
                <c:pt idx="10">
                  <c:v>-3.893008396161171</c:v>
                </c:pt>
                <c:pt idx="11">
                  <c:v>-0.24639341758624278</c:v>
                </c:pt>
                <c:pt idx="12">
                  <c:v>4.5947513097578234</c:v>
                </c:pt>
              </c:numCache>
            </c:numRef>
          </c:val>
          <c:extLst>
            <c:ext xmlns:c16="http://schemas.microsoft.com/office/drawing/2014/chart" uri="{C3380CC4-5D6E-409C-BE32-E72D297353CC}">
              <c16:uniqueId val="{0000001C-3A1B-41ED-BE31-A046B46E72B0}"/>
            </c:ext>
          </c:extLst>
        </c:ser>
        <c:dLbls>
          <c:showLegendKey val="0"/>
          <c:showVal val="0"/>
          <c:showCatName val="0"/>
          <c:showSerName val="0"/>
          <c:showPercent val="0"/>
          <c:showBubbleSize val="0"/>
        </c:dLbls>
        <c:gapWidth val="110"/>
        <c:overlap val="100"/>
        <c:axId val="64405662"/>
        <c:axId val="79012386"/>
      </c:barChart>
      <c:lineChart>
        <c:grouping val="standard"/>
        <c:varyColors val="0"/>
        <c:ser>
          <c:idx val="0"/>
          <c:order val="3"/>
          <c:tx>
            <c:strRef>
              <c:f>'GDP demand contributions'!$N$7</c:f>
              <c:strCache>
                <c:ptCount val="1"/>
                <c:pt idx="0">
                  <c:v>Real GDP</c:v>
                </c:pt>
              </c:strCache>
            </c:strRef>
          </c:tx>
          <c:spPr>
            <a:ln w="34925">
              <a:solidFill>
                <a:schemeClr val="tx1"/>
              </a:solidFill>
            </a:ln>
          </c:spPr>
          <c:marker>
            <c:symbol val="diamond"/>
            <c:size val="7"/>
            <c:spPr>
              <a:solidFill>
                <a:schemeClr val="tx1"/>
              </a:solidFill>
              <a:ln>
                <a:noFill/>
              </a:ln>
            </c:spPr>
          </c:marker>
          <c:dLbls>
            <c:dLbl>
              <c:idx val="0"/>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3A1B-41ED-BE31-A046B46E72B0}"/>
                </c:ext>
              </c:extLst>
            </c:dLbl>
            <c:dLbl>
              <c:idx val="1"/>
              <c:layout>
                <c:manualLayout>
                  <c:x val="1.5596327740248687E-2"/>
                  <c:y val="9.1152795771084465E-3"/>
                </c:manualLayout>
              </c:layout>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3A1B-41ED-BE31-A046B46E72B0}"/>
                </c:ext>
              </c:extLst>
            </c:dLbl>
            <c:dLbl>
              <c:idx val="2"/>
              <c:layout>
                <c:manualLayout>
                  <c:x val="-6.4984698917702867E-3"/>
                  <c:y val="5.7730103988353494E-2"/>
                </c:manualLayout>
              </c:layout>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3A1B-41ED-BE31-A046B46E72B0}"/>
                </c:ext>
              </c:extLst>
            </c:dLbl>
            <c:dLbl>
              <c:idx val="3"/>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3A1B-41ED-BE31-A046B46E72B0}"/>
                </c:ext>
              </c:extLst>
            </c:dLbl>
            <c:dLbl>
              <c:idx val="4"/>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3A1B-41ED-BE31-A046B46E72B0}"/>
                </c:ext>
              </c:extLst>
            </c:dLbl>
            <c:dLbl>
              <c:idx val="5"/>
              <c:layout>
                <c:manualLayout>
                  <c:x val="0"/>
                  <c:y val="-1.5120847719966662E-2"/>
                </c:manualLayout>
              </c:layout>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3A1B-41ED-BE31-A046B46E72B0}"/>
                </c:ext>
              </c:extLst>
            </c:dLbl>
            <c:dLbl>
              <c:idx val="6"/>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3A1B-41ED-BE31-A046B46E72B0}"/>
                </c:ext>
              </c:extLst>
            </c:dLbl>
            <c:dLbl>
              <c:idx val="7"/>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3A1B-41ED-BE31-A046B46E72B0}"/>
                </c:ext>
              </c:extLst>
            </c:dLbl>
            <c:dLbl>
              <c:idx val="8"/>
              <c:layout>
                <c:manualLayout>
                  <c:x val="-4.0057221899189319E-3"/>
                  <c:y val="-4.0322260586577764E-2"/>
                </c:manualLayout>
              </c:layout>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3A1B-41ED-BE31-A046B46E72B0}"/>
                </c:ext>
              </c:extLst>
            </c:dLbl>
            <c:dLbl>
              <c:idx val="9"/>
              <c:layout>
                <c:manualLayout>
                  <c:x val="6.0085832848782881E-3"/>
                  <c:y val="-2.0161130293288882E-2"/>
                </c:manualLayout>
              </c:layout>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3A1B-41ED-BE31-A046B46E72B0}"/>
                </c:ext>
              </c:extLst>
            </c:dLbl>
            <c:dLbl>
              <c:idx val="10"/>
              <c:layout>
                <c:manualLayout>
                  <c:x val="0"/>
                  <c:y val="-3.0241695439933325E-2"/>
                </c:manualLayout>
              </c:layout>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3A1B-41ED-BE31-A046B46E72B0}"/>
                </c:ext>
              </c:extLst>
            </c:dLbl>
            <c:dLbl>
              <c:idx val="11"/>
              <c:layout>
                <c:manualLayout>
                  <c:x val="0"/>
                  <c:y val="-4.2842401873238879E-2"/>
                </c:manualLayout>
              </c:layout>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3A1B-41ED-BE31-A046B46E72B0}"/>
                </c:ext>
              </c:extLst>
            </c:dLbl>
            <c:dLbl>
              <c:idx val="12"/>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3A1B-41ED-BE31-A046B46E72B0}"/>
                </c:ext>
              </c:extLst>
            </c:dLbl>
            <c:spPr>
              <a:noFill/>
              <a:ln>
                <a:noFill/>
              </a:ln>
              <a:effectLst/>
            </c:spPr>
            <c:txPr>
              <a:bodyPr wrap="square" lIns="38100" tIns="19050" rIns="38100" bIns="19050" anchor="ctr">
                <a:spAutoFit/>
              </a:bodyPr>
              <a:lstStyle/>
              <a:p>
                <a:pPr>
                  <a:defRPr b="1"/>
                </a:pPr>
                <a:endParaRPr lang="en-US"/>
              </a:p>
            </c:txPr>
            <c:dLblPos val="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ext>
            </c:extLst>
          </c:dLbls>
          <c:cat>
            <c:strRef>
              <c:f>'GDP demand contributions'!$B$80:$B$92</c:f>
              <c:strCache>
                <c:ptCount val="13"/>
                <c:pt idx="0">
                  <c:v>1Q 2023</c:v>
                </c:pt>
                <c:pt idx="1">
                  <c:v>2Q 2023</c:v>
                </c:pt>
                <c:pt idx="2">
                  <c:v>3Q 2023</c:v>
                </c:pt>
                <c:pt idx="3">
                  <c:v>4Q 2023</c:v>
                </c:pt>
                <c:pt idx="4">
                  <c:v>1Q 2024</c:v>
                </c:pt>
                <c:pt idx="5">
                  <c:v>2Q 2024</c:v>
                </c:pt>
                <c:pt idx="6">
                  <c:v>3Q 2024</c:v>
                </c:pt>
                <c:pt idx="7">
                  <c:v>4Q 2024</c:v>
                </c:pt>
                <c:pt idx="8">
                  <c:v>1Q 2025</c:v>
                </c:pt>
                <c:pt idx="9">
                  <c:v>2Q 2025</c:v>
                </c:pt>
                <c:pt idx="10">
                  <c:v>3Q 2025</c:v>
                </c:pt>
                <c:pt idx="11">
                  <c:v>4Q 2025</c:v>
                </c:pt>
                <c:pt idx="12">
                  <c:v>1Q 2026</c:v>
                </c:pt>
              </c:strCache>
            </c:strRef>
          </c:cat>
          <c:val>
            <c:numRef>
              <c:f>'GDP demand contributions'!$N$80:$N$92</c:f>
              <c:numCache>
                <c:formatCode>\+0.00;\-0.00;\-</c:formatCode>
                <c:ptCount val="13"/>
                <c:pt idx="0">
                  <c:v>0.91506868385621098</c:v>
                </c:pt>
                <c:pt idx="1">
                  <c:v>-5.6510334136625211</c:v>
                </c:pt>
                <c:pt idx="2">
                  <c:v>-0.5623202931925928</c:v>
                </c:pt>
                <c:pt idx="3">
                  <c:v>-1.7113184746570549</c:v>
                </c:pt>
                <c:pt idx="4">
                  <c:v>-5.0836569648499506</c:v>
                </c:pt>
                <c:pt idx="5">
                  <c:v>-1.1134976492524959</c:v>
                </c:pt>
                <c:pt idx="6">
                  <c:v>-1.9550050497314357</c:v>
                </c:pt>
                <c:pt idx="7">
                  <c:v>2.7093435592070803</c:v>
                </c:pt>
                <c:pt idx="8">
                  <c:v>6.1170746838099426</c:v>
                </c:pt>
                <c:pt idx="9">
                  <c:v>6.5176841024133321</c:v>
                </c:pt>
                <c:pt idx="10">
                  <c:v>3.1969585220612005</c:v>
                </c:pt>
                <c:pt idx="11">
                  <c:v>2.1790516478517934</c:v>
                </c:pt>
                <c:pt idx="12">
                  <c:v>2.3276312721358066</c:v>
                </c:pt>
              </c:numCache>
            </c:numRef>
          </c:val>
          <c:smooth val="0"/>
          <c:extLst>
            <c:ext xmlns:c16="http://schemas.microsoft.com/office/drawing/2014/chart" uri="{C3380CC4-5D6E-409C-BE32-E72D297353CC}">
              <c16:uniqueId val="{0000002A-3A1B-41ED-BE31-A046B46E72B0}"/>
            </c:ext>
          </c:extLst>
        </c:ser>
        <c:dLbls>
          <c:showLegendKey val="0"/>
          <c:showVal val="0"/>
          <c:showCatName val="0"/>
          <c:showSerName val="0"/>
          <c:showPercent val="0"/>
          <c:showBubbleSize val="0"/>
        </c:dLbls>
        <c:marker val="1"/>
        <c:smooth val="0"/>
        <c:axId val="64405662"/>
        <c:axId val="79012386"/>
      </c:lineChart>
      <c:catAx>
        <c:axId val="64405662"/>
        <c:scaling>
          <c:orientation val="minMax"/>
        </c:scaling>
        <c:delete val="0"/>
        <c:axPos val="b"/>
        <c:numFmt formatCode="General" sourceLinked="1"/>
        <c:majorTickMark val="none"/>
        <c:minorTickMark val="none"/>
        <c:tickLblPos val="low"/>
        <c:spPr>
          <a:ln w="9360">
            <a:solidFill>
              <a:sysClr val="windowText" lastClr="000000"/>
            </a:solidFill>
            <a:round/>
          </a:ln>
        </c:spPr>
        <c:crossAx val="79012386"/>
        <c:crosses val="autoZero"/>
        <c:auto val="1"/>
        <c:lblAlgn val="ctr"/>
        <c:lblOffset val="100"/>
        <c:noMultiLvlLbl val="0"/>
      </c:catAx>
      <c:valAx>
        <c:axId val="79012386"/>
        <c:scaling>
          <c:orientation val="minMax"/>
        </c:scaling>
        <c:delete val="0"/>
        <c:axPos val="l"/>
        <c:numFmt formatCode="0" sourceLinked="0"/>
        <c:majorTickMark val="none"/>
        <c:minorTickMark val="none"/>
        <c:tickLblPos val="nextTo"/>
        <c:spPr>
          <a:ln w="9360">
            <a:solidFill>
              <a:sysClr val="windowText" lastClr="000000"/>
            </a:solidFill>
            <a:round/>
          </a:ln>
        </c:spPr>
        <c:crossAx val="64405662"/>
        <c:crosses val="autoZero"/>
        <c:crossBetween val="between"/>
      </c:valAx>
      <c:spPr>
        <a:noFill/>
        <a:ln w="0">
          <a:noFill/>
        </a:ln>
      </c:spPr>
    </c:plotArea>
    <c:legend>
      <c:legendPos val="r"/>
      <c:layout>
        <c:manualLayout>
          <c:xMode val="edge"/>
          <c:yMode val="edge"/>
          <c:x val="9.758711443009789E-2"/>
          <c:y val="8.725245068857404E-2"/>
          <c:w val="0.20519718412058596"/>
          <c:h val="0.23565749037931286"/>
        </c:manualLayout>
      </c:layout>
      <c:overlay val="0"/>
      <c:spPr>
        <a:noFill/>
        <a:ln w="0">
          <a:noFill/>
        </a:ln>
      </c:spPr>
    </c:legend>
    <c:plotVisOnly val="1"/>
    <c:dispBlanksAs val="gap"/>
    <c:showDLblsOverMax val="1"/>
  </c:chart>
  <c:spPr>
    <a:solidFill>
      <a:srgbClr val="FFFFFF"/>
    </a:solidFill>
    <a:ln w="9360">
      <a:noFill/>
      <a:round/>
    </a:ln>
  </c:spPr>
  <c:txPr>
    <a:bodyPr/>
    <a:lstStyle/>
    <a:p>
      <a:pPr>
        <a:defRPr sz="1200">
          <a:solidFill>
            <a:sysClr val="windowText" lastClr="000000"/>
          </a:solidFill>
          <a:latin typeface="Frutiger 45 Light" panose="020B0603020202020204" pitchFamily="34"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2352733183511324E-2"/>
          <c:y val="9.3009259259259264E-2"/>
          <c:w val="0.84706979950114603"/>
          <c:h val="0.81975357247010794"/>
        </c:manualLayout>
      </c:layout>
      <c:lineChart>
        <c:grouping val="standard"/>
        <c:varyColors val="0"/>
        <c:ser>
          <c:idx val="0"/>
          <c:order val="0"/>
          <c:tx>
            <c:strRef>
              <c:f>'12 month rolling fiscal'!$N$18</c:f>
              <c:strCache>
                <c:ptCount val="1"/>
                <c:pt idx="0">
                  <c:v>Fiscal balance (% of GDP)</c:v>
                </c:pt>
              </c:strCache>
            </c:strRef>
          </c:tx>
          <c:spPr>
            <a:ln w="28575" cap="rnd">
              <a:solidFill>
                <a:srgbClr val="CC0000"/>
              </a:solidFill>
              <a:round/>
            </a:ln>
            <a:effectLst/>
          </c:spPr>
          <c:marker>
            <c:symbol val="none"/>
          </c:marker>
          <c:dPt>
            <c:idx val="119"/>
            <c:marker>
              <c:symbol val="triangle"/>
              <c:size val="8"/>
              <c:spPr>
                <a:solidFill>
                  <a:srgbClr val="CC0000"/>
                </a:solidFill>
                <a:ln w="9525">
                  <a:noFill/>
                </a:ln>
                <a:effectLst/>
              </c:spPr>
            </c:marker>
            <c:bubble3D val="0"/>
            <c:extLst>
              <c:ext xmlns:c16="http://schemas.microsoft.com/office/drawing/2014/chart" uri="{C3380CC4-5D6E-409C-BE32-E72D297353CC}">
                <c16:uniqueId val="{00000003-9CF4-4540-9F6F-901A77482FD0}"/>
              </c:ext>
            </c:extLst>
          </c:dPt>
          <c:dLbls>
            <c:dLbl>
              <c:idx val="119"/>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CF4-4540-9F6F-901A77482FD0}"/>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Frutiger 45 Light" panose="020B0603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'12 month rolling fiscal'!$H$19:$H$138</c:f>
              <c:numCache>
                <c:formatCode>mmm\-yy</c:formatCode>
                <c:ptCount val="120"/>
                <c:pt idx="0">
                  <c:v>42736</c:v>
                </c:pt>
                <c:pt idx="1">
                  <c:v>42767</c:v>
                </c:pt>
                <c:pt idx="2">
                  <c:v>42795</c:v>
                </c:pt>
                <c:pt idx="3">
                  <c:v>42826</c:v>
                </c:pt>
                <c:pt idx="4">
                  <c:v>42856</c:v>
                </c:pt>
                <c:pt idx="5">
                  <c:v>42887</c:v>
                </c:pt>
                <c:pt idx="6">
                  <c:v>42917</c:v>
                </c:pt>
                <c:pt idx="7">
                  <c:v>42948</c:v>
                </c:pt>
                <c:pt idx="8">
                  <c:v>42979</c:v>
                </c:pt>
                <c:pt idx="9">
                  <c:v>43009</c:v>
                </c:pt>
                <c:pt idx="10">
                  <c:v>43040</c:v>
                </c:pt>
                <c:pt idx="11">
                  <c:v>43070</c:v>
                </c:pt>
                <c:pt idx="12">
                  <c:v>43101</c:v>
                </c:pt>
                <c:pt idx="13">
                  <c:v>43132</c:v>
                </c:pt>
                <c:pt idx="14">
                  <c:v>43160</c:v>
                </c:pt>
                <c:pt idx="15">
                  <c:v>43191</c:v>
                </c:pt>
                <c:pt idx="16">
                  <c:v>43221</c:v>
                </c:pt>
                <c:pt idx="17">
                  <c:v>43252</c:v>
                </c:pt>
                <c:pt idx="18">
                  <c:v>43282</c:v>
                </c:pt>
                <c:pt idx="19">
                  <c:v>43313</c:v>
                </c:pt>
                <c:pt idx="20">
                  <c:v>43344</c:v>
                </c:pt>
                <c:pt idx="21">
                  <c:v>43374</c:v>
                </c:pt>
                <c:pt idx="22">
                  <c:v>43405</c:v>
                </c:pt>
                <c:pt idx="23">
                  <c:v>43435</c:v>
                </c:pt>
                <c:pt idx="24">
                  <c:v>43466</c:v>
                </c:pt>
                <c:pt idx="25">
                  <c:v>43497</c:v>
                </c:pt>
                <c:pt idx="26">
                  <c:v>43525</c:v>
                </c:pt>
                <c:pt idx="27">
                  <c:v>43556</c:v>
                </c:pt>
                <c:pt idx="28">
                  <c:v>43586</c:v>
                </c:pt>
                <c:pt idx="29">
                  <c:v>43617</c:v>
                </c:pt>
                <c:pt idx="30">
                  <c:v>43647</c:v>
                </c:pt>
                <c:pt idx="31">
                  <c:v>43678</c:v>
                </c:pt>
                <c:pt idx="32">
                  <c:v>43709</c:v>
                </c:pt>
                <c:pt idx="33">
                  <c:v>43739</c:v>
                </c:pt>
                <c:pt idx="34">
                  <c:v>43770</c:v>
                </c:pt>
                <c:pt idx="35">
                  <c:v>43800</c:v>
                </c:pt>
                <c:pt idx="36">
                  <c:v>43831</c:v>
                </c:pt>
                <c:pt idx="37">
                  <c:v>43862</c:v>
                </c:pt>
                <c:pt idx="38">
                  <c:v>43891</c:v>
                </c:pt>
                <c:pt idx="39">
                  <c:v>43922</c:v>
                </c:pt>
                <c:pt idx="40">
                  <c:v>43952</c:v>
                </c:pt>
                <c:pt idx="41">
                  <c:v>43983</c:v>
                </c:pt>
                <c:pt idx="42">
                  <c:v>44013</c:v>
                </c:pt>
                <c:pt idx="43">
                  <c:v>44044</c:v>
                </c:pt>
                <c:pt idx="44">
                  <c:v>44075</c:v>
                </c:pt>
                <c:pt idx="45">
                  <c:v>44105</c:v>
                </c:pt>
                <c:pt idx="46">
                  <c:v>44136</c:v>
                </c:pt>
                <c:pt idx="47">
                  <c:v>44166</c:v>
                </c:pt>
                <c:pt idx="48">
                  <c:v>44197</c:v>
                </c:pt>
                <c:pt idx="49">
                  <c:v>44228</c:v>
                </c:pt>
                <c:pt idx="50">
                  <c:v>44256</c:v>
                </c:pt>
                <c:pt idx="51">
                  <c:v>44287</c:v>
                </c:pt>
                <c:pt idx="52">
                  <c:v>44317</c:v>
                </c:pt>
                <c:pt idx="53">
                  <c:v>44348</c:v>
                </c:pt>
                <c:pt idx="54">
                  <c:v>44378</c:v>
                </c:pt>
                <c:pt idx="55">
                  <c:v>44409</c:v>
                </c:pt>
                <c:pt idx="56">
                  <c:v>44440</c:v>
                </c:pt>
                <c:pt idx="57">
                  <c:v>44470</c:v>
                </c:pt>
                <c:pt idx="58">
                  <c:v>44501</c:v>
                </c:pt>
                <c:pt idx="59">
                  <c:v>44531</c:v>
                </c:pt>
                <c:pt idx="60">
                  <c:v>44562</c:v>
                </c:pt>
                <c:pt idx="61">
                  <c:v>44593</c:v>
                </c:pt>
                <c:pt idx="62">
                  <c:v>44621</c:v>
                </c:pt>
                <c:pt idx="63">
                  <c:v>44652</c:v>
                </c:pt>
                <c:pt idx="64">
                  <c:v>44682</c:v>
                </c:pt>
                <c:pt idx="65">
                  <c:v>44713</c:v>
                </c:pt>
                <c:pt idx="66">
                  <c:v>44743</c:v>
                </c:pt>
                <c:pt idx="67">
                  <c:v>44774</c:v>
                </c:pt>
                <c:pt idx="68">
                  <c:v>44805</c:v>
                </c:pt>
                <c:pt idx="69">
                  <c:v>44835</c:v>
                </c:pt>
                <c:pt idx="70">
                  <c:v>44866</c:v>
                </c:pt>
                <c:pt idx="71">
                  <c:v>44896</c:v>
                </c:pt>
                <c:pt idx="72">
                  <c:v>44927</c:v>
                </c:pt>
                <c:pt idx="73">
                  <c:v>44958</c:v>
                </c:pt>
                <c:pt idx="74">
                  <c:v>44986</c:v>
                </c:pt>
                <c:pt idx="75">
                  <c:v>45017</c:v>
                </c:pt>
                <c:pt idx="76">
                  <c:v>45047</c:v>
                </c:pt>
                <c:pt idx="77">
                  <c:v>45078</c:v>
                </c:pt>
                <c:pt idx="78">
                  <c:v>45108</c:v>
                </c:pt>
                <c:pt idx="79">
                  <c:v>45139</c:v>
                </c:pt>
                <c:pt idx="80">
                  <c:v>45170</c:v>
                </c:pt>
                <c:pt idx="81">
                  <c:v>45200</c:v>
                </c:pt>
                <c:pt idx="82">
                  <c:v>45231</c:v>
                </c:pt>
                <c:pt idx="83">
                  <c:v>45261</c:v>
                </c:pt>
                <c:pt idx="84">
                  <c:v>45292</c:v>
                </c:pt>
                <c:pt idx="85">
                  <c:v>45323</c:v>
                </c:pt>
                <c:pt idx="86">
                  <c:v>45352</c:v>
                </c:pt>
                <c:pt idx="87">
                  <c:v>45383</c:v>
                </c:pt>
                <c:pt idx="88">
                  <c:v>45413</c:v>
                </c:pt>
                <c:pt idx="89">
                  <c:v>45444</c:v>
                </c:pt>
                <c:pt idx="90">
                  <c:v>45474</c:v>
                </c:pt>
                <c:pt idx="91">
                  <c:v>45505</c:v>
                </c:pt>
                <c:pt idx="92">
                  <c:v>45536</c:v>
                </c:pt>
                <c:pt idx="93">
                  <c:v>45566</c:v>
                </c:pt>
                <c:pt idx="94">
                  <c:v>45597</c:v>
                </c:pt>
                <c:pt idx="95">
                  <c:v>45627</c:v>
                </c:pt>
                <c:pt idx="96">
                  <c:v>45658</c:v>
                </c:pt>
                <c:pt idx="97">
                  <c:v>45689</c:v>
                </c:pt>
                <c:pt idx="98">
                  <c:v>45717</c:v>
                </c:pt>
                <c:pt idx="99">
                  <c:v>45748</c:v>
                </c:pt>
                <c:pt idx="100">
                  <c:v>45778</c:v>
                </c:pt>
                <c:pt idx="101">
                  <c:v>45809</c:v>
                </c:pt>
                <c:pt idx="102">
                  <c:v>45839</c:v>
                </c:pt>
                <c:pt idx="103">
                  <c:v>45870</c:v>
                </c:pt>
                <c:pt idx="104">
                  <c:v>45901</c:v>
                </c:pt>
                <c:pt idx="105">
                  <c:v>45931</c:v>
                </c:pt>
                <c:pt idx="106">
                  <c:v>45962</c:v>
                </c:pt>
                <c:pt idx="107">
                  <c:v>45992</c:v>
                </c:pt>
                <c:pt idx="108">
                  <c:v>46023</c:v>
                </c:pt>
                <c:pt idx="109">
                  <c:v>46054</c:v>
                </c:pt>
                <c:pt idx="110">
                  <c:v>46082</c:v>
                </c:pt>
                <c:pt idx="111">
                  <c:v>46113</c:v>
                </c:pt>
                <c:pt idx="112">
                  <c:v>46143</c:v>
                </c:pt>
                <c:pt idx="113">
                  <c:v>46174</c:v>
                </c:pt>
                <c:pt idx="114">
                  <c:v>46204</c:v>
                </c:pt>
                <c:pt idx="115">
                  <c:v>46235</c:v>
                </c:pt>
                <c:pt idx="116">
                  <c:v>46266</c:v>
                </c:pt>
                <c:pt idx="117">
                  <c:v>46296</c:v>
                </c:pt>
                <c:pt idx="118">
                  <c:v>46327</c:v>
                </c:pt>
                <c:pt idx="119">
                  <c:v>46357</c:v>
                </c:pt>
              </c:numCache>
            </c:numRef>
          </c:cat>
          <c:val>
            <c:numRef>
              <c:f>'12 month rolling fiscal'!$N$19:$N$138</c:f>
              <c:numCache>
                <c:formatCode>0.0</c:formatCode>
                <c:ptCount val="120"/>
                <c:pt idx="0">
                  <c:v>-5.4416699291658324</c:v>
                </c:pt>
                <c:pt idx="1">
                  <c:v>-5.5493676821385005</c:v>
                </c:pt>
                <c:pt idx="2">
                  <c:v>-5.4725392410364737</c:v>
                </c:pt>
                <c:pt idx="3">
                  <c:v>-5.5005246640366874</c:v>
                </c:pt>
                <c:pt idx="4">
                  <c:v>-5.7156098344539483</c:v>
                </c:pt>
                <c:pt idx="5">
                  <c:v>-5.9222564012900873</c:v>
                </c:pt>
                <c:pt idx="6">
                  <c:v>-5.5893320146883152</c:v>
                </c:pt>
                <c:pt idx="7">
                  <c:v>-5.516811219449079</c:v>
                </c:pt>
                <c:pt idx="8">
                  <c:v>-5.5386852132884909</c:v>
                </c:pt>
                <c:pt idx="9">
                  <c:v>-5.0339317256757123</c:v>
                </c:pt>
                <c:pt idx="10">
                  <c:v>-5.2793570119969271</c:v>
                </c:pt>
                <c:pt idx="11">
                  <c:v>-5.9008998867754263</c:v>
                </c:pt>
                <c:pt idx="12">
                  <c:v>-5.664315123502357</c:v>
                </c:pt>
                <c:pt idx="13">
                  <c:v>-5.6445837057706392</c:v>
                </c:pt>
                <c:pt idx="14">
                  <c:v>-5.6691326214083846</c:v>
                </c:pt>
                <c:pt idx="15">
                  <c:v>-5.1829431978156082</c:v>
                </c:pt>
                <c:pt idx="16">
                  <c:v>-5.0485723093096242</c:v>
                </c:pt>
                <c:pt idx="17">
                  <c:v>-5.024551079899644</c:v>
                </c:pt>
                <c:pt idx="18">
                  <c:v>-4.8568442112736356</c:v>
                </c:pt>
                <c:pt idx="19">
                  <c:v>-4.7304561978680262</c:v>
                </c:pt>
                <c:pt idx="20">
                  <c:v>-4.7652049410224784</c:v>
                </c:pt>
                <c:pt idx="21">
                  <c:v>-4.4652837167789885</c:v>
                </c:pt>
                <c:pt idx="22">
                  <c:v>-4.6474712119043922</c:v>
                </c:pt>
                <c:pt idx="23">
                  <c:v>-4.9368374363589629</c:v>
                </c:pt>
                <c:pt idx="24">
                  <c:v>-4.7625600025997752</c:v>
                </c:pt>
                <c:pt idx="25">
                  <c:v>-4.6198736484767888</c:v>
                </c:pt>
                <c:pt idx="26">
                  <c:v>-4.694507789635777</c:v>
                </c:pt>
                <c:pt idx="27">
                  <c:v>-4.3712758479900442</c:v>
                </c:pt>
                <c:pt idx="28">
                  <c:v>-4.4350824408577996</c:v>
                </c:pt>
                <c:pt idx="29">
                  <c:v>-4.3155847532465739</c:v>
                </c:pt>
                <c:pt idx="30">
                  <c:v>-4.0055285947910804</c:v>
                </c:pt>
                <c:pt idx="31">
                  <c:v>-4.0069711273787885</c:v>
                </c:pt>
                <c:pt idx="32">
                  <c:v>-4.1116325966627238</c:v>
                </c:pt>
                <c:pt idx="33">
                  <c:v>-3.6458858697832803</c:v>
                </c:pt>
                <c:pt idx="34">
                  <c:v>-3.6495132186018053</c:v>
                </c:pt>
                <c:pt idx="35">
                  <c:v>-3.8008622607057232</c:v>
                </c:pt>
                <c:pt idx="36">
                  <c:v>-3.6274772623175386</c:v>
                </c:pt>
                <c:pt idx="37">
                  <c:v>-3.8948779120905606</c:v>
                </c:pt>
                <c:pt idx="38">
                  <c:v>-4.391803874275384</c:v>
                </c:pt>
                <c:pt idx="39">
                  <c:v>-5.0933636180766264</c:v>
                </c:pt>
                <c:pt idx="40">
                  <c:v>-6.2103340885874303</c:v>
                </c:pt>
                <c:pt idx="41">
                  <c:v>-7.1253933802119835</c:v>
                </c:pt>
                <c:pt idx="42">
                  <c:v>-7.1961908527485807</c:v>
                </c:pt>
                <c:pt idx="43">
                  <c:v>-7.710090478939799</c:v>
                </c:pt>
                <c:pt idx="44">
                  <c:v>-8.2438069620166097</c:v>
                </c:pt>
                <c:pt idx="45">
                  <c:v>-7.8867166131044986</c:v>
                </c:pt>
                <c:pt idx="46">
                  <c:v>-8.0828337127613672</c:v>
                </c:pt>
                <c:pt idx="47">
                  <c:v>-8.4264828702436958</c:v>
                </c:pt>
                <c:pt idx="48">
                  <c:v>-7.3120962777176546</c:v>
                </c:pt>
                <c:pt idx="49">
                  <c:v>-7.3012818801638604</c:v>
                </c:pt>
                <c:pt idx="50">
                  <c:v>-7.1379835485993794</c:v>
                </c:pt>
                <c:pt idx="51">
                  <c:v>-5.4387276277412875</c:v>
                </c:pt>
                <c:pt idx="52">
                  <c:v>-4.7570374277752876</c:v>
                </c:pt>
                <c:pt idx="53">
                  <c:v>-4.5314376102303573</c:v>
                </c:pt>
                <c:pt idx="54">
                  <c:v>-3.9133348417359235</c:v>
                </c:pt>
                <c:pt idx="55">
                  <c:v>-4.0308335500254957</c:v>
                </c:pt>
                <c:pt idx="56">
                  <c:v>-2.9274179391638926</c:v>
                </c:pt>
                <c:pt idx="57">
                  <c:v>-2.9345807546049829</c:v>
                </c:pt>
                <c:pt idx="58">
                  <c:v>-3.1835253328535886</c:v>
                </c:pt>
                <c:pt idx="59">
                  <c:v>-3.6012867628863026</c:v>
                </c:pt>
                <c:pt idx="60">
                  <c:v>-3.4775386562481487</c:v>
                </c:pt>
                <c:pt idx="61">
                  <c:v>-3.6168276629026912</c:v>
                </c:pt>
                <c:pt idx="62">
                  <c:v>-3.7223153041057344</c:v>
                </c:pt>
                <c:pt idx="63">
                  <c:v>-3.3707215706663063</c:v>
                </c:pt>
                <c:pt idx="64">
                  <c:v>-3.6661268364427384</c:v>
                </c:pt>
                <c:pt idx="65">
                  <c:v>-3.9795003788419501</c:v>
                </c:pt>
                <c:pt idx="66">
                  <c:v>-3.3628991237669652</c:v>
                </c:pt>
                <c:pt idx="67">
                  <c:v>-3.6142895969848707</c:v>
                </c:pt>
                <c:pt idx="68">
                  <c:v>-3.9581258669451942</c:v>
                </c:pt>
                <c:pt idx="69">
                  <c:v>-3.2489572973906724</c:v>
                </c:pt>
                <c:pt idx="70">
                  <c:v>-3.5981756802571474</c:v>
                </c:pt>
                <c:pt idx="71">
                  <c:v>-3.8072160207134287</c:v>
                </c:pt>
                <c:pt idx="72">
                  <c:v>-3.6016909943506854</c:v>
                </c:pt>
                <c:pt idx="73">
                  <c:v>-3.9564533803226949</c:v>
                </c:pt>
                <c:pt idx="74">
                  <c:v>-4.1761897564949217</c:v>
                </c:pt>
                <c:pt idx="75">
                  <c:v>-3.6794408213761969</c:v>
                </c:pt>
                <c:pt idx="76">
                  <c:v>-4.0069807149836922</c:v>
                </c:pt>
                <c:pt idx="77">
                  <c:v>-4.269951628699352</c:v>
                </c:pt>
                <c:pt idx="78">
                  <c:v>-3.8229032381783901</c:v>
                </c:pt>
                <c:pt idx="79">
                  <c:v>-3.8325797546472451</c:v>
                </c:pt>
                <c:pt idx="80">
                  <c:v>-4.1733309431159684</c:v>
                </c:pt>
                <c:pt idx="81">
                  <c:v>-3.3408941509043153</c:v>
                </c:pt>
                <c:pt idx="82">
                  <c:v>-3.4562247559635457</c:v>
                </c:pt>
                <c:pt idx="83">
                  <c:v>-4.340620634299432</c:v>
                </c:pt>
                <c:pt idx="84">
                  <c:v>-2.7132223036367282</c:v>
                </c:pt>
                <c:pt idx="85">
                  <c:v>-2.4096549724365515</c:v>
                </c:pt>
                <c:pt idx="86">
                  <c:v>-2.1647073010138307</c:v>
                </c:pt>
                <c:pt idx="87">
                  <c:v>-1.4679636051091913</c:v>
                </c:pt>
                <c:pt idx="88">
                  <c:v>-0.97909302516121488</c:v>
                </c:pt>
                <c:pt idx="89">
                  <c:v>-0.72402428306167432</c:v>
                </c:pt>
                <c:pt idx="90">
                  <c:v>-0.52964746189655276</c:v>
                </c:pt>
                <c:pt idx="91">
                  <c:v>-0.44854902750795739</c:v>
                </c:pt>
                <c:pt idx="92">
                  <c:v>-0.24411503406469692</c:v>
                </c:pt>
                <c:pt idx="93">
                  <c:v>-3.2578334863916272E-2</c:v>
                </c:pt>
                <c:pt idx="94">
                  <c:v>0.1577300749830573</c:v>
                </c:pt>
                <c:pt idx="95">
                  <c:v>0.3019944081048192</c:v>
                </c:pt>
                <c:pt idx="96">
                  <c:v>0.28020882175392403</c:v>
                </c:pt>
                <c:pt idx="97">
                  <c:v>0.2760521000716834</c:v>
                </c:pt>
                <c:pt idx="98">
                  <c:v>0.29461060517576521</c:v>
                </c:pt>
                <c:pt idx="99">
                  <c:v>0.34293519676652162</c:v>
                </c:pt>
                <c:pt idx="100">
                  <c:v>0.27128992859993006</c:v>
                </c:pt>
                <c:pt idx="101">
                  <c:v>0.31430134552007588</c:v>
                </c:pt>
                <c:pt idx="102">
                  <c:v>0.34412387312179055</c:v>
                </c:pt>
                <c:pt idx="103">
                  <c:v>0.39305673253415374</c:v>
                </c:pt>
                <c:pt idx="104">
                  <c:v>0.37319265099351578</c:v>
                </c:pt>
                <c:pt idx="105">
                  <c:v>0.34625809298893145</c:v>
                </c:pt>
                <c:pt idx="106">
                  <c:v>0.37481375474785911</c:v>
                </c:pt>
                <c:pt idx="107">
                  <c:v>0.17098930308243218</c:v>
                </c:pt>
                <c:pt idx="108">
                  <c:v>0.21499603821447849</c:v>
                </c:pt>
                <c:pt idx="109">
                  <c:v>0.1967465280966483</c:v>
                </c:pt>
                <c:pt idx="110">
                  <c:v>0.20617056959522845</c:v>
                </c:pt>
                <c:pt idx="111">
                  <c:v>0.16025158661803313</c:v>
                </c:pt>
                <c:pt idx="112">
                  <c:v>0.1415748205155683</c:v>
                </c:pt>
                <c:pt idx="113">
                  <c:v>-1.8835932590708388E-2</c:v>
                </c:pt>
                <c:pt idx="119" formatCode="General">
                  <c:v>0.3</c:v>
                </c:pt>
              </c:numCache>
            </c:numRef>
          </c:val>
          <c:smooth val="0"/>
          <c:extLst>
            <c:ext xmlns:c16="http://schemas.microsoft.com/office/drawing/2014/chart" uri="{C3380CC4-5D6E-409C-BE32-E72D297353CC}">
              <c16:uniqueId val="{00000000-9CF4-4540-9F6F-901A77482FD0}"/>
            </c:ext>
          </c:extLst>
        </c:ser>
        <c:ser>
          <c:idx val="1"/>
          <c:order val="1"/>
          <c:tx>
            <c:strRef>
              <c:f>'12 month rolling fiscal'!$O$18</c:f>
              <c:strCache>
                <c:ptCount val="1"/>
                <c:pt idx="0">
                  <c:v>Primary balance (% of GDP)</c:v>
                </c:pt>
              </c:strCache>
            </c:strRef>
          </c:tx>
          <c:spPr>
            <a:ln w="28575" cap="rnd">
              <a:solidFill>
                <a:schemeClr val="tx2">
                  <a:lumMod val="75000"/>
                  <a:lumOff val="25000"/>
                </a:schemeClr>
              </a:solidFill>
              <a:round/>
            </a:ln>
            <a:effectLst/>
          </c:spPr>
          <c:marker>
            <c:symbol val="none"/>
          </c:marker>
          <c:dPt>
            <c:idx val="119"/>
            <c:marker>
              <c:symbol val="triangle"/>
              <c:size val="8"/>
              <c:spPr>
                <a:solidFill>
                  <a:schemeClr val="tx2">
                    <a:lumMod val="75000"/>
                    <a:lumOff val="25000"/>
                  </a:schemeClr>
                </a:solidFill>
                <a:ln w="9525">
                  <a:noFill/>
                </a:ln>
                <a:effectLst/>
              </c:spPr>
            </c:marker>
            <c:bubble3D val="0"/>
            <c:extLst>
              <c:ext xmlns:c16="http://schemas.microsoft.com/office/drawing/2014/chart" uri="{C3380CC4-5D6E-409C-BE32-E72D297353CC}">
                <c16:uniqueId val="{00000002-9CF4-4540-9F6F-901A77482FD0}"/>
              </c:ext>
            </c:extLst>
          </c:dPt>
          <c:dLbls>
            <c:dLbl>
              <c:idx val="11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CF4-4540-9F6F-901A77482FD0}"/>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Frutiger 45 Light" panose="020B0603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'12 month rolling fiscal'!$H$19:$H$138</c:f>
              <c:numCache>
                <c:formatCode>mmm\-yy</c:formatCode>
                <c:ptCount val="120"/>
                <c:pt idx="0">
                  <c:v>42736</c:v>
                </c:pt>
                <c:pt idx="1">
                  <c:v>42767</c:v>
                </c:pt>
                <c:pt idx="2">
                  <c:v>42795</c:v>
                </c:pt>
                <c:pt idx="3">
                  <c:v>42826</c:v>
                </c:pt>
                <c:pt idx="4">
                  <c:v>42856</c:v>
                </c:pt>
                <c:pt idx="5">
                  <c:v>42887</c:v>
                </c:pt>
                <c:pt idx="6">
                  <c:v>42917</c:v>
                </c:pt>
                <c:pt idx="7">
                  <c:v>42948</c:v>
                </c:pt>
                <c:pt idx="8">
                  <c:v>42979</c:v>
                </c:pt>
                <c:pt idx="9">
                  <c:v>43009</c:v>
                </c:pt>
                <c:pt idx="10">
                  <c:v>43040</c:v>
                </c:pt>
                <c:pt idx="11">
                  <c:v>43070</c:v>
                </c:pt>
                <c:pt idx="12">
                  <c:v>43101</c:v>
                </c:pt>
                <c:pt idx="13">
                  <c:v>43132</c:v>
                </c:pt>
                <c:pt idx="14">
                  <c:v>43160</c:v>
                </c:pt>
                <c:pt idx="15">
                  <c:v>43191</c:v>
                </c:pt>
                <c:pt idx="16">
                  <c:v>43221</c:v>
                </c:pt>
                <c:pt idx="17">
                  <c:v>43252</c:v>
                </c:pt>
                <c:pt idx="18">
                  <c:v>43282</c:v>
                </c:pt>
                <c:pt idx="19">
                  <c:v>43313</c:v>
                </c:pt>
                <c:pt idx="20">
                  <c:v>43344</c:v>
                </c:pt>
                <c:pt idx="21">
                  <c:v>43374</c:v>
                </c:pt>
                <c:pt idx="22">
                  <c:v>43405</c:v>
                </c:pt>
                <c:pt idx="23">
                  <c:v>43435</c:v>
                </c:pt>
                <c:pt idx="24">
                  <c:v>43466</c:v>
                </c:pt>
                <c:pt idx="25">
                  <c:v>43497</c:v>
                </c:pt>
                <c:pt idx="26">
                  <c:v>43525</c:v>
                </c:pt>
                <c:pt idx="27">
                  <c:v>43556</c:v>
                </c:pt>
                <c:pt idx="28">
                  <c:v>43586</c:v>
                </c:pt>
                <c:pt idx="29">
                  <c:v>43617</c:v>
                </c:pt>
                <c:pt idx="30">
                  <c:v>43647</c:v>
                </c:pt>
                <c:pt idx="31">
                  <c:v>43678</c:v>
                </c:pt>
                <c:pt idx="32">
                  <c:v>43709</c:v>
                </c:pt>
                <c:pt idx="33">
                  <c:v>43739</c:v>
                </c:pt>
                <c:pt idx="34">
                  <c:v>43770</c:v>
                </c:pt>
                <c:pt idx="35">
                  <c:v>43800</c:v>
                </c:pt>
                <c:pt idx="36">
                  <c:v>43831</c:v>
                </c:pt>
                <c:pt idx="37">
                  <c:v>43862</c:v>
                </c:pt>
                <c:pt idx="38">
                  <c:v>43891</c:v>
                </c:pt>
                <c:pt idx="39">
                  <c:v>43922</c:v>
                </c:pt>
                <c:pt idx="40">
                  <c:v>43952</c:v>
                </c:pt>
                <c:pt idx="41">
                  <c:v>43983</c:v>
                </c:pt>
                <c:pt idx="42">
                  <c:v>44013</c:v>
                </c:pt>
                <c:pt idx="43">
                  <c:v>44044</c:v>
                </c:pt>
                <c:pt idx="44">
                  <c:v>44075</c:v>
                </c:pt>
                <c:pt idx="45">
                  <c:v>44105</c:v>
                </c:pt>
                <c:pt idx="46">
                  <c:v>44136</c:v>
                </c:pt>
                <c:pt idx="47">
                  <c:v>44166</c:v>
                </c:pt>
                <c:pt idx="48">
                  <c:v>44197</c:v>
                </c:pt>
                <c:pt idx="49">
                  <c:v>44228</c:v>
                </c:pt>
                <c:pt idx="50">
                  <c:v>44256</c:v>
                </c:pt>
                <c:pt idx="51">
                  <c:v>44287</c:v>
                </c:pt>
                <c:pt idx="52">
                  <c:v>44317</c:v>
                </c:pt>
                <c:pt idx="53">
                  <c:v>44348</c:v>
                </c:pt>
                <c:pt idx="54">
                  <c:v>44378</c:v>
                </c:pt>
                <c:pt idx="55">
                  <c:v>44409</c:v>
                </c:pt>
                <c:pt idx="56">
                  <c:v>44440</c:v>
                </c:pt>
                <c:pt idx="57">
                  <c:v>44470</c:v>
                </c:pt>
                <c:pt idx="58">
                  <c:v>44501</c:v>
                </c:pt>
                <c:pt idx="59">
                  <c:v>44531</c:v>
                </c:pt>
                <c:pt idx="60">
                  <c:v>44562</c:v>
                </c:pt>
                <c:pt idx="61">
                  <c:v>44593</c:v>
                </c:pt>
                <c:pt idx="62">
                  <c:v>44621</c:v>
                </c:pt>
                <c:pt idx="63">
                  <c:v>44652</c:v>
                </c:pt>
                <c:pt idx="64">
                  <c:v>44682</c:v>
                </c:pt>
                <c:pt idx="65">
                  <c:v>44713</c:v>
                </c:pt>
                <c:pt idx="66">
                  <c:v>44743</c:v>
                </c:pt>
                <c:pt idx="67">
                  <c:v>44774</c:v>
                </c:pt>
                <c:pt idx="68">
                  <c:v>44805</c:v>
                </c:pt>
                <c:pt idx="69">
                  <c:v>44835</c:v>
                </c:pt>
                <c:pt idx="70">
                  <c:v>44866</c:v>
                </c:pt>
                <c:pt idx="71">
                  <c:v>44896</c:v>
                </c:pt>
                <c:pt idx="72">
                  <c:v>44927</c:v>
                </c:pt>
                <c:pt idx="73">
                  <c:v>44958</c:v>
                </c:pt>
                <c:pt idx="74">
                  <c:v>44986</c:v>
                </c:pt>
                <c:pt idx="75">
                  <c:v>45017</c:v>
                </c:pt>
                <c:pt idx="76">
                  <c:v>45047</c:v>
                </c:pt>
                <c:pt idx="77">
                  <c:v>45078</c:v>
                </c:pt>
                <c:pt idx="78">
                  <c:v>45108</c:v>
                </c:pt>
                <c:pt idx="79">
                  <c:v>45139</c:v>
                </c:pt>
                <c:pt idx="80">
                  <c:v>45170</c:v>
                </c:pt>
                <c:pt idx="81">
                  <c:v>45200</c:v>
                </c:pt>
                <c:pt idx="82">
                  <c:v>45231</c:v>
                </c:pt>
                <c:pt idx="83">
                  <c:v>45261</c:v>
                </c:pt>
                <c:pt idx="84">
                  <c:v>45292</c:v>
                </c:pt>
                <c:pt idx="85">
                  <c:v>45323</c:v>
                </c:pt>
                <c:pt idx="86">
                  <c:v>45352</c:v>
                </c:pt>
                <c:pt idx="87">
                  <c:v>45383</c:v>
                </c:pt>
                <c:pt idx="88">
                  <c:v>45413</c:v>
                </c:pt>
                <c:pt idx="89">
                  <c:v>45444</c:v>
                </c:pt>
                <c:pt idx="90">
                  <c:v>45474</c:v>
                </c:pt>
                <c:pt idx="91">
                  <c:v>45505</c:v>
                </c:pt>
                <c:pt idx="92">
                  <c:v>45536</c:v>
                </c:pt>
                <c:pt idx="93">
                  <c:v>45566</c:v>
                </c:pt>
                <c:pt idx="94">
                  <c:v>45597</c:v>
                </c:pt>
                <c:pt idx="95">
                  <c:v>45627</c:v>
                </c:pt>
                <c:pt idx="96">
                  <c:v>45658</c:v>
                </c:pt>
                <c:pt idx="97">
                  <c:v>45689</c:v>
                </c:pt>
                <c:pt idx="98">
                  <c:v>45717</c:v>
                </c:pt>
                <c:pt idx="99">
                  <c:v>45748</c:v>
                </c:pt>
                <c:pt idx="100">
                  <c:v>45778</c:v>
                </c:pt>
                <c:pt idx="101">
                  <c:v>45809</c:v>
                </c:pt>
                <c:pt idx="102">
                  <c:v>45839</c:v>
                </c:pt>
                <c:pt idx="103">
                  <c:v>45870</c:v>
                </c:pt>
                <c:pt idx="104">
                  <c:v>45901</c:v>
                </c:pt>
                <c:pt idx="105">
                  <c:v>45931</c:v>
                </c:pt>
                <c:pt idx="106">
                  <c:v>45962</c:v>
                </c:pt>
                <c:pt idx="107">
                  <c:v>45992</c:v>
                </c:pt>
                <c:pt idx="108">
                  <c:v>46023</c:v>
                </c:pt>
                <c:pt idx="109">
                  <c:v>46054</c:v>
                </c:pt>
                <c:pt idx="110">
                  <c:v>46082</c:v>
                </c:pt>
                <c:pt idx="111">
                  <c:v>46113</c:v>
                </c:pt>
                <c:pt idx="112">
                  <c:v>46143</c:v>
                </c:pt>
                <c:pt idx="113">
                  <c:v>46174</c:v>
                </c:pt>
                <c:pt idx="114">
                  <c:v>46204</c:v>
                </c:pt>
                <c:pt idx="115">
                  <c:v>46235</c:v>
                </c:pt>
                <c:pt idx="116">
                  <c:v>46266</c:v>
                </c:pt>
                <c:pt idx="117">
                  <c:v>46296</c:v>
                </c:pt>
                <c:pt idx="118">
                  <c:v>46327</c:v>
                </c:pt>
                <c:pt idx="119">
                  <c:v>46357</c:v>
                </c:pt>
              </c:numCache>
            </c:numRef>
          </c:cat>
          <c:val>
            <c:numRef>
              <c:f>'12 month rolling fiscal'!$O$19:$O$138</c:f>
              <c:numCache>
                <c:formatCode>0.0</c:formatCode>
                <c:ptCount val="120"/>
                <c:pt idx="0">
                  <c:v>-3.8772033250177542</c:v>
                </c:pt>
                <c:pt idx="1">
                  <c:v>-3.9921995921117328</c:v>
                </c:pt>
                <c:pt idx="2">
                  <c:v>-3.8575884971866636</c:v>
                </c:pt>
                <c:pt idx="3">
                  <c:v>-3.719181250574878</c:v>
                </c:pt>
                <c:pt idx="4">
                  <c:v>-3.8829246996489468</c:v>
                </c:pt>
                <c:pt idx="5">
                  <c:v>-4.0227006695801855</c:v>
                </c:pt>
                <c:pt idx="6">
                  <c:v>-3.7387287446225259</c:v>
                </c:pt>
                <c:pt idx="7">
                  <c:v>-3.6307539847720571</c:v>
                </c:pt>
                <c:pt idx="8">
                  <c:v>-3.5739405787260159</c:v>
                </c:pt>
                <c:pt idx="9">
                  <c:v>-3.0669347659478268</c:v>
                </c:pt>
                <c:pt idx="10">
                  <c:v>-3.2204192592467513</c:v>
                </c:pt>
                <c:pt idx="11">
                  <c:v>-3.7911217675416014</c:v>
                </c:pt>
                <c:pt idx="12">
                  <c:v>-3.5221980630134491</c:v>
                </c:pt>
                <c:pt idx="13">
                  <c:v>-3.4653336191442121</c:v>
                </c:pt>
                <c:pt idx="14">
                  <c:v>-3.4349588718000836</c:v>
                </c:pt>
                <c:pt idx="15">
                  <c:v>-3.1005057005679157</c:v>
                </c:pt>
                <c:pt idx="16">
                  <c:v>-2.9442925048174167</c:v>
                </c:pt>
                <c:pt idx="17">
                  <c:v>-2.9412746694667971</c:v>
                </c:pt>
                <c:pt idx="18">
                  <c:v>-2.6562673788714117</c:v>
                </c:pt>
                <c:pt idx="19">
                  <c:v>-2.5501700009667685</c:v>
                </c:pt>
                <c:pt idx="20">
                  <c:v>-2.4870884437382434</c:v>
                </c:pt>
                <c:pt idx="21">
                  <c:v>-2.1646226706210525</c:v>
                </c:pt>
                <c:pt idx="22">
                  <c:v>-2.1924880686831503</c:v>
                </c:pt>
                <c:pt idx="23">
                  <c:v>-2.2990279291493074</c:v>
                </c:pt>
                <c:pt idx="24">
                  <c:v>-2.0389372423270733</c:v>
                </c:pt>
                <c:pt idx="25">
                  <c:v>-1.8704893762354395</c:v>
                </c:pt>
                <c:pt idx="26">
                  <c:v>-1.8600846551455845</c:v>
                </c:pt>
                <c:pt idx="27">
                  <c:v>-1.620153618820996</c:v>
                </c:pt>
                <c:pt idx="28">
                  <c:v>-1.4292614662269221</c:v>
                </c:pt>
                <c:pt idx="29">
                  <c:v>-1.1464369779966117</c:v>
                </c:pt>
                <c:pt idx="30">
                  <c:v>-0.9474828461573942</c:v>
                </c:pt>
                <c:pt idx="31">
                  <c:v>-0.8236187859677605</c:v>
                </c:pt>
                <c:pt idx="32">
                  <c:v>-0.83653836888723931</c:v>
                </c:pt>
                <c:pt idx="33">
                  <c:v>-0.63857945227496715</c:v>
                </c:pt>
                <c:pt idx="34">
                  <c:v>-0.51160740025544515</c:v>
                </c:pt>
                <c:pt idx="35">
                  <c:v>-0.44122616450305208</c:v>
                </c:pt>
                <c:pt idx="36">
                  <c:v>-0.49299421459235154</c:v>
                </c:pt>
                <c:pt idx="37">
                  <c:v>-0.63901501082777257</c:v>
                </c:pt>
                <c:pt idx="38">
                  <c:v>-1.1155637257777786</c:v>
                </c:pt>
                <c:pt idx="39">
                  <c:v>-2.0334451125972199</c:v>
                </c:pt>
                <c:pt idx="40">
                  <c:v>-3.1822191211941484</c:v>
                </c:pt>
                <c:pt idx="41">
                  <c:v>-4.2060611057674073</c:v>
                </c:pt>
                <c:pt idx="42">
                  <c:v>-4.6179388126393039</c:v>
                </c:pt>
                <c:pt idx="43">
                  <c:v>-5.0237223745641817</c:v>
                </c:pt>
                <c:pt idx="44">
                  <c:v>-5.581087735998481</c:v>
                </c:pt>
                <c:pt idx="45">
                  <c:v>-5.5501189552372914</c:v>
                </c:pt>
                <c:pt idx="46">
                  <c:v>-5.7423135732455357</c:v>
                </c:pt>
                <c:pt idx="47">
                  <c:v>-6.4313458213515959</c:v>
                </c:pt>
                <c:pt idx="48">
                  <c:v>-5.7106787201724885</c:v>
                </c:pt>
                <c:pt idx="49">
                  <c:v>-5.6816965193935083</c:v>
                </c:pt>
                <c:pt idx="50">
                  <c:v>-5.5150237456142772</c:v>
                </c:pt>
                <c:pt idx="51">
                  <c:v>-4.0457427733310567</c:v>
                </c:pt>
                <c:pt idx="52">
                  <c:v>-3.270586885482158</c:v>
                </c:pt>
                <c:pt idx="53">
                  <c:v>-2.9893802474197089</c:v>
                </c:pt>
                <c:pt idx="54">
                  <c:v>-2.4837589556287103</c:v>
                </c:pt>
                <c:pt idx="55">
                  <c:v>-2.5705449498343569</c:v>
                </c:pt>
                <c:pt idx="56">
                  <c:v>-1.4441921230070591</c:v>
                </c:pt>
                <c:pt idx="57">
                  <c:v>-1.5482014382263001</c:v>
                </c:pt>
                <c:pt idx="58">
                  <c:v>-1.712549356642898</c:v>
                </c:pt>
                <c:pt idx="59">
                  <c:v>-2.1208571156729472</c:v>
                </c:pt>
                <c:pt idx="60">
                  <c:v>-1.9593728643081072</c:v>
                </c:pt>
                <c:pt idx="61">
                  <c:v>-2.0697686658122101</c:v>
                </c:pt>
                <c:pt idx="62">
                  <c:v>-2.1182968150259636</c:v>
                </c:pt>
                <c:pt idx="63">
                  <c:v>-1.946339466393336</c:v>
                </c:pt>
                <c:pt idx="64">
                  <c:v>-2.2588747096178419</c:v>
                </c:pt>
                <c:pt idx="65">
                  <c:v>-2.5386847200579568</c:v>
                </c:pt>
                <c:pt idx="66">
                  <c:v>-2.0364514422134108</c:v>
                </c:pt>
                <c:pt idx="67">
                  <c:v>-2.1576806907436628</c:v>
                </c:pt>
                <c:pt idx="68">
                  <c:v>-2.4575719396021096</c:v>
                </c:pt>
                <c:pt idx="69">
                  <c:v>-1.9579679011163442</c:v>
                </c:pt>
                <c:pt idx="70">
                  <c:v>-2.0704970031111567</c:v>
                </c:pt>
                <c:pt idx="71">
                  <c:v>-2.0042832967908657</c:v>
                </c:pt>
                <c:pt idx="72">
                  <c:v>-1.8791419154438729</c:v>
                </c:pt>
                <c:pt idx="73">
                  <c:v>-2.0336359395156616</c:v>
                </c:pt>
                <c:pt idx="74">
                  <c:v>-2.1944904977331374</c:v>
                </c:pt>
                <c:pt idx="75">
                  <c:v>-2.0303809305768654</c:v>
                </c:pt>
                <c:pt idx="76">
                  <c:v>-2.1022193640528113</c:v>
                </c:pt>
                <c:pt idx="77">
                  <c:v>-2.3467105016698335</c:v>
                </c:pt>
                <c:pt idx="78">
                  <c:v>-2.094472417390548</c:v>
                </c:pt>
                <c:pt idx="79">
                  <c:v>-1.9781619003350248</c:v>
                </c:pt>
                <c:pt idx="80">
                  <c:v>-2.2880083241654852</c:v>
                </c:pt>
                <c:pt idx="81">
                  <c:v>-1.8727808131201762</c:v>
                </c:pt>
                <c:pt idx="82">
                  <c:v>-1.8638330214061578</c:v>
                </c:pt>
                <c:pt idx="83">
                  <c:v>-2.6629228101182867</c:v>
                </c:pt>
                <c:pt idx="84">
                  <c:v>-1.0871747388767548</c:v>
                </c:pt>
                <c:pt idx="85">
                  <c:v>-0.54886415709341929</c:v>
                </c:pt>
                <c:pt idx="86">
                  <c:v>-0.22348432722459205</c:v>
                </c:pt>
                <c:pt idx="87">
                  <c:v>-2.715772853633531E-3</c:v>
                </c:pt>
                <c:pt idx="88">
                  <c:v>0.69230577384604741</c:v>
                </c:pt>
                <c:pt idx="89">
                  <c:v>0.98873329544401789</c:v>
                </c:pt>
                <c:pt idx="90">
                  <c:v>1.0267443841447674</c:v>
                </c:pt>
                <c:pt idx="91">
                  <c:v>1.2224967581578268</c:v>
                </c:pt>
                <c:pt idx="92">
                  <c:v>1.4726504263517131</c:v>
                </c:pt>
                <c:pt idx="93">
                  <c:v>1.3901144853811305</c:v>
                </c:pt>
                <c:pt idx="94">
                  <c:v>1.6625464541180939</c:v>
                </c:pt>
                <c:pt idx="95">
                  <c:v>1.7806671681836559</c:v>
                </c:pt>
                <c:pt idx="96">
                  <c:v>1.6437841815992957</c:v>
                </c:pt>
                <c:pt idx="97">
                  <c:v>1.6353437273788471</c:v>
                </c:pt>
                <c:pt idx="98">
                  <c:v>1.6536038753610653</c:v>
                </c:pt>
                <c:pt idx="99">
                  <c:v>1.5767131846452851</c:v>
                </c:pt>
                <c:pt idx="100">
                  <c:v>1.4894266855229032</c:v>
                </c:pt>
                <c:pt idx="101">
                  <c:v>1.5309155679662061</c:v>
                </c:pt>
                <c:pt idx="102">
                  <c:v>1.5161041526493424</c:v>
                </c:pt>
                <c:pt idx="103">
                  <c:v>1.599251426060524</c:v>
                </c:pt>
                <c:pt idx="104">
                  <c:v>1.5841349591465752</c:v>
                </c:pt>
                <c:pt idx="105">
                  <c:v>1.4817182839577627</c:v>
                </c:pt>
                <c:pt idx="106">
                  <c:v>1.5695128102066782</c:v>
                </c:pt>
                <c:pt idx="107">
                  <c:v>1.3842234589831215</c:v>
                </c:pt>
                <c:pt idx="108">
                  <c:v>1.3673111934689417</c:v>
                </c:pt>
                <c:pt idx="109">
                  <c:v>1.3929589994120248</c:v>
                </c:pt>
                <c:pt idx="110">
                  <c:v>1.4132539417073993</c:v>
                </c:pt>
                <c:pt idx="111">
                  <c:v>1.2890515889159171</c:v>
                </c:pt>
                <c:pt idx="112">
                  <c:v>1.3122003440586836</c:v>
                </c:pt>
                <c:pt idx="113">
                  <c:v>1.1608221339528069</c:v>
                </c:pt>
                <c:pt idx="119" formatCode="General">
                  <c:v>1.5</c:v>
                </c:pt>
              </c:numCache>
            </c:numRef>
          </c:val>
          <c:smooth val="0"/>
          <c:extLst>
            <c:ext xmlns:c16="http://schemas.microsoft.com/office/drawing/2014/chart" uri="{C3380CC4-5D6E-409C-BE32-E72D297353CC}">
              <c16:uniqueId val="{00000001-9CF4-4540-9F6F-901A77482FD0}"/>
            </c:ext>
          </c:extLst>
        </c:ser>
        <c:dLbls>
          <c:showLegendKey val="0"/>
          <c:showVal val="0"/>
          <c:showCatName val="0"/>
          <c:showSerName val="0"/>
          <c:showPercent val="0"/>
          <c:showBubbleSize val="0"/>
        </c:dLbls>
        <c:smooth val="0"/>
        <c:axId val="443120703"/>
        <c:axId val="443113983"/>
      </c:lineChart>
      <c:dateAx>
        <c:axId val="443120703"/>
        <c:scaling>
          <c:orientation val="minMax"/>
          <c:min val="43252"/>
        </c:scaling>
        <c:delete val="0"/>
        <c:axPos val="b"/>
        <c:numFmt formatCode="mmm\-yy" sourceLinked="1"/>
        <c:majorTickMark val="none"/>
        <c:minorTickMark val="none"/>
        <c:tickLblPos val="low"/>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Frutiger 45 Light" panose="020B0603020202020204" pitchFamily="34" charset="0"/>
                <a:ea typeface="+mn-ea"/>
                <a:cs typeface="+mn-cs"/>
              </a:defRPr>
            </a:pPr>
            <a:endParaRPr lang="en-US"/>
          </a:p>
        </c:txPr>
        <c:crossAx val="443113983"/>
        <c:crosses val="autoZero"/>
        <c:auto val="1"/>
        <c:lblOffset val="100"/>
        <c:baseTimeUnit val="months"/>
        <c:majorUnit val="24"/>
        <c:majorTimeUnit val="months"/>
      </c:dateAx>
      <c:valAx>
        <c:axId val="443113983"/>
        <c:scaling>
          <c:orientation val="minMax"/>
        </c:scaling>
        <c:delete val="0"/>
        <c:axPos val="l"/>
        <c:numFmt formatCode="0" sourceLinked="0"/>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Frutiger 45 Light" panose="020B0603020202020204" pitchFamily="34" charset="0"/>
                <a:ea typeface="+mn-ea"/>
                <a:cs typeface="+mn-cs"/>
              </a:defRPr>
            </a:pPr>
            <a:endParaRPr lang="en-US"/>
          </a:p>
        </c:txPr>
        <c:crossAx val="443120703"/>
        <c:crosses val="autoZero"/>
        <c:crossBetween val="between"/>
      </c:valAx>
      <c:spPr>
        <a:noFill/>
        <a:ln>
          <a:noFill/>
        </a:ln>
        <a:effectLst/>
      </c:spPr>
    </c:plotArea>
    <c:legend>
      <c:legendPos val="b"/>
      <c:layout>
        <c:manualLayout>
          <c:xMode val="edge"/>
          <c:yMode val="edge"/>
          <c:x val="9.1864682098810213E-2"/>
          <c:y val="3.7615193934091531E-2"/>
          <c:w val="0.64852721815861836"/>
          <c:h val="0.14294036162146395"/>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Frutiger 45 Light" panose="020B0603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Frutiger 45 Light" panose="020B0603020202020204" pitchFamily="34" charset="0"/>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Net image in Buenos Aires province (pp)</a:t>
            </a:r>
          </a:p>
        </c:rich>
      </c:tx>
      <c:overlay val="0"/>
      <c:spPr>
        <a:noFill/>
        <a:ln w="0">
          <a:noFill/>
        </a:ln>
      </c:spPr>
    </c:title>
    <c:autoTitleDeleted val="0"/>
    <c:plotArea>
      <c:layout/>
      <c:barChart>
        <c:barDir val="col"/>
        <c:grouping val="clustered"/>
        <c:varyColors val="0"/>
        <c:ser>
          <c:idx val="0"/>
          <c:order val="0"/>
          <c:tx>
            <c:strRef>
              <c:f>'Buenos Aires polling'!$E$7</c:f>
              <c:strCache>
                <c:ptCount val="1"/>
                <c:pt idx="0">
                  <c:v>NET</c:v>
                </c:pt>
              </c:strCache>
            </c:strRef>
          </c:tx>
          <c:spPr>
            <a:solidFill>
              <a:srgbClr val="D1495B"/>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'Buenos Aires polling'!$B$8:$B$14</c:f>
              <c:strCache>
                <c:ptCount val="7"/>
                <c:pt idx="0">
                  <c:v>Axel Kicillof</c:v>
                </c:pt>
                <c:pt idx="1">
                  <c:v>Cristina Kirchner</c:v>
                </c:pt>
                <c:pt idx="2">
                  <c:v>Sergio Massa</c:v>
                </c:pt>
                <c:pt idx="3">
                  <c:v>Javier Milei</c:v>
                </c:pt>
                <c:pt idx="4">
                  <c:v>Mauricio Macri</c:v>
                </c:pt>
                <c:pt idx="5">
                  <c:v>Victoria Villarruel</c:v>
                </c:pt>
                <c:pt idx="6">
                  <c:v>Karina Milei</c:v>
                </c:pt>
              </c:strCache>
            </c:strRef>
          </c:cat>
          <c:val>
            <c:numRef>
              <c:f>'Buenos Aires polling'!$E$8:$E$14</c:f>
              <c:numCache>
                <c:formatCode>\+0.0;\-0.0;\-</c:formatCode>
                <c:ptCount val="7"/>
                <c:pt idx="0">
                  <c:v>4</c:v>
                </c:pt>
                <c:pt idx="1">
                  <c:v>-4</c:v>
                </c:pt>
                <c:pt idx="2">
                  <c:v>-22</c:v>
                </c:pt>
                <c:pt idx="3">
                  <c:v>-32</c:v>
                </c:pt>
                <c:pt idx="4">
                  <c:v>-42</c:v>
                </c:pt>
                <c:pt idx="5">
                  <c:v>-42</c:v>
                </c:pt>
                <c:pt idx="6">
                  <c:v>-60</c:v>
                </c:pt>
              </c:numCache>
            </c:numRef>
          </c:val>
          <c:extLst>
            <c:ext xmlns:c16="http://schemas.microsoft.com/office/drawing/2014/chart" uri="{C3380CC4-5D6E-409C-BE32-E72D297353CC}">
              <c16:uniqueId val="{00000000-01F1-40D5-964A-46F1E223C0B9}"/>
            </c:ext>
          </c:extLst>
        </c:ser>
        <c:dLbls>
          <c:showLegendKey val="0"/>
          <c:showVal val="0"/>
          <c:showCatName val="0"/>
          <c:showSerName val="0"/>
          <c:showPercent val="0"/>
          <c:showBubbleSize val="0"/>
        </c:dLbls>
        <c:gapWidth val="150"/>
        <c:axId val="70567250"/>
        <c:axId val="47902109"/>
      </c:barChart>
      <c:catAx>
        <c:axId val="7056725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7902109"/>
        <c:crosses val="autoZero"/>
        <c:auto val="1"/>
        <c:lblAlgn val="ctr"/>
        <c:lblOffset val="100"/>
        <c:noMultiLvlLbl val="0"/>
      </c:catAx>
      <c:valAx>
        <c:axId val="4790210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056725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233814523184602E-2"/>
          <c:y val="5.0925925925925923E-2"/>
          <c:w val="0.89521062992125988"/>
          <c:h val="0.86482283464566934"/>
        </c:manualLayout>
      </c:layout>
      <c:barChart>
        <c:barDir val="col"/>
        <c:grouping val="clustered"/>
        <c:varyColors val="0"/>
        <c:ser>
          <c:idx val="0"/>
          <c:order val="0"/>
          <c:tx>
            <c:strRef>
              <c:f>'Buenos Aires polling'!$D$26</c:f>
              <c:strCache>
                <c:ptCount val="1"/>
                <c:pt idx="0">
                  <c:v>National </c:v>
                </c:pt>
              </c:strCache>
            </c:strRef>
          </c:tx>
          <c:spPr>
            <a:solidFill>
              <a:schemeClr val="accent1">
                <a:lumMod val="75000"/>
              </a:schemeClr>
            </a:solidFill>
            <a:ln>
              <a:noFill/>
            </a:ln>
            <a:effectLst/>
          </c:spPr>
          <c:invertIfNegative val="0"/>
          <c:cat>
            <c:strRef>
              <c:f>'Buenos Aires polling'!$C$27:$C$30</c:f>
              <c:strCache>
                <c:ptCount val="4"/>
                <c:pt idx="0">
                  <c:v>J. Milei</c:v>
                </c:pt>
                <c:pt idx="1">
                  <c:v>A. Kicillof</c:v>
                </c:pt>
                <c:pt idx="2">
                  <c:v>S. Massa</c:v>
                </c:pt>
                <c:pt idx="3">
                  <c:v>M. Macri</c:v>
                </c:pt>
              </c:strCache>
            </c:strRef>
          </c:cat>
          <c:val>
            <c:numRef>
              <c:f>'Buenos Aires polling'!$D$27:$D$30</c:f>
              <c:numCache>
                <c:formatCode>General</c:formatCode>
                <c:ptCount val="4"/>
                <c:pt idx="0">
                  <c:v>-20</c:v>
                </c:pt>
                <c:pt idx="1">
                  <c:v>-17</c:v>
                </c:pt>
              </c:numCache>
            </c:numRef>
          </c:val>
          <c:extLst>
            <c:ext xmlns:c16="http://schemas.microsoft.com/office/drawing/2014/chart" uri="{C3380CC4-5D6E-409C-BE32-E72D297353CC}">
              <c16:uniqueId val="{00000000-ADE7-48FC-B988-E1E70486F0D2}"/>
            </c:ext>
          </c:extLst>
        </c:ser>
        <c:ser>
          <c:idx val="1"/>
          <c:order val="1"/>
          <c:tx>
            <c:strRef>
              <c:f>'Buenos Aires polling'!$E$26</c:f>
              <c:strCache>
                <c:ptCount val="1"/>
                <c:pt idx="0">
                  <c:v>PBA</c:v>
                </c:pt>
              </c:strCache>
            </c:strRef>
          </c:tx>
          <c:spPr>
            <a:solidFill>
              <a:srgbClr val="C00000"/>
            </a:solidFill>
            <a:ln>
              <a:noFill/>
            </a:ln>
            <a:effectLst/>
          </c:spPr>
          <c:invertIfNegative val="0"/>
          <c:cat>
            <c:strRef>
              <c:f>'Buenos Aires polling'!$C$27:$C$30</c:f>
              <c:strCache>
                <c:ptCount val="4"/>
                <c:pt idx="0">
                  <c:v>J. Milei</c:v>
                </c:pt>
                <c:pt idx="1">
                  <c:v>A. Kicillof</c:v>
                </c:pt>
                <c:pt idx="2">
                  <c:v>S. Massa</c:v>
                </c:pt>
                <c:pt idx="3">
                  <c:v>M. Macri</c:v>
                </c:pt>
              </c:strCache>
            </c:strRef>
          </c:cat>
          <c:val>
            <c:numRef>
              <c:f>'Buenos Aires polling'!$E$27:$E$30</c:f>
              <c:numCache>
                <c:formatCode>\+0.0;\-0.0;\-</c:formatCode>
                <c:ptCount val="4"/>
                <c:pt idx="0">
                  <c:v>-32</c:v>
                </c:pt>
                <c:pt idx="1">
                  <c:v>4</c:v>
                </c:pt>
                <c:pt idx="2">
                  <c:v>-22</c:v>
                </c:pt>
                <c:pt idx="3">
                  <c:v>-42</c:v>
                </c:pt>
              </c:numCache>
            </c:numRef>
          </c:val>
          <c:extLst>
            <c:ext xmlns:c16="http://schemas.microsoft.com/office/drawing/2014/chart" uri="{C3380CC4-5D6E-409C-BE32-E72D297353CC}">
              <c16:uniqueId val="{00000001-ADE7-48FC-B988-E1E70486F0D2}"/>
            </c:ext>
          </c:extLst>
        </c:ser>
        <c:dLbls>
          <c:showLegendKey val="0"/>
          <c:showVal val="0"/>
          <c:showCatName val="0"/>
          <c:showSerName val="0"/>
          <c:showPercent val="0"/>
          <c:showBubbleSize val="0"/>
        </c:dLbls>
        <c:gapWidth val="71"/>
        <c:overlap val="-27"/>
        <c:axId val="935684944"/>
        <c:axId val="935689744"/>
      </c:barChart>
      <c:catAx>
        <c:axId val="935684944"/>
        <c:scaling>
          <c:orientation val="minMax"/>
        </c:scaling>
        <c:delete val="0"/>
        <c:axPos val="t"/>
        <c:numFmt formatCode="General" sourceLinked="1"/>
        <c:majorTickMark val="none"/>
        <c:minorTickMark val="none"/>
        <c:tickLblPos val="high"/>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Frutiger 45 Light" panose="020B0603020202020204" pitchFamily="34" charset="0"/>
                <a:ea typeface="+mn-ea"/>
                <a:cs typeface="+mn-cs"/>
              </a:defRPr>
            </a:pPr>
            <a:endParaRPr lang="en-US"/>
          </a:p>
        </c:txPr>
        <c:crossAx val="935689744"/>
        <c:crosses val="autoZero"/>
        <c:auto val="1"/>
        <c:lblAlgn val="ctr"/>
        <c:lblOffset val="100"/>
        <c:noMultiLvlLbl val="0"/>
      </c:catAx>
      <c:valAx>
        <c:axId val="935689744"/>
        <c:scaling>
          <c:orientation val="maxMin"/>
        </c:scaling>
        <c:delete val="0"/>
        <c:axPos val="l"/>
        <c:numFmt formatCode="General" sourceLinked="1"/>
        <c:majorTickMark val="none"/>
        <c:minorTickMark val="none"/>
        <c:tickLblPos val="nextTo"/>
        <c:spPr>
          <a:noFill/>
          <a:ln w="9525" cap="flat" cmpd="sng" algn="ctr">
            <a:solidFill>
              <a:schemeClr val="tx1"/>
            </a:solidFill>
            <a:prstDash val="soli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Frutiger 45 Light" panose="020B0603020202020204" pitchFamily="34" charset="0"/>
                <a:ea typeface="+mn-ea"/>
                <a:cs typeface="+mn-cs"/>
              </a:defRPr>
            </a:pPr>
            <a:endParaRPr lang="en-US"/>
          </a:p>
        </c:txPr>
        <c:crossAx val="935684944"/>
        <c:crosses val="autoZero"/>
        <c:crossBetween val="between"/>
      </c:valAx>
      <c:spPr>
        <a:noFill/>
        <a:ln>
          <a:noFill/>
        </a:ln>
        <a:effectLst/>
      </c:spPr>
    </c:plotArea>
    <c:legend>
      <c:legendPos val="b"/>
      <c:layout>
        <c:manualLayout>
          <c:xMode val="edge"/>
          <c:yMode val="edge"/>
          <c:x val="0.10953346456692914"/>
          <c:y val="6.5392971711869349E-2"/>
          <c:w val="0.30346784776902885"/>
          <c:h val="8.9767424905220175E-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Frutiger 45 Light" panose="020B0603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Frutiger 45 Light" panose="020B0603020202020204" pitchFamily="34" charset="0"/>
        </a:defRPr>
      </a:pPr>
      <a:endParaRPr lang="en-US"/>
    </a:p>
  </c:txPr>
  <c:printSettings>
    <c:headerFooter/>
    <c:pageMargins b="0.75" l="0.7" r="0.7" t="0.75" header="0.3" footer="0.3"/>
    <c:pageSetup/>
  </c:printSettings>
  <c:userShapes r:id="rId3"/>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Basis points of widening absorbed before total return goes negative</a:t>
            </a:r>
          </a:p>
        </c:rich>
      </c:tx>
      <c:overlay val="0"/>
      <c:spPr>
        <a:noFill/>
        <a:ln w="0">
          <a:noFill/>
        </a:ln>
      </c:spPr>
    </c:title>
    <c:autoTitleDeleted val="0"/>
    <c:plotArea>
      <c:layout/>
      <c:barChart>
        <c:barDir val="bar"/>
        <c:grouping val="clustered"/>
        <c:varyColors val="0"/>
        <c:ser>
          <c:idx val="0"/>
          <c:order val="0"/>
          <c:tx>
            <c:strRef>
              <c:f>'2 Carry cushion'!$H$5</c:f>
              <c:strCache>
                <c:ptCount val="1"/>
                <c:pt idx="0">
                  <c:v>Breakeven widening
— with convexity (bp)</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 Carry cushion'!$A$6:$A$11</c:f>
              <c:strCache>
                <c:ptCount val="6"/>
                <c:pt idx="0">
                  <c:v>GD29</c:v>
                </c:pt>
                <c:pt idx="1">
                  <c:v>GD30</c:v>
                </c:pt>
                <c:pt idx="2">
                  <c:v>GD35</c:v>
                </c:pt>
                <c:pt idx="3">
                  <c:v>GD38</c:v>
                </c:pt>
                <c:pt idx="4">
                  <c:v>GD41</c:v>
                </c:pt>
                <c:pt idx="5">
                  <c:v>GD46</c:v>
                </c:pt>
              </c:strCache>
            </c:strRef>
          </c:cat>
          <c:val>
            <c:numRef>
              <c:f>'2 Carry cushion'!$H$6:$H$11</c:f>
              <c:numCache>
                <c:formatCode>#,##0</c:formatCode>
                <c:ptCount val="6"/>
                <c:pt idx="0">
                  <c:v>159.62796477337309</c:v>
                </c:pt>
                <c:pt idx="1">
                  <c:v>129.54786837930692</c:v>
                </c:pt>
                <c:pt idx="2">
                  <c:v>81.510726158207035</c:v>
                </c:pt>
                <c:pt idx="3">
                  <c:v>83.356785353585764</c:v>
                </c:pt>
                <c:pt idx="4">
                  <c:v>66.672629731648584</c:v>
                </c:pt>
                <c:pt idx="5">
                  <c:v>61.513529687758187</c:v>
                </c:pt>
              </c:numCache>
            </c:numRef>
          </c:val>
          <c:extLst>
            <c:ext xmlns:c16="http://schemas.microsoft.com/office/drawing/2014/chart" uri="{C3380CC4-5D6E-409C-BE32-E72D297353CC}">
              <c16:uniqueId val="{00000000-5DD5-4203-B462-F23B3BCE10B5}"/>
            </c:ext>
          </c:extLst>
        </c:ser>
        <c:dLbls>
          <c:showLegendKey val="0"/>
          <c:showVal val="0"/>
          <c:showCatName val="0"/>
          <c:showSerName val="0"/>
          <c:showPercent val="0"/>
          <c:showBubbleSize val="0"/>
        </c:dLbls>
        <c:gapWidth val="150"/>
        <c:axId val="78044460"/>
        <c:axId val="92076941"/>
      </c:barChart>
      <c:catAx>
        <c:axId val="78044460"/>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2076941"/>
        <c:crosses val="autoZero"/>
        <c:auto val="1"/>
        <c:lblAlgn val="ctr"/>
        <c:lblOffset val="100"/>
        <c:noMultiLvlLbl val="0"/>
      </c:catAx>
      <c:valAx>
        <c:axId val="92076941"/>
        <c:scaling>
          <c:orientation val="minMax"/>
        </c:scaling>
        <c:delete val="0"/>
        <c:axPos val="b"/>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804446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What the carry is actually made of (% over the holding period)</a:t>
            </a:r>
          </a:p>
        </c:rich>
      </c:tx>
      <c:overlay val="0"/>
      <c:spPr>
        <a:noFill/>
        <a:ln w="0">
          <a:noFill/>
        </a:ln>
      </c:spPr>
    </c:title>
    <c:autoTitleDeleted val="0"/>
    <c:plotArea>
      <c:layout/>
      <c:barChart>
        <c:barDir val="bar"/>
        <c:grouping val="stacked"/>
        <c:varyColors val="0"/>
        <c:ser>
          <c:idx val="0"/>
          <c:order val="0"/>
          <c:tx>
            <c:strRef>
              <c:f>'2 Carry cushion'!$D$5</c:f>
              <c:strCache>
                <c:ptCount val="1"/>
                <c:pt idx="0">
                  <c:v>of which:
cash coupon (%)</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 Carry cushion'!$A$6:$A$11</c:f>
              <c:strCache>
                <c:ptCount val="6"/>
                <c:pt idx="0">
                  <c:v>GD29</c:v>
                </c:pt>
                <c:pt idx="1">
                  <c:v>GD30</c:v>
                </c:pt>
                <c:pt idx="2">
                  <c:v>GD35</c:v>
                </c:pt>
                <c:pt idx="3">
                  <c:v>GD38</c:v>
                </c:pt>
                <c:pt idx="4">
                  <c:v>GD41</c:v>
                </c:pt>
                <c:pt idx="5">
                  <c:v>GD46</c:v>
                </c:pt>
              </c:strCache>
            </c:strRef>
          </c:cat>
          <c:val>
            <c:numRef>
              <c:f>'2 Carry cushion'!$D$6:$D$11</c:f>
              <c:numCache>
                <c:formatCode>0.00</c:formatCode>
                <c:ptCount val="6"/>
                <c:pt idx="0">
                  <c:v>0.55700997047847156</c:v>
                </c:pt>
                <c:pt idx="1">
                  <c:v>0.42794540557812577</c:v>
                </c:pt>
                <c:pt idx="2">
                  <c:v>2.6464021761445284</c:v>
                </c:pt>
                <c:pt idx="3">
                  <c:v>3.0662243127058204</c:v>
                </c:pt>
                <c:pt idx="4">
                  <c:v>2.401092153916867</c:v>
                </c:pt>
                <c:pt idx="5">
                  <c:v>2.8099455040871932</c:v>
                </c:pt>
              </c:numCache>
            </c:numRef>
          </c:val>
          <c:extLst>
            <c:ext xmlns:c16="http://schemas.microsoft.com/office/drawing/2014/chart" uri="{C3380CC4-5D6E-409C-BE32-E72D297353CC}">
              <c16:uniqueId val="{00000000-F9B5-41B3-81A7-8780FADDD65B}"/>
            </c:ext>
          </c:extLst>
        </c:ser>
        <c:ser>
          <c:idx val="1"/>
          <c:order val="1"/>
          <c:tx>
            <c:strRef>
              <c:f>'2 Carry cushion'!$E$5</c:f>
              <c:strCache>
                <c:ptCount val="1"/>
                <c:pt idx="0">
                  <c:v>of which:
pull-to-par (%)</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 Carry cushion'!$A$6:$A$11</c:f>
              <c:strCache>
                <c:ptCount val="6"/>
                <c:pt idx="0">
                  <c:v>GD29</c:v>
                </c:pt>
                <c:pt idx="1">
                  <c:v>GD30</c:v>
                </c:pt>
                <c:pt idx="2">
                  <c:v>GD35</c:v>
                </c:pt>
                <c:pt idx="3">
                  <c:v>GD38</c:v>
                </c:pt>
                <c:pt idx="4">
                  <c:v>GD41</c:v>
                </c:pt>
                <c:pt idx="5">
                  <c:v>GD46</c:v>
                </c:pt>
              </c:strCache>
            </c:strRef>
          </c:cat>
          <c:val>
            <c:numRef>
              <c:f>'2 Carry cushion'!$E$6:$E$11</c:f>
              <c:numCache>
                <c:formatCode>0.00</c:formatCode>
                <c:ptCount val="6"/>
                <c:pt idx="0">
                  <c:v>1.8517881462074186</c:v>
                </c:pt>
                <c:pt idx="1">
                  <c:v>2.0837023225190965</c:v>
                </c:pt>
                <c:pt idx="2">
                  <c:v>1.5530195330678067</c:v>
                </c:pt>
                <c:pt idx="3">
                  <c:v>0.64549695172143107</c:v>
                </c:pt>
                <c:pt idx="4">
                  <c:v>1.3613595295262537</c:v>
                </c:pt>
                <c:pt idx="5">
                  <c:v>0.91927357949932631</c:v>
                </c:pt>
              </c:numCache>
            </c:numRef>
          </c:val>
          <c:extLst>
            <c:ext xmlns:c16="http://schemas.microsoft.com/office/drawing/2014/chart" uri="{C3380CC4-5D6E-409C-BE32-E72D297353CC}">
              <c16:uniqueId val="{00000001-F9B5-41B3-81A7-8780FADDD65B}"/>
            </c:ext>
          </c:extLst>
        </c:ser>
        <c:dLbls>
          <c:showLegendKey val="0"/>
          <c:showVal val="0"/>
          <c:showCatName val="0"/>
          <c:showSerName val="0"/>
          <c:showPercent val="0"/>
          <c:showBubbleSize val="0"/>
        </c:dLbls>
        <c:gapWidth val="150"/>
        <c:overlap val="100"/>
        <c:axId val="36419879"/>
        <c:axId val="54945341"/>
      </c:barChart>
      <c:catAx>
        <c:axId val="36419879"/>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4945341"/>
        <c:crosses val="autoZero"/>
        <c:auto val="1"/>
        <c:lblAlgn val="ctr"/>
        <c:lblOffset val="100"/>
        <c:noMultiLvlLbl val="0"/>
      </c:catAx>
      <c:valAx>
        <c:axId val="54945341"/>
        <c:scaling>
          <c:orientation val="minMax"/>
        </c:scaling>
        <c:delete val="0"/>
        <c:axPos val="b"/>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641987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Same split as shares of total carry</a:t>
            </a:r>
          </a:p>
        </c:rich>
      </c:tx>
      <c:overlay val="0"/>
      <c:spPr>
        <a:noFill/>
        <a:ln w="0">
          <a:noFill/>
        </a:ln>
      </c:spPr>
    </c:title>
    <c:autoTitleDeleted val="0"/>
    <c:plotArea>
      <c:layout/>
      <c:barChart>
        <c:barDir val="bar"/>
        <c:grouping val="percentStacked"/>
        <c:varyColors val="0"/>
        <c:ser>
          <c:idx val="0"/>
          <c:order val="0"/>
          <c:tx>
            <c:strRef>
              <c:f>'2 Carry cushion'!$D$5</c:f>
              <c:strCache>
                <c:ptCount val="1"/>
                <c:pt idx="0">
                  <c:v>of which:
cash coupon (%)</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 Carry cushion'!$A$6:$A$11</c:f>
              <c:strCache>
                <c:ptCount val="6"/>
                <c:pt idx="0">
                  <c:v>GD29</c:v>
                </c:pt>
                <c:pt idx="1">
                  <c:v>GD30</c:v>
                </c:pt>
                <c:pt idx="2">
                  <c:v>GD35</c:v>
                </c:pt>
                <c:pt idx="3">
                  <c:v>GD38</c:v>
                </c:pt>
                <c:pt idx="4">
                  <c:v>GD41</c:v>
                </c:pt>
                <c:pt idx="5">
                  <c:v>GD46</c:v>
                </c:pt>
              </c:strCache>
            </c:strRef>
          </c:cat>
          <c:val>
            <c:numRef>
              <c:f>'2 Carry cushion'!$D$6:$D$11</c:f>
              <c:numCache>
                <c:formatCode>0.00</c:formatCode>
                <c:ptCount val="6"/>
                <c:pt idx="0">
                  <c:v>0.55700997047847156</c:v>
                </c:pt>
                <c:pt idx="1">
                  <c:v>0.42794540557812577</c:v>
                </c:pt>
                <c:pt idx="2">
                  <c:v>2.6464021761445284</c:v>
                </c:pt>
                <c:pt idx="3">
                  <c:v>3.0662243127058204</c:v>
                </c:pt>
                <c:pt idx="4">
                  <c:v>2.401092153916867</c:v>
                </c:pt>
                <c:pt idx="5">
                  <c:v>2.8099455040871932</c:v>
                </c:pt>
              </c:numCache>
            </c:numRef>
          </c:val>
          <c:extLst>
            <c:ext xmlns:c16="http://schemas.microsoft.com/office/drawing/2014/chart" uri="{C3380CC4-5D6E-409C-BE32-E72D297353CC}">
              <c16:uniqueId val="{00000000-4E33-409F-B42C-D1946062C95D}"/>
            </c:ext>
          </c:extLst>
        </c:ser>
        <c:ser>
          <c:idx val="1"/>
          <c:order val="1"/>
          <c:tx>
            <c:strRef>
              <c:f>'2 Carry cushion'!$E$5</c:f>
              <c:strCache>
                <c:ptCount val="1"/>
                <c:pt idx="0">
                  <c:v>of which:
pull-to-par (%)</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 Carry cushion'!$A$6:$A$11</c:f>
              <c:strCache>
                <c:ptCount val="6"/>
                <c:pt idx="0">
                  <c:v>GD29</c:v>
                </c:pt>
                <c:pt idx="1">
                  <c:v>GD30</c:v>
                </c:pt>
                <c:pt idx="2">
                  <c:v>GD35</c:v>
                </c:pt>
                <c:pt idx="3">
                  <c:v>GD38</c:v>
                </c:pt>
                <c:pt idx="4">
                  <c:v>GD41</c:v>
                </c:pt>
                <c:pt idx="5">
                  <c:v>GD46</c:v>
                </c:pt>
              </c:strCache>
            </c:strRef>
          </c:cat>
          <c:val>
            <c:numRef>
              <c:f>'2 Carry cushion'!$E$6:$E$11</c:f>
              <c:numCache>
                <c:formatCode>0.00</c:formatCode>
                <c:ptCount val="6"/>
                <c:pt idx="0">
                  <c:v>1.8517881462074186</c:v>
                </c:pt>
                <c:pt idx="1">
                  <c:v>2.0837023225190965</c:v>
                </c:pt>
                <c:pt idx="2">
                  <c:v>1.5530195330678067</c:v>
                </c:pt>
                <c:pt idx="3">
                  <c:v>0.64549695172143107</c:v>
                </c:pt>
                <c:pt idx="4">
                  <c:v>1.3613595295262537</c:v>
                </c:pt>
                <c:pt idx="5">
                  <c:v>0.91927357949932631</c:v>
                </c:pt>
              </c:numCache>
            </c:numRef>
          </c:val>
          <c:extLst>
            <c:ext xmlns:c16="http://schemas.microsoft.com/office/drawing/2014/chart" uri="{C3380CC4-5D6E-409C-BE32-E72D297353CC}">
              <c16:uniqueId val="{00000001-4E33-409F-B42C-D1946062C95D}"/>
            </c:ext>
          </c:extLst>
        </c:ser>
        <c:dLbls>
          <c:showLegendKey val="0"/>
          <c:showVal val="0"/>
          <c:showCatName val="0"/>
          <c:showSerName val="0"/>
          <c:showPercent val="0"/>
          <c:showBubbleSize val="0"/>
        </c:dLbls>
        <c:gapWidth val="150"/>
        <c:overlap val="100"/>
        <c:axId val="83426343"/>
        <c:axId val="90770518"/>
      </c:barChart>
      <c:catAx>
        <c:axId val="83426343"/>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0770518"/>
        <c:crosses val="autoZero"/>
        <c:auto val="1"/>
        <c:lblAlgn val="ctr"/>
        <c:lblOffset val="100"/>
        <c:noMultiLvlLbl val="0"/>
      </c:catAx>
      <c:valAx>
        <c:axId val="90770518"/>
        <c:scaling>
          <c:orientation val="minMax"/>
        </c:scaling>
        <c:delete val="0"/>
        <c:axPos val="b"/>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342634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What the carry is actually made of (% over the holding period)</a:t>
            </a:r>
          </a:p>
        </c:rich>
      </c:tx>
      <c:overlay val="0"/>
      <c:spPr>
        <a:noFill/>
        <a:ln w="0">
          <a:noFill/>
        </a:ln>
      </c:spPr>
    </c:title>
    <c:autoTitleDeleted val="0"/>
    <c:plotArea>
      <c:layout/>
      <c:barChart>
        <c:barDir val="col"/>
        <c:grouping val="stacked"/>
        <c:varyColors val="0"/>
        <c:ser>
          <c:idx val="0"/>
          <c:order val="0"/>
          <c:tx>
            <c:strRef>
              <c:f>'2 Carry cushion'!$D$5</c:f>
              <c:strCache>
                <c:ptCount val="1"/>
                <c:pt idx="0">
                  <c:v>of which:
cash coupon (%)</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'2 Carry cushion'!$A$6:$A$11</c:f>
              <c:strCache>
                <c:ptCount val="6"/>
                <c:pt idx="0">
                  <c:v>GD29</c:v>
                </c:pt>
                <c:pt idx="1">
                  <c:v>GD30</c:v>
                </c:pt>
                <c:pt idx="2">
                  <c:v>GD35</c:v>
                </c:pt>
                <c:pt idx="3">
                  <c:v>GD38</c:v>
                </c:pt>
                <c:pt idx="4">
                  <c:v>GD41</c:v>
                </c:pt>
                <c:pt idx="5">
                  <c:v>GD46</c:v>
                </c:pt>
              </c:strCache>
            </c:strRef>
          </c:cat>
          <c:val>
            <c:numRef>
              <c:f>'2 Carry cushion'!$D$6:$D$11</c:f>
              <c:numCache>
                <c:formatCode>0.00</c:formatCode>
                <c:ptCount val="6"/>
                <c:pt idx="0">
                  <c:v>0.55700997047847156</c:v>
                </c:pt>
                <c:pt idx="1">
                  <c:v>0.42794540557812577</c:v>
                </c:pt>
                <c:pt idx="2">
                  <c:v>2.6464021761445284</c:v>
                </c:pt>
                <c:pt idx="3">
                  <c:v>3.0662243127058204</c:v>
                </c:pt>
                <c:pt idx="4">
                  <c:v>2.401092153916867</c:v>
                </c:pt>
                <c:pt idx="5">
                  <c:v>2.8099455040871932</c:v>
                </c:pt>
              </c:numCache>
            </c:numRef>
          </c:val>
          <c:extLst>
            <c:ext xmlns:c16="http://schemas.microsoft.com/office/drawing/2014/chart" uri="{C3380CC4-5D6E-409C-BE32-E72D297353CC}">
              <c16:uniqueId val="{00000000-340A-4CD0-BB54-7EC4FA80FFC9}"/>
            </c:ext>
          </c:extLst>
        </c:ser>
        <c:ser>
          <c:idx val="1"/>
          <c:order val="1"/>
          <c:tx>
            <c:strRef>
              <c:f>'2 Carry cushion'!$E$5</c:f>
              <c:strCache>
                <c:ptCount val="1"/>
                <c:pt idx="0">
                  <c:v>of which:
pull-to-par (%)</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'2 Carry cushion'!$A$6:$A$11</c:f>
              <c:strCache>
                <c:ptCount val="6"/>
                <c:pt idx="0">
                  <c:v>GD29</c:v>
                </c:pt>
                <c:pt idx="1">
                  <c:v>GD30</c:v>
                </c:pt>
                <c:pt idx="2">
                  <c:v>GD35</c:v>
                </c:pt>
                <c:pt idx="3">
                  <c:v>GD38</c:v>
                </c:pt>
                <c:pt idx="4">
                  <c:v>GD41</c:v>
                </c:pt>
                <c:pt idx="5">
                  <c:v>GD46</c:v>
                </c:pt>
              </c:strCache>
            </c:strRef>
          </c:cat>
          <c:val>
            <c:numRef>
              <c:f>'2 Carry cushion'!$E$6:$E$11</c:f>
              <c:numCache>
                <c:formatCode>0.00</c:formatCode>
                <c:ptCount val="6"/>
                <c:pt idx="0">
                  <c:v>1.8517881462074186</c:v>
                </c:pt>
                <c:pt idx="1">
                  <c:v>2.0837023225190965</c:v>
                </c:pt>
                <c:pt idx="2">
                  <c:v>1.5530195330678067</c:v>
                </c:pt>
                <c:pt idx="3">
                  <c:v>0.64549695172143107</c:v>
                </c:pt>
                <c:pt idx="4">
                  <c:v>1.3613595295262537</c:v>
                </c:pt>
                <c:pt idx="5">
                  <c:v>0.91927357949932631</c:v>
                </c:pt>
              </c:numCache>
            </c:numRef>
          </c:val>
          <c:extLst>
            <c:ext xmlns:c16="http://schemas.microsoft.com/office/drawing/2014/chart" uri="{C3380CC4-5D6E-409C-BE32-E72D297353CC}">
              <c16:uniqueId val="{00000001-340A-4CD0-BB54-7EC4FA80FFC9}"/>
            </c:ext>
          </c:extLst>
        </c:ser>
        <c:dLbls>
          <c:showLegendKey val="0"/>
          <c:showVal val="0"/>
          <c:showCatName val="0"/>
          <c:showSerName val="0"/>
          <c:showPercent val="0"/>
          <c:showBubbleSize val="0"/>
        </c:dLbls>
        <c:gapWidth val="150"/>
        <c:overlap val="100"/>
        <c:axId val="36419879"/>
        <c:axId val="54945341"/>
      </c:barChart>
      <c:catAx>
        <c:axId val="3641987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4945341"/>
        <c:crosses val="autoZero"/>
        <c:auto val="1"/>
        <c:lblAlgn val="ctr"/>
        <c:lblOffset val="100"/>
        <c:noMultiLvlLbl val="0"/>
      </c:catAx>
      <c:valAx>
        <c:axId val="54945341"/>
        <c:scaling>
          <c:orientation val="minMax"/>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641987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799332790255622E-2"/>
          <c:y val="5.5331096147150552E-2"/>
          <c:w val="0.90649617906047553"/>
          <c:h val="0.81617885636820231"/>
        </c:manualLayout>
      </c:layout>
      <c:barChart>
        <c:barDir val="col"/>
        <c:grouping val="stacked"/>
        <c:varyColors val="0"/>
        <c:ser>
          <c:idx val="0"/>
          <c:order val="0"/>
          <c:tx>
            <c:strRef>
              <c:f>'2 Carry cushion'!$D$5</c:f>
              <c:strCache>
                <c:ptCount val="1"/>
                <c:pt idx="0">
                  <c:v>of which:
cash coupon (%)</c:v>
                </c:pt>
              </c:strCache>
            </c:strRef>
          </c:tx>
          <c:spPr>
            <a:solidFill>
              <a:schemeClr val="accent1">
                <a:lumMod val="75000"/>
              </a:schemeClr>
            </a:solidFill>
            <a:ln w="0">
              <a:noFill/>
            </a:ln>
          </c:spPr>
          <c:invertIfNegative val="0"/>
          <c:cat>
            <c:strRef>
              <c:f>'2 Carry cushion'!$A$6:$A$11</c:f>
              <c:strCache>
                <c:ptCount val="6"/>
                <c:pt idx="0">
                  <c:v>GD29</c:v>
                </c:pt>
                <c:pt idx="1">
                  <c:v>GD30</c:v>
                </c:pt>
                <c:pt idx="2">
                  <c:v>GD35</c:v>
                </c:pt>
                <c:pt idx="3">
                  <c:v>GD38</c:v>
                </c:pt>
                <c:pt idx="4">
                  <c:v>GD41</c:v>
                </c:pt>
                <c:pt idx="5">
                  <c:v>GD46</c:v>
                </c:pt>
              </c:strCache>
            </c:strRef>
          </c:cat>
          <c:val>
            <c:numRef>
              <c:f>'2 Carry cushion'!$D$6:$D$11</c:f>
              <c:numCache>
                <c:formatCode>0.00</c:formatCode>
                <c:ptCount val="6"/>
                <c:pt idx="0">
                  <c:v>0.55700997047847156</c:v>
                </c:pt>
                <c:pt idx="1">
                  <c:v>0.42794540557812577</c:v>
                </c:pt>
                <c:pt idx="2">
                  <c:v>2.6464021761445284</c:v>
                </c:pt>
                <c:pt idx="3">
                  <c:v>3.0662243127058204</c:v>
                </c:pt>
                <c:pt idx="4">
                  <c:v>2.401092153916867</c:v>
                </c:pt>
                <c:pt idx="5">
                  <c:v>2.8099455040871932</c:v>
                </c:pt>
              </c:numCache>
            </c:numRef>
          </c:val>
          <c:extLst>
            <c:ext xmlns:c16="http://schemas.microsoft.com/office/drawing/2014/chart" uri="{C3380CC4-5D6E-409C-BE32-E72D297353CC}">
              <c16:uniqueId val="{00000000-2978-4B54-8C80-4FEF426C0AB4}"/>
            </c:ext>
          </c:extLst>
        </c:ser>
        <c:ser>
          <c:idx val="1"/>
          <c:order val="1"/>
          <c:tx>
            <c:strRef>
              <c:f>'2 Carry cushion'!$E$5</c:f>
              <c:strCache>
                <c:ptCount val="1"/>
                <c:pt idx="0">
                  <c:v>of which:
pull-to-par (%)</c:v>
                </c:pt>
              </c:strCache>
            </c:strRef>
          </c:tx>
          <c:spPr>
            <a:solidFill>
              <a:schemeClr val="bg1">
                <a:lumMod val="85000"/>
              </a:schemeClr>
            </a:solidFill>
            <a:ln w="0">
              <a:noFill/>
            </a:ln>
          </c:spPr>
          <c:invertIfNegative val="0"/>
          <c:cat>
            <c:strRef>
              <c:f>'2 Carry cushion'!$A$6:$A$11</c:f>
              <c:strCache>
                <c:ptCount val="6"/>
                <c:pt idx="0">
                  <c:v>GD29</c:v>
                </c:pt>
                <c:pt idx="1">
                  <c:v>GD30</c:v>
                </c:pt>
                <c:pt idx="2">
                  <c:v>GD35</c:v>
                </c:pt>
                <c:pt idx="3">
                  <c:v>GD38</c:v>
                </c:pt>
                <c:pt idx="4">
                  <c:v>GD41</c:v>
                </c:pt>
                <c:pt idx="5">
                  <c:v>GD46</c:v>
                </c:pt>
              </c:strCache>
            </c:strRef>
          </c:cat>
          <c:val>
            <c:numRef>
              <c:f>'2 Carry cushion'!$E$6:$E$11</c:f>
              <c:numCache>
                <c:formatCode>0.00</c:formatCode>
                <c:ptCount val="6"/>
                <c:pt idx="0">
                  <c:v>1.8517881462074186</c:v>
                </c:pt>
                <c:pt idx="1">
                  <c:v>2.0837023225190965</c:v>
                </c:pt>
                <c:pt idx="2">
                  <c:v>1.5530195330678067</c:v>
                </c:pt>
                <c:pt idx="3">
                  <c:v>0.64549695172143107</c:v>
                </c:pt>
                <c:pt idx="4">
                  <c:v>1.3613595295262537</c:v>
                </c:pt>
                <c:pt idx="5">
                  <c:v>0.91927357949932631</c:v>
                </c:pt>
              </c:numCache>
            </c:numRef>
          </c:val>
          <c:extLst>
            <c:ext xmlns:c16="http://schemas.microsoft.com/office/drawing/2014/chart" uri="{C3380CC4-5D6E-409C-BE32-E72D297353CC}">
              <c16:uniqueId val="{00000001-2978-4B54-8C80-4FEF426C0AB4}"/>
            </c:ext>
          </c:extLst>
        </c:ser>
        <c:dLbls>
          <c:showLegendKey val="0"/>
          <c:showVal val="0"/>
          <c:showCatName val="0"/>
          <c:showSerName val="0"/>
          <c:showPercent val="0"/>
          <c:showBubbleSize val="0"/>
        </c:dLbls>
        <c:gapWidth val="90"/>
        <c:overlap val="100"/>
        <c:axId val="36419879"/>
        <c:axId val="54945341"/>
      </c:barChart>
      <c:catAx>
        <c:axId val="36419879"/>
        <c:scaling>
          <c:orientation val="minMax"/>
        </c:scaling>
        <c:delete val="0"/>
        <c:axPos val="b"/>
        <c:numFmt formatCode="General" sourceLinked="1"/>
        <c:majorTickMark val="none"/>
        <c:minorTickMark val="none"/>
        <c:tickLblPos val="nextTo"/>
        <c:spPr>
          <a:noFill/>
          <a:ln w="12700" cap="flat" cmpd="sng" algn="ctr">
            <a:solidFill>
              <a:schemeClr val="dk1"/>
            </a:solidFill>
            <a:prstDash val="solid"/>
            <a:miter lim="800000"/>
          </a:ln>
          <a:effectLst/>
        </c:spPr>
        <c:txPr>
          <a:bodyPr/>
          <a:lstStyle/>
          <a:p>
            <a:pPr>
              <a:defRPr>
                <a:solidFill>
                  <a:schemeClr val="tx1"/>
                </a:solidFill>
                <a:latin typeface="Frutiger 45 Light" panose="020B0603020202020204" pitchFamily="34" charset="0"/>
                <a:ea typeface="+mn-ea"/>
                <a:cs typeface="+mn-cs"/>
              </a:defRPr>
            </a:pPr>
            <a:endParaRPr lang="en-US"/>
          </a:p>
        </c:txPr>
        <c:crossAx val="54945341"/>
        <c:crosses val="autoZero"/>
        <c:auto val="1"/>
        <c:lblAlgn val="ctr"/>
        <c:lblOffset val="100"/>
        <c:noMultiLvlLbl val="0"/>
      </c:catAx>
      <c:valAx>
        <c:axId val="54945341"/>
        <c:scaling>
          <c:orientation val="minMax"/>
        </c:scaling>
        <c:delete val="0"/>
        <c:axPos val="l"/>
        <c:numFmt formatCode="0.0" sourceLinked="0"/>
        <c:majorTickMark val="none"/>
        <c:minorTickMark val="none"/>
        <c:tickLblPos val="nextTo"/>
        <c:spPr>
          <a:noFill/>
          <a:ln w="12700" cap="flat" cmpd="sng" algn="ctr">
            <a:solidFill>
              <a:schemeClr val="dk1"/>
            </a:solidFill>
            <a:prstDash val="solid"/>
            <a:miter lim="800000"/>
          </a:ln>
          <a:effectLst/>
        </c:spPr>
        <c:txPr>
          <a:bodyPr/>
          <a:lstStyle/>
          <a:p>
            <a:pPr>
              <a:defRPr>
                <a:solidFill>
                  <a:schemeClr val="tx1"/>
                </a:solidFill>
                <a:latin typeface="Frutiger 45 Light" panose="020B0603020202020204" pitchFamily="34" charset="0"/>
                <a:ea typeface="+mn-ea"/>
                <a:cs typeface="+mn-cs"/>
              </a:defRPr>
            </a:pPr>
            <a:endParaRPr lang="en-US"/>
          </a:p>
        </c:txPr>
        <c:crossAx val="36419879"/>
        <c:crosses val="autoZero"/>
        <c:crossBetween val="between"/>
      </c:valAx>
      <c:spPr>
        <a:noFill/>
        <a:ln w="0">
          <a:noFill/>
        </a:ln>
      </c:spPr>
    </c:plotArea>
    <c:legend>
      <c:legendPos val="r"/>
      <c:layout>
        <c:manualLayout>
          <c:xMode val="edge"/>
          <c:yMode val="edge"/>
          <c:x val="8.3960975988207454E-2"/>
          <c:y val="2.5931358386855449E-2"/>
          <c:w val="0.36919857248147719"/>
          <c:h val="0.3083909297656881"/>
        </c:manualLayout>
      </c:layout>
      <c:overlay val="0"/>
      <c:spPr>
        <a:noFill/>
        <a:ln w="0">
          <a:noFill/>
        </a:ln>
      </c:spPr>
    </c:legend>
    <c:plotVisOnly val="1"/>
    <c:dispBlanksAs val="gap"/>
    <c:showDLblsOverMax val="1"/>
  </c:chart>
  <c:spPr>
    <a:solidFill>
      <a:srgbClr val="FFFFFF"/>
    </a:solidFill>
    <a:ln w="9360">
      <a:noFill/>
      <a:round/>
    </a:ln>
  </c:spPr>
  <c:txPr>
    <a:bodyPr/>
    <a:lstStyle/>
    <a:p>
      <a:pPr>
        <a:defRPr sz="1200">
          <a:latin typeface="Frutiger 45 Light" panose="020B0603020202020204" pitchFamily="34" charset="0"/>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Frutiger 45 Light" panose="020B0603020202020204" pitchFamily="34" charset="0"/>
              <a:ea typeface="+mn-ea"/>
              <a:cs typeface="+mn-cs"/>
            </a:defRPr>
          </a:pPr>
          <a:endParaRPr lang="en-US"/>
        </a:p>
      </c:txPr>
    </c:title>
    <c:autoTitleDeleted val="0"/>
    <c:plotArea>
      <c:layout>
        <c:manualLayout>
          <c:layoutTarget val="inner"/>
          <c:xMode val="edge"/>
          <c:yMode val="edge"/>
          <c:x val="6.6235940492952464E-2"/>
          <c:y val="5.5972222222222236E-2"/>
          <c:w val="0.91057800693290958"/>
          <c:h val="0.64449766695829691"/>
        </c:manualLayout>
      </c:layout>
      <c:lineChart>
        <c:grouping val="standard"/>
        <c:varyColors val="0"/>
        <c:ser>
          <c:idx val="0"/>
          <c:order val="0"/>
          <c:tx>
            <c:strRef>
              <c:f>Employment!$N$7</c:f>
              <c:strCache>
                <c:ptCount val="1"/>
                <c:pt idx="0">
                  <c:v>Oil output </c:v>
                </c:pt>
              </c:strCache>
            </c:strRef>
          </c:tx>
          <c:spPr>
            <a:ln w="28575" cap="rnd">
              <a:solidFill>
                <a:schemeClr val="accent1"/>
              </a:solidFill>
              <a:round/>
            </a:ln>
            <a:effectLst/>
          </c:spPr>
          <c:marker>
            <c:symbol val="none"/>
          </c:marker>
          <c:cat>
            <c:strRef>
              <c:f>Employment!$A$8:$A$52</c:f>
              <c:strCache>
                <c:ptCount val="45"/>
                <c:pt idx="0">
                  <c:v>1Q 2015</c:v>
                </c:pt>
                <c:pt idx="1">
                  <c:v>2Q 2015</c:v>
                </c:pt>
                <c:pt idx="2">
                  <c:v>3Q 2015</c:v>
                </c:pt>
                <c:pt idx="3">
                  <c:v>4Q 2015</c:v>
                </c:pt>
                <c:pt idx="4">
                  <c:v>1Q 2016</c:v>
                </c:pt>
                <c:pt idx="5">
                  <c:v>2Q 2016</c:v>
                </c:pt>
                <c:pt idx="6">
                  <c:v>3Q 2016</c:v>
                </c:pt>
                <c:pt idx="7">
                  <c:v>4Q 2016</c:v>
                </c:pt>
                <c:pt idx="8">
                  <c:v>1Q 2017</c:v>
                </c:pt>
                <c:pt idx="9">
                  <c:v>2Q 2017</c:v>
                </c:pt>
                <c:pt idx="10">
                  <c:v>3Q 2017</c:v>
                </c:pt>
                <c:pt idx="11">
                  <c:v>4Q 2017</c:v>
                </c:pt>
                <c:pt idx="12">
                  <c:v>1Q 2018</c:v>
                </c:pt>
                <c:pt idx="13">
                  <c:v>2Q 2018</c:v>
                </c:pt>
                <c:pt idx="14">
                  <c:v>3Q 2018</c:v>
                </c:pt>
                <c:pt idx="15">
                  <c:v>4Q 2018</c:v>
                </c:pt>
                <c:pt idx="16">
                  <c:v>1Q 2019</c:v>
                </c:pt>
                <c:pt idx="17">
                  <c:v>2Q 2019</c:v>
                </c:pt>
                <c:pt idx="18">
                  <c:v>3Q 2019</c:v>
                </c:pt>
                <c:pt idx="19">
                  <c:v>4Q 2019</c:v>
                </c:pt>
                <c:pt idx="20">
                  <c:v>1Q 2020</c:v>
                </c:pt>
                <c:pt idx="21">
                  <c:v>2Q 2020</c:v>
                </c:pt>
                <c:pt idx="22">
                  <c:v>3Q 2020</c:v>
                </c:pt>
                <c:pt idx="23">
                  <c:v>4Q 2020</c:v>
                </c:pt>
                <c:pt idx="24">
                  <c:v>1Q 2021</c:v>
                </c:pt>
                <c:pt idx="25">
                  <c:v>2Q 2021</c:v>
                </c:pt>
                <c:pt idx="26">
                  <c:v>3Q 2021</c:v>
                </c:pt>
                <c:pt idx="27">
                  <c:v>4Q 2021</c:v>
                </c:pt>
                <c:pt idx="28">
                  <c:v>1Q 2022</c:v>
                </c:pt>
                <c:pt idx="29">
                  <c:v>2Q 2022</c:v>
                </c:pt>
                <c:pt idx="30">
                  <c:v>3Q 2022</c:v>
                </c:pt>
                <c:pt idx="31">
                  <c:v>4Q 2022</c:v>
                </c:pt>
                <c:pt idx="32">
                  <c:v>1Q 2023</c:v>
                </c:pt>
                <c:pt idx="33">
                  <c:v>2Q 2023</c:v>
                </c:pt>
                <c:pt idx="34">
                  <c:v>3Q 2023</c:v>
                </c:pt>
                <c:pt idx="35">
                  <c:v>4Q 2023</c:v>
                </c:pt>
                <c:pt idx="36">
                  <c:v>1Q 2024</c:v>
                </c:pt>
                <c:pt idx="37">
                  <c:v>2Q 2024</c:v>
                </c:pt>
                <c:pt idx="38">
                  <c:v>3Q 2024</c:v>
                </c:pt>
                <c:pt idx="39">
                  <c:v>4Q 2024</c:v>
                </c:pt>
                <c:pt idx="40">
                  <c:v>1Q 2025</c:v>
                </c:pt>
                <c:pt idx="41">
                  <c:v>2Q 2025</c:v>
                </c:pt>
                <c:pt idx="42">
                  <c:v>3Q 2025</c:v>
                </c:pt>
                <c:pt idx="43">
                  <c:v>4Q 2025</c:v>
                </c:pt>
                <c:pt idx="44">
                  <c:v>1Q 2026</c:v>
                </c:pt>
              </c:strCache>
            </c:strRef>
          </c:cat>
          <c:val>
            <c:numRef>
              <c:f>Employment!$N$8:$N$51</c:f>
              <c:numCache>
                <c:formatCode>General</c:formatCode>
                <c:ptCount val="44"/>
                <c:pt idx="0">
                  <c:v>100</c:v>
                </c:pt>
                <c:pt idx="1">
                  <c:v>100.83381385738173</c:v>
                </c:pt>
                <c:pt idx="2">
                  <c:v>99.705146969287043</c:v>
                </c:pt>
                <c:pt idx="3">
                  <c:v>98.046767197739243</c:v>
                </c:pt>
                <c:pt idx="4">
                  <c:v>96.260122287357916</c:v>
                </c:pt>
                <c:pt idx="5">
                  <c:v>94.660762226075988</c:v>
                </c:pt>
                <c:pt idx="6">
                  <c:v>94.18073496208838</c:v>
                </c:pt>
                <c:pt idx="7">
                  <c:v>91.610439932885853</c:v>
                </c:pt>
                <c:pt idx="8">
                  <c:v>91.272849085412005</c:v>
                </c:pt>
                <c:pt idx="9">
                  <c:v>88.436784450085284</c:v>
                </c:pt>
                <c:pt idx="10">
                  <c:v>90.930188452579614</c:v>
                </c:pt>
                <c:pt idx="11">
                  <c:v>92.679354856244885</c:v>
                </c:pt>
                <c:pt idx="12">
                  <c:v>92.410087658182576</c:v>
                </c:pt>
                <c:pt idx="13">
                  <c:v>92.416173985040373</c:v>
                </c:pt>
                <c:pt idx="14">
                  <c:v>90.95190195129878</c:v>
                </c:pt>
                <c:pt idx="15">
                  <c:v>90.649864212023317</c:v>
                </c:pt>
                <c:pt idx="16">
                  <c:v>91.92051093443294</c:v>
                </c:pt>
                <c:pt idx="17">
                  <c:v>93.379200604687114</c:v>
                </c:pt>
                <c:pt idx="18">
                  <c:v>93.915361634853724</c:v>
                </c:pt>
                <c:pt idx="19">
                  <c:v>92.443603376003239</c:v>
                </c:pt>
                <c:pt idx="20">
                  <c:v>92.729962254866507</c:v>
                </c:pt>
                <c:pt idx="21">
                  <c:v>76.241943424038269</c:v>
                </c:pt>
                <c:pt idx="22">
                  <c:v>81.997954597896879</c:v>
                </c:pt>
                <c:pt idx="23">
                  <c:v>82.283464923051028</c:v>
                </c:pt>
                <c:pt idx="24">
                  <c:v>85.517100661686669</c:v>
                </c:pt>
                <c:pt idx="25">
                  <c:v>89.957267782832105</c:v>
                </c:pt>
                <c:pt idx="26">
                  <c:v>93.306754793348517</c:v>
                </c:pt>
                <c:pt idx="27">
                  <c:v>95.554737249220594</c:v>
                </c:pt>
                <c:pt idx="28">
                  <c:v>97.536708885731386</c:v>
                </c:pt>
                <c:pt idx="29">
                  <c:v>102.43935500786463</c:v>
                </c:pt>
                <c:pt idx="30">
                  <c:v>103.93328334763309</c:v>
                </c:pt>
                <c:pt idx="31">
                  <c:v>105.2775001073614</c:v>
                </c:pt>
                <c:pt idx="32">
                  <c:v>108.01715267329092</c:v>
                </c:pt>
                <c:pt idx="33">
                  <c:v>110.23088715687254</c:v>
                </c:pt>
                <c:pt idx="34">
                  <c:v>111.7889868324709</c:v>
                </c:pt>
                <c:pt idx="35">
                  <c:v>113.36060306410589</c:v>
                </c:pt>
                <c:pt idx="36">
                  <c:v>116.72099205146387</c:v>
                </c:pt>
                <c:pt idx="37">
                  <c:v>117.84001041007413</c:v>
                </c:pt>
                <c:pt idx="38">
                  <c:v>119.40026808266877</c:v>
                </c:pt>
                <c:pt idx="39">
                  <c:v>122.43693598368675</c:v>
                </c:pt>
                <c:pt idx="40">
                  <c:v>124.13662782946895</c:v>
                </c:pt>
                <c:pt idx="41">
                  <c:v>126.2932206201308</c:v>
                </c:pt>
                <c:pt idx="42">
                  <c:v>131.54758148624654</c:v>
                </c:pt>
                <c:pt idx="43">
                  <c:v>132.63372161916277</c:v>
                </c:pt>
              </c:numCache>
            </c:numRef>
          </c:val>
          <c:smooth val="0"/>
          <c:extLst>
            <c:ext xmlns:c16="http://schemas.microsoft.com/office/drawing/2014/chart" uri="{C3380CC4-5D6E-409C-BE32-E72D297353CC}">
              <c16:uniqueId val="{00000000-D428-4F22-9136-1AC11938232C}"/>
            </c:ext>
          </c:extLst>
        </c:ser>
        <c:ser>
          <c:idx val="1"/>
          <c:order val="1"/>
          <c:tx>
            <c:strRef>
              <c:f>Employment!$O$7</c:f>
              <c:strCache>
                <c:ptCount val="1"/>
                <c:pt idx="0">
                  <c:v>Manufacturing</c:v>
                </c:pt>
              </c:strCache>
            </c:strRef>
          </c:tx>
          <c:spPr>
            <a:ln w="28575" cap="rnd">
              <a:solidFill>
                <a:schemeClr val="accent2"/>
              </a:solidFill>
              <a:round/>
            </a:ln>
            <a:effectLst/>
          </c:spPr>
          <c:marker>
            <c:symbol val="none"/>
          </c:marker>
          <c:cat>
            <c:strRef>
              <c:f>Employment!$A$8:$A$52</c:f>
              <c:strCache>
                <c:ptCount val="45"/>
                <c:pt idx="0">
                  <c:v>1Q 2015</c:v>
                </c:pt>
                <c:pt idx="1">
                  <c:v>2Q 2015</c:v>
                </c:pt>
                <c:pt idx="2">
                  <c:v>3Q 2015</c:v>
                </c:pt>
                <c:pt idx="3">
                  <c:v>4Q 2015</c:v>
                </c:pt>
                <c:pt idx="4">
                  <c:v>1Q 2016</c:v>
                </c:pt>
                <c:pt idx="5">
                  <c:v>2Q 2016</c:v>
                </c:pt>
                <c:pt idx="6">
                  <c:v>3Q 2016</c:v>
                </c:pt>
                <c:pt idx="7">
                  <c:v>4Q 2016</c:v>
                </c:pt>
                <c:pt idx="8">
                  <c:v>1Q 2017</c:v>
                </c:pt>
                <c:pt idx="9">
                  <c:v>2Q 2017</c:v>
                </c:pt>
                <c:pt idx="10">
                  <c:v>3Q 2017</c:v>
                </c:pt>
                <c:pt idx="11">
                  <c:v>4Q 2017</c:v>
                </c:pt>
                <c:pt idx="12">
                  <c:v>1Q 2018</c:v>
                </c:pt>
                <c:pt idx="13">
                  <c:v>2Q 2018</c:v>
                </c:pt>
                <c:pt idx="14">
                  <c:v>3Q 2018</c:v>
                </c:pt>
                <c:pt idx="15">
                  <c:v>4Q 2018</c:v>
                </c:pt>
                <c:pt idx="16">
                  <c:v>1Q 2019</c:v>
                </c:pt>
                <c:pt idx="17">
                  <c:v>2Q 2019</c:v>
                </c:pt>
                <c:pt idx="18">
                  <c:v>3Q 2019</c:v>
                </c:pt>
                <c:pt idx="19">
                  <c:v>4Q 2019</c:v>
                </c:pt>
                <c:pt idx="20">
                  <c:v>1Q 2020</c:v>
                </c:pt>
                <c:pt idx="21">
                  <c:v>2Q 2020</c:v>
                </c:pt>
                <c:pt idx="22">
                  <c:v>3Q 2020</c:v>
                </c:pt>
                <c:pt idx="23">
                  <c:v>4Q 2020</c:v>
                </c:pt>
                <c:pt idx="24">
                  <c:v>1Q 2021</c:v>
                </c:pt>
                <c:pt idx="25">
                  <c:v>2Q 2021</c:v>
                </c:pt>
                <c:pt idx="26">
                  <c:v>3Q 2021</c:v>
                </c:pt>
                <c:pt idx="27">
                  <c:v>4Q 2021</c:v>
                </c:pt>
                <c:pt idx="28">
                  <c:v>1Q 2022</c:v>
                </c:pt>
                <c:pt idx="29">
                  <c:v>2Q 2022</c:v>
                </c:pt>
                <c:pt idx="30">
                  <c:v>3Q 2022</c:v>
                </c:pt>
                <c:pt idx="31">
                  <c:v>4Q 2022</c:v>
                </c:pt>
                <c:pt idx="32">
                  <c:v>1Q 2023</c:v>
                </c:pt>
                <c:pt idx="33">
                  <c:v>2Q 2023</c:v>
                </c:pt>
                <c:pt idx="34">
                  <c:v>3Q 2023</c:v>
                </c:pt>
                <c:pt idx="35">
                  <c:v>4Q 2023</c:v>
                </c:pt>
                <c:pt idx="36">
                  <c:v>1Q 2024</c:v>
                </c:pt>
                <c:pt idx="37">
                  <c:v>2Q 2024</c:v>
                </c:pt>
                <c:pt idx="38">
                  <c:v>3Q 2024</c:v>
                </c:pt>
                <c:pt idx="39">
                  <c:v>4Q 2024</c:v>
                </c:pt>
                <c:pt idx="40">
                  <c:v>1Q 2025</c:v>
                </c:pt>
                <c:pt idx="41">
                  <c:v>2Q 2025</c:v>
                </c:pt>
                <c:pt idx="42">
                  <c:v>3Q 2025</c:v>
                </c:pt>
                <c:pt idx="43">
                  <c:v>4Q 2025</c:v>
                </c:pt>
                <c:pt idx="44">
                  <c:v>1Q 2026</c:v>
                </c:pt>
              </c:strCache>
            </c:strRef>
          </c:cat>
          <c:val>
            <c:numRef>
              <c:f>Employment!$O$8:$O$51</c:f>
              <c:numCache>
                <c:formatCode>General</c:formatCode>
                <c:ptCount val="44"/>
                <c:pt idx="0">
                  <c:v>100</c:v>
                </c:pt>
                <c:pt idx="1">
                  <c:v>101.91789237856905</c:v>
                </c:pt>
                <c:pt idx="2">
                  <c:v>101.27075190605683</c:v>
                </c:pt>
                <c:pt idx="3">
                  <c:v>98.889058546605753</c:v>
                </c:pt>
                <c:pt idx="4">
                  <c:v>96.910618321794161</c:v>
                </c:pt>
                <c:pt idx="5">
                  <c:v>94.158801099831464</c:v>
                </c:pt>
                <c:pt idx="6">
                  <c:v>93.874261457859419</c:v>
                </c:pt>
                <c:pt idx="7">
                  <c:v>94.84480401606784</c:v>
                </c:pt>
                <c:pt idx="8">
                  <c:v>94.692976501204058</c:v>
                </c:pt>
                <c:pt idx="9">
                  <c:v>96.881720504329039</c:v>
                </c:pt>
                <c:pt idx="10">
                  <c:v>98.464543797016532</c:v>
                </c:pt>
                <c:pt idx="11">
                  <c:v>98.899989536941774</c:v>
                </c:pt>
                <c:pt idx="12">
                  <c:v>98.100914800045629</c:v>
                </c:pt>
                <c:pt idx="13">
                  <c:v>95.286543964541053</c:v>
                </c:pt>
                <c:pt idx="14">
                  <c:v>91.169042408004628</c:v>
                </c:pt>
                <c:pt idx="15">
                  <c:v>86.839600514722108</c:v>
                </c:pt>
                <c:pt idx="16">
                  <c:v>87.39794625481106</c:v>
                </c:pt>
                <c:pt idx="17">
                  <c:v>88.442107455768536</c:v>
                </c:pt>
                <c:pt idx="18">
                  <c:v>87.194210381183751</c:v>
                </c:pt>
                <c:pt idx="19">
                  <c:v>84.836198560014793</c:v>
                </c:pt>
                <c:pt idx="20">
                  <c:v>81.863728474681622</c:v>
                </c:pt>
                <c:pt idx="21">
                  <c:v>69.718078690994687</c:v>
                </c:pt>
                <c:pt idx="22">
                  <c:v>82.751474339293509</c:v>
                </c:pt>
                <c:pt idx="23">
                  <c:v>86.597895522302295</c:v>
                </c:pt>
                <c:pt idx="24">
                  <c:v>91.613464739156669</c:v>
                </c:pt>
                <c:pt idx="25">
                  <c:v>92.694067657877966</c:v>
                </c:pt>
                <c:pt idx="26">
                  <c:v>92.958267904438856</c:v>
                </c:pt>
                <c:pt idx="27">
                  <c:v>94.324345526718346</c:v>
                </c:pt>
                <c:pt idx="28">
                  <c:v>95.818136509103198</c:v>
                </c:pt>
                <c:pt idx="29">
                  <c:v>99.390602305192473</c:v>
                </c:pt>
                <c:pt idx="30">
                  <c:v>98.208206094058809</c:v>
                </c:pt>
                <c:pt idx="31">
                  <c:v>95.789246717917791</c:v>
                </c:pt>
                <c:pt idx="32">
                  <c:v>98.665409473019835</c:v>
                </c:pt>
                <c:pt idx="33">
                  <c:v>98.114953565885045</c:v>
                </c:pt>
                <c:pt idx="34">
                  <c:v>95.054949676670958</c:v>
                </c:pt>
                <c:pt idx="35">
                  <c:v>89.816899209928337</c:v>
                </c:pt>
                <c:pt idx="36">
                  <c:v>85.159508343494323</c:v>
                </c:pt>
                <c:pt idx="37">
                  <c:v>81.95518311620053</c:v>
                </c:pt>
                <c:pt idx="38">
                  <c:v>89.087549567494278</c:v>
                </c:pt>
                <c:pt idx="39">
                  <c:v>90.674519236279565</c:v>
                </c:pt>
                <c:pt idx="40">
                  <c:v>89.521081842336841</c:v>
                </c:pt>
                <c:pt idx="41">
                  <c:v>88.328194480995222</c:v>
                </c:pt>
                <c:pt idx="42">
                  <c:v>87.066692862303299</c:v>
                </c:pt>
                <c:pt idx="43">
                  <c:v>85.97459952155026</c:v>
                </c:pt>
              </c:numCache>
            </c:numRef>
          </c:val>
          <c:smooth val="0"/>
          <c:extLst>
            <c:ext xmlns:c16="http://schemas.microsoft.com/office/drawing/2014/chart" uri="{C3380CC4-5D6E-409C-BE32-E72D297353CC}">
              <c16:uniqueId val="{00000001-D428-4F22-9136-1AC11938232C}"/>
            </c:ext>
          </c:extLst>
        </c:ser>
        <c:ser>
          <c:idx val="2"/>
          <c:order val="2"/>
          <c:tx>
            <c:strRef>
              <c:f>Employment!$P$7</c:f>
              <c:strCache>
                <c:ptCount val="1"/>
                <c:pt idx="0">
                  <c:v>Construction</c:v>
                </c:pt>
              </c:strCache>
            </c:strRef>
          </c:tx>
          <c:spPr>
            <a:ln w="28575" cap="rnd">
              <a:solidFill>
                <a:schemeClr val="accent3"/>
              </a:solidFill>
              <a:round/>
            </a:ln>
            <a:effectLst/>
          </c:spPr>
          <c:marker>
            <c:symbol val="none"/>
          </c:marker>
          <c:cat>
            <c:strRef>
              <c:f>Employment!$A$8:$A$52</c:f>
              <c:strCache>
                <c:ptCount val="45"/>
                <c:pt idx="0">
                  <c:v>1Q 2015</c:v>
                </c:pt>
                <c:pt idx="1">
                  <c:v>2Q 2015</c:v>
                </c:pt>
                <c:pt idx="2">
                  <c:v>3Q 2015</c:v>
                </c:pt>
                <c:pt idx="3">
                  <c:v>4Q 2015</c:v>
                </c:pt>
                <c:pt idx="4">
                  <c:v>1Q 2016</c:v>
                </c:pt>
                <c:pt idx="5">
                  <c:v>2Q 2016</c:v>
                </c:pt>
                <c:pt idx="6">
                  <c:v>3Q 2016</c:v>
                </c:pt>
                <c:pt idx="7">
                  <c:v>4Q 2016</c:v>
                </c:pt>
                <c:pt idx="8">
                  <c:v>1Q 2017</c:v>
                </c:pt>
                <c:pt idx="9">
                  <c:v>2Q 2017</c:v>
                </c:pt>
                <c:pt idx="10">
                  <c:v>3Q 2017</c:v>
                </c:pt>
                <c:pt idx="11">
                  <c:v>4Q 2017</c:v>
                </c:pt>
                <c:pt idx="12">
                  <c:v>1Q 2018</c:v>
                </c:pt>
                <c:pt idx="13">
                  <c:v>2Q 2018</c:v>
                </c:pt>
                <c:pt idx="14">
                  <c:v>3Q 2018</c:v>
                </c:pt>
                <c:pt idx="15">
                  <c:v>4Q 2018</c:v>
                </c:pt>
                <c:pt idx="16">
                  <c:v>1Q 2019</c:v>
                </c:pt>
                <c:pt idx="17">
                  <c:v>2Q 2019</c:v>
                </c:pt>
                <c:pt idx="18">
                  <c:v>3Q 2019</c:v>
                </c:pt>
                <c:pt idx="19">
                  <c:v>4Q 2019</c:v>
                </c:pt>
                <c:pt idx="20">
                  <c:v>1Q 2020</c:v>
                </c:pt>
                <c:pt idx="21">
                  <c:v>2Q 2020</c:v>
                </c:pt>
                <c:pt idx="22">
                  <c:v>3Q 2020</c:v>
                </c:pt>
                <c:pt idx="23">
                  <c:v>4Q 2020</c:v>
                </c:pt>
                <c:pt idx="24">
                  <c:v>1Q 2021</c:v>
                </c:pt>
                <c:pt idx="25">
                  <c:v>2Q 2021</c:v>
                </c:pt>
                <c:pt idx="26">
                  <c:v>3Q 2021</c:v>
                </c:pt>
                <c:pt idx="27">
                  <c:v>4Q 2021</c:v>
                </c:pt>
                <c:pt idx="28">
                  <c:v>1Q 2022</c:v>
                </c:pt>
                <c:pt idx="29">
                  <c:v>2Q 2022</c:v>
                </c:pt>
                <c:pt idx="30">
                  <c:v>3Q 2022</c:v>
                </c:pt>
                <c:pt idx="31">
                  <c:v>4Q 2022</c:v>
                </c:pt>
                <c:pt idx="32">
                  <c:v>1Q 2023</c:v>
                </c:pt>
                <c:pt idx="33">
                  <c:v>2Q 2023</c:v>
                </c:pt>
                <c:pt idx="34">
                  <c:v>3Q 2023</c:v>
                </c:pt>
                <c:pt idx="35">
                  <c:v>4Q 2023</c:v>
                </c:pt>
                <c:pt idx="36">
                  <c:v>1Q 2024</c:v>
                </c:pt>
                <c:pt idx="37">
                  <c:v>2Q 2024</c:v>
                </c:pt>
                <c:pt idx="38">
                  <c:v>3Q 2024</c:v>
                </c:pt>
                <c:pt idx="39">
                  <c:v>4Q 2024</c:v>
                </c:pt>
                <c:pt idx="40">
                  <c:v>1Q 2025</c:v>
                </c:pt>
                <c:pt idx="41">
                  <c:v>2Q 2025</c:v>
                </c:pt>
                <c:pt idx="42">
                  <c:v>3Q 2025</c:v>
                </c:pt>
                <c:pt idx="43">
                  <c:v>4Q 2025</c:v>
                </c:pt>
                <c:pt idx="44">
                  <c:v>1Q 2026</c:v>
                </c:pt>
              </c:strCache>
            </c:strRef>
          </c:cat>
          <c:val>
            <c:numRef>
              <c:f>Employment!$P$8:$P$51</c:f>
              <c:numCache>
                <c:formatCode>General</c:formatCode>
                <c:ptCount val="44"/>
                <c:pt idx="0">
                  <c:v>100</c:v>
                </c:pt>
                <c:pt idx="1">
                  <c:v>104.21923175465389</c:v>
                </c:pt>
                <c:pt idx="2">
                  <c:v>103.87564814599759</c:v>
                </c:pt>
                <c:pt idx="3">
                  <c:v>101.23891692118312</c:v>
                </c:pt>
                <c:pt idx="4">
                  <c:v>94.132827106873677</c:v>
                </c:pt>
                <c:pt idx="5">
                  <c:v>88.11112528451649</c:v>
                </c:pt>
                <c:pt idx="6">
                  <c:v>90.055663075855577</c:v>
                </c:pt>
                <c:pt idx="7">
                  <c:v>91.270859704335109</c:v>
                </c:pt>
                <c:pt idx="8">
                  <c:v>95.742980898201154</c:v>
                </c:pt>
                <c:pt idx="9">
                  <c:v>97.026621163382146</c:v>
                </c:pt>
                <c:pt idx="10">
                  <c:v>99.986232341106245</c:v>
                </c:pt>
                <c:pt idx="11">
                  <c:v>104.33413613678854</c:v>
                </c:pt>
                <c:pt idx="12">
                  <c:v>103.60732622719513</c:v>
                </c:pt>
                <c:pt idx="13">
                  <c:v>102.48884796948123</c:v>
                </c:pt>
                <c:pt idx="14">
                  <c:v>99.321370092090433</c:v>
                </c:pt>
                <c:pt idx="15">
                  <c:v>95.680715696891212</c:v>
                </c:pt>
                <c:pt idx="16">
                  <c:v>97.170358244010629</c:v>
                </c:pt>
                <c:pt idx="17">
                  <c:v>98.004592183344755</c:v>
                </c:pt>
                <c:pt idx="18">
                  <c:v>97.002469922541835</c:v>
                </c:pt>
                <c:pt idx="19">
                  <c:v>91.892273308578467</c:v>
                </c:pt>
                <c:pt idx="20">
                  <c:v>78.0628935690562</c:v>
                </c:pt>
                <c:pt idx="21">
                  <c:v>49.063005343393989</c:v>
                </c:pt>
                <c:pt idx="22">
                  <c:v>75.873717861248863</c:v>
                </c:pt>
                <c:pt idx="23">
                  <c:v>95.472359077237513</c:v>
                </c:pt>
                <c:pt idx="24">
                  <c:v>97.294149230353838</c:v>
                </c:pt>
                <c:pt idx="25">
                  <c:v>91.488316134117582</c:v>
                </c:pt>
                <c:pt idx="26">
                  <c:v>95.964383905656646</c:v>
                </c:pt>
                <c:pt idx="27">
                  <c:v>100.06007870655316</c:v>
                </c:pt>
                <c:pt idx="28">
                  <c:v>100.25435919917317</c:v>
                </c:pt>
                <c:pt idx="29">
                  <c:v>102.92208239946115</c:v>
                </c:pt>
                <c:pt idx="30">
                  <c:v>102.6400563299114</c:v>
                </c:pt>
                <c:pt idx="31">
                  <c:v>101.7244276282937</c:v>
                </c:pt>
                <c:pt idx="32">
                  <c:v>103.73883345333348</c:v>
                </c:pt>
                <c:pt idx="33">
                  <c:v>103.89354837070756</c:v>
                </c:pt>
                <c:pt idx="34">
                  <c:v>103.10419654573748</c:v>
                </c:pt>
                <c:pt idx="35">
                  <c:v>100.46268860104981</c:v>
                </c:pt>
                <c:pt idx="36">
                  <c:v>82.944832832042366</c:v>
                </c:pt>
                <c:pt idx="37">
                  <c:v>80.019402646003414</c:v>
                </c:pt>
                <c:pt idx="38">
                  <c:v>87.534820609445944</c:v>
                </c:pt>
                <c:pt idx="39">
                  <c:v>87.991267266957763</c:v>
                </c:pt>
                <c:pt idx="40">
                  <c:v>87.776410134884031</c:v>
                </c:pt>
                <c:pt idx="41">
                  <c:v>88.599198998966443</c:v>
                </c:pt>
                <c:pt idx="42">
                  <c:v>88.206868351604314</c:v>
                </c:pt>
                <c:pt idx="43">
                  <c:v>88.163891481634167</c:v>
                </c:pt>
              </c:numCache>
            </c:numRef>
          </c:val>
          <c:smooth val="0"/>
          <c:extLst>
            <c:ext xmlns:c16="http://schemas.microsoft.com/office/drawing/2014/chart" uri="{C3380CC4-5D6E-409C-BE32-E72D297353CC}">
              <c16:uniqueId val="{00000002-D428-4F22-9136-1AC11938232C}"/>
            </c:ext>
          </c:extLst>
        </c:ser>
        <c:dLbls>
          <c:showLegendKey val="0"/>
          <c:showVal val="0"/>
          <c:showCatName val="0"/>
          <c:showSerName val="0"/>
          <c:showPercent val="0"/>
          <c:showBubbleSize val="0"/>
        </c:dLbls>
        <c:smooth val="0"/>
        <c:axId val="379038655"/>
        <c:axId val="379041535"/>
      </c:lineChart>
      <c:catAx>
        <c:axId val="379038655"/>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Frutiger 45 Light" panose="020B0603020202020204" pitchFamily="34" charset="0"/>
                <a:ea typeface="+mn-ea"/>
                <a:cs typeface="+mn-cs"/>
              </a:defRPr>
            </a:pPr>
            <a:endParaRPr lang="en-US"/>
          </a:p>
        </c:txPr>
        <c:crossAx val="379041535"/>
        <c:crosses val="autoZero"/>
        <c:auto val="1"/>
        <c:lblAlgn val="ctr"/>
        <c:lblOffset val="100"/>
        <c:noMultiLvlLbl val="0"/>
      </c:catAx>
      <c:valAx>
        <c:axId val="379041535"/>
        <c:scaling>
          <c:orientation val="minMax"/>
          <c:min val="6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Frutiger 45 Light" panose="020B0603020202020204" pitchFamily="34" charset="0"/>
                <a:ea typeface="+mn-ea"/>
                <a:cs typeface="+mn-cs"/>
              </a:defRPr>
            </a:pPr>
            <a:endParaRPr lang="en-US"/>
          </a:p>
        </c:txPr>
        <c:crossAx val="379038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Frutiger 45 Light" panose="020B0603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latin typeface="Frutiger 45 Light" panose="020B0603020202020204" pitchFamily="34" charset="0"/>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015956245766329E-2"/>
          <c:y val="0.1115277777777778"/>
          <c:w val="0.88627333224616778"/>
          <c:h val="0.80422098279381748"/>
        </c:manualLayout>
      </c:layout>
      <c:lineChart>
        <c:grouping val="standard"/>
        <c:varyColors val="0"/>
        <c:ser>
          <c:idx val="0"/>
          <c:order val="0"/>
          <c:tx>
            <c:strRef>
              <c:f>Employment!$Q$7</c:f>
              <c:strCache>
                <c:ptCount val="1"/>
                <c:pt idx="0">
                  <c:v>Formal employment</c:v>
                </c:pt>
              </c:strCache>
            </c:strRef>
          </c:tx>
          <c:spPr>
            <a:ln w="28575" cap="rnd" cmpd="sng" algn="ctr">
              <a:solidFill>
                <a:schemeClr val="bg1">
                  <a:lumMod val="75000"/>
                </a:schemeClr>
              </a:solidFill>
              <a:prstDash val="solid"/>
              <a:round/>
              <a:headEnd type="none" w="med" len="med"/>
              <a:tailEnd type="none" w="med" len="med"/>
            </a:ln>
            <a:effectLst/>
          </c:spPr>
          <c:marker>
            <c:symbol val="none"/>
          </c:marker>
          <c:cat>
            <c:strRef>
              <c:f>Employment!$A$11:$A$51</c:f>
              <c:strCache>
                <c:ptCount val="41"/>
                <c:pt idx="0">
                  <c:v>4Q 2015</c:v>
                </c:pt>
                <c:pt idx="1">
                  <c:v>1Q 2016</c:v>
                </c:pt>
                <c:pt idx="2">
                  <c:v>2Q 2016</c:v>
                </c:pt>
                <c:pt idx="3">
                  <c:v>3Q 2016</c:v>
                </c:pt>
                <c:pt idx="4">
                  <c:v>4Q 2016</c:v>
                </c:pt>
                <c:pt idx="5">
                  <c:v>1Q 2017</c:v>
                </c:pt>
                <c:pt idx="6">
                  <c:v>2Q 2017</c:v>
                </c:pt>
                <c:pt idx="7">
                  <c:v>3Q 2017</c:v>
                </c:pt>
                <c:pt idx="8">
                  <c:v>4Q 2017</c:v>
                </c:pt>
                <c:pt idx="9">
                  <c:v>1Q 2018</c:v>
                </c:pt>
                <c:pt idx="10">
                  <c:v>2Q 2018</c:v>
                </c:pt>
                <c:pt idx="11">
                  <c:v>3Q 2018</c:v>
                </c:pt>
                <c:pt idx="12">
                  <c:v>4Q 2018</c:v>
                </c:pt>
                <c:pt idx="13">
                  <c:v>1Q 2019</c:v>
                </c:pt>
                <c:pt idx="14">
                  <c:v>2Q 2019</c:v>
                </c:pt>
                <c:pt idx="15">
                  <c:v>3Q 2019</c:v>
                </c:pt>
                <c:pt idx="16">
                  <c:v>4Q 2019</c:v>
                </c:pt>
                <c:pt idx="17">
                  <c:v>1Q 2020</c:v>
                </c:pt>
                <c:pt idx="18">
                  <c:v>2Q 2020</c:v>
                </c:pt>
                <c:pt idx="19">
                  <c:v>3Q 2020</c:v>
                </c:pt>
                <c:pt idx="20">
                  <c:v>4Q 2020</c:v>
                </c:pt>
                <c:pt idx="21">
                  <c:v>1Q 2021</c:v>
                </c:pt>
                <c:pt idx="22">
                  <c:v>2Q 2021</c:v>
                </c:pt>
                <c:pt idx="23">
                  <c:v>3Q 2021</c:v>
                </c:pt>
                <c:pt idx="24">
                  <c:v>4Q 2021</c:v>
                </c:pt>
                <c:pt idx="25">
                  <c:v>1Q 2022</c:v>
                </c:pt>
                <c:pt idx="26">
                  <c:v>2Q 2022</c:v>
                </c:pt>
                <c:pt idx="27">
                  <c:v>3Q 2022</c:v>
                </c:pt>
                <c:pt idx="28">
                  <c:v>4Q 2022</c:v>
                </c:pt>
                <c:pt idx="29">
                  <c:v>1Q 2023</c:v>
                </c:pt>
                <c:pt idx="30">
                  <c:v>2Q 2023</c:v>
                </c:pt>
                <c:pt idx="31">
                  <c:v>3Q 2023</c:v>
                </c:pt>
                <c:pt idx="32">
                  <c:v>4Q 2023</c:v>
                </c:pt>
                <c:pt idx="33">
                  <c:v>1Q 2024</c:v>
                </c:pt>
                <c:pt idx="34">
                  <c:v>2Q 2024</c:v>
                </c:pt>
                <c:pt idx="35">
                  <c:v>3Q 2024</c:v>
                </c:pt>
                <c:pt idx="36">
                  <c:v>4Q 2024</c:v>
                </c:pt>
                <c:pt idx="37">
                  <c:v>1Q 2025</c:v>
                </c:pt>
                <c:pt idx="38">
                  <c:v>2Q 2025</c:v>
                </c:pt>
                <c:pt idx="39">
                  <c:v>3Q 2025</c:v>
                </c:pt>
                <c:pt idx="40">
                  <c:v>4Q 2025</c:v>
                </c:pt>
              </c:strCache>
            </c:strRef>
          </c:cat>
          <c:val>
            <c:numRef>
              <c:f>Employment!$Q$11:$Q$51</c:f>
              <c:numCache>
                <c:formatCode>General</c:formatCode>
                <c:ptCount val="41"/>
                <c:pt idx="0">
                  <c:v>100</c:v>
                </c:pt>
                <c:pt idx="1">
                  <c:v>99.505174905149573</c:v>
                </c:pt>
                <c:pt idx="2">
                  <c:v>99.018598661022338</c:v>
                </c:pt>
                <c:pt idx="3">
                  <c:v>98.86448893980473</c:v>
                </c:pt>
                <c:pt idx="4">
                  <c:v>99.131100876482009</c:v>
                </c:pt>
                <c:pt idx="5">
                  <c:v>99.523337512246513</c:v>
                </c:pt>
                <c:pt idx="6">
                  <c:v>99.774450690867738</c:v>
                </c:pt>
                <c:pt idx="7">
                  <c:v>100.30495017315775</c:v>
                </c:pt>
                <c:pt idx="8">
                  <c:v>100.93501101335087</c:v>
                </c:pt>
                <c:pt idx="9">
                  <c:v>101.14403235002491</c:v>
                </c:pt>
                <c:pt idx="10">
                  <c:v>100.87858584730303</c:v>
                </c:pt>
                <c:pt idx="11">
                  <c:v>100.13372219475127</c:v>
                </c:pt>
                <c:pt idx="12">
                  <c:v>99.360540010634196</c:v>
                </c:pt>
                <c:pt idx="13">
                  <c:v>98.90048117286851</c:v>
                </c:pt>
                <c:pt idx="14">
                  <c:v>98.415690918439154</c:v>
                </c:pt>
                <c:pt idx="15">
                  <c:v>97.945733459805624</c:v>
                </c:pt>
                <c:pt idx="16">
                  <c:v>96.934938968342735</c:v>
                </c:pt>
                <c:pt idx="17">
                  <c:v>95.963784366868921</c:v>
                </c:pt>
                <c:pt idx="18">
                  <c:v>93.03848459682267</c:v>
                </c:pt>
                <c:pt idx="19">
                  <c:v>92.821517119543699</c:v>
                </c:pt>
                <c:pt idx="20">
                  <c:v>93.217507360774903</c:v>
                </c:pt>
                <c:pt idx="21">
                  <c:v>93.930646992930662</c:v>
                </c:pt>
                <c:pt idx="22">
                  <c:v>94.831391220891959</c:v>
                </c:pt>
                <c:pt idx="23">
                  <c:v>95.313381406727217</c:v>
                </c:pt>
                <c:pt idx="24">
                  <c:v>96.574729063092519</c:v>
                </c:pt>
                <c:pt idx="25">
                  <c:v>97.971130838729508</c:v>
                </c:pt>
                <c:pt idx="26">
                  <c:v>99.315496745033769</c:v>
                </c:pt>
                <c:pt idx="27">
                  <c:v>100.3594379944486</c:v>
                </c:pt>
                <c:pt idx="28">
                  <c:v>101.2336042740247</c:v>
                </c:pt>
                <c:pt idx="29">
                  <c:v>102.18481027870369</c:v>
                </c:pt>
                <c:pt idx="30">
                  <c:v>102.99690584852597</c:v>
                </c:pt>
                <c:pt idx="31">
                  <c:v>103.48558592797528</c:v>
                </c:pt>
                <c:pt idx="32">
                  <c:v>102.96668024321546</c:v>
                </c:pt>
                <c:pt idx="33">
                  <c:v>101.82326844893304</c:v>
                </c:pt>
                <c:pt idx="34">
                  <c:v>100.84948026943017</c:v>
                </c:pt>
                <c:pt idx="35">
                  <c:v>100.71690837312836</c:v>
                </c:pt>
                <c:pt idx="36">
                  <c:v>101.14491020936794</c:v>
                </c:pt>
                <c:pt idx="37">
                  <c:v>101.24713541631192</c:v>
                </c:pt>
                <c:pt idx="38">
                  <c:v>101.23980983144949</c:v>
                </c:pt>
                <c:pt idx="39">
                  <c:v>100.72323501460048</c:v>
                </c:pt>
                <c:pt idx="40">
                  <c:v>100.03270782828042</c:v>
                </c:pt>
              </c:numCache>
            </c:numRef>
          </c:val>
          <c:smooth val="0"/>
          <c:extLst>
            <c:ext xmlns:c16="http://schemas.microsoft.com/office/drawing/2014/chart" uri="{C3380CC4-5D6E-409C-BE32-E72D297353CC}">
              <c16:uniqueId val="{00000000-8585-4C24-8FB7-73FD1506ED8C}"/>
            </c:ext>
          </c:extLst>
        </c:ser>
        <c:ser>
          <c:idx val="1"/>
          <c:order val="1"/>
          <c:tx>
            <c:strRef>
              <c:f>Employment!$R$7</c:f>
              <c:strCache>
                <c:ptCount val="1"/>
                <c:pt idx="0">
                  <c:v>Oil &amp; mining </c:v>
                </c:pt>
              </c:strCache>
            </c:strRef>
          </c:tx>
          <c:spPr>
            <a:ln w="28575" cap="rnd" cmpd="sng" algn="ctr">
              <a:solidFill>
                <a:schemeClr val="accent1">
                  <a:lumMod val="75000"/>
                </a:schemeClr>
              </a:solidFill>
              <a:prstDash val="solid"/>
              <a:round/>
              <a:headEnd type="none" w="med" len="med"/>
              <a:tailEnd type="none" w="med" len="med"/>
            </a:ln>
            <a:effectLst/>
          </c:spPr>
          <c:marker>
            <c:symbol val="none"/>
          </c:marker>
          <c:cat>
            <c:strRef>
              <c:f>Employment!$A$11:$A$51</c:f>
              <c:strCache>
                <c:ptCount val="41"/>
                <c:pt idx="0">
                  <c:v>4Q 2015</c:v>
                </c:pt>
                <c:pt idx="1">
                  <c:v>1Q 2016</c:v>
                </c:pt>
                <c:pt idx="2">
                  <c:v>2Q 2016</c:v>
                </c:pt>
                <c:pt idx="3">
                  <c:v>3Q 2016</c:v>
                </c:pt>
                <c:pt idx="4">
                  <c:v>4Q 2016</c:v>
                </c:pt>
                <c:pt idx="5">
                  <c:v>1Q 2017</c:v>
                </c:pt>
                <c:pt idx="6">
                  <c:v>2Q 2017</c:v>
                </c:pt>
                <c:pt idx="7">
                  <c:v>3Q 2017</c:v>
                </c:pt>
                <c:pt idx="8">
                  <c:v>4Q 2017</c:v>
                </c:pt>
                <c:pt idx="9">
                  <c:v>1Q 2018</c:v>
                </c:pt>
                <c:pt idx="10">
                  <c:v>2Q 2018</c:v>
                </c:pt>
                <c:pt idx="11">
                  <c:v>3Q 2018</c:v>
                </c:pt>
                <c:pt idx="12">
                  <c:v>4Q 2018</c:v>
                </c:pt>
                <c:pt idx="13">
                  <c:v>1Q 2019</c:v>
                </c:pt>
                <c:pt idx="14">
                  <c:v>2Q 2019</c:v>
                </c:pt>
                <c:pt idx="15">
                  <c:v>3Q 2019</c:v>
                </c:pt>
                <c:pt idx="16">
                  <c:v>4Q 2019</c:v>
                </c:pt>
                <c:pt idx="17">
                  <c:v>1Q 2020</c:v>
                </c:pt>
                <c:pt idx="18">
                  <c:v>2Q 2020</c:v>
                </c:pt>
                <c:pt idx="19">
                  <c:v>3Q 2020</c:v>
                </c:pt>
                <c:pt idx="20">
                  <c:v>4Q 2020</c:v>
                </c:pt>
                <c:pt idx="21">
                  <c:v>1Q 2021</c:v>
                </c:pt>
                <c:pt idx="22">
                  <c:v>2Q 2021</c:v>
                </c:pt>
                <c:pt idx="23">
                  <c:v>3Q 2021</c:v>
                </c:pt>
                <c:pt idx="24">
                  <c:v>4Q 2021</c:v>
                </c:pt>
                <c:pt idx="25">
                  <c:v>1Q 2022</c:v>
                </c:pt>
                <c:pt idx="26">
                  <c:v>2Q 2022</c:v>
                </c:pt>
                <c:pt idx="27">
                  <c:v>3Q 2022</c:v>
                </c:pt>
                <c:pt idx="28">
                  <c:v>4Q 2022</c:v>
                </c:pt>
                <c:pt idx="29">
                  <c:v>1Q 2023</c:v>
                </c:pt>
                <c:pt idx="30">
                  <c:v>2Q 2023</c:v>
                </c:pt>
                <c:pt idx="31">
                  <c:v>3Q 2023</c:v>
                </c:pt>
                <c:pt idx="32">
                  <c:v>4Q 2023</c:v>
                </c:pt>
                <c:pt idx="33">
                  <c:v>1Q 2024</c:v>
                </c:pt>
                <c:pt idx="34">
                  <c:v>2Q 2024</c:v>
                </c:pt>
                <c:pt idx="35">
                  <c:v>3Q 2024</c:v>
                </c:pt>
                <c:pt idx="36">
                  <c:v>4Q 2024</c:v>
                </c:pt>
                <c:pt idx="37">
                  <c:v>1Q 2025</c:v>
                </c:pt>
                <c:pt idx="38">
                  <c:v>2Q 2025</c:v>
                </c:pt>
                <c:pt idx="39">
                  <c:v>3Q 2025</c:v>
                </c:pt>
                <c:pt idx="40">
                  <c:v>4Q 2025</c:v>
                </c:pt>
              </c:strCache>
            </c:strRef>
          </c:cat>
          <c:val>
            <c:numRef>
              <c:f>Employment!$R$11:$R$51</c:f>
              <c:numCache>
                <c:formatCode>General</c:formatCode>
                <c:ptCount val="41"/>
                <c:pt idx="0">
                  <c:v>100</c:v>
                </c:pt>
                <c:pt idx="1">
                  <c:v>98.570135948792995</c:v>
                </c:pt>
                <c:pt idx="2">
                  <c:v>95.930472860510065</c:v>
                </c:pt>
                <c:pt idx="3">
                  <c:v>94.575453255733422</c:v>
                </c:pt>
                <c:pt idx="4">
                  <c:v>93.908555725600152</c:v>
                </c:pt>
                <c:pt idx="5">
                  <c:v>92.295490342832238</c:v>
                </c:pt>
                <c:pt idx="6">
                  <c:v>90.743864431014643</c:v>
                </c:pt>
                <c:pt idx="7">
                  <c:v>90.661200415554248</c:v>
                </c:pt>
                <c:pt idx="8">
                  <c:v>90.835465096795105</c:v>
                </c:pt>
                <c:pt idx="9">
                  <c:v>91.196282353466856</c:v>
                </c:pt>
                <c:pt idx="10">
                  <c:v>94.923982618215135</c:v>
                </c:pt>
                <c:pt idx="11">
                  <c:v>95.355175996157243</c:v>
                </c:pt>
                <c:pt idx="12">
                  <c:v>96.865469900244634</c:v>
                </c:pt>
                <c:pt idx="13">
                  <c:v>98.552262648152904</c:v>
                </c:pt>
                <c:pt idx="14">
                  <c:v>99.912867659379572</c:v>
                </c:pt>
                <c:pt idx="15">
                  <c:v>101.03106603067505</c:v>
                </c:pt>
                <c:pt idx="16">
                  <c:v>100.71716618818351</c:v>
                </c:pt>
                <c:pt idx="17">
                  <c:v>99.814564505859096</c:v>
                </c:pt>
                <c:pt idx="18">
                  <c:v>97.22405299433639</c:v>
                </c:pt>
                <c:pt idx="19">
                  <c:v>94.212401836481646</c:v>
                </c:pt>
                <c:pt idx="20">
                  <c:v>92.585931478233675</c:v>
                </c:pt>
                <c:pt idx="21">
                  <c:v>94.413476468682617</c:v>
                </c:pt>
                <c:pt idx="22">
                  <c:v>95.163038014276296</c:v>
                </c:pt>
                <c:pt idx="23">
                  <c:v>95.934941185670084</c:v>
                </c:pt>
                <c:pt idx="24">
                  <c:v>96.976060947955176</c:v>
                </c:pt>
                <c:pt idx="25">
                  <c:v>98.947709424814846</c:v>
                </c:pt>
                <c:pt idx="26">
                  <c:v>100.27256783476133</c:v>
                </c:pt>
                <c:pt idx="27">
                  <c:v>102.41066142383181</c:v>
                </c:pt>
                <c:pt idx="28">
                  <c:v>104.48731554195199</c:v>
                </c:pt>
                <c:pt idx="29">
                  <c:v>106.5930137736123</c:v>
                </c:pt>
                <c:pt idx="30">
                  <c:v>107.96255543515902</c:v>
                </c:pt>
                <c:pt idx="31">
                  <c:v>109.6348261262972</c:v>
                </c:pt>
                <c:pt idx="32">
                  <c:v>110.76419531049275</c:v>
                </c:pt>
                <c:pt idx="33">
                  <c:v>112.37167528681063</c:v>
                </c:pt>
                <c:pt idx="34">
                  <c:v>112.02314592432892</c:v>
                </c:pt>
                <c:pt idx="35">
                  <c:v>111.72823646376746</c:v>
                </c:pt>
                <c:pt idx="36">
                  <c:v>110.9797919994638</c:v>
                </c:pt>
                <c:pt idx="37">
                  <c:v>109.35890704766587</c:v>
                </c:pt>
                <c:pt idx="38">
                  <c:v>105.62115305130754</c:v>
                </c:pt>
                <c:pt idx="39">
                  <c:v>103.25740904165596</c:v>
                </c:pt>
                <c:pt idx="40">
                  <c:v>101.80185212077883</c:v>
                </c:pt>
              </c:numCache>
            </c:numRef>
          </c:val>
          <c:smooth val="0"/>
          <c:extLst>
            <c:ext xmlns:c16="http://schemas.microsoft.com/office/drawing/2014/chart" uri="{C3380CC4-5D6E-409C-BE32-E72D297353CC}">
              <c16:uniqueId val="{00000001-8585-4C24-8FB7-73FD1506ED8C}"/>
            </c:ext>
          </c:extLst>
        </c:ser>
        <c:ser>
          <c:idx val="2"/>
          <c:order val="2"/>
          <c:tx>
            <c:strRef>
              <c:f>Employment!$S$7</c:f>
              <c:strCache>
                <c:ptCount val="1"/>
                <c:pt idx="0">
                  <c:v>Manufacturing</c:v>
                </c:pt>
              </c:strCache>
            </c:strRef>
          </c:tx>
          <c:spPr>
            <a:ln w="28575" cap="rnd" cmpd="sng" algn="ctr">
              <a:solidFill>
                <a:srgbClr val="BD000C"/>
              </a:solidFill>
              <a:prstDash val="solid"/>
              <a:round/>
              <a:headEnd type="none" w="med" len="med"/>
              <a:tailEnd type="none" w="med" len="med"/>
            </a:ln>
            <a:effectLst/>
          </c:spPr>
          <c:marker>
            <c:symbol val="none"/>
          </c:marker>
          <c:cat>
            <c:strRef>
              <c:f>Employment!$A$11:$A$51</c:f>
              <c:strCache>
                <c:ptCount val="41"/>
                <c:pt idx="0">
                  <c:v>4Q 2015</c:v>
                </c:pt>
                <c:pt idx="1">
                  <c:v>1Q 2016</c:v>
                </c:pt>
                <c:pt idx="2">
                  <c:v>2Q 2016</c:v>
                </c:pt>
                <c:pt idx="3">
                  <c:v>3Q 2016</c:v>
                </c:pt>
                <c:pt idx="4">
                  <c:v>4Q 2016</c:v>
                </c:pt>
                <c:pt idx="5">
                  <c:v>1Q 2017</c:v>
                </c:pt>
                <c:pt idx="6">
                  <c:v>2Q 2017</c:v>
                </c:pt>
                <c:pt idx="7">
                  <c:v>3Q 2017</c:v>
                </c:pt>
                <c:pt idx="8">
                  <c:v>4Q 2017</c:v>
                </c:pt>
                <c:pt idx="9">
                  <c:v>1Q 2018</c:v>
                </c:pt>
                <c:pt idx="10">
                  <c:v>2Q 2018</c:v>
                </c:pt>
                <c:pt idx="11">
                  <c:v>3Q 2018</c:v>
                </c:pt>
                <c:pt idx="12">
                  <c:v>4Q 2018</c:v>
                </c:pt>
                <c:pt idx="13">
                  <c:v>1Q 2019</c:v>
                </c:pt>
                <c:pt idx="14">
                  <c:v>2Q 2019</c:v>
                </c:pt>
                <c:pt idx="15">
                  <c:v>3Q 2019</c:v>
                </c:pt>
                <c:pt idx="16">
                  <c:v>4Q 2019</c:v>
                </c:pt>
                <c:pt idx="17">
                  <c:v>1Q 2020</c:v>
                </c:pt>
                <c:pt idx="18">
                  <c:v>2Q 2020</c:v>
                </c:pt>
                <c:pt idx="19">
                  <c:v>3Q 2020</c:v>
                </c:pt>
                <c:pt idx="20">
                  <c:v>4Q 2020</c:v>
                </c:pt>
                <c:pt idx="21">
                  <c:v>1Q 2021</c:v>
                </c:pt>
                <c:pt idx="22">
                  <c:v>2Q 2021</c:v>
                </c:pt>
                <c:pt idx="23">
                  <c:v>3Q 2021</c:v>
                </c:pt>
                <c:pt idx="24">
                  <c:v>4Q 2021</c:v>
                </c:pt>
                <c:pt idx="25">
                  <c:v>1Q 2022</c:v>
                </c:pt>
                <c:pt idx="26">
                  <c:v>2Q 2022</c:v>
                </c:pt>
                <c:pt idx="27">
                  <c:v>3Q 2022</c:v>
                </c:pt>
                <c:pt idx="28">
                  <c:v>4Q 2022</c:v>
                </c:pt>
                <c:pt idx="29">
                  <c:v>1Q 2023</c:v>
                </c:pt>
                <c:pt idx="30">
                  <c:v>2Q 2023</c:v>
                </c:pt>
                <c:pt idx="31">
                  <c:v>3Q 2023</c:v>
                </c:pt>
                <c:pt idx="32">
                  <c:v>4Q 2023</c:v>
                </c:pt>
                <c:pt idx="33">
                  <c:v>1Q 2024</c:v>
                </c:pt>
                <c:pt idx="34">
                  <c:v>2Q 2024</c:v>
                </c:pt>
                <c:pt idx="35">
                  <c:v>3Q 2024</c:v>
                </c:pt>
                <c:pt idx="36">
                  <c:v>4Q 2024</c:v>
                </c:pt>
                <c:pt idx="37">
                  <c:v>1Q 2025</c:v>
                </c:pt>
                <c:pt idx="38">
                  <c:v>2Q 2025</c:v>
                </c:pt>
                <c:pt idx="39">
                  <c:v>3Q 2025</c:v>
                </c:pt>
                <c:pt idx="40">
                  <c:v>4Q 2025</c:v>
                </c:pt>
              </c:strCache>
            </c:strRef>
          </c:cat>
          <c:val>
            <c:numRef>
              <c:f>Employment!$S$11:$S$51</c:f>
              <c:numCache>
                <c:formatCode>General</c:formatCode>
                <c:ptCount val="41"/>
                <c:pt idx="0">
                  <c:v>100</c:v>
                </c:pt>
                <c:pt idx="1">
                  <c:v>99.276495953962339</c:v>
                </c:pt>
                <c:pt idx="2">
                  <c:v>98.309149676394128</c:v>
                </c:pt>
                <c:pt idx="3">
                  <c:v>97.554403585506776</c:v>
                </c:pt>
                <c:pt idx="4">
                  <c:v>97.079138799534064</c:v>
                </c:pt>
                <c:pt idx="5">
                  <c:v>96.655172679796038</c:v>
                </c:pt>
                <c:pt idx="6">
                  <c:v>96.380319825970247</c:v>
                </c:pt>
                <c:pt idx="7">
                  <c:v>95.943008338926049</c:v>
                </c:pt>
                <c:pt idx="8">
                  <c:v>96.07515061751252</c:v>
                </c:pt>
                <c:pt idx="9">
                  <c:v>95.822822892319081</c:v>
                </c:pt>
                <c:pt idx="10">
                  <c:v>94.866276333958183</c:v>
                </c:pt>
                <c:pt idx="11">
                  <c:v>93.495406262294324</c:v>
                </c:pt>
                <c:pt idx="12">
                  <c:v>92.105250977760292</c:v>
                </c:pt>
                <c:pt idx="13">
                  <c:v>91.138058981895043</c:v>
                </c:pt>
                <c:pt idx="14">
                  <c:v>90.421883316748051</c:v>
                </c:pt>
                <c:pt idx="15">
                  <c:v>89.698842115819275</c:v>
                </c:pt>
                <c:pt idx="16">
                  <c:v>88.614010321445917</c:v>
                </c:pt>
                <c:pt idx="17">
                  <c:v>87.867672583369966</c:v>
                </c:pt>
                <c:pt idx="18">
                  <c:v>87.369959809616375</c:v>
                </c:pt>
                <c:pt idx="19">
                  <c:v>88.005986130074916</c:v>
                </c:pt>
                <c:pt idx="20">
                  <c:v>89.00226022694838</c:v>
                </c:pt>
                <c:pt idx="21">
                  <c:v>89.806993589595237</c:v>
                </c:pt>
                <c:pt idx="22">
                  <c:v>90.645823208596582</c:v>
                </c:pt>
                <c:pt idx="23">
                  <c:v>90.998588322417902</c:v>
                </c:pt>
                <c:pt idx="24">
                  <c:v>91.850917590428367</c:v>
                </c:pt>
                <c:pt idx="25">
                  <c:v>93.099056567386398</c:v>
                </c:pt>
                <c:pt idx="26">
                  <c:v>94.517213981007913</c:v>
                </c:pt>
                <c:pt idx="27">
                  <c:v>95.458332369072679</c:v>
                </c:pt>
                <c:pt idx="28">
                  <c:v>96.219481150632944</c:v>
                </c:pt>
                <c:pt idx="29">
                  <c:v>97.097112617929085</c:v>
                </c:pt>
                <c:pt idx="30">
                  <c:v>97.899994600140388</c:v>
                </c:pt>
                <c:pt idx="31">
                  <c:v>98.450934561415693</c:v>
                </c:pt>
                <c:pt idx="32">
                  <c:v>98.133808520978448</c:v>
                </c:pt>
                <c:pt idx="33">
                  <c:v>97.184821766062655</c:v>
                </c:pt>
                <c:pt idx="34">
                  <c:v>95.989138568111514</c:v>
                </c:pt>
                <c:pt idx="35">
                  <c:v>95.670623992347629</c:v>
                </c:pt>
                <c:pt idx="36">
                  <c:v>96.041902910524328</c:v>
                </c:pt>
                <c:pt idx="37">
                  <c:v>95.826911357447557</c:v>
                </c:pt>
                <c:pt idx="38">
                  <c:v>95.328890020288043</c:v>
                </c:pt>
                <c:pt idx="39">
                  <c:v>94.531870742789266</c:v>
                </c:pt>
                <c:pt idx="40">
                  <c:v>93.242538551140527</c:v>
                </c:pt>
              </c:numCache>
            </c:numRef>
          </c:val>
          <c:smooth val="0"/>
          <c:extLst>
            <c:ext xmlns:c16="http://schemas.microsoft.com/office/drawing/2014/chart" uri="{C3380CC4-5D6E-409C-BE32-E72D297353CC}">
              <c16:uniqueId val="{00000002-8585-4C24-8FB7-73FD1506ED8C}"/>
            </c:ext>
          </c:extLst>
        </c:ser>
        <c:ser>
          <c:idx val="3"/>
          <c:order val="3"/>
          <c:tx>
            <c:strRef>
              <c:f>Employment!$T$7</c:f>
              <c:strCache>
                <c:ptCount val="1"/>
                <c:pt idx="0">
                  <c:v>Construction</c:v>
                </c:pt>
              </c:strCache>
            </c:strRef>
          </c:tx>
          <c:spPr>
            <a:ln w="28575" cap="rnd">
              <a:solidFill>
                <a:schemeClr val="tx1"/>
              </a:solidFill>
              <a:prstDash val="sysDash"/>
              <a:round/>
            </a:ln>
            <a:effectLst/>
          </c:spPr>
          <c:marker>
            <c:symbol val="none"/>
          </c:marker>
          <c:cat>
            <c:strRef>
              <c:f>Employment!$A$11:$A$51</c:f>
              <c:strCache>
                <c:ptCount val="41"/>
                <c:pt idx="0">
                  <c:v>4Q 2015</c:v>
                </c:pt>
                <c:pt idx="1">
                  <c:v>1Q 2016</c:v>
                </c:pt>
                <c:pt idx="2">
                  <c:v>2Q 2016</c:v>
                </c:pt>
                <c:pt idx="3">
                  <c:v>3Q 2016</c:v>
                </c:pt>
                <c:pt idx="4">
                  <c:v>4Q 2016</c:v>
                </c:pt>
                <c:pt idx="5">
                  <c:v>1Q 2017</c:v>
                </c:pt>
                <c:pt idx="6">
                  <c:v>2Q 2017</c:v>
                </c:pt>
                <c:pt idx="7">
                  <c:v>3Q 2017</c:v>
                </c:pt>
                <c:pt idx="8">
                  <c:v>4Q 2017</c:v>
                </c:pt>
                <c:pt idx="9">
                  <c:v>1Q 2018</c:v>
                </c:pt>
                <c:pt idx="10">
                  <c:v>2Q 2018</c:v>
                </c:pt>
                <c:pt idx="11">
                  <c:v>3Q 2018</c:v>
                </c:pt>
                <c:pt idx="12">
                  <c:v>4Q 2018</c:v>
                </c:pt>
                <c:pt idx="13">
                  <c:v>1Q 2019</c:v>
                </c:pt>
                <c:pt idx="14">
                  <c:v>2Q 2019</c:v>
                </c:pt>
                <c:pt idx="15">
                  <c:v>3Q 2019</c:v>
                </c:pt>
                <c:pt idx="16">
                  <c:v>4Q 2019</c:v>
                </c:pt>
                <c:pt idx="17">
                  <c:v>1Q 2020</c:v>
                </c:pt>
                <c:pt idx="18">
                  <c:v>2Q 2020</c:v>
                </c:pt>
                <c:pt idx="19">
                  <c:v>3Q 2020</c:v>
                </c:pt>
                <c:pt idx="20">
                  <c:v>4Q 2020</c:v>
                </c:pt>
                <c:pt idx="21">
                  <c:v>1Q 2021</c:v>
                </c:pt>
                <c:pt idx="22">
                  <c:v>2Q 2021</c:v>
                </c:pt>
                <c:pt idx="23">
                  <c:v>3Q 2021</c:v>
                </c:pt>
                <c:pt idx="24">
                  <c:v>4Q 2021</c:v>
                </c:pt>
                <c:pt idx="25">
                  <c:v>1Q 2022</c:v>
                </c:pt>
                <c:pt idx="26">
                  <c:v>2Q 2022</c:v>
                </c:pt>
                <c:pt idx="27">
                  <c:v>3Q 2022</c:v>
                </c:pt>
                <c:pt idx="28">
                  <c:v>4Q 2022</c:v>
                </c:pt>
                <c:pt idx="29">
                  <c:v>1Q 2023</c:v>
                </c:pt>
                <c:pt idx="30">
                  <c:v>2Q 2023</c:v>
                </c:pt>
                <c:pt idx="31">
                  <c:v>3Q 2023</c:v>
                </c:pt>
                <c:pt idx="32">
                  <c:v>4Q 2023</c:v>
                </c:pt>
                <c:pt idx="33">
                  <c:v>1Q 2024</c:v>
                </c:pt>
                <c:pt idx="34">
                  <c:v>2Q 2024</c:v>
                </c:pt>
                <c:pt idx="35">
                  <c:v>3Q 2024</c:v>
                </c:pt>
                <c:pt idx="36">
                  <c:v>4Q 2024</c:v>
                </c:pt>
                <c:pt idx="37">
                  <c:v>1Q 2025</c:v>
                </c:pt>
                <c:pt idx="38">
                  <c:v>2Q 2025</c:v>
                </c:pt>
                <c:pt idx="39">
                  <c:v>3Q 2025</c:v>
                </c:pt>
                <c:pt idx="40">
                  <c:v>4Q 2025</c:v>
                </c:pt>
              </c:strCache>
            </c:strRef>
          </c:cat>
          <c:val>
            <c:numRef>
              <c:f>Employment!$T$11:$T$51</c:f>
              <c:numCache>
                <c:formatCode>General</c:formatCode>
                <c:ptCount val="41"/>
                <c:pt idx="0">
                  <c:v>100</c:v>
                </c:pt>
                <c:pt idx="1">
                  <c:v>94.19552843352426</c:v>
                </c:pt>
                <c:pt idx="2">
                  <c:v>91.983833841871416</c:v>
                </c:pt>
                <c:pt idx="3">
                  <c:v>92.272897596488406</c:v>
                </c:pt>
                <c:pt idx="4">
                  <c:v>94.179023250004462</c:v>
                </c:pt>
                <c:pt idx="5">
                  <c:v>97.417161822172261</c:v>
                </c:pt>
                <c:pt idx="6">
                  <c:v>99.836732508966335</c:v>
                </c:pt>
                <c:pt idx="7">
                  <c:v>102.76528736862767</c:v>
                </c:pt>
                <c:pt idx="8">
                  <c:v>105.41682279678103</c:v>
                </c:pt>
                <c:pt idx="9">
                  <c:v>106.43501418553612</c:v>
                </c:pt>
                <c:pt idx="10">
                  <c:v>106.1417126135289</c:v>
                </c:pt>
                <c:pt idx="11">
                  <c:v>104.33662544831648</c:v>
                </c:pt>
                <c:pt idx="12">
                  <c:v>102.54046000392556</c:v>
                </c:pt>
                <c:pt idx="13">
                  <c:v>104.85520047106687</c:v>
                </c:pt>
                <c:pt idx="14">
                  <c:v>103.77076530521208</c:v>
                </c:pt>
                <c:pt idx="15">
                  <c:v>100.98205841942793</c:v>
                </c:pt>
                <c:pt idx="16">
                  <c:v>94.008618382313585</c:v>
                </c:pt>
                <c:pt idx="17">
                  <c:v>87.808022411362714</c:v>
                </c:pt>
                <c:pt idx="18">
                  <c:v>74.727664471923347</c:v>
                </c:pt>
                <c:pt idx="19">
                  <c:v>73.63497671430865</c:v>
                </c:pt>
                <c:pt idx="20">
                  <c:v>77.231545420480714</c:v>
                </c:pt>
                <c:pt idx="21">
                  <c:v>81.28557536177577</c:v>
                </c:pt>
                <c:pt idx="22">
                  <c:v>84.148778616419534</c:v>
                </c:pt>
                <c:pt idx="23">
                  <c:v>87.494200881466028</c:v>
                </c:pt>
                <c:pt idx="24">
                  <c:v>91.180209838873722</c:v>
                </c:pt>
                <c:pt idx="25">
                  <c:v>94.760719447567041</c:v>
                </c:pt>
                <c:pt idx="26">
                  <c:v>98.486876148671556</c:v>
                </c:pt>
                <c:pt idx="27">
                  <c:v>101.33513552093928</c:v>
                </c:pt>
                <c:pt idx="28">
                  <c:v>104.45662259336581</c:v>
                </c:pt>
                <c:pt idx="29">
                  <c:v>107.25492032903306</c:v>
                </c:pt>
                <c:pt idx="30">
                  <c:v>109.09413307638778</c:v>
                </c:pt>
                <c:pt idx="31">
                  <c:v>107.50963545848724</c:v>
                </c:pt>
                <c:pt idx="32">
                  <c:v>101.80999411166425</c:v>
                </c:pt>
                <c:pt idx="33">
                  <c:v>91.903538354477803</c:v>
                </c:pt>
                <c:pt idx="34">
                  <c:v>86.905144264225683</c:v>
                </c:pt>
                <c:pt idx="35">
                  <c:v>86.311626786574593</c:v>
                </c:pt>
                <c:pt idx="36">
                  <c:v>87.016888817515124</c:v>
                </c:pt>
                <c:pt idx="37">
                  <c:v>88.294033153114569</c:v>
                </c:pt>
                <c:pt idx="38">
                  <c:v>88.206154203022678</c:v>
                </c:pt>
                <c:pt idx="39">
                  <c:v>87.735979515728985</c:v>
                </c:pt>
                <c:pt idx="40">
                  <c:v>87.682672233820455</c:v>
                </c:pt>
              </c:numCache>
            </c:numRef>
          </c:val>
          <c:smooth val="0"/>
          <c:extLst>
            <c:ext xmlns:c16="http://schemas.microsoft.com/office/drawing/2014/chart" uri="{C3380CC4-5D6E-409C-BE32-E72D297353CC}">
              <c16:uniqueId val="{00000003-8585-4C24-8FB7-73FD1506ED8C}"/>
            </c:ext>
          </c:extLst>
        </c:ser>
        <c:dLbls>
          <c:showLegendKey val="0"/>
          <c:showVal val="0"/>
          <c:showCatName val="0"/>
          <c:showSerName val="0"/>
          <c:showPercent val="0"/>
          <c:showBubbleSize val="0"/>
        </c:dLbls>
        <c:smooth val="0"/>
        <c:axId val="449850335"/>
        <c:axId val="449853215"/>
      </c:lineChart>
      <c:catAx>
        <c:axId val="449850335"/>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Frutiger 45 Light" panose="020B0603020202020204" pitchFamily="34" charset="0"/>
                <a:ea typeface="+mn-ea"/>
                <a:cs typeface="+mn-cs"/>
              </a:defRPr>
            </a:pPr>
            <a:endParaRPr lang="en-US"/>
          </a:p>
        </c:txPr>
        <c:crossAx val="449853215"/>
        <c:crosses val="autoZero"/>
        <c:auto val="1"/>
        <c:lblAlgn val="ctr"/>
        <c:lblOffset val="100"/>
        <c:tickLblSkip val="4"/>
        <c:noMultiLvlLbl val="0"/>
      </c:catAx>
      <c:valAx>
        <c:axId val="449853215"/>
        <c:scaling>
          <c:orientation val="minMax"/>
          <c:max val="115"/>
          <c:min val="80"/>
        </c:scaling>
        <c:delete val="0"/>
        <c:axPos val="l"/>
        <c:numFmt formatCode="General" sourceLinked="1"/>
        <c:majorTickMark val="none"/>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Frutiger 45 Light" panose="020B0603020202020204" pitchFamily="34" charset="0"/>
                <a:ea typeface="+mn-ea"/>
                <a:cs typeface="+mn-cs"/>
              </a:defRPr>
            </a:pPr>
            <a:endParaRPr lang="en-US"/>
          </a:p>
        </c:txPr>
        <c:crossAx val="449850335"/>
        <c:crossesAt val="1"/>
        <c:crossBetween val="between"/>
        <c:majorUnit val="5"/>
      </c:valAx>
      <c:spPr>
        <a:noFill/>
        <a:ln>
          <a:noFill/>
        </a:ln>
        <a:effectLst/>
      </c:spPr>
    </c:plotArea>
    <c:legend>
      <c:legendPos val="b"/>
      <c:layout>
        <c:manualLayout>
          <c:xMode val="edge"/>
          <c:yMode val="edge"/>
          <c:x val="0.10445315832058004"/>
          <c:y val="4.6874453193350818E-2"/>
          <c:w val="0.28826633414034469"/>
          <c:h val="0.2328772944478558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Frutiger 45 Light" panose="020B0603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latin typeface="Frutiger 45 Light" panose="020B0603020202020204" pitchFamily="34" charset="0"/>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719306977060235E-2"/>
          <c:y val="5.5972222222222236E-2"/>
          <c:w val="0.91611770517875601"/>
          <c:h val="0.84829526291268986"/>
        </c:manualLayout>
      </c:layout>
      <c:lineChart>
        <c:grouping val="standard"/>
        <c:varyColors val="0"/>
        <c:ser>
          <c:idx val="0"/>
          <c:order val="0"/>
          <c:tx>
            <c:strRef>
              <c:f>Employment!$N$7</c:f>
              <c:strCache>
                <c:ptCount val="1"/>
                <c:pt idx="0">
                  <c:v>Oil output </c:v>
                </c:pt>
              </c:strCache>
            </c:strRef>
          </c:tx>
          <c:spPr>
            <a:ln w="28575" cap="rnd">
              <a:solidFill>
                <a:schemeClr val="accent1">
                  <a:lumMod val="75000"/>
                </a:schemeClr>
              </a:solidFill>
              <a:round/>
            </a:ln>
            <a:effectLst/>
          </c:spPr>
          <c:marker>
            <c:symbol val="none"/>
          </c:marker>
          <c:cat>
            <c:strRef>
              <c:f>Employment!$A$8:$A$52</c:f>
              <c:strCache>
                <c:ptCount val="45"/>
                <c:pt idx="0">
                  <c:v>1Q 2015</c:v>
                </c:pt>
                <c:pt idx="1">
                  <c:v>2Q 2015</c:v>
                </c:pt>
                <c:pt idx="2">
                  <c:v>3Q 2015</c:v>
                </c:pt>
                <c:pt idx="3">
                  <c:v>4Q 2015</c:v>
                </c:pt>
                <c:pt idx="4">
                  <c:v>1Q 2016</c:v>
                </c:pt>
                <c:pt idx="5">
                  <c:v>2Q 2016</c:v>
                </c:pt>
                <c:pt idx="6">
                  <c:v>3Q 2016</c:v>
                </c:pt>
                <c:pt idx="7">
                  <c:v>4Q 2016</c:v>
                </c:pt>
                <c:pt idx="8">
                  <c:v>1Q 2017</c:v>
                </c:pt>
                <c:pt idx="9">
                  <c:v>2Q 2017</c:v>
                </c:pt>
                <c:pt idx="10">
                  <c:v>3Q 2017</c:v>
                </c:pt>
                <c:pt idx="11">
                  <c:v>4Q 2017</c:v>
                </c:pt>
                <c:pt idx="12">
                  <c:v>1Q 2018</c:v>
                </c:pt>
                <c:pt idx="13">
                  <c:v>2Q 2018</c:v>
                </c:pt>
                <c:pt idx="14">
                  <c:v>3Q 2018</c:v>
                </c:pt>
                <c:pt idx="15">
                  <c:v>4Q 2018</c:v>
                </c:pt>
                <c:pt idx="16">
                  <c:v>1Q 2019</c:v>
                </c:pt>
                <c:pt idx="17">
                  <c:v>2Q 2019</c:v>
                </c:pt>
                <c:pt idx="18">
                  <c:v>3Q 2019</c:v>
                </c:pt>
                <c:pt idx="19">
                  <c:v>4Q 2019</c:v>
                </c:pt>
                <c:pt idx="20">
                  <c:v>1Q 2020</c:v>
                </c:pt>
                <c:pt idx="21">
                  <c:v>2Q 2020</c:v>
                </c:pt>
                <c:pt idx="22">
                  <c:v>3Q 2020</c:v>
                </c:pt>
                <c:pt idx="23">
                  <c:v>4Q 2020</c:v>
                </c:pt>
                <c:pt idx="24">
                  <c:v>1Q 2021</c:v>
                </c:pt>
                <c:pt idx="25">
                  <c:v>2Q 2021</c:v>
                </c:pt>
                <c:pt idx="26">
                  <c:v>3Q 2021</c:v>
                </c:pt>
                <c:pt idx="27">
                  <c:v>4Q 2021</c:v>
                </c:pt>
                <c:pt idx="28">
                  <c:v>1Q 2022</c:v>
                </c:pt>
                <c:pt idx="29">
                  <c:v>2Q 2022</c:v>
                </c:pt>
                <c:pt idx="30">
                  <c:v>3Q 2022</c:v>
                </c:pt>
                <c:pt idx="31">
                  <c:v>4Q 2022</c:v>
                </c:pt>
                <c:pt idx="32">
                  <c:v>1Q 2023</c:v>
                </c:pt>
                <c:pt idx="33">
                  <c:v>2Q 2023</c:v>
                </c:pt>
                <c:pt idx="34">
                  <c:v>3Q 2023</c:v>
                </c:pt>
                <c:pt idx="35">
                  <c:v>4Q 2023</c:v>
                </c:pt>
                <c:pt idx="36">
                  <c:v>1Q 2024</c:v>
                </c:pt>
                <c:pt idx="37">
                  <c:v>2Q 2024</c:v>
                </c:pt>
                <c:pt idx="38">
                  <c:v>3Q 2024</c:v>
                </c:pt>
                <c:pt idx="39">
                  <c:v>4Q 2024</c:v>
                </c:pt>
                <c:pt idx="40">
                  <c:v>1Q 2025</c:v>
                </c:pt>
                <c:pt idx="41">
                  <c:v>2Q 2025</c:v>
                </c:pt>
                <c:pt idx="42">
                  <c:v>3Q 2025</c:v>
                </c:pt>
                <c:pt idx="43">
                  <c:v>4Q 2025</c:v>
                </c:pt>
                <c:pt idx="44">
                  <c:v>1Q 2026</c:v>
                </c:pt>
              </c:strCache>
            </c:strRef>
          </c:cat>
          <c:val>
            <c:numRef>
              <c:f>Employment!$N$8:$N$52</c:f>
              <c:numCache>
                <c:formatCode>General</c:formatCode>
                <c:ptCount val="45"/>
                <c:pt idx="0">
                  <c:v>100</c:v>
                </c:pt>
                <c:pt idx="1">
                  <c:v>100.83381385738173</c:v>
                </c:pt>
                <c:pt idx="2">
                  <c:v>99.705146969287043</c:v>
                </c:pt>
                <c:pt idx="3">
                  <c:v>98.046767197739243</c:v>
                </c:pt>
                <c:pt idx="4">
                  <c:v>96.260122287357916</c:v>
                </c:pt>
                <c:pt idx="5">
                  <c:v>94.660762226075988</c:v>
                </c:pt>
                <c:pt idx="6">
                  <c:v>94.18073496208838</c:v>
                </c:pt>
                <c:pt idx="7">
                  <c:v>91.610439932885853</c:v>
                </c:pt>
                <c:pt idx="8">
                  <c:v>91.272849085412005</c:v>
                </c:pt>
                <c:pt idx="9">
                  <c:v>88.436784450085284</c:v>
                </c:pt>
                <c:pt idx="10">
                  <c:v>90.930188452579614</c:v>
                </c:pt>
                <c:pt idx="11">
                  <c:v>92.679354856244885</c:v>
                </c:pt>
                <c:pt idx="12">
                  <c:v>92.410087658182576</c:v>
                </c:pt>
                <c:pt idx="13">
                  <c:v>92.416173985040373</c:v>
                </c:pt>
                <c:pt idx="14">
                  <c:v>90.95190195129878</c:v>
                </c:pt>
                <c:pt idx="15">
                  <c:v>90.649864212023317</c:v>
                </c:pt>
                <c:pt idx="16">
                  <c:v>91.92051093443294</c:v>
                </c:pt>
                <c:pt idx="17">
                  <c:v>93.379200604687114</c:v>
                </c:pt>
                <c:pt idx="18">
                  <c:v>93.915361634853724</c:v>
                </c:pt>
                <c:pt idx="19">
                  <c:v>92.443603376003239</c:v>
                </c:pt>
                <c:pt idx="20">
                  <c:v>92.729962254866507</c:v>
                </c:pt>
                <c:pt idx="21">
                  <c:v>76.241943424038269</c:v>
                </c:pt>
                <c:pt idx="22">
                  <c:v>81.997954597896879</c:v>
                </c:pt>
                <c:pt idx="23">
                  <c:v>82.283464923051028</c:v>
                </c:pt>
                <c:pt idx="24">
                  <c:v>85.517100661686669</c:v>
                </c:pt>
                <c:pt idx="25">
                  <c:v>89.957267782832105</c:v>
                </c:pt>
                <c:pt idx="26">
                  <c:v>93.306754793348517</c:v>
                </c:pt>
                <c:pt idx="27">
                  <c:v>95.554737249220594</c:v>
                </c:pt>
                <c:pt idx="28">
                  <c:v>97.536708885731386</c:v>
                </c:pt>
                <c:pt idx="29">
                  <c:v>102.43935500786463</c:v>
                </c:pt>
                <c:pt idx="30">
                  <c:v>103.93328334763309</c:v>
                </c:pt>
                <c:pt idx="31">
                  <c:v>105.2775001073614</c:v>
                </c:pt>
                <c:pt idx="32">
                  <c:v>108.01715267329092</c:v>
                </c:pt>
                <c:pt idx="33">
                  <c:v>110.23088715687254</c:v>
                </c:pt>
                <c:pt idx="34">
                  <c:v>111.7889868324709</c:v>
                </c:pt>
                <c:pt idx="35">
                  <c:v>113.36060306410589</c:v>
                </c:pt>
                <c:pt idx="36">
                  <c:v>116.72099205146387</c:v>
                </c:pt>
                <c:pt idx="37">
                  <c:v>117.84001041007413</c:v>
                </c:pt>
                <c:pt idx="38">
                  <c:v>119.40026808266877</c:v>
                </c:pt>
                <c:pt idx="39">
                  <c:v>122.43693598368675</c:v>
                </c:pt>
                <c:pt idx="40">
                  <c:v>124.13662782946895</c:v>
                </c:pt>
                <c:pt idx="41">
                  <c:v>126.2932206201308</c:v>
                </c:pt>
                <c:pt idx="42">
                  <c:v>131.54758148624654</c:v>
                </c:pt>
                <c:pt idx="43">
                  <c:v>132.63372161916277</c:v>
                </c:pt>
                <c:pt idx="44">
                  <c:v>139.24629392013853</c:v>
                </c:pt>
              </c:numCache>
            </c:numRef>
          </c:val>
          <c:smooth val="0"/>
          <c:extLst>
            <c:ext xmlns:c16="http://schemas.microsoft.com/office/drawing/2014/chart" uri="{C3380CC4-5D6E-409C-BE32-E72D297353CC}">
              <c16:uniqueId val="{00000000-64F8-4C4E-9C84-C9BE4AA9CB05}"/>
            </c:ext>
          </c:extLst>
        </c:ser>
        <c:ser>
          <c:idx val="1"/>
          <c:order val="1"/>
          <c:tx>
            <c:strRef>
              <c:f>Employment!$O$7</c:f>
              <c:strCache>
                <c:ptCount val="1"/>
                <c:pt idx="0">
                  <c:v>Manufacturing</c:v>
                </c:pt>
              </c:strCache>
            </c:strRef>
          </c:tx>
          <c:spPr>
            <a:ln w="28575" cap="rnd">
              <a:solidFill>
                <a:srgbClr val="C00000"/>
              </a:solidFill>
              <a:round/>
            </a:ln>
            <a:effectLst/>
          </c:spPr>
          <c:marker>
            <c:symbol val="none"/>
          </c:marker>
          <c:cat>
            <c:strRef>
              <c:f>Employment!$A$8:$A$52</c:f>
              <c:strCache>
                <c:ptCount val="45"/>
                <c:pt idx="0">
                  <c:v>1Q 2015</c:v>
                </c:pt>
                <c:pt idx="1">
                  <c:v>2Q 2015</c:v>
                </c:pt>
                <c:pt idx="2">
                  <c:v>3Q 2015</c:v>
                </c:pt>
                <c:pt idx="3">
                  <c:v>4Q 2015</c:v>
                </c:pt>
                <c:pt idx="4">
                  <c:v>1Q 2016</c:v>
                </c:pt>
                <c:pt idx="5">
                  <c:v>2Q 2016</c:v>
                </c:pt>
                <c:pt idx="6">
                  <c:v>3Q 2016</c:v>
                </c:pt>
                <c:pt idx="7">
                  <c:v>4Q 2016</c:v>
                </c:pt>
                <c:pt idx="8">
                  <c:v>1Q 2017</c:v>
                </c:pt>
                <c:pt idx="9">
                  <c:v>2Q 2017</c:v>
                </c:pt>
                <c:pt idx="10">
                  <c:v>3Q 2017</c:v>
                </c:pt>
                <c:pt idx="11">
                  <c:v>4Q 2017</c:v>
                </c:pt>
                <c:pt idx="12">
                  <c:v>1Q 2018</c:v>
                </c:pt>
                <c:pt idx="13">
                  <c:v>2Q 2018</c:v>
                </c:pt>
                <c:pt idx="14">
                  <c:v>3Q 2018</c:v>
                </c:pt>
                <c:pt idx="15">
                  <c:v>4Q 2018</c:v>
                </c:pt>
                <c:pt idx="16">
                  <c:v>1Q 2019</c:v>
                </c:pt>
                <c:pt idx="17">
                  <c:v>2Q 2019</c:v>
                </c:pt>
                <c:pt idx="18">
                  <c:v>3Q 2019</c:v>
                </c:pt>
                <c:pt idx="19">
                  <c:v>4Q 2019</c:v>
                </c:pt>
                <c:pt idx="20">
                  <c:v>1Q 2020</c:v>
                </c:pt>
                <c:pt idx="21">
                  <c:v>2Q 2020</c:v>
                </c:pt>
                <c:pt idx="22">
                  <c:v>3Q 2020</c:v>
                </c:pt>
                <c:pt idx="23">
                  <c:v>4Q 2020</c:v>
                </c:pt>
                <c:pt idx="24">
                  <c:v>1Q 2021</c:v>
                </c:pt>
                <c:pt idx="25">
                  <c:v>2Q 2021</c:v>
                </c:pt>
                <c:pt idx="26">
                  <c:v>3Q 2021</c:v>
                </c:pt>
                <c:pt idx="27">
                  <c:v>4Q 2021</c:v>
                </c:pt>
                <c:pt idx="28">
                  <c:v>1Q 2022</c:v>
                </c:pt>
                <c:pt idx="29">
                  <c:v>2Q 2022</c:v>
                </c:pt>
                <c:pt idx="30">
                  <c:v>3Q 2022</c:v>
                </c:pt>
                <c:pt idx="31">
                  <c:v>4Q 2022</c:v>
                </c:pt>
                <c:pt idx="32">
                  <c:v>1Q 2023</c:v>
                </c:pt>
                <c:pt idx="33">
                  <c:v>2Q 2023</c:v>
                </c:pt>
                <c:pt idx="34">
                  <c:v>3Q 2023</c:v>
                </c:pt>
                <c:pt idx="35">
                  <c:v>4Q 2023</c:v>
                </c:pt>
                <c:pt idx="36">
                  <c:v>1Q 2024</c:v>
                </c:pt>
                <c:pt idx="37">
                  <c:v>2Q 2024</c:v>
                </c:pt>
                <c:pt idx="38">
                  <c:v>3Q 2024</c:v>
                </c:pt>
                <c:pt idx="39">
                  <c:v>4Q 2024</c:v>
                </c:pt>
                <c:pt idx="40">
                  <c:v>1Q 2025</c:v>
                </c:pt>
                <c:pt idx="41">
                  <c:v>2Q 2025</c:v>
                </c:pt>
                <c:pt idx="42">
                  <c:v>3Q 2025</c:v>
                </c:pt>
                <c:pt idx="43">
                  <c:v>4Q 2025</c:v>
                </c:pt>
                <c:pt idx="44">
                  <c:v>1Q 2026</c:v>
                </c:pt>
              </c:strCache>
            </c:strRef>
          </c:cat>
          <c:val>
            <c:numRef>
              <c:f>Employment!$O$8:$O$52</c:f>
              <c:numCache>
                <c:formatCode>General</c:formatCode>
                <c:ptCount val="45"/>
                <c:pt idx="0">
                  <c:v>100</c:v>
                </c:pt>
                <c:pt idx="1">
                  <c:v>101.91789237856905</c:v>
                </c:pt>
                <c:pt idx="2">
                  <c:v>101.27075190605683</c:v>
                </c:pt>
                <c:pt idx="3">
                  <c:v>98.889058546605753</c:v>
                </c:pt>
                <c:pt idx="4">
                  <c:v>96.910618321794161</c:v>
                </c:pt>
                <c:pt idx="5">
                  <c:v>94.158801099831464</c:v>
                </c:pt>
                <c:pt idx="6">
                  <c:v>93.874261457859419</c:v>
                </c:pt>
                <c:pt idx="7">
                  <c:v>94.84480401606784</c:v>
                </c:pt>
                <c:pt idx="8">
                  <c:v>94.692976501204058</c:v>
                </c:pt>
                <c:pt idx="9">
                  <c:v>96.881720504329039</c:v>
                </c:pt>
                <c:pt idx="10">
                  <c:v>98.464543797016532</c:v>
                </c:pt>
                <c:pt idx="11">
                  <c:v>98.899989536941774</c:v>
                </c:pt>
                <c:pt idx="12">
                  <c:v>98.100914800045629</c:v>
                </c:pt>
                <c:pt idx="13">
                  <c:v>95.286543964541053</c:v>
                </c:pt>
                <c:pt idx="14">
                  <c:v>91.169042408004628</c:v>
                </c:pt>
                <c:pt idx="15">
                  <c:v>86.839600514722108</c:v>
                </c:pt>
                <c:pt idx="16">
                  <c:v>87.39794625481106</c:v>
                </c:pt>
                <c:pt idx="17">
                  <c:v>88.442107455768536</c:v>
                </c:pt>
                <c:pt idx="18">
                  <c:v>87.194210381183751</c:v>
                </c:pt>
                <c:pt idx="19">
                  <c:v>84.836198560014793</c:v>
                </c:pt>
                <c:pt idx="20">
                  <c:v>81.863728474681622</c:v>
                </c:pt>
                <c:pt idx="21">
                  <c:v>69.718078690994687</c:v>
                </c:pt>
                <c:pt idx="22">
                  <c:v>82.751474339293509</c:v>
                </c:pt>
                <c:pt idx="23">
                  <c:v>86.597895522302295</c:v>
                </c:pt>
                <c:pt idx="24">
                  <c:v>91.613464739156669</c:v>
                </c:pt>
                <c:pt idx="25">
                  <c:v>92.694067657877966</c:v>
                </c:pt>
                <c:pt idx="26">
                  <c:v>92.958267904438856</c:v>
                </c:pt>
                <c:pt idx="27">
                  <c:v>94.324345526718346</c:v>
                </c:pt>
                <c:pt idx="28">
                  <c:v>95.818136509103198</c:v>
                </c:pt>
                <c:pt idx="29">
                  <c:v>99.390602305192473</c:v>
                </c:pt>
                <c:pt idx="30">
                  <c:v>98.208206094058809</c:v>
                </c:pt>
                <c:pt idx="31">
                  <c:v>95.789246717917791</c:v>
                </c:pt>
                <c:pt idx="32">
                  <c:v>98.665409473019835</c:v>
                </c:pt>
                <c:pt idx="33">
                  <c:v>98.114953565885045</c:v>
                </c:pt>
                <c:pt idx="34">
                  <c:v>95.054949676670958</c:v>
                </c:pt>
                <c:pt idx="35">
                  <c:v>89.816899209928337</c:v>
                </c:pt>
                <c:pt idx="36">
                  <c:v>85.159508343494323</c:v>
                </c:pt>
                <c:pt idx="37">
                  <c:v>81.95518311620053</c:v>
                </c:pt>
                <c:pt idx="38">
                  <c:v>89.087549567494278</c:v>
                </c:pt>
                <c:pt idx="39">
                  <c:v>90.674519236279565</c:v>
                </c:pt>
                <c:pt idx="40">
                  <c:v>89.521081842336841</c:v>
                </c:pt>
                <c:pt idx="41">
                  <c:v>88.328194480995222</c:v>
                </c:pt>
                <c:pt idx="42">
                  <c:v>87.066692862303299</c:v>
                </c:pt>
                <c:pt idx="43">
                  <c:v>85.97459952155026</c:v>
                </c:pt>
                <c:pt idx="44">
                  <c:v>87.913724620462119</c:v>
                </c:pt>
              </c:numCache>
            </c:numRef>
          </c:val>
          <c:smooth val="0"/>
          <c:extLst>
            <c:ext xmlns:c16="http://schemas.microsoft.com/office/drawing/2014/chart" uri="{C3380CC4-5D6E-409C-BE32-E72D297353CC}">
              <c16:uniqueId val="{00000001-64F8-4C4E-9C84-C9BE4AA9CB05}"/>
            </c:ext>
          </c:extLst>
        </c:ser>
        <c:ser>
          <c:idx val="2"/>
          <c:order val="2"/>
          <c:tx>
            <c:strRef>
              <c:f>Employment!$P$7</c:f>
              <c:strCache>
                <c:ptCount val="1"/>
                <c:pt idx="0">
                  <c:v>Construction</c:v>
                </c:pt>
              </c:strCache>
            </c:strRef>
          </c:tx>
          <c:spPr>
            <a:ln w="28575" cap="rnd">
              <a:solidFill>
                <a:schemeClr val="bg1">
                  <a:lumMod val="75000"/>
                </a:schemeClr>
              </a:solidFill>
              <a:round/>
            </a:ln>
            <a:effectLst/>
          </c:spPr>
          <c:marker>
            <c:symbol val="none"/>
          </c:marker>
          <c:cat>
            <c:strRef>
              <c:f>Employment!$A$8:$A$52</c:f>
              <c:strCache>
                <c:ptCount val="45"/>
                <c:pt idx="0">
                  <c:v>1Q 2015</c:v>
                </c:pt>
                <c:pt idx="1">
                  <c:v>2Q 2015</c:v>
                </c:pt>
                <c:pt idx="2">
                  <c:v>3Q 2015</c:v>
                </c:pt>
                <c:pt idx="3">
                  <c:v>4Q 2015</c:v>
                </c:pt>
                <c:pt idx="4">
                  <c:v>1Q 2016</c:v>
                </c:pt>
                <c:pt idx="5">
                  <c:v>2Q 2016</c:v>
                </c:pt>
                <c:pt idx="6">
                  <c:v>3Q 2016</c:v>
                </c:pt>
                <c:pt idx="7">
                  <c:v>4Q 2016</c:v>
                </c:pt>
                <c:pt idx="8">
                  <c:v>1Q 2017</c:v>
                </c:pt>
                <c:pt idx="9">
                  <c:v>2Q 2017</c:v>
                </c:pt>
                <c:pt idx="10">
                  <c:v>3Q 2017</c:v>
                </c:pt>
                <c:pt idx="11">
                  <c:v>4Q 2017</c:v>
                </c:pt>
                <c:pt idx="12">
                  <c:v>1Q 2018</c:v>
                </c:pt>
                <c:pt idx="13">
                  <c:v>2Q 2018</c:v>
                </c:pt>
                <c:pt idx="14">
                  <c:v>3Q 2018</c:v>
                </c:pt>
                <c:pt idx="15">
                  <c:v>4Q 2018</c:v>
                </c:pt>
                <c:pt idx="16">
                  <c:v>1Q 2019</c:v>
                </c:pt>
                <c:pt idx="17">
                  <c:v>2Q 2019</c:v>
                </c:pt>
                <c:pt idx="18">
                  <c:v>3Q 2019</c:v>
                </c:pt>
                <c:pt idx="19">
                  <c:v>4Q 2019</c:v>
                </c:pt>
                <c:pt idx="20">
                  <c:v>1Q 2020</c:v>
                </c:pt>
                <c:pt idx="21">
                  <c:v>2Q 2020</c:v>
                </c:pt>
                <c:pt idx="22">
                  <c:v>3Q 2020</c:v>
                </c:pt>
                <c:pt idx="23">
                  <c:v>4Q 2020</c:v>
                </c:pt>
                <c:pt idx="24">
                  <c:v>1Q 2021</c:v>
                </c:pt>
                <c:pt idx="25">
                  <c:v>2Q 2021</c:v>
                </c:pt>
                <c:pt idx="26">
                  <c:v>3Q 2021</c:v>
                </c:pt>
                <c:pt idx="27">
                  <c:v>4Q 2021</c:v>
                </c:pt>
                <c:pt idx="28">
                  <c:v>1Q 2022</c:v>
                </c:pt>
                <c:pt idx="29">
                  <c:v>2Q 2022</c:v>
                </c:pt>
                <c:pt idx="30">
                  <c:v>3Q 2022</c:v>
                </c:pt>
                <c:pt idx="31">
                  <c:v>4Q 2022</c:v>
                </c:pt>
                <c:pt idx="32">
                  <c:v>1Q 2023</c:v>
                </c:pt>
                <c:pt idx="33">
                  <c:v>2Q 2023</c:v>
                </c:pt>
                <c:pt idx="34">
                  <c:v>3Q 2023</c:v>
                </c:pt>
                <c:pt idx="35">
                  <c:v>4Q 2023</c:v>
                </c:pt>
                <c:pt idx="36">
                  <c:v>1Q 2024</c:v>
                </c:pt>
                <c:pt idx="37">
                  <c:v>2Q 2024</c:v>
                </c:pt>
                <c:pt idx="38">
                  <c:v>3Q 2024</c:v>
                </c:pt>
                <c:pt idx="39">
                  <c:v>4Q 2024</c:v>
                </c:pt>
                <c:pt idx="40">
                  <c:v>1Q 2025</c:v>
                </c:pt>
                <c:pt idx="41">
                  <c:v>2Q 2025</c:v>
                </c:pt>
                <c:pt idx="42">
                  <c:v>3Q 2025</c:v>
                </c:pt>
                <c:pt idx="43">
                  <c:v>4Q 2025</c:v>
                </c:pt>
                <c:pt idx="44">
                  <c:v>1Q 2026</c:v>
                </c:pt>
              </c:strCache>
            </c:strRef>
          </c:cat>
          <c:val>
            <c:numRef>
              <c:f>Employment!$P$8:$P$52</c:f>
              <c:numCache>
                <c:formatCode>General</c:formatCode>
                <c:ptCount val="45"/>
                <c:pt idx="0">
                  <c:v>100</c:v>
                </c:pt>
                <c:pt idx="1">
                  <c:v>104.21923175465389</c:v>
                </c:pt>
                <c:pt idx="2">
                  <c:v>103.87564814599759</c:v>
                </c:pt>
                <c:pt idx="3">
                  <c:v>101.23891692118312</c:v>
                </c:pt>
                <c:pt idx="4">
                  <c:v>94.132827106873677</c:v>
                </c:pt>
                <c:pt idx="5">
                  <c:v>88.11112528451649</c:v>
                </c:pt>
                <c:pt idx="6">
                  <c:v>90.055663075855577</c:v>
                </c:pt>
                <c:pt idx="7">
                  <c:v>91.270859704335109</c:v>
                </c:pt>
                <c:pt idx="8">
                  <c:v>95.742980898201154</c:v>
                </c:pt>
                <c:pt idx="9">
                  <c:v>97.026621163382146</c:v>
                </c:pt>
                <c:pt idx="10">
                  <c:v>99.986232341106245</c:v>
                </c:pt>
                <c:pt idx="11">
                  <c:v>104.33413613678854</c:v>
                </c:pt>
                <c:pt idx="12">
                  <c:v>103.60732622719513</c:v>
                </c:pt>
                <c:pt idx="13">
                  <c:v>102.48884796948123</c:v>
                </c:pt>
                <c:pt idx="14">
                  <c:v>99.321370092090433</c:v>
                </c:pt>
                <c:pt idx="15">
                  <c:v>95.680715696891212</c:v>
                </c:pt>
                <c:pt idx="16">
                  <c:v>97.170358244010629</c:v>
                </c:pt>
                <c:pt idx="17">
                  <c:v>98.004592183344755</c:v>
                </c:pt>
                <c:pt idx="18">
                  <c:v>97.002469922541835</c:v>
                </c:pt>
                <c:pt idx="19">
                  <c:v>91.892273308578467</c:v>
                </c:pt>
                <c:pt idx="20">
                  <c:v>78.0628935690562</c:v>
                </c:pt>
                <c:pt idx="21">
                  <c:v>49.063005343393989</c:v>
                </c:pt>
                <c:pt idx="22">
                  <c:v>75.873717861248863</c:v>
                </c:pt>
                <c:pt idx="23">
                  <c:v>95.472359077237513</c:v>
                </c:pt>
                <c:pt idx="24">
                  <c:v>97.294149230353838</c:v>
                </c:pt>
                <c:pt idx="25">
                  <c:v>91.488316134117582</c:v>
                </c:pt>
                <c:pt idx="26">
                  <c:v>95.964383905656646</c:v>
                </c:pt>
                <c:pt idx="27">
                  <c:v>100.06007870655316</c:v>
                </c:pt>
                <c:pt idx="28">
                  <c:v>100.25435919917317</c:v>
                </c:pt>
                <c:pt idx="29">
                  <c:v>102.92208239946115</c:v>
                </c:pt>
                <c:pt idx="30">
                  <c:v>102.6400563299114</c:v>
                </c:pt>
                <c:pt idx="31">
                  <c:v>101.7244276282937</c:v>
                </c:pt>
                <c:pt idx="32">
                  <c:v>103.73883345333348</c:v>
                </c:pt>
                <c:pt idx="33">
                  <c:v>103.89354837070756</c:v>
                </c:pt>
                <c:pt idx="34">
                  <c:v>103.10419654573748</c:v>
                </c:pt>
                <c:pt idx="35">
                  <c:v>100.46268860104981</c:v>
                </c:pt>
                <c:pt idx="36">
                  <c:v>82.944832832042366</c:v>
                </c:pt>
                <c:pt idx="37">
                  <c:v>80.019402646003414</c:v>
                </c:pt>
                <c:pt idx="38">
                  <c:v>87.534820609445944</c:v>
                </c:pt>
                <c:pt idx="39">
                  <c:v>87.991267266957763</c:v>
                </c:pt>
                <c:pt idx="40">
                  <c:v>87.776410134884031</c:v>
                </c:pt>
                <c:pt idx="41">
                  <c:v>88.599198998966443</c:v>
                </c:pt>
                <c:pt idx="42">
                  <c:v>88.206868351604314</c:v>
                </c:pt>
                <c:pt idx="43">
                  <c:v>88.163891481634167</c:v>
                </c:pt>
                <c:pt idx="44">
                  <c:v>89.98228394891477</c:v>
                </c:pt>
              </c:numCache>
            </c:numRef>
          </c:val>
          <c:smooth val="0"/>
          <c:extLst>
            <c:ext xmlns:c16="http://schemas.microsoft.com/office/drawing/2014/chart" uri="{C3380CC4-5D6E-409C-BE32-E72D297353CC}">
              <c16:uniqueId val="{00000002-64F8-4C4E-9C84-C9BE4AA9CB05}"/>
            </c:ext>
          </c:extLst>
        </c:ser>
        <c:dLbls>
          <c:showLegendKey val="0"/>
          <c:showVal val="0"/>
          <c:showCatName val="0"/>
          <c:showSerName val="0"/>
          <c:showPercent val="0"/>
          <c:showBubbleSize val="0"/>
        </c:dLbls>
        <c:smooth val="0"/>
        <c:axId val="379038655"/>
        <c:axId val="379041535"/>
      </c:lineChart>
      <c:catAx>
        <c:axId val="379038655"/>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Frutiger 45 Light" panose="020B0603020202020204" pitchFamily="34" charset="0"/>
                <a:ea typeface="+mn-ea"/>
                <a:cs typeface="+mn-cs"/>
              </a:defRPr>
            </a:pPr>
            <a:endParaRPr lang="en-US"/>
          </a:p>
        </c:txPr>
        <c:crossAx val="379041535"/>
        <c:crosses val="autoZero"/>
        <c:auto val="1"/>
        <c:lblAlgn val="ctr"/>
        <c:lblOffset val="100"/>
        <c:tickLblSkip val="4"/>
        <c:tickMarkSkip val="4"/>
        <c:noMultiLvlLbl val="0"/>
      </c:catAx>
      <c:valAx>
        <c:axId val="379041535"/>
        <c:scaling>
          <c:orientation val="minMax"/>
          <c:min val="60"/>
        </c:scaling>
        <c:delete val="0"/>
        <c:axPos val="l"/>
        <c:numFmt formatCode="General" sourceLinked="1"/>
        <c:majorTickMark val="none"/>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Frutiger 45 Light" panose="020B0603020202020204" pitchFamily="34" charset="0"/>
                <a:ea typeface="+mn-ea"/>
                <a:cs typeface="+mn-cs"/>
              </a:defRPr>
            </a:pPr>
            <a:endParaRPr lang="en-US"/>
          </a:p>
        </c:txPr>
        <c:crossAx val="379038655"/>
        <c:crosses val="autoZero"/>
        <c:crossBetween val="between"/>
      </c:valAx>
      <c:spPr>
        <a:noFill/>
        <a:ln>
          <a:noFill/>
        </a:ln>
        <a:effectLst/>
      </c:spPr>
    </c:plotArea>
    <c:legend>
      <c:legendPos val="b"/>
      <c:layout>
        <c:manualLayout>
          <c:xMode val="edge"/>
          <c:yMode val="edge"/>
          <c:x val="0.10113018421966052"/>
          <c:y val="3.2228783902012267E-2"/>
          <c:w val="0.27062641295983753"/>
          <c:h val="0.18536380869058033"/>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Frutiger 45 Light" panose="020B0603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latin typeface="Frutiger 45 Light" panose="020B0603020202020204" pitchFamily="34" charset="0"/>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'CPI MoM'!$E$7</c:f>
              <c:strCache>
                <c:ptCount val="1"/>
                <c:pt idx="0">
                  <c:v>Headline</c:v>
                </c:pt>
              </c:strCache>
            </c:strRef>
          </c:tx>
          <c:spPr>
            <a:solidFill>
              <a:schemeClr val="bg1">
                <a:lumMod val="75000"/>
              </a:schemeClr>
            </a:solidFill>
            <a:ln>
              <a:noFill/>
            </a:ln>
            <a:effectLst/>
          </c:spPr>
          <c:invertIfNegative val="0"/>
          <c:cat>
            <c:numRef>
              <c:f>'CPI MoM'!$A$42:$A$60</c:f>
              <c:numCache>
                <c:formatCode>mmm\-yy</c:formatCode>
                <c:ptCount val="19"/>
                <c:pt idx="0">
                  <c:v>45627</c:v>
                </c:pt>
                <c:pt idx="1">
                  <c:v>45658</c:v>
                </c:pt>
                <c:pt idx="2">
                  <c:v>45689</c:v>
                </c:pt>
                <c:pt idx="3">
                  <c:v>45717</c:v>
                </c:pt>
                <c:pt idx="4">
                  <c:v>45748</c:v>
                </c:pt>
                <c:pt idx="5">
                  <c:v>45778</c:v>
                </c:pt>
                <c:pt idx="6">
                  <c:v>45809</c:v>
                </c:pt>
                <c:pt idx="7">
                  <c:v>45839</c:v>
                </c:pt>
                <c:pt idx="8">
                  <c:v>45870</c:v>
                </c:pt>
                <c:pt idx="9">
                  <c:v>45901</c:v>
                </c:pt>
                <c:pt idx="10">
                  <c:v>45931</c:v>
                </c:pt>
                <c:pt idx="11">
                  <c:v>45962</c:v>
                </c:pt>
                <c:pt idx="12">
                  <c:v>45992</c:v>
                </c:pt>
                <c:pt idx="13">
                  <c:v>46023</c:v>
                </c:pt>
                <c:pt idx="14">
                  <c:v>46054</c:v>
                </c:pt>
                <c:pt idx="15">
                  <c:v>46082</c:v>
                </c:pt>
                <c:pt idx="16">
                  <c:v>46113</c:v>
                </c:pt>
                <c:pt idx="17">
                  <c:v>46143</c:v>
                </c:pt>
                <c:pt idx="18">
                  <c:v>46174</c:v>
                </c:pt>
              </c:numCache>
            </c:numRef>
          </c:cat>
          <c:val>
            <c:numRef>
              <c:f>'CPI MoM'!$E$42:$E$60</c:f>
              <c:numCache>
                <c:formatCode>0.0</c:formatCode>
                <c:ptCount val="19"/>
                <c:pt idx="0">
                  <c:v>2.7041040514633741</c:v>
                </c:pt>
                <c:pt idx="1">
                  <c:v>2.2110480136651844</c:v>
                </c:pt>
                <c:pt idx="2">
                  <c:v>2.4016274307517849</c:v>
                </c:pt>
                <c:pt idx="3">
                  <c:v>3.7293353066121693</c:v>
                </c:pt>
                <c:pt idx="4">
                  <c:v>2.7808358448509596</c:v>
                </c:pt>
                <c:pt idx="5">
                  <c:v>1.5011086343823088</c:v>
                </c:pt>
                <c:pt idx="6">
                  <c:v>1.6189248819933333</c:v>
                </c:pt>
                <c:pt idx="7">
                  <c:v>1.9016837553312849</c:v>
                </c:pt>
                <c:pt idx="8">
                  <c:v>1.8757935113502766</c:v>
                </c:pt>
                <c:pt idx="9">
                  <c:v>2.0759603239513646</c:v>
                </c:pt>
                <c:pt idx="10">
                  <c:v>2.3419431023919524</c:v>
                </c:pt>
                <c:pt idx="11">
                  <c:v>2.4729196710785661</c:v>
                </c:pt>
                <c:pt idx="12">
                  <c:v>2.8452719345717137</c:v>
                </c:pt>
                <c:pt idx="13">
                  <c:v>2.881619353661713</c:v>
                </c:pt>
                <c:pt idx="14">
                  <c:v>2.8963190726726928</c:v>
                </c:pt>
                <c:pt idx="15">
                  <c:v>3.3826221924415201</c:v>
                </c:pt>
                <c:pt idx="16">
                  <c:v>2.5821795615674548</c:v>
                </c:pt>
                <c:pt idx="17">
                  <c:v>2.1499723349908573</c:v>
                </c:pt>
                <c:pt idx="18">
                  <c:v>1.8868714688293764</c:v>
                </c:pt>
              </c:numCache>
            </c:numRef>
          </c:val>
          <c:extLst>
            <c:ext xmlns:c16="http://schemas.microsoft.com/office/drawing/2014/chart" uri="{C3380CC4-5D6E-409C-BE32-E72D297353CC}">
              <c16:uniqueId val="{00000000-202D-42C7-8A45-020117860AE5}"/>
            </c:ext>
          </c:extLst>
        </c:ser>
        <c:ser>
          <c:idx val="1"/>
          <c:order val="1"/>
          <c:tx>
            <c:strRef>
              <c:f>'CPI MoM'!$F$7</c:f>
              <c:strCache>
                <c:ptCount val="1"/>
                <c:pt idx="0">
                  <c:v>Core</c:v>
                </c:pt>
              </c:strCache>
            </c:strRef>
          </c:tx>
          <c:spPr>
            <a:solidFill>
              <a:schemeClr val="tx2">
                <a:lumMod val="75000"/>
                <a:lumOff val="25000"/>
              </a:schemeClr>
            </a:solidFill>
            <a:ln>
              <a:noFill/>
            </a:ln>
            <a:effectLst/>
          </c:spPr>
          <c:invertIfNegative val="0"/>
          <c:cat>
            <c:numRef>
              <c:f>'CPI MoM'!$A$42:$A$60</c:f>
              <c:numCache>
                <c:formatCode>mmm\-yy</c:formatCode>
                <c:ptCount val="19"/>
                <c:pt idx="0">
                  <c:v>45627</c:v>
                </c:pt>
                <c:pt idx="1">
                  <c:v>45658</c:v>
                </c:pt>
                <c:pt idx="2">
                  <c:v>45689</c:v>
                </c:pt>
                <c:pt idx="3">
                  <c:v>45717</c:v>
                </c:pt>
                <c:pt idx="4">
                  <c:v>45748</c:v>
                </c:pt>
                <c:pt idx="5">
                  <c:v>45778</c:v>
                </c:pt>
                <c:pt idx="6">
                  <c:v>45809</c:v>
                </c:pt>
                <c:pt idx="7">
                  <c:v>45839</c:v>
                </c:pt>
                <c:pt idx="8">
                  <c:v>45870</c:v>
                </c:pt>
                <c:pt idx="9">
                  <c:v>45901</c:v>
                </c:pt>
                <c:pt idx="10">
                  <c:v>45931</c:v>
                </c:pt>
                <c:pt idx="11">
                  <c:v>45962</c:v>
                </c:pt>
                <c:pt idx="12">
                  <c:v>45992</c:v>
                </c:pt>
                <c:pt idx="13">
                  <c:v>46023</c:v>
                </c:pt>
                <c:pt idx="14">
                  <c:v>46054</c:v>
                </c:pt>
                <c:pt idx="15">
                  <c:v>46082</c:v>
                </c:pt>
                <c:pt idx="16">
                  <c:v>46113</c:v>
                </c:pt>
                <c:pt idx="17">
                  <c:v>46143</c:v>
                </c:pt>
                <c:pt idx="18">
                  <c:v>46174</c:v>
                </c:pt>
              </c:numCache>
            </c:numRef>
          </c:cat>
          <c:val>
            <c:numRef>
              <c:f>'CPI MoM'!$F$42:$F$60</c:f>
              <c:numCache>
                <c:formatCode>0.0</c:formatCode>
                <c:ptCount val="19"/>
                <c:pt idx="0">
                  <c:v>3.1972815061501292</c:v>
                </c:pt>
                <c:pt idx="1">
                  <c:v>2.3976894312394359</c:v>
                </c:pt>
                <c:pt idx="2">
                  <c:v>2.9203528091388264</c:v>
                </c:pt>
                <c:pt idx="3">
                  <c:v>3.1927902426889476</c:v>
                </c:pt>
                <c:pt idx="4">
                  <c:v>3.2147159664202674</c:v>
                </c:pt>
                <c:pt idx="5">
                  <c:v>2.1972650333935473</c:v>
                </c:pt>
                <c:pt idx="6">
                  <c:v>1.7137349662716073</c:v>
                </c:pt>
                <c:pt idx="7">
                  <c:v>1.4791483194941168</c:v>
                </c:pt>
                <c:pt idx="8">
                  <c:v>2.0449004208132004</c:v>
                </c:pt>
                <c:pt idx="9">
                  <c:v>1.895876192364887</c:v>
                </c:pt>
                <c:pt idx="10">
                  <c:v>2.2167187118103504</c:v>
                </c:pt>
                <c:pt idx="11">
                  <c:v>2.6389973653884624</c:v>
                </c:pt>
                <c:pt idx="12">
                  <c:v>3.0338921133759689</c:v>
                </c:pt>
                <c:pt idx="13">
                  <c:v>2.630369065853122</c:v>
                </c:pt>
                <c:pt idx="14">
                  <c:v>3.0753751896320347</c:v>
                </c:pt>
                <c:pt idx="15">
                  <c:v>3.1889458451843655</c:v>
                </c:pt>
                <c:pt idx="16">
                  <c:v>2.286474435452468</c:v>
                </c:pt>
                <c:pt idx="17">
                  <c:v>1.9034777326863095</c:v>
                </c:pt>
                <c:pt idx="18">
                  <c:v>1.5695811790507053</c:v>
                </c:pt>
              </c:numCache>
            </c:numRef>
          </c:val>
          <c:extLst>
            <c:ext xmlns:c16="http://schemas.microsoft.com/office/drawing/2014/chart" uri="{C3380CC4-5D6E-409C-BE32-E72D297353CC}">
              <c16:uniqueId val="{00000001-202D-42C7-8A45-020117860AE5}"/>
            </c:ext>
          </c:extLst>
        </c:ser>
        <c:dLbls>
          <c:showLegendKey val="0"/>
          <c:showVal val="0"/>
          <c:showCatName val="0"/>
          <c:showSerName val="0"/>
          <c:showPercent val="0"/>
          <c:showBubbleSize val="0"/>
        </c:dLbls>
        <c:gapWidth val="99"/>
        <c:overlap val="-27"/>
        <c:axId val="1283251744"/>
        <c:axId val="1283239264"/>
      </c:barChart>
      <c:lineChart>
        <c:grouping val="standard"/>
        <c:varyColors val="0"/>
        <c:ser>
          <c:idx val="2"/>
          <c:order val="2"/>
          <c:tx>
            <c:strRef>
              <c:f>'CPI MoM'!$G$7</c:f>
              <c:strCache>
                <c:ptCount val="1"/>
                <c:pt idx="0">
                  <c:v>2% threshold</c:v>
                </c:pt>
              </c:strCache>
            </c:strRef>
          </c:tx>
          <c:spPr>
            <a:ln w="28575" cap="rnd">
              <a:solidFill>
                <a:schemeClr val="dk1"/>
              </a:solidFill>
              <a:prstDash val="sysDash"/>
              <a:round/>
            </a:ln>
            <a:effectLst/>
          </c:spPr>
          <c:marker>
            <c:symbol val="none"/>
          </c:marker>
          <c:val>
            <c:numRef>
              <c:f>'CPI MoM'!$G$42:$G$60</c:f>
              <c:numCache>
                <c:formatCode>General</c:formatCode>
                <c:ptCount val="19"/>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numCache>
            </c:numRef>
          </c:val>
          <c:smooth val="0"/>
          <c:extLst>
            <c:ext xmlns:c16="http://schemas.microsoft.com/office/drawing/2014/chart" uri="{C3380CC4-5D6E-409C-BE32-E72D297353CC}">
              <c16:uniqueId val="{00000002-202D-42C7-8A45-020117860AE5}"/>
            </c:ext>
          </c:extLst>
        </c:ser>
        <c:dLbls>
          <c:showLegendKey val="0"/>
          <c:showVal val="0"/>
          <c:showCatName val="0"/>
          <c:showSerName val="0"/>
          <c:showPercent val="0"/>
          <c:showBubbleSize val="0"/>
        </c:dLbls>
        <c:marker val="1"/>
        <c:smooth val="0"/>
        <c:axId val="1283251744"/>
        <c:axId val="1283239264"/>
      </c:lineChart>
      <c:dateAx>
        <c:axId val="1283251744"/>
        <c:scaling>
          <c:orientation val="minMax"/>
        </c:scaling>
        <c:delete val="0"/>
        <c:axPos val="b"/>
        <c:numFmt formatCode="mmm\-yy"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Frutiger 45 Light" panose="020B0603020202020204" pitchFamily="34" charset="0"/>
                <a:ea typeface="+mn-ea"/>
                <a:cs typeface="+mn-cs"/>
              </a:defRPr>
            </a:pPr>
            <a:endParaRPr lang="en-US"/>
          </a:p>
        </c:txPr>
        <c:crossAx val="1283239264"/>
        <c:crosses val="autoZero"/>
        <c:auto val="1"/>
        <c:lblOffset val="100"/>
        <c:baseTimeUnit val="months"/>
        <c:majorUnit val="6"/>
        <c:majorTimeUnit val="months"/>
      </c:dateAx>
      <c:valAx>
        <c:axId val="1283239264"/>
        <c:scaling>
          <c:orientation val="minMax"/>
        </c:scaling>
        <c:delete val="0"/>
        <c:axPos val="l"/>
        <c:numFmt formatCode="0.0"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Frutiger 45 Light" panose="020B0603020202020204" pitchFamily="34" charset="0"/>
                <a:ea typeface="+mn-ea"/>
                <a:cs typeface="+mn-cs"/>
              </a:defRPr>
            </a:pPr>
            <a:endParaRPr lang="en-US"/>
          </a:p>
        </c:txPr>
        <c:crossAx val="1283251744"/>
        <c:crosses val="autoZero"/>
        <c:crossBetween val="between"/>
      </c:valAx>
      <c:spPr>
        <a:noFill/>
        <a:ln>
          <a:noFill/>
        </a:ln>
        <a:effectLst/>
      </c:spPr>
    </c:plotArea>
    <c:legend>
      <c:legendPos val="b"/>
      <c:layout>
        <c:manualLayout>
          <c:xMode val="edge"/>
          <c:yMode val="edge"/>
          <c:x val="0.35075051276981239"/>
          <c:y val="7.2171747762298954E-2"/>
          <c:w val="0.23945838862900012"/>
          <c:h val="0.1449222693317181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Frutiger 45 Light" panose="020B0603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Frutiger 45 Light" panose="020B0603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 Id="rId5" Type="http://schemas.openxmlformats.org/officeDocument/2006/relationships/chart" Target="../charts/chart24.xml"/><Relationship Id="rId4" Type="http://schemas.openxmlformats.org/officeDocument/2006/relationships/chart" Target="../charts/chart23.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8</xdr:col>
      <xdr:colOff>258638</xdr:colOff>
      <xdr:row>109</xdr:row>
      <xdr:rowOff>57150</xdr:rowOff>
    </xdr:from>
    <xdr:to>
      <xdr:col>18</xdr:col>
      <xdr:colOff>323850</xdr:colOff>
      <xdr:row>127</xdr:row>
      <xdr:rowOff>9525</xdr:rowOff>
    </xdr:to>
    <xdr:graphicFrame macro="">
      <xdr:nvGraphicFramePr>
        <xdr:cNvPr id="3" name="Chart 2">
          <a:extLst>
            <a:ext uri="{FF2B5EF4-FFF2-40B4-BE49-F238E27FC236}">
              <a16:creationId xmlns:a16="http://schemas.microsoft.com/office/drawing/2014/main" id="{A81D91A3-92EF-41C4-9973-9AAD7455EF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533400</xdr:colOff>
      <xdr:row>237</xdr:row>
      <xdr:rowOff>138112</xdr:rowOff>
    </xdr:from>
    <xdr:to>
      <xdr:col>13</xdr:col>
      <xdr:colOff>57150</xdr:colOff>
      <xdr:row>255</xdr:row>
      <xdr:rowOff>57150</xdr:rowOff>
    </xdr:to>
    <xdr:graphicFrame macro="">
      <xdr:nvGraphicFramePr>
        <xdr:cNvPr id="2" name="Chart 1">
          <a:extLst>
            <a:ext uri="{FF2B5EF4-FFF2-40B4-BE49-F238E27FC236}">
              <a16:creationId xmlns:a16="http://schemas.microsoft.com/office/drawing/2014/main" id="{E2B03252-5ACE-0E4B-A42F-42E21BCD6D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55</xdr:col>
      <xdr:colOff>449036</xdr:colOff>
      <xdr:row>27</xdr:row>
      <xdr:rowOff>179614</xdr:rowOff>
    </xdr:from>
    <xdr:to>
      <xdr:col>68</xdr:col>
      <xdr:colOff>476249</xdr:colOff>
      <xdr:row>46</xdr:row>
      <xdr:rowOff>152400</xdr:rowOff>
    </xdr:to>
    <xdr:graphicFrame macro="">
      <xdr:nvGraphicFramePr>
        <xdr:cNvPr id="2" name="Chart 1" descr="{&quot;ChartDesign&quot;:{&quot;Column&quot;:null,&quot;Bar&quot;:null,&quot;Pie&quot;:null,&quot;Doughnut&quot;:null,&quot;PieDoughnut&quot;:null,&quot;Line&quot;:null,&quot;LineRadarScatter&quot;:null,&quot;Stacked&quot;:null,&quot;Scatter&quot;:null,&quot;Radar&quot;:null,&quot;Waterfall&quot;:null,&quot;BoxWhisker&quot;:null,&quot;SunBurst&quot;:null,&quot;Funnel&quot;:null,&quot;Histogram&quot;:null,&quot;TreeMap&quot;:null,&quot;LineWithMarkers&quot;:null,&quot;General&quot;:null,&quot;Gridlines&quot;:null,&quot;Axis&quot;:null,&quot;ChartTitle&quot;:null,&quot;Legend&quot;:null,&quot;ChartArea&quot;:null,&quot;PlotArea&quot;:null,&quot;CustomRules&quot;:[{&quot;Type&quot;:&quot;SetBorderSeriesStackedPointPieOrDoughnutSlice&quot;,&quot;Content&quot;:&quot;White;1;50;true&quot;}],&quot;DataSeries&quot;:[{&quot;PrimaryColorRef&quot;:&quot;Bronze 50&quot;,&quot;OutlineColorRef&quot;:null,&quot;HasMarker&quot;:null,&quot;MarkerStyle&quot;:null,&quot;MarkerSize&quot;:null,&quot;MarkerFillColorRef&quot;:null,&quot;MarkerBorderColorRef&quot;:null,&quot;DataLabelColorRef&quot;:null,&quot;PatternType&quot;:null,&quot;PatternBackgroundColorRef&quot;:null},{&quot;PrimaryColorRef&quot;:&quot;Lagoon 90&quot;,&quot;OutlineColorRef&quot;:null,&quot;HasMarker&quot;:null,&quot;MarkerStyle&quot;:null,&quot;MarkerSize&quot;:null,&quot;MarkerFillColorRef&quot;:null,&quot;MarkerBorderColorRef&quot;:null,&quot;DataLabelColorRef&quot;:null,&quot;PatternType&quot;:null,&quot;PatternBackgroundColorRef&quot;:null},{&quot;PrimaryColorRef&quot;:&quot;Kiwi 50&quot;,&quot;OutlineColorRef&quot;:null,&quot;HasMarker&quot;:null,&quot;MarkerStyle&quot;:null,&quot;MarkerSize&quot;:null,&quot;MarkerFillColorRef&quot;:null,&quot;MarkerBorderColorRef&quot;:null,&quot;DataLabelColorRef&quot;:null,&quot;PatternType&quot;:null,&quot;PatternBackgroundColorRef&quot;:null},{&quot;PrimaryColorRef&quot;:&quot;Aubergine 90&quot;,&quot;OutlineColorRef&quot;:null,&quot;HasMarker&quot;:null,&quot;MarkerStyle&quot;:null,&quot;MarkerSize&quot;:null,&quot;MarkerFillColorRef&quot;:null,&quot;MarkerBorderColorRef&quot;:null,&quot;DataLabelColorRef&quot;:null,&quot;PatternType&quot;:null,&quot;PatternBackgroundColorRef&quot;:null},{&quot;PrimaryColorRef&quot;:&quot;Sand 50&quot;,&quot;OutlineColorRef&quot;:null,&quot;HasMarker&quot;:null,&quot;MarkerStyle&quot;:null,&quot;MarkerSize&quot;:null,&quot;MarkerFillColorRef&quot;:null,&quot;MarkerBorderColorRef&quot;:null,&quot;DataLabelColorRef&quot;:null,&quot;PatternType&quot;:null,&quot;PatternBackgroundColorRef&quot;:null},{&quot;PrimaryColorRef&quot;:&quot;Plum 90&quot;,&quot;OutlineColorRef&quot;:null,&quot;HasMarker&quot;:null,&quot;MarkerStyle&quot;:null,&quot;MarkerSize&quot;:null,&quot;MarkerFillColorRef&quot;:null,&quot;MarkerBorderColorRef&quot;:null,&quot;DataLabelColorRef&quot;:null,&quot;PatternType&quot;:null,&quot;PatternBackgroundColorRef&quot;:null},{&quot;PrimaryColorRef&quot;:&quot;Sage 50&quot;,&quot;OutlineColorRef&quot;:null,&quot;HasMarker&quot;:null,&quot;MarkerStyle&quot;:null,&quot;MarkerSize&quot;:null,&quot;MarkerFillColorRef&quot;:null,&quot;MarkerBorderColorRef&quot;:null,&quot;DataLabelColorRef&quot;:null,&quot;PatternType&quot;:null,&quot;PatternBackgroundColorRef&quot;:null},{&quot;PrimaryColorRef&quot;:&quot;Blush 90&quot;,&quot;OutlineColorRef&quot;:null,&quot;HasMarker&quot;:null,&quot;MarkerStyle&quot;:null,&quot;MarkerSize&quot;:null,&quot;MarkerFillColorRef&quot;:null,&quot;MarkerBorderColorRef&quot;:null,&quot;DataLabelColorRef&quot;:null,&quot;PatternType&quot;:null,&quot;PatternBackgroundColorRef&quot;:null},{&quot;PrimaryColorRef&quot;:&quot;Lavender 50&quot;,&quot;OutlineColorRef&quot;:null,&quot;HasMarker&quot;:null,&quot;MarkerStyle&quot;:null,&quot;MarkerSize&quot;:null,&quot;MarkerFillColorRef&quot;:null,&quot;MarkerBorderColorRef&quot;:null,&quot;DataLabelColorRef&quot;:null,&quot;PatternType&quot;:null,&quot;PatternBackgroundColorRef&quot;:null},{&quot;PrimaryColorRef&quot;:&quot;Lake 50&quot;,&quot;OutlineColorRef&quot;:null,&quot;HasMarker&quot;:null,&quot;MarkerStyle&quot;:null,&quot;MarkerSize&quot;:null,&quot;MarkerFillColorRef&quot;:null,&quot;MarkerBorderColorRef&quot;:null,&quot;DataLabelColorRef&quot;:null,&quot;PatternType&quot;:null,&quot;PatternBackgroundColorRef&quot;:null},{&quot;PrimaryColorRef&quot;:&quot;Bronze 90&quot;,&quot;OutlineColorRef&quot;:null,&quot;HasMarker&quot;:null,&quot;MarkerStyle&quot;:null,&quot;MarkerSize&quot;:null,&quot;MarkerFillColorRef&quot;:null,&quot;MarkerBorderColorRef&quot;:null,&quot;DataLabelColorRef&quot;:null,&quot;PatternType&quot;:null,&quot;PatternBackgroundColorRef&quot;:null},{&quot;PrimaryColorRef&quot;:&quot;Aubergine 50&quot;,&quot;OutlineColorRef&quot;:null,&quot;HasMarker&quot;:null,&quot;MarkerStyle&quot;:null,&quot;MarkerSize&quot;:null,&quot;MarkerFillColorRef&quot;:null,&quot;MarkerBorderColorRef&quot;:null,&quot;DataLabelColorRef&quot;:null,&quot;PatternType&quot;:null,&quot;PatternBackgroundColorRef&quot;:null},{&quot;PrimaryColorRef&quot;:&quot;Mint 50&quot;,&quot;OutlineColorRef&quot;:null,&quot;HasMarker&quot;:null,&quot;MarkerStyle&quot;:null,&quot;MarkerSize&quot;:null,&quot;MarkerFillColorRef&quot;:null,&quot;MarkerBorderColorRef&quot;:null,&quot;DataLabelColorRef&quot;:null,&quot;PatternType&quot;:null,&quot;PatternBackgroundColorRef&quot;:null},{&quot;PrimaryColorRef&quot;:&quot;Plum 50&quot;,&quot;OutlineColorRef&quot;:null,&quot;HasMarker&quot;:null,&quot;MarkerStyle&quot;:null,&quot;MarkerSize&quot;:null,&quot;MarkerFillColorRef&quot;:null,&quot;MarkerBorderColorRef&quot;:null,&quot;DataLabelColorRef&quot;:null,&quot;PatternType&quot;:null,&quot;PatternBackgroundColorRef&quot;:null},{&quot;PrimaryColorRef&quot;:&quot;Blush 50&quot;,&quot;OutlineColorRef&quot;:null,&quot;HasMarker&quot;:null,&quot;MarkerStyle&quot;:null,&quot;MarkerSize&quot;:null,&quot;MarkerFillColorRef&quot;:null,&quot;MarkerBorderColorRef&quot;:null,&quot;DataLabelColorRef&quot;:null,&quot;PatternType&quot;:null,&quot;PatternBackgroundColorRef&quot;:null},{&quot;PrimaryColorRef&quot;:&quot;Sage 90&quot;,&quot;OutlineColorRef&quot;:null,&quot;HasMarker&quot;:null,&quot;MarkerStyle&quot;:null,&quot;MarkerSize&quot;:null,&quot;MarkerFillColorRef&quot;:null,&quot;MarkerBorderColorRef&quot;:null,&quot;DataLabelColorRef&quot;:null,&quot;PatternType&quot;:null,&quot;PatternBackgroundColorRef&quot;:null},{&quot;PrimaryColorRef&quot;:&quot;Lavender 90&quot;,&quot;OutlineColorRef&quot;:null,&quot;HasMarker&quot;:null,&quot;MarkerStyle&quot;:null,&quot;MarkerSize&quot;:null,&quot;MarkerFillColorRef&quot;:null,&quot;MarkerBorderColorRef&quot;:null,&quot;DataLabelColorRef&quot;:null,&quot;PatternType&quot;:null,&quot;PatternBackgroundColorRef&quot;:null},{&quot;PrimaryColorRef&quot;:&quot;Chocolate 50&quot;,&quot;OutlineColorRef&quot;:null,&quot;HasMarker&quot;:null,&quot;MarkerStyle&quot;:null,&quot;MarkerSize&quot;:null,&quot;MarkerFillColorRef&quot;:null,&quot;MarkerBorderColorRef&quot;:null,&quot;DataLabelColorRef&quot;:null,&quot;PatternType&quot;:null,&quot;PatternBackgroundColorRef&quot;:null},{&quot;PrimaryColorRef&quot;:&quot;Lake 90&quot;,&quot;OutlineColorRef&quot;:null,&quot;HasMarker&quot;:null,&quot;MarkerStyle&quot;:null,&quot;MarkerSize&quot;:null,&quot;MarkerFillColorRef&quot;:null,&quot;MarkerBorderColorRef&quot;:null,&quot;DataLabelColorRef&quot;:null,&quot;PatternType&quot;:null,&quot;PatternBackgroundColorRef&quot;:null},{&quot;PrimaryColorRef&quot;:&quot;Bordeaux 90&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SeriesDesign&quot;:null,&quot;SkipBlankSeries&quot;:true,&quot;HasChartTitle&quot;:null},&quot;ColorSchema&quot;:{&quot;White&quot;:&quot;255,255,255&quot;,&quot;Black&quot;:&quot;0,0,0&quot;,&quot;Gray 1&quot;:&quot;204,204,204&quot;,&quot;Lake&quot;:&quot;111,182,223&quot;,&quot;Gray 4&quot;:&quot;71,71,71&quot;,&quot;Kiwi&quot;:&quot;205,215,96&quot;,&quot;Gray 2&quot;:&quot;176,176,176&quot;,&quot;Glacier&quot;:&quot;161,204,228&quot;,&quot;Gray 5&quot;:&quot;43,43,43&quot;,&quot;Lemongrass&quot;:&quot;230,235,176&quot;,&quot;Gray 3&quot;:&quot;117,117,117&quot;,&quot;Lagoon&quot;:&quot;0,155,210&quot;,&quot;Olive&quot;:&quot;144,167,35&quot;,&quot;Lavender&quot;:&quot;175,188,213&quot;,&quot;Mint&quot;:&quot;85,177,180&quot;,&quot;Curry&quot;:&quot;229,176,28&quot;,&quot;Plum&quot;:&quot;58,87,138&quot;,&quot;Sage&quot;:&quot;151,211,204&quot;,&quot;Honey&quot;:&quot;237,200,96&quot;,&quot;Lilac&quot;:&quot;108,135,179&quot;,&quot;Pine&quot;:&quot;0,137,141&quot;,&quot;Straw&quot;:&quot;242,216,142&quot;,&quot;Clay&quot;:&quot;123,107,89&quot;,&quot;Cinnamon&quot;:&quot;230,182,164&quot;,&quot;Terracotta&quot;:&quot;192,113,86&quot;,&quot;Mouse&quot;:&quot;190,178,158&quot;,&quot;Chocolate&quot;:&quot;77,60,47&quot;,&quot;Caramel&quot;:&quot;207,189,155&quot;,&quot;Chestnut&quot;:&quot;164,55,37&quot;,&quot;Transparent&quot;:&quot;0,255,0,0&quot;,&quot;BordeauxI&quot;:&quot;189,0,12&quot;,&quot;BordeauxII&quot;:&quot;138,0,10&quot;,&quot;BordeauxIII&quot;:&quot;98,0,4&quot;,&quot;GrayIII&quot;:&quot;142,141,131&quot;,&quot;GrayIV&quot;:&quot;122,120,112&quot;,&quot;GrayV&quot;:&quot;90,93,92&quot;,&quot;GrayVI&quot;:&quot;64,64,64&quot;,&quot;BronzeI&quot;:&quot;185,142,44&quot;,&quot;BronzeII&quot;:&quot;148,111,41&quot;,&quot;BronzeIII&quot;:&quot;108,83,18&quot;,&quot;Bronze 50&quot;:&quot;174,134,38&quot;,&quot;Lagoon 90&quot;:&quot;0,118,158&quot;,&quot;Kiwi 50&quot;:&quot;135,148,32&quot;,&quot;Aubergine 90&quot;:&quot;76,45,89&quot;,&quot;Sand 50&quot;:&quot;159,136,102&quot;,&quot;Plum 90&quot;:&quot;47,71,107&quot;,&quot;Sage 50&quot;:&quot;71,154,108&quot;,&quot;Blush 90&quot;:&quot;174,62,74&quot;,&quot;Lavender 50&quot;:&quot;131,137,189&quot;,&quot;Lake 50&quot;:&quot;12,126,197&quot;,&quot;Bronze 90&quot;:&quot;101,77,22&quot;,&quot;Aubergine 50&quot;:&quot;128,76,150&quot;,&quot;Mint 50&quot;:&quot;69,152,156&quot;,&quot;Plum 50&quot;:&quot;73,113,172&quot;,&quot;Blush 50&quot;:&quot;204,112,123&quot;,&quot;Sage 90&quot;:&quot;41,91,64&quot;,&quot;Lavender 90&quot;:&quot;85,90,156&quot;,&quot;Chocolate 50&quot;:&quot;121,94,75&quot;,&quot;Lake 90&quot;:&quot;7,70,111&quot;,&quot;Bordeaux 90&quot;:&quot;99,0,5&quot;}}">
          <a:extLst>
            <a:ext uri="{FF2B5EF4-FFF2-40B4-BE49-F238E27FC236}">
              <a16:creationId xmlns:a16="http://schemas.microsoft.com/office/drawing/2014/main" id="{5B369A2E-21F2-47FE-A5CD-CF79A3B3E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56</xdr:col>
      <xdr:colOff>0</xdr:colOff>
      <xdr:row>50</xdr:row>
      <xdr:rowOff>0</xdr:rowOff>
    </xdr:from>
    <xdr:to>
      <xdr:col>69</xdr:col>
      <xdr:colOff>27213</xdr:colOff>
      <xdr:row>68</xdr:row>
      <xdr:rowOff>163286</xdr:rowOff>
    </xdr:to>
    <xdr:graphicFrame macro="">
      <xdr:nvGraphicFramePr>
        <xdr:cNvPr id="3" name="Chart 2" descr="{&quot;ChartDesign&quot;:{&quot;Column&quot;:null,&quot;Bar&quot;:null,&quot;Pie&quot;:null,&quot;Doughnut&quot;:null,&quot;PieDoughnut&quot;:null,&quot;Line&quot;:null,&quot;LineRadarScatter&quot;:null,&quot;Stacked&quot;:null,&quot;Scatter&quot;:null,&quot;Radar&quot;:null,&quot;Waterfall&quot;:null,&quot;BoxWhisker&quot;:null,&quot;SunBurst&quot;:null,&quot;Funnel&quot;:null,&quot;Histogram&quot;:null,&quot;TreeMap&quot;:null,&quot;LineWithMarkers&quot;:null,&quot;General&quot;:null,&quot;Gridlines&quot;:null,&quot;Axis&quot;:null,&quot;ChartTitle&quot;:null,&quot;Legend&quot;:null,&quot;ChartArea&quot;:null,&quot;PlotArea&quot;:null,&quot;CustomRules&quot;:[{&quot;Type&quot;:&quot;SetBorderSeriesStackedPointPieOrDoughnutSlice&quot;,&quot;Content&quot;:&quot;White;1;50;true&quot;}],&quot;DataSeries&quot;:[{&quot;PrimaryColorRef&quot;:&quot;GrayIII&quot;,&quot;OutlineColorRef&quot;:null,&quot;HasMarker&quot;:null,&quot;MarkerStyle&quot;:null,&quot;MarkerSize&quot;:null,&quot;MarkerFillColorRef&quot;:null,&quot;MarkerBorderColorRef&quot;:null,&quot;DataLabelColorRef&quot;:null,&quot;PatternType&quot;:null,&quot;PatternBackgroundColorRef&quot;:null},{&quot;PrimaryColorRef&quot;:&quot;GrayV&quot;,&quot;OutlineColorRef&quot;:null,&quot;HasMarker&quot;:null,&quot;MarkerStyle&quot;:null,&quot;MarkerSize&quot;:null,&quot;MarkerFillColorRef&quot;:null,&quot;MarkerBorderColorRef&quot;:null,&quot;DataLabelColorRef&quot;:null,&quot;PatternType&quot;:null,&quot;PatternBackgroundColorRef&quot;:null},{&quot;PrimaryColorRef&quot;:&quot;BordeauxI&quot;,&quot;OutlineColorRef&quot;:null,&quot;HasMarker&quot;:null,&quot;MarkerStyle&quot;:null,&quot;MarkerSize&quot;:null,&quot;MarkerFillColorRef&quot;:null,&quot;MarkerBorderColorRef&quot;:null,&quot;DataLabelColorRef&quot;:null,&quot;PatternType&quot;:null,&quot;PatternBackgroundColorRef&quot;:null},{&quot;PrimaryColorRef&quot;:&quot;BordeauxII&quot;,&quot;OutlineColorRef&quot;:null,&quot;HasMarker&quot;:null,&quot;MarkerStyle&quot;:null,&quot;MarkerSize&quot;:null,&quot;MarkerFillColorRef&quot;:null,&quot;MarkerBorderColorRef&quot;:null,&quot;DataLabelColorRef&quot;:null,&quot;PatternType&quot;:null,&quot;PatternBackgroundColorRef&quot;:null},{&quot;PrimaryColorRef&quot;:&quot;BronzeI&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SeriesDesign&quot;:null,&quot;SkipBlankSeries&quot;:true,&quot;HasChartTitle&quot;:null},&quot;ColorSchema&quot;:{&quot;White&quot;:&quot;255,255,255&quot;,&quot;Black&quot;:&quot;0,0,0&quot;,&quot;Gray 1&quot;:&quot;204,204,204&quot;,&quot;Lake&quot;:&quot;111,182,223&quot;,&quot;Gray 4&quot;:&quot;71,71,71&quot;,&quot;Kiwi&quot;:&quot;205,215,96&quot;,&quot;Gray 2&quot;:&quot;176,176,176&quot;,&quot;Glacier&quot;:&quot;161,204,228&quot;,&quot;Gray 5&quot;:&quot;43,43,43&quot;,&quot;Lemongrass&quot;:&quot;230,235,176&quot;,&quot;Gray 3&quot;:&quot;117,117,117&quot;,&quot;Lagoon&quot;:&quot;0,155,210&quot;,&quot;Olive&quot;:&quot;144,167,35&quot;,&quot;Lavender&quot;:&quot;175,188,213&quot;,&quot;Mint&quot;:&quot;85,177,180&quot;,&quot;Curry&quot;:&quot;229,176,28&quot;,&quot;Plum&quot;:&quot;58,87,138&quot;,&quot;Sage&quot;:&quot;151,211,204&quot;,&quot;Honey&quot;:&quot;237,200,96&quot;,&quot;Lilac&quot;:&quot;108,135,179&quot;,&quot;Pine&quot;:&quot;0,137,141&quot;,&quot;Straw&quot;:&quot;242,216,142&quot;,&quot;Clay&quot;:&quot;123,107,89&quot;,&quot;Cinnamon&quot;:&quot;230,182,164&quot;,&quot;Terracotta&quot;:&quot;192,113,86&quot;,&quot;Mouse&quot;:&quot;190,178,158&quot;,&quot;Chocolate&quot;:&quot;77,60,47&quot;,&quot;Caramel&quot;:&quot;207,189,155&quot;,&quot;Chestnut&quot;:&quot;164,55,37&quot;,&quot;Transparent&quot;:&quot;0,255,0,0&quot;,&quot;BordeauxI&quot;:&quot;189,0,12&quot;,&quot;BordeauxII&quot;:&quot;138,0,10&quot;,&quot;BordeauxIII&quot;:&quot;98,0,4&quot;,&quot;GrayIII&quot;:&quot;142,141,131&quot;,&quot;GrayIV&quot;:&quot;122,120,112&quot;,&quot;GrayV&quot;:&quot;90,93,92&quot;,&quot;GrayVI&quot;:&quot;64,64,64&quot;,&quot;BronzeI&quot;:&quot;185,142,44&quot;,&quot;BronzeII&quot;:&quot;148,111,41&quot;,&quot;BronzeIII&quot;:&quot;108,83,18&quot;,&quot;Bronze 50&quot;:&quot;174,134,38&quot;,&quot;Lagoon 90&quot;:&quot;0,118,158&quot;,&quot;Kiwi 50&quot;:&quot;135,148,32&quot;,&quot;Aubergine 90&quot;:&quot;76,45,89&quot;,&quot;Sand 50&quot;:&quot;159,136,102&quot;,&quot;Plum 90&quot;:&quot;47,71,107&quot;,&quot;Sage 50&quot;:&quot;71,154,108&quot;,&quot;Blush 90&quot;:&quot;174,62,74&quot;,&quot;Lavender 50&quot;:&quot;131,137,189&quot;,&quot;Lake 50&quot;:&quot;12,126,197&quot;,&quot;Bronze 90&quot;:&quot;101,77,22&quot;,&quot;Aubergine 50&quot;:&quot;128,76,150&quot;,&quot;Mint 50&quot;:&quot;69,152,156&quot;,&quot;Plum 50&quot;:&quot;73,113,172&quot;,&quot;Blush 50&quot;:&quot;204,112,123&quot;,&quot;Sage 90&quot;:&quot;41,91,64&quot;,&quot;Lavender 90&quot;:&quot;85,90,156&quot;,&quot;Chocolate 50&quot;:&quot;121,94,75&quot;,&quot;Lake 90&quot;:&quot;7,70,111&quot;,&quot;Bordeaux 90&quot;:&quot;99,0,5&quot;}}">
          <a:extLst>
            <a:ext uri="{FF2B5EF4-FFF2-40B4-BE49-F238E27FC236}">
              <a16:creationId xmlns:a16="http://schemas.microsoft.com/office/drawing/2014/main" id="{BB455771-35B1-42C9-9462-50109938BC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161</xdr:col>
      <xdr:colOff>367692</xdr:colOff>
      <xdr:row>33</xdr:row>
      <xdr:rowOff>187800</xdr:rowOff>
    </xdr:from>
    <xdr:to>
      <xdr:col>167</xdr:col>
      <xdr:colOff>704169</xdr:colOff>
      <xdr:row>47</xdr:row>
      <xdr:rowOff>44924</xdr:rowOff>
    </xdr:to>
    <xdr:graphicFrame macro="">
      <xdr:nvGraphicFramePr>
        <xdr:cNvPr id="2" name="Chart 1" descr="{&quot;ChartDesign&quot;:{&quot;Column&quot;:null,&quot;Bar&quot;:null,&quot;Pie&quot;:null,&quot;Doughnut&quot;:null,&quot;PieDoughnut&quot;:null,&quot;Line&quot;:null,&quot;LineRadarScatter&quot;:null,&quot;Stacked&quot;:null,&quot;Scatter&quot;:null,&quot;Radar&quot;:null,&quot;Waterfall&quot;:null,&quot;BoxWhisker&quot;:null,&quot;SunBurst&quot;:null,&quot;Funnel&quot;:null,&quot;Histogram&quot;:null,&quot;TreeMap&quot;:null,&quot;LineWithMarkers&quot;:null,&quot;General&quot;:null,&quot;Gridlines&quot;:null,&quot;Axis&quot;:null,&quot;ChartTitle&quot;:null,&quot;Legend&quot;:null,&quot;ChartArea&quot;:null,&quot;PlotArea&quot;:null,&quot;CustomRules&quot;:[{&quot;Type&quot;:&quot;SetBorderSeriesStackedPointPieOrDoughnutSlice&quot;,&quot;Content&quot;:&quot;White;1;50;true&quot;}],&quot;DataSeries&quot;:[{&quot;PrimaryColorRef&quot;:&quot;Bronze 50&quot;,&quot;OutlineColorRef&quot;:null,&quot;HasMarker&quot;:null,&quot;MarkerStyle&quot;:null,&quot;MarkerSize&quot;:null,&quot;MarkerFillColorRef&quot;:null,&quot;MarkerBorderColorRef&quot;:null,&quot;DataLabelColorRef&quot;:null,&quot;PatternType&quot;:null,&quot;PatternBackgroundColorRef&quot;:null},{&quot;PrimaryColorRef&quot;:&quot;Lagoon 90&quot;,&quot;OutlineColorRef&quot;:null,&quot;HasMarker&quot;:null,&quot;MarkerStyle&quot;:null,&quot;MarkerSize&quot;:null,&quot;MarkerFillColorRef&quot;:null,&quot;MarkerBorderColorRef&quot;:null,&quot;DataLabelColorRef&quot;:null,&quot;PatternType&quot;:null,&quot;PatternBackgroundColorRef&quot;:null},{&quot;PrimaryColorRef&quot;:&quot;Kiwi 50&quot;,&quot;OutlineColorRef&quot;:null,&quot;HasMarker&quot;:null,&quot;MarkerStyle&quot;:null,&quot;MarkerSize&quot;:null,&quot;MarkerFillColorRef&quot;:null,&quot;MarkerBorderColorRef&quot;:null,&quot;DataLabelColorRef&quot;:null,&quot;PatternType&quot;:null,&quot;PatternBackgroundColorRef&quot;:null},{&quot;PrimaryColorRef&quot;:&quot;Aubergine 90&quot;,&quot;OutlineColorRef&quot;:null,&quot;HasMarker&quot;:null,&quot;MarkerStyle&quot;:null,&quot;MarkerSize&quot;:null,&quot;MarkerFillColorRef&quot;:null,&quot;MarkerBorderColorRef&quot;:null,&quot;DataLabelColorRef&quot;:null,&quot;PatternType&quot;:null,&quot;PatternBackgroundColorRef&quot;:null},{&quot;PrimaryColorRef&quot;:&quot;Sand 50&quot;,&quot;OutlineColorRef&quot;:null,&quot;HasMarker&quot;:null,&quot;MarkerStyle&quot;:null,&quot;MarkerSize&quot;:null,&quot;MarkerFillColorRef&quot;:null,&quot;MarkerBorderColorRef&quot;:null,&quot;DataLabelColorRef&quot;:null,&quot;PatternType&quot;:null,&quot;PatternBackgroundColorRef&quot;:null},{&quot;PrimaryColorRef&quot;:&quot;Plum 90&quot;,&quot;OutlineColorRef&quot;:null,&quot;HasMarker&quot;:null,&quot;MarkerStyle&quot;:null,&quot;MarkerSize&quot;:null,&quot;MarkerFillColorRef&quot;:null,&quot;MarkerBorderColorRef&quot;:null,&quot;DataLabelColorRef&quot;:null,&quot;PatternType&quot;:null,&quot;PatternBackgroundColorRef&quot;:null},{&quot;PrimaryColorRef&quot;:&quot;Sage 50&quot;,&quot;OutlineColorRef&quot;:null,&quot;HasMarker&quot;:null,&quot;MarkerStyle&quot;:null,&quot;MarkerSize&quot;:null,&quot;MarkerFillColorRef&quot;:null,&quot;MarkerBorderColorRef&quot;:null,&quot;DataLabelColorRef&quot;:null,&quot;PatternType&quot;:null,&quot;PatternBackgroundColorRef&quot;:null},{&quot;PrimaryColorRef&quot;:&quot;Blush 90&quot;,&quot;OutlineColorRef&quot;:null,&quot;HasMarker&quot;:null,&quot;MarkerStyle&quot;:null,&quot;MarkerSize&quot;:null,&quot;MarkerFillColorRef&quot;:null,&quot;MarkerBorderColorRef&quot;:null,&quot;DataLabelColorRef&quot;:null,&quot;PatternType&quot;:null,&quot;PatternBackgroundColorRef&quot;:null},{&quot;PrimaryColorRef&quot;:&quot;Lavender 50&quot;,&quot;OutlineColorRef&quot;:null,&quot;HasMarker&quot;:null,&quot;MarkerStyle&quot;:null,&quot;MarkerSize&quot;:null,&quot;MarkerFillColorRef&quot;:null,&quot;MarkerBorderColorRef&quot;:null,&quot;DataLabelColorRef&quot;:null,&quot;PatternType&quot;:null,&quot;PatternBackgroundColorRef&quot;:null},{&quot;PrimaryColorRef&quot;:&quot;Lake 50&quot;,&quot;OutlineColorRef&quot;:null,&quot;HasMarker&quot;:null,&quot;MarkerStyle&quot;:null,&quot;MarkerSize&quot;:null,&quot;MarkerFillColorRef&quot;:null,&quot;MarkerBorderColorRef&quot;:null,&quot;DataLabelColorRef&quot;:null,&quot;PatternType&quot;:null,&quot;PatternBackgroundColorRef&quot;:null},{&quot;PrimaryColorRef&quot;:&quot;Bronze 90&quot;,&quot;OutlineColorRef&quot;:null,&quot;HasMarker&quot;:null,&quot;MarkerStyle&quot;:null,&quot;MarkerSize&quot;:null,&quot;MarkerFillColorRef&quot;:null,&quot;MarkerBorderColorRef&quot;:null,&quot;DataLabelColorRef&quot;:null,&quot;PatternType&quot;:null,&quot;PatternBackgroundColorRef&quot;:null},{&quot;PrimaryColorRef&quot;:&quot;Aubergine 50&quot;,&quot;OutlineColorRef&quot;:null,&quot;HasMarker&quot;:null,&quot;MarkerStyle&quot;:null,&quot;MarkerSize&quot;:null,&quot;MarkerFillColorRef&quot;:null,&quot;MarkerBorderColorRef&quot;:null,&quot;DataLabelColorRef&quot;:null,&quot;PatternType&quot;:null,&quot;PatternBackgroundColorRef&quot;:null},{&quot;PrimaryColorRef&quot;:&quot;Mint 50&quot;,&quot;OutlineColorRef&quot;:null,&quot;HasMarker&quot;:null,&quot;MarkerStyle&quot;:null,&quot;MarkerSize&quot;:null,&quot;MarkerFillColorRef&quot;:null,&quot;MarkerBorderColorRef&quot;:null,&quot;DataLabelColorRef&quot;:null,&quot;PatternType&quot;:null,&quot;PatternBackgroundColorRef&quot;:null},{&quot;PrimaryColorRef&quot;:&quot;Plum 50&quot;,&quot;OutlineColorRef&quot;:null,&quot;HasMarker&quot;:null,&quot;MarkerStyle&quot;:null,&quot;MarkerSize&quot;:null,&quot;MarkerFillColorRef&quot;:null,&quot;MarkerBorderColorRef&quot;:null,&quot;DataLabelColorRef&quot;:null,&quot;PatternType&quot;:null,&quot;PatternBackgroundColorRef&quot;:null},{&quot;PrimaryColorRef&quot;:&quot;Blush 50&quot;,&quot;OutlineColorRef&quot;:null,&quot;HasMarker&quot;:null,&quot;MarkerStyle&quot;:null,&quot;MarkerSize&quot;:null,&quot;MarkerFillColorRef&quot;:null,&quot;MarkerBorderColorRef&quot;:null,&quot;DataLabelColorRef&quot;:null,&quot;PatternType&quot;:null,&quot;PatternBackgroundColorRef&quot;:null},{&quot;PrimaryColorRef&quot;:&quot;Sage 90&quot;,&quot;OutlineColorRef&quot;:null,&quot;HasMarker&quot;:null,&quot;MarkerStyle&quot;:null,&quot;MarkerSize&quot;:null,&quot;MarkerFillColorRef&quot;:null,&quot;MarkerBorderColorRef&quot;:null,&quot;DataLabelColorRef&quot;:null,&quot;PatternType&quot;:null,&quot;PatternBackgroundColorRef&quot;:null},{&quot;PrimaryColorRef&quot;:&quot;Lavender 90&quot;,&quot;OutlineColorRef&quot;:null,&quot;HasMarker&quot;:null,&quot;MarkerStyle&quot;:null,&quot;MarkerSize&quot;:null,&quot;MarkerFillColorRef&quot;:null,&quot;MarkerBorderColorRef&quot;:null,&quot;DataLabelColorRef&quot;:null,&quot;PatternType&quot;:null,&quot;PatternBackgroundColorRef&quot;:null},{&quot;PrimaryColorRef&quot;:&quot;Chocolate 50&quot;,&quot;OutlineColorRef&quot;:null,&quot;HasMarker&quot;:null,&quot;MarkerStyle&quot;:null,&quot;MarkerSize&quot;:null,&quot;MarkerFillColorRef&quot;:null,&quot;MarkerBorderColorRef&quot;:null,&quot;DataLabelColorRef&quot;:null,&quot;PatternType&quot;:null,&quot;PatternBackgroundColorRef&quot;:null},{&quot;PrimaryColorRef&quot;:&quot;Lake 90&quot;,&quot;OutlineColorRef&quot;:null,&quot;HasMarker&quot;:null,&quot;MarkerStyle&quot;:null,&quot;MarkerSize&quot;:null,&quot;MarkerFillColorRef&quot;:null,&quot;MarkerBorderColorRef&quot;:null,&quot;DataLabelColorRef&quot;:null,&quot;PatternType&quot;:null,&quot;PatternBackgroundColorRef&quot;:null},{&quot;PrimaryColorRef&quot;:&quot;Bordeaux 90&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SeriesDesign&quot;:null,&quot;SkipBlankSeries&quot;:true,&quot;HasChartTitle&quot;:null},&quot;ColorSchema&quot;:{&quot;White&quot;:&quot;255,255,255&quot;,&quot;Black&quot;:&quot;0,0,0&quot;,&quot;Gray 1&quot;:&quot;204,204,204&quot;,&quot;Lake&quot;:&quot;111,182,223&quot;,&quot;Gray 4&quot;:&quot;71,71,71&quot;,&quot;Kiwi&quot;:&quot;205,215,96&quot;,&quot;Gray 2&quot;:&quot;176,176,176&quot;,&quot;Glacier&quot;:&quot;161,204,228&quot;,&quot;Gray 5&quot;:&quot;43,43,43&quot;,&quot;Lemongrass&quot;:&quot;230,235,176&quot;,&quot;Gray 3&quot;:&quot;117,117,117&quot;,&quot;Lagoon&quot;:&quot;0,155,210&quot;,&quot;Olive&quot;:&quot;144,167,35&quot;,&quot;Lavender&quot;:&quot;175,188,213&quot;,&quot;Mint&quot;:&quot;85,177,180&quot;,&quot;Curry&quot;:&quot;229,176,28&quot;,&quot;Plum&quot;:&quot;58,87,138&quot;,&quot;Sage&quot;:&quot;151,211,204&quot;,&quot;Honey&quot;:&quot;237,200,96&quot;,&quot;Lilac&quot;:&quot;108,135,179&quot;,&quot;Pine&quot;:&quot;0,137,141&quot;,&quot;Straw&quot;:&quot;242,216,142&quot;,&quot;Clay&quot;:&quot;123,107,89&quot;,&quot;Cinnamon&quot;:&quot;230,182,164&quot;,&quot;Terracotta&quot;:&quot;192,113,86&quot;,&quot;Mouse&quot;:&quot;190,178,158&quot;,&quot;Chocolate&quot;:&quot;77,60,47&quot;,&quot;Caramel&quot;:&quot;207,189,155&quot;,&quot;Chestnut&quot;:&quot;164,55,37&quot;,&quot;Transparent&quot;:&quot;0,255,0,0&quot;,&quot;BordeauxI&quot;:&quot;189,0,12&quot;,&quot;BordeauxII&quot;:&quot;138,0,10&quot;,&quot;BordeauxIII&quot;:&quot;98,0,4&quot;,&quot;GrayIII&quot;:&quot;142,141,131&quot;,&quot;GrayIV&quot;:&quot;122,120,112&quot;,&quot;GrayV&quot;:&quot;90,93,92&quot;,&quot;GrayVI&quot;:&quot;64,64,64&quot;,&quot;BronzeI&quot;:&quot;185,142,44&quot;,&quot;BronzeII&quot;:&quot;148,111,41&quot;,&quot;BronzeIII&quot;:&quot;108,83,18&quot;,&quot;Bronze 50&quot;:&quot;174,134,38&quot;,&quot;Lagoon 90&quot;:&quot;0,118,158&quot;,&quot;Kiwi 50&quot;:&quot;135,148,32&quot;,&quot;Aubergine 90&quot;:&quot;76,45,89&quot;,&quot;Sand 50&quot;:&quot;159,136,102&quot;,&quot;Plum 90&quot;:&quot;47,71,107&quot;,&quot;Sage 50&quot;:&quot;71,154,108&quot;,&quot;Blush 90&quot;:&quot;174,62,74&quot;,&quot;Lavender 50&quot;:&quot;131,137,189&quot;,&quot;Lake 50&quot;:&quot;12,126,197&quot;,&quot;Bronze 90&quot;:&quot;101,77,22&quot;,&quot;Aubergine 50&quot;:&quot;128,76,150&quot;,&quot;Mint 50&quot;:&quot;69,152,156&quot;,&quot;Plum 50&quot;:&quot;73,113,172&quot;,&quot;Blush 50&quot;:&quot;204,112,123&quot;,&quot;Sage 90&quot;:&quot;41,91,64&quot;,&quot;Lavender 90&quot;:&quot;85,90,156&quot;,&quot;Chocolate 50&quot;:&quot;121,94,75&quot;,&quot;Lake 90&quot;:&quot;7,70,111&quot;,&quot;Bordeaux 90&quot;:&quot;99,0,5&quot;}}">
          <a:extLst>
            <a:ext uri="{FF2B5EF4-FFF2-40B4-BE49-F238E27FC236}">
              <a16:creationId xmlns:a16="http://schemas.microsoft.com/office/drawing/2014/main" id="{868193E3-AE59-4EAC-A618-67165E3C50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149</xdr:col>
      <xdr:colOff>1</xdr:colOff>
      <xdr:row>29</xdr:row>
      <xdr:rowOff>163287</xdr:rowOff>
    </xdr:from>
    <xdr:to>
      <xdr:col>156</xdr:col>
      <xdr:colOff>547184</xdr:colOff>
      <xdr:row>43</xdr:row>
      <xdr:rowOff>20411</xdr:rowOff>
    </xdr:to>
    <xdr:graphicFrame macro="">
      <xdr:nvGraphicFramePr>
        <xdr:cNvPr id="3" name="Chart 2">
          <a:extLst>
            <a:ext uri="{FF2B5EF4-FFF2-40B4-BE49-F238E27FC236}">
              <a16:creationId xmlns:a16="http://schemas.microsoft.com/office/drawing/2014/main" id="{A6575136-0349-4407-A204-0A902B162E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170</xdr:col>
      <xdr:colOff>0</xdr:colOff>
      <xdr:row>48</xdr:row>
      <xdr:rowOff>0</xdr:rowOff>
    </xdr:from>
    <xdr:to>
      <xdr:col>179</xdr:col>
      <xdr:colOff>193397</xdr:colOff>
      <xdr:row>61</xdr:row>
      <xdr:rowOff>47624</xdr:rowOff>
    </xdr:to>
    <xdr:graphicFrame macro="">
      <xdr:nvGraphicFramePr>
        <xdr:cNvPr id="4" name="Chart 3">
          <a:extLst>
            <a:ext uri="{FF2B5EF4-FFF2-40B4-BE49-F238E27FC236}">
              <a16:creationId xmlns:a16="http://schemas.microsoft.com/office/drawing/2014/main" id="{316E4C11-3BD8-4152-B372-4CCF5BFE1C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163</xdr:col>
      <xdr:colOff>353785</xdr:colOff>
      <xdr:row>25</xdr:row>
      <xdr:rowOff>122462</xdr:rowOff>
    </xdr:from>
    <xdr:to>
      <xdr:col>173</xdr:col>
      <xdr:colOff>884463</xdr:colOff>
      <xdr:row>45</xdr:row>
      <xdr:rowOff>176891</xdr:rowOff>
    </xdr:to>
    <xdr:graphicFrame macro="">
      <xdr:nvGraphicFramePr>
        <xdr:cNvPr id="5" name="Chart 4">
          <a:extLst>
            <a:ext uri="{FF2B5EF4-FFF2-40B4-BE49-F238E27FC236}">
              <a16:creationId xmlns:a16="http://schemas.microsoft.com/office/drawing/2014/main" id="{6EDF41F3-F424-4146-ADF2-3A10CA356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175</xdr:col>
      <xdr:colOff>581702</xdr:colOff>
      <xdr:row>65</xdr:row>
      <xdr:rowOff>23812</xdr:rowOff>
    </xdr:from>
    <xdr:to>
      <xdr:col>185</xdr:col>
      <xdr:colOff>292552</xdr:colOff>
      <xdr:row>85</xdr:row>
      <xdr:rowOff>54292</xdr:rowOff>
    </xdr:to>
    <xdr:graphicFrame macro="">
      <xdr:nvGraphicFramePr>
        <xdr:cNvPr id="6" name="Chart 5">
          <a:extLst>
            <a:ext uri="{FF2B5EF4-FFF2-40B4-BE49-F238E27FC236}">
              <a16:creationId xmlns:a16="http://schemas.microsoft.com/office/drawing/2014/main" id="{C7D4A43D-A69E-4454-A3E5-AE4869F107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185</xdr:col>
      <xdr:colOff>0</xdr:colOff>
      <xdr:row>26</xdr:row>
      <xdr:rowOff>0</xdr:rowOff>
    </xdr:from>
    <xdr:to>
      <xdr:col>197</xdr:col>
      <xdr:colOff>517073</xdr:colOff>
      <xdr:row>46</xdr:row>
      <xdr:rowOff>30480</xdr:rowOff>
    </xdr:to>
    <xdr:graphicFrame macro="">
      <xdr:nvGraphicFramePr>
        <xdr:cNvPr id="7" name="Chart 6">
          <a:extLst>
            <a:ext uri="{FF2B5EF4-FFF2-40B4-BE49-F238E27FC236}">
              <a16:creationId xmlns:a16="http://schemas.microsoft.com/office/drawing/2014/main" id="{25EC66B5-ED1A-4AA8-805D-1070FFDF83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185</xdr:col>
      <xdr:colOff>0</xdr:colOff>
      <xdr:row>48</xdr:row>
      <xdr:rowOff>0</xdr:rowOff>
    </xdr:from>
    <xdr:to>
      <xdr:col>197</xdr:col>
      <xdr:colOff>517073</xdr:colOff>
      <xdr:row>68</xdr:row>
      <xdr:rowOff>30480</xdr:rowOff>
    </xdr:to>
    <xdr:graphicFrame macro="">
      <xdr:nvGraphicFramePr>
        <xdr:cNvPr id="8" name="Chart 7">
          <a:extLst>
            <a:ext uri="{FF2B5EF4-FFF2-40B4-BE49-F238E27FC236}">
              <a16:creationId xmlns:a16="http://schemas.microsoft.com/office/drawing/2014/main" id="{EDBA23A8-3F60-4300-803A-F14689D93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188</xdr:col>
      <xdr:colOff>0</xdr:colOff>
      <xdr:row>74</xdr:row>
      <xdr:rowOff>0</xdr:rowOff>
    </xdr:from>
    <xdr:to>
      <xdr:col>200</xdr:col>
      <xdr:colOff>425225</xdr:colOff>
      <xdr:row>94</xdr:row>
      <xdr:rowOff>30480</xdr:rowOff>
    </xdr:to>
    <xdr:graphicFrame macro="">
      <xdr:nvGraphicFramePr>
        <xdr:cNvPr id="9" name="Chart 8">
          <a:extLst>
            <a:ext uri="{FF2B5EF4-FFF2-40B4-BE49-F238E27FC236}">
              <a16:creationId xmlns:a16="http://schemas.microsoft.com/office/drawing/2014/main" id="{0EB39C6C-AD7C-4742-9B6E-EFEFE6EED9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23</xdr:col>
      <xdr:colOff>204106</xdr:colOff>
      <xdr:row>20</xdr:row>
      <xdr:rowOff>163286</xdr:rowOff>
    </xdr:from>
    <xdr:to>
      <xdr:col>45</xdr:col>
      <xdr:colOff>13607</xdr:colOff>
      <xdr:row>47</xdr:row>
      <xdr:rowOff>59186</xdr:rowOff>
    </xdr:to>
    <xdr:graphicFrame macro="">
      <xdr:nvGraphicFramePr>
        <xdr:cNvPr id="2" name="Chart 1" descr="{&quot;ChartDesign&quot;:{&quot;Column&quot;:null,&quot;Bar&quot;:null,&quot;Pie&quot;:null,&quot;Doughnut&quot;:null,&quot;PieDoughnut&quot;:null,&quot;Line&quot;:null,&quot;LineRadarScatter&quot;:null,&quot;Stacked&quot;:null,&quot;Scatter&quot;:null,&quot;Radar&quot;:null,&quot;Waterfall&quot;:null,&quot;BoxWhisker&quot;:null,&quot;SunBurst&quot;:null,&quot;Funnel&quot;:null,&quot;Histogram&quot;:null,&quot;TreeMap&quot;:null,&quot;LineWithMarkers&quot;:null,&quot;General&quot;:null,&quot;Gridlines&quot;:null,&quot;Axis&quot;:null,&quot;ChartTitle&quot;:null,&quot;Legend&quot;:null,&quot;ChartArea&quot;:null,&quot;PlotArea&quot;:null,&quot;CustomRules&quot;:[{&quot;Type&quot;:&quot;SetBorderSeriesStackedPointPieOrDoughnutSlice&quot;,&quot;Content&quot;:&quot;White;1;50;true&quot;}],&quot;DataSeries&quot;:[{&quot;PrimaryColorRef&quot;:&quot;Bronze 50&quot;,&quot;OutlineColorRef&quot;:null,&quot;HasMarker&quot;:null,&quot;MarkerStyle&quot;:null,&quot;MarkerSize&quot;:null,&quot;MarkerFillColorRef&quot;:null,&quot;MarkerBorderColorRef&quot;:null,&quot;DataLabelColorRef&quot;:null,&quot;PatternType&quot;:null,&quot;PatternBackgroundColorRef&quot;:null},{&quot;PrimaryColorRef&quot;:&quot;Lagoon 90&quot;,&quot;OutlineColorRef&quot;:null,&quot;HasMarker&quot;:null,&quot;MarkerStyle&quot;:null,&quot;MarkerSize&quot;:null,&quot;MarkerFillColorRef&quot;:null,&quot;MarkerBorderColorRef&quot;:null,&quot;DataLabelColorRef&quot;:null,&quot;PatternType&quot;:null,&quot;PatternBackgroundColorRef&quot;:null},{&quot;PrimaryColorRef&quot;:&quot;Kiwi 50&quot;,&quot;OutlineColorRef&quot;:null,&quot;HasMarker&quot;:null,&quot;MarkerStyle&quot;:null,&quot;MarkerSize&quot;:null,&quot;MarkerFillColorRef&quot;:null,&quot;MarkerBorderColorRef&quot;:null,&quot;DataLabelColorRef&quot;:null,&quot;PatternType&quot;:null,&quot;PatternBackgroundColorRef&quot;:null},{&quot;PrimaryColorRef&quot;:&quot;Aubergine 90&quot;,&quot;OutlineColorRef&quot;:null,&quot;HasMarker&quot;:null,&quot;MarkerStyle&quot;:null,&quot;MarkerSize&quot;:null,&quot;MarkerFillColorRef&quot;:null,&quot;MarkerBorderColorRef&quot;:null,&quot;DataLabelColorRef&quot;:null,&quot;PatternType&quot;:null,&quot;PatternBackgroundColorRef&quot;:null},{&quot;PrimaryColorRef&quot;:&quot;Sand 50&quot;,&quot;OutlineColorRef&quot;:null,&quot;HasMarker&quot;:null,&quot;MarkerStyle&quot;:null,&quot;MarkerSize&quot;:null,&quot;MarkerFillColorRef&quot;:null,&quot;MarkerBorderColorRef&quot;:null,&quot;DataLabelColorRef&quot;:null,&quot;PatternType&quot;:null,&quot;PatternBackgroundColorRef&quot;:null},{&quot;PrimaryColorRef&quot;:&quot;Plum 90&quot;,&quot;OutlineColorRef&quot;:null,&quot;HasMarker&quot;:null,&quot;MarkerStyle&quot;:null,&quot;MarkerSize&quot;:null,&quot;MarkerFillColorRef&quot;:null,&quot;MarkerBorderColorRef&quot;:null,&quot;DataLabelColorRef&quot;:null,&quot;PatternType&quot;:null,&quot;PatternBackgroundColorRef&quot;:null},{&quot;PrimaryColorRef&quot;:&quot;Sage 50&quot;,&quot;OutlineColorRef&quot;:null,&quot;HasMarker&quot;:null,&quot;MarkerStyle&quot;:null,&quot;MarkerSize&quot;:null,&quot;MarkerFillColorRef&quot;:null,&quot;MarkerBorderColorRef&quot;:null,&quot;DataLabelColorRef&quot;:null,&quot;PatternType&quot;:null,&quot;PatternBackgroundColorRef&quot;:null},{&quot;PrimaryColorRef&quot;:&quot;Blush 90&quot;,&quot;OutlineColorRef&quot;:null,&quot;HasMarker&quot;:null,&quot;MarkerStyle&quot;:null,&quot;MarkerSize&quot;:null,&quot;MarkerFillColorRef&quot;:null,&quot;MarkerBorderColorRef&quot;:null,&quot;DataLabelColorRef&quot;:null,&quot;PatternType&quot;:null,&quot;PatternBackgroundColorRef&quot;:null},{&quot;PrimaryColorRef&quot;:&quot;Lavender 50&quot;,&quot;OutlineColorRef&quot;:null,&quot;HasMarker&quot;:null,&quot;MarkerStyle&quot;:null,&quot;MarkerSize&quot;:null,&quot;MarkerFillColorRef&quot;:null,&quot;MarkerBorderColorRef&quot;:null,&quot;DataLabelColorRef&quot;:null,&quot;PatternType&quot;:null,&quot;PatternBackgroundColorRef&quot;:null},{&quot;PrimaryColorRef&quot;:&quot;Lake 50&quot;,&quot;OutlineColorRef&quot;:null,&quot;HasMarker&quot;:null,&quot;MarkerStyle&quot;:null,&quot;MarkerSize&quot;:null,&quot;MarkerFillColorRef&quot;:null,&quot;MarkerBorderColorRef&quot;:null,&quot;DataLabelColorRef&quot;:null,&quot;PatternType&quot;:null,&quot;PatternBackgroundColorRef&quot;:null},{&quot;PrimaryColorRef&quot;:&quot;Bronze 90&quot;,&quot;OutlineColorRef&quot;:null,&quot;HasMarker&quot;:null,&quot;MarkerStyle&quot;:null,&quot;MarkerSize&quot;:null,&quot;MarkerFillColorRef&quot;:null,&quot;MarkerBorderColorRef&quot;:null,&quot;DataLabelColorRef&quot;:null,&quot;PatternType&quot;:null,&quot;PatternBackgroundColorRef&quot;:null},{&quot;PrimaryColorRef&quot;:&quot;Aubergine 50&quot;,&quot;OutlineColorRef&quot;:null,&quot;HasMarker&quot;:null,&quot;MarkerStyle&quot;:null,&quot;MarkerSize&quot;:null,&quot;MarkerFillColorRef&quot;:null,&quot;MarkerBorderColorRef&quot;:null,&quot;DataLabelColorRef&quot;:null,&quot;PatternType&quot;:null,&quot;PatternBackgroundColorRef&quot;:null},{&quot;PrimaryColorRef&quot;:&quot;Mint 50&quot;,&quot;OutlineColorRef&quot;:null,&quot;HasMarker&quot;:null,&quot;MarkerStyle&quot;:null,&quot;MarkerSize&quot;:null,&quot;MarkerFillColorRef&quot;:null,&quot;MarkerBorderColorRef&quot;:null,&quot;DataLabelColorRef&quot;:null,&quot;PatternType&quot;:null,&quot;PatternBackgroundColorRef&quot;:null},{&quot;PrimaryColorRef&quot;:&quot;Plum 50&quot;,&quot;OutlineColorRef&quot;:null,&quot;HasMarker&quot;:null,&quot;MarkerStyle&quot;:null,&quot;MarkerSize&quot;:null,&quot;MarkerFillColorRef&quot;:null,&quot;MarkerBorderColorRef&quot;:null,&quot;DataLabelColorRef&quot;:null,&quot;PatternType&quot;:null,&quot;PatternBackgroundColorRef&quot;:null},{&quot;PrimaryColorRef&quot;:&quot;Blush 50&quot;,&quot;OutlineColorRef&quot;:null,&quot;HasMarker&quot;:null,&quot;MarkerStyle&quot;:null,&quot;MarkerSize&quot;:null,&quot;MarkerFillColorRef&quot;:null,&quot;MarkerBorderColorRef&quot;:null,&quot;DataLabelColorRef&quot;:null,&quot;PatternType&quot;:null,&quot;PatternBackgroundColorRef&quot;:null},{&quot;PrimaryColorRef&quot;:&quot;Sage 90&quot;,&quot;OutlineColorRef&quot;:null,&quot;HasMarker&quot;:null,&quot;MarkerStyle&quot;:null,&quot;MarkerSize&quot;:null,&quot;MarkerFillColorRef&quot;:null,&quot;MarkerBorderColorRef&quot;:null,&quot;DataLabelColorRef&quot;:null,&quot;PatternType&quot;:null,&quot;PatternBackgroundColorRef&quot;:null},{&quot;PrimaryColorRef&quot;:&quot;Lavender 90&quot;,&quot;OutlineColorRef&quot;:null,&quot;HasMarker&quot;:null,&quot;MarkerStyle&quot;:null,&quot;MarkerSize&quot;:null,&quot;MarkerFillColorRef&quot;:null,&quot;MarkerBorderColorRef&quot;:null,&quot;DataLabelColorRef&quot;:null,&quot;PatternType&quot;:null,&quot;PatternBackgroundColorRef&quot;:null},{&quot;PrimaryColorRef&quot;:&quot;Chocolate 50&quot;,&quot;OutlineColorRef&quot;:null,&quot;HasMarker&quot;:null,&quot;MarkerStyle&quot;:null,&quot;MarkerSize&quot;:null,&quot;MarkerFillColorRef&quot;:null,&quot;MarkerBorderColorRef&quot;:null,&quot;DataLabelColorRef&quot;:null,&quot;PatternType&quot;:null,&quot;PatternBackgroundColorRef&quot;:null},{&quot;PrimaryColorRef&quot;:&quot;Lake 90&quot;,&quot;OutlineColorRef&quot;:null,&quot;HasMarker&quot;:null,&quot;MarkerStyle&quot;:null,&quot;MarkerSize&quot;:null,&quot;MarkerFillColorRef&quot;:null,&quot;MarkerBorderColorRef&quot;:null,&quot;DataLabelColorRef&quot;:null,&quot;PatternType&quot;:null,&quot;PatternBackgroundColorRef&quot;:null},{&quot;PrimaryColorRef&quot;:&quot;Bordeaux 90&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SeriesDesign&quot;:null,&quot;SkipBlankSeries&quot;:true,&quot;HasChartTitle&quot;:null},&quot;ColorSchema&quot;:{&quot;White&quot;:&quot;255,255,255&quot;,&quot;Black&quot;:&quot;0,0,0&quot;,&quot;Gray 1&quot;:&quot;204,204,204&quot;,&quot;Lake&quot;:&quot;111,182,223&quot;,&quot;Gray 4&quot;:&quot;71,71,71&quot;,&quot;Kiwi&quot;:&quot;205,215,96&quot;,&quot;Gray 2&quot;:&quot;176,176,176&quot;,&quot;Glacier&quot;:&quot;161,204,228&quot;,&quot;Gray 5&quot;:&quot;43,43,43&quot;,&quot;Lemongrass&quot;:&quot;230,235,176&quot;,&quot;Gray 3&quot;:&quot;117,117,117&quot;,&quot;Lagoon&quot;:&quot;0,155,210&quot;,&quot;Olive&quot;:&quot;144,167,35&quot;,&quot;Lavender&quot;:&quot;175,188,213&quot;,&quot;Mint&quot;:&quot;85,177,180&quot;,&quot;Curry&quot;:&quot;229,176,28&quot;,&quot;Plum&quot;:&quot;58,87,138&quot;,&quot;Sage&quot;:&quot;151,211,204&quot;,&quot;Honey&quot;:&quot;237,200,96&quot;,&quot;Lilac&quot;:&quot;108,135,179&quot;,&quot;Pine&quot;:&quot;0,137,141&quot;,&quot;Straw&quot;:&quot;242,216,142&quot;,&quot;Clay&quot;:&quot;123,107,89&quot;,&quot;Cinnamon&quot;:&quot;230,182,164&quot;,&quot;Terracotta&quot;:&quot;192,113,86&quot;,&quot;Mouse&quot;:&quot;190,178,158&quot;,&quot;Chocolate&quot;:&quot;77,60,47&quot;,&quot;Caramel&quot;:&quot;207,189,155&quot;,&quot;Chestnut&quot;:&quot;164,55,37&quot;,&quot;Transparent&quot;:&quot;0,255,0,0&quot;,&quot;BordeauxI&quot;:&quot;189,0,12&quot;,&quot;BordeauxII&quot;:&quot;138,0,10&quot;,&quot;BordeauxIII&quot;:&quot;98,0,4&quot;,&quot;GrayIII&quot;:&quot;142,141,131&quot;,&quot;GrayIV&quot;:&quot;122,120,112&quot;,&quot;GrayV&quot;:&quot;90,93,92&quot;,&quot;GrayVI&quot;:&quot;64,64,64&quot;,&quot;BronzeI&quot;:&quot;185,142,44&quot;,&quot;BronzeII&quot;:&quot;148,111,41&quot;,&quot;BronzeIII&quot;:&quot;108,83,18&quot;,&quot;Bronze 50&quot;:&quot;174,134,38&quot;,&quot;Lagoon 90&quot;:&quot;0,118,158&quot;,&quot;Kiwi 50&quot;:&quot;135,148,32&quot;,&quot;Aubergine 90&quot;:&quot;76,45,89&quot;,&quot;Sand 50&quot;:&quot;159,136,102&quot;,&quot;Plum 90&quot;:&quot;47,71,107&quot;,&quot;Sage 50&quot;:&quot;71,154,108&quot;,&quot;Blush 90&quot;:&quot;174,62,74&quot;,&quot;Lavender 50&quot;:&quot;131,137,189&quot;,&quot;Lake 50&quot;:&quot;12,126,197&quot;,&quot;Bronze 90&quot;:&quot;101,77,22&quot;,&quot;Aubergine 50&quot;:&quot;128,76,150&quot;,&quot;Mint 50&quot;:&quot;69,152,156&quot;,&quot;Plum 50&quot;:&quot;73,113,172&quot;,&quot;Blush 50&quot;:&quot;204,112,123&quot;,&quot;Sage 90&quot;:&quot;41,91,64&quot;,&quot;Lavender 90&quot;:&quot;85,90,156&quot;,&quot;Chocolate 50&quot;:&quot;121,94,75&quot;,&quot;Lake 90&quot;:&quot;7,70,111&quot;,&quot;Bordeaux 90&quot;:&quot;99,0,5&quot;}}">
          <a:extLst>
            <a:ext uri="{FF2B5EF4-FFF2-40B4-BE49-F238E27FC236}">
              <a16:creationId xmlns:a16="http://schemas.microsoft.com/office/drawing/2014/main" id="{7504189A-76A4-4141-8980-F6464FB767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0</xdr:colOff>
      <xdr:row>97</xdr:row>
      <xdr:rowOff>0</xdr:rowOff>
    </xdr:from>
    <xdr:to>
      <xdr:col>32</xdr:col>
      <xdr:colOff>472003</xdr:colOff>
      <xdr:row>120</xdr:row>
      <xdr:rowOff>107640</xdr:rowOff>
    </xdr:to>
    <xdr:graphicFrame macro="">
      <xdr:nvGraphicFramePr>
        <xdr:cNvPr id="3" name="Chart 2">
          <a:extLst>
            <a:ext uri="{FF2B5EF4-FFF2-40B4-BE49-F238E27FC236}">
              <a16:creationId xmlns:a16="http://schemas.microsoft.com/office/drawing/2014/main" id="{487CD4D0-9B06-4C9E-8992-70A56E67EC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25</xdr:col>
      <xdr:colOff>122465</xdr:colOff>
      <xdr:row>52</xdr:row>
      <xdr:rowOff>176892</xdr:rowOff>
    </xdr:from>
    <xdr:to>
      <xdr:col>46</xdr:col>
      <xdr:colOff>517073</xdr:colOff>
      <xdr:row>79</xdr:row>
      <xdr:rowOff>72792</xdr:rowOff>
    </xdr:to>
    <xdr:graphicFrame macro="">
      <xdr:nvGraphicFramePr>
        <xdr:cNvPr id="4" name="Chart 1">
          <a:extLst>
            <a:ext uri="{FF2B5EF4-FFF2-40B4-BE49-F238E27FC236}">
              <a16:creationId xmlns:a16="http://schemas.microsoft.com/office/drawing/2014/main" id="{EBCA8DE2-5AAF-4421-8D9A-1A1CE1ABDE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33</xdr:col>
      <xdr:colOff>324969</xdr:colOff>
      <xdr:row>82</xdr:row>
      <xdr:rowOff>179292</xdr:rowOff>
    </xdr:from>
    <xdr:to>
      <xdr:col>50</xdr:col>
      <xdr:colOff>190500</xdr:colOff>
      <xdr:row>103</xdr:row>
      <xdr:rowOff>168087</xdr:rowOff>
    </xdr:to>
    <xdr:graphicFrame macro="">
      <xdr:nvGraphicFramePr>
        <xdr:cNvPr id="5" name="Chart 1">
          <a:extLst>
            <a:ext uri="{FF2B5EF4-FFF2-40B4-BE49-F238E27FC236}">
              <a16:creationId xmlns:a16="http://schemas.microsoft.com/office/drawing/2014/main" id="{B2322F25-3A39-4B98-AF4E-423AE5BA4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42</xdr:col>
      <xdr:colOff>435428</xdr:colOff>
      <xdr:row>114</xdr:row>
      <xdr:rowOff>40822</xdr:rowOff>
    </xdr:from>
    <xdr:to>
      <xdr:col>44</xdr:col>
      <xdr:colOff>179614</xdr:colOff>
      <xdr:row>119</xdr:row>
      <xdr:rowOff>2722</xdr:rowOff>
    </xdr:to>
    <xdr:cxnSp macro="">
      <xdr:nvCxnSpPr>
        <xdr:cNvPr id="6" name="Straight Connector 5">
          <a:extLst>
            <a:ext uri="{FF2B5EF4-FFF2-40B4-BE49-F238E27FC236}">
              <a16:creationId xmlns:a16="http://schemas.microsoft.com/office/drawing/2014/main" id="{9D380688-0B83-4DD9-B55B-446A84FFF2AA}"/>
            </a:ext>
          </a:extLst>
        </xdr:cNvPr>
        <xdr:cNvCxnSpPr/>
      </xdr:nvCxnSpPr>
      <xdr:spPr>
        <a:xfrm>
          <a:off x="27324503" y="22272172"/>
          <a:ext cx="906236" cy="9144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16</xdr:col>
      <xdr:colOff>474788</xdr:colOff>
      <xdr:row>95</xdr:row>
      <xdr:rowOff>21583</xdr:rowOff>
    </xdr:from>
    <xdr:to>
      <xdr:col>24</xdr:col>
      <xdr:colOff>219075</xdr:colOff>
      <xdr:row>109</xdr:row>
      <xdr:rowOff>97783</xdr:rowOff>
    </xdr:to>
    <xdr:graphicFrame macro="">
      <xdr:nvGraphicFramePr>
        <xdr:cNvPr id="2" name="Chart 1">
          <a:extLst>
            <a:ext uri="{FF2B5EF4-FFF2-40B4-BE49-F238E27FC236}">
              <a16:creationId xmlns:a16="http://schemas.microsoft.com/office/drawing/2014/main" id="{9D3AFBF6-4777-A27E-2219-72CF565219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22</xdr:col>
      <xdr:colOff>187200</xdr:colOff>
      <xdr:row>25</xdr:row>
      <xdr:rowOff>81000</xdr:rowOff>
    </xdr:to>
    <xdr:graphicFrame macro="">
      <xdr:nvGraphicFramePr>
        <xdr:cNvPr id="2" name="Chart 1">
          <a:extLst>
            <a:ext uri="{FF2B5EF4-FFF2-40B4-BE49-F238E27FC236}">
              <a16:creationId xmlns:a16="http://schemas.microsoft.com/office/drawing/2014/main" id="{1FC5BDCB-FB71-4D17-866D-14678D980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38100</xdr:colOff>
      <xdr:row>14</xdr:row>
      <xdr:rowOff>142875</xdr:rowOff>
    </xdr:from>
    <xdr:to>
      <xdr:col>10</xdr:col>
      <xdr:colOff>38100</xdr:colOff>
      <xdr:row>29</xdr:row>
      <xdr:rowOff>28575</xdr:rowOff>
    </xdr:to>
    <xdr:graphicFrame macro="">
      <xdr:nvGraphicFramePr>
        <xdr:cNvPr id="3" name="Chart 2">
          <a:extLst>
            <a:ext uri="{FF2B5EF4-FFF2-40B4-BE49-F238E27FC236}">
              <a16:creationId xmlns:a16="http://schemas.microsoft.com/office/drawing/2014/main" id="{E1AB4216-4919-4231-B3D1-8BE39CFD1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0.12917</cdr:x>
      <cdr:y>0.09375</cdr:y>
    </cdr:from>
    <cdr:to>
      <cdr:x>0.32917</cdr:x>
      <cdr:y>0.42708</cdr:y>
    </cdr:to>
    <cdr:cxnSp macro="">
      <cdr:nvCxnSpPr>
        <cdr:cNvPr id="3" name="Straight Connector 2">
          <a:extLst xmlns:a="http://schemas.openxmlformats.org/drawingml/2006/main">
            <a:ext uri="{FF2B5EF4-FFF2-40B4-BE49-F238E27FC236}">
              <a16:creationId xmlns:a16="http://schemas.microsoft.com/office/drawing/2014/main" id="{53B1D5D9-A39D-FC60-338C-8EFED41DEF50}"/>
            </a:ext>
          </a:extLst>
        </cdr:cNvPr>
        <cdr:cNvCxnSpPr/>
      </cdr:nvCxnSpPr>
      <cdr:spPr>
        <a:xfrm xmlns:a="http://schemas.openxmlformats.org/drawingml/2006/main">
          <a:off x="590550" y="257175"/>
          <a:ext cx="914400" cy="914400"/>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9.xml><?xml version="1.0" encoding="utf-8"?>
<xdr:wsDr xmlns:xdr="http://schemas.openxmlformats.org/drawingml/2006/spreadsheetDrawing" xmlns:a="http://schemas.openxmlformats.org/drawingml/2006/main">
  <xdr:twoCellAnchor editAs="oneCell">
    <xdr:from>
      <xdr:col>10</xdr:col>
      <xdr:colOff>0</xdr:colOff>
      <xdr:row>3</xdr:row>
      <xdr:rowOff>176040</xdr:rowOff>
    </xdr:from>
    <xdr:to>
      <xdr:col>18</xdr:col>
      <xdr:colOff>507600</xdr:colOff>
      <xdr:row>16</xdr:row>
      <xdr:rowOff>56160</xdr:rowOff>
    </xdr:to>
    <xdr:graphicFrame macro="">
      <xdr:nvGraphicFramePr>
        <xdr:cNvPr id="2" name="Chart 1">
          <a:extLst>
            <a:ext uri="{FF2B5EF4-FFF2-40B4-BE49-F238E27FC236}">
              <a16:creationId xmlns:a16="http://schemas.microsoft.com/office/drawing/2014/main" id="{72BA5FB5-38ED-48FD-8186-21D20F3CBF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22</xdr:row>
      <xdr:rowOff>175680</xdr:rowOff>
    </xdr:from>
    <xdr:to>
      <xdr:col>18</xdr:col>
      <xdr:colOff>507600</xdr:colOff>
      <xdr:row>37</xdr:row>
      <xdr:rowOff>18000</xdr:rowOff>
    </xdr:to>
    <xdr:graphicFrame macro="">
      <xdr:nvGraphicFramePr>
        <xdr:cNvPr id="3" name="Chart 2">
          <a:extLst>
            <a:ext uri="{FF2B5EF4-FFF2-40B4-BE49-F238E27FC236}">
              <a16:creationId xmlns:a16="http://schemas.microsoft.com/office/drawing/2014/main" id="{FCEEE796-69B8-4C45-9F6F-3751B72D1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0</xdr:colOff>
      <xdr:row>41</xdr:row>
      <xdr:rowOff>176040</xdr:rowOff>
    </xdr:from>
    <xdr:to>
      <xdr:col>18</xdr:col>
      <xdr:colOff>507600</xdr:colOff>
      <xdr:row>56</xdr:row>
      <xdr:rowOff>18360</xdr:rowOff>
    </xdr:to>
    <xdr:graphicFrame macro="">
      <xdr:nvGraphicFramePr>
        <xdr:cNvPr id="4" name="Chart 3">
          <a:extLst>
            <a:ext uri="{FF2B5EF4-FFF2-40B4-BE49-F238E27FC236}">
              <a16:creationId xmlns:a16="http://schemas.microsoft.com/office/drawing/2014/main" id="{099589FD-240A-44BF-9D3B-FF28CA7406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0</xdr:colOff>
      <xdr:row>24</xdr:row>
      <xdr:rowOff>0</xdr:rowOff>
    </xdr:from>
    <xdr:to>
      <xdr:col>7</xdr:col>
      <xdr:colOff>288525</xdr:colOff>
      <xdr:row>38</xdr:row>
      <xdr:rowOff>32820</xdr:rowOff>
    </xdr:to>
    <xdr:graphicFrame macro="">
      <xdr:nvGraphicFramePr>
        <xdr:cNvPr id="5" name="Chart 4">
          <a:extLst>
            <a:ext uri="{FF2B5EF4-FFF2-40B4-BE49-F238E27FC236}">
              <a16:creationId xmlns:a16="http://schemas.microsoft.com/office/drawing/2014/main" id="{FFBC4C96-6B64-4205-8D1C-9A6498605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0</xdr:colOff>
      <xdr:row>40</xdr:row>
      <xdr:rowOff>0</xdr:rowOff>
    </xdr:from>
    <xdr:to>
      <xdr:col>7</xdr:col>
      <xdr:colOff>288525</xdr:colOff>
      <xdr:row>54</xdr:row>
      <xdr:rowOff>32820</xdr:rowOff>
    </xdr:to>
    <xdr:graphicFrame macro="">
      <xdr:nvGraphicFramePr>
        <xdr:cNvPr id="6" name="Chart 5" descr="{&quot;ChartDesign&quot;:{&quot;Column&quot;:null,&quot;Bar&quot;:null,&quot;Pie&quot;:null,&quot;Doughnut&quot;:null,&quot;PieDoughnut&quot;:null,&quot;Line&quot;:null,&quot;LineRadarScatter&quot;:null,&quot;Stacked&quot;:null,&quot;Scatter&quot;:null,&quot;Radar&quot;:null,&quot;Waterfall&quot;:null,&quot;BoxWhisker&quot;:null,&quot;SunBurst&quot;:null,&quot;Funnel&quot;:null,&quot;Histogram&quot;:null,&quot;TreeMap&quot;:null,&quot;LineWithMarkers&quot;:null,&quot;General&quot;:null,&quot;Gridlines&quot;:null,&quot;Axis&quot;:null,&quot;ChartTitle&quot;:null,&quot;Legend&quot;:null,&quot;ChartArea&quot;:null,&quot;PlotArea&quot;:null,&quot;CustomRules&quot;:[{&quot;Type&quot;:&quot;SetBorderSeriesStackedPointPieOrDoughnutSlice&quot;,&quot;Content&quot;:&quot;White;1;50;true&quot;}],&quot;DataSeries&quot;:[{&quot;PrimaryColorRef&quot;:&quot;Bronze 50&quot;,&quot;OutlineColorRef&quot;:null,&quot;HasMarker&quot;:null,&quot;MarkerStyle&quot;:null,&quot;MarkerSize&quot;:null,&quot;MarkerFillColorRef&quot;:null,&quot;MarkerBorderColorRef&quot;:null,&quot;DataLabelColorRef&quot;:null,&quot;PatternType&quot;:null,&quot;PatternBackgroundColorRef&quot;:null},{&quot;PrimaryColorRef&quot;:&quot;Lagoon 90&quot;,&quot;OutlineColorRef&quot;:null,&quot;HasMarker&quot;:null,&quot;MarkerStyle&quot;:null,&quot;MarkerSize&quot;:null,&quot;MarkerFillColorRef&quot;:null,&quot;MarkerBorderColorRef&quot;:null,&quot;DataLabelColorRef&quot;:null,&quot;PatternType&quot;:null,&quot;PatternBackgroundColorRef&quot;:null},{&quot;PrimaryColorRef&quot;:&quot;Kiwi 50&quot;,&quot;OutlineColorRef&quot;:null,&quot;HasMarker&quot;:null,&quot;MarkerStyle&quot;:null,&quot;MarkerSize&quot;:null,&quot;MarkerFillColorRef&quot;:null,&quot;MarkerBorderColorRef&quot;:null,&quot;DataLabelColorRef&quot;:null,&quot;PatternType&quot;:null,&quot;PatternBackgroundColorRef&quot;:null},{&quot;PrimaryColorRef&quot;:&quot;Aubergine 90&quot;,&quot;OutlineColorRef&quot;:null,&quot;HasMarker&quot;:null,&quot;MarkerStyle&quot;:null,&quot;MarkerSize&quot;:null,&quot;MarkerFillColorRef&quot;:null,&quot;MarkerBorderColorRef&quot;:null,&quot;DataLabelColorRef&quot;:null,&quot;PatternType&quot;:null,&quot;PatternBackgroundColorRef&quot;:null},{&quot;PrimaryColorRef&quot;:&quot;Sand 50&quot;,&quot;OutlineColorRef&quot;:null,&quot;HasMarker&quot;:null,&quot;MarkerStyle&quot;:null,&quot;MarkerSize&quot;:null,&quot;MarkerFillColorRef&quot;:null,&quot;MarkerBorderColorRef&quot;:null,&quot;DataLabelColorRef&quot;:null,&quot;PatternType&quot;:null,&quot;PatternBackgroundColorRef&quot;:null},{&quot;PrimaryColorRef&quot;:&quot;Plum 90&quot;,&quot;OutlineColorRef&quot;:null,&quot;HasMarker&quot;:null,&quot;MarkerStyle&quot;:null,&quot;MarkerSize&quot;:null,&quot;MarkerFillColorRef&quot;:null,&quot;MarkerBorderColorRef&quot;:null,&quot;DataLabelColorRef&quot;:null,&quot;PatternType&quot;:null,&quot;PatternBackgroundColorRef&quot;:null},{&quot;PrimaryColorRef&quot;:&quot;Sage 50&quot;,&quot;OutlineColorRef&quot;:null,&quot;HasMarker&quot;:null,&quot;MarkerStyle&quot;:null,&quot;MarkerSize&quot;:null,&quot;MarkerFillColorRef&quot;:null,&quot;MarkerBorderColorRef&quot;:null,&quot;DataLabelColorRef&quot;:null,&quot;PatternType&quot;:null,&quot;PatternBackgroundColorRef&quot;:null},{&quot;PrimaryColorRef&quot;:&quot;Blush 90&quot;,&quot;OutlineColorRef&quot;:null,&quot;HasMarker&quot;:null,&quot;MarkerStyle&quot;:null,&quot;MarkerSize&quot;:null,&quot;MarkerFillColorRef&quot;:null,&quot;MarkerBorderColorRef&quot;:null,&quot;DataLabelColorRef&quot;:null,&quot;PatternType&quot;:null,&quot;PatternBackgroundColorRef&quot;:null},{&quot;PrimaryColorRef&quot;:&quot;Lavender 50&quot;,&quot;OutlineColorRef&quot;:null,&quot;HasMarker&quot;:null,&quot;MarkerStyle&quot;:null,&quot;MarkerSize&quot;:null,&quot;MarkerFillColorRef&quot;:null,&quot;MarkerBorderColorRef&quot;:null,&quot;DataLabelColorRef&quot;:null,&quot;PatternType&quot;:null,&quot;PatternBackgroundColorRef&quot;:null},{&quot;PrimaryColorRef&quot;:&quot;Lake 50&quot;,&quot;OutlineColorRef&quot;:null,&quot;HasMarker&quot;:null,&quot;MarkerStyle&quot;:null,&quot;MarkerSize&quot;:null,&quot;MarkerFillColorRef&quot;:null,&quot;MarkerBorderColorRef&quot;:null,&quot;DataLabelColorRef&quot;:null,&quot;PatternType&quot;:null,&quot;PatternBackgroundColorRef&quot;:null},{&quot;PrimaryColorRef&quot;:&quot;Bronze 90&quot;,&quot;OutlineColorRef&quot;:null,&quot;HasMarker&quot;:null,&quot;MarkerStyle&quot;:null,&quot;MarkerSize&quot;:null,&quot;MarkerFillColorRef&quot;:null,&quot;MarkerBorderColorRef&quot;:null,&quot;DataLabelColorRef&quot;:null,&quot;PatternType&quot;:null,&quot;PatternBackgroundColorRef&quot;:null},{&quot;PrimaryColorRef&quot;:&quot;Aubergine 50&quot;,&quot;OutlineColorRef&quot;:null,&quot;HasMarker&quot;:null,&quot;MarkerStyle&quot;:null,&quot;MarkerSize&quot;:null,&quot;MarkerFillColorRef&quot;:null,&quot;MarkerBorderColorRef&quot;:null,&quot;DataLabelColorRef&quot;:null,&quot;PatternType&quot;:null,&quot;PatternBackgroundColorRef&quot;:null},{&quot;PrimaryColorRef&quot;:&quot;Mint 50&quot;,&quot;OutlineColorRef&quot;:null,&quot;HasMarker&quot;:null,&quot;MarkerStyle&quot;:null,&quot;MarkerSize&quot;:null,&quot;MarkerFillColorRef&quot;:null,&quot;MarkerBorderColorRef&quot;:null,&quot;DataLabelColorRef&quot;:null,&quot;PatternType&quot;:null,&quot;PatternBackgroundColorRef&quot;:null},{&quot;PrimaryColorRef&quot;:&quot;Plum 50&quot;,&quot;OutlineColorRef&quot;:null,&quot;HasMarker&quot;:null,&quot;MarkerStyle&quot;:null,&quot;MarkerSize&quot;:null,&quot;MarkerFillColorRef&quot;:null,&quot;MarkerBorderColorRef&quot;:null,&quot;DataLabelColorRef&quot;:null,&quot;PatternType&quot;:null,&quot;PatternBackgroundColorRef&quot;:null},{&quot;PrimaryColorRef&quot;:&quot;Blush 50&quot;,&quot;OutlineColorRef&quot;:null,&quot;HasMarker&quot;:null,&quot;MarkerStyle&quot;:null,&quot;MarkerSize&quot;:null,&quot;MarkerFillColorRef&quot;:null,&quot;MarkerBorderColorRef&quot;:null,&quot;DataLabelColorRef&quot;:null,&quot;PatternType&quot;:null,&quot;PatternBackgroundColorRef&quot;:null},{&quot;PrimaryColorRef&quot;:&quot;Sage 90&quot;,&quot;OutlineColorRef&quot;:null,&quot;HasMarker&quot;:null,&quot;MarkerStyle&quot;:null,&quot;MarkerSize&quot;:null,&quot;MarkerFillColorRef&quot;:null,&quot;MarkerBorderColorRef&quot;:null,&quot;DataLabelColorRef&quot;:null,&quot;PatternType&quot;:null,&quot;PatternBackgroundColorRef&quot;:null},{&quot;PrimaryColorRef&quot;:&quot;Lavender 90&quot;,&quot;OutlineColorRef&quot;:null,&quot;HasMarker&quot;:null,&quot;MarkerStyle&quot;:null,&quot;MarkerSize&quot;:null,&quot;MarkerFillColorRef&quot;:null,&quot;MarkerBorderColorRef&quot;:null,&quot;DataLabelColorRef&quot;:null,&quot;PatternType&quot;:null,&quot;PatternBackgroundColorRef&quot;:null},{&quot;PrimaryColorRef&quot;:&quot;Chocolate 50&quot;,&quot;OutlineColorRef&quot;:null,&quot;HasMarker&quot;:null,&quot;MarkerStyle&quot;:null,&quot;MarkerSize&quot;:null,&quot;MarkerFillColorRef&quot;:null,&quot;MarkerBorderColorRef&quot;:null,&quot;DataLabelColorRef&quot;:null,&quot;PatternType&quot;:null,&quot;PatternBackgroundColorRef&quot;:null},{&quot;PrimaryColorRef&quot;:&quot;Lake 90&quot;,&quot;OutlineColorRef&quot;:null,&quot;HasMarker&quot;:null,&quot;MarkerStyle&quot;:null,&quot;MarkerSize&quot;:null,&quot;MarkerFillColorRef&quot;:null,&quot;MarkerBorderColorRef&quot;:null,&quot;DataLabelColorRef&quot;:null,&quot;PatternType&quot;:null,&quot;PatternBackgroundColorRef&quot;:null},{&quot;PrimaryColorRef&quot;:&quot;Bordeaux 90&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SeriesDesign&quot;:null,&quot;SkipBlankSeries&quot;:true,&quot;HasChartTitle&quot;:null},&quot;ColorSchema&quot;:{&quot;White&quot;:&quot;255,255,255&quot;,&quot;Black&quot;:&quot;0,0,0&quot;,&quot;Gray 1&quot;:&quot;204,204,204&quot;,&quot;Lake&quot;:&quot;111,182,223&quot;,&quot;Gray 4&quot;:&quot;71,71,71&quot;,&quot;Kiwi&quot;:&quot;205,215,96&quot;,&quot;Gray 2&quot;:&quot;176,176,176&quot;,&quot;Glacier&quot;:&quot;161,204,228&quot;,&quot;Gray 5&quot;:&quot;43,43,43&quot;,&quot;Lemongrass&quot;:&quot;230,235,176&quot;,&quot;Gray 3&quot;:&quot;117,117,117&quot;,&quot;Lagoon&quot;:&quot;0,155,210&quot;,&quot;Olive&quot;:&quot;144,167,35&quot;,&quot;Lavender&quot;:&quot;175,188,213&quot;,&quot;Mint&quot;:&quot;85,177,180&quot;,&quot;Curry&quot;:&quot;229,176,28&quot;,&quot;Plum&quot;:&quot;58,87,138&quot;,&quot;Sage&quot;:&quot;151,211,204&quot;,&quot;Honey&quot;:&quot;237,200,96&quot;,&quot;Lilac&quot;:&quot;108,135,179&quot;,&quot;Pine&quot;:&quot;0,137,141&quot;,&quot;Straw&quot;:&quot;242,216,142&quot;,&quot;Clay&quot;:&quot;123,107,89&quot;,&quot;Cinnamon&quot;:&quot;230,182,164&quot;,&quot;Terracotta&quot;:&quot;192,113,86&quot;,&quot;Mouse&quot;:&quot;190,178,158&quot;,&quot;Chocolate&quot;:&quot;77,60,47&quot;,&quot;Caramel&quot;:&quot;207,189,155&quot;,&quot;Chestnut&quot;:&quot;164,55,37&quot;,&quot;Transparent&quot;:&quot;0,255,0,0&quot;,&quot;BordeauxI&quot;:&quot;189,0,12&quot;,&quot;BordeauxII&quot;:&quot;138,0,10&quot;,&quot;BordeauxIII&quot;:&quot;98,0,4&quot;,&quot;GrayIII&quot;:&quot;142,141,131&quot;,&quot;GrayIV&quot;:&quot;122,120,112&quot;,&quot;GrayV&quot;:&quot;90,93,92&quot;,&quot;GrayVI&quot;:&quot;64,64,64&quot;,&quot;BronzeI&quot;:&quot;185,142,44&quot;,&quot;BronzeII&quot;:&quot;148,111,41&quot;,&quot;BronzeIII&quot;:&quot;108,83,18&quot;,&quot;Bronze 50&quot;:&quot;174,134,38&quot;,&quot;Lagoon 90&quot;:&quot;0,118,158&quot;,&quot;Kiwi 50&quot;:&quot;135,148,32&quot;,&quot;Aubergine 90&quot;:&quot;76,45,89&quot;,&quot;Sand 50&quot;:&quot;159,136,102&quot;,&quot;Plum 90&quot;:&quot;47,71,107&quot;,&quot;Sage 50&quot;:&quot;71,154,108&quot;,&quot;Blush 90&quot;:&quot;174,62,74&quot;,&quot;Lavender 50&quot;:&quot;131,137,189&quot;,&quot;Lake 50&quot;:&quot;12,126,197&quot;,&quot;Bronze 90&quot;:&quot;101,77,22&quot;,&quot;Aubergine 50&quot;:&quot;128,76,150&quot;,&quot;Mint 50&quot;:&quot;69,152,156&quot;,&quot;Plum 50&quot;:&quot;73,113,172&quot;,&quot;Blush 50&quot;:&quot;204,112,123&quot;,&quot;Sage 90&quot;:&quot;41,91,64&quot;,&quot;Lavender 90&quot;:&quot;85,90,156&quot;,&quot;Chocolate 50&quot;:&quot;121,94,75&quot;,&quot;Lake 90&quot;:&quot;7,70,111&quot;,&quot;Bordeaux 90&quot;:&quot;99,0,5&quot;}}">
          <a:extLst>
            <a:ext uri="{FF2B5EF4-FFF2-40B4-BE49-F238E27FC236}">
              <a16:creationId xmlns:a16="http://schemas.microsoft.com/office/drawing/2014/main" id="{CFCB8035-7C93-4CB4-8C22-D301DA0D0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21</xdr:col>
      <xdr:colOff>185737</xdr:colOff>
      <xdr:row>16</xdr:row>
      <xdr:rowOff>147637</xdr:rowOff>
    </xdr:from>
    <xdr:to>
      <xdr:col>30</xdr:col>
      <xdr:colOff>157655</xdr:colOff>
      <xdr:row>31</xdr:row>
      <xdr:rowOff>33337</xdr:rowOff>
    </xdr:to>
    <xdr:graphicFrame macro="">
      <xdr:nvGraphicFramePr>
        <xdr:cNvPr id="2" name="Chart 1">
          <a:extLst>
            <a:ext uri="{FF2B5EF4-FFF2-40B4-BE49-F238E27FC236}">
              <a16:creationId xmlns:a16="http://schemas.microsoft.com/office/drawing/2014/main" id="{2615AA03-0F9C-43C0-B7B4-67355A311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597776</xdr:colOff>
      <xdr:row>42</xdr:row>
      <xdr:rowOff>164224</xdr:rowOff>
    </xdr:from>
    <xdr:to>
      <xdr:col>32</xdr:col>
      <xdr:colOff>290349</xdr:colOff>
      <xdr:row>47</xdr:row>
      <xdr:rowOff>126124</xdr:rowOff>
    </xdr:to>
    <xdr:cxnSp macro="">
      <xdr:nvCxnSpPr>
        <xdr:cNvPr id="3" name="Straight Connector 2">
          <a:extLst>
            <a:ext uri="{FF2B5EF4-FFF2-40B4-BE49-F238E27FC236}">
              <a16:creationId xmlns:a16="http://schemas.microsoft.com/office/drawing/2014/main" id="{2AF61534-50BC-40C3-AE52-A4E2BF55D1D5}"/>
            </a:ext>
          </a:extLst>
        </xdr:cNvPr>
        <xdr:cNvCxnSpPr/>
      </xdr:nvCxnSpPr>
      <xdr:spPr>
        <a:xfrm>
          <a:off x="19038176" y="8165224"/>
          <a:ext cx="911773" cy="9144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481853</xdr:colOff>
      <xdr:row>53</xdr:row>
      <xdr:rowOff>0</xdr:rowOff>
    </xdr:from>
    <xdr:to>
      <xdr:col>30</xdr:col>
      <xdr:colOff>319999</xdr:colOff>
      <xdr:row>67</xdr:row>
      <xdr:rowOff>156882</xdr:rowOff>
    </xdr:to>
    <xdr:graphicFrame macro="">
      <xdr:nvGraphicFramePr>
        <xdr:cNvPr id="4" name="Chart 3" descr="{&quot;ChartDesign&quot;:{&quot;Column&quot;:null,&quot;Bar&quot;:null,&quot;Pie&quot;:null,&quot;Doughnut&quot;:null,&quot;PieDoughnut&quot;:null,&quot;Line&quot;:null,&quot;LineRadarScatter&quot;:null,&quot;Stacked&quot;:null,&quot;Scatter&quot;:null,&quot;Radar&quot;:null,&quot;Waterfall&quot;:null,&quot;BoxWhisker&quot;:null,&quot;SunBurst&quot;:null,&quot;Funnel&quot;:null,&quot;Histogram&quot;:null,&quot;TreeMap&quot;:null,&quot;LineWithMarkers&quot;:null,&quot;General&quot;:null,&quot;Gridlines&quot;:null,&quot;Axis&quot;:null,&quot;ChartTitle&quot;:null,&quot;Legend&quot;:null,&quot;ChartArea&quot;:null,&quot;PlotArea&quot;:null,&quot;CustomRules&quot;:[{&quot;Type&quot;:&quot;SetBorderSeriesStackedPointPieOrDoughnutSlice&quot;,&quot;Content&quot;:&quot;White;1;50;true&quot;}],&quot;DataSeries&quot;:[{&quot;PrimaryColorRef&quot;:&quot;GrayIII&quot;,&quot;OutlineColorRef&quot;:null,&quot;HasMarker&quot;:null,&quot;MarkerStyle&quot;:null,&quot;MarkerSize&quot;:null,&quot;MarkerFillColorRef&quot;:null,&quot;MarkerBorderColorRef&quot;:null,&quot;DataLabelColorRef&quot;:null,&quot;PatternType&quot;:null,&quot;PatternBackgroundColorRef&quot;:null},{&quot;PrimaryColorRef&quot;:&quot;GrayV&quot;,&quot;OutlineColorRef&quot;:null,&quot;HasMarker&quot;:null,&quot;MarkerStyle&quot;:null,&quot;MarkerSize&quot;:null,&quot;MarkerFillColorRef&quot;:null,&quot;MarkerBorderColorRef&quot;:null,&quot;DataLabelColorRef&quot;:null,&quot;PatternType&quot;:null,&quot;PatternBackgroundColorRef&quot;:null},{&quot;PrimaryColorRef&quot;:&quot;BordeauxI&quot;,&quot;OutlineColorRef&quot;:null,&quot;HasMarker&quot;:null,&quot;MarkerStyle&quot;:null,&quot;MarkerSize&quot;:null,&quot;MarkerFillColorRef&quot;:null,&quot;MarkerBorderColorRef&quot;:null,&quot;DataLabelColorRef&quot;:null,&quot;PatternType&quot;:null,&quot;PatternBackgroundColorRef&quot;:null},{&quot;PrimaryColorRef&quot;:&quot;BronzeI&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PrimaryColorRef&quot;:&quot;Gray 1&quot;,&quot;OutlineColorRef&quot;:null,&quot;HasMarker&quot;:null,&quot;MarkerStyle&quot;:null,&quot;MarkerSize&quot;:null,&quot;MarkerFillColorRef&quot;:null,&quot;MarkerBorderColorRef&quot;:null,&quot;DataLabelColorRef&quot;:null,&quot;PatternType&quot;:null,&quot;PatternBackgroundColorRef&quot;:null}],&quot;SeriesDesign&quot;:null,&quot;SkipBlankSeries&quot;:true,&quot;HasChartTitle&quot;:null},&quot;ColorSchema&quot;:{&quot;White&quot;:&quot;255,255,255&quot;,&quot;Black&quot;:&quot;0,0,0&quot;,&quot;Gray 1&quot;:&quot;204,204,204&quot;,&quot;Lake&quot;:&quot;111,182,223&quot;,&quot;Gray 4&quot;:&quot;71,71,71&quot;,&quot;Kiwi&quot;:&quot;205,215,96&quot;,&quot;Gray 2&quot;:&quot;176,176,176&quot;,&quot;Glacier&quot;:&quot;161,204,228&quot;,&quot;Gray 5&quot;:&quot;43,43,43&quot;,&quot;Lemongrass&quot;:&quot;230,235,176&quot;,&quot;Gray 3&quot;:&quot;117,117,117&quot;,&quot;Lagoon&quot;:&quot;0,155,210&quot;,&quot;Olive&quot;:&quot;144,167,35&quot;,&quot;Lavender&quot;:&quot;175,188,213&quot;,&quot;Mint&quot;:&quot;85,177,180&quot;,&quot;Curry&quot;:&quot;229,176,28&quot;,&quot;Plum&quot;:&quot;58,87,138&quot;,&quot;Sage&quot;:&quot;151,211,204&quot;,&quot;Honey&quot;:&quot;237,200,96&quot;,&quot;Lilac&quot;:&quot;108,135,179&quot;,&quot;Pine&quot;:&quot;0,137,141&quot;,&quot;Straw&quot;:&quot;242,216,142&quot;,&quot;Clay&quot;:&quot;123,107,89&quot;,&quot;Cinnamon&quot;:&quot;230,182,164&quot;,&quot;Terracotta&quot;:&quot;192,113,86&quot;,&quot;Mouse&quot;:&quot;190,178,158&quot;,&quot;Chocolate&quot;:&quot;77,60,47&quot;,&quot;Caramel&quot;:&quot;207,189,155&quot;,&quot;Chestnut&quot;:&quot;164,55,37&quot;,&quot;Transparent&quot;:&quot;0,255,0,0&quot;,&quot;BordeauxI&quot;:&quot;189,0,12&quot;,&quot;BordeauxII&quot;:&quot;138,0,10&quot;,&quot;BordeauxIII&quot;:&quot;98,0,4&quot;,&quot;GrayIII&quot;:&quot;142,141,131&quot;,&quot;GrayIV&quot;:&quot;122,120,112&quot;,&quot;GrayV&quot;:&quot;90,93,92&quot;,&quot;GrayVI&quot;:&quot;64,64,64&quot;,&quot;BronzeI&quot;:&quot;185,142,44&quot;,&quot;BronzeII&quot;:&quot;148,111,41&quot;,&quot;BronzeIII&quot;:&quot;108,83,18&quot;,&quot;Bronze 50&quot;:&quot;174,134,38&quot;,&quot;Lagoon 90&quot;:&quot;0,118,158&quot;,&quot;Kiwi 50&quot;:&quot;135,148,32&quot;,&quot;Aubergine 90&quot;:&quot;76,45,89&quot;,&quot;Sand 50&quot;:&quot;159,136,102&quot;,&quot;Plum 90&quot;:&quot;47,71,107&quot;,&quot;Sage 50&quot;:&quot;71,154,108&quot;,&quot;Blush 90&quot;:&quot;174,62,74&quot;,&quot;Lavender 50&quot;:&quot;131,137,189&quot;,&quot;Lake 50&quot;:&quot;12,126,197&quot;,&quot;Bronze 90&quot;:&quot;101,77,22&quot;,&quot;Aubergine 50&quot;:&quot;128,76,150&quot;,&quot;Mint 50&quot;:&quot;69,152,156&quot;,&quot;Plum 50&quot;:&quot;73,113,172&quot;,&quot;Blush 50&quot;:&quot;204,112,123&quot;,&quot;Sage 90&quot;:&quot;41,91,64&quot;,&quot;Lavender 90&quot;:&quot;85,90,156&quot;,&quot;Chocolate 50&quot;:&quot;121,94,75&quot;,&quot;Lake 90&quot;:&quot;7,70,111&quot;,&quot;Bordeaux 90&quot;:&quot;99,0,5&quot;}}">
          <a:extLst>
            <a:ext uri="{FF2B5EF4-FFF2-40B4-BE49-F238E27FC236}">
              <a16:creationId xmlns:a16="http://schemas.microsoft.com/office/drawing/2014/main" id="{B19A9AA0-C323-4EDB-A221-2787F1BDF2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457694</xdr:colOff>
      <xdr:row>54</xdr:row>
      <xdr:rowOff>147967</xdr:rowOff>
    </xdr:from>
    <xdr:to>
      <xdr:col>30</xdr:col>
      <xdr:colOff>30711</xdr:colOff>
      <xdr:row>65</xdr:row>
      <xdr:rowOff>134471</xdr:rowOff>
    </xdr:to>
    <xdr:sp macro="" textlink="">
      <xdr:nvSpPr>
        <xdr:cNvPr id="5" name="Rectangle 4">
          <a:extLst>
            <a:ext uri="{FF2B5EF4-FFF2-40B4-BE49-F238E27FC236}">
              <a16:creationId xmlns:a16="http://schemas.microsoft.com/office/drawing/2014/main" id="{817D0AD0-40D1-4F86-BB9A-D61E65ED1ADD}"/>
            </a:ext>
          </a:extLst>
        </xdr:cNvPr>
        <xdr:cNvSpPr/>
      </xdr:nvSpPr>
      <xdr:spPr>
        <a:xfrm>
          <a:off x="17678894" y="10434967"/>
          <a:ext cx="792217" cy="2082004"/>
        </a:xfrm>
        <a:prstGeom prst="rect">
          <a:avLst/>
        </a:prstGeom>
        <a:solidFill>
          <a:schemeClr val="accent1">
            <a:alpha val="27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608134</xdr:colOff>
      <xdr:row>34</xdr:row>
      <xdr:rowOff>0</xdr:rowOff>
    </xdr:from>
    <xdr:to>
      <xdr:col>31</xdr:col>
      <xdr:colOff>300402</xdr:colOff>
      <xdr:row>49</xdr:row>
      <xdr:rowOff>65942</xdr:rowOff>
    </xdr:to>
    <xdr:graphicFrame macro="">
      <xdr:nvGraphicFramePr>
        <xdr:cNvPr id="6" name="Chart 5">
          <a:extLst>
            <a:ext uri="{FF2B5EF4-FFF2-40B4-BE49-F238E27FC236}">
              <a16:creationId xmlns:a16="http://schemas.microsoft.com/office/drawing/2014/main" id="{CD19DE88-E33B-4D2F-B2CE-C40BFF34DB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661987</xdr:colOff>
      <xdr:row>34</xdr:row>
      <xdr:rowOff>142875</xdr:rowOff>
    </xdr:from>
    <xdr:to>
      <xdr:col>14</xdr:col>
      <xdr:colOff>314325</xdr:colOff>
      <xdr:row>54</xdr:row>
      <xdr:rowOff>47625</xdr:rowOff>
    </xdr:to>
    <xdr:graphicFrame macro="">
      <xdr:nvGraphicFramePr>
        <xdr:cNvPr id="2" name="Chart 1">
          <a:extLst>
            <a:ext uri="{FF2B5EF4-FFF2-40B4-BE49-F238E27FC236}">
              <a16:creationId xmlns:a16="http://schemas.microsoft.com/office/drawing/2014/main" id="{73EEE209-4265-CA18-3BAD-73257E6587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Argentina/CAB%20EM%20Daily%20write%20up.xlsx" TargetMode="External"/><Relationship Id="rId2" Type="http://schemas.openxmlformats.org/officeDocument/2006/relationships/externalLinkPath" Target="https://ubscloudnam-my.sharepoint.com/personal/alberto_rojas_ubs_com/Documents/Argentina/CAB%20EM%20Daily%20write%20up.xlsx" TargetMode="External"/><Relationship Id="rId1" Type="http://schemas.openxmlformats.org/officeDocument/2006/relationships/externalLinkPath" Target="/personal/alberto_rojas_ubs_com/Documents/Argentina/CAB%20EM%20Daily%20write%20up.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Latin%20America/Charts%20Argentina%202022%20updt.xlsx" TargetMode="External"/><Relationship Id="rId2" Type="http://schemas.openxmlformats.org/officeDocument/2006/relationships/externalLinkPath" Target="https://ubscloudnam-my.sharepoint.com/personal/alberto_rojas_ubs_com/Documents/Latin%20America/Charts%20Argentina%202022%20updt.xlsx" TargetMode="External"/><Relationship Id="rId1" Type="http://schemas.openxmlformats.org/officeDocument/2006/relationships/externalLinkPath" Target="/personal/alberto_rojas_ubs_com/Documents/Latin%20America/Charts%20Argentina%202022%20upd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Latin%20America\Argentina\Variable%20analys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Latin%20America\NEW%20DTM%20WSR%20FILES\weeklystratequest.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ubscloudnam-my.sharepoint.com/personal/alberto_rojas_ubs_com/Documents/Argentina%202026/Argentina%20Debt%20Dynamics.xlsx" TargetMode="External"/><Relationship Id="rId1" Type="http://schemas.openxmlformats.org/officeDocument/2006/relationships/externalLinkPath" Target="Argentina%20Debt%20Dynamics.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t765856\Downloads\Argentina%20Polling%202027.xlsx" TargetMode="External"/><Relationship Id="rId1" Type="http://schemas.openxmlformats.org/officeDocument/2006/relationships/externalLinkPath" Target="file:///C:\Users\t765856\Downloads\Argentina%20Polling%202027.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t765856\Downloads\Argentina_carry_cushion.xlsx" TargetMode="External"/><Relationship Id="rId1" Type="http://schemas.openxmlformats.org/officeDocument/2006/relationships/externalLinkPath" Target="file:///C:\Users\t765856\Downloads\Argentina_carry_cushion.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https://ubscloudnam-my.sharepoint.com/personal/alberto_rojas_ubs_com/Documents/Argentina%202026/Argentina_GDP.xlsx" TargetMode="External"/><Relationship Id="rId1" Type="http://schemas.openxmlformats.org/officeDocument/2006/relationships/externalLinkPath" Target="Argentina_GD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aB"/>
    </sheetNames>
    <sheetDataSet>
      <sheetData sheetId="0">
        <row r="1">
          <cell r="BI1" t="str">
            <v>4Q 2022</v>
          </cell>
          <cell r="BJ1" t="str">
            <v>1Q 2023</v>
          </cell>
          <cell r="BK1" t="str">
            <v>2Q 2023</v>
          </cell>
          <cell r="BL1" t="str">
            <v>3Q 2023</v>
          </cell>
          <cell r="BM1" t="str">
            <v>4Q 2023</v>
          </cell>
          <cell r="BN1" t="str">
            <v>1Q 2024</v>
          </cell>
          <cell r="BO1" t="str">
            <v>2Q 2024</v>
          </cell>
          <cell r="BP1" t="str">
            <v>3Q 2024</v>
          </cell>
          <cell r="BQ1" t="str">
            <v>4Q 2024</v>
          </cell>
          <cell r="BR1" t="str">
            <v>1Q 2025</v>
          </cell>
          <cell r="BS1" t="str">
            <v>2Q 2025</v>
          </cell>
          <cell r="BT1" t="str">
            <v>3Q 2025</v>
          </cell>
          <cell r="BU1" t="str">
            <v>4Q 2025</v>
          </cell>
          <cell r="BV1" t="str">
            <v>1Q 2026</v>
          </cell>
        </row>
        <row r="23">
          <cell r="C23" t="str">
            <v>CAB</v>
          </cell>
        </row>
        <row r="24">
          <cell r="C24" t="str">
            <v>Merchandise</v>
          </cell>
        </row>
        <row r="25">
          <cell r="C25" t="str">
            <v>Services</v>
          </cell>
        </row>
        <row r="26">
          <cell r="C26" t="str">
            <v>Income</v>
          </cell>
        </row>
        <row r="27">
          <cell r="C27" t="str">
            <v>Transfers</v>
          </cell>
        </row>
        <row r="44">
          <cell r="BI44">
            <v>-0.62830593507452515</v>
          </cell>
          <cell r="BJ44">
            <v>-1.3258639092316897</v>
          </cell>
          <cell r="BK44">
            <v>-2.2114408386441751</v>
          </cell>
          <cell r="BL44">
            <v>-2.6190588203156886</v>
          </cell>
          <cell r="BM44">
            <v>-3.4013325968902017</v>
          </cell>
          <cell r="BN44">
            <v>-2.6154929173687713</v>
          </cell>
          <cell r="BO44">
            <v>-0.99429896135781559</v>
          </cell>
          <cell r="BP44">
            <v>0.15049947317066834</v>
          </cell>
          <cell r="BQ44">
            <v>0.92884284880879164</v>
          </cell>
          <cell r="BR44">
            <v>9.9638055537514106E-2</v>
          </cell>
          <cell r="BS44">
            <v>-0.75271576426310838</v>
          </cell>
          <cell r="BT44">
            <v>-1.1448782252885794</v>
          </cell>
          <cell r="BU44">
            <v>-1.1328692080097986</v>
          </cell>
          <cell r="BV44">
            <v>-0.62323482311835776</v>
          </cell>
        </row>
        <row r="45">
          <cell r="BI45">
            <v>1.9676355096646603</v>
          </cell>
          <cell r="BJ45">
            <v>1.438614783783617</v>
          </cell>
          <cell r="BK45">
            <v>0.61375396019620554</v>
          </cell>
          <cell r="BL45">
            <v>0.27392520400219134</v>
          </cell>
          <cell r="BM45">
            <v>-0.41965085900613652</v>
          </cell>
          <cell r="BN45">
            <v>0.41791824474337214</v>
          </cell>
          <cell r="BO45">
            <v>1.9289302034408387</v>
          </cell>
          <cell r="BP45">
            <v>2.9908320331715772</v>
          </cell>
          <cell r="BQ45">
            <v>3.5324724469041198</v>
          </cell>
          <cell r="BR45">
            <v>2.8627858505104418</v>
          </cell>
          <cell r="BS45">
            <v>2.1316967467852761</v>
          </cell>
          <cell r="BT45">
            <v>2.001570363886779</v>
          </cell>
          <cell r="BU45">
            <v>2.2341728512869152</v>
          </cell>
          <cell r="BV45">
            <v>2.8589314310671137</v>
          </cell>
        </row>
        <row r="46">
          <cell r="BI46">
            <v>-1.0735870643455001</v>
          </cell>
          <cell r="BJ46">
            <v>-1.1096166778749159</v>
          </cell>
          <cell r="BK46">
            <v>-1.0640542623331823</v>
          </cell>
          <cell r="BL46">
            <v>-1.0029759962606553</v>
          </cell>
          <cell r="BM46">
            <v>-0.9701573158169422</v>
          </cell>
          <cell r="BN46">
            <v>-0.86434539413958833</v>
          </cell>
          <cell r="BO46">
            <v>-0.80453605087732749</v>
          </cell>
          <cell r="BP46">
            <v>-0.78610404432834535</v>
          </cell>
          <cell r="BQ46">
            <v>-0.77858190246440562</v>
          </cell>
          <cell r="BR46">
            <v>-1.2000850244740588</v>
          </cell>
          <cell r="BS46">
            <v>-1.3556011746927836</v>
          </cell>
          <cell r="BT46">
            <v>-1.5221660152087884</v>
          </cell>
          <cell r="BU46">
            <v>-1.6876667374588701</v>
          </cell>
          <cell r="BV46">
            <v>-1.6115882952394818</v>
          </cell>
        </row>
        <row r="47">
          <cell r="BI47">
            <v>-1.8345265599893512</v>
          </cell>
          <cell r="BJ47">
            <v>-1.9627289721932586</v>
          </cell>
          <cell r="BK47">
            <v>-2.073522036427689</v>
          </cell>
          <cell r="BL47">
            <v>-2.2094609667966223</v>
          </cell>
          <cell r="BM47">
            <v>-2.3283166948919147</v>
          </cell>
          <cell r="BN47">
            <v>-2.5041648483612953</v>
          </cell>
          <cell r="BO47">
            <v>-2.4851768104506546</v>
          </cell>
          <cell r="BP47">
            <v>-2.3995493133360064</v>
          </cell>
          <cell r="BQ47">
            <v>-2.1790202292543714</v>
          </cell>
          <cell r="BR47">
            <v>-1.8743763395783024</v>
          </cell>
          <cell r="BS47">
            <v>-1.844011062640778</v>
          </cell>
          <cell r="BT47">
            <v>-1.9605235118370825</v>
          </cell>
          <cell r="BU47">
            <v>-2.0479796583936767</v>
          </cell>
          <cell r="BV47">
            <v>-2.2910176153734167</v>
          </cell>
        </row>
        <row r="48">
          <cell r="BI48">
            <v>0.31233064263099347</v>
          </cell>
          <cell r="BJ48">
            <v>0.30786695705286793</v>
          </cell>
          <cell r="BK48">
            <v>0.31222859659209057</v>
          </cell>
          <cell r="BL48">
            <v>0.31930117962360699</v>
          </cell>
          <cell r="BM48">
            <v>0.31648795748106023</v>
          </cell>
          <cell r="BN48">
            <v>0.33493981276498153</v>
          </cell>
          <cell r="BO48">
            <v>0.36615764341853652</v>
          </cell>
          <cell r="BP48">
            <v>0.34499609545595494</v>
          </cell>
          <cell r="BQ48">
            <v>0.35397253362344894</v>
          </cell>
          <cell r="BR48">
            <v>0.31131356907943292</v>
          </cell>
          <cell r="BS48">
            <v>0.31519972628517662</v>
          </cell>
          <cell r="BT48">
            <v>0.33609791748009515</v>
          </cell>
          <cell r="BU48">
            <v>0.36831340969193754</v>
          </cell>
          <cell r="BV48">
            <v>0.42014849323045567</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1"/>
      <sheetName val="3"/>
      <sheetName val="2"/>
      <sheetName val="4"/>
      <sheetName val="5"/>
      <sheetName val="Leliq y inflation expectations"/>
      <sheetName val="6"/>
      <sheetName val="Sheet1"/>
      <sheetName val="Amortizacion"/>
      <sheetName val="7"/>
      <sheetName val="8"/>
      <sheetName val="10"/>
      <sheetName val="9"/>
      <sheetName val="Tabla"/>
      <sheetName val="Agri output"/>
      <sheetName val="Ciara Cec"/>
      <sheetName val="Prices of agricultural"/>
      <sheetName val="11"/>
      <sheetName val="12"/>
      <sheetName val="Core infl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0">
          <cell r="H10">
            <v>40909</v>
          </cell>
          <cell r="I10">
            <v>40940</v>
          </cell>
          <cell r="J10">
            <v>40969</v>
          </cell>
          <cell r="K10">
            <v>41000</v>
          </cell>
          <cell r="L10">
            <v>41030</v>
          </cell>
          <cell r="M10">
            <v>41061</v>
          </cell>
          <cell r="N10">
            <v>41091</v>
          </cell>
          <cell r="O10">
            <v>41122</v>
          </cell>
          <cell r="P10">
            <v>41153</v>
          </cell>
          <cell r="Q10">
            <v>41183</v>
          </cell>
          <cell r="R10">
            <v>41214</v>
          </cell>
          <cell r="S10">
            <v>41244</v>
          </cell>
          <cell r="T10">
            <v>41275</v>
          </cell>
          <cell r="U10">
            <v>41306</v>
          </cell>
          <cell r="V10">
            <v>41334</v>
          </cell>
          <cell r="W10">
            <v>41365</v>
          </cell>
          <cell r="X10">
            <v>41395</v>
          </cell>
          <cell r="Y10">
            <v>41426</v>
          </cell>
          <cell r="Z10">
            <v>41456</v>
          </cell>
          <cell r="AA10">
            <v>41487</v>
          </cell>
          <cell r="AB10">
            <v>41518</v>
          </cell>
          <cell r="AC10">
            <v>41548</v>
          </cell>
          <cell r="AD10">
            <v>41579</v>
          </cell>
          <cell r="AE10">
            <v>41609</v>
          </cell>
          <cell r="AF10">
            <v>41640</v>
          </cell>
          <cell r="AG10">
            <v>41671</v>
          </cell>
          <cell r="AH10">
            <v>41699</v>
          </cell>
          <cell r="AI10">
            <v>41730</v>
          </cell>
          <cell r="AJ10">
            <v>41760</v>
          </cell>
          <cell r="AK10">
            <v>41791</v>
          </cell>
          <cell r="AL10">
            <v>41821</v>
          </cell>
          <cell r="AM10">
            <v>41852</v>
          </cell>
          <cell r="AN10">
            <v>41883</v>
          </cell>
          <cell r="AO10">
            <v>41913</v>
          </cell>
          <cell r="AP10">
            <v>41944</v>
          </cell>
          <cell r="AQ10">
            <v>41974</v>
          </cell>
          <cell r="AR10">
            <v>42005</v>
          </cell>
          <cell r="AS10">
            <v>42036</v>
          </cell>
          <cell r="AT10">
            <v>42064</v>
          </cell>
          <cell r="AU10">
            <v>42095</v>
          </cell>
          <cell r="AV10">
            <v>42125</v>
          </cell>
          <cell r="AW10">
            <v>42156</v>
          </cell>
          <cell r="AX10">
            <v>42186</v>
          </cell>
          <cell r="AY10">
            <v>42217</v>
          </cell>
          <cell r="AZ10">
            <v>42248</v>
          </cell>
          <cell r="BA10">
            <v>42278</v>
          </cell>
          <cell r="BB10">
            <v>42309</v>
          </cell>
          <cell r="BC10">
            <v>42339</v>
          </cell>
          <cell r="BD10">
            <v>42370</v>
          </cell>
          <cell r="BE10">
            <v>42401</v>
          </cell>
          <cell r="BF10">
            <v>42430</v>
          </cell>
          <cell r="BG10">
            <v>42461</v>
          </cell>
          <cell r="BH10">
            <v>42491</v>
          </cell>
          <cell r="BI10">
            <v>42522</v>
          </cell>
          <cell r="BJ10">
            <v>42552</v>
          </cell>
          <cell r="BK10">
            <v>42583</v>
          </cell>
          <cell r="BL10">
            <v>42614</v>
          </cell>
          <cell r="BM10">
            <v>42644</v>
          </cell>
          <cell r="BN10">
            <v>42675</v>
          </cell>
          <cell r="BO10">
            <v>42705</v>
          </cell>
          <cell r="BP10">
            <v>42736</v>
          </cell>
          <cell r="BQ10">
            <v>42767</v>
          </cell>
          <cell r="BR10">
            <v>42795</v>
          </cell>
          <cell r="BS10">
            <v>42826</v>
          </cell>
          <cell r="BT10">
            <v>42856</v>
          </cell>
          <cell r="BU10">
            <v>42887</v>
          </cell>
          <cell r="BV10">
            <v>42917</v>
          </cell>
          <cell r="BW10">
            <v>42948</v>
          </cell>
          <cell r="BX10">
            <v>42979</v>
          </cell>
          <cell r="BY10">
            <v>43009</v>
          </cell>
          <cell r="BZ10">
            <v>43040</v>
          </cell>
          <cell r="CA10">
            <v>43070</v>
          </cell>
          <cell r="CB10">
            <v>43101</v>
          </cell>
          <cell r="CC10">
            <v>43132</v>
          </cell>
          <cell r="CD10">
            <v>43160</v>
          </cell>
          <cell r="CE10">
            <v>43191</v>
          </cell>
          <cell r="CF10">
            <v>43221</v>
          </cell>
          <cell r="CG10">
            <v>43252</v>
          </cell>
          <cell r="CH10">
            <v>43282</v>
          </cell>
          <cell r="CI10">
            <v>43313</v>
          </cell>
          <cell r="CJ10">
            <v>43344</v>
          </cell>
          <cell r="CK10">
            <v>43374</v>
          </cell>
          <cell r="CL10">
            <v>43405</v>
          </cell>
          <cell r="CM10">
            <v>43435</v>
          </cell>
          <cell r="CN10">
            <v>43466</v>
          </cell>
          <cell r="CO10">
            <v>43497</v>
          </cell>
          <cell r="CP10">
            <v>43525</v>
          </cell>
          <cell r="CQ10">
            <v>43556</v>
          </cell>
          <cell r="CR10">
            <v>43586</v>
          </cell>
          <cell r="CS10">
            <v>43617</v>
          </cell>
          <cell r="CT10">
            <v>43647</v>
          </cell>
          <cell r="CU10">
            <v>43678</v>
          </cell>
          <cell r="CV10">
            <v>43709</v>
          </cell>
          <cell r="CW10">
            <v>43739</v>
          </cell>
          <cell r="CX10">
            <v>43770</v>
          </cell>
          <cell r="CY10">
            <v>43800</v>
          </cell>
          <cell r="CZ10">
            <v>43831</v>
          </cell>
          <cell r="DA10">
            <v>43862</v>
          </cell>
          <cell r="DB10">
            <v>43891</v>
          </cell>
          <cell r="DC10">
            <v>43922</v>
          </cell>
          <cell r="DD10">
            <v>43952</v>
          </cell>
          <cell r="DE10">
            <v>43983</v>
          </cell>
          <cell r="DF10">
            <v>44013</v>
          </cell>
          <cell r="DG10">
            <v>44044</v>
          </cell>
          <cell r="DH10">
            <v>44075</v>
          </cell>
          <cell r="DI10">
            <v>44105</v>
          </cell>
          <cell r="DJ10">
            <v>44136</v>
          </cell>
          <cell r="DK10">
            <v>44166</v>
          </cell>
          <cell r="DL10">
            <v>44197</v>
          </cell>
          <cell r="DM10">
            <v>44228</v>
          </cell>
          <cell r="DN10">
            <v>44256</v>
          </cell>
          <cell r="DO10">
            <v>44287</v>
          </cell>
          <cell r="DP10">
            <v>44317</v>
          </cell>
          <cell r="DQ10">
            <v>44348</v>
          </cell>
          <cell r="DR10">
            <v>44378</v>
          </cell>
          <cell r="DS10">
            <v>44409</v>
          </cell>
          <cell r="DT10">
            <v>44440</v>
          </cell>
          <cell r="DU10">
            <v>44470</v>
          </cell>
          <cell r="DV10">
            <v>44501</v>
          </cell>
          <cell r="DW10">
            <v>44531</v>
          </cell>
          <cell r="DX10">
            <v>44562</v>
          </cell>
          <cell r="DY10">
            <v>44593</v>
          </cell>
          <cell r="DZ10">
            <v>44621</v>
          </cell>
          <cell r="EA10">
            <v>44652</v>
          </cell>
          <cell r="EB10">
            <v>44682</v>
          </cell>
          <cell r="EC10">
            <v>44713</v>
          </cell>
          <cell r="ED10">
            <v>44743</v>
          </cell>
          <cell r="EE10">
            <v>44774</v>
          </cell>
          <cell r="EF10">
            <v>44805</v>
          </cell>
          <cell r="EG10">
            <v>44835</v>
          </cell>
          <cell r="EH10">
            <v>44866</v>
          </cell>
          <cell r="EI10">
            <v>44896</v>
          </cell>
          <cell r="EJ10">
            <v>44927</v>
          </cell>
          <cell r="EK10">
            <v>44958</v>
          </cell>
          <cell r="EL10">
            <v>44986</v>
          </cell>
          <cell r="EM10">
            <v>45017</v>
          </cell>
          <cell r="EN10">
            <v>45047</v>
          </cell>
          <cell r="EO10">
            <v>45078</v>
          </cell>
          <cell r="EP10">
            <v>45108</v>
          </cell>
          <cell r="EQ10">
            <v>45139</v>
          </cell>
          <cell r="ER10">
            <v>45170</v>
          </cell>
          <cell r="ES10">
            <v>45200</v>
          </cell>
          <cell r="ET10">
            <v>45231</v>
          </cell>
          <cell r="EU10">
            <v>45261</v>
          </cell>
          <cell r="EV10">
            <v>45292</v>
          </cell>
          <cell r="EW10">
            <v>45323</v>
          </cell>
          <cell r="EX10">
            <v>45352</v>
          </cell>
          <cell r="EY10">
            <v>45383</v>
          </cell>
          <cell r="EZ10">
            <v>45413</v>
          </cell>
          <cell r="FA10">
            <v>45444</v>
          </cell>
          <cell r="FB10">
            <v>45474</v>
          </cell>
          <cell r="FC10">
            <v>45505</v>
          </cell>
          <cell r="FD10">
            <v>45536</v>
          </cell>
          <cell r="FE10">
            <v>45566</v>
          </cell>
          <cell r="FF10">
            <v>45597</v>
          </cell>
          <cell r="FG10">
            <v>45627</v>
          </cell>
          <cell r="FH10">
            <v>45658</v>
          </cell>
          <cell r="FI10">
            <v>45689</v>
          </cell>
          <cell r="FJ10">
            <v>45717</v>
          </cell>
          <cell r="FK10">
            <v>45748</v>
          </cell>
          <cell r="FL10">
            <v>45778</v>
          </cell>
          <cell r="FM10">
            <v>45809</v>
          </cell>
          <cell r="FN10">
            <v>45839</v>
          </cell>
          <cell r="FO10">
            <v>45870</v>
          </cell>
          <cell r="FP10">
            <v>45901</v>
          </cell>
          <cell r="FQ10">
            <v>45931</v>
          </cell>
          <cell r="FR10">
            <v>45962</v>
          </cell>
          <cell r="FS10">
            <v>45992</v>
          </cell>
          <cell r="FT10">
            <v>46023</v>
          </cell>
          <cell r="FU10">
            <v>46054</v>
          </cell>
          <cell r="FV10">
            <v>46082</v>
          </cell>
          <cell r="FW10">
            <v>46113</v>
          </cell>
          <cell r="FX10">
            <v>46143</v>
          </cell>
          <cell r="FY10">
            <v>46174</v>
          </cell>
          <cell r="FZ10">
            <v>46204</v>
          </cell>
          <cell r="GA10">
            <v>46235</v>
          </cell>
        </row>
        <row r="12">
          <cell r="A12" t="str">
            <v>Net reserves</v>
          </cell>
          <cell r="H12">
            <v>38906.998575167941</v>
          </cell>
          <cell r="I12">
            <v>39046.497944890929</v>
          </cell>
          <cell r="J12">
            <v>39370.86746295022</v>
          </cell>
          <cell r="K12">
            <v>40023.011065726634</v>
          </cell>
          <cell r="L12">
            <v>39947.098896877105</v>
          </cell>
          <cell r="M12">
            <v>40166.411977900549</v>
          </cell>
          <cell r="N12">
            <v>40038.853928961747</v>
          </cell>
          <cell r="O12">
            <v>37843.96859333045</v>
          </cell>
          <cell r="P12">
            <v>37575.449846055162</v>
          </cell>
          <cell r="Q12">
            <v>36594.867022756</v>
          </cell>
          <cell r="R12">
            <v>36248.632582213031</v>
          </cell>
          <cell r="S12">
            <v>33858.245082482637</v>
          </cell>
          <cell r="T12">
            <v>33639.652914400802</v>
          </cell>
          <cell r="U12">
            <v>32864.759206923991</v>
          </cell>
          <cell r="V12">
            <v>31986.636406115253</v>
          </cell>
          <cell r="W12">
            <v>30532.050004830915</v>
          </cell>
          <cell r="X12">
            <v>29536.084389057756</v>
          </cell>
          <cell r="Y12">
            <v>28081.651767441861</v>
          </cell>
          <cell r="Z12">
            <v>27734.514824065638</v>
          </cell>
          <cell r="AA12">
            <v>27274.747215852796</v>
          </cell>
          <cell r="AB12">
            <v>24758.328978354981</v>
          </cell>
          <cell r="AC12">
            <v>22936.469687712153</v>
          </cell>
          <cell r="AD12">
            <v>20437.883322169582</v>
          </cell>
          <cell r="AE12">
            <v>18580.224109521616</v>
          </cell>
          <cell r="AF12">
            <v>15518.467419518376</v>
          </cell>
          <cell r="AG12">
            <v>17562.144648261758</v>
          </cell>
          <cell r="AH12">
            <v>17644.416637826958</v>
          </cell>
          <cell r="AI12">
            <v>19903.23905030181</v>
          </cell>
          <cell r="AJ12">
            <v>20129.619244084683</v>
          </cell>
          <cell r="AK12">
            <v>20421.328395892611</v>
          </cell>
          <cell r="AL12">
            <v>20467.015815177481</v>
          </cell>
          <cell r="AM12">
            <v>20137.497026104662</v>
          </cell>
          <cell r="AN12">
            <v>19497.953221957039</v>
          </cell>
          <cell r="AO12">
            <v>18504.874955595027</v>
          </cell>
          <cell r="AP12">
            <v>18478.081415094341</v>
          </cell>
          <cell r="AQ12">
            <v>19371.797331374855</v>
          </cell>
          <cell r="AR12">
            <v>18449.606030250143</v>
          </cell>
          <cell r="AS12">
            <v>17479.430691244241</v>
          </cell>
          <cell r="AT12">
            <v>16702.163329532494</v>
          </cell>
          <cell r="AU12">
            <v>18488.613902934536</v>
          </cell>
          <cell r="AV12">
            <v>17502.18901621017</v>
          </cell>
          <cell r="AW12">
            <v>17098.042690265484</v>
          </cell>
          <cell r="AX12">
            <v>16620.381754510665</v>
          </cell>
          <cell r="AY12">
            <v>14647.559513513514</v>
          </cell>
          <cell r="AZ12">
            <v>13107.455666666669</v>
          </cell>
          <cell r="BA12">
            <v>5461.9657091004738</v>
          </cell>
          <cell r="BB12">
            <v>3985.5534878175222</v>
          </cell>
          <cell r="BC12">
            <v>2625.177038167938</v>
          </cell>
          <cell r="BD12">
            <v>3938.422975326559</v>
          </cell>
          <cell r="BE12">
            <v>4363.5162993630565</v>
          </cell>
          <cell r="BF12">
            <v>3645.2228767123306</v>
          </cell>
          <cell r="BG12">
            <v>8920.665314685315</v>
          </cell>
          <cell r="BH12">
            <v>2501.6871428571412</v>
          </cell>
          <cell r="BI12">
            <v>2665.8109999999997</v>
          </cell>
          <cell r="BJ12">
            <v>8227.4903333333332</v>
          </cell>
          <cell r="BK12">
            <v>8239.6130402684594</v>
          </cell>
          <cell r="BL12">
            <v>7257.3191437908481</v>
          </cell>
          <cell r="BM12">
            <v>7511.6039999999957</v>
          </cell>
          <cell r="BN12">
            <v>11216.451006289311</v>
          </cell>
          <cell r="BO12">
            <v>12300.855805031448</v>
          </cell>
          <cell r="BP12">
            <v>13454.62659119497</v>
          </cell>
          <cell r="BQ12">
            <v>16852.11093548387</v>
          </cell>
          <cell r="BR12">
            <v>14826.702285714284</v>
          </cell>
          <cell r="BS12">
            <v>18004.572</v>
          </cell>
          <cell r="BT12">
            <v>19001.719161490684</v>
          </cell>
          <cell r="BU12">
            <v>23340.638927710846</v>
          </cell>
          <cell r="BV12">
            <v>20059.617484419257</v>
          </cell>
          <cell r="BW12">
            <v>20917.731826589596</v>
          </cell>
          <cell r="BX12">
            <v>23940.554456647402</v>
          </cell>
          <cell r="BY12">
            <v>27229.283855524081</v>
          </cell>
          <cell r="BZ12">
            <v>28353.48070520231</v>
          </cell>
          <cell r="CA12">
            <v>29996.327172043006</v>
          </cell>
          <cell r="CB12">
            <v>33399.127020408167</v>
          </cell>
          <cell r="CC12">
            <v>37208.173417910453</v>
          </cell>
          <cell r="CD12">
            <v>37054.049640776706</v>
          </cell>
          <cell r="CE12">
            <v>31846.82124087591</v>
          </cell>
          <cell r="CF12">
            <v>26727.731218787638</v>
          </cell>
          <cell r="CG12">
            <v>36308.015694444446</v>
          </cell>
          <cell r="CH12">
            <v>32862.77278311499</v>
          </cell>
          <cell r="CI12">
            <v>27506.8506239782</v>
          </cell>
          <cell r="CJ12">
            <v>24706.380840826248</v>
          </cell>
          <cell r="CK12">
            <v>29733.307736401672</v>
          </cell>
          <cell r="CL12">
            <v>26675.592424242423</v>
          </cell>
          <cell r="CM12">
            <v>31516.090085106385</v>
          </cell>
          <cell r="CN12">
            <v>32321.242302013423</v>
          </cell>
          <cell r="CO12">
            <v>33800.363089628678</v>
          </cell>
          <cell r="CP12">
            <v>30252.340231213871</v>
          </cell>
          <cell r="CQ12">
            <v>35264.601191827467</v>
          </cell>
          <cell r="CR12">
            <v>28190.078110613525</v>
          </cell>
          <cell r="CS12">
            <v>28566.170647780928</v>
          </cell>
          <cell r="CT12">
            <v>31930.441566925532</v>
          </cell>
          <cell r="CU12">
            <v>23721.396752735229</v>
          </cell>
          <cell r="CV12">
            <v>20639.091015828839</v>
          </cell>
          <cell r="CW12">
            <v>15663.016102064799</v>
          </cell>
          <cell r="CX12">
            <v>16009.450449197861</v>
          </cell>
          <cell r="CY12">
            <v>16055.062780063558</v>
          </cell>
          <cell r="CZ12">
            <v>14914.188726141079</v>
          </cell>
          <cell r="DA12">
            <v>14054.2432344228</v>
          </cell>
          <cell r="DB12">
            <v>13315.750488426285</v>
          </cell>
          <cell r="DC12">
            <v>12938.532357806411</v>
          </cell>
          <cell r="DD12">
            <v>11523.905637054355</v>
          </cell>
          <cell r="DE12">
            <v>12654.657283683911</v>
          </cell>
          <cell r="DF12">
            <v>12364.138414843534</v>
          </cell>
          <cell r="DG12">
            <v>10682.006563714904</v>
          </cell>
          <cell r="DH12">
            <v>8466.4634111461601</v>
          </cell>
          <cell r="DI12">
            <v>7149.9142983891597</v>
          </cell>
          <cell r="DJ12">
            <v>5940.3370077576656</v>
          </cell>
          <cell r="DK12">
            <v>6781.5115336109448</v>
          </cell>
          <cell r="DL12">
            <v>6076.1090510145605</v>
          </cell>
          <cell r="DM12">
            <v>5815.8680410164961</v>
          </cell>
          <cell r="DN12">
            <v>6763.683957562569</v>
          </cell>
          <cell r="DO12">
            <v>7876.3663434624432</v>
          </cell>
          <cell r="DP12">
            <v>9594.3860663637333</v>
          </cell>
          <cell r="DQ12">
            <v>9840.770371888726</v>
          </cell>
          <cell r="DR12">
            <v>9480.8168686199424</v>
          </cell>
          <cell r="DS12">
            <v>12919.20384965178</v>
          </cell>
          <cell r="DT12">
            <v>9102.3270519059206</v>
          </cell>
          <cell r="DU12">
            <v>8837.6780092350946</v>
          </cell>
          <cell r="DV12">
            <v>7888.3459787824686</v>
          </cell>
          <cell r="DW12">
            <v>5319.6678739037197</v>
          </cell>
          <cell r="DX12">
            <v>3347.9795070529908</v>
          </cell>
          <cell r="DY12">
            <v>2484.2917796925922</v>
          </cell>
          <cell r="DZ12">
            <v>9298.9200736633284</v>
          </cell>
          <cell r="EA12">
            <v>8285.5583824320784</v>
          </cell>
          <cell r="EB12">
            <v>8210.2256061615317</v>
          </cell>
          <cell r="EC12">
            <v>10094.773009590024</v>
          </cell>
          <cell r="ED12">
            <v>5711.2590495540117</v>
          </cell>
          <cell r="EE12">
            <v>4555.5691739161775</v>
          </cell>
          <cell r="EF12">
            <v>6540.7205603858183</v>
          </cell>
          <cell r="EG12">
            <v>7884.3083945539165</v>
          </cell>
          <cell r="EH12">
            <v>6380.0525348725914</v>
          </cell>
          <cell r="EI12">
            <v>11881.140467412177</v>
          </cell>
          <cell r="EJ12">
            <v>7492.3916928838971</v>
          </cell>
          <cell r="EK12">
            <v>5198.5253430601388</v>
          </cell>
          <cell r="EL12">
            <v>6166.3962811646943</v>
          </cell>
          <cell r="EM12">
            <v>3097.9844908306368</v>
          </cell>
          <cell r="EN12">
            <v>1820.4896669452573</v>
          </cell>
          <cell r="EO12">
            <v>-2197.3718791422998</v>
          </cell>
          <cell r="EP12">
            <v>-5784.3235286311574</v>
          </cell>
          <cell r="EQ12">
            <v>-1343.5292246065819</v>
          </cell>
          <cell r="ER12">
            <v>-2368.0633805980833</v>
          </cell>
          <cell r="ES12">
            <v>-6031.5422460658083</v>
          </cell>
          <cell r="ET12">
            <v>-7530.2197222222203</v>
          </cell>
          <cell r="EU12">
            <v>-6362.6464591982167</v>
          </cell>
          <cell r="EV12">
            <v>-2328.1589203539806</v>
          </cell>
          <cell r="EW12">
            <v>-2780.1999938146782</v>
          </cell>
          <cell r="EX12">
            <v>-1849.613389959135</v>
          </cell>
          <cell r="EY12">
            <v>-886.69665714285838</v>
          </cell>
          <cell r="EZ12">
            <v>441.62954362416076</v>
          </cell>
          <cell r="FA12">
            <v>777.66134376715854</v>
          </cell>
          <cell r="FB12">
            <v>-3153.0211628156903</v>
          </cell>
          <cell r="FC12">
            <v>-3077.1288361344559</v>
          </cell>
          <cell r="FD12">
            <v>-4018.7229184726511</v>
          </cell>
          <cell r="FE12">
            <v>-4250.58399343766</v>
          </cell>
          <cell r="FF12">
            <v>-3349.3113366336638</v>
          </cell>
          <cell r="FG12">
            <v>-2483.2379010189215</v>
          </cell>
          <cell r="FH12">
            <v>-4628.5021596958159</v>
          </cell>
          <cell r="FI12">
            <v>-4323.0880557253695</v>
          </cell>
          <cell r="FJ12">
            <v>-6504.1610233100237</v>
          </cell>
          <cell r="FK12">
            <v>5120.209183183184</v>
          </cell>
          <cell r="FL12">
            <v>4658.3929471905358</v>
          </cell>
          <cell r="FM12">
            <v>8090.1493969179519</v>
          </cell>
          <cell r="FN12">
            <v>6147.1680766703157</v>
          </cell>
          <cell r="FO12">
            <v>7234.2436168224322</v>
          </cell>
          <cell r="FP12">
            <v>7100.7797033805891</v>
          </cell>
          <cell r="FQ12">
            <v>1219.9238073585584</v>
          </cell>
          <cell r="FR12">
            <v>112.60677263303296</v>
          </cell>
          <cell r="FS12">
            <v>4093.9148124784551</v>
          </cell>
          <cell r="FT12">
            <v>963.42400173310307</v>
          </cell>
          <cell r="FU12">
            <v>1932.1984219030492</v>
          </cell>
          <cell r="FV12">
            <v>1322.0451760435553</v>
          </cell>
          <cell r="FW12">
            <v>3021.6256815723045</v>
          </cell>
          <cell r="FX12">
            <v>5839.075786961168</v>
          </cell>
          <cell r="FY12">
            <v>4929.4221184433172</v>
          </cell>
          <cell r="FZ12">
            <v>7658.4221184433172</v>
          </cell>
          <cell r="GA12">
            <v>9559.4221184433172</v>
          </cell>
        </row>
        <row r="13">
          <cell r="A13" t="str">
            <v>Repos</v>
          </cell>
          <cell r="H13">
            <v>946.60299999999995</v>
          </cell>
          <cell r="I13">
            <v>966.99</v>
          </cell>
          <cell r="J13">
            <v>881.43100000000004</v>
          </cell>
          <cell r="K13">
            <v>860.15200000000004</v>
          </cell>
          <cell r="L13">
            <v>911.31</v>
          </cell>
          <cell r="M13">
            <v>946.47199999999998</v>
          </cell>
          <cell r="N13">
            <v>957.15700000000004</v>
          </cell>
          <cell r="O13">
            <v>951.10199999999998</v>
          </cell>
          <cell r="P13">
            <v>755.91</v>
          </cell>
          <cell r="Q13">
            <v>931.53499999999997</v>
          </cell>
          <cell r="R13">
            <v>915.779</v>
          </cell>
          <cell r="S13">
            <v>931.85699999999997</v>
          </cell>
          <cell r="T13">
            <v>789.19200000000001</v>
          </cell>
          <cell r="U13">
            <v>1044.201</v>
          </cell>
          <cell r="V13">
            <v>860.12800000000004</v>
          </cell>
          <cell r="W13">
            <v>1012.607</v>
          </cell>
          <cell r="X13">
            <v>1037.4839999999999</v>
          </cell>
          <cell r="Y13">
            <v>960.81799999999998</v>
          </cell>
          <cell r="Z13">
            <v>983.05399999999997</v>
          </cell>
          <cell r="AA13">
            <v>997.76800000000003</v>
          </cell>
          <cell r="AB13">
            <v>1001.026</v>
          </cell>
          <cell r="AC13">
            <v>997.55</v>
          </cell>
          <cell r="AD13">
            <v>946.98500000000001</v>
          </cell>
          <cell r="AE13">
            <v>1046.0640000000001</v>
          </cell>
          <cell r="AF13">
            <v>977.45399999999995</v>
          </cell>
          <cell r="AG13">
            <v>1016.703</v>
          </cell>
          <cell r="AH13">
            <v>1015.023</v>
          </cell>
          <cell r="AI13">
            <v>995.93600000000004</v>
          </cell>
          <cell r="AJ13">
            <v>1010.849</v>
          </cell>
          <cell r="AK13">
            <v>1066.2719999999999</v>
          </cell>
          <cell r="AL13">
            <v>1074.087</v>
          </cell>
          <cell r="AM13">
            <v>947.58500000000004</v>
          </cell>
          <cell r="AN13">
            <v>966.4</v>
          </cell>
          <cell r="AO13">
            <v>1806.8</v>
          </cell>
          <cell r="AP13">
            <v>2534.77</v>
          </cell>
          <cell r="AQ13">
            <v>3539.6210000000001</v>
          </cell>
          <cell r="AR13">
            <v>4384.6859999999997</v>
          </cell>
          <cell r="AS13">
            <v>4605.12</v>
          </cell>
          <cell r="AT13">
            <v>6323.88</v>
          </cell>
          <cell r="AU13">
            <v>7387.5870000000004</v>
          </cell>
          <cell r="AV13">
            <v>8032.65</v>
          </cell>
          <cell r="AW13">
            <v>9029.152</v>
          </cell>
          <cell r="AX13">
            <v>9051.3989999999994</v>
          </cell>
          <cell r="AY13">
            <v>11073.554</v>
          </cell>
          <cell r="AZ13">
            <v>12119.123</v>
          </cell>
          <cell r="BA13">
            <v>12167.887000000001</v>
          </cell>
          <cell r="BB13">
            <v>12024.418</v>
          </cell>
          <cell r="BC13">
            <v>11855.968000000001</v>
          </cell>
          <cell r="BD13">
            <v>16647.13</v>
          </cell>
          <cell r="BE13">
            <v>16749.713</v>
          </cell>
          <cell r="BF13">
            <v>16923.009999999998</v>
          </cell>
          <cell r="BG13">
            <v>16793.02</v>
          </cell>
          <cell r="BH13">
            <v>16627.52</v>
          </cell>
          <cell r="BI13">
            <v>16627.708999999999</v>
          </cell>
          <cell r="BJ13">
            <v>12587.683000000001</v>
          </cell>
          <cell r="BK13">
            <v>12515.293</v>
          </cell>
          <cell r="BL13">
            <v>12609.707</v>
          </cell>
          <cell r="BM13">
            <v>12448.271000000001</v>
          </cell>
          <cell r="BN13">
            <v>12381.31</v>
          </cell>
          <cell r="BO13">
            <v>11356.553</v>
          </cell>
          <cell r="BP13">
            <v>11446.907999999999</v>
          </cell>
          <cell r="BQ13">
            <v>11468.630999999999</v>
          </cell>
          <cell r="BR13">
            <v>11449.512000000001</v>
          </cell>
          <cell r="BS13">
            <v>11431.428</v>
          </cell>
          <cell r="BT13">
            <v>11542.815000000001</v>
          </cell>
          <cell r="BU13">
            <v>11598.343000000001</v>
          </cell>
          <cell r="BV13">
            <v>11685.476000000001</v>
          </cell>
          <cell r="BW13">
            <v>11888.378000000001</v>
          </cell>
          <cell r="BX13">
            <v>11824.723</v>
          </cell>
          <cell r="BY13">
            <v>11825.583000000001</v>
          </cell>
          <cell r="BZ13">
            <v>11865.606</v>
          </cell>
          <cell r="CA13">
            <v>12032.361000000001</v>
          </cell>
          <cell r="CB13">
            <v>12402.424000000001</v>
          </cell>
          <cell r="CC13">
            <v>12170.543</v>
          </cell>
          <cell r="CD13">
            <v>12228.329</v>
          </cell>
          <cell r="CE13">
            <v>12167.77</v>
          </cell>
          <cell r="CF13">
            <v>12007.273999999999</v>
          </cell>
          <cell r="CG13">
            <v>11661.584999999999</v>
          </cell>
          <cell r="CH13">
            <v>11352.554</v>
          </cell>
          <cell r="CI13">
            <v>11325.163</v>
          </cell>
          <cell r="CJ13">
            <v>11268.816000000001</v>
          </cell>
          <cell r="CK13">
            <v>11111.709000000001</v>
          </cell>
          <cell r="CL13">
            <v>11161.65</v>
          </cell>
          <cell r="CM13">
            <v>19978.878000000001</v>
          </cell>
          <cell r="CN13">
            <v>20481.652999999998</v>
          </cell>
          <cell r="CO13">
            <v>20499.167000000001</v>
          </cell>
          <cell r="CP13">
            <v>20446.78</v>
          </cell>
          <cell r="CQ13">
            <v>20381.349999999999</v>
          </cell>
          <cell r="CR13">
            <v>19909.363000000001</v>
          </cell>
          <cell r="CS13">
            <v>20017.776000000002</v>
          </cell>
          <cell r="CT13">
            <v>19971.689999999999</v>
          </cell>
          <cell r="CU13">
            <v>19256.612000000001</v>
          </cell>
          <cell r="CV13">
            <v>19279.75</v>
          </cell>
          <cell r="CW13">
            <v>19566.439999999999</v>
          </cell>
          <cell r="CX13">
            <v>19590.718000000001</v>
          </cell>
          <cell r="CY13">
            <v>19831.921999999999</v>
          </cell>
          <cell r="CZ13">
            <v>20030.636999999999</v>
          </cell>
          <cell r="DA13">
            <v>20093.460999999999</v>
          </cell>
          <cell r="DB13">
            <v>19914.538</v>
          </cell>
          <cell r="DC13">
            <v>19745.506000000001</v>
          </cell>
          <cell r="DD13">
            <v>19828.904999999999</v>
          </cell>
          <cell r="DE13">
            <v>20057.482</v>
          </cell>
          <cell r="DF13">
            <v>20295.344000000001</v>
          </cell>
          <cell r="DG13">
            <v>20741.072</v>
          </cell>
          <cell r="DH13">
            <v>20902.346000000001</v>
          </cell>
          <cell r="DI13">
            <v>21187.188999999998</v>
          </cell>
          <cell r="DJ13">
            <v>21519.96</v>
          </cell>
          <cell r="DK13">
            <v>21676.752</v>
          </cell>
          <cell r="DL13">
            <v>21983.675999999999</v>
          </cell>
          <cell r="DM13">
            <v>21842.288</v>
          </cell>
          <cell r="DN13">
            <v>21599.796999999999</v>
          </cell>
          <cell r="DO13">
            <v>21838.749</v>
          </cell>
          <cell r="DP13">
            <v>22168.657999999999</v>
          </cell>
          <cell r="DQ13">
            <v>21894.092000000001</v>
          </cell>
          <cell r="DR13">
            <v>21880.973999999998</v>
          </cell>
          <cell r="DS13">
            <v>21883.883000000002</v>
          </cell>
          <cell r="DT13">
            <v>21934.264999999999</v>
          </cell>
          <cell r="DU13">
            <v>22056.955999999998</v>
          </cell>
          <cell r="DV13">
            <v>22187.703000000001</v>
          </cell>
          <cell r="DW13">
            <v>22214.169000000002</v>
          </cell>
          <cell r="DX13">
            <v>22197.311000000002</v>
          </cell>
          <cell r="DY13">
            <v>22337.167000000001</v>
          </cell>
          <cell r="DZ13">
            <v>22263.093000000001</v>
          </cell>
          <cell r="EA13">
            <v>21429.756000000001</v>
          </cell>
          <cell r="EB13">
            <v>21244.647000000001</v>
          </cell>
          <cell r="EC13">
            <v>21162.987000000001</v>
          </cell>
          <cell r="ED13">
            <v>21036.291000000001</v>
          </cell>
          <cell r="EE13">
            <v>20630.434000000001</v>
          </cell>
          <cell r="EF13">
            <v>20035.154999999999</v>
          </cell>
          <cell r="EG13">
            <v>19562.865000000002</v>
          </cell>
          <cell r="EH13">
            <v>20098.579000000002</v>
          </cell>
          <cell r="EI13">
            <v>20624.513999999999</v>
          </cell>
          <cell r="EJ13">
            <v>21036.054</v>
          </cell>
          <cell r="EK13">
            <v>20548.803</v>
          </cell>
          <cell r="EL13">
            <v>20743.813000000002</v>
          </cell>
          <cell r="EM13">
            <v>20657.850999999999</v>
          </cell>
          <cell r="EN13">
            <v>20161.339</v>
          </cell>
          <cell r="EO13">
            <v>19815.797999999999</v>
          </cell>
          <cell r="EP13">
            <v>20037.231</v>
          </cell>
          <cell r="EQ13">
            <v>19776.272000000001</v>
          </cell>
          <cell r="ER13">
            <v>19709.003000000001</v>
          </cell>
          <cell r="ES13">
            <v>19694.37</v>
          </cell>
          <cell r="ET13">
            <v>20179.53</v>
          </cell>
          <cell r="EU13">
            <v>20301.095000000001</v>
          </cell>
          <cell r="EV13">
            <v>20156.565999999999</v>
          </cell>
          <cell r="EW13">
            <v>20136.964</v>
          </cell>
          <cell r="EX13">
            <v>20069.249</v>
          </cell>
          <cell r="EY13">
            <v>20062.733</v>
          </cell>
          <cell r="EZ13">
            <v>20092.802</v>
          </cell>
          <cell r="FA13">
            <v>19910.633000000002</v>
          </cell>
          <cell r="FB13">
            <v>19945.144</v>
          </cell>
          <cell r="FC13">
            <v>20301.026000000002</v>
          </cell>
          <cell r="FD13">
            <v>20515.331999999999</v>
          </cell>
          <cell r="FE13">
            <v>20298.311000000002</v>
          </cell>
          <cell r="FF13">
            <v>19976.345000000001</v>
          </cell>
          <cell r="FG13">
            <v>19842.673999999999</v>
          </cell>
          <cell r="FH13">
            <v>20074.885999999999</v>
          </cell>
          <cell r="FI13">
            <v>20003.816999999999</v>
          </cell>
          <cell r="FJ13">
            <v>20061.931</v>
          </cell>
          <cell r="FK13">
            <v>20032.173999999999</v>
          </cell>
          <cell r="FL13">
            <v>20213.882000000001</v>
          </cell>
          <cell r="FM13">
            <v>20439.297999999999</v>
          </cell>
          <cell r="FN13">
            <v>20366.042000000001</v>
          </cell>
          <cell r="FO13">
            <v>20549.654999999999</v>
          </cell>
          <cell r="FP13">
            <v>20575.036</v>
          </cell>
          <cell r="FQ13">
            <v>24088.830999999998</v>
          </cell>
          <cell r="FR13">
            <v>24195.7</v>
          </cell>
          <cell r="FS13">
            <v>21914.429</v>
          </cell>
          <cell r="FT13">
            <v>26209.463</v>
          </cell>
          <cell r="FU13">
            <v>26451.827000000001</v>
          </cell>
          <cell r="FV13">
            <v>26363.468000000001</v>
          </cell>
          <cell r="FW13">
            <v>27442.845000000001</v>
          </cell>
          <cell r="FX13">
            <v>27600.838</v>
          </cell>
          <cell r="FY13">
            <v>27542.727999999999</v>
          </cell>
          <cell r="FZ13">
            <v>27542.727999999999</v>
          </cell>
          <cell r="GA13">
            <v>27542.727999999999</v>
          </cell>
        </row>
        <row r="14">
          <cell r="A14" t="str">
            <v>Private USD deposits</v>
          </cell>
          <cell r="H14">
            <v>6740.3984248320585</v>
          </cell>
          <cell r="I14">
            <v>6654.5120551090695</v>
          </cell>
          <cell r="J14">
            <v>7038.701537049782</v>
          </cell>
          <cell r="K14">
            <v>6960.8369342733677</v>
          </cell>
          <cell r="L14">
            <v>6119.5911031228943</v>
          </cell>
          <cell r="M14">
            <v>5235.116022099447</v>
          </cell>
          <cell r="N14">
            <v>5821.9890710382506</v>
          </cell>
          <cell r="O14">
            <v>6356.9294066695529</v>
          </cell>
          <cell r="P14">
            <v>6678.640153944837</v>
          </cell>
          <cell r="Q14">
            <v>7747.5979772439941</v>
          </cell>
          <cell r="R14">
            <v>8073.5884177869702</v>
          </cell>
          <cell r="S14">
            <v>8499.8979175173554</v>
          </cell>
          <cell r="T14">
            <v>8102.1550855991936</v>
          </cell>
          <cell r="U14">
            <v>7700.0397930760055</v>
          </cell>
          <cell r="V14">
            <v>7599.2355938847513</v>
          </cell>
          <cell r="W14">
            <v>7987.3429951690823</v>
          </cell>
          <cell r="X14">
            <v>7977.431610942248</v>
          </cell>
          <cell r="Y14">
            <v>7962.5302325581397</v>
          </cell>
          <cell r="Z14">
            <v>8331.4311759343655</v>
          </cell>
          <cell r="AA14">
            <v>8405.4847841472056</v>
          </cell>
          <cell r="AB14">
            <v>8981.6450216450212</v>
          </cell>
          <cell r="AC14">
            <v>9297.9803122878475</v>
          </cell>
          <cell r="AD14">
            <v>9414.131677830419</v>
          </cell>
          <cell r="AE14">
            <v>10972.711890478387</v>
          </cell>
          <cell r="AF14">
            <v>11252.078580481622</v>
          </cell>
          <cell r="AG14">
            <v>8967.1523517382411</v>
          </cell>
          <cell r="AH14">
            <v>8347.5603621730388</v>
          </cell>
          <cell r="AI14">
            <v>7320.8249496981889</v>
          </cell>
          <cell r="AJ14">
            <v>7401.5317559153182</v>
          </cell>
          <cell r="AK14">
            <v>7790.399604107386</v>
          </cell>
          <cell r="AL14">
            <v>7461.897184822521</v>
          </cell>
          <cell r="AM14">
            <v>7534.9179738953408</v>
          </cell>
          <cell r="AN14">
            <v>7401.6467780429593</v>
          </cell>
          <cell r="AO14">
            <v>7799.3250444049736</v>
          </cell>
          <cell r="AP14">
            <v>7898.1485849056608</v>
          </cell>
          <cell r="AQ14">
            <v>8495.5816686251455</v>
          </cell>
          <cell r="AR14">
            <v>8617.7079697498539</v>
          </cell>
          <cell r="AS14">
            <v>9385.4493087557603</v>
          </cell>
          <cell r="AT14">
            <v>8463.9566704675035</v>
          </cell>
          <cell r="AU14">
            <v>8032.7990970654637</v>
          </cell>
          <cell r="AV14">
            <v>7748.1609837898268</v>
          </cell>
          <cell r="AW14">
            <v>7723.8053097345137</v>
          </cell>
          <cell r="AX14">
            <v>8271.2192454893393</v>
          </cell>
          <cell r="AY14">
            <v>7884.8864864864863</v>
          </cell>
          <cell r="AZ14">
            <v>8030.4213333333328</v>
          </cell>
          <cell r="BA14">
            <v>9340.1472908995256</v>
          </cell>
          <cell r="BB14">
            <v>9605.0285121824782</v>
          </cell>
          <cell r="BC14">
            <v>11081.854961832061</v>
          </cell>
          <cell r="BD14">
            <v>9488.44702467344</v>
          </cell>
          <cell r="BE14">
            <v>7285.7707006369437</v>
          </cell>
          <cell r="BF14">
            <v>9003.767123287671</v>
          </cell>
          <cell r="BG14">
            <v>8666.3146853146845</v>
          </cell>
          <cell r="BH14">
            <v>11041.792857142858</v>
          </cell>
          <cell r="BI14">
            <v>11213.480000000001</v>
          </cell>
          <cell r="BJ14">
            <v>11695.826666666666</v>
          </cell>
          <cell r="BK14">
            <v>10395.093959731543</v>
          </cell>
          <cell r="BL14">
            <v>10034.97385620915</v>
          </cell>
          <cell r="BM14">
            <v>17250.125000000004</v>
          </cell>
          <cell r="BN14">
            <v>13780.238993710691</v>
          </cell>
          <cell r="BO14">
            <v>15650.591194968552</v>
          </cell>
          <cell r="BP14">
            <v>21985.465408805034</v>
          </cell>
          <cell r="BQ14">
            <v>22287.258064516129</v>
          </cell>
          <cell r="BR14">
            <v>24245.785714285714</v>
          </cell>
          <cell r="BS14">
            <v>18781</v>
          </cell>
          <cell r="BT14">
            <v>15601.465838509315</v>
          </cell>
          <cell r="BU14">
            <v>13056.018072289155</v>
          </cell>
          <cell r="BV14">
            <v>15268.906515580738</v>
          </cell>
          <cell r="BW14">
            <v>16070.890173410406</v>
          </cell>
          <cell r="BX14">
            <v>14471.7225433526</v>
          </cell>
          <cell r="BY14">
            <v>12755.133144475922</v>
          </cell>
          <cell r="BZ14">
            <v>14343.913294797689</v>
          </cell>
          <cell r="CA14">
            <v>13026.311827956988</v>
          </cell>
          <cell r="CB14">
            <v>16222.448979591836</v>
          </cell>
          <cell r="CC14">
            <v>12130.283582089553</v>
          </cell>
          <cell r="CD14">
            <v>12443.6213592233</v>
          </cell>
          <cell r="CE14">
            <v>12608.408759124086</v>
          </cell>
          <cell r="CF14">
            <v>11362.994781212365</v>
          </cell>
          <cell r="CG14">
            <v>13911.399305555555</v>
          </cell>
          <cell r="CH14">
            <v>13780.673216885009</v>
          </cell>
          <cell r="CI14">
            <v>13825.986376021798</v>
          </cell>
          <cell r="CJ14">
            <v>13027.803159173754</v>
          </cell>
          <cell r="CK14">
            <v>13109.983263598326</v>
          </cell>
          <cell r="CL14">
            <v>13355.757575757576</v>
          </cell>
          <cell r="CM14">
            <v>14291.031914893618</v>
          </cell>
          <cell r="CN14">
            <v>14008.104697986579</v>
          </cell>
          <cell r="CO14">
            <v>13715.469910371319</v>
          </cell>
          <cell r="CP14">
            <v>15487.879768786128</v>
          </cell>
          <cell r="CQ14">
            <v>16017.048808172533</v>
          </cell>
          <cell r="CR14">
            <v>16679.558889386477</v>
          </cell>
          <cell r="CS14">
            <v>15694.053352219074</v>
          </cell>
          <cell r="CT14">
            <v>15996.868433074464</v>
          </cell>
          <cell r="CU14">
            <v>11121.99124726477</v>
          </cell>
          <cell r="CV14">
            <v>8784.1589841711593</v>
          </cell>
          <cell r="CW14">
            <v>8030.543897935202</v>
          </cell>
          <cell r="CX14">
            <v>8171.8315508021387</v>
          </cell>
          <cell r="CY14">
            <v>8961.0152199364438</v>
          </cell>
          <cell r="CZ14">
            <v>9972.1742738589219</v>
          </cell>
          <cell r="DA14">
            <v>10643.295765577201</v>
          </cell>
          <cell r="DB14">
            <v>10330.711511573714</v>
          </cell>
          <cell r="DC14">
            <v>10883.961642193588</v>
          </cell>
          <cell r="DD14">
            <v>11236.189362945646</v>
          </cell>
          <cell r="DE14">
            <v>10529.860716316089</v>
          </cell>
          <cell r="DF14">
            <v>10726.517585156465</v>
          </cell>
          <cell r="DG14">
            <v>11418.921436285096</v>
          </cell>
          <cell r="DH14">
            <v>12010.190588853839</v>
          </cell>
          <cell r="DI14">
            <v>11518.896701610842</v>
          </cell>
          <cell r="DJ14">
            <v>11191.702992242335</v>
          </cell>
          <cell r="DK14">
            <v>10928.736466389055</v>
          </cell>
          <cell r="DL14">
            <v>11455.21494898544</v>
          </cell>
          <cell r="DM14">
            <v>11859.843958983503</v>
          </cell>
          <cell r="DN14">
            <v>11229.519042437432</v>
          </cell>
          <cell r="DO14">
            <v>10547.884656537557</v>
          </cell>
          <cell r="DP14">
            <v>10108.955933636267</v>
          </cell>
          <cell r="DQ14">
            <v>10702.137628111273</v>
          </cell>
          <cell r="DR14">
            <v>11220.209131380059</v>
          </cell>
          <cell r="DS14">
            <v>11376.913150348219</v>
          </cell>
          <cell r="DT14">
            <v>11874.40794809408</v>
          </cell>
          <cell r="DU14">
            <v>11922.365990764907</v>
          </cell>
          <cell r="DV14">
            <v>11453.95102121753</v>
          </cell>
          <cell r="DW14">
            <v>12128.163126096279</v>
          </cell>
          <cell r="DX14">
            <v>12043.709492947008</v>
          </cell>
          <cell r="DY14">
            <v>12196.541220307407</v>
          </cell>
          <cell r="DZ14">
            <v>11574.986926336671</v>
          </cell>
          <cell r="EA14">
            <v>12291.68561756792</v>
          </cell>
          <cell r="EB14">
            <v>12106.127393838467</v>
          </cell>
          <cell r="EC14">
            <v>11529.239990409975</v>
          </cell>
          <cell r="ED14">
            <v>11484.449950445987</v>
          </cell>
          <cell r="EE14">
            <v>11547.996826083821</v>
          </cell>
          <cell r="EF14">
            <v>11049.124439614183</v>
          </cell>
          <cell r="EG14">
            <v>11228.826605446082</v>
          </cell>
          <cell r="EH14">
            <v>11530.368465127407</v>
          </cell>
          <cell r="EI14">
            <v>12092.345532587824</v>
          </cell>
          <cell r="EJ14">
            <v>12888.554307116103</v>
          </cell>
          <cell r="EK14">
            <v>12961.671656939861</v>
          </cell>
          <cell r="EL14">
            <v>12149.790718835304</v>
          </cell>
          <cell r="EM14">
            <v>11245.164509169364</v>
          </cell>
          <cell r="EN14">
            <v>11019.171333054743</v>
          </cell>
          <cell r="EO14">
            <v>10307.573879142301</v>
          </cell>
          <cell r="EP14">
            <v>9839.0925286311576</v>
          </cell>
          <cell r="EQ14">
            <v>9385.2572246065811</v>
          </cell>
          <cell r="ER14">
            <v>9584.0603805980827</v>
          </cell>
          <cell r="ES14">
            <v>8896.1722460658093</v>
          </cell>
          <cell r="ET14">
            <v>8863.6897222222215</v>
          </cell>
          <cell r="EU14">
            <v>9134.5514591982155</v>
          </cell>
          <cell r="EV14">
            <v>9813.5929203539818</v>
          </cell>
          <cell r="EW14">
            <v>9333.2359938146783</v>
          </cell>
          <cell r="EX14">
            <v>8907.3643899591352</v>
          </cell>
          <cell r="EY14">
            <v>8401.9636571428582</v>
          </cell>
          <cell r="EZ14">
            <v>8129.5684563758396</v>
          </cell>
          <cell r="FA14">
            <v>8333.7056562328398</v>
          </cell>
          <cell r="FB14">
            <v>9609.8771628156901</v>
          </cell>
          <cell r="FC14">
            <v>9495.1028361344543</v>
          </cell>
          <cell r="FD14">
            <v>10675.390918472653</v>
          </cell>
          <cell r="FE14">
            <v>12570.272993437658</v>
          </cell>
          <cell r="FF14">
            <v>13586.966336633663</v>
          </cell>
          <cell r="FG14">
            <v>12280.563901018922</v>
          </cell>
          <cell r="FH14">
            <v>12863.616159695817</v>
          </cell>
          <cell r="FI14">
            <v>12436.27105572537</v>
          </cell>
          <cell r="FJ14">
            <v>11428.230023310023</v>
          </cell>
          <cell r="FK14">
            <v>13775.616816816817</v>
          </cell>
          <cell r="FL14">
            <v>12046.725052809463</v>
          </cell>
          <cell r="FM14">
            <v>11443.552603082049</v>
          </cell>
          <cell r="FN14">
            <v>12352.789923329683</v>
          </cell>
          <cell r="FO14">
            <v>12202.101383177569</v>
          </cell>
          <cell r="FP14">
            <v>12698.184296619411</v>
          </cell>
          <cell r="FQ14">
            <v>14073.245192641443</v>
          </cell>
          <cell r="FR14">
            <v>16026.693227366966</v>
          </cell>
          <cell r="FS14">
            <v>15158.656187521545</v>
          </cell>
          <cell r="FT14">
            <v>17330.112998266897</v>
          </cell>
          <cell r="FU14">
            <v>17181.97457809695</v>
          </cell>
          <cell r="FV14">
            <v>14366.486823956444</v>
          </cell>
          <cell r="FW14">
            <v>14051.529318427694</v>
          </cell>
          <cell r="FX14">
            <v>14753.086213038832</v>
          </cell>
          <cell r="FY14">
            <v>12397.849881556684</v>
          </cell>
          <cell r="FZ14">
            <v>12397.849881556684</v>
          </cell>
          <cell r="GA14">
            <v>12397.849881556684</v>
          </cell>
        </row>
        <row r="15">
          <cell r="A15" t="str">
            <v>Gold</v>
          </cell>
          <cell r="H15">
            <v>3433.6390000000001</v>
          </cell>
          <cell r="I15">
            <v>3419.7840000000001</v>
          </cell>
          <cell r="J15">
            <v>3311.107</v>
          </cell>
          <cell r="K15">
            <v>3300.4279999999999</v>
          </cell>
          <cell r="L15">
            <v>3096.5929999999998</v>
          </cell>
          <cell r="M15">
            <v>3175.038</v>
          </cell>
          <cell r="N15">
            <v>3201.3589999999999</v>
          </cell>
          <cell r="O15">
            <v>3346.4989999999998</v>
          </cell>
          <cell r="P15">
            <v>3514.1480000000001</v>
          </cell>
          <cell r="Q15">
            <v>3411.1089999999999</v>
          </cell>
          <cell r="R15">
            <v>3399.835</v>
          </cell>
          <cell r="S15">
            <v>3326.471</v>
          </cell>
          <cell r="T15">
            <v>3330.7379999999998</v>
          </cell>
          <cell r="U15">
            <v>3137.2649999999999</v>
          </cell>
          <cell r="V15">
            <v>3186.9679999999998</v>
          </cell>
          <cell r="W15">
            <v>2922.9090000000001</v>
          </cell>
          <cell r="X15">
            <v>2763.3980000000001</v>
          </cell>
          <cell r="Y15">
            <v>2432.7640000000001</v>
          </cell>
          <cell r="Z15">
            <v>2606.6260000000002</v>
          </cell>
          <cell r="AA15">
            <v>2769.5709999999999</v>
          </cell>
          <cell r="AB15">
            <v>2637.9490000000001</v>
          </cell>
          <cell r="AC15">
            <v>2625.5230000000001</v>
          </cell>
          <cell r="AD15">
            <v>2481.8119999999999</v>
          </cell>
          <cell r="AE15">
            <v>2389.4720000000002</v>
          </cell>
          <cell r="AF15">
            <v>2461.7440000000001</v>
          </cell>
          <cell r="AG15">
            <v>2623.6570000000002</v>
          </cell>
          <cell r="AH15">
            <v>2545.9459999999999</v>
          </cell>
          <cell r="AI15">
            <v>2569.587</v>
          </cell>
          <cell r="AJ15">
            <v>2470.0410000000002</v>
          </cell>
          <cell r="AK15">
            <v>2633.6410000000001</v>
          </cell>
          <cell r="AL15">
            <v>2542.2339999999999</v>
          </cell>
          <cell r="AM15">
            <v>2552.06</v>
          </cell>
          <cell r="AN15">
            <v>2399.34</v>
          </cell>
          <cell r="AO15">
            <v>2324.52</v>
          </cell>
          <cell r="AP15">
            <v>2316.17</v>
          </cell>
          <cell r="AQ15">
            <v>2354.7849999999999</v>
          </cell>
          <cell r="AR15">
            <v>2529.5500000000002</v>
          </cell>
          <cell r="AS15">
            <v>2406.96</v>
          </cell>
          <cell r="AT15">
            <v>2345.58</v>
          </cell>
          <cell r="AU15">
            <v>2348.3429999999998</v>
          </cell>
          <cell r="AV15">
            <v>2361.8209999999999</v>
          </cell>
          <cell r="AW15">
            <v>2325.933</v>
          </cell>
          <cell r="AX15">
            <v>2178.0140000000001</v>
          </cell>
          <cell r="AY15">
            <v>2249.096</v>
          </cell>
          <cell r="AZ15">
            <v>2214.3980000000001</v>
          </cell>
          <cell r="BA15">
            <v>2263.348</v>
          </cell>
          <cell r="BB15">
            <v>2110.625</v>
          </cell>
          <cell r="BC15">
            <v>2106.933</v>
          </cell>
          <cell r="BD15">
            <v>2215.2719999999999</v>
          </cell>
          <cell r="BE15">
            <v>2444.1970000000001</v>
          </cell>
          <cell r="BF15">
            <v>2444.44</v>
          </cell>
          <cell r="BG15">
            <v>2559.8009999999999</v>
          </cell>
          <cell r="BH15">
            <v>2413.0300000000002</v>
          </cell>
          <cell r="BI15">
            <v>2617.2649999999999</v>
          </cell>
          <cell r="BJ15">
            <v>2681.558</v>
          </cell>
          <cell r="BK15">
            <v>2594.4380000000001</v>
          </cell>
          <cell r="BL15">
            <v>2607.7570000000001</v>
          </cell>
          <cell r="BM15">
            <v>2322.9899999999998</v>
          </cell>
          <cell r="BN15">
            <v>2141.8249999999998</v>
          </cell>
          <cell r="BO15">
            <v>2101.7489999999998</v>
          </cell>
          <cell r="BP15">
            <v>2400.569</v>
          </cell>
          <cell r="BQ15">
            <v>2291.4899999999998</v>
          </cell>
          <cell r="BR15">
            <v>2202.13</v>
          </cell>
          <cell r="BS15">
            <v>2514.1489999999999</v>
          </cell>
          <cell r="BT15">
            <v>2522.7809999999999</v>
          </cell>
          <cell r="BU15">
            <v>2386.5839999999998</v>
          </cell>
          <cell r="BV15">
            <v>2514.067</v>
          </cell>
          <cell r="BW15">
            <v>2614.7049999999999</v>
          </cell>
          <cell r="BX15">
            <v>2545.529</v>
          </cell>
          <cell r="BY15">
            <v>2435.0189999999998</v>
          </cell>
          <cell r="BZ15">
            <v>2293.1219999999998</v>
          </cell>
          <cell r="CA15">
            <v>2298.7750000000001</v>
          </cell>
          <cell r="CB15">
            <v>2657.8829999999998</v>
          </cell>
          <cell r="CC15">
            <v>2616.7890000000002</v>
          </cell>
          <cell r="CD15">
            <v>2337.6950000000002</v>
          </cell>
          <cell r="CE15">
            <v>2623.7179999999998</v>
          </cell>
          <cell r="CF15">
            <v>2579.0340000000001</v>
          </cell>
          <cell r="CG15">
            <v>2486.4360000000001</v>
          </cell>
          <cell r="CH15">
            <v>2429.2289999999998</v>
          </cell>
          <cell r="CI15">
            <v>2383.8339999999998</v>
          </cell>
          <cell r="CJ15">
            <v>2296.9580000000001</v>
          </cell>
          <cell r="CK15">
            <v>2406.924</v>
          </cell>
          <cell r="CL15">
            <v>2435.6089999999999</v>
          </cell>
          <cell r="CM15">
            <v>2255.623</v>
          </cell>
          <cell r="CN15">
            <v>2622.26</v>
          </cell>
          <cell r="CO15">
            <v>2608.201</v>
          </cell>
          <cell r="CP15">
            <v>2280.8530000000001</v>
          </cell>
          <cell r="CQ15">
            <v>2547.1640000000002</v>
          </cell>
          <cell r="CR15">
            <v>2588.2139999999999</v>
          </cell>
          <cell r="CS15">
            <v>2486.0309999999999</v>
          </cell>
          <cell r="CT15">
            <v>2818.4409999999998</v>
          </cell>
          <cell r="CU15">
            <v>3011.884</v>
          </cell>
          <cell r="CV15">
            <v>2914.1480000000001</v>
          </cell>
          <cell r="CW15">
            <v>2999.4389999999999</v>
          </cell>
          <cell r="CX15">
            <v>2904.26</v>
          </cell>
          <cell r="CY15">
            <v>2684.4659999999999</v>
          </cell>
          <cell r="CZ15">
            <v>3140.2339999999999</v>
          </cell>
          <cell r="DA15">
            <v>3139.7559999999999</v>
          </cell>
          <cell r="DB15">
            <v>2940.8780000000002</v>
          </cell>
          <cell r="DC15">
            <v>3341.13</v>
          </cell>
          <cell r="DD15">
            <v>3440.7159999999999</v>
          </cell>
          <cell r="DE15">
            <v>3533.096</v>
          </cell>
          <cell r="DF15">
            <v>3910.8150000000001</v>
          </cell>
          <cell r="DG15">
            <v>3913.2359999999999</v>
          </cell>
          <cell r="DH15">
            <v>3753.8240000000001</v>
          </cell>
          <cell r="DI15">
            <v>3728.9920000000002</v>
          </cell>
          <cell r="DJ15">
            <v>3527.4589999999998</v>
          </cell>
          <cell r="DK15">
            <v>3758.25</v>
          </cell>
          <cell r="DL15">
            <v>3673.1550000000002</v>
          </cell>
          <cell r="DM15">
            <v>3424.241</v>
          </cell>
          <cell r="DN15">
            <v>3392.9969999999998</v>
          </cell>
          <cell r="DO15">
            <v>3510.864</v>
          </cell>
          <cell r="DP15">
            <v>3783.0819999999999</v>
          </cell>
          <cell r="DQ15">
            <v>3509.634</v>
          </cell>
          <cell r="DR15">
            <v>3600.4059999999999</v>
          </cell>
          <cell r="DS15">
            <v>3599.83</v>
          </cell>
          <cell r="DT15">
            <v>3483.4520000000002</v>
          </cell>
          <cell r="DU15">
            <v>3536.1529999999998</v>
          </cell>
          <cell r="DV15">
            <v>3521.7620000000002</v>
          </cell>
          <cell r="DW15">
            <v>3213.7629999999999</v>
          </cell>
          <cell r="DX15">
            <v>3564.319</v>
          </cell>
          <cell r="DY15">
            <v>3744.5140000000001</v>
          </cell>
          <cell r="DZ15">
            <v>3859.2060000000001</v>
          </cell>
          <cell r="EA15">
            <v>3789.1559999999999</v>
          </cell>
          <cell r="EB15">
            <v>3655.4290000000001</v>
          </cell>
          <cell r="EC15">
            <v>3587.94</v>
          </cell>
          <cell r="ED15">
            <v>3502.2890000000002</v>
          </cell>
          <cell r="EE15">
            <v>3398.3760000000002</v>
          </cell>
          <cell r="EF15">
            <v>3299.5450000000001</v>
          </cell>
          <cell r="EG15">
            <v>3243.9259999999999</v>
          </cell>
          <cell r="EH15">
            <v>3476.683</v>
          </cell>
          <cell r="EI15">
            <v>3617.973</v>
          </cell>
          <cell r="EJ15">
            <v>3827.942</v>
          </cell>
          <cell r="EK15">
            <v>3629.2869999999998</v>
          </cell>
          <cell r="EL15">
            <v>3905.4349999999999</v>
          </cell>
          <cell r="EM15">
            <v>3949.105</v>
          </cell>
          <cell r="EN15">
            <v>3900.89</v>
          </cell>
          <cell r="EO15">
            <v>3806.8820000000001</v>
          </cell>
          <cell r="EP15">
            <v>3468.944</v>
          </cell>
          <cell r="EQ15">
            <v>3849.8960000000002</v>
          </cell>
          <cell r="ER15">
            <v>3669.5419999999999</v>
          </cell>
          <cell r="ES15">
            <v>3936.7979999999998</v>
          </cell>
          <cell r="ET15">
            <v>4042.9340000000002</v>
          </cell>
          <cell r="EU15">
            <v>4095.873</v>
          </cell>
          <cell r="EV15">
            <v>4064.59</v>
          </cell>
          <cell r="EW15">
            <v>4058.2579999999998</v>
          </cell>
          <cell r="EX15">
            <v>4344.7669999999998</v>
          </cell>
          <cell r="EY15">
            <v>4554.201</v>
          </cell>
          <cell r="EZ15">
            <v>4614.0079999999998</v>
          </cell>
          <cell r="FA15">
            <v>4616.9650000000001</v>
          </cell>
          <cell r="FB15">
            <v>4806.6880000000001</v>
          </cell>
          <cell r="FC15">
            <v>4960.6419999999998</v>
          </cell>
          <cell r="FD15">
            <v>5234.8019999999997</v>
          </cell>
          <cell r="FE15">
            <v>5436.8109999999997</v>
          </cell>
          <cell r="FF15">
            <v>5277.643</v>
          </cell>
          <cell r="FG15">
            <v>5206.1450000000004</v>
          </cell>
          <cell r="FH15">
            <v>5572.6279999999997</v>
          </cell>
          <cell r="FI15">
            <v>5646.35</v>
          </cell>
          <cell r="FJ15">
            <v>6187.3119999999999</v>
          </cell>
          <cell r="FK15">
            <v>6560.2860000000001</v>
          </cell>
          <cell r="FL15">
            <v>6532.2979999999998</v>
          </cell>
          <cell r="FM15">
            <v>6535.8909999999996</v>
          </cell>
          <cell r="FN15">
            <v>6539.1260000000002</v>
          </cell>
          <cell r="FO15">
            <v>6835.0050000000001</v>
          </cell>
          <cell r="FP15">
            <v>7629.01</v>
          </cell>
          <cell r="FQ15">
            <v>7934.3959999999997</v>
          </cell>
          <cell r="FR15">
            <v>8368.3089999999993</v>
          </cell>
          <cell r="FS15">
            <v>8585.6620000000003</v>
          </cell>
          <cell r="FT15">
            <v>9644.6</v>
          </cell>
          <cell r="FU15">
            <v>10388.584000000001</v>
          </cell>
          <cell r="FV15">
            <v>9236.5709999999999</v>
          </cell>
          <cell r="FW15">
            <v>9172.8340000000007</v>
          </cell>
          <cell r="FX15">
            <v>9037.0229999999992</v>
          </cell>
          <cell r="FY15">
            <v>8000.2969999999996</v>
          </cell>
          <cell r="FZ15">
            <v>8000.2969999999996</v>
          </cell>
          <cell r="GA15">
            <v>8000.2969999999996</v>
          </cell>
        </row>
      </sheetData>
      <sheetData sheetId="13"/>
      <sheetData sheetId="14"/>
      <sheetData sheetId="15"/>
      <sheetData sheetId="16"/>
      <sheetData sheetId="17"/>
      <sheetData sheetId="18"/>
      <sheetData sheetId="1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demand side"/>
      <sheetName val="GDP monthly "/>
      <sheetName val="Fiscal analysis"/>
      <sheetName val="Monetary analysis"/>
      <sheetName val="CPI analysis"/>
      <sheetName val="Cash basis BoP"/>
      <sheetName val="FX REER"/>
      <sheetName val="FX measures"/>
      <sheetName val="Adelantos transitorios"/>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gentina"/>
      <sheetName val="Chile"/>
      <sheetName val="Colombia"/>
      <sheetName val="Ecuador"/>
      <sheetName val="Sheet13"/>
      <sheetName val="Mexico"/>
      <sheetName val="Mexico playbook slide"/>
      <sheetName val="Sheet14"/>
      <sheetName val="Peru"/>
      <sheetName val="Sheet10"/>
      <sheetName val="Sheet8"/>
      <sheetName val="Venezuela"/>
      <sheetName val="Neville table"/>
      <sheetName val="Latam regional table"/>
      <sheetName val="Sheet15"/>
      <sheetName val="Sheet11"/>
      <sheetName val="Sheet12"/>
      <sheetName val="Regional pasted"/>
      <sheetName val="Panama"/>
      <sheetName val="EL Salvador"/>
      <sheetName val="YesNo"/>
      <sheetName val="dbSources"/>
      <sheetName val="dbIndicatorGroups"/>
      <sheetName val="dbBacktables"/>
      <sheetName val="dbIndicators"/>
      <sheetName val="dbCountries"/>
      <sheetName val="gdp real growth"/>
      <sheetName val="inflation"/>
      <sheetName val="gdp nominal"/>
      <sheetName val="Sheet7"/>
      <sheetName val="Sheet1"/>
      <sheetName val="Checking"/>
      <sheetName val="Sheet2"/>
      <sheetName val="Sheet3"/>
      <sheetName val="Sheet4"/>
      <sheetName val="Sheet5"/>
      <sheetName val="Sheet6"/>
      <sheetName val="Sheet9"/>
    </sheetNames>
    <sheetDataSet>
      <sheetData sheetId="0"/>
      <sheetData sheetId="1">
        <row r="8">
          <cell r="Y8">
            <v>249.65190520214648</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2">
          <cell r="A2" t="str">
            <v>Y</v>
          </cell>
        </row>
        <row r="3">
          <cell r="A3" t="str">
            <v>N</v>
          </cell>
        </row>
      </sheetData>
      <sheetData sheetId="21">
        <row r="2">
          <cell r="A2" t="str">
            <v xml:space="preserve"> National Economic &amp; Social Development Board</v>
          </cell>
        </row>
        <row r="3">
          <cell r="A3" t="str">
            <v>Accounting and Statistics</v>
          </cell>
        </row>
        <row r="4">
          <cell r="A4" t="str">
            <v>Banco de Mexico</v>
          </cell>
        </row>
        <row r="5">
          <cell r="A5" t="str">
            <v>Bank Indonesia</v>
          </cell>
        </row>
        <row r="6">
          <cell r="A6" t="str">
            <v>Bank Negara Malaysia</v>
          </cell>
        </row>
        <row r="7">
          <cell r="A7" t="str">
            <v>Bank of Israel</v>
          </cell>
        </row>
        <row r="8">
          <cell r="A8" t="str">
            <v>Bank of Korea</v>
          </cell>
        </row>
        <row r="9">
          <cell r="A9" t="str">
            <v>Bank of Thailand</v>
          </cell>
        </row>
        <row r="10">
          <cell r="A10" t="str">
            <v>Banking Superintendence</v>
          </cell>
        </row>
        <row r="11">
          <cell r="A11" t="str">
            <v>Bloomberg</v>
          </cell>
        </row>
        <row r="12">
          <cell r="A12" t="str">
            <v>Budget Office, Ministry of Finance</v>
          </cell>
        </row>
        <row r="13">
          <cell r="A13" t="str">
            <v>CAPMAS</v>
          </cell>
        </row>
        <row r="14">
          <cell r="A14" t="str">
            <v>CEIC</v>
          </cell>
        </row>
        <row r="15">
          <cell r="A15" t="str">
            <v>Census and Statistics Department</v>
          </cell>
        </row>
        <row r="16">
          <cell r="A16" t="str">
            <v xml:space="preserve">Central American Monetary Council </v>
          </cell>
        </row>
        <row r="17">
          <cell r="A17" t="str">
            <v>Central Bank</v>
          </cell>
        </row>
        <row r="18">
          <cell r="A18" t="str">
            <v>Central Bank of Brazil</v>
          </cell>
        </row>
        <row r="19">
          <cell r="A19" t="str">
            <v>Central Bank of China</v>
          </cell>
        </row>
        <row r="20">
          <cell r="A20" t="str">
            <v>Central Bank of Nigeria</v>
          </cell>
        </row>
        <row r="21">
          <cell r="A21" t="str">
            <v>Central Bank of Russia</v>
          </cell>
        </row>
        <row r="22">
          <cell r="A22" t="str">
            <v>Central Bank of UAE</v>
          </cell>
        </row>
        <row r="23">
          <cell r="A23" t="str">
            <v>Central Bureau of Statistics</v>
          </cell>
        </row>
        <row r="24">
          <cell r="A24" t="str">
            <v>Central Statistical Bureau</v>
          </cell>
        </row>
        <row r="25">
          <cell r="A25" t="str">
            <v>Credit Suisse</v>
          </cell>
        </row>
        <row r="26">
          <cell r="A26" t="str">
            <v>CSO</v>
          </cell>
        </row>
        <row r="27">
          <cell r="A27" t="str">
            <v>Czech National Bank</v>
          </cell>
        </row>
        <row r="28">
          <cell r="A28" t="str">
            <v>CZSO</v>
          </cell>
        </row>
        <row r="29">
          <cell r="A29" t="str">
            <v>DANE</v>
          </cell>
        </row>
        <row r="30">
          <cell r="A30" t="str">
            <v>Debt Management Office</v>
          </cell>
        </row>
        <row r="31">
          <cell r="A31" t="str">
            <v>Debt Management Office/ Central Bank of Nigeria/Bloomberg</v>
          </cell>
        </row>
        <row r="32">
          <cell r="A32" t="str">
            <v>Debt Management Office/Bloomberg</v>
          </cell>
        </row>
        <row r="33">
          <cell r="A33" t="str">
            <v>Directorate-general of Budget</v>
          </cell>
        </row>
        <row r="34">
          <cell r="A34" t="str">
            <v>ECB</v>
          </cell>
        </row>
        <row r="35">
          <cell r="A35" t="str">
            <v>European Commission</v>
          </cell>
        </row>
        <row r="36">
          <cell r="A36" t="str">
            <v>Eurostat</v>
          </cell>
        </row>
        <row r="37">
          <cell r="A37" t="str">
            <v>Finance Ministry of the Russian Federation</v>
          </cell>
        </row>
        <row r="38">
          <cell r="A38" t="str">
            <v>Finance Ministry of Ukraine</v>
          </cell>
        </row>
        <row r="39">
          <cell r="A39" t="str">
            <v>General Statistical Office</v>
          </cell>
        </row>
        <row r="40">
          <cell r="A40" t="str">
            <v>Global Insight</v>
          </cell>
        </row>
        <row r="41">
          <cell r="A41" t="str">
            <v>GUS</v>
          </cell>
        </row>
        <row r="42">
          <cell r="A42" t="str">
            <v xml:space="preserve">Haver Analytics® </v>
          </cell>
        </row>
        <row r="43">
          <cell r="A43" t="str">
            <v>Hong Kong Monetary Authority</v>
          </cell>
        </row>
        <row r="44">
          <cell r="A44" t="str">
            <v>IBGE</v>
          </cell>
        </row>
        <row r="45">
          <cell r="A45" t="str">
            <v>IHS Global Insight</v>
          </cell>
        </row>
        <row r="46">
          <cell r="A46" t="str">
            <v>IMF</v>
          </cell>
        </row>
        <row r="47">
          <cell r="A47" t="str">
            <v>INDEC</v>
          </cell>
        </row>
        <row r="48">
          <cell r="A48" t="str">
            <v>INE</v>
          </cell>
        </row>
        <row r="49">
          <cell r="A49" t="str">
            <v>INEC</v>
          </cell>
        </row>
        <row r="50">
          <cell r="A50" t="str">
            <v>INEGI (Government's statistics agency)</v>
          </cell>
        </row>
        <row r="51">
          <cell r="A51" t="str">
            <v>INEI</v>
          </cell>
        </row>
        <row r="52">
          <cell r="A52" t="str">
            <v>JEDH</v>
          </cell>
        </row>
        <row r="53">
          <cell r="A53" t="str">
            <v>KSH</v>
          </cell>
        </row>
        <row r="54">
          <cell r="A54" t="str">
            <v>Ministry for National Economy</v>
          </cell>
        </row>
        <row r="55">
          <cell r="A55" t="str">
            <v>Ministry of Economy</v>
          </cell>
        </row>
        <row r="56">
          <cell r="A56" t="str">
            <v>Ministry of Finance</v>
          </cell>
        </row>
        <row r="57">
          <cell r="A57" t="str">
            <v>Ministry of Finance and Public Credit</v>
          </cell>
        </row>
        <row r="58">
          <cell r="A58" t="str">
            <v>Ministry of Finance/Central Bank of Nigeria</v>
          </cell>
        </row>
        <row r="59">
          <cell r="A59" t="str">
            <v>Ministry of Finance/Central Bank of Nigeria/ Debt Management Office</v>
          </cell>
        </row>
        <row r="60">
          <cell r="A60" t="str">
            <v>Ministry of Strategy and Finance</v>
          </cell>
        </row>
        <row r="61">
          <cell r="A61" t="str">
            <v>Monetary Authority of Singapore</v>
          </cell>
        </row>
        <row r="62">
          <cell r="A62" t="str">
            <v>National Bank of Hungary</v>
          </cell>
        </row>
        <row r="63">
          <cell r="A63" t="str">
            <v>National Bank of Kazakhstan</v>
          </cell>
        </row>
        <row r="64">
          <cell r="A64" t="str">
            <v>National Bank of Poland</v>
          </cell>
        </row>
        <row r="65">
          <cell r="A65" t="str">
            <v>National Bank of Romania</v>
          </cell>
        </row>
        <row r="66">
          <cell r="A66" t="str">
            <v>National Bank of Ukraine</v>
          </cell>
        </row>
        <row r="67">
          <cell r="A67" t="str">
            <v>National Bureau of Statistics</v>
          </cell>
        </row>
        <row r="68">
          <cell r="A68" t="str">
            <v>National Bureau of Statistics, International Monetary Fund</v>
          </cell>
        </row>
        <row r="69">
          <cell r="A69" t="str">
            <v>National Bureau of Statistics/Central Bank of Nigeria</v>
          </cell>
        </row>
        <row r="70">
          <cell r="A70" t="str">
            <v>National Economic &amp; Social Development Board</v>
          </cell>
        </row>
        <row r="71">
          <cell r="A71" t="str">
            <v>National Statistical Office</v>
          </cell>
        </row>
        <row r="72">
          <cell r="A72" t="str">
            <v>National Treasury</v>
          </cell>
        </row>
        <row r="73">
          <cell r="A73" t="str">
            <v>Nigerian National Petroleum Corporation</v>
          </cell>
        </row>
        <row r="74">
          <cell r="A74" t="str">
            <v>OECD</v>
          </cell>
        </row>
        <row r="75">
          <cell r="A75" t="str">
            <v>PDVSA</v>
          </cell>
        </row>
        <row r="76">
          <cell r="A76" t="str">
            <v>People’s Bank of China</v>
          </cell>
        </row>
        <row r="77">
          <cell r="A77" t="str">
            <v>Qatar Central Bank</v>
          </cell>
        </row>
        <row r="78">
          <cell r="A78" t="str">
            <v>Qatar Statistics Authority</v>
          </cell>
        </row>
        <row r="79">
          <cell r="A79" t="str">
            <v>Reserve Bank of India</v>
          </cell>
        </row>
        <row r="80">
          <cell r="A80" t="str">
            <v>Rosstat</v>
          </cell>
        </row>
        <row r="81">
          <cell r="A81" t="str">
            <v>Saudi Arabian Monetary Agency</v>
          </cell>
        </row>
        <row r="82">
          <cell r="A82" t="str">
            <v>South African Reserve Bank</v>
          </cell>
        </row>
        <row r="83">
          <cell r="A83" t="str">
            <v>State Bank of Vietnam</v>
          </cell>
        </row>
        <row r="84">
          <cell r="A84" t="str">
            <v>State Statistics Agency</v>
          </cell>
        </row>
        <row r="85">
          <cell r="A85" t="str">
            <v>Statistical Agency of Kazakhstan</v>
          </cell>
        </row>
        <row r="86">
          <cell r="A86" t="str">
            <v>Statistical Agency of Romania</v>
          </cell>
        </row>
        <row r="87">
          <cell r="A87" t="str">
            <v>Statistics Office</v>
          </cell>
        </row>
        <row r="88">
          <cell r="A88" t="str">
            <v>Statistics South Africa</v>
          </cell>
        </row>
        <row r="89">
          <cell r="A89" t="str">
            <v>the BLOOMBERG PROFESSIONAL™ service</v>
          </cell>
        </row>
        <row r="90">
          <cell r="A90" t="str">
            <v>Treasury</v>
          </cell>
        </row>
        <row r="91">
          <cell r="A91" t="str">
            <v>UAE Ministry of Economy</v>
          </cell>
        </row>
        <row r="92">
          <cell r="A92" t="str">
            <v>United Nations</v>
          </cell>
        </row>
        <row r="93">
          <cell r="A93" t="str">
            <v>World Bank</v>
          </cell>
        </row>
      </sheetData>
      <sheetData sheetId="22"/>
      <sheetData sheetId="23">
        <row r="2">
          <cell r="A2" t="str">
            <v>curracct $bn</v>
          </cell>
        </row>
        <row r="3">
          <cell r="A3" t="str">
            <v>curracct% gdp</v>
          </cell>
        </row>
        <row r="4">
          <cell r="A4" t="str">
            <v>domcredit %gdp</v>
          </cell>
        </row>
        <row r="5">
          <cell r="A5" t="str">
            <v>domcredit %yoy</v>
          </cell>
        </row>
        <row r="6">
          <cell r="A6" t="str">
            <v>domcredit private %gdp</v>
          </cell>
        </row>
        <row r="7">
          <cell r="A7" t="str">
            <v>domcredit private %yoy</v>
          </cell>
        </row>
        <row r="8">
          <cell r="A8" t="str">
            <v>exchange rate avg</v>
          </cell>
        </row>
        <row r="9">
          <cell r="A9" t="str">
            <v>exchange rate eop</v>
          </cell>
        </row>
        <row r="10">
          <cell r="A10" t="str">
            <v>expenditure</v>
          </cell>
        </row>
        <row r="11">
          <cell r="A11" t="str">
            <v>exports % gdp</v>
          </cell>
        </row>
        <row r="12">
          <cell r="A12" t="str">
            <v>exports %yoy</v>
          </cell>
        </row>
        <row r="13">
          <cell r="A13" t="str">
            <v>ext debt amort</v>
          </cell>
        </row>
        <row r="14">
          <cell r="A14" t="str">
            <v>External debt issuance</v>
          </cell>
        </row>
        <row r="15">
          <cell r="A15" t="str">
            <v>FDI</v>
          </cell>
        </row>
        <row r="16">
          <cell r="A16" t="str">
            <v>fiscal balance</v>
          </cell>
        </row>
        <row r="17">
          <cell r="A17" t="str">
            <v>fixed investment %gdp</v>
          </cell>
        </row>
        <row r="18">
          <cell r="A18" t="str">
            <v xml:space="preserve">foreign debt $bn </v>
          </cell>
        </row>
        <row r="19">
          <cell r="A19" t="str">
            <v>foreign debt %exports</v>
          </cell>
        </row>
        <row r="20">
          <cell r="A20" t="str">
            <v>foreign debt as % gdp</v>
          </cell>
        </row>
        <row r="21">
          <cell r="A21" t="str">
            <v>GDP at PPP</v>
          </cell>
        </row>
        <row r="22">
          <cell r="A22" t="str">
            <v>gdp nominal</v>
          </cell>
        </row>
        <row r="23">
          <cell r="A23" t="str">
            <v>gdp real growth</v>
          </cell>
        </row>
        <row r="24">
          <cell r="A24" t="str">
            <v>gdppercapita</v>
          </cell>
        </row>
        <row r="25">
          <cell r="A25" t="str">
            <v>grossgovtdebt%gdp</v>
          </cell>
        </row>
        <row r="26">
          <cell r="A26" t="str">
            <v>imports %gdp</v>
          </cell>
        </row>
        <row r="27">
          <cell r="A27" t="str">
            <v>imports %yoy</v>
          </cell>
        </row>
        <row r="28">
          <cell r="A28" t="str">
            <v>inflation</v>
          </cell>
        </row>
        <row r="29">
          <cell r="A29" t="str">
            <v>inflationavg</v>
          </cell>
        </row>
        <row r="30">
          <cell r="A30" t="str">
            <v>interest rates</v>
          </cell>
        </row>
        <row r="31">
          <cell r="A31" t="str">
            <v>M2 %gdp</v>
          </cell>
        </row>
        <row r="32">
          <cell r="A32" t="str">
            <v>M2 %yoy</v>
          </cell>
        </row>
        <row r="33">
          <cell r="A33" t="str">
            <v>nominal wage %yoy</v>
          </cell>
        </row>
        <row r="34">
          <cell r="A34" t="str">
            <v>population</v>
          </cell>
        </row>
        <row r="35">
          <cell r="A35" t="str">
            <v>primaryfiscal</v>
          </cell>
        </row>
        <row r="36">
          <cell r="A36" t="str">
            <v>private foreign debt $bn</v>
          </cell>
        </row>
        <row r="37">
          <cell r="A37" t="str">
            <v>pub foreign debt $bn</v>
          </cell>
        </row>
        <row r="38">
          <cell r="A38" t="str">
            <v>real fixed inv %yoy</v>
          </cell>
        </row>
        <row r="39">
          <cell r="A39" t="str">
            <v>real private cons %yoy</v>
          </cell>
        </row>
        <row r="40">
          <cell r="A40" t="str">
            <v>reer %yoy</v>
          </cell>
        </row>
        <row r="41">
          <cell r="A41" t="str">
            <v>reserves</v>
          </cell>
        </row>
        <row r="42">
          <cell r="A42" t="str">
            <v>reserves (% of gdp)</v>
          </cell>
        </row>
        <row r="43">
          <cell r="A43" t="str">
            <v>unemployment</v>
          </cell>
        </row>
      </sheetData>
      <sheetData sheetId="24">
        <row r="2">
          <cell r="A2" t="str">
            <v>10yr bond yield</v>
          </cell>
        </row>
        <row r="3">
          <cell r="A3" t="str">
            <v>180 day deposit rate, weekly weighted average (%, end-year)</v>
          </cell>
        </row>
        <row r="4">
          <cell r="A4" t="str">
            <v>1-day direct repo minimum auction rate (%, end-year)</v>
          </cell>
        </row>
        <row r="5">
          <cell r="A5" t="str">
            <v>1-week reference rate (%, end-year)</v>
          </cell>
        </row>
        <row r="6">
          <cell r="A6" t="str">
            <v>1-week repo rate (%, end-year)</v>
          </cell>
        </row>
        <row r="7">
          <cell r="A7" t="str">
            <v>1-year lending rate (%, end-year)</v>
          </cell>
        </row>
        <row r="8">
          <cell r="A8" t="str">
            <v>2-week deposit rate (%, end-year)</v>
          </cell>
        </row>
        <row r="9">
          <cell r="A9" t="str">
            <v>2-week repo rate (%, end-year)</v>
          </cell>
        </row>
        <row r="10">
          <cell r="A10" t="str">
            <v>3-month deposit rate (annual average, %)</v>
          </cell>
        </row>
        <row r="11">
          <cell r="A11" t="str">
            <v>3-month deposit rate (end-year, %)</v>
          </cell>
        </row>
        <row r="12">
          <cell r="A12" t="str">
            <v>3-month HIBOR (%, end-year)</v>
          </cell>
        </row>
        <row r="13">
          <cell r="A13" t="str">
            <v>3-month interbank rate (%, end-year)</v>
          </cell>
        </row>
        <row r="14">
          <cell r="A14" t="str">
            <v>3-month SIBOR (%, end-year)</v>
          </cell>
        </row>
        <row r="15">
          <cell r="A15" t="str">
            <v>3-mth Libor target rate (% end-year)</v>
          </cell>
        </row>
        <row r="16">
          <cell r="A16" t="str">
            <v>90 day deposit rate (%, end-year)</v>
          </cell>
        </row>
        <row r="17">
          <cell r="A17" t="str">
            <v>90 day deposit rate at comm banks (%, end-year)</v>
          </cell>
        </row>
        <row r="18">
          <cell r="A18" t="str">
            <v>90-day prime lending rate (%, end-year)</v>
          </cell>
        </row>
        <row r="19">
          <cell r="A19" t="str">
            <v>Balance of payments</v>
          </cell>
        </row>
        <row r="20">
          <cell r="A20" t="str">
            <v>Base rate (%, end-year)</v>
          </cell>
        </row>
        <row r="21">
          <cell r="A21" t="str">
            <v>Bonny Light Oil Assumption ($/bbl, average)</v>
          </cell>
        </row>
        <row r="22">
          <cell r="A22" t="str">
            <v>Broad money supply (% of GDP)</v>
          </cell>
        </row>
        <row r="23">
          <cell r="A23" t="str">
            <v>Broad money supply ([%LOC]bn, end-year)</v>
          </cell>
        </row>
        <row r="24">
          <cell r="A24" t="str">
            <v>Broad money supply (M2, % of GDP)</v>
          </cell>
        </row>
        <row r="25">
          <cell r="A25" t="str">
            <v>Broad money supply (M2, % year-on-year change)</v>
          </cell>
        </row>
        <row r="26">
          <cell r="A26" t="str">
            <v>Broad money supply (M2, [%LOC]bn, end-year)</v>
          </cell>
        </row>
        <row r="27">
          <cell r="A27" t="str">
            <v>Broad money supply (M3, % of GDP)</v>
          </cell>
        </row>
        <row r="28">
          <cell r="A28" t="str">
            <v>Broad money supply (M3, % year-on-year change)</v>
          </cell>
        </row>
        <row r="29">
          <cell r="A29" t="str">
            <v>Broad money supply (M3, end-year, [%LOC]bln)</v>
          </cell>
        </row>
        <row r="30">
          <cell r="A30" t="str">
            <v>Broad money supply (M4 ex OFCs, end-year, [%LOC]bln)</v>
          </cell>
        </row>
        <row r="31">
          <cell r="A31" t="str">
            <v>Broad money supply growth (M4, % change December to December)</v>
          </cell>
        </row>
        <row r="32">
          <cell r="A32" t="str">
            <v>Central bank balance sheet (% GDP, end-year)</v>
          </cell>
        </row>
        <row r="33">
          <cell r="A33" t="str">
            <v>Central bank gross FX reserves ($bn)</v>
          </cell>
        </row>
        <row r="34">
          <cell r="A34" t="str">
            <v>Central bank gross FX reserves net of ST debt ($bn)</v>
          </cell>
        </row>
        <row r="35">
          <cell r="A35" t="str">
            <v>Central bank gross FX reserves, including forward FX purchases ($bn)</v>
          </cell>
        </row>
        <row r="36">
          <cell r="A36" t="str">
            <v>Central bank gross FX reserves, including forward FX transactions ($bn)</v>
          </cell>
        </row>
        <row r="37">
          <cell r="A37" t="str">
            <v>Central bank gross FX reserves, including FX swaps ($bn)</v>
          </cell>
        </row>
        <row r="38">
          <cell r="A38" t="str">
            <v>Central bank gross non-gold FX reserves ($bn)</v>
          </cell>
        </row>
        <row r="39">
          <cell r="A39" t="str">
            <v>Central bank net FX reserves ($bn)</v>
          </cell>
        </row>
        <row r="40">
          <cell r="A40" t="str">
            <v>Central bank net FX reserves, including forward FX purchases ($bn)</v>
          </cell>
        </row>
        <row r="41">
          <cell r="A41" t="str">
            <v>Central bank net non-gold FX reserves ($bn)</v>
          </cell>
        </row>
        <row r="42">
          <cell r="A42" t="str">
            <v>Central bank non-gold FX reserves ($bn)</v>
          </cell>
        </row>
        <row r="43">
          <cell r="A43" t="str">
            <v>Central bank non-gold gross FX reserves ($bn)</v>
          </cell>
        </row>
        <row r="44">
          <cell r="A44" t="str">
            <v>Central bank's 7 day repo rate (%, end-year)</v>
          </cell>
        </row>
        <row r="45">
          <cell r="A45" t="str">
            <v>Central government balance (% of GDP)</v>
          </cell>
        </row>
        <row r="46">
          <cell r="A46" t="str">
            <v>Central government budget balance (% of GDP)</v>
          </cell>
        </row>
        <row r="47">
          <cell r="A47" t="str">
            <v>Central government budget balance including privatisation receipts (% of GDP)</v>
          </cell>
        </row>
        <row r="48">
          <cell r="A48" t="str">
            <v>Central government expenditure (% of GDP)</v>
          </cell>
        </row>
        <row r="49">
          <cell r="A49" t="str">
            <v>Central government fiscal balance (% of GDP) excl. disinvestment receipts</v>
          </cell>
        </row>
        <row r="50">
          <cell r="A50" t="str">
            <v>Central government gross FX reserves ($bn)</v>
          </cell>
        </row>
        <row r="51">
          <cell r="A51" t="str">
            <v>Central government primary fiscal balance (% of GDP)</v>
          </cell>
        </row>
        <row r="52">
          <cell r="A52" t="str">
            <v>Central government revenue (% of GDP)</v>
          </cell>
        </row>
        <row r="53">
          <cell r="A53" t="str">
            <v>Central government's fiscal balance (% of GDP)</v>
          </cell>
        </row>
        <row r="54">
          <cell r="A54" t="str">
            <v>Consolidated government debt (% of GDP, end-year)</v>
          </cell>
        </row>
        <row r="55">
          <cell r="A55" t="str">
            <v>Consolidated government expenditure (% of GDP)</v>
          </cell>
        </row>
        <row r="56">
          <cell r="A56" t="str">
            <v>Consolidated government fiscal balance (% of GDP)</v>
          </cell>
        </row>
        <row r="57">
          <cell r="A57" t="str">
            <v>Consolidated government primary balance (% of GDP)</v>
          </cell>
        </row>
        <row r="58">
          <cell r="A58" t="str">
            <v>Consolidated public sector expenditure (% of GDP)</v>
          </cell>
        </row>
        <row r="59">
          <cell r="A59" t="str">
            <v>Consolidated public sector overall balance (% of GDP)</v>
          </cell>
        </row>
        <row r="60">
          <cell r="A60" t="str">
            <v>Consolidated public sector primary balance (% of GDP)</v>
          </cell>
        </row>
        <row r="61">
          <cell r="A61" t="str">
            <v>Core CPI inflation (% change in annual average)</v>
          </cell>
        </row>
        <row r="62">
          <cell r="A62" t="str">
            <v>Core CPI inflation (% change in December to December)</v>
          </cell>
        </row>
        <row r="63">
          <cell r="A63" t="str">
            <v>Core CPI inflation (% change, December to December)</v>
          </cell>
        </row>
        <row r="64">
          <cell r="A64" t="str">
            <v>CPI inflation (% year-on-year change, fiscal year - March to March)</v>
          </cell>
        </row>
        <row r="65">
          <cell r="A65" t="str">
            <v>CPI inflation (%, average)</v>
          </cell>
        </row>
        <row r="66">
          <cell r="A66" t="str">
            <v>CPI inflation (%, December to December)</v>
          </cell>
        </row>
        <row r="67">
          <cell r="A67" t="str">
            <v>CPI inflation (%, June to June)</v>
          </cell>
        </row>
        <row r="68">
          <cell r="A68" t="str">
            <v>Current account (% of GDP)</v>
          </cell>
        </row>
        <row r="69">
          <cell r="A69" t="str">
            <v>Current account balance ($bn)</v>
          </cell>
        </row>
        <row r="70">
          <cell r="A70" t="str">
            <v>Discount rate (%, end-year)</v>
          </cell>
        </row>
        <row r="71">
          <cell r="A71" t="str">
            <v>Domestic credit (% of GDP)</v>
          </cell>
        </row>
        <row r="72">
          <cell r="A72" t="str">
            <v>Domestic credit (% year-on-year)</v>
          </cell>
        </row>
        <row r="73">
          <cell r="A73" t="str">
            <v>Domestic credit growth to households (% change, December to December)</v>
          </cell>
        </row>
        <row r="74">
          <cell r="A74" t="str">
            <v>Domestic credit growth to households (% of GDP)</v>
          </cell>
        </row>
        <row r="75">
          <cell r="A75" t="str">
            <v>Domestic credit growth to households (% year-on-year change, average)</v>
          </cell>
        </row>
        <row r="76">
          <cell r="A76" t="str">
            <v>Domestic credit growth to non-financial business (% change, December to December)</v>
          </cell>
        </row>
        <row r="77">
          <cell r="A77" t="str">
            <v>Domestic credit growth to non-financial business (% of GDP)</v>
          </cell>
        </row>
        <row r="78">
          <cell r="A78" t="str">
            <v>Domestic credit growth to non-financial business (% year-on-year change, average)</v>
          </cell>
        </row>
        <row r="79">
          <cell r="A79" t="str">
            <v>Domestic credit outstanding to households (% of GDP)</v>
          </cell>
        </row>
        <row r="80">
          <cell r="A80" t="str">
            <v>Domestic credit outstanding to non-fin private (% of GDP)</v>
          </cell>
        </row>
        <row r="81">
          <cell r="A81" t="str">
            <v>Domestic credit to non-financial business (% of GDP)</v>
          </cell>
        </row>
        <row r="82">
          <cell r="A82" t="str">
            <v>Domestic credit to private sector (% of GDP)</v>
          </cell>
        </row>
        <row r="83">
          <cell r="A83" t="str">
            <v>Domestic credit to private sector (% year-on-year)</v>
          </cell>
        </row>
        <row r="84">
          <cell r="A84" t="str">
            <v>ECB repo rate (%, end-year)</v>
          </cell>
        </row>
        <row r="85">
          <cell r="A85" t="str">
            <v>Employment growth (%)</v>
          </cell>
        </row>
        <row r="86">
          <cell r="A86" t="str">
            <v>Exchange rate ([%LOC] against the basket, end-year)</v>
          </cell>
        </row>
        <row r="87">
          <cell r="A87" t="str">
            <v>Exchange rate ([%LOC] per EUR, average)</v>
          </cell>
        </row>
        <row r="88">
          <cell r="A88" t="str">
            <v>Exchange rate ([%LOC] per EUR, end-year)</v>
          </cell>
        </row>
        <row r="89">
          <cell r="A89" t="str">
            <v>Exchange rate ([%LOC] per USD, average)</v>
          </cell>
        </row>
        <row r="90">
          <cell r="A90" t="str">
            <v>Exchange rate ([%LOC] per USD, end-year)</v>
          </cell>
        </row>
        <row r="91">
          <cell r="A91" t="str">
            <v>Exports (goods and non-factor services, $bn)</v>
          </cell>
        </row>
        <row r="92">
          <cell r="A92" t="str">
            <v>Exports (goods and non-factor services, % change in $ value)</v>
          </cell>
        </row>
        <row r="93">
          <cell r="A93" t="str">
            <v>Exports (goods and non-factor services, % of GDP)</v>
          </cell>
        </row>
        <row r="94">
          <cell r="A94" t="str">
            <v>Exports (goods and services, % change in $ value)</v>
          </cell>
        </row>
        <row r="95">
          <cell r="A95" t="str">
            <v>Exports (goods and services, % of GDP)</v>
          </cell>
        </row>
        <row r="96">
          <cell r="A96" t="str">
            <v>External debt issuance ($bn)</v>
          </cell>
        </row>
        <row r="97">
          <cell r="A97" t="str">
            <v>FDI ($bn)</v>
          </cell>
        </row>
        <row r="98">
          <cell r="A98" t="str">
            <v>Federal government expenditure (% of GDP)</v>
          </cell>
        </row>
        <row r="99">
          <cell r="A99" t="str">
            <v>Federal government fiscal balance (% of GDP)</v>
          </cell>
        </row>
        <row r="100">
          <cell r="A100" t="str">
            <v>Federal government primary balance (% of GDP)</v>
          </cell>
        </row>
        <row r="101">
          <cell r="A101" t="str">
            <v>Federal government primary fiscal balance (% of GDP)</v>
          </cell>
        </row>
        <row r="102">
          <cell r="A102" t="str">
            <v>Fiscal data</v>
          </cell>
        </row>
        <row r="103">
          <cell r="A103" t="str">
            <v>Fixed investment (% of GDP)</v>
          </cell>
        </row>
        <row r="104">
          <cell r="A104" t="str">
            <v>Foreign debt ($bn, end-year)</v>
          </cell>
        </row>
        <row r="105">
          <cell r="A105" t="str">
            <v>Foreign debt (% of exports of goods and services)</v>
          </cell>
        </row>
        <row r="106">
          <cell r="A106" t="str">
            <v>Foreign debt (% of GDP, end-year)</v>
          </cell>
        </row>
        <row r="107">
          <cell r="A107" t="str">
            <v>Foreign debt and reserves</v>
          </cell>
        </row>
        <row r="108">
          <cell r="A108" t="str">
            <v>Gap between public sector's external assets and liabilities ($bn, end-year)</v>
          </cell>
        </row>
        <row r="109">
          <cell r="A109" t="str">
            <v>Gap between public sector's external assets and liabilities (% of GDP, end-year)</v>
          </cell>
        </row>
        <row r="110">
          <cell r="A110" t="str">
            <v>GDP Based on PPP Valuation</v>
          </cell>
        </row>
        <row r="111">
          <cell r="A111" t="str">
            <v>GDP per capita (€)</v>
          </cell>
        </row>
        <row r="112">
          <cell r="A112" t="str">
            <v>GDP per capita, $</v>
          </cell>
        </row>
        <row r="113">
          <cell r="A113" t="str">
            <v>GDP per capita, [%LOC]</v>
          </cell>
        </row>
        <row r="114">
          <cell r="A114" t="str">
            <v>General government and PDVSA debt (% of GDP, end-year)</v>
          </cell>
        </row>
        <row r="115">
          <cell r="A115" t="str">
            <v>General government balance ([%LOC]bn +ve deficit)</v>
          </cell>
        </row>
        <row r="116">
          <cell r="A116" t="str">
            <v>General government balance, ESA95 (% of GDP)</v>
          </cell>
        </row>
        <row r="117">
          <cell r="A117" t="str">
            <v>General government balance, excl. one-ff transfers (% of GDP)</v>
          </cell>
        </row>
        <row r="118">
          <cell r="A118" t="str">
            <v>General government balance, excl. one-off transfers (% of GDP)</v>
          </cell>
        </row>
        <row r="119">
          <cell r="A119" t="str">
            <v>General government balance, excl. one-off transfers (€bln +ve deficit)</v>
          </cell>
        </row>
        <row r="120">
          <cell r="A120" t="str">
            <v>General government budget balance (% of GDP)</v>
          </cell>
        </row>
        <row r="121">
          <cell r="A121" t="str">
            <v>General government consolidated debt (% of GDP, end-year)</v>
          </cell>
        </row>
        <row r="122">
          <cell r="A122" t="str">
            <v>General government debt (% of GDP, end-year)</v>
          </cell>
        </row>
        <row r="123">
          <cell r="A123" t="str">
            <v>General government debt, ESA95 (% of GDP, end-year)</v>
          </cell>
        </row>
        <row r="124">
          <cell r="A124" t="str">
            <v>General government debt, Eurostat (% of GDP, end-year)</v>
          </cell>
        </row>
        <row r="125">
          <cell r="A125" t="str">
            <v>General government expenditure (% of GDP)</v>
          </cell>
        </row>
        <row r="126">
          <cell r="A126" t="str">
            <v>General government expenditure, Eurostat (% of GDP)</v>
          </cell>
        </row>
        <row r="127">
          <cell r="A127" t="str">
            <v>General government fiscal balance (% of GDP)</v>
          </cell>
        </row>
        <row r="128">
          <cell r="A128" t="str">
            <v>General government fiscal balance (% of GDP) excl. disinvestment receipts</v>
          </cell>
        </row>
        <row r="129">
          <cell r="A129" t="str">
            <v>General government fiscal balance excl. disinvestment receipts (% of GDP)</v>
          </cell>
        </row>
        <row r="130">
          <cell r="A130" t="str">
            <v>General government primary balance (% of GDP)</v>
          </cell>
        </row>
        <row r="131">
          <cell r="A131" t="str">
            <v>General government primary balance, Eurostat (% of GDP)</v>
          </cell>
        </row>
        <row r="132">
          <cell r="A132" t="str">
            <v>General government primary balance, excl. one-ff transfers (% of GDP)</v>
          </cell>
        </row>
        <row r="133">
          <cell r="A133" t="str">
            <v>General government primary balance, excl. one-off transfers (% of GDP)</v>
          </cell>
        </row>
        <row r="134">
          <cell r="A134" t="str">
            <v>General government primary fiscal balance (% of GDP)</v>
          </cell>
        </row>
        <row r="135">
          <cell r="A135" t="str">
            <v>General government revenue (% of GDP)</v>
          </cell>
        </row>
        <row r="136">
          <cell r="A136" t="str">
            <v>General government revenue, excl. one-off transfers  (% of GDP)</v>
          </cell>
        </row>
        <row r="137">
          <cell r="A137" t="str">
            <v>General government, PDVSA debt (% of GDP, end-year)</v>
          </cell>
        </row>
        <row r="138">
          <cell r="A138" t="str">
            <v>Government bond &amp; loan redemptions (€bn)</v>
          </cell>
        </row>
        <row r="139">
          <cell r="A139" t="str">
            <v>Government bond redemptions ([%LOC]bn)</v>
          </cell>
        </row>
        <row r="140">
          <cell r="A140" t="str">
            <v>Government debt (% of GDP)</v>
          </cell>
        </row>
        <row r="141">
          <cell r="A141" t="str">
            <v>Government expenditure (% of GDP)</v>
          </cell>
        </row>
        <row r="142">
          <cell r="A142" t="str">
            <v>Gross central government debt (% of GDP, end-year)</v>
          </cell>
        </row>
        <row r="143">
          <cell r="A143" t="str">
            <v>Gross general government and PDVSA debt (% of GDP, end-year)</v>
          </cell>
        </row>
        <row r="144">
          <cell r="A144" t="str">
            <v>Gross general government debt (% of GDP, end-year)</v>
          </cell>
        </row>
        <row r="145">
          <cell r="A145" t="str">
            <v>Gross government debt (% of GDP)</v>
          </cell>
        </row>
        <row r="146">
          <cell r="A146" t="str">
            <v>Gross non-financial public sector debt (% of GDP, end-year)</v>
          </cell>
        </row>
        <row r="147">
          <cell r="A147" t="str">
            <v>Gross public sector debt (% of GDP, end-year)</v>
          </cell>
        </row>
        <row r="148">
          <cell r="A148" t="str">
            <v>Growth in agricultural GDP (%)</v>
          </cell>
        </row>
        <row r="149">
          <cell r="A149" t="str">
            <v>Growth in industrial GDP (%)</v>
          </cell>
        </row>
        <row r="150">
          <cell r="A150" t="str">
            <v>Growth in real fixed investment (%)</v>
          </cell>
        </row>
        <row r="151">
          <cell r="A151" t="str">
            <v>Growth in real private consumption (%)</v>
          </cell>
        </row>
        <row r="152">
          <cell r="A152" t="str">
            <v>Growth in services GDP (%)</v>
          </cell>
        </row>
        <row r="153">
          <cell r="A153" t="str">
            <v>Household savings rate (%)</v>
          </cell>
        </row>
        <row r="154">
          <cell r="A154" t="str">
            <v>Imports (goods and non-factor services, $bn)</v>
          </cell>
        </row>
        <row r="155">
          <cell r="A155" t="str">
            <v>Imports (goods and non-factor services, % change in $ value)</v>
          </cell>
        </row>
        <row r="156">
          <cell r="A156" t="str">
            <v>Imports (goods and non-factor services, % of GDP)</v>
          </cell>
        </row>
        <row r="157">
          <cell r="A157" t="str">
            <v>Imports (goods and services, % change in $ value)</v>
          </cell>
        </row>
        <row r="158">
          <cell r="A158" t="str">
            <v>Imports (goods and services, % of GDP)</v>
          </cell>
        </row>
        <row r="159">
          <cell r="A159" t="str">
            <v>Industrial production growth (%)</v>
          </cell>
        </row>
        <row r="160">
          <cell r="A160" t="str">
            <v>Interest rate (%, end-year)</v>
          </cell>
        </row>
        <row r="161">
          <cell r="A161" t="str">
            <v>Monetary policy rate (%, end-year)</v>
          </cell>
        </row>
        <row r="162">
          <cell r="A162" t="str">
            <v>Money supply and credit</v>
          </cell>
        </row>
        <row r="163">
          <cell r="A163" t="str">
            <v>National accounts, population and unemployment</v>
          </cell>
        </row>
        <row r="164">
          <cell r="A164" t="str">
            <v>National Oil Fund of Kazakhstan ($bn)</v>
          </cell>
        </row>
        <row r="165">
          <cell r="A165" t="str">
            <v>Net balance of factor income ($bn)</v>
          </cell>
        </row>
        <row r="166">
          <cell r="A166" t="str">
            <v>Net central government debt (% of GDP)</v>
          </cell>
        </row>
        <row r="167">
          <cell r="A167" t="str">
            <v>Net FDI ($bn)</v>
          </cell>
        </row>
        <row r="168">
          <cell r="A168" t="str">
            <v>Net general government debt (% of GDP, end-year)</v>
          </cell>
        </row>
        <row r="169">
          <cell r="A169" t="str">
            <v>Net public sector debt (% of GDP, end-year)</v>
          </cell>
        </row>
        <row r="170">
          <cell r="A170" t="str">
            <v>Net transfers ($bn)</v>
          </cell>
        </row>
        <row r="171">
          <cell r="A171" t="str">
            <v>Nominal GDP ($bn)</v>
          </cell>
        </row>
        <row r="172">
          <cell r="A172" t="str">
            <v>Nominal GDP ([%LOC]bn)</v>
          </cell>
        </row>
        <row r="173">
          <cell r="A173" t="str">
            <v>Nominal GDP growth (%)</v>
          </cell>
        </row>
        <row r="174">
          <cell r="A174" t="str">
            <v>Nominal Mainland GDP (%)</v>
          </cell>
        </row>
        <row r="175">
          <cell r="A175" t="str">
            <v>Nominal Mainland GDP NOKbln</v>
          </cell>
        </row>
        <row r="176">
          <cell r="A176" t="str">
            <v>Nominal wage growth (% year-on-year change)</v>
          </cell>
        </row>
        <row r="177">
          <cell r="A177" t="str">
            <v>Nominal wage growth (% year-on-year change, average)</v>
          </cell>
        </row>
        <row r="178">
          <cell r="A178" t="str">
            <v>Non-financial public sector expenditure (% of GDP)</v>
          </cell>
        </row>
        <row r="179">
          <cell r="A179" t="str">
            <v>Non-financial public sector fiscal balance (% of GDP)</v>
          </cell>
        </row>
        <row r="180">
          <cell r="A180" t="str">
            <v>Non-financial public sector primary fiscal balance (% of GDP)</v>
          </cell>
        </row>
        <row r="181">
          <cell r="A181" t="str">
            <v>Oil exports (% of GDP)</v>
          </cell>
        </row>
        <row r="182">
          <cell r="A182" t="str">
            <v>Oil-related revenues (% of total public sector revenues)</v>
          </cell>
        </row>
        <row r="183">
          <cell r="A183" t="str">
            <v>Oil-related revenues (% total federally collected revenues)</v>
          </cell>
        </row>
        <row r="184">
          <cell r="A184" t="str">
            <v>Overnight base rate (%, end-year)</v>
          </cell>
        </row>
        <row r="185">
          <cell r="A185" t="str">
            <v>Overnight borrowing rate (%, end-year)</v>
          </cell>
        </row>
        <row r="186">
          <cell r="A186" t="str">
            <v>Overnight deposit rate (%, end-year)</v>
          </cell>
        </row>
        <row r="187">
          <cell r="A187" t="str">
            <v>Overnight policy rate (%, end-year)</v>
          </cell>
        </row>
        <row r="188">
          <cell r="A188" t="str">
            <v>Overnight rate (%, end-year)</v>
          </cell>
        </row>
        <row r="189">
          <cell r="A189" t="str">
            <v>Overnight repo rate (%, end-year)</v>
          </cell>
        </row>
        <row r="190">
          <cell r="A190" t="str">
            <v>Participation rate (%)</v>
          </cell>
        </row>
        <row r="191">
          <cell r="A191" t="str">
            <v>Population (mn)</v>
          </cell>
        </row>
        <row r="192">
          <cell r="A192" t="str">
            <v>Prices, interest rates and exchange rates</v>
          </cell>
        </row>
        <row r="193">
          <cell r="A193" t="str">
            <v>Prime lending rate 30 days in pesos (%, end-year)</v>
          </cell>
        </row>
        <row r="194">
          <cell r="A194" t="str">
            <v>Private debt net of trade loans and inter-company loans ($bn)</v>
          </cell>
        </row>
        <row r="195">
          <cell r="A195" t="str">
            <v>Private Foreign Debt ($bn)</v>
          </cell>
        </row>
        <row r="196">
          <cell r="A196" t="str">
            <v>Public Foreign Debt ($bn)</v>
          </cell>
        </row>
        <row r="197">
          <cell r="A197" t="str">
            <v>Real export growth (national accounts concept, %)</v>
          </cell>
        </row>
        <row r="198">
          <cell r="A198" t="str">
            <v>Real GDP growth (%)</v>
          </cell>
        </row>
        <row r="199">
          <cell r="A199" t="str">
            <v>Real Mainland GDP growth (%)</v>
          </cell>
        </row>
        <row r="200">
          <cell r="A200" t="str">
            <v>Rediscount rate (end-year, %)</v>
          </cell>
        </row>
        <row r="201">
          <cell r="A201" t="str">
            <v>REER (% change December to December)</v>
          </cell>
        </row>
        <row r="202">
          <cell r="A202" t="str">
            <v>REER (% change, December to December)</v>
          </cell>
        </row>
        <row r="203">
          <cell r="A203" t="str">
            <v>REER (% year-on-year change, annual average)</v>
          </cell>
        </row>
        <row r="204">
          <cell r="A204" t="str">
            <v>REER (% year-on-year change, June to June)</v>
          </cell>
        </row>
        <row r="205">
          <cell r="A205" t="str">
            <v>REER (% year-on-year change, March to March)</v>
          </cell>
        </row>
        <row r="206">
          <cell r="A206" t="str">
            <v>Reference rate (%, end-year)</v>
          </cell>
        </row>
        <row r="207">
          <cell r="A207" t="str">
            <v>Refinance Rate (%, end year)</v>
          </cell>
        </row>
        <row r="208">
          <cell r="A208" t="str">
            <v>Refinancing rate (%, end-year)</v>
          </cell>
        </row>
        <row r="209">
          <cell r="A209" t="str">
            <v>Repo rate</v>
          </cell>
        </row>
        <row r="210">
          <cell r="A210" t="str">
            <v>Repo rate (%, end-year)</v>
          </cell>
        </row>
        <row r="211">
          <cell r="A211" t="str">
            <v>Reverse repo rate (%, end-year)</v>
          </cell>
        </row>
        <row r="212">
          <cell r="A212" t="str">
            <v>RPI % chg over 12 mth to end-period %</v>
          </cell>
        </row>
        <row r="213">
          <cell r="A213" t="str">
            <v>Scheduled debt amortization ($bn)</v>
          </cell>
        </row>
        <row r="214">
          <cell r="A214" t="str">
            <v>Selic interest rate (%, end-year)</v>
          </cell>
        </row>
        <row r="215">
          <cell r="A215" t="str">
            <v>Short-term deposit rate (%, annual average)</v>
          </cell>
        </row>
        <row r="216">
          <cell r="A216" t="str">
            <v>Short-term interest rate (%, end-year)</v>
          </cell>
        </row>
        <row r="217">
          <cell r="A217" t="str">
            <v>Short-term interest rate (1yr lending rate, annual average, %)</v>
          </cell>
        </row>
        <row r="218">
          <cell r="A218" t="str">
            <v>Sight deposit rate (% end-year)</v>
          </cell>
        </row>
        <row r="219">
          <cell r="A219" t="str">
            <v>Special Deposit Account rate (%, end-year)</v>
          </cell>
        </row>
        <row r="220">
          <cell r="A220" t="str">
            <v>State government debt (% of GDP, end-year)</v>
          </cell>
        </row>
        <row r="221">
          <cell r="A221" t="str">
            <v>State government expenditure (% of GDP)</v>
          </cell>
        </row>
        <row r="222">
          <cell r="A222" t="str">
            <v>State government fiscal balance (% of GDP)</v>
          </cell>
        </row>
        <row r="223">
          <cell r="A223" t="str">
            <v>State government primary fiscal balance (% of GDP)</v>
          </cell>
        </row>
        <row r="224">
          <cell r="A224" t="str">
            <v>Total external debt service ($bn)</v>
          </cell>
        </row>
        <row r="225">
          <cell r="A225" t="str">
            <v>Total net foreign assets of Saudi Arabian Monetary Agency ($bn)</v>
          </cell>
        </row>
        <row r="226">
          <cell r="A226" t="str">
            <v>Unemployment (% of labor force, average)</v>
          </cell>
        </row>
        <row r="227">
          <cell r="A227" t="str">
            <v>Unemployment (% of labor force, end-year)</v>
          </cell>
        </row>
        <row r="228">
          <cell r="A228" t="str">
            <v>Unemployment (% of urban labor force, average year)</v>
          </cell>
        </row>
        <row r="229">
          <cell r="A229" t="str">
            <v>WPI inflation (% change in average index for the year)</v>
          </cell>
        </row>
        <row r="230">
          <cell r="A230" t="str">
            <v>WPI inflation (% year-on-year change, fiscal year - March to March)</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 me"/>
      <sheetName val="Data"/>
      <sheetName val="Dynamics"/>
      <sheetName val="Stabilising PB"/>
      <sheetName val="Scenarios"/>
      <sheetName val="Charts"/>
    </sheetNames>
    <sheetDataSet>
      <sheetData sheetId="0"/>
      <sheetData sheetId="1">
        <row r="17">
          <cell r="C17">
            <v>850239798.22487497</v>
          </cell>
          <cell r="D17">
            <v>11769217</v>
          </cell>
          <cell r="K17">
            <v>0.76001516436789007</v>
          </cell>
        </row>
      </sheetData>
      <sheetData sheetId="2"/>
      <sheetData sheetId="3"/>
      <sheetData sheetId="4"/>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 me"/>
      <sheetName val="Main panel"/>
      <sheetName val="Cross-house"/>
      <sheetName val="Milei trend"/>
      <sheetName val="Vote scenarios"/>
      <sheetName val="Buenos Aires"/>
      <sheetName val="Sources"/>
    </sheetNames>
    <sheetDataSet>
      <sheetData sheetId="0"/>
      <sheetData sheetId="1"/>
      <sheetData sheetId="2"/>
      <sheetData sheetId="3"/>
      <sheetData sheetId="4"/>
      <sheetData sheetId="5">
        <row r="7">
          <cell r="E7" t="str">
            <v>NET</v>
          </cell>
        </row>
        <row r="8">
          <cell r="B8" t="str">
            <v>Axel Kicillof</v>
          </cell>
          <cell r="E8">
            <v>4</v>
          </cell>
        </row>
        <row r="9">
          <cell r="B9" t="str">
            <v>Cristina Kirchner</v>
          </cell>
          <cell r="E9">
            <v>-4</v>
          </cell>
        </row>
        <row r="10">
          <cell r="B10" t="str">
            <v>Sergio Massa</v>
          </cell>
          <cell r="E10">
            <v>-22</v>
          </cell>
        </row>
        <row r="11">
          <cell r="B11" t="str">
            <v>Javier Milei</v>
          </cell>
          <cell r="E11">
            <v>-32</v>
          </cell>
        </row>
        <row r="12">
          <cell r="B12" t="str">
            <v>Mauricio Macri</v>
          </cell>
          <cell r="E12">
            <v>-42</v>
          </cell>
        </row>
        <row r="13">
          <cell r="B13" t="str">
            <v>Victoria Villarruel</v>
          </cell>
          <cell r="E13">
            <v>-42</v>
          </cell>
        </row>
        <row r="14">
          <cell r="B14" t="str">
            <v>Karina Milei</v>
          </cell>
          <cell r="E14">
            <v>-60</v>
          </cell>
        </row>
        <row r="26">
          <cell r="D26" t="str">
            <v xml:space="preserve">National </v>
          </cell>
          <cell r="E26" t="str">
            <v>PBA</v>
          </cell>
        </row>
        <row r="27">
          <cell r="C27" t="str">
            <v>J. Milei</v>
          </cell>
          <cell r="D27">
            <v>-20</v>
          </cell>
          <cell r="E27">
            <v>-32</v>
          </cell>
        </row>
        <row r="28">
          <cell r="C28" t="str">
            <v>A. Kicillof</v>
          </cell>
          <cell r="D28">
            <v>-17</v>
          </cell>
          <cell r="E28">
            <v>4</v>
          </cell>
        </row>
        <row r="29">
          <cell r="C29" t="str">
            <v>S. Massa</v>
          </cell>
          <cell r="E29">
            <v>-22</v>
          </cell>
        </row>
        <row r="30">
          <cell r="C30" t="str">
            <v>M. Macri</v>
          </cell>
          <cell r="E30">
            <v>-42</v>
          </cell>
        </row>
      </sheetData>
      <sheetData sheetId="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Bond inputs"/>
      <sheetName val="2 Carry cushion"/>
      <sheetName val="3 Total return grid"/>
      <sheetName val="4 Cushion by horizon"/>
      <sheetName val="5 Spread move check"/>
      <sheetName val="6 Bloomberg refresh"/>
      <sheetName val="Notes"/>
    </sheetNames>
    <sheetDataSet>
      <sheetData sheetId="0" refreshError="1"/>
      <sheetData sheetId="1">
        <row r="5">
          <cell r="D5" t="str">
            <v>of which:
cash coupon (%)</v>
          </cell>
          <cell r="E5" t="str">
            <v>of which:
pull-to-par (%)</v>
          </cell>
          <cell r="H5" t="str">
            <v>Breakeven widening
— with convexity (bp)</v>
          </cell>
        </row>
        <row r="6">
          <cell r="A6" t="str">
            <v>GD29</v>
          </cell>
          <cell r="D6">
            <v>0.55700997047847156</v>
          </cell>
          <cell r="E6">
            <v>1.8517881462074186</v>
          </cell>
          <cell r="H6">
            <v>159.62796477337309</v>
          </cell>
        </row>
        <row r="7">
          <cell r="A7" t="str">
            <v>GD30</v>
          </cell>
          <cell r="D7">
            <v>0.42794540557812577</v>
          </cell>
          <cell r="E7">
            <v>2.0837023225190965</v>
          </cell>
          <cell r="H7">
            <v>129.54786837930692</v>
          </cell>
        </row>
        <row r="8">
          <cell r="A8" t="str">
            <v>GD35</v>
          </cell>
          <cell r="D8">
            <v>2.6464021761445284</v>
          </cell>
          <cell r="E8">
            <v>1.5530195330678067</v>
          </cell>
          <cell r="H8">
            <v>81.510726158207035</v>
          </cell>
        </row>
        <row r="9">
          <cell r="A9" t="str">
            <v>GD38</v>
          </cell>
          <cell r="D9">
            <v>3.0662243127058204</v>
          </cell>
          <cell r="E9">
            <v>0.64549695172143107</v>
          </cell>
          <cell r="H9">
            <v>83.356785353585764</v>
          </cell>
        </row>
        <row r="10">
          <cell r="A10" t="str">
            <v>GD41</v>
          </cell>
          <cell r="D10">
            <v>2.401092153916867</v>
          </cell>
          <cell r="E10">
            <v>1.3613595295262537</v>
          </cell>
          <cell r="H10">
            <v>66.672629731648584</v>
          </cell>
        </row>
        <row r="11">
          <cell r="A11" t="str">
            <v>GD46</v>
          </cell>
          <cell r="D11">
            <v>2.8099455040871932</v>
          </cell>
          <cell r="E11">
            <v>0.91927357949932631</v>
          </cell>
          <cell r="H11">
            <v>61.513529687758187</v>
          </cell>
        </row>
      </sheetData>
      <sheetData sheetId="2" refreshError="1"/>
      <sheetData sheetId="3" refreshError="1"/>
      <sheetData sheetId="4" refreshError="1"/>
      <sheetData sheetId="5" refreshError="1"/>
      <sheetData sheetId="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 me"/>
      <sheetName val="Data Constant"/>
      <sheetName val="Data SA"/>
      <sheetName val="Data Nominal"/>
      <sheetName val="Quarterly"/>
      <sheetName val="Annual"/>
      <sheetName val="Contributions"/>
      <sheetName val="Employment"/>
      <sheetName val="EMAE"/>
      <sheetName val="Forecast"/>
    </sheetNames>
    <sheetDataSet>
      <sheetData sheetId="0"/>
      <sheetData sheetId="1">
        <row r="6">
          <cell r="F6">
            <v>460369.44223294902</v>
          </cell>
          <cell r="G6">
            <v>305237.17340565799</v>
          </cell>
          <cell r="H6">
            <v>49687.342190580501</v>
          </cell>
          <cell r="I6">
            <v>71794.433853449504</v>
          </cell>
          <cell r="L6">
            <v>102774.20298138499</v>
          </cell>
          <cell r="M6">
            <v>73073.434811126906</v>
          </cell>
          <cell r="N6">
            <v>3949.8212589709501</v>
          </cell>
        </row>
        <row r="7">
          <cell r="F7">
            <v>514395.68177236198</v>
          </cell>
          <cell r="G7">
            <v>338800.00167642499</v>
          </cell>
          <cell r="H7">
            <v>52072.2779572574</v>
          </cell>
          <cell r="I7">
            <v>81995.480315905996</v>
          </cell>
          <cell r="L7">
            <v>119462.27741173599</v>
          </cell>
          <cell r="M7">
            <v>80006.307217458598</v>
          </cell>
          <cell r="N7">
            <v>2071.9331349479098</v>
          </cell>
        </row>
        <row r="8">
          <cell r="F8">
            <v>481151.97994350799</v>
          </cell>
          <cell r="G8">
            <v>310440.57413146697</v>
          </cell>
          <cell r="H8">
            <v>53720.816256870603</v>
          </cell>
          <cell r="I8">
            <v>79254.313812163397</v>
          </cell>
          <cell r="L8">
            <v>119619.17122810399</v>
          </cell>
          <cell r="M8">
            <v>85416.072521139096</v>
          </cell>
          <cell r="N8">
            <v>3533.1507230072102</v>
          </cell>
        </row>
        <row r="9">
          <cell r="F9">
            <v>484543.67687656201</v>
          </cell>
          <cell r="G9">
            <v>293849.79395204899</v>
          </cell>
          <cell r="H9">
            <v>60194.718175438502</v>
          </cell>
          <cell r="I9">
            <v>75368.480470838404</v>
          </cell>
          <cell r="L9">
            <v>120898.050167106</v>
          </cell>
          <cell r="M9">
            <v>88375.321572668603</v>
          </cell>
          <cell r="N9">
            <v>22607.9038444129</v>
          </cell>
        </row>
        <row r="10">
          <cell r="B10" t="str">
            <v>1Q 2005</v>
          </cell>
          <cell r="F10">
            <v>493602.53057785501</v>
          </cell>
          <cell r="G10">
            <v>319799.76251832198</v>
          </cell>
          <cell r="H10">
            <v>54179.355471642302</v>
          </cell>
          <cell r="I10">
            <v>80672.434723857805</v>
          </cell>
          <cell r="L10">
            <v>119186.926946566</v>
          </cell>
          <cell r="M10">
            <v>84904.777449941394</v>
          </cell>
          <cell r="N10">
            <v>4668.8283674091199</v>
          </cell>
        </row>
        <row r="11">
          <cell r="B11" t="str">
            <v>2Q 2005</v>
          </cell>
          <cell r="F11">
            <v>581668.24987960304</v>
          </cell>
          <cell r="G11">
            <v>385778.07211062399</v>
          </cell>
          <cell r="H11">
            <v>58212.171986110203</v>
          </cell>
          <cell r="I11">
            <v>94508.358707974607</v>
          </cell>
          <cell r="L11">
            <v>138217.54798367401</v>
          </cell>
          <cell r="M11">
            <v>97288.203296056803</v>
          </cell>
          <cell r="N11">
            <v>2240.3023872762301</v>
          </cell>
        </row>
        <row r="12">
          <cell r="B12" t="str">
            <v>3Q 2005</v>
          </cell>
          <cell r="F12">
            <v>514697.78950542799</v>
          </cell>
          <cell r="G12">
            <v>323831.36566135997</v>
          </cell>
          <cell r="H12">
            <v>58977.8392930552</v>
          </cell>
          <cell r="I12">
            <v>89948.604167109806</v>
          </cell>
          <cell r="L12">
            <v>135432.69307676301</v>
          </cell>
          <cell r="M12">
            <v>96844.8930370905</v>
          </cell>
          <cell r="N12">
            <v>3352.1803442310802</v>
          </cell>
        </row>
        <row r="13">
          <cell r="B13" t="str">
            <v>4Q 2005</v>
          </cell>
          <cell r="F13">
            <v>522255.200050771</v>
          </cell>
          <cell r="G13">
            <v>311201.93506826402</v>
          </cell>
          <cell r="H13">
            <v>65561.512622711394</v>
          </cell>
          <cell r="I13">
            <v>92100.022937559697</v>
          </cell>
          <cell r="L13">
            <v>129550.81848020401</v>
          </cell>
          <cell r="M13">
            <v>99636.557923835804</v>
          </cell>
          <cell r="N13">
            <v>23477.468865868399</v>
          </cell>
        </row>
        <row r="14">
          <cell r="B14" t="str">
            <v>1Q 2006</v>
          </cell>
          <cell r="F14">
            <v>532348.21201691695</v>
          </cell>
          <cell r="G14">
            <v>354888.11983706598</v>
          </cell>
          <cell r="H14">
            <v>56878.879612771299</v>
          </cell>
          <cell r="I14">
            <v>93836.573169233801</v>
          </cell>
          <cell r="L14">
            <v>125801.743056573</v>
          </cell>
          <cell r="M14">
            <v>96613.891639486697</v>
          </cell>
          <cell r="N14">
            <v>-2443.21201924036</v>
          </cell>
        </row>
        <row r="15">
          <cell r="B15" t="str">
            <v>2Q 2006</v>
          </cell>
          <cell r="F15">
            <v>614076.39260854397</v>
          </cell>
          <cell r="G15">
            <v>412814.66669057601</v>
          </cell>
          <cell r="H15">
            <v>60002.962566283699</v>
          </cell>
          <cell r="I15">
            <v>105355.81306166999</v>
          </cell>
          <cell r="L15">
            <v>141431.39484319699</v>
          </cell>
          <cell r="M15">
            <v>101743.86172984399</v>
          </cell>
          <cell r="N15">
            <v>-3784.5828233397401</v>
          </cell>
        </row>
        <row r="16">
          <cell r="B16" t="str">
            <v>3Q 2006</v>
          </cell>
          <cell r="F16">
            <v>562978.96562687703</v>
          </cell>
          <cell r="G16">
            <v>372993.09379983699</v>
          </cell>
          <cell r="H16">
            <v>60840.091459644798</v>
          </cell>
          <cell r="I16">
            <v>106228.60234204499</v>
          </cell>
          <cell r="L16">
            <v>139275.060008245</v>
          </cell>
          <cell r="M16">
            <v>109844.576627056</v>
          </cell>
          <cell r="N16">
            <v>-6513.30535583851</v>
          </cell>
        </row>
        <row r="17">
          <cell r="B17" t="str">
            <v>4Q 2006</v>
          </cell>
          <cell r="F17">
            <v>572794.04663058801</v>
          </cell>
          <cell r="G17">
            <v>346795.75351214502</v>
          </cell>
          <cell r="H17">
            <v>68028.752176288806</v>
          </cell>
          <cell r="I17">
            <v>103509.588494714</v>
          </cell>
          <cell r="L17">
            <v>144930.846081086</v>
          </cell>
          <cell r="M17">
            <v>112095.476194262</v>
          </cell>
          <cell r="N17">
            <v>21624.582560617098</v>
          </cell>
        </row>
        <row r="18">
          <cell r="B18" t="str">
            <v>1Q 2007</v>
          </cell>
          <cell r="F18">
            <v>576846.88569942699</v>
          </cell>
          <cell r="G18">
            <v>394546.92237347399</v>
          </cell>
          <cell r="H18">
            <v>61224.2047229237</v>
          </cell>
          <cell r="I18">
            <v>111459.50015804901</v>
          </cell>
          <cell r="L18">
            <v>129994.29307272199</v>
          </cell>
          <cell r="M18">
            <v>112275.540467193</v>
          </cell>
          <cell r="N18">
            <v>-8102.4941605478398</v>
          </cell>
        </row>
        <row r="19">
          <cell r="B19" t="str">
            <v>2Q 2007</v>
          </cell>
          <cell r="F19">
            <v>674620.563006485</v>
          </cell>
          <cell r="G19">
            <v>444046.11165498401</v>
          </cell>
          <cell r="H19">
            <v>65259.863868160501</v>
          </cell>
          <cell r="I19">
            <v>125373.05789199501</v>
          </cell>
          <cell r="L19">
            <v>151852.514503315</v>
          </cell>
          <cell r="M19">
            <v>117677.32624788801</v>
          </cell>
          <cell r="N19">
            <v>5766.3413359196402</v>
          </cell>
        </row>
        <row r="20">
          <cell r="B20" t="str">
            <v>3Q 2007</v>
          </cell>
          <cell r="F20">
            <v>610425.69401485403</v>
          </cell>
          <cell r="G20">
            <v>403183.03818433598</v>
          </cell>
          <cell r="H20">
            <v>65411.563296301501</v>
          </cell>
          <cell r="I20">
            <v>128893.703349109</v>
          </cell>
          <cell r="L20">
            <v>153959.99205222001</v>
          </cell>
          <cell r="M20">
            <v>136188.56334207201</v>
          </cell>
          <cell r="N20">
            <v>-4834.0395250414704</v>
          </cell>
        </row>
        <row r="21">
          <cell r="B21" t="str">
            <v>4Q 2007</v>
          </cell>
          <cell r="F21">
            <v>625876.867863597</v>
          </cell>
          <cell r="G21">
            <v>384630.07880417601</v>
          </cell>
          <cell r="H21">
            <v>73096.788473659806</v>
          </cell>
          <cell r="I21">
            <v>126843.699368505</v>
          </cell>
          <cell r="L21">
            <v>160654.21988093699</v>
          </cell>
          <cell r="M21">
            <v>136704.05975474801</v>
          </cell>
          <cell r="N21">
            <v>17356.1410910671</v>
          </cell>
        </row>
        <row r="22">
          <cell r="B22" t="str">
            <v>1Q 2008</v>
          </cell>
          <cell r="F22">
            <v>616720.35706447798</v>
          </cell>
          <cell r="G22">
            <v>434706.92070959503</v>
          </cell>
          <cell r="H22">
            <v>63538.090213852003</v>
          </cell>
          <cell r="I22">
            <v>130866.275030766</v>
          </cell>
          <cell r="L22">
            <v>138205.65471421799</v>
          </cell>
          <cell r="M22">
            <v>138615.19699718201</v>
          </cell>
          <cell r="N22">
            <v>-11981.3866067698</v>
          </cell>
        </row>
        <row r="23">
          <cell r="B23" t="str">
            <v>2Q 2008</v>
          </cell>
          <cell r="F23">
            <v>711405.50045523304</v>
          </cell>
          <cell r="G23">
            <v>485578.45935453702</v>
          </cell>
          <cell r="H23">
            <v>69148.379392770497</v>
          </cell>
          <cell r="I23">
            <v>146972.608052948</v>
          </cell>
          <cell r="L23">
            <v>147769.55715328999</v>
          </cell>
          <cell r="M23">
            <v>147043.53953203399</v>
          </cell>
          <cell r="N23">
            <v>8980.0360337213096</v>
          </cell>
        </row>
        <row r="24">
          <cell r="B24" t="str">
            <v>3Q 2008</v>
          </cell>
          <cell r="F24">
            <v>647087.95974249404</v>
          </cell>
          <cell r="G24">
            <v>425312.74440874998</v>
          </cell>
          <cell r="H24">
            <v>69622.829397327805</v>
          </cell>
          <cell r="I24">
            <v>138451.48746984001</v>
          </cell>
          <cell r="L24">
            <v>169221.27116816901</v>
          </cell>
          <cell r="M24">
            <v>153056.79563738601</v>
          </cell>
          <cell r="N24">
            <v>-2463.5770642065199</v>
          </cell>
        </row>
        <row r="25">
          <cell r="B25" t="str">
            <v>4Q 2008</v>
          </cell>
          <cell r="F25">
            <v>613490.82170264097</v>
          </cell>
          <cell r="G25">
            <v>398635.44285744103</v>
          </cell>
          <cell r="H25">
            <v>75972.6991669446</v>
          </cell>
          <cell r="I25">
            <v>119110.68925230201</v>
          </cell>
          <cell r="L25">
            <v>145677.599528055</v>
          </cell>
          <cell r="M25">
            <v>132326.80332668501</v>
          </cell>
          <cell r="N25">
            <v>6421.19422458382</v>
          </cell>
        </row>
        <row r="26">
          <cell r="B26" t="str">
            <v>1Q 2009</v>
          </cell>
          <cell r="F26">
            <v>578553.04424240498</v>
          </cell>
          <cell r="G26">
            <v>410435.15837711003</v>
          </cell>
          <cell r="H26">
            <v>65839.054780303195</v>
          </cell>
          <cell r="I26">
            <v>95500.572106358406</v>
          </cell>
          <cell r="L26">
            <v>127658.20658776299</v>
          </cell>
          <cell r="M26">
            <v>108884.585179961</v>
          </cell>
          <cell r="N26">
            <v>-11995.362429168999</v>
          </cell>
        </row>
        <row r="27">
          <cell r="B27" t="str">
            <v>2Q 2009</v>
          </cell>
          <cell r="F27">
            <v>631197.75186006899</v>
          </cell>
          <cell r="G27">
            <v>423959.338623602</v>
          </cell>
          <cell r="H27">
            <v>71368.489362473803</v>
          </cell>
          <cell r="I27">
            <v>99870.790794023196</v>
          </cell>
          <cell r="L27">
            <v>147851.62921163201</v>
          </cell>
          <cell r="M27">
            <v>104729.454932105</v>
          </cell>
          <cell r="N27">
            <v>-7123.0411995568802</v>
          </cell>
        </row>
        <row r="28">
          <cell r="B28" t="str">
            <v>3Q 2009</v>
          </cell>
          <cell r="F28">
            <v>610519.85461172694</v>
          </cell>
          <cell r="G28">
            <v>419318.04320998403</v>
          </cell>
          <cell r="H28">
            <v>74331.0117211084</v>
          </cell>
          <cell r="I28">
            <v>108714.07912083399</v>
          </cell>
          <cell r="L28">
            <v>131625.13245280599</v>
          </cell>
          <cell r="M28">
            <v>123133.644030465</v>
          </cell>
          <cell r="N28">
            <v>-334.76786254084999</v>
          </cell>
        </row>
        <row r="29">
          <cell r="B29" t="str">
            <v>4Q 2009</v>
          </cell>
          <cell r="F29">
            <v>615220.85493729694</v>
          </cell>
          <cell r="G29">
            <v>396373.369189961</v>
          </cell>
          <cell r="H29">
            <v>82422.557447338593</v>
          </cell>
          <cell r="I29">
            <v>110460.32612798001</v>
          </cell>
          <cell r="L29">
            <v>137574.774133128</v>
          </cell>
          <cell r="M29">
            <v>129128.98591255699</v>
          </cell>
          <cell r="N29">
            <v>17518.8139514473</v>
          </cell>
        </row>
        <row r="30">
          <cell r="B30" t="str">
            <v>1Q 2010</v>
          </cell>
          <cell r="F30">
            <v>611607.33658973</v>
          </cell>
          <cell r="G30">
            <v>439461.24571681401</v>
          </cell>
          <cell r="H30">
            <v>70569.006768553503</v>
          </cell>
          <cell r="I30">
            <v>108785.857105826</v>
          </cell>
          <cell r="L30">
            <v>124821.262022197</v>
          </cell>
          <cell r="M30">
            <v>131091.92974987501</v>
          </cell>
          <cell r="N30">
            <v>-938.10527378525603</v>
          </cell>
        </row>
        <row r="31">
          <cell r="B31" t="str">
            <v>2Q 2010</v>
          </cell>
          <cell r="F31">
            <v>733730.773968903</v>
          </cell>
          <cell r="G31">
            <v>487297.59864804201</v>
          </cell>
          <cell r="H31">
            <v>77185.401450977399</v>
          </cell>
          <cell r="I31">
            <v>130038.89517350199</v>
          </cell>
          <cell r="L31">
            <v>175584.32821405001</v>
          </cell>
          <cell r="M31">
            <v>151260.052597042</v>
          </cell>
          <cell r="N31">
            <v>14884.603079373799</v>
          </cell>
        </row>
        <row r="32">
          <cell r="B32" t="str">
            <v>3Q 2010</v>
          </cell>
          <cell r="F32">
            <v>668566.50948898599</v>
          </cell>
          <cell r="G32">
            <v>456779.06665618502</v>
          </cell>
          <cell r="H32">
            <v>76311.355006754893</v>
          </cell>
          <cell r="I32">
            <v>139803.957502921</v>
          </cell>
          <cell r="L32">
            <v>168049.61790717</v>
          </cell>
          <cell r="M32">
            <v>171903.478704393</v>
          </cell>
          <cell r="N32">
            <v>-474.008879651445</v>
          </cell>
        </row>
        <row r="33">
          <cell r="B33" t="str">
            <v>4Q 2010</v>
          </cell>
          <cell r="F33">
            <v>668190.097719574</v>
          </cell>
          <cell r="G33">
            <v>451162.75340541301</v>
          </cell>
          <cell r="H33">
            <v>85922.6262566636</v>
          </cell>
          <cell r="I33">
            <v>144754.32406471</v>
          </cell>
          <cell r="L33">
            <v>151952.376643681</v>
          </cell>
          <cell r="M33">
            <v>175630.37609457501</v>
          </cell>
          <cell r="N33">
            <v>10028.3934436812</v>
          </cell>
        </row>
        <row r="34">
          <cell r="B34" t="str">
            <v>1Q 2011</v>
          </cell>
          <cell r="F34">
            <v>662325.58597269503</v>
          </cell>
          <cell r="G34">
            <v>484513.98662213102</v>
          </cell>
          <cell r="H34">
            <v>74065.615503609995</v>
          </cell>
          <cell r="I34">
            <v>139564.46171539801</v>
          </cell>
          <cell r="L34">
            <v>138279.54794538199</v>
          </cell>
          <cell r="M34">
            <v>171680.48522975401</v>
          </cell>
          <cell r="N34">
            <v>-2417.54058407194</v>
          </cell>
        </row>
        <row r="35">
          <cell r="B35" t="str">
            <v>2Q 2011</v>
          </cell>
          <cell r="F35">
            <v>766332.95457161299</v>
          </cell>
          <cell r="G35">
            <v>521971.62469919899</v>
          </cell>
          <cell r="H35">
            <v>80830.222163875005</v>
          </cell>
          <cell r="I35">
            <v>153571.01955510399</v>
          </cell>
          <cell r="L35">
            <v>170971.27052045299</v>
          </cell>
          <cell r="M35">
            <v>185834.80063049099</v>
          </cell>
          <cell r="N35">
            <v>24823.618263472999</v>
          </cell>
        </row>
        <row r="36">
          <cell r="B36" t="str">
            <v>3Q 2011</v>
          </cell>
          <cell r="F36">
            <v>711417.39193010505</v>
          </cell>
          <cell r="G36">
            <v>509458.25385768799</v>
          </cell>
          <cell r="H36">
            <v>81814.123471173996</v>
          </cell>
          <cell r="I36">
            <v>164571.646704971</v>
          </cell>
          <cell r="L36">
            <v>172841.450852618</v>
          </cell>
          <cell r="M36">
            <v>212358.171914276</v>
          </cell>
          <cell r="N36">
            <v>-4909.91104207013</v>
          </cell>
        </row>
        <row r="37">
          <cell r="B37" t="str">
            <v>4Q 2011</v>
          </cell>
          <cell r="F37">
            <v>703050.45640799298</v>
          </cell>
          <cell r="G37">
            <v>490644.74845936103</v>
          </cell>
          <cell r="H37">
            <v>87429.117904933897</v>
          </cell>
          <cell r="I37">
            <v>156629.21241773001</v>
          </cell>
          <cell r="L37">
            <v>164054.87715450401</v>
          </cell>
          <cell r="M37">
            <v>198767.51540656999</v>
          </cell>
          <cell r="N37">
            <v>3060.0158780339202</v>
          </cell>
        </row>
        <row r="38">
          <cell r="B38" t="str">
            <v>1Q 2012</v>
          </cell>
          <cell r="F38">
            <v>672685.993630504</v>
          </cell>
          <cell r="G38">
            <v>494561.05868275702</v>
          </cell>
          <cell r="H38">
            <v>77065.360118655997</v>
          </cell>
          <cell r="I38">
            <v>134285.041057041</v>
          </cell>
          <cell r="L38">
            <v>145984.10280638901</v>
          </cell>
          <cell r="M38">
            <v>175963.63222419799</v>
          </cell>
          <cell r="N38">
            <v>-3245.93681014188</v>
          </cell>
        </row>
        <row r="39">
          <cell r="B39" t="str">
            <v>2Q 2012</v>
          </cell>
          <cell r="F39">
            <v>730838.27259277599</v>
          </cell>
          <cell r="G39">
            <v>516528.23176810303</v>
          </cell>
          <cell r="H39">
            <v>82453.840979409593</v>
          </cell>
          <cell r="I39">
            <v>134408.94797285099</v>
          </cell>
          <cell r="L39">
            <v>155692.764640382</v>
          </cell>
          <cell r="M39">
            <v>168790.03309891501</v>
          </cell>
          <cell r="N39">
            <v>10544.520330945001</v>
          </cell>
        </row>
        <row r="40">
          <cell r="B40" t="str">
            <v>3Q 2012</v>
          </cell>
          <cell r="F40">
            <v>703461.65253019601</v>
          </cell>
          <cell r="G40">
            <v>517627.47943600698</v>
          </cell>
          <cell r="H40">
            <v>84029.384241194406</v>
          </cell>
          <cell r="I40">
            <v>150230.816594573</v>
          </cell>
          <cell r="L40">
            <v>164111.32295096799</v>
          </cell>
          <cell r="M40">
            <v>194333.566381999</v>
          </cell>
          <cell r="N40">
            <v>-18203.784310547398</v>
          </cell>
        </row>
        <row r="41">
          <cell r="B41" t="str">
            <v>4Q 2012</v>
          </cell>
          <cell r="F41">
            <v>706958.03908231901</v>
          </cell>
          <cell r="G41">
            <v>500150.63183982798</v>
          </cell>
          <cell r="H41">
            <v>90344.798181768405</v>
          </cell>
          <cell r="I41">
            <v>151946.00276177601</v>
          </cell>
          <cell r="L41">
            <v>153813.21961273099</v>
          </cell>
          <cell r="M41">
            <v>193210.37317505101</v>
          </cell>
          <cell r="N41">
            <v>3913.7598612663</v>
          </cell>
        </row>
        <row r="42">
          <cell r="B42" t="str">
            <v>1Q 2013</v>
          </cell>
          <cell r="F42">
            <v>677085.52917315101</v>
          </cell>
          <cell r="G42">
            <v>506950.44640662801</v>
          </cell>
          <cell r="H42">
            <v>80963.014722433203</v>
          </cell>
          <cell r="I42">
            <v>133273.112925847</v>
          </cell>
          <cell r="L42">
            <v>131767.054730884</v>
          </cell>
          <cell r="M42">
            <v>176602.613153124</v>
          </cell>
          <cell r="N42">
            <v>734.51354048245798</v>
          </cell>
        </row>
        <row r="43">
          <cell r="B43" t="str">
            <v>2Q 2013</v>
          </cell>
          <cell r="F43">
            <v>776486.60279942001</v>
          </cell>
          <cell r="G43">
            <v>543923.35275378299</v>
          </cell>
          <cell r="H43">
            <v>87051.596867879998</v>
          </cell>
          <cell r="I43">
            <v>150469.41530475899</v>
          </cell>
          <cell r="L43">
            <v>168720.23462672799</v>
          </cell>
          <cell r="M43">
            <v>190652.10709454701</v>
          </cell>
          <cell r="N43">
            <v>16974.110340817599</v>
          </cell>
        </row>
        <row r="44">
          <cell r="B44" t="str">
            <v>3Q 2013</v>
          </cell>
          <cell r="F44">
            <v>721458.94421618199</v>
          </cell>
          <cell r="G44">
            <v>538421.07825339795</v>
          </cell>
          <cell r="H44">
            <v>87994.272131112593</v>
          </cell>
          <cell r="I44">
            <v>152737.11410480301</v>
          </cell>
          <cell r="L44">
            <v>159733.63225019001</v>
          </cell>
          <cell r="M44">
            <v>202951.05150852801</v>
          </cell>
          <cell r="N44">
            <v>-14476.101014792999</v>
          </cell>
        </row>
        <row r="45">
          <cell r="B45" t="str">
            <v>4Q 2013</v>
          </cell>
          <cell r="F45">
            <v>706597.34502250701</v>
          </cell>
          <cell r="G45">
            <v>513403.25174006599</v>
          </cell>
          <cell r="H45">
            <v>95656.267032125601</v>
          </cell>
          <cell r="I45">
            <v>147746.62960253601</v>
          </cell>
          <cell r="L45">
            <v>137569.02973944301</v>
          </cell>
          <cell r="M45">
            <v>190526.077365759</v>
          </cell>
          <cell r="N45">
            <v>2748.2442740955998</v>
          </cell>
        </row>
        <row r="46">
          <cell r="B46" t="str">
            <v>1Q 2014</v>
          </cell>
          <cell r="F46">
            <v>671066.04663506302</v>
          </cell>
          <cell r="G46">
            <v>517840.533744263</v>
          </cell>
          <cell r="H46">
            <v>85482.493731996306</v>
          </cell>
          <cell r="I46">
            <v>131370.536309922</v>
          </cell>
          <cell r="L46">
            <v>119113.818899697</v>
          </cell>
          <cell r="M46">
            <v>174142.87917514201</v>
          </cell>
          <cell r="N46">
            <v>-8598.4568756735207</v>
          </cell>
        </row>
        <row r="47">
          <cell r="B47" t="str">
            <v>2Q 2014</v>
          </cell>
          <cell r="F47">
            <v>760576.86834800395</v>
          </cell>
          <cell r="G47">
            <v>527379.22694273805</v>
          </cell>
          <cell r="H47">
            <v>88842.1197185489</v>
          </cell>
          <cell r="I47">
            <v>141073.18942976999</v>
          </cell>
          <cell r="L47">
            <v>152688.83294255999</v>
          </cell>
          <cell r="M47">
            <v>169554.60524510799</v>
          </cell>
          <cell r="N47">
            <v>20148.104559495099</v>
          </cell>
        </row>
        <row r="48">
          <cell r="B48" t="str">
            <v>3Q 2014</v>
          </cell>
          <cell r="F48">
            <v>690879.79825168301</v>
          </cell>
          <cell r="G48">
            <v>490626.98948685499</v>
          </cell>
          <cell r="H48">
            <v>90661.590635051805</v>
          </cell>
          <cell r="I48">
            <v>140281.45358859599</v>
          </cell>
          <cell r="L48">
            <v>147198.69636944201</v>
          </cell>
          <cell r="M48">
            <v>173099.24330165799</v>
          </cell>
          <cell r="N48">
            <v>-4789.6885266037198</v>
          </cell>
        </row>
        <row r="49">
          <cell r="B49" t="str">
            <v>4Q 2014</v>
          </cell>
          <cell r="F49">
            <v>686701.47061871097</v>
          </cell>
          <cell r="G49">
            <v>475210.99549400201</v>
          </cell>
          <cell r="H49">
            <v>97035.592333750494</v>
          </cell>
          <cell r="I49">
            <v>132033.40948911599</v>
          </cell>
          <cell r="L49">
            <v>137067.84127832399</v>
          </cell>
          <cell r="M49">
            <v>156603.143718401</v>
          </cell>
          <cell r="N49">
            <v>1956.77574191855</v>
          </cell>
        </row>
        <row r="50">
          <cell r="B50" t="str">
            <v>1Q 2015</v>
          </cell>
          <cell r="F50">
            <v>672749.81139169901</v>
          </cell>
          <cell r="G50">
            <v>507483.723069378</v>
          </cell>
          <cell r="H50">
            <v>88812.955507743594</v>
          </cell>
          <cell r="I50">
            <v>128790.253312967</v>
          </cell>
          <cell r="L50">
            <v>116284.29138088399</v>
          </cell>
          <cell r="M50">
            <v>160419.64644000999</v>
          </cell>
          <cell r="N50">
            <v>-8201.7654392623899</v>
          </cell>
        </row>
        <row r="51">
          <cell r="B51" t="str">
            <v>2Q 2015</v>
          </cell>
          <cell r="F51">
            <v>791235.96554166998</v>
          </cell>
          <cell r="G51">
            <v>569042.18587121402</v>
          </cell>
          <cell r="H51">
            <v>97227.659456090405</v>
          </cell>
          <cell r="I51">
            <v>143522.138762141</v>
          </cell>
          <cell r="L51">
            <v>149591.70806129801</v>
          </cell>
          <cell r="M51">
            <v>174021.017470361</v>
          </cell>
          <cell r="N51">
            <v>5873.2908612879501</v>
          </cell>
        </row>
        <row r="52">
          <cell r="B52" t="str">
            <v>3Q 2015</v>
          </cell>
          <cell r="F52">
            <v>718281.26544978202</v>
          </cell>
          <cell r="G52">
            <v>518592.72788760602</v>
          </cell>
          <cell r="H52">
            <v>98086.766525729196</v>
          </cell>
          <cell r="I52">
            <v>149008.18693087099</v>
          </cell>
          <cell r="L52">
            <v>147404.70503841501</v>
          </cell>
          <cell r="M52">
            <v>192990.26576942799</v>
          </cell>
          <cell r="N52">
            <v>-1820.85516341126</v>
          </cell>
        </row>
        <row r="53">
          <cell r="B53" t="str">
            <v>4Q 2015</v>
          </cell>
          <cell r="F53">
            <v>703681.54416900803</v>
          </cell>
          <cell r="G53">
            <v>489467.32535882201</v>
          </cell>
          <cell r="H53">
            <v>103040.471421871</v>
          </cell>
          <cell r="I53">
            <v>142300.30190956601</v>
          </cell>
          <cell r="L53">
            <v>127344.369957352</v>
          </cell>
          <cell r="M53">
            <v>177694.95689144099</v>
          </cell>
          <cell r="N53">
            <v>19224.0324128389</v>
          </cell>
        </row>
        <row r="54">
          <cell r="B54" t="str">
            <v>1Q 2016</v>
          </cell>
          <cell r="F54">
            <v>677652.08911570301</v>
          </cell>
          <cell r="G54">
            <v>520749.188977696</v>
          </cell>
          <cell r="H54">
            <v>90566.292339652398</v>
          </cell>
          <cell r="I54">
            <v>124425.518411567</v>
          </cell>
          <cell r="L54">
            <v>133430.07456094</v>
          </cell>
          <cell r="M54">
            <v>179480.423693516</v>
          </cell>
          <cell r="N54">
            <v>-12038.5614806371</v>
          </cell>
        </row>
        <row r="55">
          <cell r="B55" t="str">
            <v>2Q 2016</v>
          </cell>
          <cell r="F55">
            <v>760703.28015165601</v>
          </cell>
          <cell r="G55">
            <v>558368.43539579003</v>
          </cell>
          <cell r="H55">
            <v>94085.733019345207</v>
          </cell>
          <cell r="I55">
            <v>134589.437954519</v>
          </cell>
          <cell r="L55">
            <v>148260.21087746299</v>
          </cell>
          <cell r="M55">
            <v>187899.66185803601</v>
          </cell>
          <cell r="N55">
            <v>13299.1247625746</v>
          </cell>
        </row>
        <row r="56">
          <cell r="B56" t="str">
            <v>3Q 2016</v>
          </cell>
          <cell r="F56">
            <v>694382.47577623103</v>
          </cell>
          <cell r="G56">
            <v>506410.57071277598</v>
          </cell>
          <cell r="H56">
            <v>96873.957814751106</v>
          </cell>
          <cell r="I56">
            <v>137185.495077823</v>
          </cell>
          <cell r="L56">
            <v>146914.03159839401</v>
          </cell>
          <cell r="M56">
            <v>193030.10337367299</v>
          </cell>
          <cell r="N56">
            <v>28.523946159232398</v>
          </cell>
        </row>
        <row r="57">
          <cell r="B57" t="str">
            <v>4Q 2016</v>
          </cell>
          <cell r="F57">
            <v>693173.54934705805</v>
          </cell>
          <cell r="G57">
            <v>482792.36006493401</v>
          </cell>
          <cell r="H57">
            <v>103611.65551354599</v>
          </cell>
          <cell r="I57">
            <v>134851.77049515001</v>
          </cell>
          <cell r="L57">
            <v>140767.707160944</v>
          </cell>
          <cell r="M57">
            <v>185783.37864128899</v>
          </cell>
          <cell r="N57">
            <v>16933.434753772301</v>
          </cell>
        </row>
        <row r="58">
          <cell r="B58" t="str">
            <v>1Q 2017</v>
          </cell>
          <cell r="F58">
            <v>681444.76611022197</v>
          </cell>
          <cell r="G58">
            <v>536011.26796886302</v>
          </cell>
          <cell r="H58">
            <v>92114.467517266196</v>
          </cell>
          <cell r="I58">
            <v>131486.24599536901</v>
          </cell>
          <cell r="L58">
            <v>134667.57440605701</v>
          </cell>
          <cell r="M58">
            <v>194211.66675130001</v>
          </cell>
          <cell r="N58">
            <v>-18623.123026032299</v>
          </cell>
        </row>
        <row r="59">
          <cell r="B59" t="str">
            <v>2Q 2017</v>
          </cell>
          <cell r="F59">
            <v>778401.67644931702</v>
          </cell>
          <cell r="G59">
            <v>579761.66347400099</v>
          </cell>
          <cell r="H59">
            <v>98369.906124256406</v>
          </cell>
          <cell r="I59">
            <v>147917.72513381101</v>
          </cell>
          <cell r="L59">
            <v>150287.56199874199</v>
          </cell>
          <cell r="M59">
            <v>211208.750688662</v>
          </cell>
          <cell r="N59">
            <v>13273.5704071686</v>
          </cell>
        </row>
        <row r="60">
          <cell r="B60" t="str">
            <v>3Q 2017</v>
          </cell>
          <cell r="F60">
            <v>721120.42685279401</v>
          </cell>
          <cell r="G60">
            <v>530448.74350044702</v>
          </cell>
          <cell r="H60">
            <v>99417.584720550207</v>
          </cell>
          <cell r="I60">
            <v>160592.396909111</v>
          </cell>
          <cell r="L60">
            <v>153867.072575659</v>
          </cell>
          <cell r="M60">
            <v>229079.806703237</v>
          </cell>
          <cell r="N60">
            <v>5874.4358502647401</v>
          </cell>
        </row>
        <row r="61">
          <cell r="B61" t="str">
            <v>4Q 2017</v>
          </cell>
          <cell r="F61">
            <v>724592.92163896305</v>
          </cell>
          <cell r="G61">
            <v>508108.82394146099</v>
          </cell>
          <cell r="H61">
            <v>105392.239708815</v>
          </cell>
          <cell r="I61">
            <v>162113.689778692</v>
          </cell>
          <cell r="L61">
            <v>145441.119314882</v>
          </cell>
          <cell r="M61">
            <v>227978.624025928</v>
          </cell>
          <cell r="N61">
            <v>31515.672921041201</v>
          </cell>
        </row>
        <row r="62">
          <cell r="B62" t="str">
            <v>1Q 2018</v>
          </cell>
          <cell r="F62">
            <v>707324.26805721398</v>
          </cell>
          <cell r="G62">
            <v>552912.87859209103</v>
          </cell>
          <cell r="H62">
            <v>92056.193864697299</v>
          </cell>
          <cell r="I62">
            <v>152300.60421099799</v>
          </cell>
          <cell r="L62">
            <v>144939.93221966899</v>
          </cell>
          <cell r="M62">
            <v>225441.668732683</v>
          </cell>
          <cell r="N62">
            <v>-9443.6720975579701</v>
          </cell>
        </row>
        <row r="63">
          <cell r="B63" t="str">
            <v>2Q 2018</v>
          </cell>
          <cell r="F63">
            <v>747428.29995457502</v>
          </cell>
          <cell r="G63">
            <v>588455.75652951398</v>
          </cell>
          <cell r="H63">
            <v>97624.1805461115</v>
          </cell>
          <cell r="I63">
            <v>151659.16792457001</v>
          </cell>
          <cell r="L63">
            <v>137726.12065017101</v>
          </cell>
          <cell r="M63">
            <v>220135.48182057199</v>
          </cell>
          <cell r="N63">
            <v>-7901.4438752204396</v>
          </cell>
        </row>
        <row r="64">
          <cell r="B64" t="str">
            <v>3Q 2018</v>
          </cell>
          <cell r="F64">
            <v>696101.58352180803</v>
          </cell>
          <cell r="G64">
            <v>513316.292978474</v>
          </cell>
          <cell r="H64">
            <v>96923.533014979606</v>
          </cell>
          <cell r="I64">
            <v>142066.415247483</v>
          </cell>
          <cell r="L64">
            <v>144474.37418546699</v>
          </cell>
          <cell r="M64">
            <v>206728.92891598199</v>
          </cell>
          <cell r="N64">
            <v>6049.8970113867199</v>
          </cell>
        </row>
        <row r="65">
          <cell r="B65" t="str">
            <v>4Q 2018</v>
          </cell>
          <cell r="F65">
            <v>678655.62038445403</v>
          </cell>
          <cell r="G65">
            <v>451265.209050762</v>
          </cell>
          <cell r="H65">
            <v>101213.659434778</v>
          </cell>
          <cell r="I65">
            <v>121488.74616913999</v>
          </cell>
          <cell r="L65">
            <v>160897.22038331701</v>
          </cell>
          <cell r="M65">
            <v>171694.68040516</v>
          </cell>
          <cell r="N65">
            <v>15485.465751616801</v>
          </cell>
        </row>
        <row r="66">
          <cell r="B66" t="str">
            <v>1Q 2019</v>
          </cell>
          <cell r="F66">
            <v>665848.715299709</v>
          </cell>
          <cell r="G66">
            <v>504391.511028332</v>
          </cell>
          <cell r="H66">
            <v>87955.885315884603</v>
          </cell>
          <cell r="I66">
            <v>114187.82600362301</v>
          </cell>
          <cell r="L66">
            <v>145979.486943964</v>
          </cell>
          <cell r="M66">
            <v>168867.28177685299</v>
          </cell>
          <cell r="N66">
            <v>-17798.712215241099</v>
          </cell>
        </row>
        <row r="67">
          <cell r="B67" t="str">
            <v>2Q 2019</v>
          </cell>
          <cell r="F67">
            <v>751784.460777133</v>
          </cell>
          <cell r="G67">
            <v>550677.28540035698</v>
          </cell>
          <cell r="H67">
            <v>93381.864308900695</v>
          </cell>
          <cell r="I67">
            <v>123592.227801703</v>
          </cell>
          <cell r="L67">
            <v>159369.07377883999</v>
          </cell>
          <cell r="M67">
            <v>171113.940062059</v>
          </cell>
          <cell r="N67">
            <v>-4122.0504506095003</v>
          </cell>
        </row>
        <row r="68">
          <cell r="B68" t="str">
            <v>3Q 2019</v>
          </cell>
          <cell r="F68">
            <v>683900.89855257794</v>
          </cell>
          <cell r="G68">
            <v>480415.60689608997</v>
          </cell>
          <cell r="H68">
            <v>88666.349847089994</v>
          </cell>
          <cell r="I68">
            <v>127742.49807995</v>
          </cell>
          <cell r="L68">
            <v>166474.09168042999</v>
          </cell>
          <cell r="M68">
            <v>176396.742917375</v>
          </cell>
          <cell r="N68">
            <v>-2865.4114631469702</v>
          </cell>
        </row>
        <row r="69">
          <cell r="B69" t="str">
            <v>4Q 2019</v>
          </cell>
          <cell r="F69">
            <v>671361.13972242002</v>
          </cell>
          <cell r="G69">
            <v>441436.04980722198</v>
          </cell>
          <cell r="H69">
            <v>92992.645571130794</v>
          </cell>
          <cell r="I69">
            <v>111464.93982382301</v>
          </cell>
          <cell r="L69">
            <v>173554.695405915</v>
          </cell>
          <cell r="M69">
            <v>153557.48180457199</v>
          </cell>
          <cell r="N69">
            <v>6361.6247274381803</v>
          </cell>
        </row>
        <row r="70">
          <cell r="B70" t="str">
            <v>1Q 2020</v>
          </cell>
          <cell r="F70">
            <v>632389.35353461001</v>
          </cell>
          <cell r="G70">
            <v>470887.43428154598</v>
          </cell>
          <cell r="H70">
            <v>87736.345381020903</v>
          </cell>
          <cell r="I70">
            <v>93438.798849567902</v>
          </cell>
          <cell r="L70">
            <v>139323.354807355</v>
          </cell>
          <cell r="M70">
            <v>147946.86528046799</v>
          </cell>
          <cell r="N70">
            <v>-11049.7145044114</v>
          </cell>
        </row>
        <row r="71">
          <cell r="B71" t="str">
            <v>2Q 2020</v>
          </cell>
          <cell r="F71">
            <v>609379.98946480104</v>
          </cell>
          <cell r="G71">
            <v>434291.22191559098</v>
          </cell>
          <cell r="H71">
            <v>87928.544809612999</v>
          </cell>
          <cell r="I71">
            <v>76231.157865457295</v>
          </cell>
          <cell r="L71">
            <v>136593.328367229</v>
          </cell>
          <cell r="M71">
            <v>118831.916074312</v>
          </cell>
          <cell r="N71">
            <v>-6832.3474187771099</v>
          </cell>
        </row>
        <row r="72">
          <cell r="B72" t="str">
            <v>3Q 2020</v>
          </cell>
          <cell r="F72">
            <v>614192.47840422299</v>
          </cell>
          <cell r="G72">
            <v>408971.26297570398</v>
          </cell>
          <cell r="H72">
            <v>86984.633669152099</v>
          </cell>
          <cell r="I72">
            <v>116052.699104759</v>
          </cell>
          <cell r="L72">
            <v>136347.822481101</v>
          </cell>
          <cell r="M72">
            <v>136935.27553956199</v>
          </cell>
          <cell r="N72">
            <v>2771.3357130695599</v>
          </cell>
        </row>
        <row r="73">
          <cell r="B73" t="str">
            <v>4Q 2020</v>
          </cell>
          <cell r="F73">
            <v>642403.32319795003</v>
          </cell>
          <cell r="G73">
            <v>422152.31693503499</v>
          </cell>
          <cell r="H73">
            <v>93008.979212823993</v>
          </cell>
          <cell r="I73">
            <v>128941.85089797</v>
          </cell>
          <cell r="L73">
            <v>120573.806208508</v>
          </cell>
          <cell r="M73">
            <v>150921.00259403701</v>
          </cell>
          <cell r="N73">
            <v>28647.372537650201</v>
          </cell>
        </row>
        <row r="74">
          <cell r="B74" t="str">
            <v>1Q 2021</v>
          </cell>
          <cell r="F74">
            <v>652831.97670632205</v>
          </cell>
          <cell r="G74">
            <v>473418.88663387601</v>
          </cell>
          <cell r="H74">
            <v>88352.495827048202</v>
          </cell>
          <cell r="I74">
            <v>129688.334328836</v>
          </cell>
          <cell r="L74">
            <v>125271.192429644</v>
          </cell>
          <cell r="M74">
            <v>147517.11225907001</v>
          </cell>
          <cell r="N74">
            <v>-16381.820254013201</v>
          </cell>
        </row>
        <row r="75">
          <cell r="B75" t="str">
            <v>2Q 2021</v>
          </cell>
          <cell r="F75">
            <v>723516.62249067496</v>
          </cell>
          <cell r="G75">
            <v>514737.79354092298</v>
          </cell>
          <cell r="H75">
            <v>93809.853002086995</v>
          </cell>
          <cell r="I75">
            <v>136177.69693304499</v>
          </cell>
          <cell r="L75">
            <v>146242.56397652801</v>
          </cell>
          <cell r="M75">
            <v>163057.52331432901</v>
          </cell>
          <cell r="N75">
            <v>-4393.7616475792602</v>
          </cell>
        </row>
        <row r="76">
          <cell r="B76" t="str">
            <v>3Q 2021</v>
          </cell>
          <cell r="F76">
            <v>686756.46782667399</v>
          </cell>
          <cell r="G76">
            <v>449491.733681796</v>
          </cell>
          <cell r="H76">
            <v>95108.617108262799</v>
          </cell>
          <cell r="I76">
            <v>141727.54916135001</v>
          </cell>
          <cell r="L76">
            <v>161505.18821382601</v>
          </cell>
          <cell r="M76">
            <v>164904.019556057</v>
          </cell>
          <cell r="N76">
            <v>3827.3992174963901</v>
          </cell>
        </row>
        <row r="77">
          <cell r="B77" t="str">
            <v>4Q 2021</v>
          </cell>
          <cell r="F77">
            <v>696134.66911211505</v>
          </cell>
          <cell r="G77">
            <v>463015.56785956799</v>
          </cell>
          <cell r="H77">
            <v>103726.72779061001</v>
          </cell>
          <cell r="I77">
            <v>148125.392973624</v>
          </cell>
          <cell r="L77">
            <v>144860.42838246099</v>
          </cell>
          <cell r="M77">
            <v>182089.20202110699</v>
          </cell>
          <cell r="N77">
            <v>18495.754126959</v>
          </cell>
        </row>
        <row r="78">
          <cell r="B78" t="str">
            <v>1Q 2022</v>
          </cell>
          <cell r="F78">
            <v>697625.28466635803</v>
          </cell>
          <cell r="G78">
            <v>516582.48034662602</v>
          </cell>
          <cell r="H78">
            <v>94876.315423049702</v>
          </cell>
          <cell r="I78">
            <v>143683.72144414199</v>
          </cell>
          <cell r="L78">
            <v>135342.64275390099</v>
          </cell>
          <cell r="M78">
            <v>182574.74792954701</v>
          </cell>
          <cell r="N78">
            <v>-10285.1273718145</v>
          </cell>
        </row>
        <row r="79">
          <cell r="B79" t="str">
            <v>2Q 2022</v>
          </cell>
          <cell r="F79">
            <v>782338.62853373506</v>
          </cell>
          <cell r="G79">
            <v>576435.43880925199</v>
          </cell>
          <cell r="H79">
            <v>99651.252523974297</v>
          </cell>
          <cell r="I79">
            <v>160568.550740254</v>
          </cell>
          <cell r="L79">
            <v>157619.70172501801</v>
          </cell>
          <cell r="M79">
            <v>204565.31484498101</v>
          </cell>
          <cell r="N79">
            <v>-7371.0004197824001</v>
          </cell>
        </row>
        <row r="80">
          <cell r="B80" t="str">
            <v>3Q 2022</v>
          </cell>
          <cell r="F80">
            <v>732662.16387550102</v>
          </cell>
          <cell r="G80">
            <v>497399.57905697002</v>
          </cell>
          <cell r="H80">
            <v>96128.788732040106</v>
          </cell>
          <cell r="I80">
            <v>160952.872331844</v>
          </cell>
          <cell r="L80">
            <v>157115.54840991099</v>
          </cell>
          <cell r="M80">
            <v>201300.62896976201</v>
          </cell>
          <cell r="N80">
            <v>22366.0043144993</v>
          </cell>
        </row>
        <row r="81">
          <cell r="B81" t="str">
            <v>4Q 2022</v>
          </cell>
          <cell r="F81">
            <v>712740.45782873803</v>
          </cell>
          <cell r="G81">
            <v>490167.71991389099</v>
          </cell>
          <cell r="H81">
            <v>100882.286003064</v>
          </cell>
          <cell r="I81">
            <v>148604.109930468</v>
          </cell>
          <cell r="L81">
            <v>154135.03142407999</v>
          </cell>
          <cell r="M81">
            <v>184437.07038338101</v>
          </cell>
          <cell r="N81">
            <v>3388.3809406164</v>
          </cell>
        </row>
        <row r="82">
          <cell r="B82" t="str">
            <v>1Q 2023</v>
          </cell>
          <cell r="F82">
            <v>704009.03517700196</v>
          </cell>
          <cell r="G82">
            <v>535974.72663585097</v>
          </cell>
          <cell r="H82">
            <v>97699.372937977896</v>
          </cell>
          <cell r="I82">
            <v>141756.11053703801</v>
          </cell>
          <cell r="L82">
            <v>126446.79800375699</v>
          </cell>
          <cell r="M82">
            <v>189816.868128439</v>
          </cell>
          <cell r="N82">
            <v>-8051.1048091830799</v>
          </cell>
        </row>
        <row r="83">
          <cell r="B83" t="str">
            <v>2Q 2023</v>
          </cell>
          <cell r="F83">
            <v>738128.41122730402</v>
          </cell>
          <cell r="G83">
            <v>588087.031823055</v>
          </cell>
          <cell r="H83">
            <v>104013.850900409</v>
          </cell>
          <cell r="I83">
            <v>157587.976034708</v>
          </cell>
          <cell r="L83">
            <v>136912.27496015001</v>
          </cell>
          <cell r="M83">
            <v>212421.66811133301</v>
          </cell>
          <cell r="N83">
            <v>-36051.054379684603</v>
          </cell>
        </row>
        <row r="84">
          <cell r="B84" t="str">
            <v>3Q 2023</v>
          </cell>
          <cell r="F84">
            <v>728542.25584748702</v>
          </cell>
          <cell r="G84">
            <v>496373.766653636</v>
          </cell>
          <cell r="H84">
            <v>99537.229054301701</v>
          </cell>
          <cell r="I84">
            <v>162177.08982223799</v>
          </cell>
          <cell r="L84">
            <v>143916.189151725</v>
          </cell>
          <cell r="M84">
            <v>204973.938040209</v>
          </cell>
          <cell r="N84">
            <v>31511.919205794798</v>
          </cell>
        </row>
        <row r="85">
          <cell r="B85" t="str">
            <v>4Q 2023</v>
          </cell>
          <cell r="F85">
            <v>700543.19869756</v>
          </cell>
          <cell r="G85">
            <v>480687.411150461</v>
          </cell>
          <cell r="H85">
            <v>99272.705313742699</v>
          </cell>
          <cell r="I85">
            <v>137053.08502502801</v>
          </cell>
          <cell r="L85">
            <v>136117.33369907399</v>
          </cell>
          <cell r="M85">
            <v>182767.724359632</v>
          </cell>
          <cell r="N85">
            <v>30180.387868886199</v>
          </cell>
        </row>
        <row r="86">
          <cell r="B86" t="str">
            <v>1Q 2024</v>
          </cell>
          <cell r="F86">
            <v>668219.63082705403</v>
          </cell>
          <cell r="G86">
            <v>508286.74859901</v>
          </cell>
          <cell r="H86">
            <v>93290.784364136503</v>
          </cell>
          <cell r="I86">
            <v>107772.242463998</v>
          </cell>
          <cell r="K86">
            <v>4554.4696205369</v>
          </cell>
          <cell r="L86">
            <v>147382.288051746</v>
          </cell>
          <cell r="M86">
            <v>163688.13110543301</v>
          </cell>
          <cell r="N86">
            <v>-24824.301546404298</v>
          </cell>
        </row>
        <row r="87">
          <cell r="B87" t="str">
            <v>2Q 2024</v>
          </cell>
          <cell r="F87">
            <v>729909.36871982296</v>
          </cell>
          <cell r="G87">
            <v>538393.96480034001</v>
          </cell>
          <cell r="H87">
            <v>98261.4882958323</v>
          </cell>
          <cell r="I87">
            <v>111250.67606318</v>
          </cell>
          <cell r="K87">
            <v>-8671.4112121533799</v>
          </cell>
          <cell r="L87">
            <v>164179.76261963299</v>
          </cell>
          <cell r="M87">
            <v>164019.79797051899</v>
          </cell>
          <cell r="N87">
            <v>-18156.725088642728</v>
          </cell>
        </row>
        <row r="88">
          <cell r="B88" t="str">
            <v>3Q 2024</v>
          </cell>
          <cell r="F88">
            <v>714299.21795624006</v>
          </cell>
          <cell r="G88">
            <v>490119.30683403602</v>
          </cell>
          <cell r="H88">
            <v>95614.376268765394</v>
          </cell>
          <cell r="I88">
            <v>134999.67663925901</v>
          </cell>
          <cell r="K88">
            <v>-14763.567140298899</v>
          </cell>
          <cell r="L88">
            <v>172087.51587409701</v>
          </cell>
          <cell r="M88">
            <v>180382.92674418501</v>
          </cell>
          <cell r="N88">
            <v>1861.2690842684024</v>
          </cell>
        </row>
        <row r="89">
          <cell r="B89" t="str">
            <v>4Q 2024</v>
          </cell>
          <cell r="F89">
            <v>719523.32073093497</v>
          </cell>
          <cell r="G89">
            <v>504095.16709731001</v>
          </cell>
          <cell r="H89">
            <v>101219.34480461699</v>
          </cell>
          <cell r="I89">
            <v>139618.47521814</v>
          </cell>
          <cell r="K89">
            <v>-25287.8550254238</v>
          </cell>
          <cell r="L89">
            <v>172594.55583318399</v>
          </cell>
          <cell r="M89">
            <v>199564.73060380999</v>
          </cell>
          <cell r="N89">
            <v>1560.5083814944992</v>
          </cell>
        </row>
        <row r="90">
          <cell r="B90" t="str">
            <v>1Q 2025</v>
          </cell>
          <cell r="F90">
            <v>709095.124696624</v>
          </cell>
          <cell r="G90">
            <v>566590.75837218505</v>
          </cell>
          <cell r="H90">
            <v>91687.792788148494</v>
          </cell>
          <cell r="I90">
            <v>141620.552335413</v>
          </cell>
          <cell r="K90">
            <v>1704.75511923351</v>
          </cell>
          <cell r="L90">
            <v>156881.31367975299</v>
          </cell>
          <cell r="M90">
            <v>230112.37664818499</v>
          </cell>
          <cell r="N90">
            <v>-17572.915830691392</v>
          </cell>
        </row>
        <row r="91">
          <cell r="B91" t="str">
            <v>2Q 2025</v>
          </cell>
          <cell r="F91">
            <v>777482.55560690002</v>
          </cell>
          <cell r="G91">
            <v>601163.867188217</v>
          </cell>
          <cell r="H91">
            <v>99731.984045315097</v>
          </cell>
          <cell r="I91">
            <v>147249.227133287</v>
          </cell>
          <cell r="K91">
            <v>-11455.468850273601</v>
          </cell>
          <cell r="L91">
            <v>169976.523500535</v>
          </cell>
          <cell r="M91">
            <v>228175.02492846499</v>
          </cell>
          <cell r="N91">
            <v>-12464.021331988111</v>
          </cell>
        </row>
        <row r="92">
          <cell r="B92" t="str">
            <v>3Q 2025</v>
          </cell>
          <cell r="F92">
            <v>737135.06767770904</v>
          </cell>
          <cell r="G92">
            <v>522534.77183254698</v>
          </cell>
          <cell r="H92">
            <v>96837.2242064538</v>
          </cell>
          <cell r="I92">
            <v>148829.50727912199</v>
          </cell>
          <cell r="K92">
            <v>-14355.753640237401</v>
          </cell>
          <cell r="L92">
            <v>189756.07346573099</v>
          </cell>
          <cell r="M92">
            <v>225859.21286456901</v>
          </cell>
          <cell r="N92">
            <v>5036.7037584246009</v>
          </cell>
        </row>
        <row r="93">
          <cell r="B93" t="str">
            <v>4Q 2025</v>
          </cell>
          <cell r="F93">
            <v>735202.10550800199</v>
          </cell>
          <cell r="G93">
            <v>525445.78337270697</v>
          </cell>
          <cell r="H93">
            <v>101592.274613111</v>
          </cell>
          <cell r="I93">
            <v>135974.00388717599</v>
          </cell>
          <cell r="K93">
            <v>-16770.730539177101</v>
          </cell>
          <cell r="L93">
            <v>192971.24123251901</v>
          </cell>
          <cell r="M93">
            <v>221714.27410342399</v>
          </cell>
          <cell r="N93">
            <v>933.07650591190031</v>
          </cell>
        </row>
        <row r="94">
          <cell r="B94" t="str">
            <v>1Q 2026</v>
          </cell>
          <cell r="F94">
            <v>725600.24456825305</v>
          </cell>
          <cell r="G94">
            <v>582154.79555513302</v>
          </cell>
          <cell r="H94">
            <v>90857.061392832198</v>
          </cell>
          <cell r="I94">
            <v>125135.44151722601</v>
          </cell>
          <cell r="K94">
            <v>131.66151435603399</v>
          </cell>
          <cell r="L94">
            <v>172306.87786718699</v>
          </cell>
          <cell r="M94">
            <v>212956.783306192</v>
          </cell>
          <cell r="N94">
            <v>-31897.148457934065</v>
          </cell>
        </row>
      </sheetData>
      <sheetData sheetId="2"/>
      <sheetData sheetId="3"/>
      <sheetData sheetId="4"/>
      <sheetData sheetId="5">
        <row r="6">
          <cell r="C6">
            <v>485115.19520634523</v>
          </cell>
          <cell r="D6">
            <v>312081.88579139975</v>
          </cell>
          <cell r="E6">
            <v>53918.788645036751</v>
          </cell>
          <cell r="F6">
            <v>77103.177113089332</v>
          </cell>
          <cell r="G6">
            <v>8040.7022403347428</v>
          </cell>
          <cell r="H6">
            <v>115688.42544708276</v>
          </cell>
          <cell r="I6">
            <v>81717.784030598312</v>
          </cell>
        </row>
        <row r="7">
          <cell r="B7">
            <v>2005</v>
          </cell>
          <cell r="C7">
            <v>528055.94250341423</v>
          </cell>
          <cell r="D7">
            <v>335152.78383964248</v>
          </cell>
          <cell r="E7">
            <v>59232.719843379775</v>
          </cell>
          <cell r="F7">
            <v>89307.355134125479</v>
          </cell>
          <cell r="G7">
            <v>8434.6949911962074</v>
          </cell>
          <cell r="H7">
            <v>130596.99662180175</v>
          </cell>
          <cell r="I7">
            <v>94668.607926731129</v>
          </cell>
          <cell r="J7">
            <v>8.8516599194144119E-2</v>
          </cell>
        </row>
        <row r="8">
          <cell r="B8">
            <v>2006</v>
          </cell>
          <cell r="C8">
            <v>570549.40422073146</v>
          </cell>
          <cell r="D8">
            <v>371872.908459906</v>
          </cell>
          <cell r="E8">
            <v>61437.671453747156</v>
          </cell>
          <cell r="F8">
            <v>102232.6442669157</v>
          </cell>
          <cell r="G8">
            <v>2220.8705905496217</v>
          </cell>
          <cell r="H8">
            <v>137859.76099727524</v>
          </cell>
          <cell r="I8">
            <v>105074.45154766216</v>
          </cell>
          <cell r="J8">
            <v>8.0471515036576902E-2</v>
          </cell>
        </row>
        <row r="9">
          <cell r="B9">
            <v>2007</v>
          </cell>
          <cell r="C9">
            <v>621942.50264609081</v>
          </cell>
          <cell r="D9">
            <v>406601.53775424248</v>
          </cell>
          <cell r="E9">
            <v>66248.105090261379</v>
          </cell>
          <cell r="F9">
            <v>123142.49019191449</v>
          </cell>
          <cell r="G9">
            <v>2546.4871853493578</v>
          </cell>
          <cell r="H9">
            <v>149115.25487729852</v>
          </cell>
          <cell r="I9">
            <v>125711.37245297525</v>
          </cell>
          <cell r="J9">
            <v>9.0076508791649967E-2</v>
          </cell>
        </row>
        <row r="10">
          <cell r="B10">
            <v>2008</v>
          </cell>
          <cell r="C10">
            <v>647176.15974121145</v>
          </cell>
          <cell r="D10">
            <v>436058.39183258079</v>
          </cell>
          <cell r="E10">
            <v>69570.49954272373</v>
          </cell>
          <cell r="F10">
            <v>133850.26495146402</v>
          </cell>
          <cell r="G10">
            <v>239.06664683220242</v>
          </cell>
          <cell r="H10">
            <v>150218.52064093301</v>
          </cell>
          <cell r="I10">
            <v>142760.58387332174</v>
          </cell>
          <cell r="J10">
            <v>4.0572331023788433E-2</v>
          </cell>
        </row>
        <row r="11">
          <cell r="B11">
            <v>2009</v>
          </cell>
          <cell r="C11">
            <v>608872.87641287444</v>
          </cell>
          <cell r="D11">
            <v>412521.4773501642</v>
          </cell>
          <cell r="E11">
            <v>73490.278327805994</v>
          </cell>
          <cell r="F11">
            <v>103636.44203729891</v>
          </cell>
          <cell r="G11">
            <v>-483.58938495485745</v>
          </cell>
          <cell r="H11">
            <v>136177.43559633225</v>
          </cell>
          <cell r="I11">
            <v>116469.167513772</v>
          </cell>
          <cell r="J11">
            <v>-5.9185250803511447E-2</v>
          </cell>
        </row>
        <row r="12">
          <cell r="B12">
            <v>2010</v>
          </cell>
          <cell r="C12">
            <v>670523.67944179825</v>
          </cell>
          <cell r="D12">
            <v>458675.16610661347</v>
          </cell>
          <cell r="E12">
            <v>77497.097370737349</v>
          </cell>
          <cell r="F12">
            <v>130845.75846173975</v>
          </cell>
          <cell r="G12">
            <v>5875.2205924045747</v>
          </cell>
          <cell r="H12">
            <v>155101.8961967745</v>
          </cell>
          <cell r="I12">
            <v>157471.45928647128</v>
          </cell>
          <cell r="J12">
            <v>0.10125398160636512</v>
          </cell>
        </row>
        <row r="13">
          <cell r="B13">
            <v>2011</v>
          </cell>
          <cell r="C13">
            <v>710781.59722060151</v>
          </cell>
          <cell r="D13">
            <v>501647.15340959479</v>
          </cell>
          <cell r="E13">
            <v>81034.769760898227</v>
          </cell>
          <cell r="F13">
            <v>153584.08509830074</v>
          </cell>
          <cell r="G13">
            <v>5139.0456288412124</v>
          </cell>
          <cell r="H13">
            <v>161536.78661823925</v>
          </cell>
          <cell r="I13">
            <v>192160.24329527275</v>
          </cell>
          <cell r="J13">
            <v>6.0039516892703038E-2</v>
          </cell>
        </row>
        <row r="14">
          <cell r="B14">
            <v>2012</v>
          </cell>
          <cell r="C14">
            <v>703485.98945894872</v>
          </cell>
          <cell r="D14">
            <v>507216.85043167381</v>
          </cell>
          <cell r="E14">
            <v>83473.345880257097</v>
          </cell>
          <cell r="F14">
            <v>142717.70209656024</v>
          </cell>
          <cell r="G14">
            <v>-1747.8602321194944</v>
          </cell>
          <cell r="H14">
            <v>154900.35250261749</v>
          </cell>
          <cell r="I14">
            <v>183074.40122004075</v>
          </cell>
          <cell r="J14">
            <v>-1.0264204630762941E-2</v>
          </cell>
        </row>
        <row r="15">
          <cell r="B15">
            <v>2013</v>
          </cell>
          <cell r="C15">
            <v>720407.10530281498</v>
          </cell>
          <cell r="D15">
            <v>525674.53228846879</v>
          </cell>
          <cell r="E15">
            <v>87916.287688387849</v>
          </cell>
          <cell r="F15">
            <v>146056.56798448626</v>
          </cell>
          <cell r="G15">
            <v>1495.1917851506641</v>
          </cell>
          <cell r="H15">
            <v>149447.48783681125</v>
          </cell>
          <cell r="I15">
            <v>190182.9622804895</v>
          </cell>
          <cell r="J15">
            <v>2.405323787170266E-2</v>
          </cell>
        </row>
        <row r="16">
          <cell r="B16">
            <v>2014</v>
          </cell>
          <cell r="C16">
            <v>702306.04596336524</v>
          </cell>
          <cell r="D16">
            <v>502764.43641696451</v>
          </cell>
          <cell r="E16">
            <v>90505.44910483688</v>
          </cell>
          <cell r="F16">
            <v>136189.64720435097</v>
          </cell>
          <cell r="G16">
            <v>2179.1837247841022</v>
          </cell>
          <cell r="H16">
            <v>139017.29737250577</v>
          </cell>
          <cell r="I16">
            <v>168349.96786007725</v>
          </cell>
          <cell r="J16">
            <v>-2.5126153262801543E-2</v>
          </cell>
        </row>
        <row r="17">
          <cell r="B17">
            <v>2015</v>
          </cell>
          <cell r="C17">
            <v>721487.14663803973</v>
          </cell>
          <cell r="D17">
            <v>521146.49054675503</v>
          </cell>
          <cell r="E17">
            <v>96791.963227858549</v>
          </cell>
          <cell r="F17">
            <v>140905.22022888626</v>
          </cell>
          <cell r="G17">
            <v>3768.6756678633001</v>
          </cell>
          <cell r="H17">
            <v>135156.26860948728</v>
          </cell>
          <cell r="I17">
            <v>176281.47164281001</v>
          </cell>
          <cell r="J17">
            <v>2.7311598390646674E-2</v>
          </cell>
        </row>
        <row r="18">
          <cell r="B18">
            <v>2016</v>
          </cell>
          <cell r="C18">
            <v>706477.84859766194</v>
          </cell>
          <cell r="D18">
            <v>517080.13878779899</v>
          </cell>
          <cell r="E18">
            <v>96284.409671823669</v>
          </cell>
          <cell r="F18">
            <v>132763.05548476474</v>
          </cell>
          <cell r="G18">
            <v>4555.6304954672587</v>
          </cell>
          <cell r="H18">
            <v>142343.00604943527</v>
          </cell>
          <cell r="I18">
            <v>186548.3918916285</v>
          </cell>
          <cell r="J18">
            <v>-2.0803278492648958E-2</v>
          </cell>
        </row>
        <row r="19">
          <cell r="B19">
            <v>2017</v>
          </cell>
          <cell r="C19">
            <v>726389.9477628239</v>
          </cell>
          <cell r="D19">
            <v>538582.62472119299</v>
          </cell>
          <cell r="E19">
            <v>98823.549517721956</v>
          </cell>
          <cell r="F19">
            <v>150527.51445424577</v>
          </cell>
          <cell r="G19">
            <v>8010.1390381105603</v>
          </cell>
          <cell r="H19">
            <v>146065.83207383499</v>
          </cell>
          <cell r="I19">
            <v>215619.71204228175</v>
          </cell>
          <cell r="J19">
            <v>2.8185029728372779E-2</v>
          </cell>
        </row>
        <row r="20">
          <cell r="B20">
            <v>2018</v>
          </cell>
          <cell r="C20">
            <v>707377.44297951274</v>
          </cell>
          <cell r="D20">
            <v>526487.53428771021</v>
          </cell>
          <cell r="E20">
            <v>96954.391715141595</v>
          </cell>
          <cell r="F20">
            <v>141878.73338804775</v>
          </cell>
          <cell r="G20">
            <v>1047.5616975562775</v>
          </cell>
          <cell r="H20">
            <v>147009.41185965599</v>
          </cell>
          <cell r="I20">
            <v>206000.18996859924</v>
          </cell>
          <cell r="J20">
            <v>-2.617396460656829E-2</v>
          </cell>
        </row>
        <row r="21">
          <cell r="B21">
            <v>2019</v>
          </cell>
          <cell r="C21">
            <v>693223.80358795996</v>
          </cell>
          <cell r="D21">
            <v>494230.1132830003</v>
          </cell>
          <cell r="E21">
            <v>90749.186260751521</v>
          </cell>
          <cell r="F21">
            <v>119246.87292727474</v>
          </cell>
          <cell r="G21">
            <v>-4606.1373503898467</v>
          </cell>
          <cell r="H21">
            <v>161344.33695228724</v>
          </cell>
          <cell r="I21">
            <v>167483.86164021475</v>
          </cell>
          <cell r="J21">
            <v>-2.0008610017216322E-2</v>
          </cell>
        </row>
        <row r="22">
          <cell r="B22">
            <v>2020</v>
          </cell>
          <cell r="C22">
            <v>624591.28615039599</v>
          </cell>
          <cell r="D22">
            <v>434075.55902696896</v>
          </cell>
          <cell r="E22">
            <v>88914.625768152502</v>
          </cell>
          <cell r="F22">
            <v>103666.12667943854</v>
          </cell>
          <cell r="G22">
            <v>3384.1615818828127</v>
          </cell>
          <cell r="H22">
            <v>133209.57796604824</v>
          </cell>
          <cell r="I22">
            <v>138658.76487209473</v>
          </cell>
          <cell r="J22">
            <v>-9.9004848192370987E-2</v>
          </cell>
        </row>
        <row r="23">
          <cell r="B23">
            <v>2021</v>
          </cell>
          <cell r="C23">
            <v>689809.93403394648</v>
          </cell>
          <cell r="D23">
            <v>475165.99542904069</v>
          </cell>
          <cell r="E23">
            <v>95249.42343200199</v>
          </cell>
          <cell r="F23">
            <v>138929.74334921374</v>
          </cell>
          <cell r="G23">
            <v>386.89286071573224</v>
          </cell>
          <cell r="H23">
            <v>144469.84325061474</v>
          </cell>
          <cell r="I23">
            <v>164391.96428764076</v>
          </cell>
          <cell r="J23">
            <v>0.10441812002456663</v>
          </cell>
        </row>
        <row r="24">
          <cell r="B24">
            <v>2022</v>
          </cell>
          <cell r="C24">
            <v>731341.63372608298</v>
          </cell>
          <cell r="D24">
            <v>520146.30453168479</v>
          </cell>
          <cell r="E24">
            <v>97884.66067053203</v>
          </cell>
          <cell r="F24">
            <v>153452.313611677</v>
          </cell>
          <cell r="G24">
            <v>2024.5643658796998</v>
          </cell>
          <cell r="H24">
            <v>151053.23107822749</v>
          </cell>
          <cell r="I24">
            <v>193219.44053191776</v>
          </cell>
          <cell r="J24">
            <v>6.0207453739123284E-2</v>
          </cell>
        </row>
        <row r="25">
          <cell r="B25">
            <v>2023</v>
          </cell>
          <cell r="C25">
            <v>717805.72523733822</v>
          </cell>
          <cell r="D25">
            <v>525280.73406575073</v>
          </cell>
          <cell r="E25">
            <v>100130.78955160781</v>
          </cell>
          <cell r="F25">
            <v>149643.56535475299</v>
          </cell>
          <cell r="G25">
            <v>4397.5369714533281</v>
          </cell>
          <cell r="H25">
            <v>135848.14895367651</v>
          </cell>
          <cell r="I25">
            <v>197495.04965990325</v>
          </cell>
          <cell r="J25">
            <v>-1.8508324789033526E-2</v>
          </cell>
        </row>
        <row r="26">
          <cell r="B26">
            <v>2024</v>
          </cell>
          <cell r="C26">
            <v>707987.88455851306</v>
          </cell>
          <cell r="D26">
            <v>510223.79683267401</v>
          </cell>
          <cell r="E26">
            <v>97096.498433337809</v>
          </cell>
          <cell r="F26">
            <v>123410.26759614424</v>
          </cell>
          <cell r="G26">
            <v>-9889.8122923210321</v>
          </cell>
          <cell r="H26">
            <v>164061.03059466498</v>
          </cell>
          <cell r="I26">
            <v>176913.89660598675</v>
          </cell>
          <cell r="J26">
            <v>-1.3677573657661979E-2</v>
          </cell>
        </row>
        <row r="27">
          <cell r="B27">
            <v>2025</v>
          </cell>
          <cell r="D27">
            <v>553933.79519141396</v>
          </cell>
          <cell r="E27">
            <v>97462.318913257084</v>
          </cell>
          <cell r="F27">
            <v>143418.32265874947</v>
          </cell>
          <cell r="G27">
            <v>-6016.7892245857511</v>
          </cell>
          <cell r="H27">
            <v>177396.28796963449</v>
          </cell>
          <cell r="I27">
            <v>226465.22213616077</v>
          </cell>
          <cell r="J27">
            <v>4.4832446297564221E-2</v>
          </cell>
        </row>
      </sheetData>
      <sheetData sheetId="6">
        <row r="7">
          <cell r="D7" t="str">
            <v>Private
consumption</v>
          </cell>
          <cell r="E7" t="str">
            <v>Public
consumption</v>
          </cell>
          <cell r="F7" t="str">
            <v>GFCF</v>
          </cell>
          <cell r="G7" t="str">
            <v>Inventories +
discrepancy</v>
          </cell>
          <cell r="H7" t="str">
            <v>Exports</v>
          </cell>
          <cell r="I7" t="str">
            <v>Imports</v>
          </cell>
          <cell r="N7" t="str">
            <v>Real GDP</v>
          </cell>
          <cell r="O7" t="str">
            <v>Domestic demand</v>
          </cell>
          <cell r="P7" t="str">
            <v>Inventories + discrepancy</v>
          </cell>
          <cell r="Q7" t="str">
            <v>External sector</v>
          </cell>
        </row>
        <row r="80">
          <cell r="B80" t="str">
            <v>1Q 2023</v>
          </cell>
          <cell r="D80">
            <v>2.7797510662904603</v>
          </cell>
          <cell r="E80">
            <v>0.4046667425877965</v>
          </cell>
          <cell r="F80">
            <v>-0.27631035592780584</v>
          </cell>
          <cell r="G80">
            <v>0.32023245311411702</v>
          </cell>
          <cell r="H80">
            <v>-1.2751608844565414</v>
          </cell>
          <cell r="I80">
            <v>-1.0381103377518153</v>
          </cell>
          <cell r="N80">
            <v>0.91506868385621098</v>
          </cell>
          <cell r="O80">
            <v>2.9081074529504507</v>
          </cell>
          <cell r="P80">
            <v>0.32023245311411702</v>
          </cell>
          <cell r="Q80">
            <v>-2.3132712222083569</v>
          </cell>
        </row>
        <row r="81">
          <cell r="B81" t="str">
            <v>2Q 2023</v>
          </cell>
          <cell r="D81">
            <v>1.4893286089733946</v>
          </cell>
          <cell r="E81">
            <v>0.55763555796945863</v>
          </cell>
          <cell r="F81">
            <v>-0.3809826840753357</v>
          </cell>
          <cell r="G81">
            <v>-3.6659386247684811</v>
          </cell>
          <cell r="H81">
            <v>-2.6468623700299716</v>
          </cell>
          <cell r="I81">
            <v>-1.0042139017315863</v>
          </cell>
          <cell r="N81">
            <v>-5.6510334136625211</v>
          </cell>
          <cell r="O81">
            <v>1.6659814828675177</v>
          </cell>
          <cell r="P81">
            <v>-3.6659386247684811</v>
          </cell>
          <cell r="Q81">
            <v>-3.6510762717615579</v>
          </cell>
        </row>
        <row r="82">
          <cell r="B82" t="str">
            <v>3Q 2023</v>
          </cell>
          <cell r="D82">
            <v>-0.14001165256137435</v>
          </cell>
          <cell r="E82">
            <v>0.46521309415409912</v>
          </cell>
          <cell r="F82">
            <v>0.16709167618515319</v>
          </cell>
          <cell r="G82">
            <v>1.2483127070350033</v>
          </cell>
          <cell r="H82">
            <v>-1.801561471165162</v>
          </cell>
          <cell r="I82">
            <v>-0.50136464684031212</v>
          </cell>
          <cell r="N82">
            <v>-0.5623202931925928</v>
          </cell>
          <cell r="O82">
            <v>0.49229311777787799</v>
          </cell>
          <cell r="P82">
            <v>1.2483127070350033</v>
          </cell>
          <cell r="Q82">
            <v>-2.3029261180054741</v>
          </cell>
        </row>
        <row r="83">
          <cell r="B83" t="str">
            <v>4Q 2023</v>
          </cell>
          <cell r="D83">
            <v>-1.3301207556408954</v>
          </cell>
          <cell r="E83">
            <v>-0.22582984754712238</v>
          </cell>
          <cell r="F83">
            <v>-1.6206495335803637</v>
          </cell>
          <cell r="G83">
            <v>3.7590130648522213</v>
          </cell>
          <cell r="H83">
            <v>-2.5279465374947763</v>
          </cell>
          <cell r="I83">
            <v>0.234215134753881</v>
          </cell>
          <cell r="N83">
            <v>-1.7113184746570549</v>
          </cell>
          <cell r="O83">
            <v>-3.1766001367683812</v>
          </cell>
          <cell r="P83">
            <v>3.7590130648522213</v>
          </cell>
          <cell r="Q83">
            <v>-2.293731402740895</v>
          </cell>
        </row>
        <row r="84">
          <cell r="B84" t="str">
            <v>1Q 2024</v>
          </cell>
          <cell r="D84">
            <v>-3.9329009506077801</v>
          </cell>
          <cell r="E84">
            <v>-0.62621193103480344</v>
          </cell>
          <cell r="F84">
            <v>-4.827192035184007</v>
          </cell>
          <cell r="G84">
            <v>-2.3825257772443358</v>
          </cell>
          <cell r="H84">
            <v>2.9737530346787957</v>
          </cell>
          <cell r="I84">
            <v>3.7114206945421806</v>
          </cell>
          <cell r="N84">
            <v>-5.0836569648499506</v>
          </cell>
          <cell r="O84">
            <v>-9.3863049168265906</v>
          </cell>
          <cell r="P84">
            <v>-2.3825257772443358</v>
          </cell>
          <cell r="Q84">
            <v>6.6851737292209759</v>
          </cell>
        </row>
        <row r="85">
          <cell r="B85" t="str">
            <v>2Q 2024</v>
          </cell>
          <cell r="D85">
            <v>-6.7323065020745005</v>
          </cell>
          <cell r="E85">
            <v>-0.77931732705046652</v>
          </cell>
          <cell r="F85">
            <v>-6.2776746249994426</v>
          </cell>
          <cell r="G85">
            <v>2.4242840431095911</v>
          </cell>
          <cell r="H85">
            <v>3.6941387494006181</v>
          </cell>
          <cell r="I85">
            <v>6.5573780123617045</v>
          </cell>
          <cell r="N85">
            <v>-1.1134976492524959</v>
          </cell>
          <cell r="O85">
            <v>-13.78929845412441</v>
          </cell>
          <cell r="P85">
            <v>2.4242840431095911</v>
          </cell>
          <cell r="Q85">
            <v>10.251516761762323</v>
          </cell>
        </row>
        <row r="86">
          <cell r="B86" t="str">
            <v>3Q 2024</v>
          </cell>
          <cell r="D86">
            <v>-0.85848964413524609</v>
          </cell>
          <cell r="E86">
            <v>-0.53845233465188547</v>
          </cell>
          <cell r="F86">
            <v>-3.7303825502014951</v>
          </cell>
          <cell r="G86">
            <v>-4.0698600367434921</v>
          </cell>
          <cell r="H86">
            <v>3.8668075181996562</v>
          </cell>
          <cell r="I86">
            <v>3.375371997801027</v>
          </cell>
          <cell r="N86">
            <v>-1.9550050497314357</v>
          </cell>
          <cell r="O86">
            <v>-5.1273245289886269</v>
          </cell>
          <cell r="P86">
            <v>-4.0698600367434921</v>
          </cell>
          <cell r="Q86">
            <v>7.2421795160006832</v>
          </cell>
        </row>
        <row r="87">
          <cell r="B87" t="str">
            <v>4Q 2024</v>
          </cell>
          <cell r="D87">
            <v>3.3413722366255749</v>
          </cell>
          <cell r="E87">
            <v>0.27787572479376854</v>
          </cell>
          <cell r="F87">
            <v>0.36620014267236167</v>
          </cell>
          <cell r="G87">
            <v>-4.0853839621312966</v>
          </cell>
          <cell r="H87">
            <v>5.2069911180249742</v>
          </cell>
          <cell r="I87">
            <v>-2.3977117007783022</v>
          </cell>
          <cell r="N87">
            <v>2.7093435592070803</v>
          </cell>
          <cell r="O87">
            <v>3.9854481040917049</v>
          </cell>
          <cell r="P87">
            <v>-4.0853839621312966</v>
          </cell>
          <cell r="Q87">
            <v>2.809279417246672</v>
          </cell>
        </row>
        <row r="88">
          <cell r="B88" t="str">
            <v>1Q 2025</v>
          </cell>
          <cell r="D88">
            <v>8.7252764036597235</v>
          </cell>
          <cell r="E88">
            <v>-0.23988992571259699</v>
          </cell>
          <cell r="F88">
            <v>5.0654467947194268</v>
          </cell>
          <cell r="G88">
            <v>1.0851799889114124</v>
          </cell>
          <cell r="H88">
            <v>1.4215424375141543</v>
          </cell>
          <cell r="I88">
            <v>-9.9404810152821792</v>
          </cell>
          <cell r="N88">
            <v>6.1170746838099426</v>
          </cell>
          <cell r="O88">
            <v>13.550833272666555</v>
          </cell>
          <cell r="P88">
            <v>1.0851799889114124</v>
          </cell>
          <cell r="Q88">
            <v>-8.5189385777680258</v>
          </cell>
        </row>
        <row r="89">
          <cell r="B89" t="str">
            <v>2Q 2025</v>
          </cell>
          <cell r="D89">
            <v>8.5996844372566663</v>
          </cell>
          <cell r="E89">
            <v>0.20146278599792164</v>
          </cell>
          <cell r="F89">
            <v>4.9319206757469516</v>
          </cell>
          <cell r="G89">
            <v>0.7799192612966408</v>
          </cell>
          <cell r="H89">
            <v>0.7941754318168095</v>
          </cell>
          <cell r="I89">
            <v>-8.7894784897016578</v>
          </cell>
          <cell r="N89">
            <v>6.5176841024133321</v>
          </cell>
          <cell r="O89">
            <v>13.73306789900154</v>
          </cell>
          <cell r="P89">
            <v>0.7799192612966408</v>
          </cell>
          <cell r="Q89">
            <v>-7.9953030578848487</v>
          </cell>
        </row>
        <row r="90">
          <cell r="B90" t="str">
            <v>3Q 2025</v>
          </cell>
          <cell r="D90">
            <v>4.5380793067726435</v>
          </cell>
          <cell r="E90">
            <v>0.17119547480217473</v>
          </cell>
          <cell r="F90">
            <v>1.9361396865914298</v>
          </cell>
          <cell r="G90">
            <v>0.44455245005612404</v>
          </cell>
          <cell r="H90">
            <v>2.473551299998261</v>
          </cell>
          <cell r="I90">
            <v>-6.366559696159432</v>
          </cell>
          <cell r="N90">
            <v>3.1969585220612005</v>
          </cell>
          <cell r="O90">
            <v>6.6454144681662477</v>
          </cell>
          <cell r="P90">
            <v>0.44455245005612404</v>
          </cell>
          <cell r="Q90">
            <v>-3.893008396161171</v>
          </cell>
        </row>
        <row r="91">
          <cell r="B91" t="str">
            <v>4Q 2025</v>
          </cell>
          <cell r="D91">
            <v>2.9673279044948422</v>
          </cell>
          <cell r="E91">
            <v>5.1830121102282647E-2</v>
          </cell>
          <cell r="F91">
            <v>-0.50651191225626069</v>
          </cell>
          <cell r="G91">
            <v>-8.720104790282765E-2</v>
          </cell>
          <cell r="H91">
            <v>2.8319701130236004</v>
          </cell>
          <cell r="I91">
            <v>-3.0783635306098431</v>
          </cell>
          <cell r="N91">
            <v>2.1790516478517934</v>
          </cell>
          <cell r="O91">
            <v>2.512646113340864</v>
          </cell>
          <cell r="P91">
            <v>-8.720104790282765E-2</v>
          </cell>
          <cell r="Q91">
            <v>-0.24639341758624278</v>
          </cell>
        </row>
        <row r="92">
          <cell r="B92" t="str">
            <v>1Q 2026</v>
          </cell>
          <cell r="D92">
            <v>2.1949152717143301</v>
          </cell>
          <cell r="E92">
            <v>-0.11715373105571866</v>
          </cell>
          <cell r="F92">
            <v>-2.3248094993235084</v>
          </cell>
          <cell r="G92">
            <v>-2.0200720789571198</v>
          </cell>
          <cell r="H92">
            <v>2.1753871448536062</v>
          </cell>
          <cell r="I92">
            <v>2.4193641649042168</v>
          </cell>
          <cell r="N92">
            <v>2.3276312721358066</v>
          </cell>
          <cell r="O92">
            <v>-0.24704795866489704</v>
          </cell>
          <cell r="P92">
            <v>-2.0200720789571198</v>
          </cell>
          <cell r="Q92">
            <v>4.5947513097578234</v>
          </cell>
        </row>
        <row r="98">
          <cell r="D98" t="str">
            <v>Private
consumption</v>
          </cell>
          <cell r="E98" t="str">
            <v>Public
consumption</v>
          </cell>
          <cell r="F98" t="str">
            <v>GFCF</v>
          </cell>
          <cell r="G98" t="str">
            <v>Inventories +
discrepancy</v>
          </cell>
          <cell r="H98" t="str">
            <v>Exports</v>
          </cell>
          <cell r="I98" t="str">
            <v>Imports</v>
          </cell>
        </row>
        <row r="99">
          <cell r="B99">
            <v>2005</v>
          </cell>
          <cell r="D99">
            <v>4.7557566277488901</v>
          </cell>
          <cell r="E99">
            <v>1.0953957432899473</v>
          </cell>
          <cell r="F99">
            <v>2.5157278398267988</v>
          </cell>
          <cell r="G99">
            <v>8.1216328565811804E-2</v>
          </cell>
          <cell r="H99">
            <v>3.0732022666034169</v>
          </cell>
          <cell r="I99">
            <v>-2.6696388866203509</v>
          </cell>
        </row>
        <row r="100">
          <cell r="B100">
            <v>2006</v>
          </cell>
          <cell r="D100">
            <v>6.9538322864392548</v>
          </cell>
          <cell r="E100">
            <v>0.41756023043962337</v>
          </cell>
          <cell r="F100">
            <v>2.4477120873810918</v>
          </cell>
          <cell r="G100">
            <v>-1.176736004747529</v>
          </cell>
          <cell r="H100">
            <v>1.3753778323262653</v>
          </cell>
          <cell r="I100">
            <v>-1.9705949281810706</v>
          </cell>
        </row>
        <row r="101">
          <cell r="B101">
            <v>2007</v>
          </cell>
          <cell r="D101">
            <v>6.0868750431471543</v>
          </cell>
          <cell r="E101">
            <v>0.84312306715742091</v>
          </cell>
          <cell r="F101">
            <v>3.6648615825929931</v>
          </cell>
          <cell r="G101">
            <v>5.7070709808990178E-2</v>
          </cell>
          <cell r="H101">
            <v>1.9727465836891496</v>
          </cell>
          <cell r="I101">
            <v>-3.6170261072307031</v>
          </cell>
        </row>
        <row r="102">
          <cell r="B102">
            <v>2008</v>
          </cell>
          <cell r="D102">
            <v>4.736266447945332</v>
          </cell>
          <cell r="E102">
            <v>0.53419639891582094</v>
          </cell>
          <cell r="F102">
            <v>1.7216663460034771</v>
          </cell>
          <cell r="G102">
            <v>-0.37100222748889156</v>
          </cell>
          <cell r="H102">
            <v>0.17739031485074372</v>
          </cell>
          <cell r="I102">
            <v>-2.7412841778475694</v>
          </cell>
        </row>
        <row r="103">
          <cell r="B103">
            <v>2009</v>
          </cell>
          <cell r="D103">
            <v>-3.6368636464959359</v>
          </cell>
          <cell r="E103">
            <v>0.60567416244901229</v>
          </cell>
          <cell r="F103">
            <v>-4.668562409073723</v>
          </cell>
          <cell r="G103">
            <v>-0.11166295619975107</v>
          </cell>
          <cell r="H103">
            <v>-2.1695924414483105</v>
          </cell>
          <cell r="I103">
            <v>4.0624822104174809</v>
          </cell>
        </row>
        <row r="104">
          <cell r="B104">
            <v>2010</v>
          </cell>
          <cell r="D104">
            <v>7.5801847223610954</v>
          </cell>
          <cell r="E104">
            <v>0.65807152825351767</v>
          </cell>
          <cell r="F104">
            <v>4.4688008742879699</v>
          </cell>
          <cell r="G104">
            <v>1.0443575701420384</v>
          </cell>
          <cell r="H104">
            <v>3.1081135871800019</v>
          </cell>
          <cell r="I104">
            <v>-6.7341301215881018</v>
          </cell>
        </row>
        <row r="105">
          <cell r="B105">
            <v>2011</v>
          </cell>
          <cell r="D105">
            <v>6.4087203212204082</v>
          </cell>
          <cell r="E105">
            <v>0.52759842771040422</v>
          </cell>
          <cell r="F105">
            <v>3.3911295504866183</v>
          </cell>
          <cell r="G105">
            <v>-0.10979104633205762</v>
          </cell>
          <cell r="H105">
            <v>0.95968130861861667</v>
          </cell>
          <cell r="I105">
            <v>-5.1733868724337091</v>
          </cell>
        </row>
        <row r="106">
          <cell r="B106">
            <v>2012</v>
          </cell>
          <cell r="D106">
            <v>0.78360174825268958</v>
          </cell>
          <cell r="E106">
            <v>0.34308374455592744</v>
          </cell>
          <cell r="F106">
            <v>-1.5287935202925571</v>
          </cell>
          <cell r="G106">
            <v>-0.96892011384240362</v>
          </cell>
          <cell r="H106">
            <v>-0.93368119568267904</v>
          </cell>
          <cell r="I106">
            <v>1.278288873932689</v>
          </cell>
        </row>
        <row r="107">
          <cell r="B107">
            <v>2013</v>
          </cell>
          <cell r="D107">
            <v>2.6237454808433056</v>
          </cell>
          <cell r="E107">
            <v>0.63156080927039071</v>
          </cell>
          <cell r="F107">
            <v>0.47461725435270447</v>
          </cell>
          <cell r="G107">
            <v>0.46099738528757206</v>
          </cell>
          <cell r="H107">
            <v>-0.77512057773887366</v>
          </cell>
          <cell r="I107">
            <v>-1.0104765648447323</v>
          </cell>
        </row>
        <row r="108">
          <cell r="B108">
            <v>2014</v>
          </cell>
          <cell r="D108">
            <v>-3.1801596212566894</v>
          </cell>
          <cell r="E108">
            <v>0.35940253745286238</v>
          </cell>
          <cell r="F108">
            <v>-1.3696312414891911</v>
          </cell>
          <cell r="G108">
            <v>9.4945196209014315E-2</v>
          </cell>
          <cell r="H108">
            <v>-1.4478189328686972</v>
          </cell>
          <cell r="I108">
            <v>3.0306467356724651</v>
          </cell>
        </row>
        <row r="109">
          <cell r="B109">
            <v>2015</v>
          </cell>
          <cell r="D109">
            <v>2.6173851464678104</v>
          </cell>
          <cell r="E109">
            <v>0.8951245912169743</v>
          </cell>
          <cell r="F109">
            <v>0.67144132556439229</v>
          </cell>
          <cell r="G109">
            <v>0.22632468454672985</v>
          </cell>
          <cell r="H109">
            <v>-0.54976442039912266</v>
          </cell>
          <cell r="I109">
            <v>-1.1293514883319822</v>
          </cell>
        </row>
        <row r="110">
          <cell r="B110">
            <v>2016</v>
          </cell>
          <cell r="D110">
            <v>-0.56360695792077209</v>
          </cell>
          <cell r="E110">
            <v>-7.0348246451785029E-2</v>
          </cell>
          <cell r="F110">
            <v>-1.1285252664669203</v>
          </cell>
          <cell r="G110">
            <v>0.1090739913068421</v>
          </cell>
          <cell r="H110">
            <v>0.99610055056926428</v>
          </cell>
          <cell r="I110">
            <v>-1.4230219203016889</v>
          </cell>
        </row>
        <row r="111">
          <cell r="B111">
            <v>2017</v>
          </cell>
          <cell r="D111">
            <v>3.0436178538471954</v>
          </cell>
          <cell r="E111">
            <v>0.35940827457483721</v>
          </cell>
          <cell r="F111">
            <v>2.5145103989803732</v>
          </cell>
          <cell r="G111">
            <v>0.48897620066933462</v>
          </cell>
          <cell r="H111">
            <v>0.52695580360933081</v>
          </cell>
          <cell r="I111">
            <v>-4.1149655588436325</v>
          </cell>
        </row>
        <row r="112">
          <cell r="B112">
            <v>2018</v>
          </cell>
          <cell r="D112">
            <v>-1.6650960645496142</v>
          </cell>
          <cell r="E112">
            <v>-0.25732154035681482</v>
          </cell>
          <cell r="F112">
            <v>-1.1906526367600507</v>
          </cell>
          <cell r="G112">
            <v>-0.95851785421838709</v>
          </cell>
          <cell r="H112">
            <v>0.12989989587921588</v>
          </cell>
          <cell r="I112">
            <v>1.3242917393487139</v>
          </cell>
        </row>
        <row r="113">
          <cell r="B113">
            <v>2019</v>
          </cell>
          <cell r="D113">
            <v>-4.5601427250549396</v>
          </cell>
          <cell r="E113">
            <v>-0.87721279720956424</v>
          </cell>
          <cell r="F113">
            <v>-3.1994037533125694</v>
          </cell>
          <cell r="G113">
            <v>-0.79924785615617489</v>
          </cell>
          <cell r="H113">
            <v>2.026488861766889</v>
          </cell>
          <cell r="I113">
            <v>5.4449472075546543</v>
          </cell>
        </row>
        <row r="114">
          <cell r="B114">
            <v>2020</v>
          </cell>
          <cell r="D114">
            <v>-8.6775084676385639</v>
          </cell>
          <cell r="E114">
            <v>-0.26464187800588707</v>
          </cell>
          <cell r="F114">
            <v>-2.2475780789975759</v>
          </cell>
          <cell r="G114">
            <v>1.1526290486444335</v>
          </cell>
          <cell r="H114">
            <v>-4.0585390808307853</v>
          </cell>
          <cell r="I114">
            <v>4.1581227619317502</v>
          </cell>
        </row>
        <row r="115">
          <cell r="B115">
            <v>2021</v>
          </cell>
          <cell r="D115">
            <v>6.5787719606734196</v>
          </cell>
          <cell r="E115">
            <v>1.0142308745441135</v>
          </cell>
          <cell r="F115">
            <v>5.6458707400672932</v>
          </cell>
          <cell r="G115">
            <v>-0.47987680706217301</v>
          </cell>
          <cell r="H115">
            <v>1.8028213864410412</v>
          </cell>
          <cell r="I115">
            <v>-4.1200061522071421</v>
          </cell>
        </row>
        <row r="116">
          <cell r="B116">
            <v>2022</v>
          </cell>
          <cell r="D116">
            <v>6.5206815505835483</v>
          </cell>
          <cell r="E116">
            <v>0.38202367181339503</v>
          </cell>
          <cell r="F116">
            <v>2.1053002495247615</v>
          </cell>
          <cell r="G116">
            <v>0.23740909261584733</v>
          </cell>
          <cell r="H116">
            <v>0.9543770686388483</v>
          </cell>
          <cell r="I116">
            <v>-4.179046259263985</v>
          </cell>
        </row>
        <row r="117">
          <cell r="B117">
            <v>2023</v>
          </cell>
          <cell r="D117">
            <v>0.70205623436296749</v>
          </cell>
          <cell r="E117">
            <v>0.30712443781329279</v>
          </cell>
          <cell r="F117">
            <v>-0.52078920182883226</v>
          </cell>
          <cell r="G117">
            <v>0.32446841477951499</v>
          </cell>
          <cell r="H117">
            <v>-2.0790669399037509</v>
          </cell>
          <cell r="I117">
            <v>-0.58462542412659591</v>
          </cell>
        </row>
        <row r="118">
          <cell r="B118">
            <v>2024</v>
          </cell>
          <cell r="D118">
            <v>-2.0976340399205142</v>
          </cell>
          <cell r="E118">
            <v>-0.42271759775484291</v>
          </cell>
          <cell r="F118">
            <v>-3.6546515075419421</v>
          </cell>
          <cell r="G118">
            <v>-1.9904200762748629</v>
          </cell>
          <cell r="H118">
            <v>3.9304341897886141</v>
          </cell>
          <cell r="I118">
            <v>2.86723166593739</v>
          </cell>
        </row>
        <row r="119">
          <cell r="B119">
            <v>2025</v>
          </cell>
          <cell r="D119">
            <v>6.1738342296629298</v>
          </cell>
          <cell r="E119">
            <v>5.1670443505879148E-2</v>
          </cell>
          <cell r="F119">
            <v>2.8260448376290856</v>
          </cell>
          <cell r="G119">
            <v>0.5470465176322078</v>
          </cell>
          <cell r="H119">
            <v>1.8835431602456181</v>
          </cell>
          <cell r="I119">
            <v>-6.9988945589193552</v>
          </cell>
        </row>
      </sheetData>
      <sheetData sheetId="7">
        <row r="7">
          <cell r="N7" t="str">
            <v xml:space="preserve">Oil output </v>
          </cell>
          <cell r="O7" t="str">
            <v>Manufacturing</v>
          </cell>
          <cell r="P7" t="str">
            <v>Construction</v>
          </cell>
          <cell r="Q7" t="str">
            <v>Formal employment</v>
          </cell>
          <cell r="R7" t="str">
            <v xml:space="preserve">Oil &amp; mining </v>
          </cell>
          <cell r="S7" t="str">
            <v>Manufacturing</v>
          </cell>
          <cell r="T7" t="str">
            <v>Construction</v>
          </cell>
        </row>
        <row r="8">
          <cell r="A8" t="str">
            <v>1Q 2015</v>
          </cell>
          <cell r="N8">
            <v>100</v>
          </cell>
          <cell r="O8">
            <v>100</v>
          </cell>
          <cell r="P8">
            <v>100</v>
          </cell>
        </row>
        <row r="9">
          <cell r="A9" t="str">
            <v>2Q 2015</v>
          </cell>
          <cell r="N9">
            <v>100.83381385738173</v>
          </cell>
          <cell r="O9">
            <v>101.91789237856905</v>
          </cell>
          <cell r="P9">
            <v>104.21923175465389</v>
          </cell>
        </row>
        <row r="10">
          <cell r="A10" t="str">
            <v>3Q 2015</v>
          </cell>
          <cell r="N10">
            <v>99.705146969287043</v>
          </cell>
          <cell r="O10">
            <v>101.27075190605683</v>
          </cell>
          <cell r="P10">
            <v>103.87564814599759</v>
          </cell>
        </row>
        <row r="11">
          <cell r="A11" t="str">
            <v>4Q 2015</v>
          </cell>
          <cell r="N11">
            <v>98.046767197739243</v>
          </cell>
          <cell r="O11">
            <v>98.889058546605753</v>
          </cell>
          <cell r="P11">
            <v>101.23891692118312</v>
          </cell>
          <cell r="Q11">
            <v>100</v>
          </cell>
          <cell r="R11">
            <v>100</v>
          </cell>
          <cell r="S11">
            <v>100</v>
          </cell>
          <cell r="T11">
            <v>100</v>
          </cell>
        </row>
        <row r="12">
          <cell r="A12" t="str">
            <v>1Q 2016</v>
          </cell>
          <cell r="N12">
            <v>96.260122287357916</v>
          </cell>
          <cell r="O12">
            <v>96.910618321794161</v>
          </cell>
          <cell r="P12">
            <v>94.132827106873677</v>
          </cell>
          <cell r="Q12">
            <v>99.505174905149573</v>
          </cell>
          <cell r="R12">
            <v>98.570135948792995</v>
          </cell>
          <cell r="S12">
            <v>99.276495953962339</v>
          </cell>
          <cell r="T12">
            <v>94.19552843352426</v>
          </cell>
        </row>
        <row r="13">
          <cell r="A13" t="str">
            <v>2Q 2016</v>
          </cell>
          <cell r="N13">
            <v>94.660762226075988</v>
          </cell>
          <cell r="O13">
            <v>94.158801099831464</v>
          </cell>
          <cell r="P13">
            <v>88.11112528451649</v>
          </cell>
          <cell r="Q13">
            <v>99.018598661022338</v>
          </cell>
          <cell r="R13">
            <v>95.930472860510065</v>
          </cell>
          <cell r="S13">
            <v>98.309149676394128</v>
          </cell>
          <cell r="T13">
            <v>91.983833841871416</v>
          </cell>
        </row>
        <row r="14">
          <cell r="A14" t="str">
            <v>3Q 2016</v>
          </cell>
          <cell r="N14">
            <v>94.18073496208838</v>
          </cell>
          <cell r="O14">
            <v>93.874261457859419</v>
          </cell>
          <cell r="P14">
            <v>90.055663075855577</v>
          </cell>
          <cell r="Q14">
            <v>98.86448893980473</v>
          </cell>
          <cell r="R14">
            <v>94.575453255733422</v>
          </cell>
          <cell r="S14">
            <v>97.554403585506776</v>
          </cell>
          <cell r="T14">
            <v>92.272897596488406</v>
          </cell>
        </row>
        <row r="15">
          <cell r="A15" t="str">
            <v>4Q 2016</v>
          </cell>
          <cell r="N15">
            <v>91.610439932885853</v>
          </cell>
          <cell r="O15">
            <v>94.84480401606784</v>
          </cell>
          <cell r="P15">
            <v>91.270859704335109</v>
          </cell>
          <cell r="Q15">
            <v>99.131100876482009</v>
          </cell>
          <cell r="R15">
            <v>93.908555725600152</v>
          </cell>
          <cell r="S15">
            <v>97.079138799534064</v>
          </cell>
          <cell r="T15">
            <v>94.179023250004462</v>
          </cell>
        </row>
        <row r="16">
          <cell r="A16" t="str">
            <v>1Q 2017</v>
          </cell>
          <cell r="N16">
            <v>91.272849085412005</v>
          </cell>
          <cell r="O16">
            <v>94.692976501204058</v>
          </cell>
          <cell r="P16">
            <v>95.742980898201154</v>
          </cell>
          <cell r="Q16">
            <v>99.523337512246513</v>
          </cell>
          <cell r="R16">
            <v>92.295490342832238</v>
          </cell>
          <cell r="S16">
            <v>96.655172679796038</v>
          </cell>
          <cell r="T16">
            <v>97.417161822172261</v>
          </cell>
        </row>
        <row r="17">
          <cell r="A17" t="str">
            <v>2Q 2017</v>
          </cell>
          <cell r="N17">
            <v>88.436784450085284</v>
          </cell>
          <cell r="O17">
            <v>96.881720504329039</v>
          </cell>
          <cell r="P17">
            <v>97.026621163382146</v>
          </cell>
          <cell r="Q17">
            <v>99.774450690867738</v>
          </cell>
          <cell r="R17">
            <v>90.743864431014643</v>
          </cell>
          <cell r="S17">
            <v>96.380319825970247</v>
          </cell>
          <cell r="T17">
            <v>99.836732508966335</v>
          </cell>
        </row>
        <row r="18">
          <cell r="A18" t="str">
            <v>3Q 2017</v>
          </cell>
          <cell r="N18">
            <v>90.930188452579614</v>
          </cell>
          <cell r="O18">
            <v>98.464543797016532</v>
          </cell>
          <cell r="P18">
            <v>99.986232341106245</v>
          </cell>
          <cell r="Q18">
            <v>100.30495017315775</v>
          </cell>
          <cell r="R18">
            <v>90.661200415554248</v>
          </cell>
          <cell r="S18">
            <v>95.943008338926049</v>
          </cell>
          <cell r="T18">
            <v>102.76528736862767</v>
          </cell>
        </row>
        <row r="19">
          <cell r="A19" t="str">
            <v>4Q 2017</v>
          </cell>
          <cell r="N19">
            <v>92.679354856244885</v>
          </cell>
          <cell r="O19">
            <v>98.899989536941774</v>
          </cell>
          <cell r="P19">
            <v>104.33413613678854</v>
          </cell>
          <cell r="Q19">
            <v>100.93501101335087</v>
          </cell>
          <cell r="R19">
            <v>90.835465096795105</v>
          </cell>
          <cell r="S19">
            <v>96.07515061751252</v>
          </cell>
          <cell r="T19">
            <v>105.41682279678103</v>
          </cell>
        </row>
        <row r="20">
          <cell r="A20" t="str">
            <v>1Q 2018</v>
          </cell>
          <cell r="N20">
            <v>92.410087658182576</v>
          </cell>
          <cell r="O20">
            <v>98.100914800045629</v>
          </cell>
          <cell r="P20">
            <v>103.60732622719513</v>
          </cell>
          <cell r="Q20">
            <v>101.14403235002491</v>
          </cell>
          <cell r="R20">
            <v>91.196282353466856</v>
          </cell>
          <cell r="S20">
            <v>95.822822892319081</v>
          </cell>
          <cell r="T20">
            <v>106.43501418553612</v>
          </cell>
        </row>
        <row r="21">
          <cell r="A21" t="str">
            <v>2Q 2018</v>
          </cell>
          <cell r="N21">
            <v>92.416173985040373</v>
          </cell>
          <cell r="O21">
            <v>95.286543964541053</v>
          </cell>
          <cell r="P21">
            <v>102.48884796948123</v>
          </cell>
          <cell r="Q21">
            <v>100.87858584730303</v>
          </cell>
          <cell r="R21">
            <v>94.923982618215135</v>
          </cell>
          <cell r="S21">
            <v>94.866276333958183</v>
          </cell>
          <cell r="T21">
            <v>106.1417126135289</v>
          </cell>
        </row>
        <row r="22">
          <cell r="A22" t="str">
            <v>3Q 2018</v>
          </cell>
          <cell r="N22">
            <v>90.95190195129878</v>
          </cell>
          <cell r="O22">
            <v>91.169042408004628</v>
          </cell>
          <cell r="P22">
            <v>99.321370092090433</v>
          </cell>
          <cell r="Q22">
            <v>100.13372219475127</v>
          </cell>
          <cell r="R22">
            <v>95.355175996157243</v>
          </cell>
          <cell r="S22">
            <v>93.495406262294324</v>
          </cell>
          <cell r="T22">
            <v>104.33662544831648</v>
          </cell>
        </row>
        <row r="23">
          <cell r="A23" t="str">
            <v>4Q 2018</v>
          </cell>
          <cell r="N23">
            <v>90.649864212023317</v>
          </cell>
          <cell r="O23">
            <v>86.839600514722108</v>
          </cell>
          <cell r="P23">
            <v>95.680715696891212</v>
          </cell>
          <cell r="Q23">
            <v>99.360540010634196</v>
          </cell>
          <cell r="R23">
            <v>96.865469900244634</v>
          </cell>
          <cell r="S23">
            <v>92.105250977760292</v>
          </cell>
          <cell r="T23">
            <v>102.54046000392556</v>
          </cell>
        </row>
        <row r="24">
          <cell r="A24" t="str">
            <v>1Q 2019</v>
          </cell>
          <cell r="N24">
            <v>91.92051093443294</v>
          </cell>
          <cell r="O24">
            <v>87.39794625481106</v>
          </cell>
          <cell r="P24">
            <v>97.170358244010629</v>
          </cell>
          <cell r="Q24">
            <v>98.90048117286851</v>
          </cell>
          <cell r="R24">
            <v>98.552262648152904</v>
          </cell>
          <cell r="S24">
            <v>91.138058981895043</v>
          </cell>
          <cell r="T24">
            <v>104.85520047106687</v>
          </cell>
        </row>
        <row r="25">
          <cell r="A25" t="str">
            <v>2Q 2019</v>
          </cell>
          <cell r="N25">
            <v>93.379200604687114</v>
          </cell>
          <cell r="O25">
            <v>88.442107455768536</v>
          </cell>
          <cell r="P25">
            <v>98.004592183344755</v>
          </cell>
          <cell r="Q25">
            <v>98.415690918439154</v>
          </cell>
          <cell r="R25">
            <v>99.912867659379572</v>
          </cell>
          <cell r="S25">
            <v>90.421883316748051</v>
          </cell>
          <cell r="T25">
            <v>103.77076530521208</v>
          </cell>
        </row>
        <row r="26">
          <cell r="A26" t="str">
            <v>3Q 2019</v>
          </cell>
          <cell r="N26">
            <v>93.915361634853724</v>
          </cell>
          <cell r="O26">
            <v>87.194210381183751</v>
          </cell>
          <cell r="P26">
            <v>97.002469922541835</v>
          </cell>
          <cell r="Q26">
            <v>97.945733459805624</v>
          </cell>
          <cell r="R26">
            <v>101.03106603067505</v>
          </cell>
          <cell r="S26">
            <v>89.698842115819275</v>
          </cell>
          <cell r="T26">
            <v>100.98205841942793</v>
          </cell>
        </row>
        <row r="27">
          <cell r="A27" t="str">
            <v>4Q 2019</v>
          </cell>
          <cell r="N27">
            <v>92.443603376003239</v>
          </cell>
          <cell r="O27">
            <v>84.836198560014793</v>
          </cell>
          <cell r="P27">
            <v>91.892273308578467</v>
          </cell>
          <cell r="Q27">
            <v>96.934938968342735</v>
          </cell>
          <cell r="R27">
            <v>100.71716618818351</v>
          </cell>
          <cell r="S27">
            <v>88.614010321445917</v>
          </cell>
          <cell r="T27">
            <v>94.008618382313585</v>
          </cell>
        </row>
        <row r="28">
          <cell r="A28" t="str">
            <v>1Q 2020</v>
          </cell>
          <cell r="N28">
            <v>92.729962254866507</v>
          </cell>
          <cell r="O28">
            <v>81.863728474681622</v>
          </cell>
          <cell r="P28">
            <v>78.0628935690562</v>
          </cell>
          <cell r="Q28">
            <v>95.963784366868921</v>
          </cell>
          <cell r="R28">
            <v>99.814564505859096</v>
          </cell>
          <cell r="S28">
            <v>87.867672583369966</v>
          </cell>
          <cell r="T28">
            <v>87.808022411362714</v>
          </cell>
        </row>
        <row r="29">
          <cell r="A29" t="str">
            <v>2Q 2020</v>
          </cell>
          <cell r="N29">
            <v>76.241943424038269</v>
          </cell>
          <cell r="O29">
            <v>69.718078690994687</v>
          </cell>
          <cell r="P29">
            <v>49.063005343393989</v>
          </cell>
          <cell r="Q29">
            <v>93.03848459682267</v>
          </cell>
          <cell r="R29">
            <v>97.22405299433639</v>
          </cell>
          <cell r="S29">
            <v>87.369959809616375</v>
          </cell>
          <cell r="T29">
            <v>74.727664471923347</v>
          </cell>
        </row>
        <row r="30">
          <cell r="A30" t="str">
            <v>3Q 2020</v>
          </cell>
          <cell r="N30">
            <v>81.997954597896879</v>
          </cell>
          <cell r="O30">
            <v>82.751474339293509</v>
          </cell>
          <cell r="P30">
            <v>75.873717861248863</v>
          </cell>
          <cell r="Q30">
            <v>92.821517119543699</v>
          </cell>
          <cell r="R30">
            <v>94.212401836481646</v>
          </cell>
          <cell r="S30">
            <v>88.005986130074916</v>
          </cell>
          <cell r="T30">
            <v>73.63497671430865</v>
          </cell>
        </row>
        <row r="31">
          <cell r="A31" t="str">
            <v>4Q 2020</v>
          </cell>
          <cell r="N31">
            <v>82.283464923051028</v>
          </cell>
          <cell r="O31">
            <v>86.597895522302295</v>
          </cell>
          <cell r="P31">
            <v>95.472359077237513</v>
          </cell>
          <cell r="Q31">
            <v>93.217507360774903</v>
          </cell>
          <cell r="R31">
            <v>92.585931478233675</v>
          </cell>
          <cell r="S31">
            <v>89.00226022694838</v>
          </cell>
          <cell r="T31">
            <v>77.231545420480714</v>
          </cell>
        </row>
        <row r="32">
          <cell r="A32" t="str">
            <v>1Q 2021</v>
          </cell>
          <cell r="N32">
            <v>85.517100661686669</v>
          </cell>
          <cell r="O32">
            <v>91.613464739156669</v>
          </cell>
          <cell r="P32">
            <v>97.294149230353838</v>
          </cell>
          <cell r="Q32">
            <v>93.930646992930662</v>
          </cell>
          <cell r="R32">
            <v>94.413476468682617</v>
          </cell>
          <cell r="S32">
            <v>89.806993589595237</v>
          </cell>
          <cell r="T32">
            <v>81.28557536177577</v>
          </cell>
        </row>
        <row r="33">
          <cell r="A33" t="str">
            <v>2Q 2021</v>
          </cell>
          <cell r="N33">
            <v>89.957267782832105</v>
          </cell>
          <cell r="O33">
            <v>92.694067657877966</v>
          </cell>
          <cell r="P33">
            <v>91.488316134117582</v>
          </cell>
          <cell r="Q33">
            <v>94.831391220891959</v>
          </cell>
          <cell r="R33">
            <v>95.163038014276296</v>
          </cell>
          <cell r="S33">
            <v>90.645823208596582</v>
          </cell>
          <cell r="T33">
            <v>84.148778616419534</v>
          </cell>
        </row>
        <row r="34">
          <cell r="A34" t="str">
            <v>3Q 2021</v>
          </cell>
          <cell r="N34">
            <v>93.306754793348517</v>
          </cell>
          <cell r="O34">
            <v>92.958267904438856</v>
          </cell>
          <cell r="P34">
            <v>95.964383905656646</v>
          </cell>
          <cell r="Q34">
            <v>95.313381406727217</v>
          </cell>
          <cell r="R34">
            <v>95.934941185670084</v>
          </cell>
          <cell r="S34">
            <v>90.998588322417902</v>
          </cell>
          <cell r="T34">
            <v>87.494200881466028</v>
          </cell>
        </row>
        <row r="35">
          <cell r="A35" t="str">
            <v>4Q 2021</v>
          </cell>
          <cell r="N35">
            <v>95.554737249220594</v>
          </cell>
          <cell r="O35">
            <v>94.324345526718346</v>
          </cell>
          <cell r="P35">
            <v>100.06007870655316</v>
          </cell>
          <cell r="Q35">
            <v>96.574729063092519</v>
          </cell>
          <cell r="R35">
            <v>96.976060947955176</v>
          </cell>
          <cell r="S35">
            <v>91.850917590428367</v>
          </cell>
          <cell r="T35">
            <v>91.180209838873722</v>
          </cell>
        </row>
        <row r="36">
          <cell r="A36" t="str">
            <v>1Q 2022</v>
          </cell>
          <cell r="N36">
            <v>97.536708885731386</v>
          </cell>
          <cell r="O36">
            <v>95.818136509103198</v>
          </cell>
          <cell r="P36">
            <v>100.25435919917317</v>
          </cell>
          <cell r="Q36">
            <v>97.971130838729508</v>
          </cell>
          <cell r="R36">
            <v>98.947709424814846</v>
          </cell>
          <cell r="S36">
            <v>93.099056567386398</v>
          </cell>
          <cell r="T36">
            <v>94.760719447567041</v>
          </cell>
        </row>
        <row r="37">
          <cell r="A37" t="str">
            <v>2Q 2022</v>
          </cell>
          <cell r="N37">
            <v>102.43935500786463</v>
          </cell>
          <cell r="O37">
            <v>99.390602305192473</v>
          </cell>
          <cell r="P37">
            <v>102.92208239946115</v>
          </cell>
          <cell r="Q37">
            <v>99.315496745033769</v>
          </cell>
          <cell r="R37">
            <v>100.27256783476133</v>
          </cell>
          <cell r="S37">
            <v>94.517213981007913</v>
          </cell>
          <cell r="T37">
            <v>98.486876148671556</v>
          </cell>
        </row>
        <row r="38">
          <cell r="A38" t="str">
            <v>3Q 2022</v>
          </cell>
          <cell r="N38">
            <v>103.93328334763309</v>
          </cell>
          <cell r="O38">
            <v>98.208206094058809</v>
          </cell>
          <cell r="P38">
            <v>102.6400563299114</v>
          </cell>
          <cell r="Q38">
            <v>100.3594379944486</v>
          </cell>
          <cell r="R38">
            <v>102.41066142383181</v>
          </cell>
          <cell r="S38">
            <v>95.458332369072679</v>
          </cell>
          <cell r="T38">
            <v>101.33513552093928</v>
          </cell>
        </row>
        <row r="39">
          <cell r="A39" t="str">
            <v>4Q 2022</v>
          </cell>
          <cell r="N39">
            <v>105.2775001073614</v>
          </cell>
          <cell r="O39">
            <v>95.789246717917791</v>
          </cell>
          <cell r="P39">
            <v>101.7244276282937</v>
          </cell>
          <cell r="Q39">
            <v>101.2336042740247</v>
          </cell>
          <cell r="R39">
            <v>104.48731554195199</v>
          </cell>
          <cell r="S39">
            <v>96.219481150632944</v>
          </cell>
          <cell r="T39">
            <v>104.45662259336581</v>
          </cell>
        </row>
        <row r="40">
          <cell r="A40" t="str">
            <v>1Q 2023</v>
          </cell>
          <cell r="N40">
            <v>108.01715267329092</v>
          </cell>
          <cell r="O40">
            <v>98.665409473019835</v>
          </cell>
          <cell r="P40">
            <v>103.73883345333348</v>
          </cell>
          <cell r="Q40">
            <v>102.18481027870369</v>
          </cell>
          <cell r="R40">
            <v>106.5930137736123</v>
          </cell>
          <cell r="S40">
            <v>97.097112617929085</v>
          </cell>
          <cell r="T40">
            <v>107.25492032903306</v>
          </cell>
        </row>
        <row r="41">
          <cell r="A41" t="str">
            <v>2Q 2023</v>
          </cell>
          <cell r="N41">
            <v>110.23088715687254</v>
          </cell>
          <cell r="O41">
            <v>98.114953565885045</v>
          </cell>
          <cell r="P41">
            <v>103.89354837070756</v>
          </cell>
          <cell r="Q41">
            <v>102.99690584852597</v>
          </cell>
          <cell r="R41">
            <v>107.96255543515902</v>
          </cell>
          <cell r="S41">
            <v>97.899994600140388</v>
          </cell>
          <cell r="T41">
            <v>109.09413307638778</v>
          </cell>
        </row>
        <row r="42">
          <cell r="A42" t="str">
            <v>3Q 2023</v>
          </cell>
          <cell r="N42">
            <v>111.7889868324709</v>
          </cell>
          <cell r="O42">
            <v>95.054949676670958</v>
          </cell>
          <cell r="P42">
            <v>103.10419654573748</v>
          </cell>
          <cell r="Q42">
            <v>103.48558592797528</v>
          </cell>
          <cell r="R42">
            <v>109.6348261262972</v>
          </cell>
          <cell r="S42">
            <v>98.450934561415693</v>
          </cell>
          <cell r="T42">
            <v>107.50963545848724</v>
          </cell>
        </row>
        <row r="43">
          <cell r="A43" t="str">
            <v>4Q 2023</v>
          </cell>
          <cell r="N43">
            <v>113.36060306410589</v>
          </cell>
          <cell r="O43">
            <v>89.816899209928337</v>
          </cell>
          <cell r="P43">
            <v>100.46268860104981</v>
          </cell>
          <cell r="Q43">
            <v>102.96668024321546</v>
          </cell>
          <cell r="R43">
            <v>110.76419531049275</v>
          </cell>
          <cell r="S43">
            <v>98.133808520978448</v>
          </cell>
          <cell r="T43">
            <v>101.80999411166425</v>
          </cell>
        </row>
        <row r="44">
          <cell r="A44" t="str">
            <v>1Q 2024</v>
          </cell>
          <cell r="N44">
            <v>116.72099205146387</v>
          </cell>
          <cell r="O44">
            <v>85.159508343494323</v>
          </cell>
          <cell r="P44">
            <v>82.944832832042366</v>
          </cell>
          <cell r="Q44">
            <v>101.82326844893304</v>
          </cell>
          <cell r="R44">
            <v>112.37167528681063</v>
          </cell>
          <cell r="S44">
            <v>97.184821766062655</v>
          </cell>
          <cell r="T44">
            <v>91.903538354477803</v>
          </cell>
        </row>
        <row r="45">
          <cell r="A45" t="str">
            <v>2Q 2024</v>
          </cell>
          <cell r="N45">
            <v>117.84001041007413</v>
          </cell>
          <cell r="O45">
            <v>81.95518311620053</v>
          </cell>
          <cell r="P45">
            <v>80.019402646003414</v>
          </cell>
          <cell r="Q45">
            <v>100.84948026943017</v>
          </cell>
          <cell r="R45">
            <v>112.02314592432892</v>
          </cell>
          <cell r="S45">
            <v>95.989138568111514</v>
          </cell>
          <cell r="T45">
            <v>86.905144264225683</v>
          </cell>
        </row>
        <row r="46">
          <cell r="A46" t="str">
            <v>3Q 2024</v>
          </cell>
          <cell r="N46">
            <v>119.40026808266877</v>
          </cell>
          <cell r="O46">
            <v>89.087549567494278</v>
          </cell>
          <cell r="P46">
            <v>87.534820609445944</v>
          </cell>
          <cell r="Q46">
            <v>100.71690837312836</v>
          </cell>
          <cell r="R46">
            <v>111.72823646376746</v>
          </cell>
          <cell r="S46">
            <v>95.670623992347629</v>
          </cell>
          <cell r="T46">
            <v>86.311626786574593</v>
          </cell>
        </row>
        <row r="47">
          <cell r="A47" t="str">
            <v>4Q 2024</v>
          </cell>
          <cell r="N47">
            <v>122.43693598368675</v>
          </cell>
          <cell r="O47">
            <v>90.674519236279565</v>
          </cell>
          <cell r="P47">
            <v>87.991267266957763</v>
          </cell>
          <cell r="Q47">
            <v>101.14491020936794</v>
          </cell>
          <cell r="R47">
            <v>110.9797919994638</v>
          </cell>
          <cell r="S47">
            <v>96.041902910524328</v>
          </cell>
          <cell r="T47">
            <v>87.016888817515124</v>
          </cell>
        </row>
        <row r="48">
          <cell r="A48" t="str">
            <v>1Q 2025</v>
          </cell>
          <cell r="N48">
            <v>124.13662782946895</v>
          </cell>
          <cell r="O48">
            <v>89.521081842336841</v>
          </cell>
          <cell r="P48">
            <v>87.776410134884031</v>
          </cell>
          <cell r="Q48">
            <v>101.24713541631192</v>
          </cell>
          <cell r="R48">
            <v>109.35890704766587</v>
          </cell>
          <cell r="S48">
            <v>95.826911357447557</v>
          </cell>
          <cell r="T48">
            <v>88.294033153114569</v>
          </cell>
        </row>
        <row r="49">
          <cell r="A49" t="str">
            <v>2Q 2025</v>
          </cell>
          <cell r="N49">
            <v>126.2932206201308</v>
          </cell>
          <cell r="O49">
            <v>88.328194480995222</v>
          </cell>
          <cell r="P49">
            <v>88.599198998966443</v>
          </cell>
          <cell r="Q49">
            <v>101.23980983144949</v>
          </cell>
          <cell r="R49">
            <v>105.62115305130754</v>
          </cell>
          <cell r="S49">
            <v>95.328890020288043</v>
          </cell>
          <cell r="T49">
            <v>88.206154203022678</v>
          </cell>
        </row>
        <row r="50">
          <cell r="A50" t="str">
            <v>3Q 2025</v>
          </cell>
          <cell r="N50">
            <v>131.54758148624654</v>
          </cell>
          <cell r="O50">
            <v>87.066692862303299</v>
          </cell>
          <cell r="P50">
            <v>88.206868351604314</v>
          </cell>
          <cell r="Q50">
            <v>100.72323501460048</v>
          </cell>
          <cell r="R50">
            <v>103.25740904165596</v>
          </cell>
          <cell r="S50">
            <v>94.531870742789266</v>
          </cell>
          <cell r="T50">
            <v>87.735979515728985</v>
          </cell>
        </row>
        <row r="51">
          <cell r="A51" t="str">
            <v>4Q 2025</v>
          </cell>
          <cell r="N51">
            <v>132.63372161916277</v>
          </cell>
          <cell r="O51">
            <v>85.97459952155026</v>
          </cell>
          <cell r="P51">
            <v>88.163891481634167</v>
          </cell>
          <cell r="Q51">
            <v>100.03270782828042</v>
          </cell>
          <cell r="R51">
            <v>101.80185212077883</v>
          </cell>
          <cell r="S51">
            <v>93.242538551140527</v>
          </cell>
          <cell r="T51">
            <v>87.682672233820455</v>
          </cell>
        </row>
        <row r="52">
          <cell r="A52" t="str">
            <v>1Q 2026</v>
          </cell>
          <cell r="N52">
            <v>139.24629392013853</v>
          </cell>
          <cell r="O52">
            <v>87.913724620462119</v>
          </cell>
          <cell r="P52">
            <v>89.98228394891477</v>
          </cell>
        </row>
      </sheetData>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hyperlink" Target="mailto:L213NGOO@IF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45B04-F23E-4E70-9ABE-0644E9CA2641}">
  <sheetPr>
    <tabColor rgb="FF8C0A28"/>
  </sheetPr>
  <dimension ref="A2:E129"/>
  <sheetViews>
    <sheetView zoomScaleNormal="100" workbookViewId="0" showGridLines="0" zoomScale="100">
      <pane ySplit="7" topLeftCell="A8" activePane="bottomLeft" state="frozen"/>
      <selection pane="bottomLeft" activeCell="A8" sqref="A8"/>
    </sheetView>
  </sheetViews>
  <sheetFormatPr defaultRowHeight="15" x14ac:dyDescent="0.25"/>
  <sheetData>
    <row r="2" spans="1:5" x14ac:dyDescent="0.25">
      <c r="C2" t="s">
        <v>1</v>
      </c>
      <c r="D2" t="s">
        <v>0</v>
      </c>
      <c r="E2" t="s">
        <v>136</v>
      </c>
    </row>
    <row r="3" spans="1:5" x14ac:dyDescent="0.25">
      <c r="B3" s="1" t="s">
        <v>4</v>
      </c>
      <c r="C3" t="s">
        <v>2</v>
      </c>
      <c r="D3" t="s">
        <v>3</v>
      </c>
    </row>
    <row r="4" spans="1:5" x14ac:dyDescent="0.25">
      <c r="B4" t="s">
        <v>9</v>
      </c>
      <c r="C4" t="s">
        <v>13</v>
      </c>
      <c r="D4" t="s">
        <v>14</v>
      </c>
    </row>
    <row r="5" spans="1:5" x14ac:dyDescent="0.25">
      <c r="B5" t="s">
        <v>8</v>
      </c>
      <c r="C5" t="s">
        <v>12</v>
      </c>
      <c r="D5" t="s">
        <v>12</v>
      </c>
    </row>
    <row r="6" spans="1:5" x14ac:dyDescent="0.25">
      <c r="B6" t="s">
        <v>7</v>
      </c>
      <c r="C6" t="s">
        <v>11</v>
      </c>
      <c r="D6" t="s">
        <v>11</v>
      </c>
    </row>
    <row r="7" spans="1:5" x14ac:dyDescent="0.25">
      <c r="B7" t="s">
        <v>6</v>
      </c>
      <c r="C7" t="s">
        <v>10</v>
      </c>
      <c r="D7" t="s">
        <v>10</v>
      </c>
    </row>
    <row r="8" spans="1:5" x14ac:dyDescent="0.25">
      <c r="A8" s="4">
        <v>42522</v>
      </c>
      <c r="B8" t="s">
        <v>5</v>
      </c>
      <c r="C8" s="2">
        <v>21.5</v>
      </c>
      <c r="D8" s="2">
        <v>15.9</v>
      </c>
      <c r="E8">
        <v>30</v>
      </c>
    </row>
    <row r="9" spans="1:5" x14ac:dyDescent="0.25">
      <c r="A9" s="4">
        <v>42552</v>
      </c>
      <c r="B9" t="s">
        <v>15</v>
      </c>
      <c r="C9" s="2">
        <v>21.7</v>
      </c>
      <c r="D9" s="2">
        <v>16</v>
      </c>
      <c r="E9">
        <v>30</v>
      </c>
    </row>
    <row r="10" spans="1:5" x14ac:dyDescent="0.25">
      <c r="A10" s="4">
        <v>42583</v>
      </c>
      <c r="B10" t="s">
        <v>16</v>
      </c>
      <c r="C10" s="2">
        <v>21.9</v>
      </c>
      <c r="D10" s="2">
        <v>16</v>
      </c>
      <c r="E10">
        <v>30</v>
      </c>
    </row>
    <row r="11" spans="1:5" x14ac:dyDescent="0.25">
      <c r="A11" s="4">
        <v>42614</v>
      </c>
      <c r="B11" t="s">
        <v>17</v>
      </c>
      <c r="C11" s="2">
        <v>21.1</v>
      </c>
      <c r="D11" s="2">
        <v>15.4</v>
      </c>
      <c r="E11">
        <v>30</v>
      </c>
    </row>
    <row r="12" spans="1:5" x14ac:dyDescent="0.25">
      <c r="A12" s="4">
        <v>42644</v>
      </c>
      <c r="B12" t="s">
        <v>18</v>
      </c>
      <c r="C12" s="2">
        <v>19.399999999999999</v>
      </c>
      <c r="D12" s="2">
        <v>14.9</v>
      </c>
      <c r="E12">
        <v>30</v>
      </c>
    </row>
    <row r="13" spans="1:5" x14ac:dyDescent="0.25">
      <c r="A13" s="4">
        <v>42675</v>
      </c>
      <c r="B13" t="s">
        <v>19</v>
      </c>
      <c r="C13" s="2">
        <v>20</v>
      </c>
      <c r="D13" s="2">
        <v>15.4</v>
      </c>
      <c r="E13">
        <v>30</v>
      </c>
    </row>
    <row r="14" spans="1:5" x14ac:dyDescent="0.25">
      <c r="A14" s="4">
        <v>42705</v>
      </c>
      <c r="B14" t="s">
        <v>20</v>
      </c>
      <c r="C14" s="2">
        <v>19.600000000000001</v>
      </c>
      <c r="D14" s="2">
        <v>14</v>
      </c>
      <c r="E14">
        <v>30</v>
      </c>
    </row>
    <row r="15" spans="1:5" x14ac:dyDescent="0.25">
      <c r="A15" s="4">
        <v>42736</v>
      </c>
      <c r="B15" t="s">
        <v>21</v>
      </c>
      <c r="C15" s="2">
        <v>19.7</v>
      </c>
      <c r="D15" s="2">
        <v>14</v>
      </c>
      <c r="E15">
        <v>30</v>
      </c>
    </row>
    <row r="16" spans="1:5" x14ac:dyDescent="0.25">
      <c r="A16" s="4">
        <v>42767</v>
      </c>
      <c r="B16" t="s">
        <v>22</v>
      </c>
      <c r="C16" s="2">
        <v>19.5</v>
      </c>
      <c r="D16" s="2">
        <v>13.1</v>
      </c>
      <c r="E16">
        <v>30</v>
      </c>
    </row>
    <row r="17" spans="1:5" x14ac:dyDescent="0.25">
      <c r="A17" s="4">
        <v>42795</v>
      </c>
      <c r="B17" t="s">
        <v>23</v>
      </c>
      <c r="C17" s="2">
        <v>18.399999999999999</v>
      </c>
      <c r="D17" s="2">
        <v>13</v>
      </c>
      <c r="E17">
        <v>30</v>
      </c>
    </row>
    <row r="18" spans="1:5" x14ac:dyDescent="0.25">
      <c r="A18" s="4">
        <v>42826</v>
      </c>
      <c r="B18" t="s">
        <v>24</v>
      </c>
      <c r="C18" s="2">
        <v>17.5</v>
      </c>
      <c r="D18" s="2">
        <v>13</v>
      </c>
      <c r="E18">
        <v>30</v>
      </c>
    </row>
    <row r="19" spans="1:5" x14ac:dyDescent="0.25">
      <c r="A19" s="4">
        <v>42856</v>
      </c>
      <c r="B19" t="s">
        <v>25</v>
      </c>
      <c r="C19" s="2">
        <v>17</v>
      </c>
      <c r="D19" s="2">
        <v>13.1</v>
      </c>
      <c r="E19">
        <v>30</v>
      </c>
    </row>
    <row r="20" spans="1:5" x14ac:dyDescent="0.25">
      <c r="A20" s="4">
        <v>42887</v>
      </c>
      <c r="B20" t="s">
        <v>26</v>
      </c>
      <c r="C20" s="2">
        <v>17</v>
      </c>
      <c r="D20" s="2">
        <v>12.3</v>
      </c>
      <c r="E20">
        <v>30</v>
      </c>
    </row>
    <row r="21" spans="1:5" x14ac:dyDescent="0.25">
      <c r="A21" s="4">
        <v>42917</v>
      </c>
      <c r="B21" t="s">
        <v>27</v>
      </c>
      <c r="C21" s="2">
        <v>17.100000000000001</v>
      </c>
      <c r="D21" s="2">
        <v>12.5</v>
      </c>
      <c r="E21">
        <v>30</v>
      </c>
    </row>
    <row r="22" spans="1:5" x14ac:dyDescent="0.25">
      <c r="A22" s="4">
        <v>42948</v>
      </c>
      <c r="B22" t="s">
        <v>28</v>
      </c>
      <c r="C22" s="2">
        <v>17.2</v>
      </c>
      <c r="D22" s="2">
        <v>12</v>
      </c>
      <c r="E22">
        <v>30</v>
      </c>
    </row>
    <row r="23" spans="1:5" x14ac:dyDescent="0.25">
      <c r="A23" s="4">
        <v>42979</v>
      </c>
      <c r="B23" t="s">
        <v>29</v>
      </c>
      <c r="C23" s="2">
        <v>16.899999999999999</v>
      </c>
      <c r="D23" s="2">
        <v>12.1</v>
      </c>
      <c r="E23">
        <v>30</v>
      </c>
    </row>
    <row r="24" spans="1:5" x14ac:dyDescent="0.25">
      <c r="A24" s="4">
        <v>43009</v>
      </c>
      <c r="B24" t="s">
        <v>30</v>
      </c>
      <c r="C24" s="2">
        <v>17.3</v>
      </c>
      <c r="D24" s="2">
        <v>11.4</v>
      </c>
      <c r="E24">
        <v>30</v>
      </c>
    </row>
    <row r="25" spans="1:5" x14ac:dyDescent="0.25">
      <c r="A25" s="4">
        <v>43040</v>
      </c>
      <c r="B25" t="s">
        <v>31</v>
      </c>
      <c r="C25" s="2">
        <v>17.5</v>
      </c>
      <c r="D25" s="2">
        <v>11.8</v>
      </c>
      <c r="E25">
        <v>30</v>
      </c>
    </row>
    <row r="26" spans="1:5" x14ac:dyDescent="0.25">
      <c r="A26" s="4">
        <v>43070</v>
      </c>
      <c r="B26" t="s">
        <v>32</v>
      </c>
      <c r="C26" s="2">
        <v>17.399999999999999</v>
      </c>
      <c r="D26" s="2">
        <v>11.6</v>
      </c>
      <c r="E26">
        <v>30</v>
      </c>
    </row>
    <row r="27" spans="1:5" x14ac:dyDescent="0.25">
      <c r="A27" s="4">
        <v>43101</v>
      </c>
      <c r="B27" t="s">
        <v>33</v>
      </c>
      <c r="C27" s="2">
        <v>18.600000000000001</v>
      </c>
      <c r="D27" s="2">
        <v>13.4</v>
      </c>
      <c r="E27">
        <v>30</v>
      </c>
    </row>
    <row r="28" spans="1:5" x14ac:dyDescent="0.25">
      <c r="A28" s="4">
        <v>43132</v>
      </c>
      <c r="B28" t="s">
        <v>34</v>
      </c>
      <c r="C28" s="2">
        <v>17.600000000000001</v>
      </c>
      <c r="D28" s="2">
        <v>12.9</v>
      </c>
      <c r="E28">
        <v>30</v>
      </c>
    </row>
    <row r="29" spans="1:5" x14ac:dyDescent="0.25">
      <c r="A29" s="4">
        <v>43160</v>
      </c>
      <c r="B29" t="s">
        <v>35</v>
      </c>
      <c r="C29" s="2">
        <v>17.8</v>
      </c>
      <c r="D29" s="2">
        <v>13</v>
      </c>
      <c r="E29">
        <v>30</v>
      </c>
    </row>
    <row r="30" spans="1:5" x14ac:dyDescent="0.25">
      <c r="A30" s="4">
        <v>43191</v>
      </c>
      <c r="B30" t="s">
        <v>36</v>
      </c>
      <c r="C30" s="2">
        <v>18.2</v>
      </c>
      <c r="D30" s="2">
        <v>13.5</v>
      </c>
      <c r="E30">
        <v>30</v>
      </c>
    </row>
    <row r="31" spans="1:5" x14ac:dyDescent="0.25">
      <c r="A31" s="4">
        <v>43221</v>
      </c>
      <c r="B31" t="s">
        <v>37</v>
      </c>
      <c r="C31" s="2">
        <v>22.2</v>
      </c>
      <c r="D31" s="2">
        <v>16.7</v>
      </c>
      <c r="E31">
        <v>30</v>
      </c>
    </row>
    <row r="32" spans="1:5" x14ac:dyDescent="0.25">
      <c r="A32" s="4">
        <v>43252</v>
      </c>
      <c r="B32" t="s">
        <v>38</v>
      </c>
      <c r="C32" s="2">
        <v>24.2</v>
      </c>
      <c r="D32" s="2">
        <v>17.5</v>
      </c>
      <c r="E32">
        <v>30</v>
      </c>
    </row>
    <row r="33" spans="1:5" x14ac:dyDescent="0.25">
      <c r="A33" s="4">
        <v>43282</v>
      </c>
      <c r="B33" t="s">
        <v>39</v>
      </c>
      <c r="C33" s="2">
        <v>23.7</v>
      </c>
      <c r="D33" s="2">
        <v>17.100000000000001</v>
      </c>
      <c r="E33">
        <v>30</v>
      </c>
    </row>
    <row r="34" spans="1:5" x14ac:dyDescent="0.25">
      <c r="A34" s="4">
        <v>43313</v>
      </c>
      <c r="B34" t="s">
        <v>40</v>
      </c>
      <c r="C34" s="2">
        <v>31.5</v>
      </c>
      <c r="D34" s="2">
        <v>21.2</v>
      </c>
      <c r="E34">
        <v>30</v>
      </c>
    </row>
    <row r="35" spans="1:5" x14ac:dyDescent="0.25">
      <c r="A35" s="4">
        <v>43344</v>
      </c>
      <c r="B35" t="s">
        <v>41</v>
      </c>
      <c r="C35" s="2">
        <v>31.9</v>
      </c>
      <c r="D35" s="2">
        <v>20.3</v>
      </c>
      <c r="E35">
        <v>30</v>
      </c>
    </row>
    <row r="36" spans="1:5" x14ac:dyDescent="0.25">
      <c r="A36" s="4">
        <v>43374</v>
      </c>
      <c r="B36" t="s">
        <v>42</v>
      </c>
      <c r="C36" s="2">
        <v>30.6</v>
      </c>
      <c r="D36" s="2">
        <v>20.100000000000001</v>
      </c>
      <c r="E36">
        <v>30</v>
      </c>
    </row>
    <row r="37" spans="1:5" x14ac:dyDescent="0.25">
      <c r="A37" s="4">
        <v>43405</v>
      </c>
      <c r="B37" t="s">
        <v>43</v>
      </c>
      <c r="C37" s="2">
        <v>28.6</v>
      </c>
      <c r="D37" s="2">
        <v>19.3</v>
      </c>
      <c r="E37">
        <v>30</v>
      </c>
    </row>
    <row r="38" spans="1:5" x14ac:dyDescent="0.25">
      <c r="A38" s="4">
        <v>43435</v>
      </c>
      <c r="B38" t="s">
        <v>44</v>
      </c>
      <c r="C38" s="2">
        <v>28.7</v>
      </c>
      <c r="D38" s="2">
        <v>19.899999999999999</v>
      </c>
      <c r="E38">
        <v>30</v>
      </c>
    </row>
    <row r="39" spans="1:5" x14ac:dyDescent="0.25">
      <c r="A39" s="4">
        <v>43466</v>
      </c>
      <c r="B39" t="s">
        <v>45</v>
      </c>
      <c r="C39" s="2">
        <v>28.5</v>
      </c>
      <c r="D39" s="2">
        <v>19</v>
      </c>
      <c r="E39">
        <v>30</v>
      </c>
    </row>
    <row r="40" spans="1:5" x14ac:dyDescent="0.25">
      <c r="A40" s="4">
        <v>43497</v>
      </c>
      <c r="B40" t="s">
        <v>46</v>
      </c>
      <c r="C40" s="2">
        <v>29</v>
      </c>
      <c r="D40" s="2">
        <v>19.3</v>
      </c>
      <c r="E40">
        <v>30</v>
      </c>
    </row>
    <row r="41" spans="1:5" x14ac:dyDescent="0.25">
      <c r="A41" s="4">
        <v>43525</v>
      </c>
      <c r="B41" t="s">
        <v>47</v>
      </c>
      <c r="C41" s="2">
        <v>30.7</v>
      </c>
      <c r="D41" s="2">
        <v>21</v>
      </c>
      <c r="E41">
        <v>30</v>
      </c>
    </row>
    <row r="42" spans="1:5" x14ac:dyDescent="0.25">
      <c r="A42" s="4">
        <v>43556</v>
      </c>
      <c r="B42" t="s">
        <v>48</v>
      </c>
      <c r="C42" s="2">
        <v>31.4</v>
      </c>
      <c r="D42" s="2">
        <v>23</v>
      </c>
      <c r="E42">
        <v>30</v>
      </c>
    </row>
    <row r="43" spans="1:5" x14ac:dyDescent="0.25">
      <c r="A43" s="4">
        <v>43586</v>
      </c>
      <c r="B43" t="s">
        <v>49</v>
      </c>
      <c r="C43" s="2">
        <v>31</v>
      </c>
      <c r="D43" s="2">
        <v>22.6</v>
      </c>
      <c r="E43">
        <v>30</v>
      </c>
    </row>
    <row r="44" spans="1:5" x14ac:dyDescent="0.25">
      <c r="A44" s="4">
        <v>43617</v>
      </c>
      <c r="B44" t="s">
        <v>50</v>
      </c>
      <c r="C44" s="2">
        <v>30</v>
      </c>
      <c r="D44" s="2">
        <v>22.1</v>
      </c>
      <c r="E44">
        <v>30</v>
      </c>
    </row>
    <row r="45" spans="1:5" x14ac:dyDescent="0.25">
      <c r="A45" s="4">
        <v>43647</v>
      </c>
      <c r="B45" t="s">
        <v>51</v>
      </c>
      <c r="C45" s="2">
        <v>30.2</v>
      </c>
      <c r="D45" s="2">
        <v>22.7</v>
      </c>
      <c r="E45">
        <v>30</v>
      </c>
    </row>
    <row r="46" spans="1:5" x14ac:dyDescent="0.25">
      <c r="A46" s="4">
        <v>43678</v>
      </c>
      <c r="B46" t="s">
        <v>52</v>
      </c>
      <c r="C46" s="2">
        <v>48.3</v>
      </c>
      <c r="D46" s="2">
        <v>30</v>
      </c>
      <c r="E46">
        <v>30</v>
      </c>
    </row>
    <row r="47" spans="1:5" x14ac:dyDescent="0.25">
      <c r="A47" s="4">
        <v>43709</v>
      </c>
      <c r="B47" t="s">
        <v>53</v>
      </c>
      <c r="C47" s="2">
        <v>48</v>
      </c>
      <c r="D47" s="2">
        <v>30.5</v>
      </c>
      <c r="E47">
        <v>30</v>
      </c>
    </row>
    <row r="48" spans="1:5" x14ac:dyDescent="0.25">
      <c r="A48" s="4">
        <v>43739</v>
      </c>
      <c r="B48" t="s">
        <v>54</v>
      </c>
      <c r="C48" s="2">
        <v>48.2</v>
      </c>
      <c r="D48" s="2">
        <v>30</v>
      </c>
      <c r="E48">
        <v>30</v>
      </c>
    </row>
    <row r="49" spans="1:5" x14ac:dyDescent="0.25">
      <c r="A49" s="4">
        <v>43770</v>
      </c>
      <c r="B49" t="s">
        <v>55</v>
      </c>
      <c r="C49" s="2">
        <v>45.6</v>
      </c>
      <c r="D49" s="2">
        <v>30.5</v>
      </c>
      <c r="E49">
        <v>30</v>
      </c>
    </row>
    <row r="50" spans="1:5" x14ac:dyDescent="0.25">
      <c r="A50" s="4">
        <v>43800</v>
      </c>
      <c r="B50" t="s">
        <v>56</v>
      </c>
      <c r="C50" s="2">
        <v>42.2</v>
      </c>
      <c r="D50" s="2">
        <v>30.1</v>
      </c>
      <c r="E50">
        <v>30</v>
      </c>
    </row>
    <row r="51" spans="1:5" x14ac:dyDescent="0.25">
      <c r="A51" s="4">
        <v>43831</v>
      </c>
      <c r="B51" t="s">
        <v>57</v>
      </c>
      <c r="C51" s="2">
        <v>40</v>
      </c>
      <c r="D51" s="2">
        <v>31.7</v>
      </c>
      <c r="E51">
        <v>30</v>
      </c>
    </row>
    <row r="52" spans="1:5" x14ac:dyDescent="0.25">
      <c r="A52" s="4">
        <v>43862</v>
      </c>
      <c r="B52" t="s">
        <v>58</v>
      </c>
      <c r="C52" s="2">
        <v>39.9</v>
      </c>
      <c r="D52" s="2">
        <v>30</v>
      </c>
      <c r="E52">
        <v>30</v>
      </c>
    </row>
    <row r="53" spans="1:5" x14ac:dyDescent="0.25">
      <c r="A53" s="4">
        <v>43891</v>
      </c>
      <c r="B53" t="s">
        <v>59</v>
      </c>
      <c r="C53" s="2">
        <v>39.5</v>
      </c>
      <c r="D53" s="2">
        <v>32.5</v>
      </c>
      <c r="E53">
        <v>30</v>
      </c>
    </row>
    <row r="54" spans="1:5" x14ac:dyDescent="0.25">
      <c r="A54" s="4">
        <v>43922</v>
      </c>
      <c r="B54" t="s">
        <v>60</v>
      </c>
      <c r="C54" s="2">
        <v>49</v>
      </c>
      <c r="D54" s="2">
        <v>36.4</v>
      </c>
      <c r="E54">
        <v>30</v>
      </c>
    </row>
    <row r="55" spans="1:5" x14ac:dyDescent="0.25">
      <c r="A55" s="4">
        <v>43952</v>
      </c>
      <c r="B55" t="s">
        <v>61</v>
      </c>
      <c r="C55" s="2">
        <v>51</v>
      </c>
      <c r="D55" s="2">
        <v>37.4</v>
      </c>
      <c r="E55">
        <v>30</v>
      </c>
    </row>
    <row r="56" spans="1:5" x14ac:dyDescent="0.25">
      <c r="A56" s="4">
        <v>43983</v>
      </c>
      <c r="B56" t="s">
        <v>62</v>
      </c>
      <c r="C56" s="2">
        <v>52.5</v>
      </c>
      <c r="D56" s="2">
        <v>41.5</v>
      </c>
      <c r="E56">
        <v>30</v>
      </c>
    </row>
    <row r="57" spans="1:5" x14ac:dyDescent="0.25">
      <c r="A57" s="4">
        <v>44013</v>
      </c>
      <c r="B57" t="s">
        <v>63</v>
      </c>
      <c r="C57" s="2">
        <v>51.9</v>
      </c>
      <c r="D57" s="2">
        <v>38.4</v>
      </c>
      <c r="E57">
        <v>30</v>
      </c>
    </row>
    <row r="58" spans="1:5" x14ac:dyDescent="0.25">
      <c r="A58" s="4">
        <v>44044</v>
      </c>
      <c r="B58" t="s">
        <v>64</v>
      </c>
      <c r="C58" s="2">
        <v>51.2</v>
      </c>
      <c r="D58" s="2">
        <v>39</v>
      </c>
      <c r="E58">
        <v>30</v>
      </c>
    </row>
    <row r="59" spans="1:5" x14ac:dyDescent="0.25">
      <c r="A59" s="4">
        <v>44075</v>
      </c>
      <c r="B59" t="s">
        <v>65</v>
      </c>
      <c r="C59" s="2">
        <v>50.5</v>
      </c>
      <c r="D59" s="2">
        <v>38.799999999999997</v>
      </c>
      <c r="E59">
        <v>30</v>
      </c>
    </row>
    <row r="60" spans="1:5" x14ac:dyDescent="0.25">
      <c r="A60" s="4">
        <v>44105</v>
      </c>
      <c r="B60" t="s">
        <v>66</v>
      </c>
      <c r="C60" s="2">
        <v>52.1</v>
      </c>
      <c r="D60" s="2">
        <v>37.6</v>
      </c>
      <c r="E60">
        <v>30</v>
      </c>
    </row>
    <row r="61" spans="1:5" x14ac:dyDescent="0.25">
      <c r="A61" s="4">
        <v>44136</v>
      </c>
      <c r="B61" t="s">
        <v>67</v>
      </c>
      <c r="C61" s="2">
        <v>52.5</v>
      </c>
      <c r="D61" s="2">
        <v>39.1</v>
      </c>
      <c r="E61">
        <v>30</v>
      </c>
    </row>
    <row r="62" spans="1:5" x14ac:dyDescent="0.25">
      <c r="A62" s="4">
        <v>44166</v>
      </c>
      <c r="B62" t="s">
        <v>68</v>
      </c>
      <c r="C62" s="2">
        <v>49.8</v>
      </c>
      <c r="D62" s="2">
        <v>39.200000000000003</v>
      </c>
      <c r="E62">
        <v>30</v>
      </c>
    </row>
    <row r="63" spans="1:5" x14ac:dyDescent="0.25">
      <c r="A63" s="4">
        <v>44197</v>
      </c>
      <c r="B63" t="s">
        <v>69</v>
      </c>
      <c r="C63" s="2">
        <v>49.4</v>
      </c>
      <c r="D63" s="2">
        <v>38.799999999999997</v>
      </c>
      <c r="E63">
        <v>30</v>
      </c>
    </row>
    <row r="64" spans="1:5" x14ac:dyDescent="0.25">
      <c r="A64" s="4">
        <v>44228</v>
      </c>
      <c r="B64" t="s">
        <v>70</v>
      </c>
      <c r="C64" s="2">
        <v>45</v>
      </c>
      <c r="D64" s="2">
        <v>36.799999999999997</v>
      </c>
      <c r="E64">
        <v>30</v>
      </c>
    </row>
    <row r="65" spans="1:5" x14ac:dyDescent="0.25">
      <c r="A65" s="4">
        <v>44256</v>
      </c>
      <c r="B65" t="s">
        <v>71</v>
      </c>
      <c r="C65" s="2">
        <v>43.1</v>
      </c>
      <c r="D65" s="2">
        <v>36.700000000000003</v>
      </c>
      <c r="E65">
        <v>30</v>
      </c>
    </row>
    <row r="66" spans="1:5" x14ac:dyDescent="0.25">
      <c r="A66" s="4">
        <v>44287</v>
      </c>
      <c r="B66" t="s">
        <v>72</v>
      </c>
      <c r="C66" s="2">
        <v>43.3</v>
      </c>
      <c r="D66" s="2">
        <v>36.799999999999997</v>
      </c>
      <c r="E66">
        <v>30</v>
      </c>
    </row>
    <row r="67" spans="1:5" x14ac:dyDescent="0.25">
      <c r="A67" s="4">
        <v>44317</v>
      </c>
      <c r="B67" t="s">
        <v>73</v>
      </c>
      <c r="C67" s="2">
        <v>43.3</v>
      </c>
      <c r="D67" s="2">
        <v>37.9</v>
      </c>
      <c r="E67">
        <v>30</v>
      </c>
    </row>
    <row r="68" spans="1:5" x14ac:dyDescent="0.25">
      <c r="A68" s="4">
        <v>44348</v>
      </c>
      <c r="B68" t="s">
        <v>74</v>
      </c>
      <c r="C68" s="2">
        <v>43.1</v>
      </c>
      <c r="D68" s="2" t="e">
        <v>#N/A</v>
      </c>
      <c r="E68">
        <v>30</v>
      </c>
    </row>
    <row r="69" spans="1:5" x14ac:dyDescent="0.25">
      <c r="A69" s="4">
        <v>44378</v>
      </c>
      <c r="B69" t="s">
        <v>75</v>
      </c>
      <c r="C69" s="2">
        <v>43.2</v>
      </c>
      <c r="D69" s="2">
        <v>38.5</v>
      </c>
      <c r="E69">
        <v>30</v>
      </c>
    </row>
    <row r="70" spans="1:5" x14ac:dyDescent="0.25">
      <c r="A70" s="4">
        <v>44409</v>
      </c>
      <c r="B70" t="s">
        <v>76</v>
      </c>
      <c r="C70" s="2">
        <v>43.7</v>
      </c>
      <c r="D70" s="2">
        <v>38.5</v>
      </c>
      <c r="E70">
        <v>30</v>
      </c>
    </row>
    <row r="71" spans="1:5" x14ac:dyDescent="0.25">
      <c r="A71" s="4">
        <v>44440</v>
      </c>
      <c r="B71" t="s">
        <v>77</v>
      </c>
      <c r="C71" s="2">
        <v>45.6</v>
      </c>
      <c r="D71" s="2">
        <v>38.6</v>
      </c>
      <c r="E71">
        <v>30</v>
      </c>
    </row>
    <row r="72" spans="1:5" x14ac:dyDescent="0.25">
      <c r="A72" s="4">
        <v>44470</v>
      </c>
      <c r="B72" t="s">
        <v>78</v>
      </c>
      <c r="C72" s="2">
        <v>48.6</v>
      </c>
      <c r="D72" s="2">
        <v>40.1</v>
      </c>
      <c r="E72">
        <v>30</v>
      </c>
    </row>
    <row r="73" spans="1:5" x14ac:dyDescent="0.25">
      <c r="A73" s="4">
        <v>44501</v>
      </c>
      <c r="B73" t="s">
        <v>79</v>
      </c>
      <c r="C73" s="2">
        <v>52.3</v>
      </c>
      <c r="D73" s="2">
        <v>41.1</v>
      </c>
      <c r="E73">
        <v>30</v>
      </c>
    </row>
    <row r="74" spans="1:5" x14ac:dyDescent="0.25">
      <c r="A74" s="4">
        <v>44531</v>
      </c>
      <c r="B74" t="s">
        <v>80</v>
      </c>
      <c r="C74" s="2">
        <v>54.8</v>
      </c>
      <c r="D74" s="2">
        <v>43.4</v>
      </c>
      <c r="E74">
        <v>30</v>
      </c>
    </row>
    <row r="75" spans="1:5" x14ac:dyDescent="0.25">
      <c r="A75" s="4">
        <v>44562</v>
      </c>
      <c r="B75" t="s">
        <v>81</v>
      </c>
      <c r="C75" s="2">
        <v>53.9</v>
      </c>
      <c r="D75" s="2">
        <v>44.3</v>
      </c>
      <c r="E75">
        <v>30</v>
      </c>
    </row>
    <row r="76" spans="1:5" x14ac:dyDescent="0.25">
      <c r="A76" s="4">
        <v>44593</v>
      </c>
      <c r="B76" t="s">
        <v>82</v>
      </c>
      <c r="C76" s="2">
        <v>52.9</v>
      </c>
      <c r="D76" s="2">
        <v>44.6</v>
      </c>
      <c r="E76">
        <v>30</v>
      </c>
    </row>
    <row r="77" spans="1:5" x14ac:dyDescent="0.25">
      <c r="A77" s="4">
        <v>44621</v>
      </c>
      <c r="B77" t="s">
        <v>83</v>
      </c>
      <c r="C77" s="2">
        <v>55.4</v>
      </c>
      <c r="D77" s="2">
        <v>45.8</v>
      </c>
      <c r="E77">
        <v>30</v>
      </c>
    </row>
    <row r="78" spans="1:5" x14ac:dyDescent="0.25">
      <c r="A78" s="4">
        <v>44652</v>
      </c>
      <c r="B78" t="s">
        <v>84</v>
      </c>
      <c r="C78" s="2">
        <v>56.1</v>
      </c>
      <c r="D78" s="2">
        <v>50</v>
      </c>
      <c r="E78">
        <v>30</v>
      </c>
    </row>
    <row r="79" spans="1:5" x14ac:dyDescent="0.25">
      <c r="A79" s="4">
        <v>44682</v>
      </c>
      <c r="B79" t="s">
        <v>85</v>
      </c>
      <c r="C79" s="2">
        <v>60.1</v>
      </c>
      <c r="D79" s="2">
        <v>55.2</v>
      </c>
      <c r="E79">
        <v>30</v>
      </c>
    </row>
    <row r="80" spans="1:5" x14ac:dyDescent="0.25">
      <c r="A80" s="4">
        <v>44713</v>
      </c>
      <c r="B80" t="s">
        <v>86</v>
      </c>
      <c r="C80" s="2">
        <v>68.8</v>
      </c>
      <c r="D80" s="2">
        <v>60</v>
      </c>
      <c r="E80">
        <v>30</v>
      </c>
    </row>
    <row r="81" spans="1:5" x14ac:dyDescent="0.25">
      <c r="A81" s="4">
        <v>44743</v>
      </c>
      <c r="B81" t="s">
        <v>87</v>
      </c>
      <c r="C81" s="2">
        <v>83.7</v>
      </c>
      <c r="D81" s="2">
        <v>72.900000000000006</v>
      </c>
      <c r="E81">
        <v>30</v>
      </c>
    </row>
    <row r="82" spans="1:5" x14ac:dyDescent="0.25">
      <c r="A82" s="4">
        <v>44774</v>
      </c>
      <c r="B82" t="s">
        <v>88</v>
      </c>
      <c r="C82" s="2">
        <v>90.5</v>
      </c>
      <c r="D82" s="2">
        <v>72.400000000000006</v>
      </c>
      <c r="E82">
        <v>30</v>
      </c>
    </row>
    <row r="83" spans="1:5" x14ac:dyDescent="0.25">
      <c r="A83" s="4">
        <v>44805</v>
      </c>
      <c r="B83" t="s">
        <v>89</v>
      </c>
      <c r="C83" s="2">
        <v>94.1</v>
      </c>
      <c r="D83" s="2">
        <v>72.7</v>
      </c>
      <c r="E83">
        <v>30</v>
      </c>
    </row>
    <row r="84" spans="1:5" x14ac:dyDescent="0.25">
      <c r="A84" s="4">
        <v>44835</v>
      </c>
      <c r="B84" t="s">
        <v>90</v>
      </c>
      <c r="C84" s="2">
        <v>98.8</v>
      </c>
      <c r="D84" s="2">
        <v>74.5</v>
      </c>
      <c r="E84">
        <v>30</v>
      </c>
    </row>
    <row r="85" spans="1:5" x14ac:dyDescent="0.25">
      <c r="A85" s="4">
        <v>44866</v>
      </c>
      <c r="B85" t="s">
        <v>91</v>
      </c>
      <c r="C85" s="2">
        <v>100.7</v>
      </c>
      <c r="D85" s="2">
        <v>76</v>
      </c>
      <c r="E85">
        <v>30</v>
      </c>
    </row>
    <row r="86" spans="1:5" x14ac:dyDescent="0.25">
      <c r="A86" s="4">
        <v>44896</v>
      </c>
      <c r="B86" t="s">
        <v>92</v>
      </c>
      <c r="C86" s="2">
        <v>98.4</v>
      </c>
      <c r="D86" s="2">
        <v>75</v>
      </c>
      <c r="E86">
        <v>30</v>
      </c>
    </row>
    <row r="87" spans="1:5" x14ac:dyDescent="0.25">
      <c r="A87" s="4">
        <v>44927</v>
      </c>
      <c r="B87" t="s">
        <v>93</v>
      </c>
      <c r="C87" s="2">
        <v>98.5</v>
      </c>
      <c r="D87" s="2">
        <v>74.3</v>
      </c>
      <c r="E87">
        <v>30</v>
      </c>
    </row>
    <row r="88" spans="1:5" x14ac:dyDescent="0.25">
      <c r="A88" s="4">
        <v>44958</v>
      </c>
      <c r="B88" t="s">
        <v>94</v>
      </c>
      <c r="C88" s="2">
        <v>103.5</v>
      </c>
      <c r="D88" s="2">
        <v>73.099999999999994</v>
      </c>
      <c r="E88">
        <v>30</v>
      </c>
    </row>
    <row r="89" spans="1:5" x14ac:dyDescent="0.25">
      <c r="A89" s="4">
        <v>44986</v>
      </c>
      <c r="B89" t="s">
        <v>95</v>
      </c>
      <c r="C89" s="2">
        <v>113.3</v>
      </c>
      <c r="D89" s="2">
        <v>78</v>
      </c>
      <c r="E89">
        <v>30</v>
      </c>
    </row>
    <row r="90" spans="1:5" x14ac:dyDescent="0.25">
      <c r="A90" s="4">
        <v>45017</v>
      </c>
      <c r="B90" t="s">
        <v>96</v>
      </c>
      <c r="C90" s="2">
        <v>146.5</v>
      </c>
      <c r="D90" s="2">
        <v>73</v>
      </c>
      <c r="E90">
        <v>30</v>
      </c>
    </row>
    <row r="91" spans="1:5" x14ac:dyDescent="0.25">
      <c r="A91" s="4">
        <v>45047</v>
      </c>
      <c r="B91" t="s">
        <v>97</v>
      </c>
      <c r="C91" s="2">
        <v>171.1</v>
      </c>
      <c r="D91" s="2">
        <v>70</v>
      </c>
      <c r="E91">
        <v>30</v>
      </c>
    </row>
    <row r="92" spans="1:5" x14ac:dyDescent="0.25">
      <c r="A92" s="4">
        <v>45078</v>
      </c>
      <c r="B92" t="s">
        <v>98</v>
      </c>
      <c r="C92" s="2">
        <v>161.4</v>
      </c>
      <c r="D92" s="2">
        <v>72.2</v>
      </c>
      <c r="E92">
        <v>30</v>
      </c>
    </row>
    <row r="93" spans="1:5" x14ac:dyDescent="0.25">
      <c r="A93" s="4">
        <v>45108</v>
      </c>
      <c r="B93" t="s">
        <v>99</v>
      </c>
      <c r="C93" s="2">
        <v>154.9</v>
      </c>
      <c r="D93" s="2">
        <v>59.9</v>
      </c>
      <c r="E93">
        <v>30</v>
      </c>
    </row>
    <row r="94" spans="1:5" x14ac:dyDescent="0.25">
      <c r="A94" s="4">
        <v>45139</v>
      </c>
      <c r="B94" t="s">
        <v>100</v>
      </c>
      <c r="C94" s="2">
        <v>197.5</v>
      </c>
      <c r="D94" s="2">
        <v>58.9</v>
      </c>
      <c r="E94">
        <v>30</v>
      </c>
    </row>
    <row r="95" spans="1:5" x14ac:dyDescent="0.25">
      <c r="A95" s="4">
        <v>45170</v>
      </c>
      <c r="B95" t="s">
        <v>101</v>
      </c>
      <c r="C95" s="2">
        <v>185.9</v>
      </c>
      <c r="D95" s="2">
        <v>59.2</v>
      </c>
      <c r="E95">
        <v>30</v>
      </c>
    </row>
    <row r="96" spans="1:5" x14ac:dyDescent="0.25">
      <c r="A96" s="4">
        <v>45200</v>
      </c>
      <c r="B96" t="s">
        <v>102</v>
      </c>
      <c r="C96" s="2">
        <v>195.6</v>
      </c>
      <c r="D96" s="2">
        <v>73</v>
      </c>
      <c r="E96">
        <v>30</v>
      </c>
    </row>
    <row r="97" spans="1:5" x14ac:dyDescent="0.25">
      <c r="A97" s="4">
        <v>45231</v>
      </c>
      <c r="B97" t="s">
        <v>103</v>
      </c>
      <c r="C97" s="2">
        <v>226.7</v>
      </c>
      <c r="D97" s="2">
        <v>68.400000000000006</v>
      </c>
      <c r="E97">
        <v>30</v>
      </c>
    </row>
    <row r="98" spans="1:5" x14ac:dyDescent="0.25">
      <c r="A98" s="4">
        <v>45261</v>
      </c>
      <c r="B98" t="s">
        <v>104</v>
      </c>
      <c r="C98" s="2">
        <v>213</v>
      </c>
      <c r="D98" s="2">
        <v>63.9</v>
      </c>
      <c r="E98">
        <v>30</v>
      </c>
    </row>
    <row r="99" spans="1:5" x14ac:dyDescent="0.25">
      <c r="A99" s="4">
        <v>45292</v>
      </c>
      <c r="B99" t="s">
        <v>105</v>
      </c>
      <c r="C99" s="2">
        <v>183.2</v>
      </c>
      <c r="D99" s="2">
        <v>58</v>
      </c>
      <c r="E99">
        <v>30</v>
      </c>
    </row>
    <row r="100" spans="1:5" x14ac:dyDescent="0.25">
      <c r="A100" s="4">
        <v>45323</v>
      </c>
      <c r="B100" t="s">
        <v>106</v>
      </c>
      <c r="C100" s="2">
        <v>146.9</v>
      </c>
      <c r="D100" s="2">
        <v>52.5</v>
      </c>
      <c r="E100">
        <v>30</v>
      </c>
    </row>
    <row r="101" spans="1:5" x14ac:dyDescent="0.25">
      <c r="A101" s="4">
        <v>45352</v>
      </c>
      <c r="B101" t="s">
        <v>107</v>
      </c>
      <c r="C101" s="2">
        <v>120</v>
      </c>
      <c r="D101" s="2">
        <v>49</v>
      </c>
      <c r="E101">
        <v>30</v>
      </c>
    </row>
    <row r="102" spans="1:5" x14ac:dyDescent="0.25">
      <c r="A102" s="4">
        <v>45383</v>
      </c>
      <c r="B102" t="s">
        <v>108</v>
      </c>
      <c r="C102" s="2">
        <v>88</v>
      </c>
      <c r="D102" s="2">
        <v>41.2</v>
      </c>
      <c r="E102">
        <v>30</v>
      </c>
    </row>
    <row r="103" spans="1:5" x14ac:dyDescent="0.25">
      <c r="A103" s="4">
        <v>45413</v>
      </c>
      <c r="B103" t="s">
        <v>109</v>
      </c>
      <c r="C103" s="2">
        <v>68.900000000000006</v>
      </c>
      <c r="D103" s="2">
        <v>38.6</v>
      </c>
      <c r="E103">
        <v>30</v>
      </c>
    </row>
    <row r="104" spans="1:5" x14ac:dyDescent="0.25">
      <c r="A104" s="4">
        <v>45444</v>
      </c>
      <c r="B104" t="s">
        <v>110</v>
      </c>
      <c r="C104" s="2">
        <v>63.3</v>
      </c>
      <c r="D104" s="2">
        <v>36.200000000000003</v>
      </c>
      <c r="E104">
        <v>30</v>
      </c>
    </row>
    <row r="105" spans="1:5" x14ac:dyDescent="0.25">
      <c r="A105" s="4">
        <v>45474</v>
      </c>
      <c r="B105" t="s">
        <v>111</v>
      </c>
      <c r="C105" s="2">
        <v>53.7</v>
      </c>
      <c r="D105" s="2">
        <v>30.3</v>
      </c>
      <c r="E105">
        <v>30</v>
      </c>
    </row>
    <row r="106" spans="1:5" x14ac:dyDescent="0.25">
      <c r="A106" s="4">
        <v>45505</v>
      </c>
      <c r="B106" t="s">
        <v>112</v>
      </c>
      <c r="C106" s="2">
        <v>44.7</v>
      </c>
      <c r="D106" s="2">
        <v>27.2</v>
      </c>
      <c r="E106">
        <v>30</v>
      </c>
    </row>
    <row r="107" spans="1:5" x14ac:dyDescent="0.25">
      <c r="A107" s="4">
        <v>45536</v>
      </c>
      <c r="B107" t="s">
        <v>113</v>
      </c>
      <c r="C107" s="2">
        <v>40.9</v>
      </c>
      <c r="D107" s="2">
        <v>25</v>
      </c>
      <c r="E107">
        <v>30</v>
      </c>
    </row>
    <row r="108" spans="1:5" x14ac:dyDescent="0.25">
      <c r="A108" s="4">
        <v>45566</v>
      </c>
      <c r="B108" t="s">
        <v>114</v>
      </c>
      <c r="C108" s="2">
        <v>35</v>
      </c>
      <c r="D108" s="2">
        <v>22</v>
      </c>
      <c r="E108">
        <v>30</v>
      </c>
    </row>
    <row r="109" spans="1:5" x14ac:dyDescent="0.25">
      <c r="A109" s="4">
        <v>45597</v>
      </c>
      <c r="B109" t="s">
        <v>115</v>
      </c>
      <c r="C109" s="2">
        <v>29.4</v>
      </c>
      <c r="D109" s="2">
        <v>19.3</v>
      </c>
      <c r="E109">
        <v>30</v>
      </c>
    </row>
    <row r="110" spans="1:5" x14ac:dyDescent="0.25">
      <c r="A110" s="4">
        <v>45627</v>
      </c>
      <c r="B110" t="s">
        <v>116</v>
      </c>
      <c r="C110" s="2">
        <v>25.9</v>
      </c>
      <c r="D110" s="2">
        <v>15.3</v>
      </c>
      <c r="E110">
        <v>30</v>
      </c>
    </row>
    <row r="111" spans="1:5" x14ac:dyDescent="0.25">
      <c r="A111" s="4">
        <v>45658</v>
      </c>
      <c r="B111" t="s">
        <v>117</v>
      </c>
      <c r="C111" s="2">
        <v>21.9</v>
      </c>
      <c r="D111" s="2">
        <v>13.8</v>
      </c>
      <c r="E111">
        <v>30</v>
      </c>
    </row>
    <row r="112" spans="1:5" x14ac:dyDescent="0.25">
      <c r="A112" s="4">
        <v>45689</v>
      </c>
      <c r="B112" t="s">
        <v>118</v>
      </c>
      <c r="C112" s="2">
        <v>22.2</v>
      </c>
      <c r="D112" s="2">
        <v>13.3</v>
      </c>
      <c r="E112">
        <v>30</v>
      </c>
    </row>
    <row r="113" spans="1:5" x14ac:dyDescent="0.25">
      <c r="A113" s="4">
        <v>45717</v>
      </c>
      <c r="B113" t="s">
        <v>119</v>
      </c>
      <c r="C113" s="2">
        <v>24.5</v>
      </c>
      <c r="D113" s="2">
        <v>13.3</v>
      </c>
      <c r="E113">
        <v>30</v>
      </c>
    </row>
    <row r="114" spans="1:5" x14ac:dyDescent="0.25">
      <c r="A114" s="4">
        <v>45748</v>
      </c>
      <c r="B114" t="s">
        <v>120</v>
      </c>
      <c r="C114" s="2">
        <v>26.3</v>
      </c>
      <c r="D114" s="2">
        <v>14.4</v>
      </c>
      <c r="E114">
        <v>30</v>
      </c>
    </row>
    <row r="115" spans="1:5" x14ac:dyDescent="0.25">
      <c r="A115" s="4">
        <v>45778</v>
      </c>
      <c r="B115" t="s">
        <v>121</v>
      </c>
      <c r="C115" s="2">
        <v>20.9</v>
      </c>
      <c r="D115" s="2">
        <v>13.6</v>
      </c>
      <c r="E115">
        <v>30</v>
      </c>
    </row>
    <row r="116" spans="1:5" x14ac:dyDescent="0.25">
      <c r="A116" s="4">
        <v>45809</v>
      </c>
      <c r="B116" t="s">
        <v>122</v>
      </c>
      <c r="C116" s="2">
        <v>20.8</v>
      </c>
      <c r="D116" s="2">
        <v>13.4</v>
      </c>
      <c r="E116">
        <v>30</v>
      </c>
    </row>
    <row r="117" spans="1:5" x14ac:dyDescent="0.25">
      <c r="A117" s="4">
        <v>45839</v>
      </c>
      <c r="B117" t="s">
        <v>123</v>
      </c>
      <c r="C117" s="2">
        <v>21.1</v>
      </c>
      <c r="D117" s="2">
        <v>11.7</v>
      </c>
      <c r="E117">
        <v>30</v>
      </c>
    </row>
    <row r="118" spans="1:5" x14ac:dyDescent="0.25">
      <c r="A118" s="4">
        <v>45870</v>
      </c>
      <c r="B118" t="s">
        <v>124</v>
      </c>
      <c r="C118" s="2">
        <v>20.9</v>
      </c>
      <c r="D118" s="2">
        <v>12.1</v>
      </c>
      <c r="E118">
        <v>30</v>
      </c>
    </row>
    <row r="119" spans="1:5" x14ac:dyDescent="0.25">
      <c r="A119" s="4">
        <v>45901</v>
      </c>
      <c r="B119" t="s">
        <v>125</v>
      </c>
      <c r="C119" s="2">
        <v>21.9</v>
      </c>
      <c r="D119" s="2">
        <v>12.7</v>
      </c>
      <c r="E119">
        <v>30</v>
      </c>
    </row>
    <row r="120" spans="1:5" x14ac:dyDescent="0.25">
      <c r="A120" s="4">
        <v>45931</v>
      </c>
      <c r="B120" t="s">
        <v>126</v>
      </c>
      <c r="C120" s="2">
        <v>20.8</v>
      </c>
      <c r="D120" s="2">
        <v>11.7</v>
      </c>
      <c r="E120">
        <v>30</v>
      </c>
    </row>
    <row r="121" spans="1:5" x14ac:dyDescent="0.25">
      <c r="A121" s="4">
        <v>45962</v>
      </c>
      <c r="B121" t="s">
        <v>127</v>
      </c>
      <c r="C121" s="2">
        <v>21</v>
      </c>
      <c r="D121" s="2">
        <v>12</v>
      </c>
      <c r="E121">
        <v>30</v>
      </c>
    </row>
    <row r="122" spans="1:5" x14ac:dyDescent="0.25">
      <c r="A122" s="4">
        <v>45992</v>
      </c>
      <c r="B122" t="s">
        <v>128</v>
      </c>
      <c r="C122" s="2">
        <v>20.100000000000001</v>
      </c>
      <c r="D122" s="2">
        <v>12.7</v>
      </c>
      <c r="E122">
        <v>30</v>
      </c>
    </row>
    <row r="123" spans="1:5" x14ac:dyDescent="0.25">
      <c r="A123" s="4">
        <v>46023</v>
      </c>
      <c r="B123" t="s">
        <v>129</v>
      </c>
      <c r="C123" s="2">
        <v>21</v>
      </c>
      <c r="D123" s="2">
        <v>14.6</v>
      </c>
      <c r="E123">
        <v>30</v>
      </c>
    </row>
    <row r="124" spans="1:5" x14ac:dyDescent="0.25">
      <c r="A124" s="4">
        <v>46054</v>
      </c>
      <c r="B124" t="s">
        <v>130</v>
      </c>
      <c r="C124" s="2">
        <v>22.3</v>
      </c>
      <c r="D124" s="2">
        <v>15.4</v>
      </c>
      <c r="E124">
        <v>30</v>
      </c>
    </row>
    <row r="125" spans="1:5" x14ac:dyDescent="0.25">
      <c r="A125" s="4">
        <v>46082</v>
      </c>
      <c r="B125" t="s">
        <v>131</v>
      </c>
      <c r="C125" s="2">
        <v>23.8</v>
      </c>
      <c r="D125" s="2">
        <v>17</v>
      </c>
      <c r="E125">
        <v>30</v>
      </c>
    </row>
    <row r="126" spans="1:5" x14ac:dyDescent="0.25">
      <c r="A126" s="4">
        <v>46113</v>
      </c>
      <c r="B126" t="s">
        <v>132</v>
      </c>
      <c r="C126" s="2">
        <v>24.2</v>
      </c>
      <c r="D126" s="2">
        <v>17.399999999999999</v>
      </c>
      <c r="E126">
        <v>30</v>
      </c>
    </row>
    <row r="127" spans="1:5" x14ac:dyDescent="0.25">
      <c r="A127" s="4">
        <v>46143</v>
      </c>
      <c r="B127" t="s">
        <v>133</v>
      </c>
      <c r="C127" s="2">
        <v>23.3</v>
      </c>
      <c r="D127" s="2">
        <v>17.5</v>
      </c>
      <c r="E127">
        <v>30</v>
      </c>
    </row>
    <row r="128" spans="1:5" x14ac:dyDescent="0.25">
      <c r="A128" s="4">
        <v>46174</v>
      </c>
      <c r="B128" t="s">
        <v>134</v>
      </c>
      <c r="C128" s="2">
        <v>22.3</v>
      </c>
      <c r="D128" s="2">
        <v>16.899999999999999</v>
      </c>
      <c r="E128">
        <v>30</v>
      </c>
    </row>
    <row r="129" spans="1:5" x14ac:dyDescent="0.25">
      <c r="A129" s="4">
        <v>46204</v>
      </c>
      <c r="B129" t="s">
        <v>135</v>
      </c>
      <c r="C129" s="2">
        <v>21.8</v>
      </c>
      <c r="D129" s="2">
        <v>16.600000000000001</v>
      </c>
      <c r="E129">
        <v>30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808F7-67F9-4419-B9F4-0313853BE1AF}">
  <sheetPr>
    <tabColor rgb="FF001E50"/>
  </sheetPr>
  <dimension ref="A1:I264"/>
  <sheetViews>
    <sheetView workbookViewId="0" showGridLines="0" zoomScale="100" zoomScaleNormal="100">
      <pane ySplit="6" topLeftCell="A7" activePane="bottomLeft" state="frozen"/>
      <selection pane="bottomLeft" activeCell="A7" sqref="A7"/>
    </sheetView>
  </sheetViews>
  <sheetFormatPr defaultRowHeight="15" x14ac:dyDescent="0.25"/>
  <sheetData>
    <row r="1" spans="2:6" x14ac:dyDescent="0.25">
      <c r="C1" t="s">
        <v>137</v>
      </c>
      <c r="E1" t="s">
        <v>139</v>
      </c>
      <c r="F1" t="s">
        <v>140</v>
      </c>
    </row>
    <row r="2" spans="2:6" x14ac:dyDescent="0.25">
      <c r="B2" s="1" t="s">
        <v>143</v>
      </c>
      <c r="C2" t="s">
        <v>142</v>
      </c>
      <c r="E2" t="s">
        <v>138</v>
      </c>
      <c r="F2" t="s">
        <v>141</v>
      </c>
    </row>
    <row r="3" spans="2:6" x14ac:dyDescent="0.25">
      <c r="B3" t="s">
        <v>9</v>
      </c>
      <c r="C3" t="s">
        <v>148</v>
      </c>
      <c r="E3" t="s">
        <v>149</v>
      </c>
      <c r="F3" t="s">
        <v>150</v>
      </c>
    </row>
    <row r="4" spans="2:6" x14ac:dyDescent="0.25">
      <c r="B4" t="s">
        <v>8</v>
      </c>
      <c r="C4" t="s">
        <v>147</v>
      </c>
      <c r="E4" t="s">
        <v>147</v>
      </c>
      <c r="F4" t="s">
        <v>147</v>
      </c>
    </row>
    <row r="5" spans="2:6" x14ac:dyDescent="0.25">
      <c r="B5" t="s">
        <v>7</v>
      </c>
      <c r="C5" t="s">
        <v>146</v>
      </c>
      <c r="E5" t="s">
        <v>146</v>
      </c>
      <c r="F5" t="s">
        <v>146</v>
      </c>
    </row>
    <row r="6" spans="2:6" x14ac:dyDescent="0.25">
      <c r="B6" t="s">
        <v>6</v>
      </c>
      <c r="C6" t="s">
        <v>145</v>
      </c>
      <c r="E6" t="s">
        <v>145</v>
      </c>
      <c r="F6" t="s">
        <v>145</v>
      </c>
    </row>
    <row r="7" spans="2:6" x14ac:dyDescent="0.25">
      <c r="B7" t="s">
        <v>144</v>
      </c>
      <c r="C7" s="2">
        <v>880.1</v>
      </c>
      <c r="D7" s="2">
        <f>E7-F7</f>
        <v>455.8</v>
      </c>
      <c r="E7" s="5">
        <v>542</v>
      </c>
      <c r="F7" s="2">
        <v>86.2</v>
      </c>
    </row>
    <row r="8" spans="2:6" x14ac:dyDescent="0.25">
      <c r="B8" t="s">
        <v>151</v>
      </c>
      <c r="C8" s="2">
        <v>739</v>
      </c>
      <c r="D8" s="2">
        <f t="shared" ref="D8:D71" si="0">E8-F8</f>
        <v>350</v>
      </c>
      <c r="E8" s="5">
        <v>436</v>
      </c>
      <c r="F8" s="2">
        <v>86</v>
      </c>
    </row>
    <row r="9" spans="2:6" x14ac:dyDescent="0.25">
      <c r="B9" t="s">
        <v>152</v>
      </c>
      <c r="C9" s="2">
        <v>856.9</v>
      </c>
      <c r="D9" s="2">
        <f t="shared" si="0"/>
        <v>430.9</v>
      </c>
      <c r="E9" s="5">
        <v>510</v>
      </c>
      <c r="F9" s="2">
        <v>79.099999999999994</v>
      </c>
    </row>
    <row r="10" spans="2:6" x14ac:dyDescent="0.25">
      <c r="B10" t="s">
        <v>153</v>
      </c>
      <c r="C10" s="2">
        <v>1180.9000000000001</v>
      </c>
      <c r="D10" s="2">
        <f t="shared" si="0"/>
        <v>389.7</v>
      </c>
      <c r="E10" s="5">
        <v>574</v>
      </c>
      <c r="F10" s="2">
        <v>184.3</v>
      </c>
    </row>
    <row r="11" spans="2:6" x14ac:dyDescent="0.25">
      <c r="B11" t="s">
        <v>154</v>
      </c>
      <c r="C11" s="2">
        <v>1219.3</v>
      </c>
      <c r="D11" s="2">
        <f t="shared" si="0"/>
        <v>354.6</v>
      </c>
      <c r="E11" s="5">
        <v>547</v>
      </c>
      <c r="F11" s="2">
        <v>192.4</v>
      </c>
    </row>
    <row r="12" spans="2:6" x14ac:dyDescent="0.25">
      <c r="B12" t="s">
        <v>155</v>
      </c>
      <c r="C12" s="2">
        <v>726.6</v>
      </c>
      <c r="D12" s="2">
        <f t="shared" si="0"/>
        <v>397.7</v>
      </c>
      <c r="E12" s="5">
        <v>599</v>
      </c>
      <c r="F12" s="2">
        <v>201.3</v>
      </c>
    </row>
    <row r="13" spans="2:6" x14ac:dyDescent="0.25">
      <c r="B13" t="s">
        <v>156</v>
      </c>
      <c r="C13" s="2">
        <v>1252</v>
      </c>
      <c r="D13" s="2">
        <f t="shared" si="0"/>
        <v>431.2</v>
      </c>
      <c r="E13" s="5">
        <v>585</v>
      </c>
      <c r="F13" s="2">
        <v>153.80000000000001</v>
      </c>
    </row>
    <row r="14" spans="2:6" x14ac:dyDescent="0.25">
      <c r="B14" t="s">
        <v>157</v>
      </c>
      <c r="C14" s="2">
        <v>1211.7</v>
      </c>
      <c r="D14" s="2">
        <f t="shared" si="0"/>
        <v>574.9</v>
      </c>
      <c r="E14" s="5">
        <v>703</v>
      </c>
      <c r="F14" s="2">
        <v>128.1</v>
      </c>
    </row>
    <row r="15" spans="2:6" x14ac:dyDescent="0.25">
      <c r="B15" t="s">
        <v>158</v>
      </c>
      <c r="C15" s="2">
        <v>1014.8</v>
      </c>
      <c r="D15" s="2">
        <f t="shared" si="0"/>
        <v>602.6</v>
      </c>
      <c r="E15" s="5">
        <v>713</v>
      </c>
      <c r="F15" s="2">
        <v>110.4</v>
      </c>
    </row>
    <row r="16" spans="2:6" x14ac:dyDescent="0.25">
      <c r="B16" t="s">
        <v>159</v>
      </c>
      <c r="C16" s="2">
        <v>896.2</v>
      </c>
      <c r="D16" s="2">
        <f t="shared" si="0"/>
        <v>555.70000000000005</v>
      </c>
      <c r="E16" s="5">
        <v>654</v>
      </c>
      <c r="F16" s="2">
        <v>98.3</v>
      </c>
    </row>
    <row r="17" spans="1:9" x14ac:dyDescent="0.25">
      <c r="B17" t="s">
        <v>160</v>
      </c>
      <c r="C17" s="2">
        <v>572.79999999999995</v>
      </c>
      <c r="D17" s="2">
        <f t="shared" si="0"/>
        <v>519</v>
      </c>
      <c r="E17" s="5">
        <v>617</v>
      </c>
      <c r="F17" s="2">
        <v>98</v>
      </c>
      <c r="G17" t="s">
        <v>289</v>
      </c>
      <c r="H17" t="s">
        <v>288</v>
      </c>
      <c r="I17" t="s">
        <v>287</v>
      </c>
    </row>
    <row r="18" spans="1:9" x14ac:dyDescent="0.25">
      <c r="A18" s="3">
        <v>38687</v>
      </c>
      <c r="B18" t="s">
        <v>161</v>
      </c>
      <c r="C18" s="2">
        <v>1149.5999999999999</v>
      </c>
      <c r="D18" s="2">
        <f t="shared" si="0"/>
        <v>542.6</v>
      </c>
      <c r="E18" s="5">
        <v>670</v>
      </c>
      <c r="F18" s="2">
        <v>127.4</v>
      </c>
      <c r="G18" s="2">
        <f>SUM(C7:C18)</f>
        <v>11699.9</v>
      </c>
      <c r="H18" s="2">
        <f>SUM(D7:D18)</f>
        <v>5604.7</v>
      </c>
      <c r="I18" s="2">
        <f>G18-H18</f>
        <v>6095.2</v>
      </c>
    </row>
    <row r="19" spans="1:9" x14ac:dyDescent="0.25">
      <c r="A19" s="3">
        <v>38718</v>
      </c>
      <c r="B19" t="s">
        <v>162</v>
      </c>
      <c r="C19" s="2">
        <v>863.9</v>
      </c>
      <c r="D19" s="2">
        <f t="shared" si="0"/>
        <v>549.4</v>
      </c>
      <c r="E19" s="5">
        <v>649</v>
      </c>
      <c r="F19" s="2">
        <v>99.6</v>
      </c>
      <c r="G19" s="2">
        <f t="shared" ref="G19:H19" si="1">SUM(C8:C19)</f>
        <v>11683.7</v>
      </c>
      <c r="H19" s="2">
        <f t="shared" si="1"/>
        <v>5698.3</v>
      </c>
      <c r="I19" s="2">
        <f t="shared" ref="I19:I82" si="2">G19-H19</f>
        <v>5985.4000000000005</v>
      </c>
    </row>
    <row r="20" spans="1:9" x14ac:dyDescent="0.25">
      <c r="A20" s="3">
        <v>38749</v>
      </c>
      <c r="B20" t="s">
        <v>163</v>
      </c>
      <c r="C20" s="2">
        <v>763.9</v>
      </c>
      <c r="D20" s="2">
        <f t="shared" si="0"/>
        <v>487.2</v>
      </c>
      <c r="E20" s="5">
        <v>587</v>
      </c>
      <c r="F20" s="2">
        <v>99.8</v>
      </c>
      <c r="G20" s="2">
        <f t="shared" ref="G20:H20" si="3">SUM(C9:C20)</f>
        <v>11708.6</v>
      </c>
      <c r="H20" s="2">
        <f t="shared" si="3"/>
        <v>5835.5</v>
      </c>
      <c r="I20" s="2">
        <f t="shared" si="2"/>
        <v>5873.1</v>
      </c>
    </row>
    <row r="21" spans="1:9" x14ac:dyDescent="0.25">
      <c r="A21" s="3">
        <v>38777</v>
      </c>
      <c r="B21" t="s">
        <v>164</v>
      </c>
      <c r="C21" s="2">
        <v>925.9</v>
      </c>
      <c r="D21" s="2">
        <f t="shared" si="0"/>
        <v>474.3</v>
      </c>
      <c r="E21" s="5">
        <v>599</v>
      </c>
      <c r="F21" s="2">
        <v>124.7</v>
      </c>
      <c r="G21" s="2">
        <f t="shared" ref="G21:H21" si="4">SUM(C10:C21)</f>
        <v>11777.599999999999</v>
      </c>
      <c r="H21" s="2">
        <f t="shared" si="4"/>
        <v>5878.9</v>
      </c>
      <c r="I21" s="2">
        <f t="shared" si="2"/>
        <v>5898.6999999999989</v>
      </c>
    </row>
    <row r="22" spans="1:9" x14ac:dyDescent="0.25">
      <c r="A22" s="3">
        <v>38808</v>
      </c>
      <c r="B22" t="s">
        <v>165</v>
      </c>
      <c r="C22" s="2">
        <v>1379.9</v>
      </c>
      <c r="D22" s="2">
        <f t="shared" si="0"/>
        <v>577.5</v>
      </c>
      <c r="E22" s="5">
        <v>710</v>
      </c>
      <c r="F22" s="2">
        <v>132.5</v>
      </c>
      <c r="G22" s="2">
        <f t="shared" ref="G22:H22" si="5">SUM(C11:C22)</f>
        <v>11976.599999999999</v>
      </c>
      <c r="H22" s="2">
        <f t="shared" si="5"/>
        <v>6066.7</v>
      </c>
      <c r="I22" s="2">
        <f t="shared" si="2"/>
        <v>5909.8999999999987</v>
      </c>
    </row>
    <row r="23" spans="1:9" x14ac:dyDescent="0.25">
      <c r="A23" s="3">
        <v>38838</v>
      </c>
      <c r="B23" t="s">
        <v>166</v>
      </c>
      <c r="C23" s="2">
        <v>1355.4</v>
      </c>
      <c r="D23" s="2">
        <f t="shared" si="0"/>
        <v>467.7</v>
      </c>
      <c r="E23" s="5">
        <v>600</v>
      </c>
      <c r="F23" s="2">
        <v>132.30000000000001</v>
      </c>
      <c r="G23" s="2">
        <f t="shared" ref="G23:H23" si="6">SUM(C12:C23)</f>
        <v>12112.699999999999</v>
      </c>
      <c r="H23" s="2">
        <f t="shared" si="6"/>
        <v>6179.8</v>
      </c>
      <c r="I23" s="2">
        <f t="shared" si="2"/>
        <v>5932.8999999999987</v>
      </c>
    </row>
    <row r="24" spans="1:9" x14ac:dyDescent="0.25">
      <c r="A24" s="3">
        <v>38869</v>
      </c>
      <c r="B24" t="s">
        <v>167</v>
      </c>
      <c r="C24" s="2">
        <v>988.6</v>
      </c>
      <c r="D24" s="2">
        <f t="shared" si="0"/>
        <v>498.7</v>
      </c>
      <c r="E24" s="5">
        <v>716</v>
      </c>
      <c r="F24" s="2">
        <v>217.3</v>
      </c>
      <c r="G24" s="2">
        <f t="shared" ref="G24:H24" si="7">SUM(C13:C24)</f>
        <v>12374.699999999999</v>
      </c>
      <c r="H24" s="2">
        <f t="shared" si="7"/>
        <v>6280.7999999999993</v>
      </c>
      <c r="I24" s="2">
        <f t="shared" si="2"/>
        <v>6093.9</v>
      </c>
    </row>
    <row r="25" spans="1:9" x14ac:dyDescent="0.25">
      <c r="A25" s="3">
        <v>38899</v>
      </c>
      <c r="B25" t="s">
        <v>168</v>
      </c>
      <c r="C25" s="2">
        <v>964.5</v>
      </c>
      <c r="D25" s="2">
        <f t="shared" si="0"/>
        <v>477.5</v>
      </c>
      <c r="E25" s="5">
        <v>657</v>
      </c>
      <c r="F25" s="2">
        <v>179.5</v>
      </c>
      <c r="G25" s="2">
        <f t="shared" ref="G25:H25" si="8">SUM(C14:C25)</f>
        <v>12087.199999999999</v>
      </c>
      <c r="H25" s="2">
        <f t="shared" si="8"/>
        <v>6327.0999999999995</v>
      </c>
      <c r="I25" s="2">
        <f t="shared" si="2"/>
        <v>5760.0999999999995</v>
      </c>
    </row>
    <row r="26" spans="1:9" x14ac:dyDescent="0.25">
      <c r="A26" s="3">
        <v>38930</v>
      </c>
      <c r="B26" t="s">
        <v>169</v>
      </c>
      <c r="C26" s="2">
        <v>965.4</v>
      </c>
      <c r="D26" s="2">
        <f t="shared" si="0"/>
        <v>423.5</v>
      </c>
      <c r="E26" s="5">
        <v>646</v>
      </c>
      <c r="F26" s="2">
        <v>222.5</v>
      </c>
      <c r="G26" s="2">
        <f t="shared" ref="G26:H26" si="9">SUM(C15:C26)</f>
        <v>11840.9</v>
      </c>
      <c r="H26" s="2">
        <f t="shared" si="9"/>
        <v>6175.7</v>
      </c>
      <c r="I26" s="2">
        <f t="shared" si="2"/>
        <v>5665.2</v>
      </c>
    </row>
    <row r="27" spans="1:9" x14ac:dyDescent="0.25">
      <c r="A27" s="3">
        <v>38961</v>
      </c>
      <c r="B27" t="s">
        <v>170</v>
      </c>
      <c r="C27" s="2">
        <v>878.7</v>
      </c>
      <c r="D27" s="2">
        <f t="shared" si="0"/>
        <v>455.7</v>
      </c>
      <c r="E27" s="5">
        <v>640</v>
      </c>
      <c r="F27" s="2">
        <v>184.3</v>
      </c>
      <c r="G27" s="2">
        <f t="shared" ref="G27:H27" si="10">SUM(C16:C27)</f>
        <v>11704.8</v>
      </c>
      <c r="H27" s="2">
        <f t="shared" si="10"/>
        <v>6028.8</v>
      </c>
      <c r="I27" s="2">
        <f t="shared" si="2"/>
        <v>5675.9999999999991</v>
      </c>
    </row>
    <row r="28" spans="1:9" x14ac:dyDescent="0.25">
      <c r="A28" s="3">
        <v>38991</v>
      </c>
      <c r="B28" t="s">
        <v>171</v>
      </c>
      <c r="C28" s="2">
        <v>948.6</v>
      </c>
      <c r="D28" s="2">
        <f t="shared" si="0"/>
        <v>576.9</v>
      </c>
      <c r="E28" s="5">
        <v>717</v>
      </c>
      <c r="F28" s="2">
        <v>140.1</v>
      </c>
      <c r="G28" s="2">
        <f t="shared" ref="G28:H28" si="11">SUM(C17:C28)</f>
        <v>11757.2</v>
      </c>
      <c r="H28" s="2">
        <f t="shared" si="11"/>
        <v>6049.9999999999991</v>
      </c>
      <c r="I28" s="2">
        <f t="shared" si="2"/>
        <v>5707.2000000000016</v>
      </c>
    </row>
    <row r="29" spans="1:9" x14ac:dyDescent="0.25">
      <c r="A29" s="3">
        <v>39022</v>
      </c>
      <c r="B29" t="s">
        <v>172</v>
      </c>
      <c r="C29" s="2">
        <v>872.9</v>
      </c>
      <c r="D29" s="2">
        <f t="shared" si="0"/>
        <v>502.5</v>
      </c>
      <c r="E29" s="5">
        <v>622</v>
      </c>
      <c r="F29" s="2">
        <v>119.5</v>
      </c>
      <c r="G29" s="2">
        <f t="shared" ref="G29:H29" si="12">SUM(C18:C29)</f>
        <v>12057.300000000001</v>
      </c>
      <c r="H29" s="2">
        <f t="shared" si="12"/>
        <v>6033.4999999999991</v>
      </c>
      <c r="I29" s="2">
        <f t="shared" si="2"/>
        <v>6023.800000000002</v>
      </c>
    </row>
    <row r="30" spans="1:9" x14ac:dyDescent="0.25">
      <c r="A30" s="3">
        <v>39052</v>
      </c>
      <c r="B30" t="s">
        <v>173</v>
      </c>
      <c r="C30" s="2">
        <v>1485</v>
      </c>
      <c r="D30" s="2">
        <f t="shared" si="0"/>
        <v>590</v>
      </c>
      <c r="E30" s="5">
        <v>670</v>
      </c>
      <c r="F30" s="2">
        <v>80</v>
      </c>
      <c r="G30" s="2">
        <f t="shared" ref="G30:H30" si="13">SUM(C19:C30)</f>
        <v>12392.7</v>
      </c>
      <c r="H30" s="2">
        <f t="shared" si="13"/>
        <v>6080.8999999999987</v>
      </c>
      <c r="I30" s="2">
        <f t="shared" si="2"/>
        <v>6311.800000000002</v>
      </c>
    </row>
    <row r="31" spans="1:9" x14ac:dyDescent="0.25">
      <c r="A31" s="3">
        <v>39083</v>
      </c>
      <c r="B31" t="s">
        <v>174</v>
      </c>
      <c r="C31" s="2">
        <v>438.5</v>
      </c>
      <c r="D31" s="2">
        <f t="shared" si="0"/>
        <v>435.6</v>
      </c>
      <c r="E31" s="5">
        <v>557</v>
      </c>
      <c r="F31" s="2">
        <v>121.4</v>
      </c>
      <c r="G31" s="2">
        <f t="shared" ref="G31:H31" si="14">SUM(C20:C31)</f>
        <v>11967.300000000001</v>
      </c>
      <c r="H31" s="2">
        <f t="shared" si="14"/>
        <v>5967.1</v>
      </c>
      <c r="I31" s="2">
        <f t="shared" si="2"/>
        <v>6000.2000000000007</v>
      </c>
    </row>
    <row r="32" spans="1:9" x14ac:dyDescent="0.25">
      <c r="A32" s="3">
        <v>39114</v>
      </c>
      <c r="B32" t="s">
        <v>175</v>
      </c>
      <c r="C32" s="2">
        <v>796.6</v>
      </c>
      <c r="D32" s="2">
        <f t="shared" si="0"/>
        <v>474.7</v>
      </c>
      <c r="E32" s="5">
        <v>558</v>
      </c>
      <c r="F32" s="2">
        <v>83.3</v>
      </c>
      <c r="G32" s="2">
        <f t="shared" ref="G32:H32" si="15">SUM(C21:C32)</f>
        <v>12000</v>
      </c>
      <c r="H32" s="2">
        <f t="shared" si="15"/>
        <v>5954.5999999999995</v>
      </c>
      <c r="I32" s="2">
        <f t="shared" si="2"/>
        <v>6045.4000000000005</v>
      </c>
    </row>
    <row r="33" spans="1:9" x14ac:dyDescent="0.25">
      <c r="A33" s="3">
        <v>39142</v>
      </c>
      <c r="B33" t="s">
        <v>176</v>
      </c>
      <c r="C33" s="2">
        <v>750.5</v>
      </c>
      <c r="D33" s="2">
        <f t="shared" si="0"/>
        <v>486.1</v>
      </c>
      <c r="E33" s="5">
        <v>610</v>
      </c>
      <c r="F33" s="2">
        <v>123.9</v>
      </c>
      <c r="G33" s="2">
        <f t="shared" ref="G33:H33" si="16">SUM(C22:C33)</f>
        <v>11824.6</v>
      </c>
      <c r="H33" s="2">
        <f t="shared" si="16"/>
        <v>5966.4000000000005</v>
      </c>
      <c r="I33" s="2">
        <f t="shared" si="2"/>
        <v>5858.2</v>
      </c>
    </row>
    <row r="34" spans="1:9" x14ac:dyDescent="0.25">
      <c r="A34" s="3">
        <v>39173</v>
      </c>
      <c r="B34" t="s">
        <v>177</v>
      </c>
      <c r="C34" s="2">
        <v>1237.7</v>
      </c>
      <c r="D34" s="2">
        <f t="shared" si="0"/>
        <v>477.9</v>
      </c>
      <c r="E34" s="5">
        <v>594</v>
      </c>
      <c r="F34" s="2">
        <v>116.1</v>
      </c>
      <c r="G34" s="2">
        <f t="shared" ref="G34:H34" si="17">SUM(C23:C34)</f>
        <v>11682.4</v>
      </c>
      <c r="H34" s="2">
        <f t="shared" si="17"/>
        <v>5866.8</v>
      </c>
      <c r="I34" s="2">
        <f t="shared" si="2"/>
        <v>5815.5999999999995</v>
      </c>
    </row>
    <row r="35" spans="1:9" x14ac:dyDescent="0.25">
      <c r="A35" s="3">
        <v>39203</v>
      </c>
      <c r="B35" t="s">
        <v>178</v>
      </c>
      <c r="C35" s="2">
        <v>1313.7</v>
      </c>
      <c r="D35" s="2">
        <f t="shared" si="0"/>
        <v>427.2</v>
      </c>
      <c r="E35" s="5">
        <v>613</v>
      </c>
      <c r="F35" s="2">
        <v>185.8</v>
      </c>
      <c r="G35" s="2">
        <f t="shared" ref="G35:H35" si="18">SUM(C24:C35)</f>
        <v>11640.7</v>
      </c>
      <c r="H35" s="2">
        <f t="shared" si="18"/>
        <v>5826.3</v>
      </c>
      <c r="I35" s="2">
        <f t="shared" si="2"/>
        <v>5814.4000000000005</v>
      </c>
    </row>
    <row r="36" spans="1:9" x14ac:dyDescent="0.25">
      <c r="A36" s="3">
        <v>39234</v>
      </c>
      <c r="B36" t="s">
        <v>179</v>
      </c>
      <c r="C36" s="2">
        <v>942.2</v>
      </c>
      <c r="D36" s="2">
        <f t="shared" si="0"/>
        <v>159.89999999999998</v>
      </c>
      <c r="E36" s="5">
        <v>496</v>
      </c>
      <c r="F36" s="2">
        <v>336.1</v>
      </c>
      <c r="G36" s="2">
        <f t="shared" ref="G36:H36" si="19">SUM(C25:C36)</f>
        <v>11594.300000000003</v>
      </c>
      <c r="H36" s="2">
        <f t="shared" si="19"/>
        <v>5487.4999999999991</v>
      </c>
      <c r="I36" s="2">
        <f t="shared" si="2"/>
        <v>6106.8000000000038</v>
      </c>
    </row>
    <row r="37" spans="1:9" x14ac:dyDescent="0.25">
      <c r="A37" s="3">
        <v>39264</v>
      </c>
      <c r="B37" t="s">
        <v>180</v>
      </c>
      <c r="C37" s="2">
        <v>488.4</v>
      </c>
      <c r="D37" s="2">
        <f t="shared" si="0"/>
        <v>-12.199999999999989</v>
      </c>
      <c r="E37" s="5">
        <v>457</v>
      </c>
      <c r="F37" s="2">
        <v>469.2</v>
      </c>
      <c r="G37" s="2">
        <f t="shared" ref="G37:H37" si="20">SUM(C26:C37)</f>
        <v>11118.200000000003</v>
      </c>
      <c r="H37" s="2">
        <f t="shared" si="20"/>
        <v>4997.7999999999993</v>
      </c>
      <c r="I37" s="2">
        <f t="shared" si="2"/>
        <v>6120.4000000000033</v>
      </c>
    </row>
    <row r="38" spans="1:9" x14ac:dyDescent="0.25">
      <c r="A38" s="3">
        <v>39295</v>
      </c>
      <c r="B38" t="s">
        <v>181</v>
      </c>
      <c r="C38" s="2">
        <v>315.2</v>
      </c>
      <c r="D38" s="2">
        <f t="shared" si="0"/>
        <v>-42</v>
      </c>
      <c r="E38" s="5">
        <v>503</v>
      </c>
      <c r="F38" s="2">
        <v>545</v>
      </c>
      <c r="G38" s="2">
        <f t="shared" ref="G38:H38" si="21">SUM(C27:C38)</f>
        <v>10468.000000000002</v>
      </c>
      <c r="H38" s="2">
        <f t="shared" si="21"/>
        <v>4532.2999999999993</v>
      </c>
      <c r="I38" s="2">
        <f t="shared" si="2"/>
        <v>5935.7000000000025</v>
      </c>
    </row>
    <row r="39" spans="1:9" x14ac:dyDescent="0.25">
      <c r="A39" s="3">
        <v>39326</v>
      </c>
      <c r="B39" t="s">
        <v>182</v>
      </c>
      <c r="C39" s="2">
        <v>864.7</v>
      </c>
      <c r="D39" s="2">
        <f t="shared" si="0"/>
        <v>211.1</v>
      </c>
      <c r="E39" s="5">
        <v>466</v>
      </c>
      <c r="F39" s="2">
        <v>254.9</v>
      </c>
      <c r="G39" s="2">
        <f t="shared" ref="G39:H39" si="22">SUM(C28:C39)</f>
        <v>10454.000000000002</v>
      </c>
      <c r="H39" s="2">
        <f t="shared" si="22"/>
        <v>4287.7</v>
      </c>
      <c r="I39" s="2">
        <f t="shared" si="2"/>
        <v>6166.300000000002</v>
      </c>
    </row>
    <row r="40" spans="1:9" x14ac:dyDescent="0.25">
      <c r="A40" s="3">
        <v>39356</v>
      </c>
      <c r="B40" t="s">
        <v>183</v>
      </c>
      <c r="C40" s="2">
        <v>1180.3</v>
      </c>
      <c r="D40" s="2">
        <f t="shared" si="0"/>
        <v>476.4</v>
      </c>
      <c r="E40" s="5">
        <v>706</v>
      </c>
      <c r="F40" s="2">
        <v>229.6</v>
      </c>
      <c r="G40" s="2">
        <f t="shared" ref="G40:H40" si="23">SUM(C29:C40)</f>
        <v>10685.7</v>
      </c>
      <c r="H40" s="2">
        <f t="shared" si="23"/>
        <v>4187.2</v>
      </c>
      <c r="I40" s="2">
        <f t="shared" si="2"/>
        <v>6498.5000000000009</v>
      </c>
    </row>
    <row r="41" spans="1:9" x14ac:dyDescent="0.25">
      <c r="A41" s="3">
        <v>39387</v>
      </c>
      <c r="B41" t="s">
        <v>184</v>
      </c>
      <c r="C41" s="2">
        <v>1039.7</v>
      </c>
      <c r="D41" s="2">
        <f t="shared" si="0"/>
        <v>536.79999999999995</v>
      </c>
      <c r="E41" s="5">
        <v>731</v>
      </c>
      <c r="F41" s="2">
        <v>194.2</v>
      </c>
      <c r="G41" s="2">
        <f t="shared" ref="G41:H41" si="24">SUM(C30:C41)</f>
        <v>10852.5</v>
      </c>
      <c r="H41" s="2">
        <f t="shared" si="24"/>
        <v>4221.5</v>
      </c>
      <c r="I41" s="2">
        <f t="shared" si="2"/>
        <v>6631</v>
      </c>
    </row>
    <row r="42" spans="1:9" x14ac:dyDescent="0.25">
      <c r="A42" s="3">
        <v>39417</v>
      </c>
      <c r="B42" t="s">
        <v>185</v>
      </c>
      <c r="C42" s="2">
        <v>1905.3</v>
      </c>
      <c r="D42" s="2">
        <f t="shared" si="0"/>
        <v>473.9</v>
      </c>
      <c r="E42" s="5">
        <v>659</v>
      </c>
      <c r="F42" s="2">
        <v>185.1</v>
      </c>
      <c r="G42" s="2">
        <f t="shared" ref="G42:H42" si="25">SUM(C31:C42)</f>
        <v>11272.8</v>
      </c>
      <c r="H42" s="2">
        <f t="shared" si="25"/>
        <v>4105.3999999999996</v>
      </c>
      <c r="I42" s="2">
        <f t="shared" si="2"/>
        <v>7167.4</v>
      </c>
    </row>
    <row r="43" spans="1:9" x14ac:dyDescent="0.25">
      <c r="A43" s="3">
        <v>39448</v>
      </c>
      <c r="B43" t="s">
        <v>186</v>
      </c>
      <c r="C43" s="2">
        <v>1339.8</v>
      </c>
      <c r="D43" s="2">
        <f t="shared" si="0"/>
        <v>557.29999999999995</v>
      </c>
      <c r="E43" s="5">
        <v>659</v>
      </c>
      <c r="F43" s="2">
        <v>101.7</v>
      </c>
      <c r="G43" s="2">
        <f t="shared" ref="G43:H43" si="26">SUM(C32:C43)</f>
        <v>12174.099999999999</v>
      </c>
      <c r="H43" s="2">
        <f t="shared" si="26"/>
        <v>4227.0999999999995</v>
      </c>
      <c r="I43" s="2">
        <f t="shared" si="2"/>
        <v>7946.9999999999991</v>
      </c>
    </row>
    <row r="44" spans="1:9" x14ac:dyDescent="0.25">
      <c r="A44" s="3">
        <v>39479</v>
      </c>
      <c r="B44" t="s">
        <v>187</v>
      </c>
      <c r="C44" s="2">
        <v>1015.9</v>
      </c>
      <c r="D44" s="2">
        <f t="shared" si="0"/>
        <v>664.4</v>
      </c>
      <c r="E44" s="5">
        <v>794</v>
      </c>
      <c r="F44" s="2">
        <v>129.6</v>
      </c>
      <c r="G44" s="2">
        <f t="shared" ref="G44:H44" si="27">SUM(C33:C44)</f>
        <v>12393.399999999998</v>
      </c>
      <c r="H44" s="2">
        <f t="shared" si="27"/>
        <v>4416.7999999999993</v>
      </c>
      <c r="I44" s="2">
        <f t="shared" si="2"/>
        <v>7976.5999999999985</v>
      </c>
    </row>
    <row r="45" spans="1:9" x14ac:dyDescent="0.25">
      <c r="A45" s="3">
        <v>39508</v>
      </c>
      <c r="B45" t="s">
        <v>188</v>
      </c>
      <c r="C45" s="2">
        <v>827.4</v>
      </c>
      <c r="D45" s="2">
        <f t="shared" si="0"/>
        <v>551.6</v>
      </c>
      <c r="E45" s="5">
        <v>743</v>
      </c>
      <c r="F45" s="2">
        <v>191.4</v>
      </c>
      <c r="G45" s="2">
        <f t="shared" ref="G45:H45" si="28">SUM(C34:C45)</f>
        <v>12470.3</v>
      </c>
      <c r="H45" s="2">
        <f t="shared" si="28"/>
        <v>4482.2999999999993</v>
      </c>
      <c r="I45" s="2">
        <f t="shared" si="2"/>
        <v>7988</v>
      </c>
    </row>
    <row r="46" spans="1:9" x14ac:dyDescent="0.25">
      <c r="A46" s="3">
        <v>39539</v>
      </c>
      <c r="B46" t="s">
        <v>189</v>
      </c>
      <c r="C46" s="2">
        <v>916.1</v>
      </c>
      <c r="D46" s="2">
        <f t="shared" si="0"/>
        <v>493.5</v>
      </c>
      <c r="E46" s="5">
        <v>823</v>
      </c>
      <c r="F46" s="2">
        <v>329.5</v>
      </c>
      <c r="G46" s="2">
        <f t="shared" ref="G46:H46" si="29">SUM(C35:C46)</f>
        <v>12148.699999999999</v>
      </c>
      <c r="H46" s="2">
        <f t="shared" si="29"/>
        <v>4497.8999999999996</v>
      </c>
      <c r="I46" s="2">
        <f t="shared" si="2"/>
        <v>7650.7999999999993</v>
      </c>
    </row>
    <row r="47" spans="1:9" x14ac:dyDescent="0.25">
      <c r="A47" s="3">
        <v>39569</v>
      </c>
      <c r="B47" t="s">
        <v>190</v>
      </c>
      <c r="C47" s="2">
        <v>1039.8</v>
      </c>
      <c r="D47" s="2">
        <f t="shared" si="0"/>
        <v>-92.700000000000045</v>
      </c>
      <c r="E47" s="5">
        <v>549</v>
      </c>
      <c r="F47" s="2">
        <v>641.70000000000005</v>
      </c>
      <c r="G47" s="2">
        <f t="shared" ref="G47:H47" si="30">SUM(C36:C47)</f>
        <v>11874.8</v>
      </c>
      <c r="H47" s="2">
        <f t="shared" si="30"/>
        <v>3978</v>
      </c>
      <c r="I47" s="2">
        <f t="shared" si="2"/>
        <v>7896.7999999999993</v>
      </c>
    </row>
    <row r="48" spans="1:9" x14ac:dyDescent="0.25">
      <c r="A48" s="3">
        <v>39600</v>
      </c>
      <c r="B48" t="s">
        <v>191</v>
      </c>
      <c r="C48" s="2">
        <v>211</v>
      </c>
      <c r="D48" s="2">
        <f t="shared" si="0"/>
        <v>-223.39999999999998</v>
      </c>
      <c r="E48" s="5">
        <v>508</v>
      </c>
      <c r="F48" s="2">
        <v>731.4</v>
      </c>
      <c r="G48" s="2">
        <f t="shared" ref="G48:H48" si="31">SUM(C37:C48)</f>
        <v>11143.6</v>
      </c>
      <c r="H48" s="2">
        <f t="shared" si="31"/>
        <v>3594.7000000000003</v>
      </c>
      <c r="I48" s="2">
        <f t="shared" si="2"/>
        <v>7548.9</v>
      </c>
    </row>
    <row r="49" spans="1:9" x14ac:dyDescent="0.25">
      <c r="A49" s="3">
        <v>39630</v>
      </c>
      <c r="B49" t="s">
        <v>192</v>
      </c>
      <c r="C49" s="2">
        <v>963.7</v>
      </c>
      <c r="D49" s="2">
        <f t="shared" si="0"/>
        <v>-98.799999999999955</v>
      </c>
      <c r="E49" s="5">
        <v>698</v>
      </c>
      <c r="F49" s="2">
        <v>796.8</v>
      </c>
      <c r="G49" s="2">
        <f t="shared" ref="G49:H49" si="32">SUM(C38:C49)</f>
        <v>11618.9</v>
      </c>
      <c r="H49" s="2">
        <f t="shared" si="32"/>
        <v>3508.1000000000004</v>
      </c>
      <c r="I49" s="2">
        <f t="shared" si="2"/>
        <v>8110.7999999999993</v>
      </c>
    </row>
    <row r="50" spans="1:9" x14ac:dyDescent="0.25">
      <c r="A50" s="3">
        <v>39661</v>
      </c>
      <c r="B50" t="s">
        <v>193</v>
      </c>
      <c r="C50" s="2">
        <v>2208</v>
      </c>
      <c r="D50" s="2">
        <f t="shared" si="0"/>
        <v>440.1</v>
      </c>
      <c r="E50" s="5">
        <v>893</v>
      </c>
      <c r="F50" s="2">
        <v>452.9</v>
      </c>
      <c r="G50" s="2">
        <f t="shared" ref="G50:H50" si="33">SUM(C39:C50)</f>
        <v>13511.699999999999</v>
      </c>
      <c r="H50" s="2">
        <f t="shared" si="33"/>
        <v>3990.2000000000003</v>
      </c>
      <c r="I50" s="2">
        <f t="shared" si="2"/>
        <v>9521.4999999999982</v>
      </c>
    </row>
    <row r="51" spans="1:9" x14ac:dyDescent="0.25">
      <c r="A51" s="3">
        <v>39692</v>
      </c>
      <c r="B51" t="s">
        <v>194</v>
      </c>
      <c r="C51" s="2">
        <v>1607.8</v>
      </c>
      <c r="D51" s="2">
        <f t="shared" si="0"/>
        <v>243</v>
      </c>
      <c r="E51" s="5">
        <v>668</v>
      </c>
      <c r="F51" s="2">
        <v>425</v>
      </c>
      <c r="G51" s="2">
        <f t="shared" ref="G51:H51" si="34">SUM(C40:C51)</f>
        <v>14254.8</v>
      </c>
      <c r="H51" s="2">
        <f t="shared" si="34"/>
        <v>4022.1</v>
      </c>
      <c r="I51" s="2">
        <f t="shared" si="2"/>
        <v>10232.699999999999</v>
      </c>
    </row>
    <row r="52" spans="1:9" x14ac:dyDescent="0.25">
      <c r="A52" s="3">
        <v>39722</v>
      </c>
      <c r="B52" t="s">
        <v>195</v>
      </c>
      <c r="C52" s="2">
        <v>932.2</v>
      </c>
      <c r="D52" s="2">
        <f t="shared" si="0"/>
        <v>383.7</v>
      </c>
      <c r="E52" s="5">
        <v>632</v>
      </c>
      <c r="F52" s="2">
        <v>248.3</v>
      </c>
      <c r="G52" s="2">
        <f t="shared" ref="G52:H52" si="35">SUM(C41:C52)</f>
        <v>14006.7</v>
      </c>
      <c r="H52" s="2">
        <f t="shared" si="35"/>
        <v>3929.4</v>
      </c>
      <c r="I52" s="2">
        <f t="shared" si="2"/>
        <v>10077.300000000001</v>
      </c>
    </row>
    <row r="53" spans="1:9" x14ac:dyDescent="0.25">
      <c r="A53" s="3">
        <v>39753</v>
      </c>
      <c r="B53" t="s">
        <v>196</v>
      </c>
      <c r="C53" s="2">
        <v>720.6</v>
      </c>
      <c r="D53" s="2">
        <f t="shared" si="0"/>
        <v>286.60000000000002</v>
      </c>
      <c r="E53" s="5">
        <v>433</v>
      </c>
      <c r="F53" s="2">
        <v>146.4</v>
      </c>
      <c r="G53" s="2">
        <f t="shared" ref="G53:H53" si="36">SUM(C42:C53)</f>
        <v>13687.6</v>
      </c>
      <c r="H53" s="2">
        <f t="shared" si="36"/>
        <v>3679.2</v>
      </c>
      <c r="I53" s="2">
        <f t="shared" si="2"/>
        <v>10008.400000000001</v>
      </c>
    </row>
    <row r="54" spans="1:9" x14ac:dyDescent="0.25">
      <c r="A54" s="3">
        <v>39783</v>
      </c>
      <c r="B54" t="s">
        <v>197</v>
      </c>
      <c r="C54" s="2">
        <v>774</v>
      </c>
      <c r="D54" s="2">
        <f t="shared" si="0"/>
        <v>310.3</v>
      </c>
      <c r="E54" s="5">
        <v>449</v>
      </c>
      <c r="F54" s="2">
        <v>138.69999999999999</v>
      </c>
      <c r="G54" s="2">
        <f t="shared" ref="G54:H54" si="37">SUM(C43:C54)</f>
        <v>12556.300000000001</v>
      </c>
      <c r="H54" s="2">
        <f t="shared" si="37"/>
        <v>3515.5999999999995</v>
      </c>
      <c r="I54" s="2">
        <f t="shared" si="2"/>
        <v>9040.7000000000007</v>
      </c>
    </row>
    <row r="55" spans="1:9" x14ac:dyDescent="0.25">
      <c r="A55" s="3">
        <v>39814</v>
      </c>
      <c r="B55" t="s">
        <v>198</v>
      </c>
      <c r="C55" s="2">
        <v>954.7</v>
      </c>
      <c r="D55" s="2">
        <f t="shared" si="0"/>
        <v>334.8</v>
      </c>
      <c r="E55" s="5">
        <v>428</v>
      </c>
      <c r="F55" s="2">
        <v>93.2</v>
      </c>
      <c r="G55" s="2">
        <f t="shared" ref="G55:H55" si="38">SUM(C44:C55)</f>
        <v>12171.2</v>
      </c>
      <c r="H55" s="2">
        <f t="shared" si="38"/>
        <v>3293.1000000000004</v>
      </c>
      <c r="I55" s="2">
        <f t="shared" si="2"/>
        <v>8878.1</v>
      </c>
    </row>
    <row r="56" spans="1:9" x14ac:dyDescent="0.25">
      <c r="A56" s="3">
        <v>39845</v>
      </c>
      <c r="B56" t="s">
        <v>199</v>
      </c>
      <c r="C56" s="2">
        <v>1281.5</v>
      </c>
      <c r="D56" s="2">
        <f t="shared" si="0"/>
        <v>337.6</v>
      </c>
      <c r="E56" s="5">
        <v>503</v>
      </c>
      <c r="F56" s="2">
        <v>165.4</v>
      </c>
      <c r="G56" s="2">
        <f t="shared" ref="G56:H56" si="39">SUM(C45:C56)</f>
        <v>12436.800000000001</v>
      </c>
      <c r="H56" s="2">
        <f t="shared" si="39"/>
        <v>2966.3</v>
      </c>
      <c r="I56" s="2">
        <f t="shared" si="2"/>
        <v>9470.5</v>
      </c>
    </row>
    <row r="57" spans="1:9" x14ac:dyDescent="0.25">
      <c r="A57" s="3">
        <v>39873</v>
      </c>
      <c r="B57" t="s">
        <v>200</v>
      </c>
      <c r="C57" s="2">
        <v>1375.4</v>
      </c>
      <c r="D57" s="2">
        <f t="shared" si="0"/>
        <v>401.6</v>
      </c>
      <c r="E57" s="5">
        <v>491</v>
      </c>
      <c r="F57" s="2">
        <v>89.4</v>
      </c>
      <c r="G57" s="2">
        <f t="shared" ref="G57:H57" si="40">SUM(C46:C57)</f>
        <v>12984.800000000001</v>
      </c>
      <c r="H57" s="2">
        <f t="shared" si="40"/>
        <v>2816.2999999999997</v>
      </c>
      <c r="I57" s="2">
        <f t="shared" si="2"/>
        <v>10168.500000000002</v>
      </c>
    </row>
    <row r="58" spans="1:9" x14ac:dyDescent="0.25">
      <c r="A58" s="3">
        <v>39904</v>
      </c>
      <c r="B58" t="s">
        <v>201</v>
      </c>
      <c r="C58" s="2">
        <v>2275.6999999999998</v>
      </c>
      <c r="D58" s="2">
        <f t="shared" si="0"/>
        <v>515.5</v>
      </c>
      <c r="E58" s="5">
        <v>701</v>
      </c>
      <c r="F58" s="2">
        <v>185.5</v>
      </c>
      <c r="G58" s="2">
        <f t="shared" ref="G58:H58" si="41">SUM(C47:C58)</f>
        <v>14344.400000000001</v>
      </c>
      <c r="H58" s="2">
        <f t="shared" si="41"/>
        <v>2838.3</v>
      </c>
      <c r="I58" s="2">
        <f t="shared" si="2"/>
        <v>11506.100000000002</v>
      </c>
    </row>
    <row r="59" spans="1:9" x14ac:dyDescent="0.25">
      <c r="A59" s="3">
        <v>39934</v>
      </c>
      <c r="B59" t="s">
        <v>202</v>
      </c>
      <c r="C59" s="2">
        <v>2543.4</v>
      </c>
      <c r="D59" s="2">
        <f t="shared" si="0"/>
        <v>389.3</v>
      </c>
      <c r="E59" s="5">
        <v>597</v>
      </c>
      <c r="F59" s="2">
        <v>207.7</v>
      </c>
      <c r="G59" s="2">
        <f t="shared" ref="G59:H59" si="42">SUM(C48:C59)</f>
        <v>15847.999999999998</v>
      </c>
      <c r="H59" s="2">
        <f t="shared" si="42"/>
        <v>3320.3</v>
      </c>
      <c r="I59" s="2">
        <f t="shared" si="2"/>
        <v>12527.699999999997</v>
      </c>
    </row>
    <row r="60" spans="1:9" x14ac:dyDescent="0.25">
      <c r="A60" s="3">
        <v>39965</v>
      </c>
      <c r="B60" t="s">
        <v>203</v>
      </c>
      <c r="C60" s="2">
        <v>1592.4</v>
      </c>
      <c r="D60" s="2">
        <f t="shared" si="0"/>
        <v>168.7</v>
      </c>
      <c r="E60" s="5">
        <v>600</v>
      </c>
      <c r="F60" s="2">
        <v>431.3</v>
      </c>
      <c r="G60" s="2">
        <f t="shared" ref="G60:H60" si="43">SUM(C49:C60)</f>
        <v>17229.399999999998</v>
      </c>
      <c r="H60" s="2">
        <f t="shared" si="43"/>
        <v>3712.3999999999996</v>
      </c>
      <c r="I60" s="2">
        <f t="shared" si="2"/>
        <v>13516.999999999998</v>
      </c>
    </row>
    <row r="61" spans="1:9" x14ac:dyDescent="0.25">
      <c r="A61" s="3">
        <v>39995</v>
      </c>
      <c r="B61" t="s">
        <v>204</v>
      </c>
      <c r="C61" s="2">
        <v>1335.8</v>
      </c>
      <c r="D61" s="2">
        <f t="shared" si="0"/>
        <v>43.800000000000011</v>
      </c>
      <c r="E61" s="5">
        <v>497</v>
      </c>
      <c r="F61" s="2">
        <v>453.2</v>
      </c>
      <c r="G61" s="2">
        <f t="shared" ref="G61:H61" si="44">SUM(C50:C61)</f>
        <v>17601.499999999996</v>
      </c>
      <c r="H61" s="2">
        <f t="shared" si="44"/>
        <v>3855</v>
      </c>
      <c r="I61" s="2">
        <f t="shared" si="2"/>
        <v>13746.499999999996</v>
      </c>
    </row>
    <row r="62" spans="1:9" x14ac:dyDescent="0.25">
      <c r="A62" s="3">
        <v>40026</v>
      </c>
      <c r="B62" t="s">
        <v>205</v>
      </c>
      <c r="C62" s="2">
        <v>1096.7</v>
      </c>
      <c r="D62" s="2">
        <f t="shared" si="0"/>
        <v>-20.5</v>
      </c>
      <c r="E62" s="5">
        <v>357</v>
      </c>
      <c r="F62" s="2">
        <v>377.5</v>
      </c>
      <c r="G62" s="2">
        <f t="shared" ref="G62:H62" si="45">SUM(C51:C62)</f>
        <v>16490.2</v>
      </c>
      <c r="H62" s="2">
        <f t="shared" si="45"/>
        <v>3394.4</v>
      </c>
      <c r="I62" s="2">
        <f t="shared" si="2"/>
        <v>13095.800000000001</v>
      </c>
    </row>
    <row r="63" spans="1:9" x14ac:dyDescent="0.25">
      <c r="A63" s="3">
        <v>40057</v>
      </c>
      <c r="B63" t="s">
        <v>206</v>
      </c>
      <c r="C63" s="2">
        <v>864.8</v>
      </c>
      <c r="D63" s="2">
        <f t="shared" si="0"/>
        <v>268.10000000000002</v>
      </c>
      <c r="E63" s="5">
        <v>458</v>
      </c>
      <c r="F63" s="2">
        <v>189.9</v>
      </c>
      <c r="G63" s="2">
        <f t="shared" ref="G63:H63" si="46">SUM(C52:C63)</f>
        <v>15747.199999999997</v>
      </c>
      <c r="H63" s="2">
        <f t="shared" si="46"/>
        <v>3419.5</v>
      </c>
      <c r="I63" s="2">
        <f t="shared" si="2"/>
        <v>12327.699999999997</v>
      </c>
    </row>
    <row r="64" spans="1:9" x14ac:dyDescent="0.25">
      <c r="A64" s="3">
        <v>40087</v>
      </c>
      <c r="B64" t="s">
        <v>207</v>
      </c>
      <c r="C64" s="2">
        <v>1151.5</v>
      </c>
      <c r="D64" s="2">
        <f t="shared" si="0"/>
        <v>518.5</v>
      </c>
      <c r="E64" s="5">
        <v>691</v>
      </c>
      <c r="F64" s="2">
        <v>172.5</v>
      </c>
      <c r="G64" s="2">
        <f t="shared" ref="G64:H64" si="47">SUM(C53:C64)</f>
        <v>15966.5</v>
      </c>
      <c r="H64" s="2">
        <f t="shared" si="47"/>
        <v>3554.3</v>
      </c>
      <c r="I64" s="2">
        <f t="shared" si="2"/>
        <v>12412.2</v>
      </c>
    </row>
    <row r="65" spans="1:9" x14ac:dyDescent="0.25">
      <c r="A65" s="3">
        <v>40118</v>
      </c>
      <c r="B65" t="s">
        <v>208</v>
      </c>
      <c r="C65" s="2">
        <v>1221.2</v>
      </c>
      <c r="D65" s="2">
        <f t="shared" si="0"/>
        <v>463.9</v>
      </c>
      <c r="E65" s="5">
        <v>569</v>
      </c>
      <c r="F65" s="2">
        <v>105.1</v>
      </c>
      <c r="G65" s="2">
        <f t="shared" ref="G65:H65" si="48">SUM(C54:C65)</f>
        <v>16467.099999999999</v>
      </c>
      <c r="H65" s="2">
        <f t="shared" si="48"/>
        <v>3731.6000000000004</v>
      </c>
      <c r="I65" s="2">
        <f t="shared" si="2"/>
        <v>12735.499999999998</v>
      </c>
    </row>
    <row r="66" spans="1:9" x14ac:dyDescent="0.25">
      <c r="A66" s="3">
        <v>40148</v>
      </c>
      <c r="B66" t="s">
        <v>209</v>
      </c>
      <c r="C66" s="2">
        <v>1192.9000000000001</v>
      </c>
      <c r="D66" s="2">
        <f t="shared" si="0"/>
        <v>410.7</v>
      </c>
      <c r="E66" s="5">
        <v>566</v>
      </c>
      <c r="F66" s="2">
        <v>155.30000000000001</v>
      </c>
      <c r="G66" s="2">
        <f t="shared" ref="G66:H66" si="49">SUM(C55:C66)</f>
        <v>16886</v>
      </c>
      <c r="H66" s="2">
        <f t="shared" si="49"/>
        <v>3832</v>
      </c>
      <c r="I66" s="2">
        <f t="shared" si="2"/>
        <v>13054</v>
      </c>
    </row>
    <row r="67" spans="1:9" x14ac:dyDescent="0.25">
      <c r="A67" s="3">
        <v>40179</v>
      </c>
      <c r="B67" t="s">
        <v>210</v>
      </c>
      <c r="C67" s="2">
        <v>1199</v>
      </c>
      <c r="D67" s="2">
        <f t="shared" si="0"/>
        <v>453.6</v>
      </c>
      <c r="E67" s="5">
        <v>598</v>
      </c>
      <c r="F67" s="2">
        <v>144.4</v>
      </c>
      <c r="G67" s="2">
        <f t="shared" ref="G67:H67" si="50">SUM(C56:C67)</f>
        <v>17130.3</v>
      </c>
      <c r="H67" s="2">
        <f t="shared" si="50"/>
        <v>3950.7999999999997</v>
      </c>
      <c r="I67" s="2">
        <f t="shared" si="2"/>
        <v>13179.5</v>
      </c>
    </row>
    <row r="68" spans="1:9" x14ac:dyDescent="0.25">
      <c r="A68" s="3">
        <v>40210</v>
      </c>
      <c r="B68" t="s">
        <v>211</v>
      </c>
      <c r="C68" s="2">
        <v>503.9</v>
      </c>
      <c r="D68" s="2">
        <f t="shared" si="0"/>
        <v>422.1</v>
      </c>
      <c r="E68" s="5">
        <v>569</v>
      </c>
      <c r="F68" s="2">
        <v>146.9</v>
      </c>
      <c r="G68" s="2">
        <f t="shared" ref="G68:H68" si="51">SUM(C57:C68)</f>
        <v>16352.699999999999</v>
      </c>
      <c r="H68" s="2">
        <f t="shared" si="51"/>
        <v>4035.2999999999997</v>
      </c>
      <c r="I68" s="2">
        <f t="shared" si="2"/>
        <v>12317.4</v>
      </c>
    </row>
    <row r="69" spans="1:9" x14ac:dyDescent="0.25">
      <c r="A69" s="3">
        <v>40238</v>
      </c>
      <c r="B69" t="s">
        <v>212</v>
      </c>
      <c r="C69" s="2">
        <v>284.60000000000002</v>
      </c>
      <c r="D69" s="2">
        <f t="shared" si="0"/>
        <v>387</v>
      </c>
      <c r="E69" s="5">
        <v>630</v>
      </c>
      <c r="F69" s="2">
        <v>243</v>
      </c>
      <c r="G69" s="2">
        <f t="shared" ref="G69:H69" si="52">SUM(C58:C69)</f>
        <v>15261.9</v>
      </c>
      <c r="H69" s="2">
        <f t="shared" si="52"/>
        <v>4020.7</v>
      </c>
      <c r="I69" s="2">
        <f t="shared" si="2"/>
        <v>11241.2</v>
      </c>
    </row>
    <row r="70" spans="1:9" x14ac:dyDescent="0.25">
      <c r="A70" s="3">
        <v>40269</v>
      </c>
      <c r="B70" t="s">
        <v>213</v>
      </c>
      <c r="C70" s="2">
        <v>2107</v>
      </c>
      <c r="D70" s="2">
        <f t="shared" si="0"/>
        <v>276.60000000000002</v>
      </c>
      <c r="E70" s="5">
        <v>545</v>
      </c>
      <c r="F70" s="2">
        <v>268.39999999999998</v>
      </c>
      <c r="G70" s="2">
        <f t="shared" ref="G70:H70" si="53">SUM(C59:C70)</f>
        <v>15093.2</v>
      </c>
      <c r="H70" s="2">
        <f t="shared" si="53"/>
        <v>3781.7999999999997</v>
      </c>
      <c r="I70" s="2">
        <f t="shared" si="2"/>
        <v>11311.400000000001</v>
      </c>
    </row>
    <row r="71" spans="1:9" x14ac:dyDescent="0.25">
      <c r="A71" s="3">
        <v>40299</v>
      </c>
      <c r="B71" t="s">
        <v>214</v>
      </c>
      <c r="C71" s="2">
        <v>1927.4</v>
      </c>
      <c r="D71" s="2">
        <f t="shared" si="0"/>
        <v>-38.200000000000045</v>
      </c>
      <c r="E71" s="5">
        <v>549</v>
      </c>
      <c r="F71" s="2">
        <v>587.20000000000005</v>
      </c>
      <c r="G71" s="2">
        <f t="shared" ref="G71:H71" si="54">SUM(C60:C71)</f>
        <v>14477.199999999999</v>
      </c>
      <c r="H71" s="2">
        <f t="shared" si="54"/>
        <v>3354.3</v>
      </c>
      <c r="I71" s="2">
        <f t="shared" si="2"/>
        <v>11122.899999999998</v>
      </c>
    </row>
    <row r="72" spans="1:9" x14ac:dyDescent="0.25">
      <c r="A72" s="3">
        <v>40330</v>
      </c>
      <c r="B72" t="s">
        <v>215</v>
      </c>
      <c r="C72" s="2">
        <v>1218.2</v>
      </c>
      <c r="D72" s="2">
        <f t="shared" ref="D72:D135" si="55">E72-F72</f>
        <v>-300</v>
      </c>
      <c r="E72" s="5">
        <v>419</v>
      </c>
      <c r="F72" s="2">
        <v>719</v>
      </c>
      <c r="G72" s="2">
        <f t="shared" ref="G72:H72" si="56">SUM(C61:C72)</f>
        <v>14103</v>
      </c>
      <c r="H72" s="2">
        <f t="shared" si="56"/>
        <v>2885.6000000000004</v>
      </c>
      <c r="I72" s="2">
        <f t="shared" si="2"/>
        <v>11217.4</v>
      </c>
    </row>
    <row r="73" spans="1:9" x14ac:dyDescent="0.25">
      <c r="A73" s="3">
        <v>40360</v>
      </c>
      <c r="B73" t="s">
        <v>216</v>
      </c>
      <c r="C73" s="2">
        <v>693.3</v>
      </c>
      <c r="D73" s="2">
        <f t="shared" si="55"/>
        <v>-214.70000000000005</v>
      </c>
      <c r="E73" s="5">
        <v>432</v>
      </c>
      <c r="F73" s="2">
        <v>646.70000000000005</v>
      </c>
      <c r="G73" s="2">
        <f t="shared" ref="G73:H73" si="57">SUM(C62:C73)</f>
        <v>13460.5</v>
      </c>
      <c r="H73" s="2">
        <f t="shared" si="57"/>
        <v>2627.1000000000004</v>
      </c>
      <c r="I73" s="2">
        <f t="shared" si="2"/>
        <v>10833.4</v>
      </c>
    </row>
    <row r="74" spans="1:9" x14ac:dyDescent="0.25">
      <c r="A74" s="3">
        <v>40391</v>
      </c>
      <c r="B74" t="s">
        <v>217</v>
      </c>
      <c r="C74" s="2">
        <v>1027.5</v>
      </c>
      <c r="D74" s="2">
        <f t="shared" si="55"/>
        <v>-61</v>
      </c>
      <c r="E74" s="5">
        <v>407</v>
      </c>
      <c r="F74" s="2">
        <v>468</v>
      </c>
      <c r="G74" s="2">
        <f t="shared" ref="G74:H74" si="58">SUM(C63:C74)</f>
        <v>13391.3</v>
      </c>
      <c r="H74" s="2">
        <f t="shared" si="58"/>
        <v>2586.6000000000004</v>
      </c>
      <c r="I74" s="2">
        <f t="shared" si="2"/>
        <v>10804.699999999999</v>
      </c>
    </row>
    <row r="75" spans="1:9" x14ac:dyDescent="0.25">
      <c r="A75" s="3">
        <v>40422</v>
      </c>
      <c r="B75" t="s">
        <v>218</v>
      </c>
      <c r="C75" s="2">
        <v>1038</v>
      </c>
      <c r="D75" s="2">
        <f t="shared" si="55"/>
        <v>218.3</v>
      </c>
      <c r="E75" s="5">
        <v>546</v>
      </c>
      <c r="F75" s="2">
        <v>327.7</v>
      </c>
      <c r="G75" s="2">
        <f t="shared" ref="G75:H75" si="59">SUM(C64:C75)</f>
        <v>13564.5</v>
      </c>
      <c r="H75" s="2">
        <f t="shared" si="59"/>
        <v>2536.8000000000002</v>
      </c>
      <c r="I75" s="2">
        <f t="shared" si="2"/>
        <v>11027.7</v>
      </c>
    </row>
    <row r="76" spans="1:9" x14ac:dyDescent="0.25">
      <c r="A76" s="3">
        <v>40452</v>
      </c>
      <c r="B76" t="s">
        <v>219</v>
      </c>
      <c r="C76" s="2">
        <v>947.7</v>
      </c>
      <c r="D76" s="2">
        <f t="shared" si="55"/>
        <v>287.60000000000002</v>
      </c>
      <c r="E76" s="5">
        <v>538</v>
      </c>
      <c r="F76" s="2">
        <v>250.4</v>
      </c>
      <c r="G76" s="2">
        <f t="shared" ref="G76:H76" si="60">SUM(C65:C76)</f>
        <v>13360.7</v>
      </c>
      <c r="H76" s="2">
        <f t="shared" si="60"/>
        <v>2305.8999999999996</v>
      </c>
      <c r="I76" s="2">
        <f t="shared" si="2"/>
        <v>11054.800000000001</v>
      </c>
    </row>
    <row r="77" spans="1:9" x14ac:dyDescent="0.25">
      <c r="A77" s="3">
        <v>40483</v>
      </c>
      <c r="B77" t="s">
        <v>220</v>
      </c>
      <c r="C77" s="2">
        <v>339.8</v>
      </c>
      <c r="D77" s="2">
        <f t="shared" si="55"/>
        <v>463.5</v>
      </c>
      <c r="E77" s="5">
        <v>773</v>
      </c>
      <c r="F77" s="2">
        <v>309.5</v>
      </c>
      <c r="G77" s="2">
        <f t="shared" ref="G77:H77" si="61">SUM(C66:C77)</f>
        <v>12479.3</v>
      </c>
      <c r="H77" s="2">
        <f t="shared" si="61"/>
        <v>2305.5</v>
      </c>
      <c r="I77" s="2">
        <f t="shared" si="2"/>
        <v>10173.799999999999</v>
      </c>
    </row>
    <row r="78" spans="1:9" x14ac:dyDescent="0.25">
      <c r="A78" s="3">
        <v>40513</v>
      </c>
      <c r="B78" t="s">
        <v>221</v>
      </c>
      <c r="C78" s="2">
        <v>95.3</v>
      </c>
      <c r="D78" s="2">
        <f t="shared" si="55"/>
        <v>155.5</v>
      </c>
      <c r="E78" s="5">
        <v>518</v>
      </c>
      <c r="F78" s="2">
        <v>362.5</v>
      </c>
      <c r="G78" s="2">
        <f t="shared" ref="G78:H78" si="62">SUM(C67:C78)</f>
        <v>11381.699999999999</v>
      </c>
      <c r="H78" s="2">
        <f t="shared" si="62"/>
        <v>2050.3000000000002</v>
      </c>
      <c r="I78" s="2">
        <f t="shared" si="2"/>
        <v>9331.3999999999978</v>
      </c>
    </row>
    <row r="79" spans="1:9" x14ac:dyDescent="0.25">
      <c r="A79" s="3">
        <v>40544</v>
      </c>
      <c r="B79" t="s">
        <v>222</v>
      </c>
      <c r="C79" s="2">
        <v>295.89999999999998</v>
      </c>
      <c r="D79" s="2">
        <f t="shared" si="55"/>
        <v>103.39999999999998</v>
      </c>
      <c r="E79" s="5">
        <v>474</v>
      </c>
      <c r="F79" s="2">
        <v>370.6</v>
      </c>
      <c r="G79" s="2">
        <f t="shared" ref="G79:H79" si="63">SUM(C68:C79)</f>
        <v>10478.599999999999</v>
      </c>
      <c r="H79" s="2">
        <f t="shared" si="63"/>
        <v>1700.1</v>
      </c>
      <c r="I79" s="2">
        <f t="shared" si="2"/>
        <v>8778.4999999999982</v>
      </c>
    </row>
    <row r="80" spans="1:9" x14ac:dyDescent="0.25">
      <c r="A80" s="3">
        <v>40575</v>
      </c>
      <c r="B80" t="s">
        <v>223</v>
      </c>
      <c r="C80" s="2">
        <v>633.70000000000005</v>
      </c>
      <c r="D80" s="2">
        <f t="shared" si="55"/>
        <v>227.39999999999998</v>
      </c>
      <c r="E80" s="5">
        <v>604</v>
      </c>
      <c r="F80" s="2">
        <v>376.6</v>
      </c>
      <c r="G80" s="2">
        <f t="shared" ref="G80:H80" si="64">SUM(C69:C80)</f>
        <v>10608.4</v>
      </c>
      <c r="H80" s="2">
        <f t="shared" si="64"/>
        <v>1505.4</v>
      </c>
      <c r="I80" s="2">
        <f t="shared" si="2"/>
        <v>9103</v>
      </c>
    </row>
    <row r="81" spans="1:9" x14ac:dyDescent="0.25">
      <c r="A81" s="3">
        <v>40603</v>
      </c>
      <c r="B81" t="s">
        <v>224</v>
      </c>
      <c r="C81" s="2">
        <v>456.5</v>
      </c>
      <c r="D81" s="2">
        <f t="shared" si="55"/>
        <v>49</v>
      </c>
      <c r="E81" s="5">
        <v>658</v>
      </c>
      <c r="F81" s="2">
        <v>609</v>
      </c>
      <c r="G81" s="2">
        <f t="shared" ref="G81:H81" si="65">SUM(C70:C81)</f>
        <v>10780.3</v>
      </c>
      <c r="H81" s="2">
        <f t="shared" si="65"/>
        <v>1167.3999999999999</v>
      </c>
      <c r="I81" s="2">
        <f t="shared" si="2"/>
        <v>9612.9</v>
      </c>
    </row>
    <row r="82" spans="1:9" x14ac:dyDescent="0.25">
      <c r="A82" s="3">
        <v>40634</v>
      </c>
      <c r="B82" t="s">
        <v>225</v>
      </c>
      <c r="C82" s="2">
        <v>1510</v>
      </c>
      <c r="D82" s="2">
        <f t="shared" si="55"/>
        <v>-70</v>
      </c>
      <c r="E82" s="5">
        <v>528</v>
      </c>
      <c r="F82" s="2">
        <v>598</v>
      </c>
      <c r="G82" s="2">
        <f t="shared" ref="G82:H82" si="66">SUM(C71:C82)</f>
        <v>10183.300000000001</v>
      </c>
      <c r="H82" s="2">
        <f t="shared" si="66"/>
        <v>820.79999999999984</v>
      </c>
      <c r="I82" s="2">
        <f t="shared" si="2"/>
        <v>9362.5000000000018</v>
      </c>
    </row>
    <row r="83" spans="1:9" x14ac:dyDescent="0.25">
      <c r="A83" s="3">
        <v>40664</v>
      </c>
      <c r="B83" t="s">
        <v>226</v>
      </c>
      <c r="C83" s="2">
        <v>1443</v>
      </c>
      <c r="D83" s="2">
        <f t="shared" si="55"/>
        <v>-559</v>
      </c>
      <c r="E83" s="5">
        <v>393</v>
      </c>
      <c r="F83" s="2">
        <v>952</v>
      </c>
      <c r="G83" s="2">
        <f t="shared" ref="G83:H83" si="67">SUM(C72:C83)</f>
        <v>9698.9</v>
      </c>
      <c r="H83" s="2">
        <f t="shared" si="67"/>
        <v>300</v>
      </c>
      <c r="I83" s="2">
        <f t="shared" ref="I83:I146" si="68">G83-H83</f>
        <v>9398.9</v>
      </c>
    </row>
    <row r="84" spans="1:9" x14ac:dyDescent="0.25">
      <c r="A84" s="3">
        <v>40695</v>
      </c>
      <c r="B84" t="s">
        <v>227</v>
      </c>
      <c r="C84" s="2">
        <v>1112.4000000000001</v>
      </c>
      <c r="D84" s="2">
        <f t="shared" si="55"/>
        <v>-955</v>
      </c>
      <c r="E84" s="5">
        <v>410</v>
      </c>
      <c r="F84" s="2">
        <v>1365</v>
      </c>
      <c r="G84" s="2">
        <f t="shared" ref="G84:H84" si="69">SUM(C73:C84)</f>
        <v>9593.1</v>
      </c>
      <c r="H84" s="2">
        <f t="shared" si="69"/>
        <v>-355</v>
      </c>
      <c r="I84" s="2">
        <f t="shared" si="68"/>
        <v>9948.1</v>
      </c>
    </row>
    <row r="85" spans="1:9" x14ac:dyDescent="0.25">
      <c r="A85" s="3">
        <v>40725</v>
      </c>
      <c r="B85" t="s">
        <v>228</v>
      </c>
      <c r="C85" s="2">
        <v>367.1</v>
      </c>
      <c r="D85" s="2">
        <f t="shared" si="55"/>
        <v>-795</v>
      </c>
      <c r="E85" s="5">
        <v>512</v>
      </c>
      <c r="F85" s="2">
        <v>1307</v>
      </c>
      <c r="G85" s="2">
        <f t="shared" ref="G85:H85" si="70">SUM(C74:C85)</f>
        <v>9266.9000000000015</v>
      </c>
      <c r="H85" s="2">
        <f t="shared" si="70"/>
        <v>-935.29999999999973</v>
      </c>
      <c r="I85" s="2">
        <f t="shared" si="68"/>
        <v>10202.200000000001</v>
      </c>
    </row>
    <row r="86" spans="1:9" x14ac:dyDescent="0.25">
      <c r="A86" s="3">
        <v>40756</v>
      </c>
      <c r="B86" t="s">
        <v>229</v>
      </c>
      <c r="C86" s="2">
        <v>657.4</v>
      </c>
      <c r="D86" s="2">
        <f t="shared" si="55"/>
        <v>-739</v>
      </c>
      <c r="E86" s="5">
        <v>569</v>
      </c>
      <c r="F86" s="2">
        <v>1308</v>
      </c>
      <c r="G86" s="2">
        <f t="shared" ref="G86:H86" si="71">SUM(C75:C86)</f>
        <v>8896.8000000000011</v>
      </c>
      <c r="H86" s="2">
        <f t="shared" si="71"/>
        <v>-1613.2999999999997</v>
      </c>
      <c r="I86" s="2">
        <f t="shared" si="68"/>
        <v>10510.1</v>
      </c>
    </row>
    <row r="87" spans="1:9" x14ac:dyDescent="0.25">
      <c r="A87" s="3">
        <v>40787</v>
      </c>
      <c r="B87" t="s">
        <v>230</v>
      </c>
      <c r="C87" s="2">
        <v>829.7</v>
      </c>
      <c r="D87" s="2">
        <f t="shared" si="55"/>
        <v>-133</v>
      </c>
      <c r="E87" s="5">
        <v>557</v>
      </c>
      <c r="F87" s="2">
        <v>690</v>
      </c>
      <c r="G87" s="2">
        <f t="shared" ref="G87:H87" si="72">SUM(C76:C87)</f>
        <v>8688.5</v>
      </c>
      <c r="H87" s="2">
        <f t="shared" si="72"/>
        <v>-1964.6</v>
      </c>
      <c r="I87" s="2">
        <f t="shared" si="68"/>
        <v>10653.1</v>
      </c>
    </row>
    <row r="88" spans="1:9" x14ac:dyDescent="0.25">
      <c r="A88" s="3">
        <v>40817</v>
      </c>
      <c r="B88" t="s">
        <v>231</v>
      </c>
      <c r="C88" s="2">
        <v>1132.4000000000001</v>
      </c>
      <c r="D88" s="2">
        <f t="shared" si="55"/>
        <v>109</v>
      </c>
      <c r="E88" s="5">
        <v>628</v>
      </c>
      <c r="F88" s="2">
        <v>519</v>
      </c>
      <c r="G88" s="2">
        <f t="shared" ref="G88:H88" si="73">SUM(C77:C88)</f>
        <v>8873.2000000000007</v>
      </c>
      <c r="H88" s="2">
        <f t="shared" si="73"/>
        <v>-2143.1999999999998</v>
      </c>
      <c r="I88" s="2">
        <f t="shared" si="68"/>
        <v>11016.400000000001</v>
      </c>
    </row>
    <row r="89" spans="1:9" x14ac:dyDescent="0.25">
      <c r="A89" s="3">
        <v>40848</v>
      </c>
      <c r="B89" t="s">
        <v>232</v>
      </c>
      <c r="C89" s="2">
        <v>263.39999999999998</v>
      </c>
      <c r="D89" s="2">
        <f t="shared" si="55"/>
        <v>26</v>
      </c>
      <c r="E89" s="5">
        <v>616</v>
      </c>
      <c r="F89" s="2">
        <v>590</v>
      </c>
      <c r="G89" s="2">
        <f t="shared" ref="G89:H89" si="74">SUM(C78:C89)</f>
        <v>8796.7999999999993</v>
      </c>
      <c r="H89" s="2">
        <f t="shared" si="74"/>
        <v>-2580.6999999999998</v>
      </c>
      <c r="I89" s="2">
        <f t="shared" si="68"/>
        <v>11377.5</v>
      </c>
    </row>
    <row r="90" spans="1:9" x14ac:dyDescent="0.25">
      <c r="A90" s="3">
        <v>40878</v>
      </c>
      <c r="B90" t="s">
        <v>233</v>
      </c>
      <c r="C90" s="2">
        <v>318.89999999999998</v>
      </c>
      <c r="D90" s="2">
        <f t="shared" si="55"/>
        <v>17</v>
      </c>
      <c r="E90" s="5">
        <v>734</v>
      </c>
      <c r="F90" s="2">
        <v>717</v>
      </c>
      <c r="G90" s="2">
        <f t="shared" ref="G90:H90" si="75">SUM(C79:C90)</f>
        <v>9020.4</v>
      </c>
      <c r="H90" s="2">
        <f t="shared" si="75"/>
        <v>-2719.2</v>
      </c>
      <c r="I90" s="2">
        <f t="shared" si="68"/>
        <v>11739.599999999999</v>
      </c>
    </row>
    <row r="91" spans="1:9" x14ac:dyDescent="0.25">
      <c r="A91" s="3">
        <v>40909</v>
      </c>
      <c r="B91" t="s">
        <v>234</v>
      </c>
      <c r="C91" s="2">
        <v>35.5</v>
      </c>
      <c r="D91" s="2">
        <f t="shared" si="55"/>
        <v>255</v>
      </c>
      <c r="E91" s="5">
        <v>646</v>
      </c>
      <c r="F91" s="2">
        <v>391</v>
      </c>
      <c r="G91" s="2">
        <f t="shared" ref="G91:H91" si="76">SUM(C80:C91)</f>
        <v>8760</v>
      </c>
      <c r="H91" s="2">
        <f t="shared" si="76"/>
        <v>-2567.6</v>
      </c>
      <c r="I91" s="2">
        <f t="shared" si="68"/>
        <v>11327.6</v>
      </c>
    </row>
    <row r="92" spans="1:9" x14ac:dyDescent="0.25">
      <c r="A92" s="3">
        <v>40940</v>
      </c>
      <c r="B92" t="s">
        <v>235</v>
      </c>
      <c r="C92" s="2">
        <v>1279.5</v>
      </c>
      <c r="D92" s="2">
        <f t="shared" si="55"/>
        <v>156</v>
      </c>
      <c r="E92" s="5">
        <v>605</v>
      </c>
      <c r="F92" s="2">
        <v>449</v>
      </c>
      <c r="G92" s="2">
        <f t="shared" ref="G92:H92" si="77">SUM(C81:C92)</f>
        <v>9405.7999999999993</v>
      </c>
      <c r="H92" s="2">
        <f t="shared" si="77"/>
        <v>-2639</v>
      </c>
      <c r="I92" s="2">
        <f t="shared" si="68"/>
        <v>12044.8</v>
      </c>
    </row>
    <row r="93" spans="1:9" x14ac:dyDescent="0.25">
      <c r="A93" s="3">
        <v>40969</v>
      </c>
      <c r="B93" t="s">
        <v>236</v>
      </c>
      <c r="C93" s="2">
        <v>1053.5</v>
      </c>
      <c r="D93" s="2">
        <f t="shared" si="55"/>
        <v>57</v>
      </c>
      <c r="E93" s="5">
        <v>550</v>
      </c>
      <c r="F93" s="2">
        <v>493</v>
      </c>
      <c r="G93" s="2">
        <f t="shared" ref="G93:H93" si="78">SUM(C82:C93)</f>
        <v>10002.799999999999</v>
      </c>
      <c r="H93" s="2">
        <f t="shared" si="78"/>
        <v>-2631</v>
      </c>
      <c r="I93" s="2">
        <f t="shared" si="68"/>
        <v>12633.8</v>
      </c>
    </row>
    <row r="94" spans="1:9" x14ac:dyDescent="0.25">
      <c r="A94" s="3">
        <v>41000</v>
      </c>
      <c r="B94" t="s">
        <v>237</v>
      </c>
      <c r="C94" s="2">
        <v>1945.1</v>
      </c>
      <c r="D94" s="2">
        <f t="shared" si="55"/>
        <v>-141</v>
      </c>
      <c r="E94" s="5">
        <v>732</v>
      </c>
      <c r="F94" s="2">
        <v>873</v>
      </c>
      <c r="G94" s="2">
        <f t="shared" ref="G94:H94" si="79">SUM(C83:C94)</f>
        <v>10437.9</v>
      </c>
      <c r="H94" s="2">
        <f t="shared" si="79"/>
        <v>-2702</v>
      </c>
      <c r="I94" s="2">
        <f t="shared" si="68"/>
        <v>13139.9</v>
      </c>
    </row>
    <row r="95" spans="1:9" x14ac:dyDescent="0.25">
      <c r="A95" s="3">
        <v>41030</v>
      </c>
      <c r="B95" t="s">
        <v>238</v>
      </c>
      <c r="C95" s="2">
        <v>1093.7</v>
      </c>
      <c r="D95" s="2">
        <f t="shared" si="55"/>
        <v>-759</v>
      </c>
      <c r="E95" s="5">
        <v>569</v>
      </c>
      <c r="F95" s="2">
        <v>1328</v>
      </c>
      <c r="G95" s="2">
        <f t="shared" ref="G95:H95" si="80">SUM(C84:C95)</f>
        <v>10088.6</v>
      </c>
      <c r="H95" s="2">
        <f t="shared" si="80"/>
        <v>-2902</v>
      </c>
      <c r="I95" s="2">
        <f t="shared" si="68"/>
        <v>12990.6</v>
      </c>
    </row>
    <row r="96" spans="1:9" x14ac:dyDescent="0.25">
      <c r="A96" s="3">
        <v>41061</v>
      </c>
      <c r="B96" t="s">
        <v>239</v>
      </c>
      <c r="C96" s="2">
        <v>788.7</v>
      </c>
      <c r="D96" s="2">
        <f t="shared" si="55"/>
        <v>-982</v>
      </c>
      <c r="E96" s="5">
        <v>475</v>
      </c>
      <c r="F96" s="2">
        <v>1457</v>
      </c>
      <c r="G96" s="2">
        <f t="shared" ref="G96:H96" si="81">SUM(C85:C96)</f>
        <v>9764.9000000000015</v>
      </c>
      <c r="H96" s="2">
        <f t="shared" si="81"/>
        <v>-2929</v>
      </c>
      <c r="I96" s="2">
        <f t="shared" si="68"/>
        <v>12693.900000000001</v>
      </c>
    </row>
    <row r="97" spans="1:9" x14ac:dyDescent="0.25">
      <c r="A97" s="3">
        <v>41091</v>
      </c>
      <c r="B97" t="s">
        <v>240</v>
      </c>
      <c r="C97" s="2">
        <v>1310.2</v>
      </c>
      <c r="D97" s="2">
        <f t="shared" si="55"/>
        <v>-799</v>
      </c>
      <c r="E97" s="5">
        <v>467</v>
      </c>
      <c r="F97" s="2">
        <v>1266</v>
      </c>
      <c r="G97" s="2">
        <f t="shared" ref="G97:H97" si="82">SUM(C86:C97)</f>
        <v>10708.000000000002</v>
      </c>
      <c r="H97" s="2">
        <f t="shared" si="82"/>
        <v>-2933</v>
      </c>
      <c r="I97" s="2">
        <f t="shared" si="68"/>
        <v>13641.000000000002</v>
      </c>
    </row>
    <row r="98" spans="1:9" x14ac:dyDescent="0.25">
      <c r="A98" s="3">
        <v>41122</v>
      </c>
      <c r="B98" t="s">
        <v>241</v>
      </c>
      <c r="C98" s="2">
        <v>1174.7</v>
      </c>
      <c r="D98" s="2">
        <f t="shared" si="55"/>
        <v>-199</v>
      </c>
      <c r="E98" s="5">
        <v>562</v>
      </c>
      <c r="F98" s="2">
        <v>761</v>
      </c>
      <c r="G98" s="2">
        <f t="shared" ref="G98:H98" si="83">SUM(C87:C98)</f>
        <v>11225.300000000001</v>
      </c>
      <c r="H98" s="2">
        <f t="shared" si="83"/>
        <v>-2393</v>
      </c>
      <c r="I98" s="2">
        <f t="shared" si="68"/>
        <v>13618.300000000001</v>
      </c>
    </row>
    <row r="99" spans="1:9" x14ac:dyDescent="0.25">
      <c r="A99" s="3">
        <v>41153</v>
      </c>
      <c r="B99" t="s">
        <v>242</v>
      </c>
      <c r="C99" s="2">
        <v>948.5</v>
      </c>
      <c r="D99" s="2">
        <f t="shared" si="55"/>
        <v>-75</v>
      </c>
      <c r="E99" s="5">
        <v>593</v>
      </c>
      <c r="F99" s="2">
        <v>668</v>
      </c>
      <c r="G99" s="2">
        <f t="shared" ref="G99:H99" si="84">SUM(C88:C99)</f>
        <v>11344.1</v>
      </c>
      <c r="H99" s="2">
        <f t="shared" si="84"/>
        <v>-2335</v>
      </c>
      <c r="I99" s="2">
        <f t="shared" si="68"/>
        <v>13679.1</v>
      </c>
    </row>
    <row r="100" spans="1:9" x14ac:dyDescent="0.25">
      <c r="A100" s="3">
        <v>41183</v>
      </c>
      <c r="B100" t="s">
        <v>243</v>
      </c>
      <c r="C100" s="2">
        <v>632.6</v>
      </c>
      <c r="D100" s="2">
        <f t="shared" si="55"/>
        <v>129</v>
      </c>
      <c r="E100" s="5">
        <v>616</v>
      </c>
      <c r="F100" s="2">
        <v>487</v>
      </c>
      <c r="G100" s="2">
        <f t="shared" ref="G100:H100" si="85">SUM(C89:C100)</f>
        <v>10844.3</v>
      </c>
      <c r="H100" s="2">
        <f t="shared" si="85"/>
        <v>-2315</v>
      </c>
      <c r="I100" s="2">
        <f t="shared" si="68"/>
        <v>13159.3</v>
      </c>
    </row>
    <row r="101" spans="1:9" x14ac:dyDescent="0.25">
      <c r="A101" s="3">
        <v>41214</v>
      </c>
      <c r="B101" t="s">
        <v>244</v>
      </c>
      <c r="C101" s="2">
        <v>870</v>
      </c>
      <c r="D101" s="2">
        <f t="shared" si="55"/>
        <v>49</v>
      </c>
      <c r="E101" s="5">
        <v>569</v>
      </c>
      <c r="F101" s="2">
        <v>520</v>
      </c>
      <c r="G101" s="2">
        <f t="shared" ref="G101:H101" si="86">SUM(C90:C101)</f>
        <v>11450.9</v>
      </c>
      <c r="H101" s="2">
        <f t="shared" si="86"/>
        <v>-2292</v>
      </c>
      <c r="I101" s="2">
        <f t="shared" si="68"/>
        <v>13742.9</v>
      </c>
    </row>
    <row r="102" spans="1:9" x14ac:dyDescent="0.25">
      <c r="A102" s="3">
        <v>41244</v>
      </c>
      <c r="B102" t="s">
        <v>245</v>
      </c>
      <c r="C102" s="2">
        <v>876.1</v>
      </c>
      <c r="D102" s="2">
        <f t="shared" si="55"/>
        <v>22</v>
      </c>
      <c r="E102" s="5">
        <v>595</v>
      </c>
      <c r="F102" s="2">
        <v>573</v>
      </c>
      <c r="G102" s="2">
        <f t="shared" ref="G102:H102" si="87">SUM(C91:C102)</f>
        <v>12008.1</v>
      </c>
      <c r="H102" s="2">
        <f t="shared" si="87"/>
        <v>-2287</v>
      </c>
      <c r="I102" s="2">
        <f t="shared" si="68"/>
        <v>14295.1</v>
      </c>
    </row>
    <row r="103" spans="1:9" x14ac:dyDescent="0.25">
      <c r="A103" s="3">
        <v>41275</v>
      </c>
      <c r="B103" t="s">
        <v>246</v>
      </c>
      <c r="C103" s="2">
        <v>24.8</v>
      </c>
      <c r="D103" s="2">
        <f t="shared" si="55"/>
        <v>-146</v>
      </c>
      <c r="E103" s="5">
        <v>535</v>
      </c>
      <c r="F103" s="2">
        <v>681</v>
      </c>
      <c r="G103" s="2">
        <f t="shared" ref="G103:H103" si="88">SUM(C92:C103)</f>
        <v>11997.4</v>
      </c>
      <c r="H103" s="2">
        <f t="shared" si="88"/>
        <v>-2688</v>
      </c>
      <c r="I103" s="2">
        <f t="shared" si="68"/>
        <v>14685.4</v>
      </c>
    </row>
    <row r="104" spans="1:9" x14ac:dyDescent="0.25">
      <c r="A104" s="3">
        <v>41306</v>
      </c>
      <c r="B104" t="s">
        <v>247</v>
      </c>
      <c r="C104" s="2">
        <v>-268.89999999999998</v>
      </c>
      <c r="D104" s="2">
        <f t="shared" si="55"/>
        <v>-259</v>
      </c>
      <c r="E104" s="5">
        <v>338</v>
      </c>
      <c r="F104" s="2">
        <v>597</v>
      </c>
      <c r="G104" s="2">
        <f t="shared" ref="G104:H104" si="89">SUM(C93:C104)</f>
        <v>10449</v>
      </c>
      <c r="H104" s="2">
        <f t="shared" si="89"/>
        <v>-3103</v>
      </c>
      <c r="I104" s="2">
        <f t="shared" si="68"/>
        <v>13552</v>
      </c>
    </row>
    <row r="105" spans="1:9" x14ac:dyDescent="0.25">
      <c r="A105" s="3">
        <v>41334</v>
      </c>
      <c r="B105" t="s">
        <v>248</v>
      </c>
      <c r="C105" s="2">
        <v>540.79999999999995</v>
      </c>
      <c r="D105" s="2">
        <f t="shared" si="55"/>
        <v>-295</v>
      </c>
      <c r="E105" s="5">
        <v>516</v>
      </c>
      <c r="F105" s="2">
        <v>811</v>
      </c>
      <c r="G105" s="2">
        <f t="shared" ref="G105:H105" si="90">SUM(C94:C105)</f>
        <v>9936.2999999999993</v>
      </c>
      <c r="H105" s="2">
        <f t="shared" si="90"/>
        <v>-3455</v>
      </c>
      <c r="I105" s="2">
        <f t="shared" si="68"/>
        <v>13391.3</v>
      </c>
    </row>
    <row r="106" spans="1:9" x14ac:dyDescent="0.25">
      <c r="A106" s="3">
        <v>41365</v>
      </c>
      <c r="B106" t="s">
        <v>249</v>
      </c>
      <c r="C106" s="2">
        <v>701.9</v>
      </c>
      <c r="D106" s="2">
        <f t="shared" si="55"/>
        <v>-744</v>
      </c>
      <c r="E106" s="5">
        <v>321</v>
      </c>
      <c r="F106" s="2">
        <v>1065</v>
      </c>
      <c r="G106" s="2">
        <f t="shared" ref="G106:H106" si="91">SUM(C95:C106)</f>
        <v>8693.1000000000022</v>
      </c>
      <c r="H106" s="2">
        <f t="shared" si="91"/>
        <v>-4058</v>
      </c>
      <c r="I106" s="2">
        <f t="shared" si="68"/>
        <v>12751.100000000002</v>
      </c>
    </row>
    <row r="107" spans="1:9" x14ac:dyDescent="0.25">
      <c r="A107" s="3">
        <v>41395</v>
      </c>
      <c r="B107" t="s">
        <v>250</v>
      </c>
      <c r="C107" s="2">
        <v>1365.2</v>
      </c>
      <c r="D107" s="2">
        <f t="shared" si="55"/>
        <v>-516</v>
      </c>
      <c r="E107" s="5">
        <v>875</v>
      </c>
      <c r="F107" s="2">
        <v>1391</v>
      </c>
      <c r="G107" s="2">
        <f t="shared" ref="G107:H107" si="92">SUM(C96:C107)</f>
        <v>8964.6000000000022</v>
      </c>
      <c r="H107" s="2">
        <f t="shared" si="92"/>
        <v>-3815</v>
      </c>
      <c r="I107" s="2">
        <f t="shared" si="68"/>
        <v>12779.600000000002</v>
      </c>
    </row>
    <row r="108" spans="1:9" x14ac:dyDescent="0.25">
      <c r="A108" s="3">
        <v>41426</v>
      </c>
      <c r="B108" t="s">
        <v>251</v>
      </c>
      <c r="C108" s="2">
        <v>840.6</v>
      </c>
      <c r="D108" s="2">
        <f t="shared" si="55"/>
        <v>-1084</v>
      </c>
      <c r="E108" s="5">
        <v>471</v>
      </c>
      <c r="F108" s="2">
        <v>1555</v>
      </c>
      <c r="G108" s="2">
        <f t="shared" ref="G108:H108" si="93">SUM(C97:C108)</f>
        <v>9016.5</v>
      </c>
      <c r="H108" s="2">
        <f t="shared" si="93"/>
        <v>-3917</v>
      </c>
      <c r="I108" s="2">
        <f t="shared" si="68"/>
        <v>12933.5</v>
      </c>
    </row>
    <row r="109" spans="1:9" x14ac:dyDescent="0.25">
      <c r="A109" s="3">
        <v>41456</v>
      </c>
      <c r="B109" t="s">
        <v>252</v>
      </c>
      <c r="C109" s="2">
        <v>-57.5</v>
      </c>
      <c r="D109" s="2">
        <f t="shared" si="55"/>
        <v>-971</v>
      </c>
      <c r="E109" s="5">
        <v>387</v>
      </c>
      <c r="F109" s="2">
        <v>1358</v>
      </c>
      <c r="G109" s="2">
        <f t="shared" ref="G109:H109" si="94">SUM(C98:C109)</f>
        <v>7648.8</v>
      </c>
      <c r="H109" s="2">
        <f t="shared" si="94"/>
        <v>-4089</v>
      </c>
      <c r="I109" s="2">
        <f t="shared" si="68"/>
        <v>11737.8</v>
      </c>
    </row>
    <row r="110" spans="1:9" x14ac:dyDescent="0.25">
      <c r="A110" s="3">
        <v>41487</v>
      </c>
      <c r="B110" t="s">
        <v>253</v>
      </c>
      <c r="C110" s="2">
        <v>125.6</v>
      </c>
      <c r="D110" s="2">
        <f t="shared" si="55"/>
        <v>-1117</v>
      </c>
      <c r="E110" s="5">
        <v>390</v>
      </c>
      <c r="F110" s="2">
        <v>1507</v>
      </c>
      <c r="G110" s="2">
        <f t="shared" ref="G110:H110" si="95">SUM(C99:C110)</f>
        <v>6599.7</v>
      </c>
      <c r="H110" s="2">
        <f t="shared" si="95"/>
        <v>-5007</v>
      </c>
      <c r="I110" s="2">
        <f t="shared" si="68"/>
        <v>11606.7</v>
      </c>
    </row>
    <row r="111" spans="1:9" x14ac:dyDescent="0.25">
      <c r="A111" s="3">
        <v>41518</v>
      </c>
      <c r="B111" t="s">
        <v>254</v>
      </c>
      <c r="C111" s="2">
        <v>515.9</v>
      </c>
      <c r="D111" s="2">
        <f t="shared" si="55"/>
        <v>-167</v>
      </c>
      <c r="E111" s="5">
        <v>441</v>
      </c>
      <c r="F111" s="2">
        <v>608</v>
      </c>
      <c r="G111" s="2">
        <f t="shared" ref="G111:H111" si="96">SUM(C100:C111)</f>
        <v>6167.1</v>
      </c>
      <c r="H111" s="2">
        <f t="shared" si="96"/>
        <v>-5099</v>
      </c>
      <c r="I111" s="2">
        <f t="shared" si="68"/>
        <v>11266.1</v>
      </c>
    </row>
    <row r="112" spans="1:9" x14ac:dyDescent="0.25">
      <c r="A112" s="3">
        <v>41548</v>
      </c>
      <c r="B112" t="s">
        <v>255</v>
      </c>
      <c r="C112" s="2">
        <v>-804</v>
      </c>
      <c r="D112" s="2">
        <f t="shared" si="55"/>
        <v>-191</v>
      </c>
      <c r="E112" s="5">
        <v>473</v>
      </c>
      <c r="F112" s="2">
        <v>664</v>
      </c>
      <c r="G112" s="2">
        <f t="shared" ref="G112:H112" si="97">SUM(C101:C112)</f>
        <v>4730.5</v>
      </c>
      <c r="H112" s="2">
        <f t="shared" si="97"/>
        <v>-5419</v>
      </c>
      <c r="I112" s="2">
        <f t="shared" si="68"/>
        <v>10149.5</v>
      </c>
    </row>
    <row r="113" spans="1:9" x14ac:dyDescent="0.25">
      <c r="A113" s="3">
        <v>41579</v>
      </c>
      <c r="B113" t="s">
        <v>256</v>
      </c>
      <c r="C113" s="2">
        <v>-1002.1</v>
      </c>
      <c r="D113" s="2">
        <f t="shared" si="55"/>
        <v>-121</v>
      </c>
      <c r="E113" s="5">
        <v>434</v>
      </c>
      <c r="F113" s="2">
        <v>555</v>
      </c>
      <c r="G113" s="2">
        <f t="shared" ref="G113:H113" si="98">SUM(C102:C113)</f>
        <v>2858.3999999999992</v>
      </c>
      <c r="H113" s="2">
        <f t="shared" si="98"/>
        <v>-5589</v>
      </c>
      <c r="I113" s="2">
        <f t="shared" si="68"/>
        <v>8447.4</v>
      </c>
    </row>
    <row r="114" spans="1:9" x14ac:dyDescent="0.25">
      <c r="A114" s="3">
        <v>41609</v>
      </c>
      <c r="B114" t="s">
        <v>257</v>
      </c>
      <c r="C114" s="2">
        <v>-461.1</v>
      </c>
      <c r="D114" s="2">
        <f t="shared" si="55"/>
        <v>-166</v>
      </c>
      <c r="E114" s="5">
        <v>382</v>
      </c>
      <c r="F114" s="2">
        <v>548</v>
      </c>
      <c r="G114" s="2">
        <f t="shared" ref="G114:H114" si="99">SUM(C103:C114)</f>
        <v>1521.2000000000003</v>
      </c>
      <c r="H114" s="2">
        <f t="shared" si="99"/>
        <v>-5777</v>
      </c>
      <c r="I114" s="2">
        <f t="shared" si="68"/>
        <v>7298.2000000000007</v>
      </c>
    </row>
    <row r="115" spans="1:9" x14ac:dyDescent="0.25">
      <c r="A115" s="3">
        <v>41640</v>
      </c>
      <c r="B115" t="s">
        <v>258</v>
      </c>
      <c r="C115" s="2">
        <v>-1373.3</v>
      </c>
      <c r="D115" s="2">
        <f t="shared" si="55"/>
        <v>3</v>
      </c>
      <c r="E115" s="5">
        <v>523</v>
      </c>
      <c r="F115" s="2">
        <v>520</v>
      </c>
      <c r="G115" s="2">
        <f t="shared" ref="G115:H115" si="100">SUM(C104:C115)</f>
        <v>123.10000000000014</v>
      </c>
      <c r="H115" s="2">
        <f t="shared" si="100"/>
        <v>-5628</v>
      </c>
      <c r="I115" s="2">
        <f t="shared" si="68"/>
        <v>5751.1</v>
      </c>
    </row>
    <row r="116" spans="1:9" x14ac:dyDescent="0.25">
      <c r="A116" s="3">
        <v>41671</v>
      </c>
      <c r="B116" t="s">
        <v>259</v>
      </c>
      <c r="C116" s="2">
        <v>-889.7</v>
      </c>
      <c r="D116" s="2">
        <f t="shared" si="55"/>
        <v>-330</v>
      </c>
      <c r="E116" s="5">
        <v>522</v>
      </c>
      <c r="F116" s="2">
        <v>852</v>
      </c>
      <c r="G116" s="2">
        <f t="shared" ref="G116:H116" si="101">SUM(C105:C116)</f>
        <v>-497.70000000000027</v>
      </c>
      <c r="H116" s="2">
        <f t="shared" si="101"/>
        <v>-5699</v>
      </c>
      <c r="I116" s="2">
        <f t="shared" si="68"/>
        <v>5201.2999999999993</v>
      </c>
    </row>
    <row r="117" spans="1:9" x14ac:dyDescent="0.25">
      <c r="A117" s="3">
        <v>41699</v>
      </c>
      <c r="B117" t="s">
        <v>260</v>
      </c>
      <c r="C117" s="2">
        <v>-476.9</v>
      </c>
      <c r="D117" s="2">
        <f t="shared" si="55"/>
        <v>-350</v>
      </c>
      <c r="E117" s="5">
        <v>600</v>
      </c>
      <c r="F117" s="2">
        <v>950</v>
      </c>
      <c r="G117" s="2">
        <f t="shared" ref="G117:H117" si="102">SUM(C106:C117)</f>
        <v>-1515.4</v>
      </c>
      <c r="H117" s="2">
        <f t="shared" si="102"/>
        <v>-5754</v>
      </c>
      <c r="I117" s="2">
        <f t="shared" si="68"/>
        <v>4238.6000000000004</v>
      </c>
    </row>
    <row r="118" spans="1:9" x14ac:dyDescent="0.25">
      <c r="A118" s="3">
        <v>41730</v>
      </c>
      <c r="B118" t="s">
        <v>261</v>
      </c>
      <c r="C118" s="2">
        <v>822.4</v>
      </c>
      <c r="D118" s="2">
        <f t="shared" si="55"/>
        <v>-759</v>
      </c>
      <c r="E118" s="5">
        <v>388</v>
      </c>
      <c r="F118" s="2">
        <v>1147</v>
      </c>
      <c r="G118" s="2">
        <f t="shared" ref="G118:H118" si="103">SUM(C107:C118)</f>
        <v>-1394.8999999999996</v>
      </c>
      <c r="H118" s="2">
        <f t="shared" si="103"/>
        <v>-5769</v>
      </c>
      <c r="I118" s="2">
        <f t="shared" si="68"/>
        <v>4374.1000000000004</v>
      </c>
    </row>
    <row r="119" spans="1:9" x14ac:dyDescent="0.25">
      <c r="A119" s="3">
        <v>41760</v>
      </c>
      <c r="B119" t="s">
        <v>262</v>
      </c>
      <c r="C119" s="2">
        <v>1401.6</v>
      </c>
      <c r="D119" s="2">
        <f t="shared" si="55"/>
        <v>-848</v>
      </c>
      <c r="E119" s="5">
        <v>429</v>
      </c>
      <c r="F119" s="2">
        <v>1277</v>
      </c>
      <c r="G119" s="2">
        <f t="shared" ref="G119:H119" si="104">SUM(C108:C119)</f>
        <v>-1358.5000000000005</v>
      </c>
      <c r="H119" s="2">
        <f t="shared" si="104"/>
        <v>-6101</v>
      </c>
      <c r="I119" s="2">
        <f t="shared" si="68"/>
        <v>4742.5</v>
      </c>
    </row>
    <row r="120" spans="1:9" x14ac:dyDescent="0.25">
      <c r="A120" s="3">
        <v>41791</v>
      </c>
      <c r="B120" t="s">
        <v>263</v>
      </c>
      <c r="C120" s="2">
        <v>1355.9</v>
      </c>
      <c r="D120" s="2">
        <f t="shared" si="55"/>
        <v>-1228</v>
      </c>
      <c r="E120" s="5">
        <v>536</v>
      </c>
      <c r="F120" s="2">
        <v>1764</v>
      </c>
      <c r="G120" s="2">
        <f t="shared" ref="G120:H120" si="105">SUM(C109:C120)</f>
        <v>-843.19999999999936</v>
      </c>
      <c r="H120" s="2">
        <f t="shared" si="105"/>
        <v>-6245</v>
      </c>
      <c r="I120" s="2">
        <f t="shared" si="68"/>
        <v>5401.8000000000011</v>
      </c>
    </row>
    <row r="121" spans="1:9" x14ac:dyDescent="0.25">
      <c r="A121" s="3">
        <v>41821</v>
      </c>
      <c r="B121" t="s">
        <v>264</v>
      </c>
      <c r="C121" s="2">
        <v>271.8</v>
      </c>
      <c r="D121" s="2">
        <f t="shared" si="55"/>
        <v>-1006</v>
      </c>
      <c r="E121" s="5">
        <v>268</v>
      </c>
      <c r="F121" s="2">
        <v>1274</v>
      </c>
      <c r="G121" s="2">
        <f t="shared" ref="G121:H121" si="106">SUM(C110:C121)</f>
        <v>-513.89999999999941</v>
      </c>
      <c r="H121" s="2">
        <f t="shared" si="106"/>
        <v>-6280</v>
      </c>
      <c r="I121" s="2">
        <f t="shared" si="68"/>
        <v>5766.1</v>
      </c>
    </row>
    <row r="122" spans="1:9" x14ac:dyDescent="0.25">
      <c r="A122" s="3">
        <v>41852</v>
      </c>
      <c r="B122" t="s">
        <v>265</v>
      </c>
      <c r="C122" s="2">
        <v>775.6</v>
      </c>
      <c r="D122" s="2">
        <f t="shared" si="55"/>
        <v>-700</v>
      </c>
      <c r="E122" s="5">
        <v>333</v>
      </c>
      <c r="F122" s="2">
        <v>1033</v>
      </c>
      <c r="G122" s="2">
        <f t="shared" ref="G122:H122" si="107">SUM(C111:C122)</f>
        <v>136.10000000000025</v>
      </c>
      <c r="H122" s="2">
        <f t="shared" si="107"/>
        <v>-5863</v>
      </c>
      <c r="I122" s="2">
        <f t="shared" si="68"/>
        <v>5999.1</v>
      </c>
    </row>
    <row r="123" spans="1:9" x14ac:dyDescent="0.25">
      <c r="A123" s="3">
        <v>41883</v>
      </c>
      <c r="B123" t="s">
        <v>266</v>
      </c>
      <c r="C123" s="2">
        <v>41.1</v>
      </c>
      <c r="D123" s="2">
        <f t="shared" si="55"/>
        <v>-241</v>
      </c>
      <c r="E123" s="5">
        <v>387</v>
      </c>
      <c r="F123" s="2">
        <v>628</v>
      </c>
      <c r="G123" s="2">
        <f t="shared" ref="G123:H123" si="108">SUM(C112:C123)</f>
        <v>-338.69999999999982</v>
      </c>
      <c r="H123" s="2">
        <f t="shared" si="108"/>
        <v>-5937</v>
      </c>
      <c r="I123" s="2">
        <f t="shared" si="68"/>
        <v>5598.3</v>
      </c>
    </row>
    <row r="124" spans="1:9" x14ac:dyDescent="0.25">
      <c r="A124" s="3">
        <v>41913</v>
      </c>
      <c r="B124" t="s">
        <v>267</v>
      </c>
      <c r="C124" s="2">
        <v>299.8</v>
      </c>
      <c r="D124" s="2">
        <f t="shared" si="55"/>
        <v>-328</v>
      </c>
      <c r="E124" s="5">
        <v>403</v>
      </c>
      <c r="F124" s="2">
        <v>731</v>
      </c>
      <c r="G124" s="2">
        <f t="shared" ref="G124:H124" si="109">SUM(C113:C124)</f>
        <v>765.1000000000007</v>
      </c>
      <c r="H124" s="2">
        <f t="shared" si="109"/>
        <v>-6074</v>
      </c>
      <c r="I124" s="2">
        <f t="shared" si="68"/>
        <v>6839.1</v>
      </c>
    </row>
    <row r="125" spans="1:9" x14ac:dyDescent="0.25">
      <c r="A125" s="3">
        <v>41944</v>
      </c>
      <c r="B125" t="s">
        <v>268</v>
      </c>
      <c r="C125" s="2">
        <v>238.2</v>
      </c>
      <c r="D125" s="2">
        <f t="shared" si="55"/>
        <v>-338</v>
      </c>
      <c r="E125" s="5">
        <v>298</v>
      </c>
      <c r="F125" s="2">
        <v>636</v>
      </c>
      <c r="G125" s="2">
        <f t="shared" ref="G125:H125" si="110">SUM(C114:C125)</f>
        <v>2005.3999999999996</v>
      </c>
      <c r="H125" s="2">
        <f t="shared" si="110"/>
        <v>-6291</v>
      </c>
      <c r="I125" s="2">
        <f t="shared" si="68"/>
        <v>8296.4</v>
      </c>
    </row>
    <row r="126" spans="1:9" x14ac:dyDescent="0.25">
      <c r="A126" s="3">
        <v>41974</v>
      </c>
      <c r="B126" t="s">
        <v>269</v>
      </c>
      <c r="C126" s="2">
        <v>201.9</v>
      </c>
      <c r="D126" s="2">
        <f t="shared" si="55"/>
        <v>-369</v>
      </c>
      <c r="E126" s="5">
        <v>263</v>
      </c>
      <c r="F126" s="2">
        <v>632</v>
      </c>
      <c r="G126" s="2">
        <f t="shared" ref="G126:H126" si="111">SUM(C115:C126)</f>
        <v>2668.4</v>
      </c>
      <c r="H126" s="2">
        <f t="shared" si="111"/>
        <v>-6494</v>
      </c>
      <c r="I126" s="2">
        <f t="shared" si="68"/>
        <v>9162.4</v>
      </c>
    </row>
    <row r="127" spans="1:9" x14ac:dyDescent="0.25">
      <c r="A127" s="3">
        <v>42005</v>
      </c>
      <c r="B127" t="s">
        <v>270</v>
      </c>
      <c r="C127" s="2">
        <v>-566.70000000000005</v>
      </c>
      <c r="D127" s="2">
        <f t="shared" si="55"/>
        <v>-15</v>
      </c>
      <c r="E127" s="5">
        <v>215</v>
      </c>
      <c r="F127" s="2">
        <v>230</v>
      </c>
      <c r="G127" s="2">
        <f t="shared" ref="G127:H127" si="112">SUM(C116:C127)</f>
        <v>3475</v>
      </c>
      <c r="H127" s="2">
        <f t="shared" si="112"/>
        <v>-6512</v>
      </c>
      <c r="I127" s="2">
        <f t="shared" si="68"/>
        <v>9987</v>
      </c>
    </row>
    <row r="128" spans="1:9" x14ac:dyDescent="0.25">
      <c r="A128" s="3">
        <v>42036</v>
      </c>
      <c r="B128" t="s">
        <v>271</v>
      </c>
      <c r="C128" s="2">
        <v>-212.8</v>
      </c>
      <c r="D128" s="2">
        <f t="shared" si="55"/>
        <v>-45</v>
      </c>
      <c r="E128" s="5">
        <v>259</v>
      </c>
      <c r="F128" s="2">
        <v>304</v>
      </c>
      <c r="G128" s="2">
        <f t="shared" ref="G128:H128" si="113">SUM(C117:C128)</f>
        <v>4151.9000000000005</v>
      </c>
      <c r="H128" s="2">
        <f t="shared" si="113"/>
        <v>-6227</v>
      </c>
      <c r="I128" s="2">
        <f t="shared" si="68"/>
        <v>10378.900000000001</v>
      </c>
    </row>
    <row r="129" spans="1:9" x14ac:dyDescent="0.25">
      <c r="A129" s="3">
        <v>42064</v>
      </c>
      <c r="B129" t="s">
        <v>272</v>
      </c>
      <c r="C129" s="2">
        <v>-677.4</v>
      </c>
      <c r="D129" s="2">
        <f t="shared" si="55"/>
        <v>-277</v>
      </c>
      <c r="E129" s="5">
        <v>236</v>
      </c>
      <c r="F129" s="2">
        <v>513</v>
      </c>
      <c r="G129" s="2">
        <f t="shared" ref="G129:H129" si="114">SUM(C118:C129)</f>
        <v>3951.4</v>
      </c>
      <c r="H129" s="2">
        <f t="shared" si="114"/>
        <v>-6154</v>
      </c>
      <c r="I129" s="2">
        <f t="shared" si="68"/>
        <v>10105.4</v>
      </c>
    </row>
    <row r="130" spans="1:9" x14ac:dyDescent="0.25">
      <c r="A130" s="3">
        <v>42095</v>
      </c>
      <c r="B130" t="s">
        <v>273</v>
      </c>
      <c r="C130" s="2">
        <v>222.3</v>
      </c>
      <c r="D130" s="2">
        <f t="shared" si="55"/>
        <v>-465</v>
      </c>
      <c r="E130" s="5">
        <v>151</v>
      </c>
      <c r="F130" s="2">
        <v>616</v>
      </c>
      <c r="G130" s="2">
        <f t="shared" ref="G130:H130" si="115">SUM(C119:C130)</f>
        <v>3351.2999999999997</v>
      </c>
      <c r="H130" s="2">
        <f t="shared" si="115"/>
        <v>-5860</v>
      </c>
      <c r="I130" s="2">
        <f t="shared" si="68"/>
        <v>9211.2999999999993</v>
      </c>
    </row>
    <row r="131" spans="1:9" x14ac:dyDescent="0.25">
      <c r="A131" s="3">
        <v>42125</v>
      </c>
      <c r="B131" t="s">
        <v>274</v>
      </c>
      <c r="C131" s="2">
        <v>202.6</v>
      </c>
      <c r="D131" s="2">
        <f t="shared" si="55"/>
        <v>-507</v>
      </c>
      <c r="E131" s="5">
        <v>236</v>
      </c>
      <c r="F131" s="2">
        <v>743</v>
      </c>
      <c r="G131" s="2">
        <f t="shared" ref="G131:H131" si="116">SUM(C120:C131)</f>
        <v>2152.3000000000002</v>
      </c>
      <c r="H131" s="2">
        <f t="shared" si="116"/>
        <v>-5519</v>
      </c>
      <c r="I131" s="2">
        <f t="shared" si="68"/>
        <v>7671.3</v>
      </c>
    </row>
    <row r="132" spans="1:9" x14ac:dyDescent="0.25">
      <c r="A132" s="3">
        <v>42156</v>
      </c>
      <c r="B132" t="s">
        <v>275</v>
      </c>
      <c r="C132" s="2">
        <v>339.4</v>
      </c>
      <c r="D132" s="2">
        <f t="shared" si="55"/>
        <v>-861</v>
      </c>
      <c r="E132" s="5">
        <v>209</v>
      </c>
      <c r="F132" s="2">
        <v>1070</v>
      </c>
      <c r="G132" s="2">
        <f t="shared" ref="G132:H132" si="117">SUM(C121:C132)</f>
        <v>1135.8000000000002</v>
      </c>
      <c r="H132" s="2">
        <f t="shared" si="117"/>
        <v>-5152</v>
      </c>
      <c r="I132" s="2">
        <f t="shared" si="68"/>
        <v>6287.8</v>
      </c>
    </row>
    <row r="133" spans="1:9" x14ac:dyDescent="0.25">
      <c r="A133" s="3">
        <v>42186</v>
      </c>
      <c r="B133" t="s">
        <v>276</v>
      </c>
      <c r="C133" s="2">
        <v>-231.7</v>
      </c>
      <c r="D133" s="2">
        <f t="shared" si="55"/>
        <v>-797</v>
      </c>
      <c r="E133" s="5">
        <v>136</v>
      </c>
      <c r="F133" s="2">
        <v>933</v>
      </c>
      <c r="G133" s="2">
        <f t="shared" ref="G133:H133" si="118">SUM(C122:C133)</f>
        <v>632.30000000000018</v>
      </c>
      <c r="H133" s="2">
        <f t="shared" si="118"/>
        <v>-4943</v>
      </c>
      <c r="I133" s="2">
        <f t="shared" si="68"/>
        <v>5575.3</v>
      </c>
    </row>
    <row r="134" spans="1:9" x14ac:dyDescent="0.25">
      <c r="A134" s="3">
        <v>42217</v>
      </c>
      <c r="B134" t="s">
        <v>277</v>
      </c>
      <c r="C134" s="2">
        <v>-469.2</v>
      </c>
      <c r="D134" s="2">
        <f t="shared" si="55"/>
        <v>-650</v>
      </c>
      <c r="E134" s="5">
        <v>105</v>
      </c>
      <c r="F134" s="2">
        <v>755</v>
      </c>
      <c r="G134" s="2">
        <f t="shared" ref="G134:H134" si="119">SUM(C123:C134)</f>
        <v>-612.50000000000011</v>
      </c>
      <c r="H134" s="2">
        <f t="shared" si="119"/>
        <v>-4893</v>
      </c>
      <c r="I134" s="2">
        <f t="shared" si="68"/>
        <v>4280.5</v>
      </c>
    </row>
    <row r="135" spans="1:9" x14ac:dyDescent="0.25">
      <c r="A135" s="3">
        <v>42248</v>
      </c>
      <c r="B135" t="s">
        <v>278</v>
      </c>
      <c r="C135" s="2">
        <v>-325.10000000000002</v>
      </c>
      <c r="D135" s="2">
        <f t="shared" si="55"/>
        <v>-538</v>
      </c>
      <c r="E135" s="5">
        <v>126</v>
      </c>
      <c r="F135" s="2">
        <v>664</v>
      </c>
      <c r="G135" s="2">
        <f t="shared" ref="G135:H135" si="120">SUM(C124:C135)</f>
        <v>-978.7</v>
      </c>
      <c r="H135" s="2">
        <f t="shared" si="120"/>
        <v>-5190</v>
      </c>
      <c r="I135" s="2">
        <f t="shared" si="68"/>
        <v>4211.3</v>
      </c>
    </row>
    <row r="136" spans="1:9" x14ac:dyDescent="0.25">
      <c r="A136" s="3">
        <v>42278</v>
      </c>
      <c r="B136" t="s">
        <v>279</v>
      </c>
      <c r="C136" s="2">
        <v>-25</v>
      </c>
      <c r="D136" s="2">
        <f t="shared" ref="D136:D199" si="121">E136-F136</f>
        <v>-68</v>
      </c>
      <c r="E136" s="5">
        <v>234</v>
      </c>
      <c r="F136" s="2">
        <v>302</v>
      </c>
      <c r="G136" s="2">
        <f t="shared" ref="G136:H136" si="122">SUM(C125:C136)</f>
        <v>-1303.5</v>
      </c>
      <c r="H136" s="2">
        <f t="shared" si="122"/>
        <v>-4930</v>
      </c>
      <c r="I136" s="2">
        <f t="shared" si="68"/>
        <v>3626.5</v>
      </c>
    </row>
    <row r="137" spans="1:9" x14ac:dyDescent="0.25">
      <c r="A137" s="3">
        <v>42309</v>
      </c>
      <c r="B137" t="s">
        <v>280</v>
      </c>
      <c r="C137" s="2">
        <v>-700.9</v>
      </c>
      <c r="D137" s="2">
        <f t="shared" si="121"/>
        <v>-176</v>
      </c>
      <c r="E137" s="5">
        <v>161</v>
      </c>
      <c r="F137" s="2">
        <v>337</v>
      </c>
      <c r="G137" s="2">
        <f t="shared" ref="G137:H137" si="123">SUM(C126:C137)</f>
        <v>-2242.6000000000004</v>
      </c>
      <c r="H137" s="2">
        <f t="shared" si="123"/>
        <v>-4768</v>
      </c>
      <c r="I137" s="2">
        <f t="shared" si="68"/>
        <v>2525.3999999999996</v>
      </c>
    </row>
    <row r="138" spans="1:9" x14ac:dyDescent="0.25">
      <c r="A138" s="3">
        <v>42339</v>
      </c>
      <c r="B138" t="s">
        <v>281</v>
      </c>
      <c r="C138" s="2">
        <v>-974.6</v>
      </c>
      <c r="D138" s="2">
        <f t="shared" si="121"/>
        <v>-188</v>
      </c>
      <c r="E138" s="5">
        <v>185</v>
      </c>
      <c r="F138" s="2">
        <v>373</v>
      </c>
      <c r="G138" s="2">
        <f t="shared" ref="G138:H138" si="124">SUM(C127:C138)</f>
        <v>-3419.1000000000004</v>
      </c>
      <c r="H138" s="2">
        <f t="shared" si="124"/>
        <v>-4587</v>
      </c>
      <c r="I138" s="2">
        <f t="shared" si="68"/>
        <v>1167.8999999999996</v>
      </c>
    </row>
    <row r="139" spans="1:9" x14ac:dyDescent="0.25">
      <c r="A139" s="3">
        <v>42370</v>
      </c>
      <c r="B139" t="s">
        <v>282</v>
      </c>
      <c r="C139" s="2">
        <v>-242.4</v>
      </c>
      <c r="D139" s="2">
        <f t="shared" si="121"/>
        <v>-143</v>
      </c>
      <c r="E139" s="5">
        <v>151</v>
      </c>
      <c r="F139" s="2">
        <v>294</v>
      </c>
      <c r="G139" s="2">
        <f t="shared" ref="G139:H139" si="125">SUM(C128:C139)</f>
        <v>-3094.8</v>
      </c>
      <c r="H139" s="2">
        <f t="shared" si="125"/>
        <v>-4715</v>
      </c>
      <c r="I139" s="2">
        <f t="shared" si="68"/>
        <v>1620.1999999999998</v>
      </c>
    </row>
    <row r="140" spans="1:9" x14ac:dyDescent="0.25">
      <c r="A140" s="3">
        <v>42401</v>
      </c>
      <c r="B140" t="s">
        <v>283</v>
      </c>
      <c r="C140" s="2">
        <v>44.7</v>
      </c>
      <c r="D140" s="2">
        <f t="shared" si="121"/>
        <v>-152</v>
      </c>
      <c r="E140" s="5">
        <v>135</v>
      </c>
      <c r="F140" s="2">
        <v>287</v>
      </c>
      <c r="G140" s="2">
        <f t="shared" ref="G140:H140" si="126">SUM(C129:C140)</f>
        <v>-2837.3</v>
      </c>
      <c r="H140" s="2">
        <f t="shared" si="126"/>
        <v>-4822</v>
      </c>
      <c r="I140" s="2">
        <f t="shared" si="68"/>
        <v>1984.6999999999998</v>
      </c>
    </row>
    <row r="141" spans="1:9" x14ac:dyDescent="0.25">
      <c r="A141" s="3">
        <v>42430</v>
      </c>
      <c r="B141" t="s">
        <v>284</v>
      </c>
      <c r="C141" s="2">
        <v>-135.5</v>
      </c>
      <c r="D141" s="2">
        <f t="shared" si="121"/>
        <v>-127</v>
      </c>
      <c r="E141" s="5">
        <v>141</v>
      </c>
      <c r="F141" s="2">
        <v>268</v>
      </c>
      <c r="G141" s="2">
        <f t="shared" ref="G141:H141" si="127">SUM(C130:C141)</f>
        <v>-2295.4000000000005</v>
      </c>
      <c r="H141" s="2">
        <f t="shared" si="127"/>
        <v>-4672</v>
      </c>
      <c r="I141" s="2">
        <f t="shared" si="68"/>
        <v>2376.5999999999995</v>
      </c>
    </row>
    <row r="142" spans="1:9" x14ac:dyDescent="0.25">
      <c r="A142" s="3">
        <v>42461</v>
      </c>
      <c r="B142" t="s">
        <v>285</v>
      </c>
      <c r="C142" s="2">
        <v>316.89999999999998</v>
      </c>
      <c r="D142" s="2">
        <f t="shared" si="121"/>
        <v>-69</v>
      </c>
      <c r="E142" s="5">
        <v>186</v>
      </c>
      <c r="F142" s="2">
        <v>255</v>
      </c>
      <c r="G142" s="2">
        <f t="shared" ref="G142:H142" si="128">SUM(C131:C142)</f>
        <v>-2200.8000000000002</v>
      </c>
      <c r="H142" s="2">
        <f t="shared" si="128"/>
        <v>-4276</v>
      </c>
      <c r="I142" s="2">
        <f t="shared" si="68"/>
        <v>2075.1999999999998</v>
      </c>
    </row>
    <row r="143" spans="1:9" x14ac:dyDescent="0.25">
      <c r="A143" s="3">
        <v>42491</v>
      </c>
      <c r="B143" t="s">
        <v>286</v>
      </c>
      <c r="C143" s="2">
        <v>509.8</v>
      </c>
      <c r="D143" s="2">
        <f t="shared" si="121"/>
        <v>-284</v>
      </c>
      <c r="E143" s="5">
        <v>142</v>
      </c>
      <c r="F143" s="2">
        <v>426</v>
      </c>
      <c r="G143" s="2">
        <f t="shared" ref="G143:H143" si="129">SUM(C132:C143)</f>
        <v>-1893.6000000000001</v>
      </c>
      <c r="H143" s="2">
        <f t="shared" si="129"/>
        <v>-4053</v>
      </c>
      <c r="I143" s="2">
        <f t="shared" si="68"/>
        <v>2159.3999999999996</v>
      </c>
    </row>
    <row r="144" spans="1:9" x14ac:dyDescent="0.25">
      <c r="A144" s="3">
        <v>42522</v>
      </c>
      <c r="B144" t="s">
        <v>5</v>
      </c>
      <c r="C144" s="2">
        <v>258.60000000000002</v>
      </c>
      <c r="D144" s="2">
        <f t="shared" si="121"/>
        <v>-593</v>
      </c>
      <c r="E144" s="5">
        <v>171</v>
      </c>
      <c r="F144" s="2">
        <v>764</v>
      </c>
      <c r="G144" s="2">
        <f t="shared" ref="G144:H144" si="130">SUM(C133:C144)</f>
        <v>-1974.4</v>
      </c>
      <c r="H144" s="2">
        <f t="shared" si="130"/>
        <v>-3785</v>
      </c>
      <c r="I144" s="2">
        <f t="shared" si="68"/>
        <v>1810.6</v>
      </c>
    </row>
    <row r="145" spans="1:9" x14ac:dyDescent="0.25">
      <c r="A145" s="3">
        <v>42552</v>
      </c>
      <c r="B145" t="s">
        <v>15</v>
      </c>
      <c r="C145" s="2">
        <v>284</v>
      </c>
      <c r="D145" s="2">
        <f t="shared" si="121"/>
        <v>-708</v>
      </c>
      <c r="E145" s="5">
        <v>101</v>
      </c>
      <c r="F145" s="2">
        <v>809</v>
      </c>
      <c r="G145" s="2">
        <f t="shared" ref="G145:H145" si="131">SUM(C134:C145)</f>
        <v>-1458.6999999999998</v>
      </c>
      <c r="H145" s="2">
        <f t="shared" si="131"/>
        <v>-3696</v>
      </c>
      <c r="I145" s="2">
        <f t="shared" si="68"/>
        <v>2237.3000000000002</v>
      </c>
    </row>
    <row r="146" spans="1:9" x14ac:dyDescent="0.25">
      <c r="A146" s="3">
        <v>42583</v>
      </c>
      <c r="B146" t="s">
        <v>16</v>
      </c>
      <c r="C146" s="2">
        <v>590.1</v>
      </c>
      <c r="D146" s="2">
        <f t="shared" si="121"/>
        <v>-424</v>
      </c>
      <c r="E146" s="5">
        <v>122</v>
      </c>
      <c r="F146" s="2">
        <v>546</v>
      </c>
      <c r="G146" s="2">
        <f t="shared" ref="G146:H146" si="132">SUM(C135:C146)</f>
        <v>-399.4</v>
      </c>
      <c r="H146" s="2">
        <f t="shared" si="132"/>
        <v>-3470</v>
      </c>
      <c r="I146" s="2">
        <f t="shared" si="68"/>
        <v>3070.6</v>
      </c>
    </row>
    <row r="147" spans="1:9" x14ac:dyDescent="0.25">
      <c r="A147" s="3">
        <v>42614</v>
      </c>
      <c r="B147" t="s">
        <v>17</v>
      </c>
      <c r="C147" s="2">
        <v>308.10000000000002</v>
      </c>
      <c r="D147" s="2">
        <f t="shared" si="121"/>
        <v>-277</v>
      </c>
      <c r="E147" s="5">
        <v>173</v>
      </c>
      <c r="F147" s="2">
        <v>450</v>
      </c>
      <c r="G147" s="2">
        <f t="shared" ref="G147:H147" si="133">SUM(C136:C147)</f>
        <v>233.79999999999984</v>
      </c>
      <c r="H147" s="2">
        <f t="shared" si="133"/>
        <v>-3209</v>
      </c>
      <c r="I147" s="2">
        <f t="shared" ref="I147:I210" si="134">G147-H147</f>
        <v>3442.7999999999997</v>
      </c>
    </row>
    <row r="148" spans="1:9" x14ac:dyDescent="0.25">
      <c r="A148" s="3">
        <v>42644</v>
      </c>
      <c r="B148" t="s">
        <v>18</v>
      </c>
      <c r="C148" s="2">
        <v>-46.2</v>
      </c>
      <c r="D148" s="2">
        <f t="shared" si="121"/>
        <v>-92</v>
      </c>
      <c r="E148" s="5">
        <v>224</v>
      </c>
      <c r="F148" s="2">
        <v>316</v>
      </c>
      <c r="G148" s="2">
        <f t="shared" ref="G148:H148" si="135">SUM(C137:C148)</f>
        <v>212.59999999999985</v>
      </c>
      <c r="H148" s="2">
        <f t="shared" si="135"/>
        <v>-3233</v>
      </c>
      <c r="I148" s="2">
        <f t="shared" si="134"/>
        <v>3445.6</v>
      </c>
    </row>
    <row r="149" spans="1:9" x14ac:dyDescent="0.25">
      <c r="A149" s="3">
        <v>42675</v>
      </c>
      <c r="B149" t="s">
        <v>19</v>
      </c>
      <c r="C149" s="2">
        <v>114.3</v>
      </c>
      <c r="D149" s="2">
        <f t="shared" si="121"/>
        <v>-44</v>
      </c>
      <c r="E149" s="5">
        <v>238</v>
      </c>
      <c r="F149" s="2">
        <v>282</v>
      </c>
      <c r="G149" s="2">
        <f t="shared" ref="G149:H149" si="136">SUM(C138:C149)</f>
        <v>1027.8000000000002</v>
      </c>
      <c r="H149" s="2">
        <f t="shared" si="136"/>
        <v>-3101</v>
      </c>
      <c r="I149" s="2">
        <f t="shared" si="134"/>
        <v>4128.8</v>
      </c>
    </row>
    <row r="150" spans="1:9" x14ac:dyDescent="0.25">
      <c r="A150" s="3">
        <v>42705</v>
      </c>
      <c r="B150" t="s">
        <v>20</v>
      </c>
      <c r="C150" s="2">
        <v>54.7</v>
      </c>
      <c r="D150" s="2">
        <f t="shared" si="121"/>
        <v>34</v>
      </c>
      <c r="E150" s="5">
        <v>251</v>
      </c>
      <c r="F150" s="2">
        <v>217</v>
      </c>
      <c r="G150" s="2">
        <f t="shared" ref="G150:H150" si="137">SUM(C139:C150)</f>
        <v>2057.0999999999995</v>
      </c>
      <c r="H150" s="2">
        <f t="shared" si="137"/>
        <v>-2879</v>
      </c>
      <c r="I150" s="2">
        <f t="shared" si="134"/>
        <v>4936.0999999999995</v>
      </c>
    </row>
    <row r="151" spans="1:9" x14ac:dyDescent="0.25">
      <c r="A151" s="3">
        <v>42736</v>
      </c>
      <c r="B151" t="s">
        <v>21</v>
      </c>
      <c r="C151" s="2">
        <v>-53.4</v>
      </c>
      <c r="D151" s="2">
        <f t="shared" si="121"/>
        <v>-26</v>
      </c>
      <c r="E151" s="5">
        <v>235</v>
      </c>
      <c r="F151" s="2">
        <v>261</v>
      </c>
      <c r="G151" s="2">
        <f t="shared" ref="G151:H151" si="138">SUM(C140:C151)</f>
        <v>2246.1</v>
      </c>
      <c r="H151" s="2">
        <f t="shared" si="138"/>
        <v>-2762</v>
      </c>
      <c r="I151" s="2">
        <f t="shared" si="134"/>
        <v>5008.1000000000004</v>
      </c>
    </row>
    <row r="152" spans="1:9" x14ac:dyDescent="0.25">
      <c r="A152" s="3">
        <v>42767</v>
      </c>
      <c r="B152" t="s">
        <v>22</v>
      </c>
      <c r="C152" s="2">
        <v>-217.8</v>
      </c>
      <c r="D152" s="2">
        <f t="shared" si="121"/>
        <v>-70</v>
      </c>
      <c r="E152" s="5">
        <v>194</v>
      </c>
      <c r="F152" s="2">
        <v>264</v>
      </c>
      <c r="G152" s="2">
        <f t="shared" ref="G152:H152" si="139">SUM(C141:C152)</f>
        <v>1983.6000000000001</v>
      </c>
      <c r="H152" s="2">
        <f t="shared" si="139"/>
        <v>-2680</v>
      </c>
      <c r="I152" s="2">
        <f t="shared" si="134"/>
        <v>4663.6000000000004</v>
      </c>
    </row>
    <row r="153" spans="1:9" x14ac:dyDescent="0.25">
      <c r="A153" s="3">
        <v>42795</v>
      </c>
      <c r="B153" t="s">
        <v>23</v>
      </c>
      <c r="C153" s="2">
        <v>-910.3</v>
      </c>
      <c r="D153" s="2">
        <f t="shared" si="121"/>
        <v>-142</v>
      </c>
      <c r="E153" s="5">
        <v>189</v>
      </c>
      <c r="F153" s="2">
        <v>331</v>
      </c>
      <c r="G153" s="2">
        <f t="shared" ref="G153:H153" si="140">SUM(C142:C153)</f>
        <v>1208.8</v>
      </c>
      <c r="H153" s="2">
        <f t="shared" si="140"/>
        <v>-2695</v>
      </c>
      <c r="I153" s="2">
        <f t="shared" si="134"/>
        <v>3903.8</v>
      </c>
    </row>
    <row r="154" spans="1:9" x14ac:dyDescent="0.25">
      <c r="A154" s="3">
        <v>42826</v>
      </c>
      <c r="B154" t="s">
        <v>24</v>
      </c>
      <c r="C154" s="2">
        <v>-106.5</v>
      </c>
      <c r="D154" s="2">
        <f t="shared" si="121"/>
        <v>-239</v>
      </c>
      <c r="E154" s="5">
        <v>148</v>
      </c>
      <c r="F154" s="2">
        <v>387</v>
      </c>
      <c r="G154" s="2">
        <f t="shared" ref="G154:H154" si="141">SUM(C143:C154)</f>
        <v>785.39999999999964</v>
      </c>
      <c r="H154" s="2">
        <f t="shared" si="141"/>
        <v>-2865</v>
      </c>
      <c r="I154" s="2">
        <f t="shared" si="134"/>
        <v>3650.3999999999996</v>
      </c>
    </row>
    <row r="155" spans="1:9" x14ac:dyDescent="0.25">
      <c r="A155" s="3">
        <v>42856</v>
      </c>
      <c r="B155" t="s">
        <v>25</v>
      </c>
      <c r="C155" s="2">
        <v>-571.1</v>
      </c>
      <c r="D155" s="2">
        <f t="shared" si="121"/>
        <v>-569</v>
      </c>
      <c r="E155" s="5">
        <v>170</v>
      </c>
      <c r="F155" s="2">
        <v>739</v>
      </c>
      <c r="G155" s="2">
        <f t="shared" ref="G155:H155" si="142">SUM(C144:C155)</f>
        <v>-295.49999999999989</v>
      </c>
      <c r="H155" s="2">
        <f t="shared" si="142"/>
        <v>-3150</v>
      </c>
      <c r="I155" s="2">
        <f t="shared" si="134"/>
        <v>2854.5</v>
      </c>
    </row>
    <row r="156" spans="1:9" x14ac:dyDescent="0.25">
      <c r="A156" s="3">
        <v>42887</v>
      </c>
      <c r="B156" t="s">
        <v>26</v>
      </c>
      <c r="C156" s="2">
        <v>-739.7</v>
      </c>
      <c r="D156" s="2">
        <f t="shared" si="121"/>
        <v>-682</v>
      </c>
      <c r="E156" s="5">
        <v>104</v>
      </c>
      <c r="F156" s="2">
        <v>786</v>
      </c>
      <c r="G156" s="2">
        <f t="shared" ref="G156:H156" si="143">SUM(C145:C156)</f>
        <v>-1293.8000000000002</v>
      </c>
      <c r="H156" s="2">
        <f t="shared" si="143"/>
        <v>-3239</v>
      </c>
      <c r="I156" s="2">
        <f t="shared" si="134"/>
        <v>1945.1999999999998</v>
      </c>
    </row>
    <row r="157" spans="1:9" x14ac:dyDescent="0.25">
      <c r="A157" s="3">
        <v>42917</v>
      </c>
      <c r="B157" t="s">
        <v>27</v>
      </c>
      <c r="C157" s="2">
        <v>-738.7</v>
      </c>
      <c r="D157" s="2">
        <f t="shared" si="121"/>
        <v>-555</v>
      </c>
      <c r="E157" s="5">
        <v>118</v>
      </c>
      <c r="F157" s="2">
        <v>673</v>
      </c>
      <c r="G157" s="2">
        <f t="shared" ref="G157:H157" si="144">SUM(C146:C157)</f>
        <v>-2316.5</v>
      </c>
      <c r="H157" s="2">
        <f t="shared" si="144"/>
        <v>-3086</v>
      </c>
      <c r="I157" s="2">
        <f t="shared" si="134"/>
        <v>769.5</v>
      </c>
    </row>
    <row r="158" spans="1:9" x14ac:dyDescent="0.25">
      <c r="A158" s="3">
        <v>42948</v>
      </c>
      <c r="B158" t="s">
        <v>28</v>
      </c>
      <c r="C158" s="2">
        <v>-1044.4000000000001</v>
      </c>
      <c r="D158" s="2">
        <f t="shared" si="121"/>
        <v>-334</v>
      </c>
      <c r="E158" s="5">
        <v>195</v>
      </c>
      <c r="F158" s="2">
        <v>529</v>
      </c>
      <c r="G158" s="2">
        <f t="shared" ref="G158:H158" si="145">SUM(C147:C158)</f>
        <v>-3950.9999999999995</v>
      </c>
      <c r="H158" s="2">
        <f t="shared" si="145"/>
        <v>-2996</v>
      </c>
      <c r="I158" s="2">
        <f t="shared" si="134"/>
        <v>-954.99999999999955</v>
      </c>
    </row>
    <row r="159" spans="1:9" x14ac:dyDescent="0.25">
      <c r="A159" s="3">
        <v>42979</v>
      </c>
      <c r="B159" t="s">
        <v>29</v>
      </c>
      <c r="C159" s="2">
        <v>-700.1</v>
      </c>
      <c r="D159" s="2">
        <f t="shared" si="121"/>
        <v>-243</v>
      </c>
      <c r="E159" s="5">
        <v>194</v>
      </c>
      <c r="F159" s="2">
        <v>437</v>
      </c>
      <c r="G159" s="2">
        <f t="shared" ref="G159:H159" si="146">SUM(C148:C159)</f>
        <v>-4959.2000000000007</v>
      </c>
      <c r="H159" s="2">
        <f t="shared" si="146"/>
        <v>-2962</v>
      </c>
      <c r="I159" s="2">
        <f t="shared" si="134"/>
        <v>-1997.2000000000007</v>
      </c>
    </row>
    <row r="160" spans="1:9" x14ac:dyDescent="0.25">
      <c r="A160" s="3">
        <v>43009</v>
      </c>
      <c r="B160" t="s">
        <v>30</v>
      </c>
      <c r="C160" s="2">
        <v>-928.6</v>
      </c>
      <c r="D160" s="2">
        <f t="shared" si="121"/>
        <v>-160</v>
      </c>
      <c r="E160" s="5">
        <v>297</v>
      </c>
      <c r="F160" s="2">
        <v>457</v>
      </c>
      <c r="G160" s="2">
        <f t="shared" ref="G160:H160" si="147">SUM(C149:C160)</f>
        <v>-5841.6</v>
      </c>
      <c r="H160" s="2">
        <f t="shared" si="147"/>
        <v>-3030</v>
      </c>
      <c r="I160" s="2">
        <f t="shared" si="134"/>
        <v>-2811.6000000000004</v>
      </c>
    </row>
    <row r="161" spans="1:9" x14ac:dyDescent="0.25">
      <c r="A161" s="3">
        <v>43040</v>
      </c>
      <c r="B161" t="s">
        <v>31</v>
      </c>
      <c r="C161" s="2">
        <v>-1495.4</v>
      </c>
      <c r="D161" s="2">
        <f t="shared" si="121"/>
        <v>-96</v>
      </c>
      <c r="E161" s="5">
        <v>323</v>
      </c>
      <c r="F161" s="2">
        <v>419</v>
      </c>
      <c r="G161" s="2">
        <f t="shared" ref="G161:H161" si="148">SUM(C150:C161)</f>
        <v>-7451.3000000000011</v>
      </c>
      <c r="H161" s="2">
        <f t="shared" si="148"/>
        <v>-3082</v>
      </c>
      <c r="I161" s="2">
        <f t="shared" si="134"/>
        <v>-4369.3000000000011</v>
      </c>
    </row>
    <row r="162" spans="1:9" x14ac:dyDescent="0.25">
      <c r="A162" s="3">
        <v>43070</v>
      </c>
      <c r="B162" t="s">
        <v>32</v>
      </c>
      <c r="C162" s="2">
        <v>-787.5</v>
      </c>
      <c r="D162" s="2">
        <f t="shared" si="121"/>
        <v>-129</v>
      </c>
      <c r="E162" s="5">
        <v>310</v>
      </c>
      <c r="F162" s="2">
        <v>439</v>
      </c>
      <c r="G162" s="2">
        <f t="shared" ref="G162:H162" si="149">SUM(C151:C162)</f>
        <v>-8293.5</v>
      </c>
      <c r="H162" s="2">
        <f t="shared" si="149"/>
        <v>-3245</v>
      </c>
      <c r="I162" s="2">
        <f t="shared" si="134"/>
        <v>-5048.5</v>
      </c>
    </row>
    <row r="163" spans="1:9" x14ac:dyDescent="0.25">
      <c r="A163" s="3">
        <v>43101</v>
      </c>
      <c r="B163" t="s">
        <v>33</v>
      </c>
      <c r="C163" s="2">
        <v>-933</v>
      </c>
      <c r="D163" s="2">
        <f t="shared" si="121"/>
        <v>-67</v>
      </c>
      <c r="E163" s="5">
        <v>417</v>
      </c>
      <c r="F163" s="2">
        <v>484</v>
      </c>
      <c r="G163" s="2">
        <f t="shared" ref="G163:H163" si="150">SUM(C152:C163)</f>
        <v>-9173.1</v>
      </c>
      <c r="H163" s="2">
        <f t="shared" si="150"/>
        <v>-3286</v>
      </c>
      <c r="I163" s="2">
        <f t="shared" si="134"/>
        <v>-5887.1</v>
      </c>
    </row>
    <row r="164" spans="1:9" x14ac:dyDescent="0.25">
      <c r="A164" s="3">
        <v>43132</v>
      </c>
      <c r="B164" t="s">
        <v>34</v>
      </c>
      <c r="C164" s="2">
        <v>-891.8</v>
      </c>
      <c r="D164" s="2">
        <f t="shared" si="121"/>
        <v>22</v>
      </c>
      <c r="E164" s="5">
        <v>367</v>
      </c>
      <c r="F164" s="2">
        <v>345</v>
      </c>
      <c r="G164" s="2">
        <f t="shared" ref="G164:H164" si="151">SUM(C153:C164)</f>
        <v>-9847.1</v>
      </c>
      <c r="H164" s="2">
        <f t="shared" si="151"/>
        <v>-3194</v>
      </c>
      <c r="I164" s="2">
        <f t="shared" si="134"/>
        <v>-6653.1</v>
      </c>
    </row>
    <row r="165" spans="1:9" x14ac:dyDescent="0.25">
      <c r="A165" s="3">
        <v>43160</v>
      </c>
      <c r="B165" t="s">
        <v>35</v>
      </c>
      <c r="C165" s="2">
        <v>-562.29999999999995</v>
      </c>
      <c r="D165" s="2">
        <f t="shared" si="121"/>
        <v>-91</v>
      </c>
      <c r="E165" s="5">
        <v>361</v>
      </c>
      <c r="F165" s="2">
        <v>452</v>
      </c>
      <c r="G165" s="2">
        <f t="shared" ref="G165:H165" si="152">SUM(C154:C165)</f>
        <v>-9499.0999999999985</v>
      </c>
      <c r="H165" s="2">
        <f t="shared" si="152"/>
        <v>-3143</v>
      </c>
      <c r="I165" s="2">
        <f t="shared" si="134"/>
        <v>-6356.0999999999985</v>
      </c>
    </row>
    <row r="166" spans="1:9" x14ac:dyDescent="0.25">
      <c r="A166" s="3">
        <v>43191</v>
      </c>
      <c r="B166" t="s">
        <v>36</v>
      </c>
      <c r="C166" s="2">
        <v>-889.3</v>
      </c>
      <c r="D166" s="2">
        <f t="shared" si="121"/>
        <v>-154</v>
      </c>
      <c r="E166" s="5">
        <v>308</v>
      </c>
      <c r="F166" s="2">
        <v>462</v>
      </c>
      <c r="G166" s="2">
        <f t="shared" ref="G166:H166" si="153">SUM(C155:C166)</f>
        <v>-10281.899999999998</v>
      </c>
      <c r="H166" s="2">
        <f t="shared" si="153"/>
        <v>-3058</v>
      </c>
      <c r="I166" s="2">
        <f t="shared" si="134"/>
        <v>-7223.8999999999978</v>
      </c>
    </row>
    <row r="167" spans="1:9" x14ac:dyDescent="0.25">
      <c r="A167" s="3">
        <v>43221</v>
      </c>
      <c r="B167" t="s">
        <v>37</v>
      </c>
      <c r="C167" s="2">
        <v>-1284.9000000000001</v>
      </c>
      <c r="D167" s="2">
        <f t="shared" si="121"/>
        <v>-482</v>
      </c>
      <c r="E167" s="5">
        <v>280</v>
      </c>
      <c r="F167" s="2">
        <v>762</v>
      </c>
      <c r="G167" s="2">
        <f t="shared" ref="G167:H167" si="154">SUM(C156:C167)</f>
        <v>-10995.699999999997</v>
      </c>
      <c r="H167" s="2">
        <f t="shared" si="154"/>
        <v>-2971</v>
      </c>
      <c r="I167" s="2">
        <f t="shared" si="134"/>
        <v>-8024.6999999999971</v>
      </c>
    </row>
    <row r="168" spans="1:9" x14ac:dyDescent="0.25">
      <c r="A168" s="3">
        <v>43252</v>
      </c>
      <c r="B168" t="s">
        <v>38</v>
      </c>
      <c r="C168" s="2">
        <v>-327.60000000000002</v>
      </c>
      <c r="D168" s="2">
        <f t="shared" si="121"/>
        <v>-508</v>
      </c>
      <c r="E168" s="5">
        <v>232</v>
      </c>
      <c r="F168" s="2">
        <v>740</v>
      </c>
      <c r="G168" s="2">
        <f t="shared" ref="G168:H168" si="155">SUM(C157:C168)</f>
        <v>-10583.6</v>
      </c>
      <c r="H168" s="2">
        <f t="shared" si="155"/>
        <v>-2797</v>
      </c>
      <c r="I168" s="2">
        <f t="shared" si="134"/>
        <v>-7786.6</v>
      </c>
    </row>
    <row r="169" spans="1:9" x14ac:dyDescent="0.25">
      <c r="A169" s="3">
        <v>43282</v>
      </c>
      <c r="B169" t="s">
        <v>39</v>
      </c>
      <c r="C169" s="2">
        <v>-767.6</v>
      </c>
      <c r="D169" s="2">
        <f t="shared" si="121"/>
        <v>-565</v>
      </c>
      <c r="E169" s="5">
        <v>365</v>
      </c>
      <c r="F169" s="2">
        <v>930</v>
      </c>
      <c r="G169" s="2">
        <f t="shared" ref="G169:H169" si="156">SUM(C158:C169)</f>
        <v>-10612.5</v>
      </c>
      <c r="H169" s="2">
        <f t="shared" si="156"/>
        <v>-2807</v>
      </c>
      <c r="I169" s="2">
        <f t="shared" si="134"/>
        <v>-7805.5</v>
      </c>
    </row>
    <row r="170" spans="1:9" x14ac:dyDescent="0.25">
      <c r="A170" s="3">
        <v>43313</v>
      </c>
      <c r="B170" t="s">
        <v>40</v>
      </c>
      <c r="C170" s="2">
        <v>-1112.5</v>
      </c>
      <c r="D170" s="2">
        <f t="shared" si="121"/>
        <v>-633</v>
      </c>
      <c r="E170" s="5">
        <v>212</v>
      </c>
      <c r="F170" s="2">
        <v>845</v>
      </c>
      <c r="G170" s="2">
        <f t="shared" ref="G170:H170" si="157">SUM(C159:C170)</f>
        <v>-10680.600000000002</v>
      </c>
      <c r="H170" s="2">
        <f t="shared" si="157"/>
        <v>-3106</v>
      </c>
      <c r="I170" s="2">
        <f t="shared" si="134"/>
        <v>-7574.6000000000022</v>
      </c>
    </row>
    <row r="171" spans="1:9" x14ac:dyDescent="0.25">
      <c r="A171" s="3">
        <v>43344</v>
      </c>
      <c r="B171" t="s">
        <v>41</v>
      </c>
      <c r="C171" s="2">
        <v>336.9</v>
      </c>
      <c r="D171" s="2">
        <f t="shared" si="121"/>
        <v>-89</v>
      </c>
      <c r="E171" s="5">
        <v>450</v>
      </c>
      <c r="F171" s="2">
        <v>539</v>
      </c>
      <c r="G171" s="2">
        <f t="shared" ref="G171:H171" si="158">SUM(C160:C171)</f>
        <v>-9643.6000000000022</v>
      </c>
      <c r="H171" s="2">
        <f t="shared" si="158"/>
        <v>-2952</v>
      </c>
      <c r="I171" s="2">
        <f t="shared" si="134"/>
        <v>-6691.6000000000022</v>
      </c>
    </row>
    <row r="172" spans="1:9" x14ac:dyDescent="0.25">
      <c r="A172" s="3">
        <v>43374</v>
      </c>
      <c r="B172" t="s">
        <v>42</v>
      </c>
      <c r="C172" s="2">
        <v>324.7</v>
      </c>
      <c r="D172" s="2">
        <f t="shared" si="121"/>
        <v>37</v>
      </c>
      <c r="E172" s="5">
        <v>412</v>
      </c>
      <c r="F172" s="2">
        <v>375</v>
      </c>
      <c r="G172" s="2">
        <f t="shared" ref="G172:H172" si="159">SUM(C161:C172)</f>
        <v>-8390.3000000000011</v>
      </c>
      <c r="H172" s="2">
        <f t="shared" si="159"/>
        <v>-2755</v>
      </c>
      <c r="I172" s="2">
        <f t="shared" si="134"/>
        <v>-5635.3000000000011</v>
      </c>
    </row>
    <row r="173" spans="1:9" x14ac:dyDescent="0.25">
      <c r="A173" s="3">
        <v>43405</v>
      </c>
      <c r="B173" t="s">
        <v>43</v>
      </c>
      <c r="C173" s="2">
        <v>986.6</v>
      </c>
      <c r="D173" s="2">
        <f t="shared" si="121"/>
        <v>177</v>
      </c>
      <c r="E173" s="5">
        <v>504</v>
      </c>
      <c r="F173" s="2">
        <v>327</v>
      </c>
      <c r="G173" s="2">
        <f t="shared" ref="G173:H173" si="160">SUM(C162:C173)</f>
        <v>-5908.300000000002</v>
      </c>
      <c r="H173" s="2">
        <f t="shared" si="160"/>
        <v>-2482</v>
      </c>
      <c r="I173" s="2">
        <f t="shared" si="134"/>
        <v>-3426.300000000002</v>
      </c>
    </row>
    <row r="174" spans="1:9" x14ac:dyDescent="0.25">
      <c r="A174" s="3">
        <v>43435</v>
      </c>
      <c r="B174" t="s">
        <v>44</v>
      </c>
      <c r="C174" s="2">
        <v>1419.5</v>
      </c>
      <c r="D174" s="2">
        <f t="shared" si="121"/>
        <v>-2</v>
      </c>
      <c r="E174" s="5">
        <v>292</v>
      </c>
      <c r="F174" s="2">
        <v>294</v>
      </c>
      <c r="G174" s="2">
        <f t="shared" ref="G174:H174" si="161">SUM(C163:C174)</f>
        <v>-3701.3</v>
      </c>
      <c r="H174" s="2">
        <f t="shared" si="161"/>
        <v>-2355</v>
      </c>
      <c r="I174" s="2">
        <f t="shared" si="134"/>
        <v>-1346.3000000000002</v>
      </c>
    </row>
    <row r="175" spans="1:9" x14ac:dyDescent="0.25">
      <c r="A175" s="3">
        <v>43466</v>
      </c>
      <c r="B175" t="s">
        <v>45</v>
      </c>
      <c r="C175" s="2">
        <v>373</v>
      </c>
      <c r="D175" s="2">
        <f t="shared" si="121"/>
        <v>2</v>
      </c>
      <c r="E175" s="5">
        <v>333</v>
      </c>
      <c r="F175" s="2">
        <v>331</v>
      </c>
      <c r="G175" s="2">
        <f t="shared" ref="G175:H175" si="162">SUM(C164:C175)</f>
        <v>-2395.3000000000002</v>
      </c>
      <c r="H175" s="2">
        <f t="shared" si="162"/>
        <v>-2286</v>
      </c>
      <c r="I175" s="2">
        <f t="shared" si="134"/>
        <v>-109.30000000000018</v>
      </c>
    </row>
    <row r="176" spans="1:9" x14ac:dyDescent="0.25">
      <c r="A176" s="3">
        <v>43497</v>
      </c>
      <c r="B176" t="s">
        <v>46</v>
      </c>
      <c r="C176" s="2">
        <v>449.7</v>
      </c>
      <c r="D176" s="2">
        <f t="shared" si="121"/>
        <v>111</v>
      </c>
      <c r="E176" s="5">
        <v>395</v>
      </c>
      <c r="F176" s="2">
        <v>284</v>
      </c>
      <c r="G176" s="2">
        <f t="shared" ref="G176:H176" si="163">SUM(C165:C176)</f>
        <v>-1053.8000000000004</v>
      </c>
      <c r="H176" s="2">
        <f t="shared" si="163"/>
        <v>-2197</v>
      </c>
      <c r="I176" s="2">
        <f t="shared" si="134"/>
        <v>1143.1999999999996</v>
      </c>
    </row>
    <row r="177" spans="1:9" x14ac:dyDescent="0.25">
      <c r="A177" s="3">
        <v>43525</v>
      </c>
      <c r="B177" t="s">
        <v>47</v>
      </c>
      <c r="C177" s="2">
        <v>1180.7</v>
      </c>
      <c r="D177" s="2">
        <f t="shared" si="121"/>
        <v>48</v>
      </c>
      <c r="E177" s="5">
        <v>403</v>
      </c>
      <c r="F177" s="2">
        <v>355</v>
      </c>
      <c r="G177" s="2">
        <f t="shared" ref="G177:H177" si="164">SUM(C166:C177)</f>
        <v>689.20000000000027</v>
      </c>
      <c r="H177" s="2">
        <f t="shared" si="164"/>
        <v>-2058</v>
      </c>
      <c r="I177" s="2">
        <f t="shared" si="134"/>
        <v>2747.2000000000003</v>
      </c>
    </row>
    <row r="178" spans="1:9" x14ac:dyDescent="0.25">
      <c r="A178" s="3">
        <v>43556</v>
      </c>
      <c r="B178" t="s">
        <v>48</v>
      </c>
      <c r="C178" s="2">
        <v>1164.9000000000001</v>
      </c>
      <c r="D178" s="2">
        <f t="shared" si="121"/>
        <v>-58</v>
      </c>
      <c r="E178" s="5">
        <v>369</v>
      </c>
      <c r="F178" s="2">
        <v>427</v>
      </c>
      <c r="G178" s="2">
        <f t="shared" ref="G178:H178" si="165">SUM(C167:C178)</f>
        <v>2743.4</v>
      </c>
      <c r="H178" s="2">
        <f t="shared" si="165"/>
        <v>-1962</v>
      </c>
      <c r="I178" s="2">
        <f t="shared" si="134"/>
        <v>4705.3999999999996</v>
      </c>
    </row>
    <row r="179" spans="1:9" x14ac:dyDescent="0.25">
      <c r="A179" s="3">
        <v>43586</v>
      </c>
      <c r="B179" t="s">
        <v>49</v>
      </c>
      <c r="C179" s="2">
        <v>1398.9</v>
      </c>
      <c r="D179" s="2">
        <f t="shared" si="121"/>
        <v>-65</v>
      </c>
      <c r="E179" s="5">
        <v>380</v>
      </c>
      <c r="F179" s="2">
        <v>445</v>
      </c>
      <c r="G179" s="2">
        <f t="shared" ref="G179:H179" si="166">SUM(C168:C179)</f>
        <v>5427.2000000000007</v>
      </c>
      <c r="H179" s="2">
        <f t="shared" si="166"/>
        <v>-1545</v>
      </c>
      <c r="I179" s="2">
        <f t="shared" si="134"/>
        <v>6972.2000000000007</v>
      </c>
    </row>
    <row r="180" spans="1:9" x14ac:dyDescent="0.25">
      <c r="A180" s="3">
        <v>43617</v>
      </c>
      <c r="B180" t="s">
        <v>50</v>
      </c>
      <c r="C180" s="2">
        <v>1067.8</v>
      </c>
      <c r="D180" s="2">
        <f t="shared" si="121"/>
        <v>-174</v>
      </c>
      <c r="E180" s="5">
        <v>326</v>
      </c>
      <c r="F180" s="2">
        <v>500</v>
      </c>
      <c r="G180" s="2">
        <f t="shared" ref="G180:H180" si="167">SUM(C169:C180)</f>
        <v>6822.6000000000013</v>
      </c>
      <c r="H180" s="2">
        <f t="shared" si="167"/>
        <v>-1211</v>
      </c>
      <c r="I180" s="2">
        <f t="shared" si="134"/>
        <v>8033.6000000000013</v>
      </c>
    </row>
    <row r="181" spans="1:9" x14ac:dyDescent="0.25">
      <c r="A181" s="3">
        <v>43647</v>
      </c>
      <c r="B181" t="s">
        <v>51</v>
      </c>
      <c r="C181" s="2">
        <v>950.4</v>
      </c>
      <c r="D181" s="2">
        <f t="shared" si="121"/>
        <v>-183</v>
      </c>
      <c r="E181" s="5">
        <v>370</v>
      </c>
      <c r="F181" s="2">
        <v>553</v>
      </c>
      <c r="G181" s="2">
        <f t="shared" ref="G181:H181" si="168">SUM(C170:C181)</f>
        <v>8540.6</v>
      </c>
      <c r="H181" s="2">
        <f t="shared" si="168"/>
        <v>-829</v>
      </c>
      <c r="I181" s="2">
        <f t="shared" si="134"/>
        <v>9369.6</v>
      </c>
    </row>
    <row r="182" spans="1:9" x14ac:dyDescent="0.25">
      <c r="A182" s="3">
        <v>43678</v>
      </c>
      <c r="B182" t="s">
        <v>52</v>
      </c>
      <c r="C182" s="2">
        <v>1167.9000000000001</v>
      </c>
      <c r="D182" s="2">
        <f t="shared" si="121"/>
        <v>-174</v>
      </c>
      <c r="E182" s="5">
        <v>288</v>
      </c>
      <c r="F182" s="2">
        <v>462</v>
      </c>
      <c r="G182" s="2">
        <f t="shared" ref="G182:H182" si="169">SUM(C171:C182)</f>
        <v>10820.999999999998</v>
      </c>
      <c r="H182" s="2">
        <f t="shared" si="169"/>
        <v>-370</v>
      </c>
      <c r="I182" s="2">
        <f t="shared" si="134"/>
        <v>11190.999999999998</v>
      </c>
    </row>
    <row r="183" spans="1:9" x14ac:dyDescent="0.25">
      <c r="A183" s="3">
        <v>43709</v>
      </c>
      <c r="B183" t="s">
        <v>53</v>
      </c>
      <c r="C183" s="2">
        <v>1744.1</v>
      </c>
      <c r="D183" s="2">
        <f t="shared" si="121"/>
        <v>-2</v>
      </c>
      <c r="E183" s="5">
        <v>356</v>
      </c>
      <c r="F183" s="2">
        <v>358</v>
      </c>
      <c r="G183" s="2">
        <f t="shared" ref="G183:H183" si="170">SUM(C172:C183)</f>
        <v>12228.199999999999</v>
      </c>
      <c r="H183" s="2">
        <f t="shared" si="170"/>
        <v>-283</v>
      </c>
      <c r="I183" s="2">
        <f t="shared" si="134"/>
        <v>12511.199999999999</v>
      </c>
    </row>
    <row r="184" spans="1:9" x14ac:dyDescent="0.25">
      <c r="A184" s="3">
        <v>43739</v>
      </c>
      <c r="B184" t="s">
        <v>54</v>
      </c>
      <c r="C184" s="2">
        <v>1767.7</v>
      </c>
      <c r="D184" s="2">
        <f t="shared" si="121"/>
        <v>208</v>
      </c>
      <c r="E184" s="5">
        <v>420</v>
      </c>
      <c r="F184" s="2">
        <v>212</v>
      </c>
      <c r="G184" s="2">
        <f t="shared" ref="G184:H184" si="171">SUM(C173:C184)</f>
        <v>13671.2</v>
      </c>
      <c r="H184" s="2">
        <f t="shared" si="171"/>
        <v>-112</v>
      </c>
      <c r="I184" s="2">
        <f t="shared" si="134"/>
        <v>13783.2</v>
      </c>
    </row>
    <row r="185" spans="1:9" x14ac:dyDescent="0.25">
      <c r="A185" s="3">
        <v>43770</v>
      </c>
      <c r="B185" t="s">
        <v>55</v>
      </c>
      <c r="C185" s="2">
        <v>2484</v>
      </c>
      <c r="D185" s="2">
        <f t="shared" si="121"/>
        <v>97</v>
      </c>
      <c r="E185" s="5">
        <v>359</v>
      </c>
      <c r="F185" s="2">
        <v>262</v>
      </c>
      <c r="G185" s="2">
        <f t="shared" ref="G185:H185" si="172">SUM(C174:C185)</f>
        <v>15168.6</v>
      </c>
      <c r="H185" s="2">
        <f t="shared" si="172"/>
        <v>-192</v>
      </c>
      <c r="I185" s="2">
        <f t="shared" si="134"/>
        <v>15360.6</v>
      </c>
    </row>
    <row r="186" spans="1:9" x14ac:dyDescent="0.25">
      <c r="A186" s="3">
        <v>43800</v>
      </c>
      <c r="B186" t="s">
        <v>56</v>
      </c>
      <c r="C186" s="2">
        <v>2241.3000000000002</v>
      </c>
      <c r="D186" s="2">
        <f t="shared" si="121"/>
        <v>164</v>
      </c>
      <c r="E186" s="5">
        <v>422</v>
      </c>
      <c r="F186" s="2">
        <v>258</v>
      </c>
      <c r="G186" s="2">
        <f t="shared" ref="G186:H186" si="173">SUM(C175:C186)</f>
        <v>15990.400000000001</v>
      </c>
      <c r="H186" s="2">
        <f t="shared" si="173"/>
        <v>-26</v>
      </c>
      <c r="I186" s="2">
        <f t="shared" si="134"/>
        <v>16016.400000000001</v>
      </c>
    </row>
    <row r="187" spans="1:9" x14ac:dyDescent="0.25">
      <c r="A187" s="3">
        <v>43831</v>
      </c>
      <c r="B187" t="s">
        <v>57</v>
      </c>
      <c r="C187" s="2">
        <v>1044</v>
      </c>
      <c r="D187" s="2">
        <f t="shared" si="121"/>
        <v>43</v>
      </c>
      <c r="E187" s="5">
        <v>355</v>
      </c>
      <c r="F187" s="2">
        <v>312</v>
      </c>
      <c r="G187" s="2">
        <f t="shared" ref="G187:H187" si="174">SUM(C176:C187)</f>
        <v>16661.400000000001</v>
      </c>
      <c r="H187" s="2">
        <f t="shared" si="174"/>
        <v>15</v>
      </c>
      <c r="I187" s="2">
        <f t="shared" si="134"/>
        <v>16646.400000000001</v>
      </c>
    </row>
    <row r="188" spans="1:9" x14ac:dyDescent="0.25">
      <c r="A188" s="3">
        <v>43862</v>
      </c>
      <c r="B188" t="s">
        <v>58</v>
      </c>
      <c r="C188" s="2">
        <v>1186.8</v>
      </c>
      <c r="D188" s="2">
        <f t="shared" si="121"/>
        <v>144</v>
      </c>
      <c r="E188" s="5">
        <v>395</v>
      </c>
      <c r="F188" s="2">
        <v>251</v>
      </c>
      <c r="G188" s="2">
        <f t="shared" ref="G188:H188" si="175">SUM(C177:C188)</f>
        <v>17398.5</v>
      </c>
      <c r="H188" s="2">
        <f t="shared" si="175"/>
        <v>48</v>
      </c>
      <c r="I188" s="2">
        <f t="shared" si="134"/>
        <v>17350.5</v>
      </c>
    </row>
    <row r="189" spans="1:9" x14ac:dyDescent="0.25">
      <c r="A189" s="3">
        <v>43891</v>
      </c>
      <c r="B189" t="s">
        <v>59</v>
      </c>
      <c r="C189" s="2">
        <v>1228.5</v>
      </c>
      <c r="D189" s="2">
        <f t="shared" si="121"/>
        <v>51</v>
      </c>
      <c r="E189" s="5">
        <v>288</v>
      </c>
      <c r="F189" s="2">
        <v>237</v>
      </c>
      <c r="G189" s="2">
        <f t="shared" ref="G189:H189" si="176">SUM(C178:C189)</f>
        <v>17446.3</v>
      </c>
      <c r="H189" s="2">
        <f t="shared" si="176"/>
        <v>51</v>
      </c>
      <c r="I189" s="2">
        <f t="shared" si="134"/>
        <v>17395.3</v>
      </c>
    </row>
    <row r="190" spans="1:9" x14ac:dyDescent="0.25">
      <c r="A190" s="3">
        <v>43922</v>
      </c>
      <c r="B190" t="s">
        <v>60</v>
      </c>
      <c r="C190" s="2">
        <v>1454.9</v>
      </c>
      <c r="D190" s="2">
        <f t="shared" si="121"/>
        <v>63</v>
      </c>
      <c r="E190" s="5">
        <v>269</v>
      </c>
      <c r="F190" s="2">
        <v>206</v>
      </c>
      <c r="G190" s="2">
        <f t="shared" ref="G190:H190" si="177">SUM(C179:C190)</f>
        <v>17736.3</v>
      </c>
      <c r="H190" s="2">
        <f t="shared" si="177"/>
        <v>172</v>
      </c>
      <c r="I190" s="2">
        <f t="shared" si="134"/>
        <v>17564.3</v>
      </c>
    </row>
    <row r="191" spans="1:9" x14ac:dyDescent="0.25">
      <c r="A191" s="3">
        <v>43952</v>
      </c>
      <c r="B191" t="s">
        <v>61</v>
      </c>
      <c r="C191" s="2">
        <v>1911.8</v>
      </c>
      <c r="D191" s="2">
        <f t="shared" si="121"/>
        <v>61</v>
      </c>
      <c r="E191" s="5">
        <v>242</v>
      </c>
      <c r="F191" s="2">
        <v>181</v>
      </c>
      <c r="G191" s="2">
        <f t="shared" ref="G191:H191" si="178">SUM(C180:C191)</f>
        <v>18249.2</v>
      </c>
      <c r="H191" s="2">
        <f t="shared" si="178"/>
        <v>298</v>
      </c>
      <c r="I191" s="2">
        <f t="shared" si="134"/>
        <v>17951.2</v>
      </c>
    </row>
    <row r="192" spans="1:9" x14ac:dyDescent="0.25">
      <c r="A192" s="3">
        <v>43983</v>
      </c>
      <c r="B192" t="s">
        <v>62</v>
      </c>
      <c r="C192" s="2">
        <v>1486.6</v>
      </c>
      <c r="D192" s="2">
        <f t="shared" si="121"/>
        <v>2</v>
      </c>
      <c r="E192" s="5">
        <v>247</v>
      </c>
      <c r="F192" s="2">
        <v>245</v>
      </c>
      <c r="G192" s="2">
        <f t="shared" ref="G192:H192" si="179">SUM(C181:C192)</f>
        <v>18668</v>
      </c>
      <c r="H192" s="2">
        <f t="shared" si="179"/>
        <v>474</v>
      </c>
      <c r="I192" s="2">
        <f t="shared" si="134"/>
        <v>18194</v>
      </c>
    </row>
    <row r="193" spans="1:9" x14ac:dyDescent="0.25">
      <c r="A193" s="3">
        <v>44013</v>
      </c>
      <c r="B193" t="s">
        <v>63</v>
      </c>
      <c r="C193" s="2">
        <v>1480.3</v>
      </c>
      <c r="D193" s="2">
        <f t="shared" si="121"/>
        <v>35</v>
      </c>
      <c r="E193" s="5">
        <v>308</v>
      </c>
      <c r="F193" s="2">
        <v>273</v>
      </c>
      <c r="G193" s="2">
        <f t="shared" ref="G193:H193" si="180">SUM(C182:C193)</f>
        <v>19197.899999999998</v>
      </c>
      <c r="H193" s="2">
        <f t="shared" si="180"/>
        <v>692</v>
      </c>
      <c r="I193" s="2">
        <f t="shared" si="134"/>
        <v>18505.899999999998</v>
      </c>
    </row>
    <row r="194" spans="1:9" x14ac:dyDescent="0.25">
      <c r="A194" s="3">
        <v>44044</v>
      </c>
      <c r="B194" t="s">
        <v>64</v>
      </c>
      <c r="C194" s="2">
        <v>1446.4</v>
      </c>
      <c r="D194" s="2">
        <f t="shared" si="121"/>
        <v>-36</v>
      </c>
      <c r="E194" s="5">
        <v>210</v>
      </c>
      <c r="F194" s="2">
        <v>246</v>
      </c>
      <c r="G194" s="2">
        <f t="shared" ref="G194:H194" si="181">SUM(C183:C194)</f>
        <v>19476.399999999998</v>
      </c>
      <c r="H194" s="2">
        <f t="shared" si="181"/>
        <v>830</v>
      </c>
      <c r="I194" s="2">
        <f t="shared" si="134"/>
        <v>18646.399999999998</v>
      </c>
    </row>
    <row r="195" spans="1:9" x14ac:dyDescent="0.25">
      <c r="A195" s="3">
        <v>44075</v>
      </c>
      <c r="B195" t="s">
        <v>65</v>
      </c>
      <c r="C195" s="2">
        <v>597.5</v>
      </c>
      <c r="D195" s="2">
        <f t="shared" si="121"/>
        <v>-12</v>
      </c>
      <c r="E195" s="5">
        <v>240</v>
      </c>
      <c r="F195" s="2">
        <v>252</v>
      </c>
      <c r="G195" s="2">
        <f t="shared" ref="G195:H195" si="182">SUM(C184:C195)</f>
        <v>18329.8</v>
      </c>
      <c r="H195" s="2">
        <f t="shared" si="182"/>
        <v>820</v>
      </c>
      <c r="I195" s="2">
        <f t="shared" si="134"/>
        <v>17509.8</v>
      </c>
    </row>
    <row r="196" spans="1:9" x14ac:dyDescent="0.25">
      <c r="A196" s="3">
        <v>44105</v>
      </c>
      <c r="B196" t="s">
        <v>66</v>
      </c>
      <c r="C196" s="2">
        <v>669.6</v>
      </c>
      <c r="D196" s="2">
        <f t="shared" si="121"/>
        <v>85</v>
      </c>
      <c r="E196" s="5">
        <v>220</v>
      </c>
      <c r="F196" s="2">
        <v>135</v>
      </c>
      <c r="G196" s="2">
        <f t="shared" ref="G196:H196" si="183">SUM(C185:C196)</f>
        <v>17231.699999999997</v>
      </c>
      <c r="H196" s="2">
        <f t="shared" si="183"/>
        <v>697</v>
      </c>
      <c r="I196" s="2">
        <f t="shared" si="134"/>
        <v>16534.699999999997</v>
      </c>
    </row>
    <row r="197" spans="1:9" x14ac:dyDescent="0.25">
      <c r="A197" s="3">
        <v>44136</v>
      </c>
      <c r="B197" t="s">
        <v>67</v>
      </c>
      <c r="C197" s="2">
        <v>385.7</v>
      </c>
      <c r="D197" s="2">
        <f t="shared" si="121"/>
        <v>257</v>
      </c>
      <c r="E197" s="5">
        <v>415</v>
      </c>
      <c r="F197" s="2">
        <v>158</v>
      </c>
      <c r="G197" s="2">
        <f t="shared" ref="G197:H197" si="184">SUM(C186:C197)</f>
        <v>15133.4</v>
      </c>
      <c r="H197" s="2">
        <f t="shared" si="184"/>
        <v>857</v>
      </c>
      <c r="I197" s="2">
        <f t="shared" si="134"/>
        <v>14276.4</v>
      </c>
    </row>
    <row r="198" spans="1:9" x14ac:dyDescent="0.25">
      <c r="A198" s="3">
        <v>44166</v>
      </c>
      <c r="B198" t="s">
        <v>68</v>
      </c>
      <c r="C198" s="2">
        <v>-363.9</v>
      </c>
      <c r="D198" s="2">
        <f t="shared" si="121"/>
        <v>261</v>
      </c>
      <c r="E198" s="5">
        <v>405</v>
      </c>
      <c r="F198" s="2">
        <v>144</v>
      </c>
      <c r="G198" s="2">
        <f t="shared" ref="G198:H198" si="185">SUM(C187:C198)</f>
        <v>12528.2</v>
      </c>
      <c r="H198" s="2">
        <f t="shared" si="185"/>
        <v>954</v>
      </c>
      <c r="I198" s="2">
        <f t="shared" si="134"/>
        <v>11574.2</v>
      </c>
    </row>
    <row r="199" spans="1:9" x14ac:dyDescent="0.25">
      <c r="A199" s="3">
        <v>44197</v>
      </c>
      <c r="B199" t="s">
        <v>69</v>
      </c>
      <c r="C199" s="2">
        <v>1068.5</v>
      </c>
      <c r="D199" s="2">
        <f t="shared" si="121"/>
        <v>111</v>
      </c>
      <c r="E199" s="5">
        <v>377</v>
      </c>
      <c r="F199" s="2">
        <v>266</v>
      </c>
      <c r="G199" s="2">
        <f t="shared" ref="G199:H199" si="186">SUM(C188:C199)</f>
        <v>12552.7</v>
      </c>
      <c r="H199" s="2">
        <f t="shared" si="186"/>
        <v>1022</v>
      </c>
      <c r="I199" s="2">
        <f t="shared" si="134"/>
        <v>11530.7</v>
      </c>
    </row>
    <row r="200" spans="1:9" x14ac:dyDescent="0.25">
      <c r="A200" s="3">
        <v>44228</v>
      </c>
      <c r="B200" t="s">
        <v>70</v>
      </c>
      <c r="C200" s="2">
        <v>1062.3</v>
      </c>
      <c r="D200" s="2">
        <f t="shared" ref="D200:D263" si="187">E200-F200</f>
        <v>131</v>
      </c>
      <c r="E200" s="5">
        <v>304</v>
      </c>
      <c r="F200" s="2">
        <v>173</v>
      </c>
      <c r="G200" s="2">
        <f t="shared" ref="G200:H200" si="188">SUM(C189:C200)</f>
        <v>12428.2</v>
      </c>
      <c r="H200" s="2">
        <f t="shared" si="188"/>
        <v>1009</v>
      </c>
      <c r="I200" s="2">
        <f t="shared" si="134"/>
        <v>11419.2</v>
      </c>
    </row>
    <row r="201" spans="1:9" x14ac:dyDescent="0.25">
      <c r="A201" s="3">
        <v>44256</v>
      </c>
      <c r="B201" t="s">
        <v>71</v>
      </c>
      <c r="C201" s="2">
        <v>399.8</v>
      </c>
      <c r="D201" s="2">
        <f t="shared" si="187"/>
        <v>-17</v>
      </c>
      <c r="E201" s="5">
        <v>287</v>
      </c>
      <c r="F201" s="2">
        <v>304</v>
      </c>
      <c r="G201" s="2">
        <f t="shared" ref="G201:H201" si="189">SUM(C190:C201)</f>
        <v>11599.5</v>
      </c>
      <c r="H201" s="2">
        <f t="shared" si="189"/>
        <v>941</v>
      </c>
      <c r="I201" s="2">
        <f t="shared" si="134"/>
        <v>10658.5</v>
      </c>
    </row>
    <row r="202" spans="1:9" x14ac:dyDescent="0.25">
      <c r="A202" s="3">
        <v>44287</v>
      </c>
      <c r="B202" t="s">
        <v>72</v>
      </c>
      <c r="C202" s="2">
        <v>1470.2</v>
      </c>
      <c r="D202" s="2">
        <f t="shared" si="187"/>
        <v>-67</v>
      </c>
      <c r="E202" s="5">
        <v>219</v>
      </c>
      <c r="F202" s="2">
        <v>286</v>
      </c>
      <c r="G202" s="2">
        <f t="shared" ref="G202:H202" si="190">SUM(C191:C202)</f>
        <v>11614.8</v>
      </c>
      <c r="H202" s="2">
        <f t="shared" si="190"/>
        <v>811</v>
      </c>
      <c r="I202" s="2">
        <f t="shared" si="134"/>
        <v>10803.8</v>
      </c>
    </row>
    <row r="203" spans="1:9" x14ac:dyDescent="0.25">
      <c r="A203" s="3">
        <v>44317</v>
      </c>
      <c r="B203" t="s">
        <v>73</v>
      </c>
      <c r="C203" s="2">
        <v>1671.7</v>
      </c>
      <c r="D203" s="2">
        <f t="shared" si="187"/>
        <v>-125</v>
      </c>
      <c r="E203" s="5">
        <v>365</v>
      </c>
      <c r="F203" s="2">
        <v>490</v>
      </c>
      <c r="G203" s="2">
        <f t="shared" ref="G203:H203" si="191">SUM(C192:C203)</f>
        <v>11374.7</v>
      </c>
      <c r="H203" s="2">
        <f t="shared" si="191"/>
        <v>625</v>
      </c>
      <c r="I203" s="2">
        <f t="shared" si="134"/>
        <v>10749.7</v>
      </c>
    </row>
    <row r="204" spans="1:9" x14ac:dyDescent="0.25">
      <c r="A204" s="3">
        <v>44348</v>
      </c>
      <c r="B204" t="s">
        <v>74</v>
      </c>
      <c r="C204" s="2">
        <v>1101.0999999999999</v>
      </c>
      <c r="D204" s="2">
        <f t="shared" si="187"/>
        <v>-384</v>
      </c>
      <c r="E204" s="5">
        <v>377</v>
      </c>
      <c r="F204" s="2">
        <v>761</v>
      </c>
      <c r="G204" s="2">
        <f t="shared" ref="G204:H204" si="192">SUM(C193:C204)</f>
        <v>10989.200000000003</v>
      </c>
      <c r="H204" s="2">
        <f t="shared" si="192"/>
        <v>239</v>
      </c>
      <c r="I204" s="2">
        <f t="shared" si="134"/>
        <v>10750.200000000003</v>
      </c>
    </row>
    <row r="205" spans="1:9" x14ac:dyDescent="0.25">
      <c r="A205" s="3">
        <v>44378</v>
      </c>
      <c r="B205" t="s">
        <v>75</v>
      </c>
      <c r="C205" s="2">
        <v>1536.5</v>
      </c>
      <c r="D205" s="2">
        <f t="shared" si="187"/>
        <v>-334</v>
      </c>
      <c r="E205" s="5">
        <v>384</v>
      </c>
      <c r="F205" s="2">
        <v>718</v>
      </c>
      <c r="G205" s="2">
        <f t="shared" ref="G205:H205" si="193">SUM(C194:C205)</f>
        <v>11045.4</v>
      </c>
      <c r="H205" s="2">
        <f t="shared" si="193"/>
        <v>-130</v>
      </c>
      <c r="I205" s="2">
        <f t="shared" si="134"/>
        <v>11175.4</v>
      </c>
    </row>
    <row r="206" spans="1:9" x14ac:dyDescent="0.25">
      <c r="A206" s="3">
        <v>44409</v>
      </c>
      <c r="B206" t="s">
        <v>76</v>
      </c>
      <c r="C206" s="2">
        <v>2345.1999999999998</v>
      </c>
      <c r="D206" s="2">
        <f t="shared" si="187"/>
        <v>-180</v>
      </c>
      <c r="E206" s="5">
        <v>614</v>
      </c>
      <c r="F206" s="2">
        <v>794</v>
      </c>
      <c r="G206" s="2">
        <f t="shared" ref="G206:H206" si="194">SUM(C195:C206)</f>
        <v>11944.2</v>
      </c>
      <c r="H206" s="2">
        <f t="shared" si="194"/>
        <v>-274</v>
      </c>
      <c r="I206" s="2">
        <f t="shared" si="134"/>
        <v>12218.2</v>
      </c>
    </row>
    <row r="207" spans="1:9" x14ac:dyDescent="0.25">
      <c r="A207" s="3">
        <v>44440</v>
      </c>
      <c r="B207" t="s">
        <v>77</v>
      </c>
      <c r="C207" s="2">
        <v>1684.5</v>
      </c>
      <c r="D207" s="2">
        <f t="shared" si="187"/>
        <v>135</v>
      </c>
      <c r="E207" s="5">
        <v>583</v>
      </c>
      <c r="F207" s="2">
        <v>448</v>
      </c>
      <c r="G207" s="2">
        <f t="shared" ref="G207:H207" si="195">SUM(C196:C207)</f>
        <v>13031.2</v>
      </c>
      <c r="H207" s="2">
        <f t="shared" si="195"/>
        <v>-127</v>
      </c>
      <c r="I207" s="2">
        <f t="shared" si="134"/>
        <v>13158.2</v>
      </c>
    </row>
    <row r="208" spans="1:9" x14ac:dyDescent="0.25">
      <c r="A208" s="3">
        <v>44470</v>
      </c>
      <c r="B208" t="s">
        <v>78</v>
      </c>
      <c r="C208" s="2">
        <v>1615.3</v>
      </c>
      <c r="D208" s="2">
        <f t="shared" si="187"/>
        <v>197</v>
      </c>
      <c r="E208" s="5">
        <v>590</v>
      </c>
      <c r="F208" s="2">
        <v>393</v>
      </c>
      <c r="G208" s="2">
        <f t="shared" ref="G208:H208" si="196">SUM(C197:C208)</f>
        <v>13976.899999999998</v>
      </c>
      <c r="H208" s="2">
        <f t="shared" si="196"/>
        <v>-15</v>
      </c>
      <c r="I208" s="2">
        <f t="shared" si="134"/>
        <v>13991.899999999998</v>
      </c>
    </row>
    <row r="209" spans="1:9" x14ac:dyDescent="0.25">
      <c r="A209" s="3">
        <v>44501</v>
      </c>
      <c r="B209" t="s">
        <v>79</v>
      </c>
      <c r="C209" s="2">
        <v>424.2</v>
      </c>
      <c r="D209" s="2">
        <f t="shared" si="187"/>
        <v>56</v>
      </c>
      <c r="E209" s="5">
        <v>557</v>
      </c>
      <c r="F209" s="2">
        <v>501</v>
      </c>
      <c r="G209" s="2">
        <f t="shared" ref="G209:H209" si="197">SUM(C198:C209)</f>
        <v>14015.400000000001</v>
      </c>
      <c r="H209" s="2">
        <f t="shared" si="197"/>
        <v>-216</v>
      </c>
      <c r="I209" s="2">
        <f t="shared" si="134"/>
        <v>14231.400000000001</v>
      </c>
    </row>
    <row r="210" spans="1:9" x14ac:dyDescent="0.25">
      <c r="A210" s="3">
        <v>44531</v>
      </c>
      <c r="B210" t="s">
        <v>80</v>
      </c>
      <c r="C210" s="2">
        <v>371.3</v>
      </c>
      <c r="D210" s="2">
        <f t="shared" si="187"/>
        <v>-81</v>
      </c>
      <c r="E210" s="5">
        <v>627</v>
      </c>
      <c r="F210" s="2">
        <v>708</v>
      </c>
      <c r="G210" s="2">
        <f t="shared" ref="G210:H210" si="198">SUM(C199:C210)</f>
        <v>14750.599999999999</v>
      </c>
      <c r="H210" s="2">
        <f t="shared" si="198"/>
        <v>-558</v>
      </c>
      <c r="I210" s="2">
        <f t="shared" si="134"/>
        <v>15308.599999999999</v>
      </c>
    </row>
    <row r="211" spans="1:9" x14ac:dyDescent="0.25">
      <c r="A211" s="3">
        <v>44562</v>
      </c>
      <c r="B211" t="s">
        <v>81</v>
      </c>
      <c r="C211" s="2">
        <v>340</v>
      </c>
      <c r="D211" s="2">
        <f t="shared" si="187"/>
        <v>172</v>
      </c>
      <c r="E211" s="5">
        <v>535</v>
      </c>
      <c r="F211" s="2">
        <v>363</v>
      </c>
      <c r="G211" s="2">
        <f t="shared" ref="G211:H211" si="199">SUM(C200:C211)</f>
        <v>14022.099999999999</v>
      </c>
      <c r="H211" s="2">
        <f t="shared" si="199"/>
        <v>-497</v>
      </c>
      <c r="I211" s="2">
        <f t="shared" ref="I211:I264" si="200">G211-H211</f>
        <v>14519.099999999999</v>
      </c>
    </row>
    <row r="212" spans="1:9" x14ac:dyDescent="0.25">
      <c r="A212" s="3">
        <v>44593</v>
      </c>
      <c r="B212" t="s">
        <v>82</v>
      </c>
      <c r="C212" s="2">
        <v>879.1</v>
      </c>
      <c r="D212" s="2">
        <f t="shared" si="187"/>
        <v>-184</v>
      </c>
      <c r="E212" s="5">
        <v>717</v>
      </c>
      <c r="F212" s="2">
        <v>901</v>
      </c>
      <c r="G212" s="2">
        <f t="shared" ref="G212:H212" si="201">SUM(C201:C212)</f>
        <v>13838.9</v>
      </c>
      <c r="H212" s="2">
        <f t="shared" si="201"/>
        <v>-812</v>
      </c>
      <c r="I212" s="2">
        <f t="shared" si="200"/>
        <v>14650.9</v>
      </c>
    </row>
    <row r="213" spans="1:9" x14ac:dyDescent="0.25">
      <c r="A213" s="3">
        <v>44621</v>
      </c>
      <c r="B213" t="s">
        <v>83</v>
      </c>
      <c r="C213" s="2">
        <v>324.10000000000002</v>
      </c>
      <c r="D213" s="2">
        <f t="shared" si="187"/>
        <v>-215</v>
      </c>
      <c r="E213" s="5">
        <v>694</v>
      </c>
      <c r="F213" s="2">
        <v>909</v>
      </c>
      <c r="G213" s="2">
        <f t="shared" ref="G213:H213" si="202">SUM(C202:C213)</f>
        <v>13763.2</v>
      </c>
      <c r="H213" s="2">
        <f t="shared" si="202"/>
        <v>-1010</v>
      </c>
      <c r="I213" s="2">
        <f t="shared" si="200"/>
        <v>14773.2</v>
      </c>
    </row>
    <row r="214" spans="1:9" x14ac:dyDescent="0.25">
      <c r="A214" s="3">
        <v>44652</v>
      </c>
      <c r="B214" t="s">
        <v>84</v>
      </c>
      <c r="C214" s="2">
        <v>1476.9</v>
      </c>
      <c r="D214" s="2">
        <f t="shared" si="187"/>
        <v>-141</v>
      </c>
      <c r="E214" s="5">
        <v>726</v>
      </c>
      <c r="F214" s="2">
        <v>867</v>
      </c>
      <c r="G214" s="2">
        <f t="shared" ref="G214:H214" si="203">SUM(C203:C214)</f>
        <v>13769.9</v>
      </c>
      <c r="H214" s="2">
        <f t="shared" si="203"/>
        <v>-1084</v>
      </c>
      <c r="I214" s="2">
        <f t="shared" si="200"/>
        <v>14853.9</v>
      </c>
    </row>
    <row r="215" spans="1:9" x14ac:dyDescent="0.25">
      <c r="A215" s="3">
        <v>44682</v>
      </c>
      <c r="B215" t="s">
        <v>85</v>
      </c>
      <c r="C215" s="2">
        <v>469.5</v>
      </c>
      <c r="D215" s="2">
        <f t="shared" si="187"/>
        <v>-1054</v>
      </c>
      <c r="E215" s="5">
        <v>562</v>
      </c>
      <c r="F215" s="2">
        <v>1616</v>
      </c>
      <c r="G215" s="2">
        <f t="shared" ref="G215:H215" si="204">SUM(C204:C215)</f>
        <v>12567.699999999999</v>
      </c>
      <c r="H215" s="2">
        <f t="shared" si="204"/>
        <v>-2013</v>
      </c>
      <c r="I215" s="2">
        <f t="shared" si="200"/>
        <v>14580.699999999999</v>
      </c>
    </row>
    <row r="216" spans="1:9" x14ac:dyDescent="0.25">
      <c r="A216" s="3">
        <v>44713</v>
      </c>
      <c r="B216" t="s">
        <v>86</v>
      </c>
      <c r="C216" s="2">
        <v>-210.1</v>
      </c>
      <c r="D216" s="2">
        <f t="shared" si="187"/>
        <v>-1284</v>
      </c>
      <c r="E216" s="5">
        <v>786</v>
      </c>
      <c r="F216" s="2">
        <v>2070</v>
      </c>
      <c r="G216" s="2">
        <f t="shared" ref="G216:H216" si="205">SUM(C205:C216)</f>
        <v>11256.5</v>
      </c>
      <c r="H216" s="2">
        <f t="shared" si="205"/>
        <v>-2913</v>
      </c>
      <c r="I216" s="2">
        <f t="shared" si="200"/>
        <v>14169.5</v>
      </c>
    </row>
    <row r="217" spans="1:9" x14ac:dyDescent="0.25">
      <c r="A217" s="3">
        <v>44743</v>
      </c>
      <c r="B217" t="s">
        <v>87</v>
      </c>
      <c r="C217" s="2">
        <v>-645.4</v>
      </c>
      <c r="D217" s="2">
        <f t="shared" si="187"/>
        <v>-1862</v>
      </c>
      <c r="E217" s="5">
        <v>499</v>
      </c>
      <c r="F217" s="2">
        <v>2361</v>
      </c>
      <c r="G217" s="2">
        <f t="shared" ref="G217:H217" si="206">SUM(C206:C217)</f>
        <v>9074.6</v>
      </c>
      <c r="H217" s="2">
        <f t="shared" si="206"/>
        <v>-4441</v>
      </c>
      <c r="I217" s="2">
        <f t="shared" si="200"/>
        <v>13515.6</v>
      </c>
    </row>
    <row r="218" spans="1:9" x14ac:dyDescent="0.25">
      <c r="A218" s="3">
        <v>44774</v>
      </c>
      <c r="B218" t="s">
        <v>88</v>
      </c>
      <c r="C218" s="2">
        <v>-334.6</v>
      </c>
      <c r="D218" s="2">
        <f t="shared" si="187"/>
        <v>-559</v>
      </c>
      <c r="E218" s="5">
        <v>777</v>
      </c>
      <c r="F218" s="2">
        <v>1336</v>
      </c>
      <c r="G218" s="2">
        <f t="shared" ref="G218:H218" si="207">SUM(C207:C218)</f>
        <v>6394.8000000000011</v>
      </c>
      <c r="H218" s="2">
        <f t="shared" si="207"/>
        <v>-4820</v>
      </c>
      <c r="I218" s="2">
        <f t="shared" si="200"/>
        <v>11214.800000000001</v>
      </c>
    </row>
    <row r="219" spans="1:9" x14ac:dyDescent="0.25">
      <c r="A219" s="3">
        <v>44805</v>
      </c>
      <c r="B219" t="s">
        <v>89</v>
      </c>
      <c r="C219" s="2">
        <v>350</v>
      </c>
      <c r="D219" s="2">
        <f t="shared" si="187"/>
        <v>-83</v>
      </c>
      <c r="E219" s="5">
        <v>851</v>
      </c>
      <c r="F219" s="2">
        <v>934</v>
      </c>
      <c r="G219" s="2">
        <f t="shared" ref="G219:H219" si="208">SUM(C208:C219)</f>
        <v>5060.2999999999993</v>
      </c>
      <c r="H219" s="2">
        <f t="shared" si="208"/>
        <v>-5038</v>
      </c>
      <c r="I219" s="2">
        <f t="shared" si="200"/>
        <v>10098.299999999999</v>
      </c>
    </row>
    <row r="220" spans="1:9" x14ac:dyDescent="0.25">
      <c r="A220" s="3">
        <v>44835</v>
      </c>
      <c r="B220" t="s">
        <v>90</v>
      </c>
      <c r="C220" s="2">
        <v>1932.5</v>
      </c>
      <c r="D220" s="2">
        <f t="shared" si="187"/>
        <v>218</v>
      </c>
      <c r="E220" s="5">
        <v>825</v>
      </c>
      <c r="F220" s="2">
        <v>607</v>
      </c>
      <c r="G220" s="2">
        <f t="shared" ref="G220:H220" si="209">SUM(C209:C220)</f>
        <v>5377.5</v>
      </c>
      <c r="H220" s="2">
        <f t="shared" si="209"/>
        <v>-5017</v>
      </c>
      <c r="I220" s="2">
        <f t="shared" si="200"/>
        <v>10394.5</v>
      </c>
    </row>
    <row r="221" spans="1:9" x14ac:dyDescent="0.25">
      <c r="A221" s="3">
        <v>44866</v>
      </c>
      <c r="B221" t="s">
        <v>91</v>
      </c>
      <c r="C221" s="2">
        <v>1359</v>
      </c>
      <c r="D221" s="2">
        <f t="shared" si="187"/>
        <v>282</v>
      </c>
      <c r="E221" s="5">
        <v>751</v>
      </c>
      <c r="F221" s="2">
        <v>469</v>
      </c>
      <c r="G221" s="2">
        <f t="shared" ref="G221:H221" si="210">SUM(C210:C221)</f>
        <v>6312.3</v>
      </c>
      <c r="H221" s="2">
        <f t="shared" si="210"/>
        <v>-4791</v>
      </c>
      <c r="I221" s="2">
        <f t="shared" si="200"/>
        <v>11103.3</v>
      </c>
    </row>
    <row r="222" spans="1:9" x14ac:dyDescent="0.25">
      <c r="A222" s="3">
        <v>44896</v>
      </c>
      <c r="B222" t="s">
        <v>92</v>
      </c>
      <c r="C222" s="2">
        <v>1021.5</v>
      </c>
      <c r="D222" s="2">
        <f t="shared" si="187"/>
        <v>351</v>
      </c>
      <c r="E222" s="5">
        <v>786</v>
      </c>
      <c r="F222" s="2">
        <v>435</v>
      </c>
      <c r="G222" s="2">
        <f t="shared" ref="G222:H222" si="211">SUM(C211:C222)</f>
        <v>6962.5</v>
      </c>
      <c r="H222" s="2">
        <f t="shared" si="211"/>
        <v>-4359</v>
      </c>
      <c r="I222" s="2">
        <f t="shared" si="200"/>
        <v>11321.5</v>
      </c>
    </row>
    <row r="223" spans="1:9" x14ac:dyDescent="0.25">
      <c r="A223" s="3">
        <v>44927</v>
      </c>
      <c r="B223" t="s">
        <v>93</v>
      </c>
      <c r="C223" s="2">
        <v>-461.9</v>
      </c>
      <c r="D223" s="2">
        <f t="shared" si="187"/>
        <v>-82</v>
      </c>
      <c r="E223" s="5">
        <v>614</v>
      </c>
      <c r="F223" s="2">
        <v>696</v>
      </c>
      <c r="G223" s="2">
        <f t="shared" ref="G223:H223" si="212">SUM(C212:C223)</f>
        <v>6160.6</v>
      </c>
      <c r="H223" s="2">
        <f t="shared" si="212"/>
        <v>-4613</v>
      </c>
      <c r="I223" s="2">
        <f t="shared" si="200"/>
        <v>10773.6</v>
      </c>
    </row>
    <row r="224" spans="1:9" x14ac:dyDescent="0.25">
      <c r="A224" s="3">
        <v>44958</v>
      </c>
      <c r="B224" t="s">
        <v>94</v>
      </c>
      <c r="C224" s="2">
        <v>231</v>
      </c>
      <c r="D224" s="2">
        <f t="shared" si="187"/>
        <v>128</v>
      </c>
      <c r="E224" s="5">
        <v>742</v>
      </c>
      <c r="F224" s="2">
        <v>614</v>
      </c>
      <c r="G224" s="2">
        <f t="shared" ref="G224:H224" si="213">SUM(C213:C224)</f>
        <v>5512.5</v>
      </c>
      <c r="H224" s="2">
        <f t="shared" si="213"/>
        <v>-4301</v>
      </c>
      <c r="I224" s="2">
        <f t="shared" si="200"/>
        <v>9813.5</v>
      </c>
    </row>
    <row r="225" spans="1:9" x14ac:dyDescent="0.25">
      <c r="A225" s="3">
        <v>44986</v>
      </c>
      <c r="B225" t="s">
        <v>95</v>
      </c>
      <c r="C225" s="2">
        <v>-1072.7</v>
      </c>
      <c r="D225" s="2">
        <f t="shared" si="187"/>
        <v>128</v>
      </c>
      <c r="E225" s="5">
        <v>692</v>
      </c>
      <c r="F225" s="2">
        <v>564</v>
      </c>
      <c r="G225" s="2">
        <f t="shared" ref="G225:H225" si="214">SUM(C214:C225)</f>
        <v>4115.7000000000007</v>
      </c>
      <c r="H225" s="2">
        <f t="shared" si="214"/>
        <v>-3958</v>
      </c>
      <c r="I225" s="2">
        <f t="shared" si="200"/>
        <v>8073.7000000000007</v>
      </c>
    </row>
    <row r="226" spans="1:9" x14ac:dyDescent="0.25">
      <c r="A226" s="3">
        <v>45017</v>
      </c>
      <c r="B226" t="s">
        <v>96</v>
      </c>
      <c r="C226" s="2">
        <v>-291.10000000000002</v>
      </c>
      <c r="D226" s="2">
        <f t="shared" si="187"/>
        <v>65</v>
      </c>
      <c r="E226" s="5">
        <v>654</v>
      </c>
      <c r="F226" s="2">
        <v>589</v>
      </c>
      <c r="G226" s="2">
        <f t="shared" ref="G226:H226" si="215">SUM(C215:C226)</f>
        <v>2347.7000000000003</v>
      </c>
      <c r="H226" s="2">
        <f t="shared" si="215"/>
        <v>-3752</v>
      </c>
      <c r="I226" s="2">
        <f t="shared" si="200"/>
        <v>6099.7000000000007</v>
      </c>
    </row>
    <row r="227" spans="1:9" x14ac:dyDescent="0.25">
      <c r="A227" s="3">
        <v>45047</v>
      </c>
      <c r="B227" t="s">
        <v>97</v>
      </c>
      <c r="C227" s="2">
        <v>-1125.7</v>
      </c>
      <c r="D227" s="2">
        <f t="shared" si="187"/>
        <v>-429</v>
      </c>
      <c r="E227" s="5">
        <v>590</v>
      </c>
      <c r="F227" s="2">
        <v>1019</v>
      </c>
      <c r="G227" s="2">
        <f t="shared" ref="G227:H227" si="216">SUM(C216:C227)</f>
        <v>752.50000000000023</v>
      </c>
      <c r="H227" s="2">
        <f t="shared" si="216"/>
        <v>-3127</v>
      </c>
      <c r="I227" s="2">
        <f t="shared" si="200"/>
        <v>3879.5</v>
      </c>
    </row>
    <row r="228" spans="1:9" x14ac:dyDescent="0.25">
      <c r="A228" s="3">
        <v>45078</v>
      </c>
      <c r="B228" t="s">
        <v>98</v>
      </c>
      <c r="C228" s="2">
        <v>-1818.5</v>
      </c>
      <c r="D228" s="2">
        <f t="shared" si="187"/>
        <v>-600</v>
      </c>
      <c r="E228" s="5">
        <v>506</v>
      </c>
      <c r="F228" s="2">
        <v>1106</v>
      </c>
      <c r="G228" s="2">
        <f t="shared" ref="G228:H228" si="217">SUM(C217:C228)</f>
        <v>-855.90000000000032</v>
      </c>
      <c r="H228" s="2">
        <f t="shared" si="217"/>
        <v>-2443</v>
      </c>
      <c r="I228" s="2">
        <f t="shared" si="200"/>
        <v>1587.0999999999997</v>
      </c>
    </row>
    <row r="229" spans="1:9" x14ac:dyDescent="0.25">
      <c r="A229" s="3">
        <v>45108</v>
      </c>
      <c r="B229" t="s">
        <v>99</v>
      </c>
      <c r="C229" s="2">
        <v>-668.4</v>
      </c>
      <c r="D229" s="2">
        <f t="shared" si="187"/>
        <v>-369.20000000000005</v>
      </c>
      <c r="E229" s="5">
        <v>609</v>
      </c>
      <c r="F229" s="2">
        <v>978.2</v>
      </c>
      <c r="G229" s="2">
        <f t="shared" ref="G229:H229" si="218">SUM(C218:C229)</f>
        <v>-878.89999999999975</v>
      </c>
      <c r="H229" s="2">
        <f t="shared" si="218"/>
        <v>-950.2</v>
      </c>
      <c r="I229" s="2">
        <f t="shared" si="200"/>
        <v>71.300000000000296</v>
      </c>
    </row>
    <row r="230" spans="1:9" x14ac:dyDescent="0.25">
      <c r="A230" s="3">
        <v>45139</v>
      </c>
      <c r="B230" t="s">
        <v>100</v>
      </c>
      <c r="C230" s="2">
        <v>-963.9</v>
      </c>
      <c r="D230" s="2">
        <f t="shared" si="187"/>
        <v>68</v>
      </c>
      <c r="E230" s="5">
        <v>697</v>
      </c>
      <c r="F230" s="2">
        <v>629</v>
      </c>
      <c r="G230" s="2">
        <f t="shared" ref="G230:H230" si="219">SUM(C219:C230)</f>
        <v>-1508.1999999999994</v>
      </c>
      <c r="H230" s="2">
        <f t="shared" si="219"/>
        <v>-323.20000000000005</v>
      </c>
      <c r="I230" s="2">
        <f t="shared" si="200"/>
        <v>-1184.9999999999993</v>
      </c>
    </row>
    <row r="231" spans="1:9" x14ac:dyDescent="0.25">
      <c r="A231" s="3">
        <v>45170</v>
      </c>
      <c r="B231" t="s">
        <v>101</v>
      </c>
      <c r="C231" s="2">
        <v>-732</v>
      </c>
      <c r="D231" s="2">
        <f t="shared" si="187"/>
        <v>64</v>
      </c>
      <c r="E231" s="5">
        <v>581</v>
      </c>
      <c r="F231" s="2">
        <v>517</v>
      </c>
      <c r="G231" s="2">
        <f t="shared" ref="G231:H231" si="220">SUM(C220:C231)</f>
        <v>-2590.2000000000003</v>
      </c>
      <c r="H231" s="2">
        <f t="shared" si="220"/>
        <v>-176.20000000000005</v>
      </c>
      <c r="I231" s="2">
        <f t="shared" si="200"/>
        <v>-2414</v>
      </c>
    </row>
    <row r="232" spans="1:9" x14ac:dyDescent="0.25">
      <c r="A232" s="3">
        <v>45200</v>
      </c>
      <c r="B232" t="s">
        <v>102</v>
      </c>
      <c r="C232" s="2">
        <v>-422.9</v>
      </c>
      <c r="D232" s="2">
        <f t="shared" si="187"/>
        <v>290</v>
      </c>
      <c r="E232" s="5">
        <v>794</v>
      </c>
      <c r="F232" s="2">
        <v>504</v>
      </c>
      <c r="G232" s="2">
        <f t="shared" ref="G232:H232" si="221">SUM(C221:C232)</f>
        <v>-4945.6000000000004</v>
      </c>
      <c r="H232" s="2">
        <f t="shared" si="221"/>
        <v>-104.20000000000005</v>
      </c>
      <c r="I232" s="2">
        <f t="shared" si="200"/>
        <v>-4841.4000000000005</v>
      </c>
    </row>
    <row r="233" spans="1:9" x14ac:dyDescent="0.25">
      <c r="A233" s="3">
        <v>45231</v>
      </c>
      <c r="B233" t="s">
        <v>103</v>
      </c>
      <c r="C233" s="2">
        <v>-573.1</v>
      </c>
      <c r="D233" s="2">
        <f t="shared" si="187"/>
        <v>319</v>
      </c>
      <c r="E233" s="5">
        <v>713</v>
      </c>
      <c r="F233" s="2">
        <v>394</v>
      </c>
      <c r="G233" s="2">
        <f t="shared" ref="G233:H233" si="222">SUM(C222:C233)</f>
        <v>-6877.7</v>
      </c>
      <c r="H233" s="2">
        <f t="shared" si="222"/>
        <v>-67.200000000000045</v>
      </c>
      <c r="I233" s="2">
        <f t="shared" si="200"/>
        <v>-6810.5</v>
      </c>
    </row>
    <row r="234" spans="1:9" x14ac:dyDescent="0.25">
      <c r="A234" s="3">
        <v>45261</v>
      </c>
      <c r="B234" t="s">
        <v>104</v>
      </c>
      <c r="C234" s="2">
        <v>1038.5999999999999</v>
      </c>
      <c r="D234" s="2">
        <f t="shared" si="187"/>
        <v>404</v>
      </c>
      <c r="E234" s="5">
        <v>719</v>
      </c>
      <c r="F234" s="2">
        <v>315</v>
      </c>
      <c r="G234" s="2">
        <f t="shared" ref="G234:H234" si="223">SUM(C223:C234)</f>
        <v>-6860.5999999999985</v>
      </c>
      <c r="H234" s="2">
        <f t="shared" si="223"/>
        <v>-14.200000000000045</v>
      </c>
      <c r="I234" s="2">
        <f t="shared" si="200"/>
        <v>-6846.3999999999987</v>
      </c>
    </row>
    <row r="235" spans="1:9" x14ac:dyDescent="0.25">
      <c r="A235" s="3">
        <v>45292</v>
      </c>
      <c r="B235" t="s">
        <v>105</v>
      </c>
      <c r="C235" s="2">
        <v>808.4</v>
      </c>
      <c r="D235" s="2">
        <f t="shared" si="187"/>
        <v>413</v>
      </c>
      <c r="E235" s="5">
        <v>711</v>
      </c>
      <c r="F235" s="2">
        <v>298</v>
      </c>
      <c r="G235" s="2">
        <f t="shared" ref="G235:H235" si="224">SUM(C224:C235)</f>
        <v>-5590.2999999999993</v>
      </c>
      <c r="H235" s="2">
        <f t="shared" si="224"/>
        <v>480.79999999999995</v>
      </c>
      <c r="I235" s="2">
        <f t="shared" si="200"/>
        <v>-6071.0999999999995</v>
      </c>
    </row>
    <row r="236" spans="1:9" x14ac:dyDescent="0.25">
      <c r="A236" s="3">
        <v>45323</v>
      </c>
      <c r="B236" t="s">
        <v>106</v>
      </c>
      <c r="C236" s="2">
        <v>1432.1</v>
      </c>
      <c r="D236" s="2">
        <f t="shared" si="187"/>
        <v>564.20000000000005</v>
      </c>
      <c r="E236" s="5">
        <v>753</v>
      </c>
      <c r="F236" s="2">
        <v>188.8</v>
      </c>
      <c r="G236" s="2">
        <f t="shared" ref="G236:H236" si="225">SUM(C225:C236)</f>
        <v>-4389.1999999999989</v>
      </c>
      <c r="H236" s="2">
        <f t="shared" si="225"/>
        <v>917</v>
      </c>
      <c r="I236" s="2">
        <f t="shared" si="200"/>
        <v>-5306.1999999999989</v>
      </c>
    </row>
    <row r="237" spans="1:9" x14ac:dyDescent="0.25">
      <c r="A237" s="3">
        <v>45352</v>
      </c>
      <c r="B237" t="s">
        <v>107</v>
      </c>
      <c r="C237" s="2">
        <v>2160.4</v>
      </c>
      <c r="D237" s="2">
        <f t="shared" si="187"/>
        <v>739.4</v>
      </c>
      <c r="E237" s="5">
        <v>871</v>
      </c>
      <c r="F237" s="2">
        <v>131.6</v>
      </c>
      <c r="G237" s="2">
        <f t="shared" ref="G237:H237" si="226">SUM(C226:C237)</f>
        <v>-1156.1000000000004</v>
      </c>
      <c r="H237" s="2">
        <f t="shared" si="226"/>
        <v>1528.4</v>
      </c>
      <c r="I237" s="2">
        <f t="shared" si="200"/>
        <v>-2684.5000000000005</v>
      </c>
    </row>
    <row r="238" spans="1:9" x14ac:dyDescent="0.25">
      <c r="A238" s="3">
        <v>45383</v>
      </c>
      <c r="B238" t="s">
        <v>108</v>
      </c>
      <c r="C238" s="2">
        <v>1806.8</v>
      </c>
      <c r="D238" s="2">
        <f t="shared" si="187"/>
        <v>703.9</v>
      </c>
      <c r="E238" s="5">
        <v>945</v>
      </c>
      <c r="F238" s="2">
        <v>241.1</v>
      </c>
      <c r="G238" s="2">
        <f t="shared" ref="G238:H238" si="227">SUM(C227:C238)</f>
        <v>941.8</v>
      </c>
      <c r="H238" s="2">
        <f t="shared" si="227"/>
        <v>2167.3000000000002</v>
      </c>
      <c r="I238" s="2">
        <f t="shared" si="200"/>
        <v>-1225.5000000000002</v>
      </c>
    </row>
    <row r="239" spans="1:9" x14ac:dyDescent="0.25">
      <c r="A239" s="3">
        <v>45413</v>
      </c>
      <c r="B239" t="s">
        <v>109</v>
      </c>
      <c r="C239" s="2">
        <v>2654.4</v>
      </c>
      <c r="D239" s="2">
        <f t="shared" si="187"/>
        <v>476.2</v>
      </c>
      <c r="E239" s="5">
        <v>914</v>
      </c>
      <c r="F239" s="2">
        <v>437.8</v>
      </c>
      <c r="G239" s="2">
        <f t="shared" ref="G239:H239" si="228">SUM(C228:C239)</f>
        <v>4721.8999999999996</v>
      </c>
      <c r="H239" s="2">
        <f t="shared" si="228"/>
        <v>3072.5</v>
      </c>
      <c r="I239" s="2">
        <f t="shared" si="200"/>
        <v>1649.3999999999996</v>
      </c>
    </row>
    <row r="240" spans="1:9" x14ac:dyDescent="0.25">
      <c r="A240" s="3">
        <v>45444</v>
      </c>
      <c r="B240" t="s">
        <v>110</v>
      </c>
      <c r="C240" s="2">
        <v>1879.8</v>
      </c>
      <c r="D240" s="2">
        <f t="shared" si="187"/>
        <v>-160</v>
      </c>
      <c r="E240" s="5">
        <v>611</v>
      </c>
      <c r="F240" s="2">
        <v>771</v>
      </c>
      <c r="G240" s="2">
        <f t="shared" ref="G240:H240" si="229">SUM(C229:C240)</f>
        <v>8420.1999999999989</v>
      </c>
      <c r="H240" s="2">
        <f t="shared" si="229"/>
        <v>3512.5</v>
      </c>
      <c r="I240" s="2">
        <f t="shared" si="200"/>
        <v>4907.6999999999989</v>
      </c>
    </row>
    <row r="241" spans="1:9" x14ac:dyDescent="0.25">
      <c r="A241" s="3">
        <v>45474</v>
      </c>
      <c r="B241" t="s">
        <v>111</v>
      </c>
      <c r="C241" s="2">
        <v>1458.7</v>
      </c>
      <c r="D241" s="2">
        <f t="shared" si="187"/>
        <v>114.89999999999998</v>
      </c>
      <c r="E241" s="5">
        <v>845</v>
      </c>
      <c r="F241" s="2">
        <v>730.1</v>
      </c>
      <c r="G241" s="2">
        <f t="shared" ref="G241:H241" si="230">SUM(C230:C241)</f>
        <v>10547.3</v>
      </c>
      <c r="H241" s="2">
        <f t="shared" si="230"/>
        <v>3996.6</v>
      </c>
      <c r="I241" s="2">
        <f t="shared" si="200"/>
        <v>6550.6999999999989</v>
      </c>
    </row>
    <row r="242" spans="1:9" x14ac:dyDescent="0.25">
      <c r="A242" s="3">
        <v>45505</v>
      </c>
      <c r="B242" t="s">
        <v>112</v>
      </c>
      <c r="C242" s="2">
        <v>1874.8</v>
      </c>
      <c r="D242" s="2">
        <f t="shared" si="187"/>
        <v>252.7</v>
      </c>
      <c r="E242" s="5">
        <v>751</v>
      </c>
      <c r="F242" s="2">
        <v>498.3</v>
      </c>
      <c r="G242" s="2">
        <f t="shared" ref="G242:H242" si="231">SUM(C231:C242)</f>
        <v>13386</v>
      </c>
      <c r="H242" s="2">
        <f t="shared" si="231"/>
        <v>4181.3</v>
      </c>
      <c r="I242" s="2">
        <f t="shared" si="200"/>
        <v>9204.7000000000007</v>
      </c>
    </row>
    <row r="243" spans="1:9" x14ac:dyDescent="0.25">
      <c r="A243" s="3">
        <v>45536</v>
      </c>
      <c r="B243" t="s">
        <v>113</v>
      </c>
      <c r="C243" s="2">
        <v>981.9</v>
      </c>
      <c r="D243" s="2">
        <f t="shared" si="187"/>
        <v>588.70000000000005</v>
      </c>
      <c r="E243" s="5">
        <v>773</v>
      </c>
      <c r="F243" s="2">
        <v>184.3</v>
      </c>
      <c r="G243" s="2">
        <f t="shared" ref="G243:H243" si="232">SUM(C232:C243)</f>
        <v>15099.9</v>
      </c>
      <c r="H243" s="2">
        <f t="shared" si="232"/>
        <v>4706</v>
      </c>
      <c r="I243" s="2">
        <f t="shared" si="200"/>
        <v>10393.9</v>
      </c>
    </row>
    <row r="244" spans="1:9" x14ac:dyDescent="0.25">
      <c r="A244" s="3">
        <v>45566</v>
      </c>
      <c r="B244" t="s">
        <v>114</v>
      </c>
      <c r="C244" s="2">
        <v>911.8</v>
      </c>
      <c r="D244" s="2">
        <f t="shared" si="187"/>
        <v>610.5</v>
      </c>
      <c r="E244" s="5">
        <v>809</v>
      </c>
      <c r="F244" s="2">
        <v>198.5</v>
      </c>
      <c r="G244" s="2">
        <f t="shared" ref="G244:H244" si="233">SUM(C233:C244)</f>
        <v>16434.599999999999</v>
      </c>
      <c r="H244" s="2">
        <f t="shared" si="233"/>
        <v>5026.5</v>
      </c>
      <c r="I244" s="2">
        <f t="shared" si="200"/>
        <v>11408.099999999999</v>
      </c>
    </row>
    <row r="245" spans="1:9" x14ac:dyDescent="0.25">
      <c r="A245" s="3">
        <v>45597</v>
      </c>
      <c r="B245" t="s">
        <v>115</v>
      </c>
      <c r="C245" s="2">
        <v>1276.9000000000001</v>
      </c>
      <c r="D245" s="2">
        <f t="shared" si="187"/>
        <v>527.70000000000005</v>
      </c>
      <c r="E245" s="5">
        <v>660</v>
      </c>
      <c r="F245" s="2">
        <v>132.30000000000001</v>
      </c>
      <c r="G245" s="2">
        <f t="shared" ref="G245:H245" si="234">SUM(C234:C245)</f>
        <v>18284.600000000002</v>
      </c>
      <c r="H245" s="2">
        <f t="shared" si="234"/>
        <v>5235.2</v>
      </c>
      <c r="I245" s="2">
        <f t="shared" si="200"/>
        <v>13049.400000000001</v>
      </c>
    </row>
    <row r="246" spans="1:9" x14ac:dyDescent="0.25">
      <c r="A246" s="3">
        <v>45627</v>
      </c>
      <c r="B246" t="s">
        <v>116</v>
      </c>
      <c r="C246" s="2">
        <v>1681.6</v>
      </c>
      <c r="D246" s="2">
        <f t="shared" si="187"/>
        <v>879.7</v>
      </c>
      <c r="E246" s="5">
        <v>1061</v>
      </c>
      <c r="F246" s="2">
        <v>181.3</v>
      </c>
      <c r="G246" s="2">
        <f t="shared" ref="G246:H246" si="235">SUM(C235:C246)</f>
        <v>18927.599999999999</v>
      </c>
      <c r="H246" s="2">
        <f t="shared" si="235"/>
        <v>5710.9</v>
      </c>
      <c r="I246" s="2">
        <f t="shared" si="200"/>
        <v>13216.699999999999</v>
      </c>
    </row>
    <row r="247" spans="1:9" x14ac:dyDescent="0.25">
      <c r="A247" s="3">
        <v>45658</v>
      </c>
      <c r="B247" t="s">
        <v>117</v>
      </c>
      <c r="C247" s="2">
        <v>162.1</v>
      </c>
      <c r="D247" s="2">
        <f t="shared" si="187"/>
        <v>703</v>
      </c>
      <c r="E247" s="5">
        <v>909</v>
      </c>
      <c r="F247" s="2">
        <v>206</v>
      </c>
      <c r="G247" s="2">
        <f t="shared" ref="G247:H247" si="236">SUM(C236:C247)</f>
        <v>18281.299999999996</v>
      </c>
      <c r="H247" s="2">
        <f t="shared" si="236"/>
        <v>6000.9</v>
      </c>
      <c r="I247" s="2">
        <f t="shared" si="200"/>
        <v>12280.399999999996</v>
      </c>
    </row>
    <row r="248" spans="1:9" x14ac:dyDescent="0.25">
      <c r="A248" s="3">
        <v>45689</v>
      </c>
      <c r="B248" t="s">
        <v>118</v>
      </c>
      <c r="C248" s="2">
        <v>275.39999999999998</v>
      </c>
      <c r="D248" s="2">
        <f t="shared" si="187"/>
        <v>641.9</v>
      </c>
      <c r="E248" s="5">
        <v>872</v>
      </c>
      <c r="F248" s="2">
        <v>230.1</v>
      </c>
      <c r="G248" s="2">
        <f t="shared" ref="G248:H248" si="237">SUM(C237:C248)</f>
        <v>17124.599999999999</v>
      </c>
      <c r="H248" s="2">
        <f t="shared" si="237"/>
        <v>6078.5999999999995</v>
      </c>
      <c r="I248" s="2">
        <f t="shared" si="200"/>
        <v>11046</v>
      </c>
    </row>
    <row r="249" spans="1:9" x14ac:dyDescent="0.25">
      <c r="A249" s="3">
        <v>45717</v>
      </c>
      <c r="B249" t="s">
        <v>119</v>
      </c>
      <c r="C249" s="2">
        <v>623.5</v>
      </c>
      <c r="D249" s="2">
        <f t="shared" si="187"/>
        <v>766.4</v>
      </c>
      <c r="E249" s="5">
        <v>1002</v>
      </c>
      <c r="F249" s="2">
        <v>235.6</v>
      </c>
      <c r="G249" s="2">
        <f t="shared" ref="G249:H249" si="238">SUM(C238:C249)</f>
        <v>15587.699999999999</v>
      </c>
      <c r="H249" s="2">
        <f t="shared" si="238"/>
        <v>6105.5999999999995</v>
      </c>
      <c r="I249" s="2">
        <f t="shared" si="200"/>
        <v>9482.0999999999985</v>
      </c>
    </row>
    <row r="250" spans="1:9" x14ac:dyDescent="0.25">
      <c r="A250" s="3">
        <v>45748</v>
      </c>
      <c r="B250" t="s">
        <v>120</v>
      </c>
      <c r="C250" s="2">
        <v>214.4</v>
      </c>
      <c r="D250" s="2">
        <f t="shared" si="187"/>
        <v>558</v>
      </c>
      <c r="E250" s="5">
        <v>836</v>
      </c>
      <c r="F250" s="2">
        <v>278</v>
      </c>
      <c r="G250" s="2">
        <f t="shared" ref="G250:H250" si="239">SUM(C239:C250)</f>
        <v>13995.3</v>
      </c>
      <c r="H250" s="2">
        <f t="shared" si="239"/>
        <v>5959.6999999999989</v>
      </c>
      <c r="I250" s="2">
        <f t="shared" si="200"/>
        <v>8035.6</v>
      </c>
    </row>
    <row r="251" spans="1:9" x14ac:dyDescent="0.25">
      <c r="A251" s="3">
        <v>45778</v>
      </c>
      <c r="B251" t="s">
        <v>121</v>
      </c>
      <c r="C251" s="2">
        <v>607.20000000000005</v>
      </c>
      <c r="D251" s="2">
        <f t="shared" si="187"/>
        <v>351.4</v>
      </c>
      <c r="E251" s="5">
        <v>653</v>
      </c>
      <c r="F251" s="2">
        <v>301.60000000000002</v>
      </c>
      <c r="G251" s="2">
        <f t="shared" ref="G251:H251" si="240">SUM(C240:C251)</f>
        <v>11948.1</v>
      </c>
      <c r="H251" s="2">
        <f t="shared" si="240"/>
        <v>5834.8999999999987</v>
      </c>
      <c r="I251" s="2">
        <f t="shared" si="200"/>
        <v>6113.2000000000016</v>
      </c>
    </row>
    <row r="252" spans="1:9" x14ac:dyDescent="0.25">
      <c r="A252" s="3">
        <v>45809</v>
      </c>
      <c r="B252" t="s">
        <v>122</v>
      </c>
      <c r="C252" s="2">
        <v>879.4</v>
      </c>
      <c r="D252" s="2">
        <f t="shared" si="187"/>
        <v>721.9</v>
      </c>
      <c r="E252" s="5">
        <v>1073</v>
      </c>
      <c r="F252" s="2">
        <v>351.1</v>
      </c>
      <c r="G252" s="2">
        <f t="shared" ref="G252:H252" si="241">SUM(C241:C252)</f>
        <v>10947.7</v>
      </c>
      <c r="H252" s="2">
        <f t="shared" si="241"/>
        <v>6716.7999999999984</v>
      </c>
      <c r="I252" s="2">
        <f t="shared" si="200"/>
        <v>4230.9000000000024</v>
      </c>
    </row>
    <row r="253" spans="1:9" x14ac:dyDescent="0.25">
      <c r="A253" s="3">
        <v>45839</v>
      </c>
      <c r="B253" t="s">
        <v>123</v>
      </c>
      <c r="C253" s="2">
        <v>906.9</v>
      </c>
      <c r="D253" s="2">
        <f t="shared" si="187"/>
        <v>216.5</v>
      </c>
      <c r="E253" s="5">
        <v>763</v>
      </c>
      <c r="F253" s="2">
        <v>546.5</v>
      </c>
      <c r="G253" s="2">
        <f t="shared" ref="G253:H253" si="242">SUM(C242:C253)</f>
        <v>10395.9</v>
      </c>
      <c r="H253" s="2">
        <f t="shared" si="242"/>
        <v>6818.3999999999987</v>
      </c>
      <c r="I253" s="2">
        <f t="shared" si="200"/>
        <v>3577.5000000000009</v>
      </c>
    </row>
    <row r="254" spans="1:9" x14ac:dyDescent="0.25">
      <c r="A254" s="3">
        <v>45870</v>
      </c>
      <c r="B254" t="s">
        <v>124</v>
      </c>
      <c r="C254" s="2">
        <v>1440.3</v>
      </c>
      <c r="D254" s="2">
        <f t="shared" si="187"/>
        <v>749</v>
      </c>
      <c r="E254" s="5">
        <v>1056</v>
      </c>
      <c r="F254" s="2">
        <v>307</v>
      </c>
      <c r="G254" s="2">
        <f t="shared" ref="G254:H254" si="243">SUM(C243:C254)</f>
        <v>9961.3999999999978</v>
      </c>
      <c r="H254" s="2">
        <f t="shared" si="243"/>
        <v>7314.7</v>
      </c>
      <c r="I254" s="2">
        <f t="shared" si="200"/>
        <v>2646.699999999998</v>
      </c>
    </row>
    <row r="255" spans="1:9" x14ac:dyDescent="0.25">
      <c r="A255" s="3">
        <v>45901</v>
      </c>
      <c r="B255" t="s">
        <v>125</v>
      </c>
      <c r="C255" s="2">
        <v>937</v>
      </c>
      <c r="D255" s="2">
        <f t="shared" si="187"/>
        <v>775.5</v>
      </c>
      <c r="E255" s="5">
        <v>967</v>
      </c>
      <c r="F255" s="2">
        <v>191.5</v>
      </c>
      <c r="G255" s="2">
        <f t="shared" ref="G255:H255" si="244">SUM(C244:C255)</f>
        <v>9916.4999999999982</v>
      </c>
      <c r="H255" s="2">
        <f t="shared" si="244"/>
        <v>7501.4999999999991</v>
      </c>
      <c r="I255" s="2">
        <f t="shared" si="200"/>
        <v>2414.9999999999991</v>
      </c>
    </row>
    <row r="256" spans="1:9" x14ac:dyDescent="0.25">
      <c r="A256" s="3">
        <v>45931</v>
      </c>
      <c r="B256" t="s">
        <v>126</v>
      </c>
      <c r="C256" s="2">
        <v>812.7</v>
      </c>
      <c r="D256" s="2">
        <f t="shared" si="187"/>
        <v>708.4</v>
      </c>
      <c r="E256" s="5">
        <v>913</v>
      </c>
      <c r="F256" s="2">
        <v>204.6</v>
      </c>
      <c r="G256" s="2">
        <f t="shared" ref="G256:H256" si="245">SUM(C245:C256)</f>
        <v>9817.4</v>
      </c>
      <c r="H256" s="2">
        <f t="shared" si="245"/>
        <v>7599.4</v>
      </c>
      <c r="I256" s="2">
        <f t="shared" si="200"/>
        <v>2218</v>
      </c>
    </row>
    <row r="257" spans="1:9" x14ac:dyDescent="0.25">
      <c r="A257" s="3">
        <v>45962</v>
      </c>
      <c r="B257" t="s">
        <v>127</v>
      </c>
      <c r="C257" s="2">
        <v>2534.6999999999998</v>
      </c>
      <c r="D257" s="2">
        <f t="shared" si="187"/>
        <v>858.6</v>
      </c>
      <c r="E257" s="5">
        <v>1008</v>
      </c>
      <c r="F257" s="2">
        <v>149.4</v>
      </c>
      <c r="G257" s="2">
        <f t="shared" ref="G257:H257" si="246">SUM(C246:C257)</f>
        <v>11075.2</v>
      </c>
      <c r="H257" s="2">
        <f t="shared" si="246"/>
        <v>7930.3</v>
      </c>
      <c r="I257" s="2">
        <f t="shared" si="200"/>
        <v>3144.9000000000005</v>
      </c>
    </row>
    <row r="258" spans="1:9" x14ac:dyDescent="0.25">
      <c r="A258" s="3">
        <v>45992</v>
      </c>
      <c r="B258" t="s">
        <v>128</v>
      </c>
      <c r="C258" s="2">
        <v>1926.5</v>
      </c>
      <c r="D258" s="2">
        <f t="shared" si="187"/>
        <v>893</v>
      </c>
      <c r="E258" s="5">
        <v>1067</v>
      </c>
      <c r="F258" s="2">
        <v>174</v>
      </c>
      <c r="G258" s="2">
        <f t="shared" ref="G258:H258" si="247">SUM(C247:C258)</f>
        <v>11320.099999999999</v>
      </c>
      <c r="H258" s="2">
        <f t="shared" si="247"/>
        <v>7943.6</v>
      </c>
      <c r="I258" s="2">
        <f t="shared" si="200"/>
        <v>3376.4999999999982</v>
      </c>
    </row>
    <row r="259" spans="1:9" x14ac:dyDescent="0.25">
      <c r="A259" s="3">
        <v>46023</v>
      </c>
      <c r="B259" t="s">
        <v>129</v>
      </c>
      <c r="C259" s="2">
        <v>2188.6</v>
      </c>
      <c r="D259" s="2">
        <f t="shared" si="187"/>
        <v>618.29999999999995</v>
      </c>
      <c r="E259" s="5">
        <v>781</v>
      </c>
      <c r="F259" s="2">
        <v>162.69999999999999</v>
      </c>
      <c r="G259" s="2">
        <f t="shared" ref="G259:H259" si="248">SUM(C248:C259)</f>
        <v>13346.6</v>
      </c>
      <c r="H259" s="2">
        <f t="shared" si="248"/>
        <v>7858.9000000000005</v>
      </c>
      <c r="I259" s="2">
        <f t="shared" si="200"/>
        <v>5487.7</v>
      </c>
    </row>
    <row r="260" spans="1:9" x14ac:dyDescent="0.25">
      <c r="A260" s="3">
        <v>46054</v>
      </c>
      <c r="B260" t="s">
        <v>130</v>
      </c>
      <c r="C260" s="2">
        <v>796.8</v>
      </c>
      <c r="D260" s="2">
        <f t="shared" si="187"/>
        <v>485.6</v>
      </c>
      <c r="E260" s="5">
        <v>631</v>
      </c>
      <c r="F260" s="2">
        <v>145.4</v>
      </c>
      <c r="G260" s="2">
        <f t="shared" ref="G260:H260" si="249">SUM(C249:C260)</f>
        <v>13867.999999999998</v>
      </c>
      <c r="H260" s="2">
        <f t="shared" si="249"/>
        <v>7702.6000000000013</v>
      </c>
      <c r="I260" s="2">
        <f t="shared" si="200"/>
        <v>6165.3999999999969</v>
      </c>
    </row>
    <row r="261" spans="1:9" x14ac:dyDescent="0.25">
      <c r="A261" s="3">
        <v>46082</v>
      </c>
      <c r="B261" t="s">
        <v>131</v>
      </c>
      <c r="C261" s="2">
        <v>2581.1999999999998</v>
      </c>
      <c r="D261" s="2">
        <f t="shared" si="187"/>
        <v>1090.0999999999999</v>
      </c>
      <c r="E261" s="5">
        <v>1235</v>
      </c>
      <c r="F261" s="2">
        <v>144.9</v>
      </c>
      <c r="G261" s="2">
        <f t="shared" ref="G261:H261" si="250">SUM(C250:C261)</f>
        <v>15825.699999999997</v>
      </c>
      <c r="H261" s="2">
        <f t="shared" si="250"/>
        <v>8026.3000000000011</v>
      </c>
      <c r="I261" s="2">
        <f t="shared" si="200"/>
        <v>7799.399999999996</v>
      </c>
    </row>
    <row r="262" spans="1:9" x14ac:dyDescent="0.25">
      <c r="A262" s="3">
        <v>46113</v>
      </c>
      <c r="B262" t="s">
        <v>132</v>
      </c>
      <c r="C262" s="2">
        <v>2712.8</v>
      </c>
      <c r="D262" s="2">
        <f t="shared" si="187"/>
        <v>1402.1</v>
      </c>
      <c r="E262" s="5">
        <v>1554</v>
      </c>
      <c r="F262" s="2">
        <v>151.9</v>
      </c>
      <c r="G262" s="2">
        <f t="shared" ref="G262:H262" si="251">SUM(C251:C262)</f>
        <v>18324.099999999999</v>
      </c>
      <c r="H262" s="2">
        <f t="shared" si="251"/>
        <v>8870.4000000000015</v>
      </c>
      <c r="I262" s="2">
        <f t="shared" si="200"/>
        <v>9453.6999999999971</v>
      </c>
    </row>
    <row r="263" spans="1:9" x14ac:dyDescent="0.25">
      <c r="A263" s="3">
        <v>46143</v>
      </c>
      <c r="B263" t="s">
        <v>133</v>
      </c>
      <c r="C263" s="2">
        <v>3449.8</v>
      </c>
      <c r="D263" s="2">
        <f t="shared" si="187"/>
        <v>1542.7</v>
      </c>
      <c r="E263" s="5">
        <v>1745</v>
      </c>
      <c r="F263" s="2">
        <v>202.3</v>
      </c>
      <c r="G263" s="2">
        <f t="shared" ref="G263:H263" si="252">SUM(C252:C263)</f>
        <v>21166.699999999997</v>
      </c>
      <c r="H263" s="2">
        <f t="shared" si="252"/>
        <v>10061.700000000001</v>
      </c>
      <c r="I263" s="2">
        <f t="shared" si="200"/>
        <v>11104.999999999996</v>
      </c>
    </row>
    <row r="264" spans="1:9" x14ac:dyDescent="0.25">
      <c r="A264" s="3">
        <v>46174</v>
      </c>
      <c r="B264" t="s">
        <v>134</v>
      </c>
      <c r="C264" s="2">
        <v>2193.8000000000002</v>
      </c>
      <c r="D264" s="2">
        <f t="shared" ref="D264" si="253">E264-F264</f>
        <v>611.5</v>
      </c>
      <c r="E264" s="5">
        <v>1406</v>
      </c>
      <c r="F264" s="2">
        <v>794.5</v>
      </c>
      <c r="G264" s="2">
        <f t="shared" ref="G264:H264" si="254">SUM(C253:C264)</f>
        <v>22481.099999999995</v>
      </c>
      <c r="H264" s="2">
        <f t="shared" si="254"/>
        <v>9951.3000000000011</v>
      </c>
      <c r="I264" s="2">
        <f t="shared" si="200"/>
        <v>12529.799999999994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59069-1AD0-4A37-9378-3E5C0F98BF60}">
  <sheetPr>
    <tabColor rgb="FF001E50"/>
  </sheetPr>
  <dimension ref="C1:BV70"/>
  <sheetViews>
    <sheetView zoomScale="100" zoomScaleNormal="100" workbookViewId="0" showGridLines="0">
      <pane xSplit="9" ySplit="3" topLeftCell="J4" activePane="bottomRight" state="frozen"/>
      <selection pane="topRight" activeCell="J4" sqref="J4"/>
      <selection pane="bottomLeft" activeCell="J4" sqref="J4"/>
      <selection pane="bottomRight" activeCell="J4" sqref="J4"/>
    </sheetView>
  </sheetViews>
  <sheetFormatPr defaultRowHeight="15" x14ac:dyDescent="0.25"/>
  <cols>
    <col min="3" max="3" width="17" customWidth="1"/>
    <col min="4" max="9" width="0" hidden="1" customWidth="1"/>
    <col min="41" max="41" width="14.28515625" bestFit="1" customWidth="1"/>
    <col min="42" max="42" width="12.5703125" bestFit="1" customWidth="1"/>
  </cols>
  <sheetData>
    <row r="1" spans="3:74" x14ac:dyDescent="0.25">
      <c r="BI1" s="2" t="s">
        <v>290</v>
      </c>
      <c r="BJ1" t="s">
        <v>291</v>
      </c>
      <c r="BK1" t="s">
        <v>292</v>
      </c>
      <c r="BL1" t="s">
        <v>293</v>
      </c>
      <c r="BM1" t="s">
        <v>294</v>
      </c>
      <c r="BN1" t="s">
        <v>295</v>
      </c>
      <c r="BO1" t="s">
        <v>296</v>
      </c>
      <c r="BP1" t="s">
        <v>297</v>
      </c>
      <c r="BQ1" t="s">
        <v>298</v>
      </c>
      <c r="BR1" t="s">
        <v>299</v>
      </c>
      <c r="BS1" t="s">
        <v>300</v>
      </c>
      <c r="BT1" t="s">
        <v>301</v>
      </c>
      <c r="BU1" t="s">
        <v>302</v>
      </c>
      <c r="BV1" t="s">
        <v>303</v>
      </c>
    </row>
    <row r="2" spans="3:74" x14ac:dyDescent="0.25">
      <c r="J2" s="4">
        <v>40238</v>
      </c>
      <c r="K2" s="4">
        <v>40330</v>
      </c>
      <c r="L2" s="4">
        <v>40422</v>
      </c>
      <c r="M2" s="4">
        <v>40513</v>
      </c>
      <c r="N2" s="4">
        <v>40603</v>
      </c>
      <c r="O2" s="4">
        <v>40695</v>
      </c>
      <c r="P2" s="4">
        <v>40787</v>
      </c>
      <c r="Q2" s="4">
        <v>40878</v>
      </c>
      <c r="R2" s="4">
        <v>40969</v>
      </c>
      <c r="S2" s="4">
        <v>41061</v>
      </c>
      <c r="T2" s="4">
        <v>41153</v>
      </c>
      <c r="U2" s="4">
        <v>41244</v>
      </c>
      <c r="V2" s="4">
        <v>41334</v>
      </c>
      <c r="W2" s="4">
        <v>41426</v>
      </c>
      <c r="X2" s="4">
        <v>41518</v>
      </c>
      <c r="Y2" s="4">
        <v>41609</v>
      </c>
      <c r="Z2" s="4">
        <v>41699</v>
      </c>
      <c r="AA2" s="4">
        <v>41791</v>
      </c>
      <c r="AB2" s="4">
        <v>41883</v>
      </c>
      <c r="AC2" s="4">
        <v>41974</v>
      </c>
      <c r="AD2" s="4">
        <v>42064</v>
      </c>
      <c r="AE2" s="4">
        <v>42156</v>
      </c>
      <c r="AF2" s="4">
        <v>42248</v>
      </c>
      <c r="AG2" s="4">
        <v>42339</v>
      </c>
      <c r="AH2" s="4">
        <v>42430</v>
      </c>
      <c r="AI2" s="4">
        <v>42522</v>
      </c>
      <c r="AJ2" s="4">
        <v>42614</v>
      </c>
      <c r="AK2" s="4">
        <v>42705</v>
      </c>
      <c r="AL2" s="4">
        <v>42795</v>
      </c>
      <c r="AM2" s="4">
        <v>42887</v>
      </c>
      <c r="AN2" s="4">
        <v>42979</v>
      </c>
      <c r="AO2" s="4">
        <v>43070</v>
      </c>
      <c r="AP2" s="4">
        <v>43160</v>
      </c>
      <c r="AQ2" s="4">
        <v>43252</v>
      </c>
      <c r="AR2" s="4">
        <v>43344</v>
      </c>
      <c r="AS2" s="4">
        <v>43435</v>
      </c>
      <c r="AT2" s="4">
        <v>43525</v>
      </c>
      <c r="AU2" s="4">
        <v>43617</v>
      </c>
      <c r="AV2" s="4">
        <v>43709</v>
      </c>
      <c r="AW2" s="4">
        <v>43800</v>
      </c>
      <c r="AX2" s="4">
        <v>43891</v>
      </c>
      <c r="AY2" s="4">
        <v>43983</v>
      </c>
      <c r="AZ2" s="4">
        <v>44075</v>
      </c>
      <c r="BA2" s="4">
        <v>44166</v>
      </c>
      <c r="BB2" s="4">
        <v>44256</v>
      </c>
      <c r="BC2" s="4">
        <v>44348</v>
      </c>
      <c r="BD2" s="4">
        <v>44440</v>
      </c>
      <c r="BE2" s="4">
        <v>44531</v>
      </c>
      <c r="BF2" s="4">
        <v>44621</v>
      </c>
      <c r="BG2" s="4">
        <v>44713</v>
      </c>
      <c r="BH2" s="4">
        <v>44805</v>
      </c>
      <c r="BI2" s="4">
        <v>44896</v>
      </c>
      <c r="BJ2" s="4">
        <v>44986</v>
      </c>
      <c r="BK2" s="4">
        <v>45078</v>
      </c>
      <c r="BL2" s="4">
        <v>45170</v>
      </c>
      <c r="BM2" s="4">
        <v>45261</v>
      </c>
      <c r="BN2" s="4">
        <v>45352</v>
      </c>
      <c r="BO2" s="4">
        <v>45444</v>
      </c>
      <c r="BP2" s="4">
        <v>45536</v>
      </c>
      <c r="BQ2" s="4">
        <v>45627</v>
      </c>
      <c r="BR2" s="4">
        <v>45717</v>
      </c>
      <c r="BS2" s="4">
        <v>45809</v>
      </c>
      <c r="BT2" s="4">
        <v>45901</v>
      </c>
      <c r="BU2" s="4">
        <v>45992</v>
      </c>
      <c r="BV2" s="4">
        <v>46082</v>
      </c>
    </row>
    <row r="3" spans="3:74" hidden="1" x14ac:dyDescent="0.25">
      <c r="D3" s="1" t="s">
        <v>304</v>
      </c>
      <c r="E3" t="s">
        <v>9</v>
      </c>
      <c r="F3" t="s">
        <v>305</v>
      </c>
      <c r="G3" t="s">
        <v>8</v>
      </c>
      <c r="H3" t="s">
        <v>306</v>
      </c>
      <c r="I3" t="s">
        <v>7</v>
      </c>
      <c r="J3" t="s">
        <v>307</v>
      </c>
      <c r="K3" t="s">
        <v>308</v>
      </c>
      <c r="L3" t="s">
        <v>309</v>
      </c>
      <c r="M3" t="s">
        <v>310</v>
      </c>
      <c r="N3" t="s">
        <v>311</v>
      </c>
      <c r="O3" t="s">
        <v>312</v>
      </c>
      <c r="P3" t="s">
        <v>313</v>
      </c>
      <c r="Q3" t="s">
        <v>314</v>
      </c>
      <c r="R3" t="s">
        <v>315</v>
      </c>
      <c r="S3" t="s">
        <v>316</v>
      </c>
      <c r="T3" t="s">
        <v>317</v>
      </c>
      <c r="U3" t="s">
        <v>318</v>
      </c>
      <c r="V3" t="s">
        <v>319</v>
      </c>
      <c r="W3" t="s">
        <v>320</v>
      </c>
      <c r="X3" t="s">
        <v>321</v>
      </c>
      <c r="Y3" t="s">
        <v>322</v>
      </c>
      <c r="Z3" t="s">
        <v>323</v>
      </c>
      <c r="AA3" t="s">
        <v>324</v>
      </c>
      <c r="AB3" t="s">
        <v>325</v>
      </c>
      <c r="AC3" t="s">
        <v>326</v>
      </c>
      <c r="AD3" t="s">
        <v>327</v>
      </c>
      <c r="AE3" t="s">
        <v>328</v>
      </c>
      <c r="AF3" t="s">
        <v>329</v>
      </c>
      <c r="AG3" t="s">
        <v>330</v>
      </c>
      <c r="AH3" t="s">
        <v>331</v>
      </c>
      <c r="AI3" t="s">
        <v>332</v>
      </c>
      <c r="AJ3" t="s">
        <v>333</v>
      </c>
      <c r="AK3" t="s">
        <v>334</v>
      </c>
      <c r="AL3" t="s">
        <v>335</v>
      </c>
      <c r="AM3" t="s">
        <v>336</v>
      </c>
      <c r="AN3" t="s">
        <v>337</v>
      </c>
      <c r="AO3" t="s">
        <v>338</v>
      </c>
      <c r="AP3" t="s">
        <v>339</v>
      </c>
      <c r="AQ3" t="s">
        <v>340</v>
      </c>
      <c r="AR3" t="s">
        <v>341</v>
      </c>
      <c r="AS3" t="s">
        <v>342</v>
      </c>
      <c r="AT3" t="s">
        <v>343</v>
      </c>
      <c r="AU3" t="s">
        <v>344</v>
      </c>
      <c r="AV3" t="s">
        <v>345</v>
      </c>
      <c r="AW3" t="s">
        <v>346</v>
      </c>
      <c r="AX3" t="s">
        <v>347</v>
      </c>
      <c r="AY3" t="s">
        <v>348</v>
      </c>
      <c r="AZ3" t="s">
        <v>349</v>
      </c>
      <c r="BA3" t="s">
        <v>350</v>
      </c>
      <c r="BB3" t="s">
        <v>351</v>
      </c>
      <c r="BC3" t="s">
        <v>352</v>
      </c>
      <c r="BD3" t="s">
        <v>353</v>
      </c>
      <c r="BE3" t="s">
        <v>354</v>
      </c>
      <c r="BF3" t="s">
        <v>355</v>
      </c>
      <c r="BG3" t="s">
        <v>356</v>
      </c>
      <c r="BH3" t="s">
        <v>357</v>
      </c>
      <c r="BI3" t="s">
        <v>358</v>
      </c>
      <c r="BJ3" t="s">
        <v>359</v>
      </c>
      <c r="BK3" t="s">
        <v>360</v>
      </c>
      <c r="BL3" t="s">
        <v>361</v>
      </c>
      <c r="BM3" t="s">
        <v>362</v>
      </c>
      <c r="BN3" t="s">
        <v>363</v>
      </c>
      <c r="BO3" t="s">
        <v>364</v>
      </c>
      <c r="BP3" t="s">
        <v>365</v>
      </c>
      <c r="BQ3" t="s">
        <v>366</v>
      </c>
      <c r="BR3" t="s">
        <v>367</v>
      </c>
      <c r="BS3" t="s">
        <v>368</v>
      </c>
      <c r="BT3" t="s">
        <v>369</v>
      </c>
      <c r="BU3" t="s">
        <v>370</v>
      </c>
      <c r="BV3" t="s">
        <v>371</v>
      </c>
    </row>
    <row r="4" spans="3:74" x14ac:dyDescent="0.25">
      <c r="C4" t="s">
        <v>372</v>
      </c>
      <c r="D4" t="s">
        <v>373</v>
      </c>
      <c r="E4" t="s">
        <v>374</v>
      </c>
      <c r="F4" t="s">
        <v>375</v>
      </c>
      <c r="G4" t="s">
        <v>147</v>
      </c>
      <c r="H4" t="s">
        <v>376</v>
      </c>
      <c r="I4" t="s">
        <v>146</v>
      </c>
      <c r="J4" s="5">
        <v>-1633</v>
      </c>
      <c r="K4" s="5">
        <v>2101</v>
      </c>
      <c r="L4" s="5">
        <v>-529</v>
      </c>
      <c r="M4" s="5">
        <v>-1563</v>
      </c>
      <c r="N4" s="5">
        <v>-2242</v>
      </c>
      <c r="O4" s="5">
        <v>509</v>
      </c>
      <c r="P4" s="5">
        <v>-1516</v>
      </c>
      <c r="Q4" s="5">
        <v>-2091</v>
      </c>
      <c r="R4" s="5">
        <v>-1782</v>
      </c>
      <c r="S4" s="5">
        <v>499</v>
      </c>
      <c r="T4" s="5">
        <v>66</v>
      </c>
      <c r="U4" s="5">
        <v>-921</v>
      </c>
      <c r="V4" s="5">
        <v>-3886</v>
      </c>
      <c r="W4" s="5">
        <v>-326</v>
      </c>
      <c r="X4" s="5">
        <v>-3022</v>
      </c>
      <c r="Y4" s="5">
        <v>-5891</v>
      </c>
      <c r="Z4" s="5">
        <v>-6048</v>
      </c>
      <c r="AA4" s="5">
        <v>646</v>
      </c>
      <c r="AB4" s="5">
        <v>-1840</v>
      </c>
      <c r="AC4" s="5">
        <v>-1938</v>
      </c>
      <c r="AD4" s="5">
        <v>-5544</v>
      </c>
      <c r="AE4" s="5">
        <v>-2469</v>
      </c>
      <c r="AF4" s="5">
        <v>-4508</v>
      </c>
      <c r="AG4" s="5">
        <v>-5101</v>
      </c>
      <c r="AH4" s="5">
        <v>-4897</v>
      </c>
      <c r="AI4" s="5">
        <v>-2931</v>
      </c>
      <c r="AJ4" s="5">
        <v>-2967</v>
      </c>
      <c r="AK4" s="5">
        <v>-4311</v>
      </c>
      <c r="AL4" s="5">
        <v>-7235</v>
      </c>
      <c r="AM4" s="5">
        <v>-6605</v>
      </c>
      <c r="AN4" s="5">
        <v>-8149</v>
      </c>
      <c r="AO4" s="5">
        <v>-9163</v>
      </c>
      <c r="AP4" s="5">
        <v>-9396</v>
      </c>
      <c r="AQ4" s="5">
        <v>-8434</v>
      </c>
      <c r="AR4" s="5">
        <v>-7359</v>
      </c>
      <c r="AS4" s="5">
        <v>-1894</v>
      </c>
      <c r="AT4" s="5">
        <v>-3434</v>
      </c>
      <c r="AU4" s="5">
        <v>-1812</v>
      </c>
      <c r="AV4" s="5">
        <v>-808</v>
      </c>
      <c r="AW4" s="5">
        <v>2561</v>
      </c>
      <c r="AX4" s="5">
        <v>117</v>
      </c>
      <c r="AY4" s="5">
        <v>2863</v>
      </c>
      <c r="AZ4" s="5">
        <v>1150</v>
      </c>
      <c r="BA4" s="5">
        <v>-1442</v>
      </c>
      <c r="BB4" s="5">
        <v>395</v>
      </c>
      <c r="BC4" s="5">
        <v>2547</v>
      </c>
      <c r="BD4" s="5">
        <v>3349</v>
      </c>
      <c r="BE4" s="5">
        <v>334</v>
      </c>
      <c r="BF4" s="5">
        <v>-1243</v>
      </c>
      <c r="BG4" s="5">
        <v>-953</v>
      </c>
      <c r="BH4" s="5">
        <v>-3606</v>
      </c>
      <c r="BI4" s="5">
        <v>1837</v>
      </c>
      <c r="BJ4" s="5">
        <v>-5874</v>
      </c>
      <c r="BK4" s="5">
        <v>-6820</v>
      </c>
      <c r="BL4" s="5">
        <v>-6401</v>
      </c>
      <c r="BM4" s="5">
        <v>-3259</v>
      </c>
      <c r="BN4" s="5">
        <v>58</v>
      </c>
      <c r="BO4" s="5">
        <v>3503</v>
      </c>
      <c r="BP4" s="5">
        <v>625</v>
      </c>
      <c r="BQ4" s="5">
        <v>1705</v>
      </c>
      <c r="BR4" s="5">
        <v>-5158</v>
      </c>
      <c r="BS4" s="5">
        <v>-2452</v>
      </c>
      <c r="BT4" s="5">
        <v>-2100</v>
      </c>
      <c r="BU4" s="5">
        <v>1922</v>
      </c>
      <c r="BV4" s="5">
        <v>-1651</v>
      </c>
    </row>
    <row r="5" spans="3:74" x14ac:dyDescent="0.25">
      <c r="C5" t="s">
        <v>377</v>
      </c>
      <c r="D5" t="s">
        <v>378</v>
      </c>
      <c r="E5" t="s">
        <v>379</v>
      </c>
      <c r="F5" t="s">
        <v>380</v>
      </c>
      <c r="G5" t="s">
        <v>147</v>
      </c>
      <c r="H5" t="s">
        <v>376</v>
      </c>
      <c r="I5" t="s">
        <v>146</v>
      </c>
      <c r="J5" s="5">
        <v>2521</v>
      </c>
      <c r="K5" s="5">
        <v>5937</v>
      </c>
      <c r="L5" s="5">
        <v>3532</v>
      </c>
      <c r="M5" s="5">
        <v>2157</v>
      </c>
      <c r="N5" s="5">
        <v>2083</v>
      </c>
      <c r="O5" s="5">
        <v>4900</v>
      </c>
      <c r="P5" s="5">
        <v>2810</v>
      </c>
      <c r="Q5" s="5">
        <v>2559</v>
      </c>
      <c r="R5" s="5">
        <v>3047</v>
      </c>
      <c r="S5" s="5">
        <v>4601</v>
      </c>
      <c r="T5" s="5">
        <v>4245</v>
      </c>
      <c r="U5" s="5">
        <v>3147</v>
      </c>
      <c r="V5" s="5">
        <v>1012</v>
      </c>
      <c r="W5" s="5">
        <v>3780</v>
      </c>
      <c r="X5" s="5">
        <v>1363</v>
      </c>
      <c r="Y5" s="5">
        <v>-1519</v>
      </c>
      <c r="Z5" s="5">
        <v>-2017</v>
      </c>
      <c r="AA5" s="5">
        <v>4303</v>
      </c>
      <c r="AB5" s="5">
        <v>1850</v>
      </c>
      <c r="AC5" s="5">
        <v>1406</v>
      </c>
      <c r="AD5" s="5">
        <v>-866</v>
      </c>
      <c r="AE5" s="5">
        <v>1463</v>
      </c>
      <c r="AF5" s="5">
        <v>-281</v>
      </c>
      <c r="AG5" s="5">
        <v>-1101</v>
      </c>
      <c r="AH5" s="5">
        <v>176</v>
      </c>
      <c r="AI5" s="5">
        <v>1677</v>
      </c>
      <c r="AJ5" s="5">
        <v>1826</v>
      </c>
      <c r="AK5" s="5">
        <v>736</v>
      </c>
      <c r="AL5" s="5">
        <v>-620</v>
      </c>
      <c r="AM5" s="5">
        <v>-712</v>
      </c>
      <c r="AN5" s="5">
        <v>-1679</v>
      </c>
      <c r="AO5" s="5">
        <v>-2435</v>
      </c>
      <c r="AP5" s="5">
        <v>-1665</v>
      </c>
      <c r="AQ5" s="5">
        <v>-1696</v>
      </c>
      <c r="AR5" s="5">
        <v>-746</v>
      </c>
      <c r="AS5" s="5">
        <v>3364</v>
      </c>
      <c r="AT5" s="5">
        <v>2550</v>
      </c>
      <c r="AU5" s="5">
        <v>4223</v>
      </c>
      <c r="AV5" s="5">
        <v>4471</v>
      </c>
      <c r="AW5" s="5">
        <v>6990</v>
      </c>
      <c r="AX5" s="5">
        <v>3926</v>
      </c>
      <c r="AY5" s="5">
        <v>5341</v>
      </c>
      <c r="AZ5" s="5">
        <v>4069</v>
      </c>
      <c r="BA5" s="5">
        <v>1295</v>
      </c>
      <c r="BB5" s="5">
        <v>3241</v>
      </c>
      <c r="BC5" s="5">
        <v>5168</v>
      </c>
      <c r="BD5" s="5">
        <v>6659</v>
      </c>
      <c r="BE5" s="5">
        <v>3627</v>
      </c>
      <c r="BF5" s="5">
        <v>2778</v>
      </c>
      <c r="BG5" s="5">
        <v>3214</v>
      </c>
      <c r="BH5" s="5">
        <v>925</v>
      </c>
      <c r="BI5" s="5">
        <v>5500</v>
      </c>
      <c r="BJ5" s="5">
        <v>-312</v>
      </c>
      <c r="BK5" s="5">
        <v>-2099</v>
      </c>
      <c r="BL5" s="5">
        <v>-1284</v>
      </c>
      <c r="BM5" s="5">
        <v>937</v>
      </c>
      <c r="BN5" s="5">
        <v>5070</v>
      </c>
      <c r="BO5" s="5">
        <v>7109</v>
      </c>
      <c r="BP5" s="5">
        <v>5306</v>
      </c>
      <c r="BQ5" s="5">
        <v>4919</v>
      </c>
      <c r="BR5" s="5">
        <v>2060</v>
      </c>
      <c r="BS5" s="5">
        <v>2668</v>
      </c>
      <c r="BT5" s="5">
        <v>4348</v>
      </c>
      <c r="BU5" s="5">
        <v>6283</v>
      </c>
      <c r="BV5" s="5">
        <v>6339</v>
      </c>
    </row>
    <row r="6" spans="3:74" x14ac:dyDescent="0.25">
      <c r="C6" t="s">
        <v>381</v>
      </c>
      <c r="D6" t="s">
        <v>382</v>
      </c>
      <c r="E6" t="s">
        <v>383</v>
      </c>
      <c r="F6" t="s">
        <v>375</v>
      </c>
      <c r="G6" t="s">
        <v>147</v>
      </c>
      <c r="H6" t="s">
        <v>376</v>
      </c>
      <c r="I6" t="s">
        <v>146</v>
      </c>
      <c r="J6" s="5">
        <v>-571</v>
      </c>
      <c r="K6" s="5">
        <v>-564</v>
      </c>
      <c r="L6" s="5">
        <v>-534</v>
      </c>
      <c r="M6" s="5">
        <v>-135</v>
      </c>
      <c r="N6" s="5">
        <v>-852</v>
      </c>
      <c r="O6" s="5">
        <v>-782</v>
      </c>
      <c r="P6" s="5">
        <v>-883</v>
      </c>
      <c r="Q6" s="5">
        <v>-636</v>
      </c>
      <c r="R6" s="5">
        <v>-1223</v>
      </c>
      <c r="S6" s="5">
        <v>-1029</v>
      </c>
      <c r="T6" s="5">
        <v>-1016</v>
      </c>
      <c r="U6" s="5">
        <v>-829</v>
      </c>
      <c r="V6" s="5">
        <v>-1730</v>
      </c>
      <c r="W6" s="5">
        <v>-1277</v>
      </c>
      <c r="X6" s="5">
        <v>-1354</v>
      </c>
      <c r="Y6" s="5">
        <v>-968</v>
      </c>
      <c r="Z6" s="5">
        <v>-1551</v>
      </c>
      <c r="AA6" s="5">
        <v>-1195</v>
      </c>
      <c r="AB6" s="5">
        <v>-1121</v>
      </c>
      <c r="AC6" s="5">
        <v>-775</v>
      </c>
      <c r="AD6" s="5">
        <v>-1536</v>
      </c>
      <c r="AE6" s="5">
        <v>-1247</v>
      </c>
      <c r="AF6" s="5">
        <v>-1544</v>
      </c>
      <c r="AG6" s="5">
        <v>-1489</v>
      </c>
      <c r="AH6" s="5">
        <v>-2498</v>
      </c>
      <c r="AI6" s="5">
        <v>-1927</v>
      </c>
      <c r="AJ6" s="5">
        <v>-2225</v>
      </c>
      <c r="AK6" s="5">
        <v>-1801</v>
      </c>
      <c r="AL6" s="5">
        <v>-3061</v>
      </c>
      <c r="AM6" s="5">
        <v>-2069</v>
      </c>
      <c r="AN6" s="5">
        <v>-2549</v>
      </c>
      <c r="AO6" s="5">
        <v>-2017</v>
      </c>
      <c r="AP6" s="5">
        <v>-3397</v>
      </c>
      <c r="AQ6" s="5">
        <v>-2537</v>
      </c>
      <c r="AR6" s="5">
        <v>-1953</v>
      </c>
      <c r="AS6" s="5">
        <v>-1049</v>
      </c>
      <c r="AT6" s="5">
        <v>-1710</v>
      </c>
      <c r="AU6" s="5">
        <v>-1291</v>
      </c>
      <c r="AV6" s="5">
        <v>-1285</v>
      </c>
      <c r="AW6" s="5">
        <v>-557</v>
      </c>
      <c r="AX6" s="5">
        <v>-986</v>
      </c>
      <c r="AY6" s="5">
        <v>-295</v>
      </c>
      <c r="AZ6" s="5">
        <v>-602</v>
      </c>
      <c r="BA6" s="5">
        <v>-654</v>
      </c>
      <c r="BB6" s="5">
        <v>-659</v>
      </c>
      <c r="BC6" s="5">
        <v>-641</v>
      </c>
      <c r="BD6" s="5">
        <v>-1028</v>
      </c>
      <c r="BE6" s="5">
        <v>-1373</v>
      </c>
      <c r="BF6" s="5">
        <v>-1898</v>
      </c>
      <c r="BG6" s="5">
        <v>-1781</v>
      </c>
      <c r="BH6" s="5">
        <v>-1988</v>
      </c>
      <c r="BI6" s="5">
        <v>-1108</v>
      </c>
      <c r="BJ6" s="5">
        <v>-2317</v>
      </c>
      <c r="BK6" s="5">
        <v>-1546</v>
      </c>
      <c r="BL6" s="5">
        <v>-1638</v>
      </c>
      <c r="BM6" s="5">
        <v>-875</v>
      </c>
      <c r="BN6" s="5">
        <v>-1368</v>
      </c>
      <c r="BO6" s="5">
        <v>-1054</v>
      </c>
      <c r="BP6" s="5">
        <v>-1545</v>
      </c>
      <c r="BQ6" s="5">
        <v>-971</v>
      </c>
      <c r="BR6" s="5">
        <v>-4560</v>
      </c>
      <c r="BS6" s="5">
        <v>-2433</v>
      </c>
      <c r="BT6" s="5">
        <v>-2679</v>
      </c>
      <c r="BU6" s="5">
        <v>-1930</v>
      </c>
      <c r="BV6" s="5">
        <v>-4028</v>
      </c>
    </row>
    <row r="7" spans="3:74" x14ac:dyDescent="0.25">
      <c r="C7" t="s">
        <v>384</v>
      </c>
      <c r="D7" t="s">
        <v>385</v>
      </c>
      <c r="E7" t="s">
        <v>386</v>
      </c>
      <c r="F7" t="s">
        <v>387</v>
      </c>
      <c r="G7" t="s">
        <v>147</v>
      </c>
      <c r="H7" t="s">
        <v>376</v>
      </c>
      <c r="I7" t="s">
        <v>146</v>
      </c>
      <c r="J7" s="5">
        <v>-3723</v>
      </c>
      <c r="K7" s="5">
        <v>-3486</v>
      </c>
      <c r="L7" s="5">
        <v>-3650</v>
      </c>
      <c r="M7" s="5">
        <v>-3689</v>
      </c>
      <c r="N7" s="5">
        <v>-3498</v>
      </c>
      <c r="O7" s="5">
        <v>-3766</v>
      </c>
      <c r="P7" s="5">
        <v>-3655</v>
      </c>
      <c r="Q7" s="5">
        <v>-4154</v>
      </c>
      <c r="R7" s="5">
        <v>-3756</v>
      </c>
      <c r="S7" s="5">
        <v>-3271</v>
      </c>
      <c r="T7" s="5">
        <v>-3329</v>
      </c>
      <c r="U7" s="5">
        <v>-3397</v>
      </c>
      <c r="V7" s="5">
        <v>-3343</v>
      </c>
      <c r="W7" s="5">
        <v>-3281</v>
      </c>
      <c r="X7" s="5">
        <v>-3263</v>
      </c>
      <c r="Y7" s="5">
        <v>-3279</v>
      </c>
      <c r="Z7" s="5">
        <v>-2783</v>
      </c>
      <c r="AA7" s="5">
        <v>-2985</v>
      </c>
      <c r="AB7" s="5">
        <v>-2992</v>
      </c>
      <c r="AC7" s="5">
        <v>-2855</v>
      </c>
      <c r="AD7" s="5">
        <v>-3223</v>
      </c>
      <c r="AE7" s="5">
        <v>-3088</v>
      </c>
      <c r="AF7" s="5">
        <v>-2886</v>
      </c>
      <c r="AG7" s="5">
        <v>-2907</v>
      </c>
      <c r="AH7" s="5">
        <v>-2895</v>
      </c>
      <c r="AI7" s="5">
        <v>-2987</v>
      </c>
      <c r="AJ7" s="5">
        <v>-2863</v>
      </c>
      <c r="AK7" s="5">
        <v>-3448</v>
      </c>
      <c r="AL7" s="5">
        <v>-3778</v>
      </c>
      <c r="AM7" s="5">
        <v>-4033</v>
      </c>
      <c r="AN7" s="5">
        <v>-3843</v>
      </c>
      <c r="AO7" s="5">
        <v>-4726</v>
      </c>
      <c r="AP7" s="5">
        <v>-4490</v>
      </c>
      <c r="AQ7" s="5">
        <v>-4654</v>
      </c>
      <c r="AR7" s="5">
        <v>-4898</v>
      </c>
      <c r="AS7" s="5">
        <v>-4608</v>
      </c>
      <c r="AT7" s="5">
        <v>-4558</v>
      </c>
      <c r="AU7" s="5">
        <v>-4840</v>
      </c>
      <c r="AV7" s="5">
        <v>-4219</v>
      </c>
      <c r="AW7" s="5">
        <v>-4115</v>
      </c>
      <c r="AX7" s="5">
        <v>-3088</v>
      </c>
      <c r="AY7" s="5">
        <v>-2574</v>
      </c>
      <c r="AZ7" s="5">
        <v>-2592</v>
      </c>
      <c r="BA7" s="5">
        <v>-2251</v>
      </c>
      <c r="BB7" s="5">
        <v>-2503</v>
      </c>
      <c r="BC7" s="5">
        <v>-2414</v>
      </c>
      <c r="BD7" s="5">
        <v>-2607</v>
      </c>
      <c r="BE7" s="5">
        <v>-2249</v>
      </c>
      <c r="BF7" s="5">
        <v>-2571</v>
      </c>
      <c r="BG7" s="5">
        <v>-2972</v>
      </c>
      <c r="BH7" s="5">
        <v>-2969</v>
      </c>
      <c r="BI7" s="5">
        <v>-3065</v>
      </c>
      <c r="BJ7" s="5">
        <v>-3719</v>
      </c>
      <c r="BK7" s="5">
        <v>-3808</v>
      </c>
      <c r="BL7" s="5">
        <v>-3967</v>
      </c>
      <c r="BM7" s="5">
        <v>-3808</v>
      </c>
      <c r="BN7" s="5">
        <v>-4140</v>
      </c>
      <c r="BO7" s="5">
        <v>-3329</v>
      </c>
      <c r="BP7" s="5">
        <v>-3503</v>
      </c>
      <c r="BQ7" s="5">
        <v>-2848</v>
      </c>
      <c r="BR7" s="5">
        <v>-3018</v>
      </c>
      <c r="BS7" s="5">
        <v>-3566</v>
      </c>
      <c r="BT7" s="5">
        <v>-4276</v>
      </c>
      <c r="BU7" s="5">
        <v>-3219</v>
      </c>
      <c r="BV7" s="5">
        <v>-4676</v>
      </c>
    </row>
    <row r="8" spans="3:74" x14ac:dyDescent="0.25">
      <c r="C8" t="s">
        <v>388</v>
      </c>
      <c r="D8" t="s">
        <v>389</v>
      </c>
      <c r="E8" t="s">
        <v>390</v>
      </c>
      <c r="F8" t="s">
        <v>387</v>
      </c>
      <c r="G8" t="s">
        <v>147</v>
      </c>
      <c r="H8" t="s">
        <v>376</v>
      </c>
      <c r="I8" t="s">
        <v>146</v>
      </c>
      <c r="J8" s="5">
        <v>140</v>
      </c>
      <c r="K8" s="5">
        <v>215</v>
      </c>
      <c r="L8" s="5">
        <v>122</v>
      </c>
      <c r="M8" s="5">
        <v>104</v>
      </c>
      <c r="N8" s="5">
        <v>25</v>
      </c>
      <c r="O8" s="5">
        <v>158</v>
      </c>
      <c r="P8" s="5">
        <v>211</v>
      </c>
      <c r="Q8" s="5">
        <v>141</v>
      </c>
      <c r="R8" s="5">
        <v>150</v>
      </c>
      <c r="S8" s="5">
        <v>198</v>
      </c>
      <c r="T8" s="5">
        <v>167</v>
      </c>
      <c r="U8" s="5">
        <v>157</v>
      </c>
      <c r="V8" s="5">
        <v>176</v>
      </c>
      <c r="W8" s="5">
        <v>452</v>
      </c>
      <c r="X8" s="5">
        <v>231</v>
      </c>
      <c r="Y8" s="5">
        <v>-125</v>
      </c>
      <c r="Z8" s="5">
        <v>303</v>
      </c>
      <c r="AA8" s="5">
        <v>523</v>
      </c>
      <c r="AB8" s="5">
        <v>423</v>
      </c>
      <c r="AC8" s="5">
        <v>286</v>
      </c>
      <c r="AD8" s="5">
        <v>81</v>
      </c>
      <c r="AE8" s="5">
        <v>403</v>
      </c>
      <c r="AF8" s="5">
        <v>203</v>
      </c>
      <c r="AG8" s="5">
        <v>396</v>
      </c>
      <c r="AH8" s="5">
        <v>321</v>
      </c>
      <c r="AI8" s="5">
        <v>306</v>
      </c>
      <c r="AJ8" s="5">
        <v>294</v>
      </c>
      <c r="AK8" s="5">
        <v>203</v>
      </c>
      <c r="AL8" s="5">
        <v>224</v>
      </c>
      <c r="AM8" s="5">
        <v>209</v>
      </c>
      <c r="AN8" s="5">
        <v>-77</v>
      </c>
      <c r="AO8" s="5">
        <v>15</v>
      </c>
      <c r="AP8" s="5">
        <v>156</v>
      </c>
      <c r="AQ8" s="5">
        <v>452</v>
      </c>
      <c r="AR8" s="5">
        <v>238</v>
      </c>
      <c r="AS8" s="5">
        <v>399</v>
      </c>
      <c r="AT8" s="5">
        <v>285</v>
      </c>
      <c r="AU8" s="5">
        <v>96</v>
      </c>
      <c r="AV8" s="5">
        <v>224</v>
      </c>
      <c r="AW8" s="5">
        <v>244</v>
      </c>
      <c r="AX8" s="5">
        <v>265</v>
      </c>
      <c r="AY8" s="5">
        <v>392</v>
      </c>
      <c r="AZ8" s="5">
        <v>275</v>
      </c>
      <c r="BA8" s="5">
        <v>167</v>
      </c>
      <c r="BB8" s="5">
        <v>316</v>
      </c>
      <c r="BC8" s="5">
        <v>433</v>
      </c>
      <c r="BD8" s="5">
        <v>324</v>
      </c>
      <c r="BE8" s="5">
        <v>328</v>
      </c>
      <c r="BF8" s="5">
        <v>448</v>
      </c>
      <c r="BG8" s="5">
        <v>587</v>
      </c>
      <c r="BH8" s="5">
        <v>426</v>
      </c>
      <c r="BI8" s="5">
        <v>510</v>
      </c>
      <c r="BJ8" s="5">
        <v>473</v>
      </c>
      <c r="BK8" s="5">
        <v>633</v>
      </c>
      <c r="BL8" s="5">
        <v>488</v>
      </c>
      <c r="BM8" s="5">
        <v>486</v>
      </c>
      <c r="BN8" s="5">
        <v>496</v>
      </c>
      <c r="BO8" s="5">
        <v>776</v>
      </c>
      <c r="BP8" s="5">
        <v>367</v>
      </c>
      <c r="BQ8" s="5">
        <v>606</v>
      </c>
      <c r="BR8" s="5">
        <v>360</v>
      </c>
      <c r="BS8" s="5">
        <v>878</v>
      </c>
      <c r="BT8" s="5">
        <v>506</v>
      </c>
      <c r="BU8" s="5">
        <v>788</v>
      </c>
      <c r="BV8" s="5">
        <v>714</v>
      </c>
    </row>
    <row r="10" spans="3:74" x14ac:dyDescent="0.25">
      <c r="BD10" s="5">
        <f>BD11-BD12</f>
        <v>-1145</v>
      </c>
    </row>
    <row r="11" spans="3:74" x14ac:dyDescent="0.25">
      <c r="C11" t="s">
        <v>391</v>
      </c>
      <c r="D11" t="s">
        <v>392</v>
      </c>
      <c r="E11" t="s">
        <v>393</v>
      </c>
      <c r="F11" t="s">
        <v>394</v>
      </c>
      <c r="G11" t="s">
        <v>147</v>
      </c>
      <c r="H11" t="s">
        <v>376</v>
      </c>
      <c r="I11" t="s">
        <v>146</v>
      </c>
      <c r="J11" s="5">
        <v>17</v>
      </c>
      <c r="K11" s="5">
        <v>4</v>
      </c>
      <c r="L11" s="5">
        <v>55</v>
      </c>
      <c r="M11" s="5">
        <v>3</v>
      </c>
      <c r="N11" s="5">
        <v>16</v>
      </c>
      <c r="O11" s="5">
        <v>1</v>
      </c>
      <c r="P11" s="5">
        <v>45</v>
      </c>
      <c r="Q11" s="5">
        <v>1</v>
      </c>
      <c r="R11" s="5">
        <v>1</v>
      </c>
      <c r="S11" s="5">
        <v>22</v>
      </c>
      <c r="T11" s="5">
        <v>28</v>
      </c>
      <c r="U11" s="5">
        <v>-4</v>
      </c>
      <c r="V11" s="5">
        <v>1</v>
      </c>
      <c r="W11" s="5">
        <v>0</v>
      </c>
      <c r="X11" s="5">
        <v>33</v>
      </c>
      <c r="Y11" s="5">
        <v>-1</v>
      </c>
      <c r="Z11" s="5">
        <v>2</v>
      </c>
      <c r="AA11" s="5">
        <v>16</v>
      </c>
      <c r="AB11" s="5">
        <v>40</v>
      </c>
      <c r="AC11" s="5">
        <v>-1</v>
      </c>
      <c r="AD11" s="5">
        <v>10</v>
      </c>
      <c r="AE11" s="5">
        <v>3</v>
      </c>
      <c r="AF11" s="5">
        <v>39</v>
      </c>
      <c r="AG11" s="5">
        <v>1</v>
      </c>
      <c r="AH11" s="5">
        <v>83</v>
      </c>
      <c r="AI11" s="5">
        <v>32</v>
      </c>
      <c r="AJ11" s="5">
        <v>109</v>
      </c>
      <c r="AK11" s="5">
        <v>141</v>
      </c>
      <c r="AL11" s="5">
        <v>45</v>
      </c>
      <c r="AM11" s="5">
        <v>44</v>
      </c>
      <c r="AN11" s="5">
        <v>79</v>
      </c>
      <c r="AO11" s="5">
        <v>6</v>
      </c>
      <c r="AP11" s="5">
        <v>24</v>
      </c>
      <c r="AQ11" s="5">
        <v>21</v>
      </c>
      <c r="AR11" s="5">
        <v>47</v>
      </c>
      <c r="AS11" s="5">
        <v>19</v>
      </c>
      <c r="AT11" s="5">
        <v>37</v>
      </c>
      <c r="AU11" s="5">
        <v>139</v>
      </c>
      <c r="AV11" s="5">
        <v>80</v>
      </c>
      <c r="AW11" s="5">
        <v>27</v>
      </c>
      <c r="AX11" s="5">
        <v>42</v>
      </c>
      <c r="AY11" s="5">
        <v>32</v>
      </c>
      <c r="AZ11" s="5">
        <v>40</v>
      </c>
      <c r="BA11" s="5">
        <v>50</v>
      </c>
      <c r="BB11" s="5">
        <v>46</v>
      </c>
      <c r="BC11" s="5">
        <v>94</v>
      </c>
      <c r="BD11" s="5">
        <v>70</v>
      </c>
      <c r="BE11" s="5">
        <v>43</v>
      </c>
      <c r="BF11" s="5">
        <v>34</v>
      </c>
      <c r="BG11" s="5">
        <v>27</v>
      </c>
      <c r="BH11" s="5">
        <v>81</v>
      </c>
      <c r="BI11" s="5">
        <v>49</v>
      </c>
      <c r="BJ11" s="5">
        <v>27</v>
      </c>
      <c r="BK11" s="5">
        <v>49</v>
      </c>
      <c r="BL11" s="5">
        <v>38</v>
      </c>
      <c r="BM11" s="5">
        <v>77</v>
      </c>
      <c r="BN11" s="5">
        <v>95</v>
      </c>
      <c r="BO11" s="5">
        <v>57</v>
      </c>
      <c r="BP11" s="5">
        <v>45</v>
      </c>
      <c r="BQ11" s="5">
        <v>81</v>
      </c>
      <c r="BR11" s="5">
        <v>59</v>
      </c>
      <c r="BS11" s="5">
        <v>172</v>
      </c>
      <c r="BT11" s="5">
        <v>137</v>
      </c>
      <c r="BU11" s="5">
        <v>86</v>
      </c>
      <c r="BV11" s="5">
        <v>63</v>
      </c>
    </row>
    <row r="12" spans="3:74" x14ac:dyDescent="0.25">
      <c r="C12" t="s">
        <v>395</v>
      </c>
      <c r="D12" t="s">
        <v>396</v>
      </c>
      <c r="E12" t="s">
        <v>397</v>
      </c>
      <c r="F12" t="s">
        <v>394</v>
      </c>
      <c r="G12" t="s">
        <v>147</v>
      </c>
      <c r="H12" t="s">
        <v>376</v>
      </c>
      <c r="I12" t="s">
        <v>146</v>
      </c>
      <c r="J12" s="5">
        <v>-1661</v>
      </c>
      <c r="K12" s="5">
        <v>937</v>
      </c>
      <c r="L12" s="5">
        <v>-817</v>
      </c>
      <c r="M12" s="5">
        <v>-2262</v>
      </c>
      <c r="N12" s="5">
        <v>-1876</v>
      </c>
      <c r="O12" s="5">
        <v>168</v>
      </c>
      <c r="P12" s="5">
        <v>-3477</v>
      </c>
      <c r="Q12" s="5">
        <v>-67</v>
      </c>
      <c r="R12" s="5">
        <v>-2005</v>
      </c>
      <c r="S12" s="5">
        <v>259</v>
      </c>
      <c r="T12" s="5">
        <v>-519</v>
      </c>
      <c r="U12" s="5">
        <v>-523</v>
      </c>
      <c r="V12" s="5">
        <v>-4668</v>
      </c>
      <c r="W12" s="5">
        <v>-734</v>
      </c>
      <c r="X12" s="5">
        <v>-4239</v>
      </c>
      <c r="Y12" s="5">
        <v>-6524</v>
      </c>
      <c r="Z12" s="5">
        <v>-4503</v>
      </c>
      <c r="AA12" s="5">
        <v>432</v>
      </c>
      <c r="AB12" s="5">
        <v>-2167</v>
      </c>
      <c r="AC12" s="5">
        <v>-3083</v>
      </c>
      <c r="AD12" s="5">
        <v>-5612</v>
      </c>
      <c r="AE12" s="5">
        <v>-2498</v>
      </c>
      <c r="AF12" s="5">
        <v>-5404</v>
      </c>
      <c r="AG12" s="5">
        <v>-4984</v>
      </c>
      <c r="AH12" s="5">
        <v>-4731</v>
      </c>
      <c r="AI12" s="5">
        <v>-3104</v>
      </c>
      <c r="AJ12" s="5">
        <v>-4656</v>
      </c>
      <c r="AK12" s="5">
        <v>-1473</v>
      </c>
      <c r="AL12" s="5">
        <v>-6224</v>
      </c>
      <c r="AM12" s="5">
        <v>-6971</v>
      </c>
      <c r="AN12" s="5">
        <v>-8878</v>
      </c>
      <c r="AO12" s="5">
        <v>-9200</v>
      </c>
      <c r="AP12" s="5">
        <v>-9547</v>
      </c>
      <c r="AQ12" s="5">
        <v>-9002</v>
      </c>
      <c r="AR12" s="5">
        <v>-7853</v>
      </c>
      <c r="AS12" s="5">
        <v>-1635</v>
      </c>
      <c r="AT12" s="5">
        <v>-3639</v>
      </c>
      <c r="AU12" s="5">
        <v>-2373</v>
      </c>
      <c r="AV12" s="5">
        <v>-1538</v>
      </c>
      <c r="AW12" s="5">
        <v>2431</v>
      </c>
      <c r="AX12" s="5">
        <v>-512</v>
      </c>
      <c r="AY12" s="5">
        <v>3825</v>
      </c>
      <c r="AZ12" s="5">
        <v>-376</v>
      </c>
      <c r="BA12" s="5">
        <v>-1576</v>
      </c>
      <c r="BB12" s="5">
        <v>1410</v>
      </c>
      <c r="BC12" s="5">
        <v>1305</v>
      </c>
      <c r="BD12" s="5">
        <v>1215</v>
      </c>
      <c r="BE12" s="5">
        <v>572</v>
      </c>
      <c r="BF12" s="5">
        <v>-1739</v>
      </c>
      <c r="BG12" s="5">
        <v>-3118</v>
      </c>
      <c r="BH12" s="5">
        <v>-3456</v>
      </c>
      <c r="BI12" s="5">
        <v>876</v>
      </c>
      <c r="BJ12" s="5">
        <v>-7538</v>
      </c>
      <c r="BK12" s="5">
        <v>-7003</v>
      </c>
      <c r="BL12" s="5">
        <v>-7307</v>
      </c>
      <c r="BM12" s="5">
        <v>-4066</v>
      </c>
      <c r="BN12" s="5">
        <v>-833</v>
      </c>
      <c r="BO12" s="5">
        <v>2578</v>
      </c>
      <c r="BP12" s="5">
        <v>-814</v>
      </c>
      <c r="BQ12" s="5">
        <v>1388</v>
      </c>
      <c r="BR12" s="5">
        <v>-7189</v>
      </c>
      <c r="BS12" s="5">
        <v>-3348</v>
      </c>
      <c r="BT12" s="5">
        <v>-3658</v>
      </c>
      <c r="BU12" s="5">
        <v>2193</v>
      </c>
      <c r="BV12" s="5">
        <v>-2398</v>
      </c>
    </row>
    <row r="13" spans="3:74" x14ac:dyDescent="0.25">
      <c r="C13" t="s">
        <v>398</v>
      </c>
      <c r="D13" t="s">
        <v>399</v>
      </c>
      <c r="E13" t="s">
        <v>400</v>
      </c>
      <c r="F13" t="s">
        <v>394</v>
      </c>
      <c r="G13" t="s">
        <v>147</v>
      </c>
      <c r="H13" t="s">
        <v>376</v>
      </c>
      <c r="I13" t="s">
        <v>146</v>
      </c>
      <c r="J13" s="5">
        <v>-3159</v>
      </c>
      <c r="K13" s="5">
        <v>-1899</v>
      </c>
      <c r="L13" s="5">
        <v>-2906</v>
      </c>
      <c r="M13" s="5">
        <v>-2404</v>
      </c>
      <c r="N13" s="5">
        <v>-3214</v>
      </c>
      <c r="O13" s="5">
        <v>-632</v>
      </c>
      <c r="P13" s="5">
        <v>-1390</v>
      </c>
      <c r="Q13" s="5">
        <v>-4116</v>
      </c>
      <c r="R13" s="5">
        <v>-4154</v>
      </c>
      <c r="S13" s="5">
        <v>-3612</v>
      </c>
      <c r="T13" s="5">
        <v>-3106</v>
      </c>
      <c r="U13" s="5">
        <v>-3397</v>
      </c>
      <c r="V13" s="5">
        <v>-1941</v>
      </c>
      <c r="W13" s="5">
        <v>-2920</v>
      </c>
      <c r="X13" s="5">
        <v>-2513</v>
      </c>
      <c r="Y13" s="5">
        <v>-1557</v>
      </c>
      <c r="Z13" s="5">
        <v>-39</v>
      </c>
      <c r="AA13" s="5">
        <v>1744</v>
      </c>
      <c r="AB13" s="5">
        <v>-2055</v>
      </c>
      <c r="AC13" s="5">
        <v>-2795</v>
      </c>
      <c r="AD13" s="5">
        <v>-3273</v>
      </c>
      <c r="AE13" s="5">
        <v>-3175</v>
      </c>
      <c r="AF13" s="5">
        <v>-2450</v>
      </c>
      <c r="AG13" s="5">
        <v>-1985</v>
      </c>
      <c r="AH13" s="5">
        <v>-1852</v>
      </c>
      <c r="AI13" s="5">
        <v>407</v>
      </c>
      <c r="AJ13" s="5">
        <v>-703</v>
      </c>
      <c r="AK13" s="5">
        <v>674</v>
      </c>
      <c r="AL13" s="5">
        <v>-3174</v>
      </c>
      <c r="AM13" s="5">
        <v>-2021</v>
      </c>
      <c r="AN13" s="5">
        <v>-3043</v>
      </c>
      <c r="AO13" s="5">
        <v>-2124</v>
      </c>
      <c r="AP13" s="5">
        <v>-2471</v>
      </c>
      <c r="AQ13" s="5">
        <v>-2211</v>
      </c>
      <c r="AR13" s="5">
        <v>-2656</v>
      </c>
      <c r="AS13" s="5">
        <v>-2654</v>
      </c>
      <c r="AT13" s="5">
        <v>-1969</v>
      </c>
      <c r="AU13" s="5">
        <v>-381</v>
      </c>
      <c r="AV13" s="5">
        <v>-1231</v>
      </c>
      <c r="AW13" s="5">
        <v>-1546</v>
      </c>
      <c r="AX13" s="5">
        <v>-1594</v>
      </c>
      <c r="AY13" s="5">
        <v>387</v>
      </c>
      <c r="AZ13" s="5">
        <v>-1250</v>
      </c>
      <c r="BA13" s="5">
        <v>-1250</v>
      </c>
      <c r="BB13" s="5">
        <v>-2214</v>
      </c>
      <c r="BC13" s="5">
        <v>-1583</v>
      </c>
      <c r="BD13" s="5">
        <v>-339</v>
      </c>
      <c r="BE13" s="5">
        <v>-979</v>
      </c>
      <c r="BF13" s="5">
        <v>-3055</v>
      </c>
      <c r="BG13" s="5">
        <v>-4290</v>
      </c>
      <c r="BH13" s="5">
        <v>-5421</v>
      </c>
      <c r="BI13" s="5">
        <v>-349</v>
      </c>
      <c r="BJ13" s="5">
        <v>-4006</v>
      </c>
      <c r="BK13" s="5">
        <v>-5631</v>
      </c>
      <c r="BL13" s="5">
        <v>-6798</v>
      </c>
      <c r="BM13" s="5">
        <v>-6809</v>
      </c>
      <c r="BN13" s="5">
        <v>-5022</v>
      </c>
      <c r="BO13" s="5">
        <v>-1670</v>
      </c>
      <c r="BP13" s="5">
        <v>-3117</v>
      </c>
      <c r="BQ13" s="5">
        <v>218</v>
      </c>
      <c r="BR13" s="5">
        <v>-313</v>
      </c>
      <c r="BS13" s="5">
        <v>-1984</v>
      </c>
      <c r="BT13" s="5">
        <v>-4302</v>
      </c>
      <c r="BU13" s="5">
        <v>4981</v>
      </c>
      <c r="BV13" s="5">
        <v>-1291</v>
      </c>
    </row>
    <row r="14" spans="3:74" x14ac:dyDescent="0.25">
      <c r="C14" t="s">
        <v>401</v>
      </c>
      <c r="D14" t="s">
        <v>402</v>
      </c>
      <c r="E14" t="s">
        <v>403</v>
      </c>
      <c r="F14" t="s">
        <v>394</v>
      </c>
      <c r="G14" t="s">
        <v>147</v>
      </c>
      <c r="H14" t="s">
        <v>376</v>
      </c>
      <c r="I14" t="s">
        <v>146</v>
      </c>
      <c r="J14" s="5">
        <v>-211</v>
      </c>
      <c r="K14" s="5">
        <v>-1083</v>
      </c>
      <c r="L14" s="5">
        <v>-309</v>
      </c>
      <c r="M14" s="5">
        <v>-1659</v>
      </c>
      <c r="N14" s="5">
        <v>-695</v>
      </c>
      <c r="O14" s="5">
        <v>-85</v>
      </c>
      <c r="P14" s="5">
        <v>-143</v>
      </c>
      <c r="Q14" s="5">
        <v>780</v>
      </c>
      <c r="R14" s="5">
        <v>-1906</v>
      </c>
      <c r="S14" s="5">
        <v>426</v>
      </c>
      <c r="T14" s="5">
        <v>1401</v>
      </c>
      <c r="U14" s="5">
        <v>229</v>
      </c>
      <c r="V14" s="5">
        <v>-278</v>
      </c>
      <c r="W14" s="5">
        <v>945</v>
      </c>
      <c r="X14" s="5">
        <v>190</v>
      </c>
      <c r="Y14" s="5">
        <v>-1289</v>
      </c>
      <c r="Z14" s="5">
        <v>-1164</v>
      </c>
      <c r="AA14" s="5">
        <v>4127</v>
      </c>
      <c r="AB14" s="5">
        <v>-445</v>
      </c>
      <c r="AC14" s="5">
        <v>-179</v>
      </c>
      <c r="AD14" s="5">
        <v>-1185</v>
      </c>
      <c r="AE14" s="5">
        <v>-1308</v>
      </c>
      <c r="AF14" s="5">
        <v>-414</v>
      </c>
      <c r="AG14" s="5">
        <v>2470</v>
      </c>
      <c r="AH14" s="5">
        <v>-4678</v>
      </c>
      <c r="AI14" s="5">
        <v>-10691</v>
      </c>
      <c r="AJ14" s="5">
        <v>-7707</v>
      </c>
      <c r="AK14" s="5">
        <v>-12178</v>
      </c>
      <c r="AL14" s="5">
        <v>-14043</v>
      </c>
      <c r="AM14" s="5">
        <v>-3760</v>
      </c>
      <c r="AN14" s="5">
        <v>-7208</v>
      </c>
      <c r="AO14" s="5">
        <v>-10910</v>
      </c>
      <c r="AP14" s="5">
        <v>-12953</v>
      </c>
      <c r="AQ14" s="5">
        <v>1874</v>
      </c>
      <c r="AR14" s="5">
        <v>1902</v>
      </c>
      <c r="AS14" s="5">
        <v>2253</v>
      </c>
      <c r="AT14" s="5">
        <v>362</v>
      </c>
      <c r="AU14" s="5">
        <v>6026</v>
      </c>
      <c r="AV14" s="5">
        <v>-111</v>
      </c>
      <c r="AW14" s="5">
        <v>831</v>
      </c>
      <c r="AX14" s="5">
        <v>-676</v>
      </c>
      <c r="AY14" s="5">
        <v>1259</v>
      </c>
      <c r="AZ14" s="5">
        <v>2268</v>
      </c>
      <c r="BA14" s="5">
        <v>-1281</v>
      </c>
      <c r="BB14" s="5">
        <v>1892</v>
      </c>
      <c r="BC14" s="5">
        <v>1246</v>
      </c>
      <c r="BD14" s="5">
        <v>986</v>
      </c>
      <c r="BE14" s="5">
        <v>818</v>
      </c>
      <c r="BF14" s="5">
        <v>2333</v>
      </c>
      <c r="BG14" s="5">
        <v>1854</v>
      </c>
      <c r="BH14" s="5">
        <v>2057</v>
      </c>
      <c r="BI14" s="5">
        <v>1219</v>
      </c>
      <c r="BJ14" s="5">
        <v>3001</v>
      </c>
      <c r="BK14" s="5">
        <v>966</v>
      </c>
      <c r="BL14" s="5">
        <v>2422</v>
      </c>
      <c r="BM14" s="5">
        <v>520</v>
      </c>
      <c r="BN14" s="5">
        <v>-2755</v>
      </c>
      <c r="BO14" s="5">
        <v>-583</v>
      </c>
      <c r="BP14" s="5">
        <v>4136</v>
      </c>
      <c r="BQ14" s="5">
        <v>3331</v>
      </c>
      <c r="BR14" s="5">
        <v>3251</v>
      </c>
      <c r="BS14" s="5">
        <v>-1976</v>
      </c>
      <c r="BT14" s="5">
        <v>3471</v>
      </c>
      <c r="BU14" s="5">
        <v>-4468</v>
      </c>
      <c r="BV14" s="5">
        <v>657</v>
      </c>
    </row>
    <row r="15" spans="3:74" x14ac:dyDescent="0.25">
      <c r="C15" t="s">
        <v>404</v>
      </c>
      <c r="D15" t="s">
        <v>405</v>
      </c>
      <c r="E15" t="s">
        <v>406</v>
      </c>
      <c r="F15" t="s">
        <v>394</v>
      </c>
      <c r="G15" t="s">
        <v>147</v>
      </c>
      <c r="H15" t="s">
        <v>376</v>
      </c>
      <c r="I15" t="s">
        <v>146</v>
      </c>
      <c r="J15" s="5">
        <v>23</v>
      </c>
      <c r="K15" s="5">
        <v>84</v>
      </c>
      <c r="L15" s="5">
        <v>-799</v>
      </c>
      <c r="M15" s="5">
        <v>-21</v>
      </c>
      <c r="N15" s="5">
        <v>36</v>
      </c>
      <c r="O15" s="5">
        <v>161</v>
      </c>
      <c r="P15" s="5">
        <v>33</v>
      </c>
      <c r="Q15" s="5">
        <v>2126</v>
      </c>
      <c r="R15" s="5">
        <v>9</v>
      </c>
      <c r="S15" s="5">
        <v>1</v>
      </c>
      <c r="T15" s="5">
        <v>26</v>
      </c>
      <c r="U15" s="5">
        <v>2873</v>
      </c>
      <c r="V15" s="5">
        <v>-12</v>
      </c>
      <c r="W15" s="5">
        <v>-14</v>
      </c>
      <c r="X15" s="5">
        <v>2</v>
      </c>
      <c r="Y15" s="5">
        <v>-7</v>
      </c>
      <c r="Z15" s="5">
        <v>36</v>
      </c>
      <c r="AA15" s="5">
        <v>-163</v>
      </c>
      <c r="AB15" s="5">
        <v>-34</v>
      </c>
      <c r="AC15" s="5">
        <v>-6</v>
      </c>
      <c r="AD15" s="5">
        <v>-12</v>
      </c>
      <c r="AE15" s="5">
        <v>-5</v>
      </c>
      <c r="AF15" s="5">
        <v>-1</v>
      </c>
      <c r="AG15" s="5">
        <v>-7</v>
      </c>
      <c r="AH15" s="5">
        <v>32</v>
      </c>
      <c r="AI15" s="5">
        <v>366</v>
      </c>
      <c r="AJ15" s="5">
        <v>-32</v>
      </c>
      <c r="AK15" s="5">
        <v>-144</v>
      </c>
      <c r="AL15" s="5">
        <v>-140</v>
      </c>
      <c r="AM15" s="5">
        <v>7</v>
      </c>
      <c r="AN15" s="5">
        <v>11</v>
      </c>
      <c r="AO15" s="5">
        <v>26</v>
      </c>
      <c r="AP15" s="5">
        <v>-27</v>
      </c>
      <c r="AQ15" s="5">
        <v>-4</v>
      </c>
      <c r="AR15" s="5">
        <v>30</v>
      </c>
      <c r="AS15" s="5">
        <v>-32</v>
      </c>
      <c r="AT15" s="5">
        <v>-24</v>
      </c>
      <c r="AU15" s="5">
        <v>-45</v>
      </c>
      <c r="AV15" s="5">
        <v>33</v>
      </c>
      <c r="AW15" s="5">
        <v>11</v>
      </c>
      <c r="AX15" s="5">
        <v>0</v>
      </c>
      <c r="AY15" s="5">
        <v>3</v>
      </c>
      <c r="AZ15" s="5">
        <v>-1</v>
      </c>
      <c r="BA15" s="5">
        <v>7</v>
      </c>
      <c r="BB15" s="5">
        <v>-3</v>
      </c>
      <c r="BC15" s="5">
        <v>0</v>
      </c>
      <c r="BD15" s="5">
        <v>0</v>
      </c>
      <c r="BE15" s="5">
        <v>-13</v>
      </c>
      <c r="BF15" s="5">
        <v>1</v>
      </c>
      <c r="BG15" s="5">
        <v>2</v>
      </c>
      <c r="BH15" s="5">
        <v>-5</v>
      </c>
      <c r="BI15" s="5">
        <v>6</v>
      </c>
      <c r="BJ15" s="5">
        <v>3</v>
      </c>
      <c r="BK15" s="5">
        <v>-2</v>
      </c>
      <c r="BL15" s="5">
        <v>-2</v>
      </c>
      <c r="BM15" s="5">
        <v>10</v>
      </c>
      <c r="BN15" s="5">
        <v>1</v>
      </c>
      <c r="BO15" s="5">
        <v>-6</v>
      </c>
      <c r="BP15" s="5">
        <v>18</v>
      </c>
      <c r="BQ15" s="5">
        <v>6</v>
      </c>
      <c r="BR15" s="5">
        <v>-9</v>
      </c>
      <c r="BS15" s="5">
        <v>-6</v>
      </c>
      <c r="BT15" s="5">
        <v>-21</v>
      </c>
      <c r="BU15" s="5">
        <v>39</v>
      </c>
      <c r="BV15" s="5">
        <v>-10</v>
      </c>
    </row>
    <row r="16" spans="3:74" x14ac:dyDescent="0.25">
      <c r="C16" t="s">
        <v>407</v>
      </c>
      <c r="D16" t="s">
        <v>408</v>
      </c>
      <c r="E16" t="s">
        <v>409</v>
      </c>
      <c r="F16" t="s">
        <v>394</v>
      </c>
      <c r="G16" t="s">
        <v>147</v>
      </c>
      <c r="H16" t="s">
        <v>376</v>
      </c>
      <c r="I16" t="s">
        <v>146</v>
      </c>
      <c r="J16" s="5">
        <v>1990</v>
      </c>
      <c r="K16" s="5">
        <v>1730</v>
      </c>
      <c r="L16" s="5">
        <v>1919</v>
      </c>
      <c r="M16" s="5">
        <v>744</v>
      </c>
      <c r="N16" s="5">
        <v>3156</v>
      </c>
      <c r="O16" s="5">
        <v>498</v>
      </c>
      <c r="P16" s="5">
        <v>1177</v>
      </c>
      <c r="Q16" s="5">
        <v>3164</v>
      </c>
      <c r="R16" s="5">
        <v>3376</v>
      </c>
      <c r="S16" s="5">
        <v>4143</v>
      </c>
      <c r="T16" s="5">
        <v>2886</v>
      </c>
      <c r="U16" s="5">
        <v>1322</v>
      </c>
      <c r="V16" s="5">
        <v>148</v>
      </c>
      <c r="W16" s="5">
        <v>3966</v>
      </c>
      <c r="X16" s="5">
        <v>668</v>
      </c>
      <c r="Y16" s="5">
        <v>274</v>
      </c>
      <c r="Z16" s="5">
        <v>397</v>
      </c>
      <c r="AA16" s="5">
        <v>-7460</v>
      </c>
      <c r="AB16" s="5">
        <v>1350</v>
      </c>
      <c r="AC16" s="5">
        <v>-3829</v>
      </c>
      <c r="AD16" s="5">
        <v>-1481</v>
      </c>
      <c r="AE16" s="5">
        <v>-309</v>
      </c>
      <c r="AF16" s="5">
        <v>-2313</v>
      </c>
      <c r="AG16" s="5">
        <v>1856</v>
      </c>
      <c r="AH16" s="5">
        <v>-1778</v>
      </c>
      <c r="AI16" s="5">
        <v>5741</v>
      </c>
      <c r="AJ16" s="5">
        <v>4356</v>
      </c>
      <c r="AK16" s="5">
        <v>-87</v>
      </c>
      <c r="AL16" s="5">
        <v>194</v>
      </c>
      <c r="AM16" s="5">
        <v>1607</v>
      </c>
      <c r="AN16" s="5">
        <v>-523</v>
      </c>
      <c r="AO16" s="5">
        <v>-728</v>
      </c>
      <c r="AP16" s="5">
        <v>-250</v>
      </c>
      <c r="AQ16" s="5">
        <v>-9402</v>
      </c>
      <c r="AR16" s="5">
        <v>5157</v>
      </c>
      <c r="AS16" s="5">
        <v>-17872</v>
      </c>
      <c r="AT16" s="5">
        <v>-1964</v>
      </c>
      <c r="AU16" s="5">
        <v>-6200</v>
      </c>
      <c r="AV16" s="5">
        <v>14594</v>
      </c>
      <c r="AW16" s="5">
        <v>7868</v>
      </c>
      <c r="AX16" s="5">
        <v>2847</v>
      </c>
      <c r="AY16" s="5">
        <v>2968</v>
      </c>
      <c r="AZ16" s="5">
        <v>1643</v>
      </c>
      <c r="BA16" s="5">
        <v>3758</v>
      </c>
      <c r="BB16" s="5">
        <v>1055</v>
      </c>
      <c r="BC16" s="5">
        <v>-760</v>
      </c>
      <c r="BD16" s="5">
        <v>116</v>
      </c>
      <c r="BE16" s="5">
        <v>4386</v>
      </c>
      <c r="BF16" s="5">
        <v>-4210</v>
      </c>
      <c r="BG16" s="5">
        <v>-1967</v>
      </c>
      <c r="BH16" s="5">
        <v>3438</v>
      </c>
      <c r="BI16" s="5">
        <v>-5968</v>
      </c>
      <c r="BJ16" s="5">
        <v>-532</v>
      </c>
      <c r="BK16" s="5">
        <v>7721</v>
      </c>
      <c r="BL16" s="5">
        <v>-2041</v>
      </c>
      <c r="BM16" s="5">
        <v>6937</v>
      </c>
      <c r="BN16" s="5">
        <v>2864</v>
      </c>
      <c r="BO16" s="5">
        <v>3143</v>
      </c>
      <c r="BP16" s="5">
        <v>1119</v>
      </c>
      <c r="BQ16" s="5">
        <v>-5459</v>
      </c>
      <c r="BR16" s="5">
        <v>-4490</v>
      </c>
      <c r="BS16" s="5">
        <v>-13655</v>
      </c>
      <c r="BT16" s="5">
        <v>-2351</v>
      </c>
      <c r="BU16" s="5">
        <v>2609</v>
      </c>
      <c r="BV16" s="5">
        <v>-1764</v>
      </c>
    </row>
    <row r="17" spans="3:74" x14ac:dyDescent="0.25">
      <c r="C17" t="s">
        <v>410</v>
      </c>
      <c r="D17" t="s">
        <v>411</v>
      </c>
      <c r="E17" t="s">
        <v>412</v>
      </c>
      <c r="F17" t="s">
        <v>394</v>
      </c>
      <c r="G17" t="s">
        <v>147</v>
      </c>
      <c r="H17" t="s">
        <v>376</v>
      </c>
      <c r="I17" t="s">
        <v>146</v>
      </c>
      <c r="J17" s="5">
        <v>-304</v>
      </c>
      <c r="K17" s="5">
        <v>2104</v>
      </c>
      <c r="L17" s="5">
        <v>1279</v>
      </c>
      <c r="M17" s="5">
        <v>1078</v>
      </c>
      <c r="N17" s="5">
        <v>-1159</v>
      </c>
      <c r="O17" s="5">
        <v>226</v>
      </c>
      <c r="P17" s="5">
        <v>-3154</v>
      </c>
      <c r="Q17" s="5">
        <v>-2021</v>
      </c>
      <c r="R17" s="5">
        <v>670</v>
      </c>
      <c r="S17" s="5">
        <v>-699</v>
      </c>
      <c r="T17" s="5">
        <v>-1726</v>
      </c>
      <c r="U17" s="5">
        <v>-1549</v>
      </c>
      <c r="V17" s="5">
        <v>-2583</v>
      </c>
      <c r="W17" s="5">
        <v>-2711</v>
      </c>
      <c r="X17" s="5">
        <v>-2585</v>
      </c>
      <c r="Y17" s="5">
        <v>-3945</v>
      </c>
      <c r="Z17" s="5">
        <v>-3733</v>
      </c>
      <c r="AA17" s="5">
        <v>2184</v>
      </c>
      <c r="AB17" s="5">
        <v>-983</v>
      </c>
      <c r="AC17" s="5">
        <v>3727</v>
      </c>
      <c r="AD17" s="5">
        <v>339</v>
      </c>
      <c r="AE17" s="5">
        <v>2300</v>
      </c>
      <c r="AF17" s="5">
        <v>-227</v>
      </c>
      <c r="AG17" s="5">
        <v>-7318</v>
      </c>
      <c r="AH17" s="5">
        <v>3545</v>
      </c>
      <c r="AI17" s="5">
        <v>1074</v>
      </c>
      <c r="AJ17" s="5">
        <v>-569</v>
      </c>
      <c r="AK17" s="5">
        <v>10262</v>
      </c>
      <c r="AL17" s="5">
        <v>10938</v>
      </c>
      <c r="AM17" s="5">
        <v>-2804</v>
      </c>
      <c r="AN17" s="5">
        <v>1885</v>
      </c>
      <c r="AO17" s="5">
        <v>4537</v>
      </c>
      <c r="AP17" s="5">
        <v>6153</v>
      </c>
      <c r="AQ17" s="5">
        <v>741</v>
      </c>
      <c r="AR17" s="5">
        <v>-12287</v>
      </c>
      <c r="AS17" s="5">
        <v>16670</v>
      </c>
      <c r="AT17" s="5">
        <v>-45</v>
      </c>
      <c r="AU17" s="5">
        <v>-1773</v>
      </c>
      <c r="AV17" s="5">
        <v>-14823</v>
      </c>
      <c r="AW17" s="5">
        <v>-4733</v>
      </c>
      <c r="AX17" s="5">
        <v>-1089</v>
      </c>
      <c r="AY17" s="5">
        <v>-793</v>
      </c>
      <c r="AZ17" s="5">
        <v>-3036</v>
      </c>
      <c r="BA17" s="5">
        <v>-2809</v>
      </c>
      <c r="BB17" s="5">
        <v>680</v>
      </c>
      <c r="BC17" s="5">
        <v>2403</v>
      </c>
      <c r="BD17" s="5">
        <v>452</v>
      </c>
      <c r="BE17" s="5">
        <v>-3640</v>
      </c>
      <c r="BF17" s="5">
        <v>3192</v>
      </c>
      <c r="BG17" s="5">
        <v>1283</v>
      </c>
      <c r="BH17" s="5">
        <v>-3525</v>
      </c>
      <c r="BI17" s="5">
        <v>5969</v>
      </c>
      <c r="BJ17" s="5">
        <v>-6004</v>
      </c>
      <c r="BK17" s="5">
        <v>-10058</v>
      </c>
      <c r="BL17" s="5">
        <v>-889</v>
      </c>
      <c r="BM17" s="5">
        <v>-4724</v>
      </c>
      <c r="BN17" s="5">
        <v>4078</v>
      </c>
      <c r="BO17" s="5">
        <v>1694</v>
      </c>
      <c r="BP17" s="5">
        <v>-2971</v>
      </c>
      <c r="BQ17" s="5">
        <v>3292</v>
      </c>
      <c r="BR17" s="5">
        <v>-5628</v>
      </c>
      <c r="BS17" s="5">
        <v>14271</v>
      </c>
      <c r="BT17" s="5">
        <v>-454</v>
      </c>
      <c r="BU17" s="5">
        <v>-968</v>
      </c>
      <c r="BV17" s="5">
        <v>11</v>
      </c>
    </row>
    <row r="19" spans="3:74" x14ac:dyDescent="0.25">
      <c r="C19" t="s">
        <v>413</v>
      </c>
      <c r="D19" t="s">
        <v>414</v>
      </c>
      <c r="E19" t="s">
        <v>415</v>
      </c>
      <c r="F19" t="s">
        <v>394</v>
      </c>
      <c r="G19" t="s">
        <v>147</v>
      </c>
      <c r="H19" t="s">
        <v>376</v>
      </c>
      <c r="I19" t="s">
        <v>146</v>
      </c>
      <c r="J19" s="5">
        <v>-46</v>
      </c>
      <c r="K19" s="5">
        <v>-1168</v>
      </c>
      <c r="L19" s="5">
        <v>-342</v>
      </c>
      <c r="M19" s="5">
        <v>-702</v>
      </c>
      <c r="N19" s="5">
        <v>349</v>
      </c>
      <c r="O19" s="5">
        <v>-342</v>
      </c>
      <c r="P19" s="5">
        <v>-2006</v>
      </c>
      <c r="Q19" s="5">
        <v>2023</v>
      </c>
      <c r="R19" s="5">
        <v>-223</v>
      </c>
      <c r="S19" s="5">
        <v>-262</v>
      </c>
      <c r="T19" s="5">
        <v>-614</v>
      </c>
      <c r="U19" s="5">
        <v>402</v>
      </c>
      <c r="V19" s="5">
        <v>-783</v>
      </c>
      <c r="W19" s="5">
        <v>-409</v>
      </c>
      <c r="X19" s="5">
        <v>-1249</v>
      </c>
      <c r="Y19" s="5">
        <v>-633</v>
      </c>
      <c r="Z19" s="5">
        <v>1543</v>
      </c>
      <c r="AA19" s="5">
        <v>-231</v>
      </c>
      <c r="AB19" s="5">
        <v>-367</v>
      </c>
      <c r="AC19" s="5">
        <v>-1144</v>
      </c>
      <c r="AD19" s="5">
        <v>-77</v>
      </c>
      <c r="AE19" s="5">
        <v>-32</v>
      </c>
      <c r="AF19" s="5">
        <v>-935</v>
      </c>
      <c r="AG19" s="5">
        <v>116</v>
      </c>
      <c r="AH19" s="5">
        <v>82</v>
      </c>
      <c r="AI19" s="5">
        <v>-205</v>
      </c>
      <c r="AJ19" s="5">
        <v>-1798</v>
      </c>
      <c r="AK19" s="5">
        <v>2697</v>
      </c>
      <c r="AL19" s="5">
        <v>965</v>
      </c>
      <c r="AM19" s="5">
        <v>-409</v>
      </c>
      <c r="AN19" s="5">
        <v>-809</v>
      </c>
      <c r="AO19" s="5">
        <v>-42</v>
      </c>
      <c r="AP19" s="5">
        <v>-175</v>
      </c>
      <c r="AQ19" s="5">
        <v>-588</v>
      </c>
      <c r="AR19" s="5">
        <v>-541</v>
      </c>
      <c r="AS19" s="5">
        <v>241</v>
      </c>
      <c r="AT19" s="5">
        <v>-243</v>
      </c>
      <c r="AU19" s="5">
        <v>-700</v>
      </c>
      <c r="AV19" s="5">
        <v>-810</v>
      </c>
      <c r="AW19" s="5">
        <v>-158</v>
      </c>
      <c r="AX19" s="5">
        <v>-671</v>
      </c>
      <c r="AY19" s="5">
        <v>930</v>
      </c>
      <c r="AZ19" s="5">
        <v>-1566</v>
      </c>
      <c r="BA19" s="5">
        <v>-184</v>
      </c>
      <c r="BB19" s="5">
        <v>968</v>
      </c>
      <c r="BC19" s="5">
        <v>-1336</v>
      </c>
      <c r="BD19" s="5">
        <v>-2204</v>
      </c>
      <c r="BE19" s="5">
        <v>195</v>
      </c>
      <c r="BF19" s="5">
        <v>-531</v>
      </c>
      <c r="BG19" s="5">
        <v>-2193</v>
      </c>
      <c r="BH19" s="5">
        <v>68</v>
      </c>
      <c r="BI19" s="5">
        <v>-1010</v>
      </c>
      <c r="BJ19" s="5">
        <v>-1690</v>
      </c>
      <c r="BK19" s="5">
        <v>-232</v>
      </c>
      <c r="BL19" s="5">
        <v>-944</v>
      </c>
      <c r="BM19" s="5">
        <v>-885</v>
      </c>
      <c r="BN19" s="5">
        <v>-986</v>
      </c>
      <c r="BO19" s="5">
        <v>-981</v>
      </c>
      <c r="BP19" s="5">
        <v>-1485</v>
      </c>
      <c r="BQ19" s="5">
        <v>-398</v>
      </c>
      <c r="BR19" s="5">
        <v>-2091</v>
      </c>
      <c r="BS19" s="5">
        <v>-1068</v>
      </c>
      <c r="BT19" s="5">
        <v>-1694</v>
      </c>
      <c r="BU19" s="5">
        <v>184</v>
      </c>
      <c r="BV19" s="5">
        <v>-811</v>
      </c>
    </row>
    <row r="21" spans="3:74" x14ac:dyDescent="0.25">
      <c r="C21" t="s">
        <v>416</v>
      </c>
      <c r="D21" t="s">
        <v>417</v>
      </c>
      <c r="E21" t="s">
        <v>418</v>
      </c>
      <c r="F21" t="s">
        <v>419</v>
      </c>
      <c r="G21" t="s">
        <v>420</v>
      </c>
      <c r="H21" t="s">
        <v>376</v>
      </c>
      <c r="I21" t="s">
        <v>146</v>
      </c>
      <c r="J21" s="6">
        <v>92.498000000000005</v>
      </c>
      <c r="K21" s="6">
        <v>108.599</v>
      </c>
      <c r="L21" s="6">
        <v>109.191</v>
      </c>
      <c r="M21" s="6">
        <v>115.84699999999999</v>
      </c>
      <c r="N21" s="6">
        <v>118.227</v>
      </c>
      <c r="O21" s="6">
        <v>137.68600000000001</v>
      </c>
      <c r="P21" s="6">
        <v>135.67099999999999</v>
      </c>
      <c r="Q21" s="6">
        <v>138.03200000000001</v>
      </c>
      <c r="R21" s="6">
        <v>135.5</v>
      </c>
      <c r="S21" s="6">
        <v>149.417</v>
      </c>
      <c r="T21" s="6">
        <v>147.09700000000001</v>
      </c>
      <c r="U21" s="6">
        <v>148.83699999999999</v>
      </c>
      <c r="V21" s="6">
        <v>144.477</v>
      </c>
      <c r="W21" s="6">
        <v>162.05000000000001</v>
      </c>
      <c r="X21" s="6">
        <v>154.28899999999999</v>
      </c>
      <c r="Y21" s="6">
        <v>152.22399999999999</v>
      </c>
      <c r="Z21" s="6">
        <v>129.17699999999999</v>
      </c>
      <c r="AA21" s="6">
        <v>146.84399999999999</v>
      </c>
      <c r="AB21" s="6">
        <v>141.93600000000001</v>
      </c>
      <c r="AC21" s="6">
        <v>148.06399999999999</v>
      </c>
      <c r="AD21" s="6">
        <v>147.28899999999999</v>
      </c>
      <c r="AE21" s="6">
        <v>166.78899999999999</v>
      </c>
      <c r="AF21" s="6">
        <v>168.96799999999999</v>
      </c>
      <c r="AG21" s="6">
        <v>161.18299999999999</v>
      </c>
      <c r="AH21" s="6">
        <v>121.31</v>
      </c>
      <c r="AI21" s="6">
        <v>147.80799999999999</v>
      </c>
      <c r="AJ21" s="6">
        <v>142.667</v>
      </c>
      <c r="AK21" s="6">
        <v>145.35</v>
      </c>
      <c r="AL21" s="6">
        <v>147.4</v>
      </c>
      <c r="AM21" s="6">
        <v>167.762</v>
      </c>
      <c r="AN21" s="6">
        <v>160.762</v>
      </c>
      <c r="AO21" s="6">
        <v>166.965</v>
      </c>
      <c r="AP21" s="6">
        <v>157.00399999999999</v>
      </c>
      <c r="AQ21" s="6">
        <v>153.56700000000001</v>
      </c>
      <c r="AR21" s="6">
        <v>119.255</v>
      </c>
      <c r="AS21" s="6">
        <v>113.529</v>
      </c>
      <c r="AT21" s="6">
        <v>112.069</v>
      </c>
      <c r="AU21" s="6">
        <v>121.039</v>
      </c>
      <c r="AV21" s="6">
        <v>110.536</v>
      </c>
      <c r="AW21" s="6">
        <v>106.315</v>
      </c>
      <c r="AX21" s="6">
        <v>101.797</v>
      </c>
      <c r="AY21" s="6">
        <v>88.88</v>
      </c>
      <c r="AZ21" s="6">
        <v>94.01</v>
      </c>
      <c r="BA21" s="6">
        <v>100.925</v>
      </c>
      <c r="BB21" s="6">
        <v>103.95399999999999</v>
      </c>
      <c r="BC21" s="6">
        <v>123.279</v>
      </c>
      <c r="BD21" s="6">
        <v>122.148</v>
      </c>
      <c r="BE21" s="6">
        <v>135.20400000000001</v>
      </c>
      <c r="BF21" s="6">
        <v>141.679</v>
      </c>
      <c r="BG21" s="6">
        <v>166.899</v>
      </c>
      <c r="BH21" s="6">
        <v>161.87700000000001</v>
      </c>
      <c r="BI21" s="6">
        <v>160.607</v>
      </c>
      <c r="BJ21" s="6">
        <v>158.94900000000001</v>
      </c>
      <c r="BK21" s="6">
        <v>172.57499999999999</v>
      </c>
      <c r="BL21" s="6">
        <v>166.80799999999999</v>
      </c>
      <c r="BM21" s="6">
        <v>158.881</v>
      </c>
      <c r="BN21" s="6">
        <v>129.61000000000001</v>
      </c>
      <c r="BO21" s="6">
        <v>158.09800000000001</v>
      </c>
      <c r="BP21" s="6">
        <v>169.36</v>
      </c>
      <c r="BQ21" s="6">
        <v>177.16200000000001</v>
      </c>
      <c r="BR21" s="6">
        <v>172.83199999999999</v>
      </c>
      <c r="BS21" s="6">
        <v>182.10599999999999</v>
      </c>
      <c r="BT21" s="6">
        <v>167.101</v>
      </c>
      <c r="BU21" s="6">
        <v>165.41900000000001</v>
      </c>
      <c r="BV21" s="6">
        <v>172.274</v>
      </c>
    </row>
    <row r="23" spans="3:74" x14ac:dyDescent="0.25">
      <c r="C23" t="s">
        <v>372</v>
      </c>
      <c r="M23" s="5">
        <f>SUM(J4:M4)</f>
        <v>-1624</v>
      </c>
      <c r="N23" s="5">
        <f t="shared" ref="N23:BC27" si="0">SUM(K4:N4)</f>
        <v>-2233</v>
      </c>
      <c r="O23" s="5">
        <f t="shared" si="0"/>
        <v>-3825</v>
      </c>
      <c r="P23" s="5">
        <f t="shared" si="0"/>
        <v>-4812</v>
      </c>
      <c r="Q23" s="5">
        <f t="shared" si="0"/>
        <v>-5340</v>
      </c>
      <c r="R23" s="5">
        <f t="shared" si="0"/>
        <v>-4880</v>
      </c>
      <c r="S23" s="5">
        <f t="shared" si="0"/>
        <v>-4890</v>
      </c>
      <c r="T23" s="5">
        <f t="shared" si="0"/>
        <v>-3308</v>
      </c>
      <c r="U23" s="5">
        <f t="shared" si="0"/>
        <v>-2138</v>
      </c>
      <c r="V23" s="5">
        <f t="shared" si="0"/>
        <v>-4242</v>
      </c>
      <c r="W23" s="5">
        <f t="shared" si="0"/>
        <v>-5067</v>
      </c>
      <c r="X23" s="5">
        <f t="shared" si="0"/>
        <v>-8155</v>
      </c>
      <c r="Y23" s="5">
        <f t="shared" si="0"/>
        <v>-13125</v>
      </c>
      <c r="Z23" s="5">
        <f t="shared" si="0"/>
        <v>-15287</v>
      </c>
      <c r="AA23" s="5">
        <f t="shared" si="0"/>
        <v>-14315</v>
      </c>
      <c r="AB23" s="5">
        <f t="shared" si="0"/>
        <v>-13133</v>
      </c>
      <c r="AC23" s="5">
        <f t="shared" si="0"/>
        <v>-9180</v>
      </c>
      <c r="AD23" s="5">
        <f t="shared" si="0"/>
        <v>-8676</v>
      </c>
      <c r="AE23" s="5">
        <f t="shared" si="0"/>
        <v>-11791</v>
      </c>
      <c r="AF23" s="5">
        <f t="shared" si="0"/>
        <v>-14459</v>
      </c>
      <c r="AG23" s="5">
        <f t="shared" si="0"/>
        <v>-17622</v>
      </c>
      <c r="AH23" s="5">
        <f t="shared" si="0"/>
        <v>-16975</v>
      </c>
      <c r="AI23" s="5">
        <f t="shared" si="0"/>
        <v>-17437</v>
      </c>
      <c r="AJ23" s="5">
        <f t="shared" si="0"/>
        <v>-15896</v>
      </c>
      <c r="AK23" s="5">
        <f t="shared" si="0"/>
        <v>-15106</v>
      </c>
      <c r="AL23" s="5">
        <f t="shared" si="0"/>
        <v>-17444</v>
      </c>
      <c r="AM23" s="5">
        <f t="shared" si="0"/>
        <v>-21118</v>
      </c>
      <c r="AN23" s="5">
        <f t="shared" si="0"/>
        <v>-26300</v>
      </c>
      <c r="AO23" s="5">
        <f t="shared" si="0"/>
        <v>-31152</v>
      </c>
      <c r="AP23" s="5">
        <f t="shared" si="0"/>
        <v>-33313</v>
      </c>
      <c r="AQ23" s="5">
        <f t="shared" si="0"/>
        <v>-35142</v>
      </c>
      <c r="AR23" s="5">
        <f t="shared" si="0"/>
        <v>-34352</v>
      </c>
      <c r="AS23" s="5">
        <f t="shared" si="0"/>
        <v>-27083</v>
      </c>
      <c r="AT23" s="5">
        <f t="shared" si="0"/>
        <v>-21121</v>
      </c>
      <c r="AU23" s="5">
        <f t="shared" si="0"/>
        <v>-14499</v>
      </c>
      <c r="AV23" s="5">
        <f t="shared" si="0"/>
        <v>-7948</v>
      </c>
      <c r="AW23" s="5">
        <f t="shared" si="0"/>
        <v>-3493</v>
      </c>
      <c r="AX23" s="5">
        <f t="shared" si="0"/>
        <v>58</v>
      </c>
      <c r="AY23" s="5">
        <f t="shared" si="0"/>
        <v>4733</v>
      </c>
      <c r="AZ23" s="5">
        <f t="shared" si="0"/>
        <v>6691</v>
      </c>
      <c r="BA23" s="5">
        <f t="shared" si="0"/>
        <v>2688</v>
      </c>
      <c r="BB23" s="7">
        <f t="shared" si="0"/>
        <v>2966</v>
      </c>
      <c r="BC23" s="7">
        <f t="shared" si="0"/>
        <v>2650</v>
      </c>
      <c r="BD23" s="7">
        <f>SUM(BA4:BD4)</f>
        <v>4849</v>
      </c>
      <c r="BE23" s="7">
        <f t="shared" ref="BE23:BV27" si="1">SUM(BB4:BE4)</f>
        <v>6625</v>
      </c>
      <c r="BF23" s="7">
        <f t="shared" si="1"/>
        <v>4987</v>
      </c>
      <c r="BG23" s="7">
        <f t="shared" si="1"/>
        <v>1487</v>
      </c>
      <c r="BH23" s="7">
        <f t="shared" si="1"/>
        <v>-5468</v>
      </c>
      <c r="BI23" s="7">
        <f t="shared" si="1"/>
        <v>-3965</v>
      </c>
      <c r="BJ23" s="7">
        <f t="shared" si="1"/>
        <v>-8596</v>
      </c>
      <c r="BK23" s="7">
        <f t="shared" si="1"/>
        <v>-14463</v>
      </c>
      <c r="BL23" s="7">
        <f t="shared" si="1"/>
        <v>-17258</v>
      </c>
      <c r="BM23" s="7">
        <f t="shared" si="1"/>
        <v>-22354</v>
      </c>
      <c r="BN23" s="7">
        <f t="shared" si="1"/>
        <v>-16422</v>
      </c>
      <c r="BO23" s="7">
        <f t="shared" si="1"/>
        <v>-6099</v>
      </c>
      <c r="BP23" s="7">
        <f t="shared" si="1"/>
        <v>927</v>
      </c>
      <c r="BQ23" s="7">
        <f t="shared" si="1"/>
        <v>5891</v>
      </c>
      <c r="BR23" s="7">
        <f t="shared" si="1"/>
        <v>675</v>
      </c>
      <c r="BS23" s="7">
        <f t="shared" si="1"/>
        <v>-5280</v>
      </c>
      <c r="BT23" s="7">
        <f t="shared" si="1"/>
        <v>-8005</v>
      </c>
      <c r="BU23" s="7">
        <f t="shared" si="1"/>
        <v>-7788</v>
      </c>
      <c r="BV23" s="7">
        <f t="shared" si="1"/>
        <v>-4281</v>
      </c>
    </row>
    <row r="24" spans="3:74" x14ac:dyDescent="0.25">
      <c r="C24" t="s">
        <v>377</v>
      </c>
      <c r="M24" s="5">
        <f t="shared" ref="M24:AB38" si="2">SUM(J5:M5)</f>
        <v>14147</v>
      </c>
      <c r="N24" s="5">
        <f t="shared" si="0"/>
        <v>13709</v>
      </c>
      <c r="O24" s="5">
        <f t="shared" si="0"/>
        <v>12672</v>
      </c>
      <c r="P24" s="5">
        <f t="shared" si="0"/>
        <v>11950</v>
      </c>
      <c r="Q24" s="5">
        <f t="shared" si="0"/>
        <v>12352</v>
      </c>
      <c r="R24" s="5">
        <f t="shared" si="0"/>
        <v>13316</v>
      </c>
      <c r="S24" s="5">
        <f t="shared" si="0"/>
        <v>13017</v>
      </c>
      <c r="T24" s="5">
        <f t="shared" si="0"/>
        <v>14452</v>
      </c>
      <c r="U24" s="5">
        <f t="shared" si="0"/>
        <v>15040</v>
      </c>
      <c r="V24" s="5">
        <f t="shared" si="0"/>
        <v>13005</v>
      </c>
      <c r="W24" s="5">
        <f t="shared" si="0"/>
        <v>12184</v>
      </c>
      <c r="X24" s="5">
        <f t="shared" si="0"/>
        <v>9302</v>
      </c>
      <c r="Y24" s="5">
        <f t="shared" si="0"/>
        <v>4636</v>
      </c>
      <c r="Z24" s="5">
        <f t="shared" si="0"/>
        <v>1607</v>
      </c>
      <c r="AA24" s="5">
        <f t="shared" si="0"/>
        <v>2130</v>
      </c>
      <c r="AB24" s="5">
        <f t="shared" si="0"/>
        <v>2617</v>
      </c>
      <c r="AC24" s="5">
        <f t="shared" si="0"/>
        <v>5542</v>
      </c>
      <c r="AD24" s="5">
        <f t="shared" si="0"/>
        <v>6693</v>
      </c>
      <c r="AE24" s="5">
        <f t="shared" si="0"/>
        <v>3853</v>
      </c>
      <c r="AF24" s="5">
        <f t="shared" si="0"/>
        <v>1722</v>
      </c>
      <c r="AG24" s="5">
        <f t="shared" si="0"/>
        <v>-785</v>
      </c>
      <c r="AH24" s="5">
        <f t="shared" si="0"/>
        <v>257</v>
      </c>
      <c r="AI24" s="5">
        <f t="shared" si="0"/>
        <v>471</v>
      </c>
      <c r="AJ24" s="5">
        <f t="shared" si="0"/>
        <v>2578</v>
      </c>
      <c r="AK24" s="5">
        <f t="shared" si="0"/>
        <v>4415</v>
      </c>
      <c r="AL24" s="5">
        <f t="shared" si="0"/>
        <v>3619</v>
      </c>
      <c r="AM24" s="5">
        <f t="shared" si="0"/>
        <v>1230</v>
      </c>
      <c r="AN24" s="5">
        <f t="shared" si="0"/>
        <v>-2275</v>
      </c>
      <c r="AO24" s="5">
        <f t="shared" si="0"/>
        <v>-5446</v>
      </c>
      <c r="AP24" s="5">
        <f t="shared" si="0"/>
        <v>-6491</v>
      </c>
      <c r="AQ24" s="5">
        <f t="shared" si="0"/>
        <v>-7475</v>
      </c>
      <c r="AR24" s="5">
        <f t="shared" si="0"/>
        <v>-6542</v>
      </c>
      <c r="AS24" s="5">
        <f t="shared" si="0"/>
        <v>-743</v>
      </c>
      <c r="AT24" s="5">
        <f t="shared" si="0"/>
        <v>3472</v>
      </c>
      <c r="AU24" s="5">
        <f t="shared" si="0"/>
        <v>9391</v>
      </c>
      <c r="AV24" s="5">
        <f t="shared" si="0"/>
        <v>14608</v>
      </c>
      <c r="AW24" s="5">
        <f t="shared" si="0"/>
        <v>18234</v>
      </c>
      <c r="AX24" s="5">
        <f t="shared" si="0"/>
        <v>19610</v>
      </c>
      <c r="AY24" s="5">
        <f t="shared" si="0"/>
        <v>20728</v>
      </c>
      <c r="AZ24" s="5">
        <f t="shared" si="0"/>
        <v>20326</v>
      </c>
      <c r="BA24" s="5">
        <f t="shared" si="0"/>
        <v>14631</v>
      </c>
      <c r="BB24" s="5">
        <f t="shared" si="0"/>
        <v>13946</v>
      </c>
      <c r="BC24" s="5">
        <f t="shared" si="0"/>
        <v>13773</v>
      </c>
      <c r="BD24" s="5">
        <f t="shared" ref="BD24:BD27" si="3">SUM(BA5:BD5)</f>
        <v>16363</v>
      </c>
      <c r="BE24" s="5">
        <f t="shared" si="1"/>
        <v>18695</v>
      </c>
      <c r="BF24" s="5">
        <f t="shared" si="1"/>
        <v>18232</v>
      </c>
      <c r="BG24" s="5">
        <f t="shared" si="1"/>
        <v>16278</v>
      </c>
      <c r="BH24" s="5">
        <f t="shared" si="1"/>
        <v>10544</v>
      </c>
      <c r="BI24" s="5">
        <f t="shared" si="1"/>
        <v>12417</v>
      </c>
      <c r="BJ24" s="5">
        <f t="shared" si="1"/>
        <v>9327</v>
      </c>
      <c r="BK24" s="5">
        <f t="shared" si="1"/>
        <v>4014</v>
      </c>
      <c r="BL24" s="5">
        <f t="shared" si="1"/>
        <v>1805</v>
      </c>
      <c r="BM24" s="5">
        <f t="shared" si="1"/>
        <v>-2758</v>
      </c>
      <c r="BN24" s="5">
        <f t="shared" si="1"/>
        <v>2624</v>
      </c>
      <c r="BO24" s="5">
        <f t="shared" si="1"/>
        <v>11832</v>
      </c>
      <c r="BP24" s="5">
        <f t="shared" si="1"/>
        <v>18422</v>
      </c>
      <c r="BQ24" s="5">
        <f t="shared" si="1"/>
        <v>22404</v>
      </c>
      <c r="BR24" s="5">
        <f t="shared" si="1"/>
        <v>19394</v>
      </c>
      <c r="BS24" s="5">
        <f t="shared" si="1"/>
        <v>14953</v>
      </c>
      <c r="BT24" s="5">
        <f t="shared" si="1"/>
        <v>13995</v>
      </c>
      <c r="BU24" s="5">
        <f t="shared" si="1"/>
        <v>15359</v>
      </c>
      <c r="BV24" s="5">
        <f t="shared" si="1"/>
        <v>19638</v>
      </c>
    </row>
    <row r="25" spans="3:74" x14ac:dyDescent="0.25">
      <c r="C25" t="s">
        <v>381</v>
      </c>
      <c r="M25" s="5">
        <f t="shared" si="2"/>
        <v>-1804</v>
      </c>
      <c r="N25" s="5">
        <f t="shared" si="0"/>
        <v>-2085</v>
      </c>
      <c r="O25" s="5">
        <f t="shared" si="0"/>
        <v>-2303</v>
      </c>
      <c r="P25" s="5">
        <f t="shared" si="0"/>
        <v>-2652</v>
      </c>
      <c r="Q25" s="5">
        <f t="shared" si="0"/>
        <v>-3153</v>
      </c>
      <c r="R25" s="5">
        <f t="shared" si="0"/>
        <v>-3524</v>
      </c>
      <c r="S25" s="5">
        <f t="shared" si="0"/>
        <v>-3771</v>
      </c>
      <c r="T25" s="5">
        <f t="shared" si="0"/>
        <v>-3904</v>
      </c>
      <c r="U25" s="5">
        <f t="shared" si="0"/>
        <v>-4097</v>
      </c>
      <c r="V25" s="5">
        <f t="shared" si="0"/>
        <v>-4604</v>
      </c>
      <c r="W25" s="5">
        <f t="shared" si="0"/>
        <v>-4852</v>
      </c>
      <c r="X25" s="5">
        <f t="shared" si="0"/>
        <v>-5190</v>
      </c>
      <c r="Y25" s="5">
        <f t="shared" si="0"/>
        <v>-5329</v>
      </c>
      <c r="Z25" s="5">
        <f t="shared" si="0"/>
        <v>-5150</v>
      </c>
      <c r="AA25" s="5">
        <f t="shared" si="0"/>
        <v>-5068</v>
      </c>
      <c r="AB25" s="5">
        <f t="shared" si="0"/>
        <v>-4835</v>
      </c>
      <c r="AC25" s="5">
        <f t="shared" si="0"/>
        <v>-4642</v>
      </c>
      <c r="AD25" s="5">
        <f t="shared" si="0"/>
        <v>-4627</v>
      </c>
      <c r="AE25" s="5">
        <f t="shared" si="0"/>
        <v>-4679</v>
      </c>
      <c r="AF25" s="5">
        <f t="shared" si="0"/>
        <v>-5102</v>
      </c>
      <c r="AG25" s="5">
        <f t="shared" si="0"/>
        <v>-5816</v>
      </c>
      <c r="AH25" s="5">
        <f t="shared" si="0"/>
        <v>-6778</v>
      </c>
      <c r="AI25" s="5">
        <f t="shared" si="0"/>
        <v>-7458</v>
      </c>
      <c r="AJ25" s="5">
        <f t="shared" si="0"/>
        <v>-8139</v>
      </c>
      <c r="AK25" s="5">
        <f t="shared" si="0"/>
        <v>-8451</v>
      </c>
      <c r="AL25" s="5">
        <f t="shared" si="0"/>
        <v>-9014</v>
      </c>
      <c r="AM25" s="5">
        <f t="shared" si="0"/>
        <v>-9156</v>
      </c>
      <c r="AN25" s="5">
        <f t="shared" si="0"/>
        <v>-9480</v>
      </c>
      <c r="AO25" s="5">
        <f t="shared" si="0"/>
        <v>-9696</v>
      </c>
      <c r="AP25" s="5">
        <f t="shared" si="0"/>
        <v>-10032</v>
      </c>
      <c r="AQ25" s="5">
        <f t="shared" si="0"/>
        <v>-10500</v>
      </c>
      <c r="AR25" s="5">
        <f t="shared" si="0"/>
        <v>-9904</v>
      </c>
      <c r="AS25" s="5">
        <f t="shared" si="0"/>
        <v>-8936</v>
      </c>
      <c r="AT25" s="5">
        <f t="shared" si="0"/>
        <v>-7249</v>
      </c>
      <c r="AU25" s="5">
        <f t="shared" si="0"/>
        <v>-6003</v>
      </c>
      <c r="AV25" s="5">
        <f t="shared" si="0"/>
        <v>-5335</v>
      </c>
      <c r="AW25" s="5">
        <f t="shared" si="0"/>
        <v>-4843</v>
      </c>
      <c r="AX25" s="5">
        <f t="shared" si="0"/>
        <v>-4119</v>
      </c>
      <c r="AY25" s="5">
        <f t="shared" si="0"/>
        <v>-3123</v>
      </c>
      <c r="AZ25" s="5">
        <f t="shared" si="0"/>
        <v>-2440</v>
      </c>
      <c r="BA25" s="5">
        <f t="shared" si="0"/>
        <v>-2537</v>
      </c>
      <c r="BB25" s="5">
        <f t="shared" si="0"/>
        <v>-2210</v>
      </c>
      <c r="BC25" s="5">
        <f t="shared" si="0"/>
        <v>-2556</v>
      </c>
      <c r="BD25" s="5">
        <f t="shared" si="3"/>
        <v>-2982</v>
      </c>
      <c r="BE25" s="5">
        <f t="shared" si="1"/>
        <v>-3701</v>
      </c>
      <c r="BF25" s="5">
        <f t="shared" si="1"/>
        <v>-4940</v>
      </c>
      <c r="BG25" s="5">
        <f t="shared" si="1"/>
        <v>-6080</v>
      </c>
      <c r="BH25" s="5">
        <f t="shared" si="1"/>
        <v>-7040</v>
      </c>
      <c r="BI25" s="5">
        <f t="shared" si="1"/>
        <v>-6775</v>
      </c>
      <c r="BJ25" s="5">
        <f t="shared" si="1"/>
        <v>-7194</v>
      </c>
      <c r="BK25" s="5">
        <f t="shared" si="1"/>
        <v>-6959</v>
      </c>
      <c r="BL25" s="5">
        <f t="shared" si="1"/>
        <v>-6609</v>
      </c>
      <c r="BM25" s="5">
        <f t="shared" si="1"/>
        <v>-6376</v>
      </c>
      <c r="BN25" s="5">
        <f t="shared" si="1"/>
        <v>-5427</v>
      </c>
      <c r="BO25" s="5">
        <f t="shared" si="1"/>
        <v>-4935</v>
      </c>
      <c r="BP25" s="5">
        <f t="shared" si="1"/>
        <v>-4842</v>
      </c>
      <c r="BQ25" s="5">
        <f t="shared" si="1"/>
        <v>-4938</v>
      </c>
      <c r="BR25" s="5">
        <f t="shared" si="1"/>
        <v>-8130</v>
      </c>
      <c r="BS25" s="5">
        <f t="shared" si="1"/>
        <v>-9509</v>
      </c>
      <c r="BT25" s="5">
        <f t="shared" si="1"/>
        <v>-10643</v>
      </c>
      <c r="BU25" s="5">
        <f t="shared" si="1"/>
        <v>-11602</v>
      </c>
      <c r="BV25" s="5">
        <f t="shared" si="1"/>
        <v>-11070</v>
      </c>
    </row>
    <row r="26" spans="3:74" x14ac:dyDescent="0.25">
      <c r="C26" t="s">
        <v>384</v>
      </c>
      <c r="M26" s="5">
        <f t="shared" si="2"/>
        <v>-14548</v>
      </c>
      <c r="N26" s="5">
        <f t="shared" si="0"/>
        <v>-14323</v>
      </c>
      <c r="O26" s="5">
        <f t="shared" si="0"/>
        <v>-14603</v>
      </c>
      <c r="P26" s="5">
        <f t="shared" si="0"/>
        <v>-14608</v>
      </c>
      <c r="Q26" s="5">
        <f t="shared" si="0"/>
        <v>-15073</v>
      </c>
      <c r="R26" s="5">
        <f t="shared" si="0"/>
        <v>-15331</v>
      </c>
      <c r="S26" s="5">
        <f t="shared" si="0"/>
        <v>-14836</v>
      </c>
      <c r="T26" s="5">
        <f t="shared" si="0"/>
        <v>-14510</v>
      </c>
      <c r="U26" s="5">
        <f t="shared" si="0"/>
        <v>-13753</v>
      </c>
      <c r="V26" s="5">
        <f t="shared" si="0"/>
        <v>-13340</v>
      </c>
      <c r="W26" s="5">
        <f t="shared" si="0"/>
        <v>-13350</v>
      </c>
      <c r="X26" s="5">
        <f t="shared" si="0"/>
        <v>-13284</v>
      </c>
      <c r="Y26" s="5">
        <f t="shared" si="0"/>
        <v>-13166</v>
      </c>
      <c r="Z26" s="5">
        <f t="shared" si="0"/>
        <v>-12606</v>
      </c>
      <c r="AA26" s="5">
        <f t="shared" si="0"/>
        <v>-12310</v>
      </c>
      <c r="AB26" s="5">
        <f t="shared" si="0"/>
        <v>-12039</v>
      </c>
      <c r="AC26" s="5">
        <f t="shared" si="0"/>
        <v>-11615</v>
      </c>
      <c r="AD26" s="5">
        <f t="shared" si="0"/>
        <v>-12055</v>
      </c>
      <c r="AE26" s="5">
        <f t="shared" si="0"/>
        <v>-12158</v>
      </c>
      <c r="AF26" s="5">
        <f t="shared" si="0"/>
        <v>-12052</v>
      </c>
      <c r="AG26" s="5">
        <f t="shared" si="0"/>
        <v>-12104</v>
      </c>
      <c r="AH26" s="5">
        <f t="shared" si="0"/>
        <v>-11776</v>
      </c>
      <c r="AI26" s="5">
        <f t="shared" si="0"/>
        <v>-11675</v>
      </c>
      <c r="AJ26" s="5">
        <f t="shared" si="0"/>
        <v>-11652</v>
      </c>
      <c r="AK26" s="5">
        <f t="shared" si="0"/>
        <v>-12193</v>
      </c>
      <c r="AL26" s="5">
        <f t="shared" si="0"/>
        <v>-13076</v>
      </c>
      <c r="AM26" s="5">
        <f t="shared" si="0"/>
        <v>-14122</v>
      </c>
      <c r="AN26" s="5">
        <f t="shared" si="0"/>
        <v>-15102</v>
      </c>
      <c r="AO26" s="5">
        <f t="shared" si="0"/>
        <v>-16380</v>
      </c>
      <c r="AP26" s="5">
        <f t="shared" si="0"/>
        <v>-17092</v>
      </c>
      <c r="AQ26" s="5">
        <f t="shared" si="0"/>
        <v>-17713</v>
      </c>
      <c r="AR26" s="5">
        <f t="shared" si="0"/>
        <v>-18768</v>
      </c>
      <c r="AS26" s="5">
        <f t="shared" si="0"/>
        <v>-18650</v>
      </c>
      <c r="AT26" s="5">
        <f t="shared" si="0"/>
        <v>-18718</v>
      </c>
      <c r="AU26" s="5">
        <f t="shared" si="0"/>
        <v>-18904</v>
      </c>
      <c r="AV26" s="5">
        <f t="shared" si="0"/>
        <v>-18225</v>
      </c>
      <c r="AW26" s="5">
        <f t="shared" si="0"/>
        <v>-17732</v>
      </c>
      <c r="AX26" s="5">
        <f t="shared" si="0"/>
        <v>-16262</v>
      </c>
      <c r="AY26" s="5">
        <f t="shared" si="0"/>
        <v>-13996</v>
      </c>
      <c r="AZ26" s="5">
        <f t="shared" si="0"/>
        <v>-12369</v>
      </c>
      <c r="BA26" s="5">
        <f t="shared" si="0"/>
        <v>-10505</v>
      </c>
      <c r="BB26" s="5">
        <f t="shared" si="0"/>
        <v>-9920</v>
      </c>
      <c r="BC26" s="5">
        <f t="shared" si="0"/>
        <v>-9760</v>
      </c>
      <c r="BD26" s="5">
        <f t="shared" si="3"/>
        <v>-9775</v>
      </c>
      <c r="BE26" s="5">
        <f t="shared" si="1"/>
        <v>-9773</v>
      </c>
      <c r="BF26" s="5">
        <f t="shared" si="1"/>
        <v>-9841</v>
      </c>
      <c r="BG26" s="5">
        <f t="shared" si="1"/>
        <v>-10399</v>
      </c>
      <c r="BH26" s="5">
        <f t="shared" si="1"/>
        <v>-10761</v>
      </c>
      <c r="BI26" s="5">
        <f t="shared" si="1"/>
        <v>-11577</v>
      </c>
      <c r="BJ26" s="5">
        <f t="shared" si="1"/>
        <v>-12725</v>
      </c>
      <c r="BK26" s="5">
        <f t="shared" si="1"/>
        <v>-13561</v>
      </c>
      <c r="BL26" s="5">
        <f t="shared" si="1"/>
        <v>-14559</v>
      </c>
      <c r="BM26" s="5">
        <f t="shared" si="1"/>
        <v>-15302</v>
      </c>
      <c r="BN26" s="5">
        <f t="shared" si="1"/>
        <v>-15723</v>
      </c>
      <c r="BO26" s="5">
        <f t="shared" si="1"/>
        <v>-15244</v>
      </c>
      <c r="BP26" s="5">
        <f t="shared" si="1"/>
        <v>-14780</v>
      </c>
      <c r="BQ26" s="5">
        <f t="shared" si="1"/>
        <v>-13820</v>
      </c>
      <c r="BR26" s="5">
        <f t="shared" si="1"/>
        <v>-12698</v>
      </c>
      <c r="BS26" s="5">
        <f t="shared" si="1"/>
        <v>-12935</v>
      </c>
      <c r="BT26" s="5">
        <f t="shared" si="1"/>
        <v>-13708</v>
      </c>
      <c r="BU26" s="5">
        <f t="shared" si="1"/>
        <v>-14079</v>
      </c>
      <c r="BV26" s="5">
        <f t="shared" si="1"/>
        <v>-15737</v>
      </c>
    </row>
    <row r="27" spans="3:74" x14ac:dyDescent="0.25">
      <c r="C27" t="s">
        <v>388</v>
      </c>
      <c r="M27" s="5">
        <f t="shared" si="2"/>
        <v>581</v>
      </c>
      <c r="N27" s="5">
        <f t="shared" si="0"/>
        <v>466</v>
      </c>
      <c r="O27" s="5">
        <f t="shared" si="0"/>
        <v>409</v>
      </c>
      <c r="P27" s="5">
        <f t="shared" si="0"/>
        <v>498</v>
      </c>
      <c r="Q27" s="5">
        <f t="shared" si="0"/>
        <v>535</v>
      </c>
      <c r="R27" s="5">
        <f t="shared" si="0"/>
        <v>660</v>
      </c>
      <c r="S27" s="5">
        <f t="shared" si="0"/>
        <v>700</v>
      </c>
      <c r="T27" s="5">
        <f t="shared" si="0"/>
        <v>656</v>
      </c>
      <c r="U27" s="5">
        <f t="shared" si="0"/>
        <v>672</v>
      </c>
      <c r="V27" s="5">
        <f t="shared" si="0"/>
        <v>698</v>
      </c>
      <c r="W27" s="5">
        <f t="shared" si="0"/>
        <v>952</v>
      </c>
      <c r="X27" s="5">
        <f t="shared" si="0"/>
        <v>1016</v>
      </c>
      <c r="Y27" s="5">
        <f t="shared" si="0"/>
        <v>734</v>
      </c>
      <c r="Z27" s="5">
        <f t="shared" si="0"/>
        <v>861</v>
      </c>
      <c r="AA27" s="5">
        <f t="shared" si="0"/>
        <v>932</v>
      </c>
      <c r="AB27" s="5">
        <f t="shared" si="0"/>
        <v>1124</v>
      </c>
      <c r="AC27" s="5">
        <f t="shared" si="0"/>
        <v>1535</v>
      </c>
      <c r="AD27" s="5">
        <f t="shared" si="0"/>
        <v>1313</v>
      </c>
      <c r="AE27" s="5">
        <f t="shared" si="0"/>
        <v>1193</v>
      </c>
      <c r="AF27" s="5">
        <f t="shared" si="0"/>
        <v>973</v>
      </c>
      <c r="AG27" s="5">
        <f t="shared" si="0"/>
        <v>1083</v>
      </c>
      <c r="AH27" s="5">
        <f t="shared" si="0"/>
        <v>1323</v>
      </c>
      <c r="AI27" s="5">
        <f t="shared" si="0"/>
        <v>1226</v>
      </c>
      <c r="AJ27" s="5">
        <f t="shared" si="0"/>
        <v>1317</v>
      </c>
      <c r="AK27" s="5">
        <f t="shared" si="0"/>
        <v>1124</v>
      </c>
      <c r="AL27" s="5">
        <f t="shared" si="0"/>
        <v>1027</v>
      </c>
      <c r="AM27" s="5">
        <f t="shared" si="0"/>
        <v>930</v>
      </c>
      <c r="AN27" s="5">
        <f t="shared" si="0"/>
        <v>559</v>
      </c>
      <c r="AO27" s="5">
        <f t="shared" si="0"/>
        <v>371</v>
      </c>
      <c r="AP27" s="5">
        <f t="shared" si="0"/>
        <v>303</v>
      </c>
      <c r="AQ27" s="5">
        <f t="shared" si="0"/>
        <v>546</v>
      </c>
      <c r="AR27" s="5">
        <f t="shared" si="0"/>
        <v>861</v>
      </c>
      <c r="AS27" s="5">
        <f t="shared" si="0"/>
        <v>1245</v>
      </c>
      <c r="AT27" s="5">
        <f t="shared" si="0"/>
        <v>1374</v>
      </c>
      <c r="AU27" s="5">
        <f t="shared" si="0"/>
        <v>1018</v>
      </c>
      <c r="AV27" s="5">
        <f t="shared" si="0"/>
        <v>1004</v>
      </c>
      <c r="AW27" s="5">
        <f t="shared" si="0"/>
        <v>849</v>
      </c>
      <c r="AX27" s="5">
        <f t="shared" si="0"/>
        <v>829</v>
      </c>
      <c r="AY27" s="5">
        <f t="shared" si="0"/>
        <v>1125</v>
      </c>
      <c r="AZ27" s="5">
        <f t="shared" si="0"/>
        <v>1176</v>
      </c>
      <c r="BA27" s="5">
        <f t="shared" si="0"/>
        <v>1099</v>
      </c>
      <c r="BB27" s="5">
        <f t="shared" si="0"/>
        <v>1150</v>
      </c>
      <c r="BC27" s="5">
        <f t="shared" si="0"/>
        <v>1191</v>
      </c>
      <c r="BD27" s="5">
        <f t="shared" si="3"/>
        <v>1240</v>
      </c>
      <c r="BE27" s="5">
        <f t="shared" si="1"/>
        <v>1401</v>
      </c>
      <c r="BF27" s="5">
        <f t="shared" si="1"/>
        <v>1533</v>
      </c>
      <c r="BG27" s="5">
        <f t="shared" si="1"/>
        <v>1687</v>
      </c>
      <c r="BH27" s="5">
        <f t="shared" si="1"/>
        <v>1789</v>
      </c>
      <c r="BI27" s="5">
        <f t="shared" si="1"/>
        <v>1971</v>
      </c>
      <c r="BJ27" s="5">
        <f t="shared" si="1"/>
        <v>1996</v>
      </c>
      <c r="BK27" s="5">
        <f t="shared" si="1"/>
        <v>2042</v>
      </c>
      <c r="BL27" s="5">
        <f t="shared" si="1"/>
        <v>2104</v>
      </c>
      <c r="BM27" s="5">
        <f t="shared" si="1"/>
        <v>2080</v>
      </c>
      <c r="BN27" s="5">
        <f t="shared" si="1"/>
        <v>2103</v>
      </c>
      <c r="BO27" s="5">
        <f t="shared" si="1"/>
        <v>2246</v>
      </c>
      <c r="BP27" s="5">
        <f t="shared" si="1"/>
        <v>2125</v>
      </c>
      <c r="BQ27" s="5">
        <f t="shared" si="1"/>
        <v>2245</v>
      </c>
      <c r="BR27" s="5">
        <f t="shared" si="1"/>
        <v>2109</v>
      </c>
      <c r="BS27" s="5">
        <f t="shared" si="1"/>
        <v>2211</v>
      </c>
      <c r="BT27" s="5">
        <f t="shared" si="1"/>
        <v>2350</v>
      </c>
      <c r="BU27" s="5">
        <f t="shared" si="1"/>
        <v>2532</v>
      </c>
      <c r="BV27" s="5">
        <f t="shared" si="1"/>
        <v>2886</v>
      </c>
    </row>
    <row r="28" spans="3:74" x14ac:dyDescent="0.2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row>
    <row r="29" spans="3:74" x14ac:dyDescent="0.2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row>
    <row r="30" spans="3:74" x14ac:dyDescent="0.25">
      <c r="C30" t="s">
        <v>391</v>
      </c>
      <c r="M30" s="5">
        <f t="shared" si="2"/>
        <v>79</v>
      </c>
      <c r="N30" s="5">
        <f t="shared" si="2"/>
        <v>78</v>
      </c>
      <c r="O30" s="5">
        <f t="shared" si="2"/>
        <v>75</v>
      </c>
      <c r="P30" s="5">
        <f t="shared" si="2"/>
        <v>65</v>
      </c>
      <c r="Q30" s="5">
        <f t="shared" si="2"/>
        <v>63</v>
      </c>
      <c r="R30" s="5">
        <f t="shared" si="2"/>
        <v>48</v>
      </c>
      <c r="S30" s="5">
        <f t="shared" si="2"/>
        <v>69</v>
      </c>
      <c r="T30" s="5">
        <f t="shared" si="2"/>
        <v>52</v>
      </c>
      <c r="U30" s="5">
        <f t="shared" si="2"/>
        <v>47</v>
      </c>
      <c r="V30" s="5">
        <f t="shared" si="2"/>
        <v>47</v>
      </c>
      <c r="W30" s="5">
        <f t="shared" si="2"/>
        <v>25</v>
      </c>
      <c r="X30" s="5">
        <f t="shared" si="2"/>
        <v>30</v>
      </c>
      <c r="Y30" s="5">
        <f t="shared" si="2"/>
        <v>33</v>
      </c>
      <c r="Z30" s="5">
        <f t="shared" si="2"/>
        <v>34</v>
      </c>
      <c r="AA30" s="5">
        <f t="shared" si="2"/>
        <v>50</v>
      </c>
      <c r="AB30" s="5">
        <f t="shared" si="2"/>
        <v>57</v>
      </c>
      <c r="AC30" s="5">
        <f t="shared" ref="AC30:BV30" si="4">SUM(Z11:AC11)</f>
        <v>57</v>
      </c>
      <c r="AD30" s="5">
        <f t="shared" si="4"/>
        <v>65</v>
      </c>
      <c r="AE30" s="5">
        <f t="shared" si="4"/>
        <v>52</v>
      </c>
      <c r="AF30" s="5">
        <f t="shared" si="4"/>
        <v>51</v>
      </c>
      <c r="AG30" s="5">
        <f t="shared" si="4"/>
        <v>53</v>
      </c>
      <c r="AH30" s="5">
        <f t="shared" si="4"/>
        <v>126</v>
      </c>
      <c r="AI30" s="5">
        <f t="shared" si="4"/>
        <v>155</v>
      </c>
      <c r="AJ30" s="5">
        <f t="shared" si="4"/>
        <v>225</v>
      </c>
      <c r="AK30" s="5">
        <f t="shared" si="4"/>
        <v>365</v>
      </c>
      <c r="AL30" s="5">
        <f t="shared" si="4"/>
        <v>327</v>
      </c>
      <c r="AM30" s="5">
        <f t="shared" si="4"/>
        <v>339</v>
      </c>
      <c r="AN30" s="5">
        <f t="shared" si="4"/>
        <v>309</v>
      </c>
      <c r="AO30" s="5">
        <f t="shared" si="4"/>
        <v>174</v>
      </c>
      <c r="AP30" s="5">
        <f t="shared" si="4"/>
        <v>153</v>
      </c>
      <c r="AQ30" s="5">
        <f t="shared" si="4"/>
        <v>130</v>
      </c>
      <c r="AR30" s="5">
        <f t="shared" si="4"/>
        <v>98</v>
      </c>
      <c r="AS30" s="5">
        <f t="shared" si="4"/>
        <v>111</v>
      </c>
      <c r="AT30" s="5">
        <f t="shared" si="4"/>
        <v>124</v>
      </c>
      <c r="AU30" s="5">
        <f t="shared" si="4"/>
        <v>242</v>
      </c>
      <c r="AV30" s="5">
        <f t="shared" si="4"/>
        <v>275</v>
      </c>
      <c r="AW30" s="5">
        <f t="shared" si="4"/>
        <v>283</v>
      </c>
      <c r="AX30" s="5">
        <f t="shared" si="4"/>
        <v>288</v>
      </c>
      <c r="AY30" s="5">
        <f t="shared" si="4"/>
        <v>181</v>
      </c>
      <c r="AZ30" s="5">
        <f t="shared" si="4"/>
        <v>141</v>
      </c>
      <c r="BA30" s="5">
        <f t="shared" si="4"/>
        <v>164</v>
      </c>
      <c r="BB30" s="5">
        <f t="shared" si="4"/>
        <v>168</v>
      </c>
      <c r="BC30" s="5">
        <f t="shared" si="4"/>
        <v>230</v>
      </c>
      <c r="BD30" s="5">
        <f t="shared" si="4"/>
        <v>260</v>
      </c>
      <c r="BE30" s="5">
        <f t="shared" si="4"/>
        <v>253</v>
      </c>
      <c r="BF30" s="5">
        <f t="shared" si="4"/>
        <v>241</v>
      </c>
      <c r="BG30" s="5">
        <f t="shared" si="4"/>
        <v>174</v>
      </c>
      <c r="BH30" s="5">
        <f t="shared" si="4"/>
        <v>185</v>
      </c>
      <c r="BI30" s="5">
        <f t="shared" si="4"/>
        <v>191</v>
      </c>
      <c r="BJ30" s="5">
        <f t="shared" si="4"/>
        <v>184</v>
      </c>
      <c r="BK30" s="5">
        <f t="shared" si="4"/>
        <v>206</v>
      </c>
      <c r="BL30" s="5">
        <f t="shared" si="4"/>
        <v>163</v>
      </c>
      <c r="BM30" s="5">
        <f t="shared" si="4"/>
        <v>191</v>
      </c>
      <c r="BN30" s="5">
        <f t="shared" si="4"/>
        <v>259</v>
      </c>
      <c r="BO30" s="5">
        <f t="shared" si="4"/>
        <v>267</v>
      </c>
      <c r="BP30" s="5">
        <f t="shared" si="4"/>
        <v>274</v>
      </c>
      <c r="BQ30" s="5">
        <f t="shared" si="4"/>
        <v>278</v>
      </c>
      <c r="BR30" s="5">
        <f t="shared" si="4"/>
        <v>242</v>
      </c>
      <c r="BS30" s="5">
        <f t="shared" si="4"/>
        <v>357</v>
      </c>
      <c r="BT30" s="5">
        <f t="shared" si="4"/>
        <v>449</v>
      </c>
      <c r="BU30" s="5">
        <f t="shared" si="4"/>
        <v>454</v>
      </c>
      <c r="BV30" s="5">
        <f t="shared" si="4"/>
        <v>458</v>
      </c>
    </row>
    <row r="31" spans="3:74" x14ac:dyDescent="0.25">
      <c r="C31" t="s">
        <v>395</v>
      </c>
      <c r="M31" s="5">
        <f>-SUM(J12:M12)</f>
        <v>3803</v>
      </c>
      <c r="N31" s="5">
        <f t="shared" ref="N31:BV35" si="5">-SUM(K12:N12)</f>
        <v>4018</v>
      </c>
      <c r="O31" s="5">
        <f t="shared" si="5"/>
        <v>4787</v>
      </c>
      <c r="P31" s="5">
        <f t="shared" si="5"/>
        <v>7447</v>
      </c>
      <c r="Q31" s="5">
        <f t="shared" si="5"/>
        <v>5252</v>
      </c>
      <c r="R31" s="5">
        <f t="shared" si="5"/>
        <v>5381</v>
      </c>
      <c r="S31" s="5">
        <f t="shared" si="5"/>
        <v>5290</v>
      </c>
      <c r="T31" s="5">
        <f t="shared" si="5"/>
        <v>2332</v>
      </c>
      <c r="U31" s="5">
        <f t="shared" si="5"/>
        <v>2788</v>
      </c>
      <c r="V31" s="5">
        <f t="shared" si="5"/>
        <v>5451</v>
      </c>
      <c r="W31" s="5">
        <f t="shared" si="5"/>
        <v>6444</v>
      </c>
      <c r="X31" s="5">
        <f t="shared" si="5"/>
        <v>10164</v>
      </c>
      <c r="Y31" s="5">
        <f t="shared" si="5"/>
        <v>16165</v>
      </c>
      <c r="Z31" s="5">
        <f t="shared" si="5"/>
        <v>16000</v>
      </c>
      <c r="AA31" s="5">
        <f t="shared" si="5"/>
        <v>14834</v>
      </c>
      <c r="AB31" s="5">
        <f t="shared" si="5"/>
        <v>12762</v>
      </c>
      <c r="AC31" s="5">
        <f t="shared" si="5"/>
        <v>9321</v>
      </c>
      <c r="AD31" s="5">
        <f t="shared" si="5"/>
        <v>10430</v>
      </c>
      <c r="AE31" s="5">
        <f t="shared" si="5"/>
        <v>13360</v>
      </c>
      <c r="AF31" s="5">
        <f t="shared" si="5"/>
        <v>16597</v>
      </c>
      <c r="AG31" s="5">
        <f t="shared" si="5"/>
        <v>18498</v>
      </c>
      <c r="AH31" s="5">
        <f t="shared" si="5"/>
        <v>17617</v>
      </c>
      <c r="AI31" s="5">
        <f t="shared" si="5"/>
        <v>18223</v>
      </c>
      <c r="AJ31" s="5">
        <f t="shared" si="5"/>
        <v>17475</v>
      </c>
      <c r="AK31" s="5">
        <f t="shared" si="5"/>
        <v>13964</v>
      </c>
      <c r="AL31" s="5">
        <f t="shared" si="5"/>
        <v>15457</v>
      </c>
      <c r="AM31" s="5">
        <f t="shared" si="5"/>
        <v>19324</v>
      </c>
      <c r="AN31" s="5">
        <f t="shared" si="5"/>
        <v>23546</v>
      </c>
      <c r="AO31" s="5">
        <f t="shared" si="5"/>
        <v>31273</v>
      </c>
      <c r="AP31" s="5">
        <f t="shared" si="5"/>
        <v>34596</v>
      </c>
      <c r="AQ31" s="5">
        <f t="shared" si="5"/>
        <v>36627</v>
      </c>
      <c r="AR31" s="5">
        <f t="shared" si="5"/>
        <v>35602</v>
      </c>
      <c r="AS31" s="5">
        <f t="shared" si="5"/>
        <v>28037</v>
      </c>
      <c r="AT31" s="5">
        <f t="shared" si="5"/>
        <v>22129</v>
      </c>
      <c r="AU31" s="5">
        <f t="shared" si="5"/>
        <v>15500</v>
      </c>
      <c r="AV31" s="5">
        <f t="shared" si="5"/>
        <v>9185</v>
      </c>
      <c r="AW31" s="5">
        <f t="shared" si="5"/>
        <v>5119</v>
      </c>
      <c r="AX31" s="5">
        <f t="shared" si="5"/>
        <v>1992</v>
      </c>
      <c r="AY31" s="5">
        <f t="shared" si="5"/>
        <v>-4206</v>
      </c>
      <c r="AZ31" s="5">
        <f t="shared" si="5"/>
        <v>-5368</v>
      </c>
      <c r="BA31" s="5">
        <f t="shared" si="5"/>
        <v>-1361</v>
      </c>
      <c r="BB31" s="5">
        <f t="shared" si="5"/>
        <v>-3283</v>
      </c>
      <c r="BC31" s="5">
        <f t="shared" si="5"/>
        <v>-763</v>
      </c>
      <c r="BD31" s="5">
        <f t="shared" si="5"/>
        <v>-2354</v>
      </c>
      <c r="BE31" s="5">
        <f t="shared" si="5"/>
        <v>-4502</v>
      </c>
      <c r="BF31" s="5">
        <f t="shared" si="5"/>
        <v>-1353</v>
      </c>
      <c r="BG31" s="5">
        <f t="shared" si="5"/>
        <v>3070</v>
      </c>
      <c r="BH31" s="5">
        <f t="shared" si="5"/>
        <v>7741</v>
      </c>
      <c r="BI31" s="5">
        <f t="shared" si="5"/>
        <v>7437</v>
      </c>
      <c r="BJ31" s="5">
        <f t="shared" si="5"/>
        <v>13236</v>
      </c>
      <c r="BK31" s="5">
        <f t="shared" si="5"/>
        <v>17121</v>
      </c>
      <c r="BL31" s="5">
        <f t="shared" si="5"/>
        <v>20972</v>
      </c>
      <c r="BM31" s="5">
        <f t="shared" si="5"/>
        <v>25914</v>
      </c>
      <c r="BN31" s="5">
        <f t="shared" si="5"/>
        <v>19209</v>
      </c>
      <c r="BO31" s="5">
        <f t="shared" si="5"/>
        <v>9628</v>
      </c>
      <c r="BP31" s="5">
        <f t="shared" si="5"/>
        <v>3135</v>
      </c>
      <c r="BQ31" s="5">
        <f t="shared" si="5"/>
        <v>-2319</v>
      </c>
      <c r="BR31" s="5">
        <f t="shared" si="5"/>
        <v>4037</v>
      </c>
      <c r="BS31" s="5">
        <f t="shared" si="5"/>
        <v>9963</v>
      </c>
      <c r="BT31" s="5">
        <f t="shared" si="5"/>
        <v>12807</v>
      </c>
      <c r="BU31" s="5">
        <f t="shared" si="5"/>
        <v>12002</v>
      </c>
      <c r="BV31" s="5">
        <f t="shared" si="5"/>
        <v>7211</v>
      </c>
    </row>
    <row r="32" spans="3:74" x14ac:dyDescent="0.25">
      <c r="C32" t="s">
        <v>398</v>
      </c>
      <c r="M32" s="5">
        <f t="shared" ref="M32:M36" si="6">-SUM(J13:M13)</f>
        <v>10368</v>
      </c>
      <c r="N32" s="5">
        <f t="shared" si="5"/>
        <v>10423</v>
      </c>
      <c r="O32" s="5">
        <f t="shared" si="5"/>
        <v>9156</v>
      </c>
      <c r="P32" s="5">
        <f t="shared" si="5"/>
        <v>7640</v>
      </c>
      <c r="Q32" s="5">
        <f t="shared" si="5"/>
        <v>9352</v>
      </c>
      <c r="R32" s="5">
        <f t="shared" si="5"/>
        <v>10292</v>
      </c>
      <c r="S32" s="5">
        <f t="shared" si="5"/>
        <v>13272</v>
      </c>
      <c r="T32" s="5">
        <f t="shared" si="5"/>
        <v>14988</v>
      </c>
      <c r="U32" s="5">
        <f t="shared" si="5"/>
        <v>14269</v>
      </c>
      <c r="V32" s="5">
        <f t="shared" si="5"/>
        <v>12056</v>
      </c>
      <c r="W32" s="5">
        <f t="shared" si="5"/>
        <v>11364</v>
      </c>
      <c r="X32" s="5">
        <f t="shared" si="5"/>
        <v>10771</v>
      </c>
      <c r="Y32" s="5">
        <f t="shared" si="5"/>
        <v>8931</v>
      </c>
      <c r="Z32" s="5">
        <f t="shared" si="5"/>
        <v>7029</v>
      </c>
      <c r="AA32" s="5">
        <f t="shared" si="5"/>
        <v>2365</v>
      </c>
      <c r="AB32" s="5">
        <f t="shared" si="5"/>
        <v>1907</v>
      </c>
      <c r="AC32" s="5">
        <f t="shared" si="5"/>
        <v>3145</v>
      </c>
      <c r="AD32" s="5">
        <f t="shared" si="5"/>
        <v>6379</v>
      </c>
      <c r="AE32" s="5">
        <f t="shared" si="5"/>
        <v>11298</v>
      </c>
      <c r="AF32" s="5">
        <f t="shared" si="5"/>
        <v>11693</v>
      </c>
      <c r="AG32" s="5">
        <f t="shared" si="5"/>
        <v>10883</v>
      </c>
      <c r="AH32" s="5">
        <f t="shared" si="5"/>
        <v>9462</v>
      </c>
      <c r="AI32" s="5">
        <f t="shared" si="5"/>
        <v>5880</v>
      </c>
      <c r="AJ32" s="5">
        <f t="shared" si="5"/>
        <v>4133</v>
      </c>
      <c r="AK32" s="5">
        <f t="shared" si="5"/>
        <v>1474</v>
      </c>
      <c r="AL32" s="5">
        <f t="shared" si="5"/>
        <v>2796</v>
      </c>
      <c r="AM32" s="5">
        <f t="shared" si="5"/>
        <v>5224</v>
      </c>
      <c r="AN32" s="5">
        <f t="shared" si="5"/>
        <v>7564</v>
      </c>
      <c r="AO32" s="5">
        <f t="shared" si="5"/>
        <v>10362</v>
      </c>
      <c r="AP32" s="5">
        <f t="shared" si="5"/>
        <v>9659</v>
      </c>
      <c r="AQ32" s="5">
        <f t="shared" si="5"/>
        <v>9849</v>
      </c>
      <c r="AR32" s="5">
        <f t="shared" si="5"/>
        <v>9462</v>
      </c>
      <c r="AS32" s="5">
        <f t="shared" si="5"/>
        <v>9992</v>
      </c>
      <c r="AT32" s="5">
        <f t="shared" si="5"/>
        <v>9490</v>
      </c>
      <c r="AU32" s="5">
        <f t="shared" si="5"/>
        <v>7660</v>
      </c>
      <c r="AV32" s="5">
        <f t="shared" si="5"/>
        <v>6235</v>
      </c>
      <c r="AW32" s="5">
        <f t="shared" si="5"/>
        <v>5127</v>
      </c>
      <c r="AX32" s="5">
        <f t="shared" si="5"/>
        <v>4752</v>
      </c>
      <c r="AY32" s="5">
        <f t="shared" si="5"/>
        <v>3984</v>
      </c>
      <c r="AZ32" s="5">
        <f t="shared" si="5"/>
        <v>4003</v>
      </c>
      <c r="BA32" s="5">
        <f t="shared" si="5"/>
        <v>3707</v>
      </c>
      <c r="BB32" s="5">
        <f t="shared" si="5"/>
        <v>4327</v>
      </c>
      <c r="BC32" s="5">
        <f t="shared" si="5"/>
        <v>6297</v>
      </c>
      <c r="BD32" s="5">
        <f>-SUM(BA13:BD13)</f>
        <v>5386</v>
      </c>
      <c r="BE32" s="5">
        <f t="shared" si="5"/>
        <v>5115</v>
      </c>
      <c r="BF32" s="5">
        <f t="shared" si="5"/>
        <v>5956</v>
      </c>
      <c r="BG32" s="5">
        <f t="shared" si="5"/>
        <v>8663</v>
      </c>
      <c r="BH32" s="5">
        <f t="shared" si="5"/>
        <v>13745</v>
      </c>
      <c r="BI32" s="5">
        <f t="shared" si="5"/>
        <v>13115</v>
      </c>
      <c r="BJ32" s="5">
        <f t="shared" si="5"/>
        <v>14066</v>
      </c>
      <c r="BK32" s="5">
        <f t="shared" si="5"/>
        <v>15407</v>
      </c>
      <c r="BL32" s="5">
        <f t="shared" si="5"/>
        <v>16784</v>
      </c>
      <c r="BM32" s="5">
        <f t="shared" si="5"/>
        <v>23244</v>
      </c>
      <c r="BN32" s="5">
        <f t="shared" si="5"/>
        <v>24260</v>
      </c>
      <c r="BO32" s="5">
        <f t="shared" si="5"/>
        <v>20299</v>
      </c>
      <c r="BP32" s="5">
        <f t="shared" si="5"/>
        <v>16618</v>
      </c>
      <c r="BQ32" s="5">
        <f t="shared" si="5"/>
        <v>9591</v>
      </c>
      <c r="BR32" s="5">
        <f t="shared" si="5"/>
        <v>4882</v>
      </c>
      <c r="BS32" s="5">
        <f t="shared" si="5"/>
        <v>5196</v>
      </c>
      <c r="BT32" s="5">
        <f t="shared" si="5"/>
        <v>6381</v>
      </c>
      <c r="BU32" s="5">
        <f t="shared" si="5"/>
        <v>1618</v>
      </c>
      <c r="BV32" s="5">
        <f t="shared" si="5"/>
        <v>2596</v>
      </c>
    </row>
    <row r="33" spans="3:74" x14ac:dyDescent="0.25">
      <c r="C33" t="s">
        <v>401</v>
      </c>
      <c r="M33" s="5">
        <f t="shared" si="6"/>
        <v>3262</v>
      </c>
      <c r="N33" s="5">
        <f t="shared" si="5"/>
        <v>3746</v>
      </c>
      <c r="O33" s="5">
        <f t="shared" si="5"/>
        <v>2748</v>
      </c>
      <c r="P33" s="5">
        <f t="shared" si="5"/>
        <v>2582</v>
      </c>
      <c r="Q33" s="5">
        <f t="shared" si="5"/>
        <v>143</v>
      </c>
      <c r="R33" s="5">
        <f t="shared" si="5"/>
        <v>1354</v>
      </c>
      <c r="S33" s="5">
        <f t="shared" si="5"/>
        <v>843</v>
      </c>
      <c r="T33" s="5">
        <f t="shared" si="5"/>
        <v>-701</v>
      </c>
      <c r="U33" s="5">
        <f t="shared" si="5"/>
        <v>-150</v>
      </c>
      <c r="V33" s="5">
        <f t="shared" si="5"/>
        <v>-1778</v>
      </c>
      <c r="W33" s="5">
        <f t="shared" si="5"/>
        <v>-2297</v>
      </c>
      <c r="X33" s="5">
        <f t="shared" si="5"/>
        <v>-1086</v>
      </c>
      <c r="Y33" s="5">
        <f t="shared" si="5"/>
        <v>432</v>
      </c>
      <c r="Z33" s="5">
        <f t="shared" si="5"/>
        <v>1318</v>
      </c>
      <c r="AA33" s="5">
        <f t="shared" si="5"/>
        <v>-1864</v>
      </c>
      <c r="AB33" s="5">
        <f t="shared" si="5"/>
        <v>-1229</v>
      </c>
      <c r="AC33" s="5">
        <f t="shared" si="5"/>
        <v>-2339</v>
      </c>
      <c r="AD33" s="5">
        <f t="shared" si="5"/>
        <v>-2318</v>
      </c>
      <c r="AE33" s="5">
        <f t="shared" si="5"/>
        <v>3117</v>
      </c>
      <c r="AF33" s="5">
        <f t="shared" si="5"/>
        <v>3086</v>
      </c>
      <c r="AG33" s="5">
        <f t="shared" si="5"/>
        <v>437</v>
      </c>
      <c r="AH33" s="5">
        <f t="shared" si="5"/>
        <v>3930</v>
      </c>
      <c r="AI33" s="5">
        <f t="shared" si="5"/>
        <v>13313</v>
      </c>
      <c r="AJ33" s="5">
        <f t="shared" si="5"/>
        <v>20606</v>
      </c>
      <c r="AK33" s="5">
        <f t="shared" si="5"/>
        <v>35254</v>
      </c>
      <c r="AL33" s="5">
        <f t="shared" si="5"/>
        <v>44619</v>
      </c>
      <c r="AM33" s="5">
        <f t="shared" si="5"/>
        <v>37688</v>
      </c>
      <c r="AN33" s="5">
        <f t="shared" si="5"/>
        <v>37189</v>
      </c>
      <c r="AO33" s="5">
        <f t="shared" si="5"/>
        <v>35921</v>
      </c>
      <c r="AP33" s="5">
        <f t="shared" si="5"/>
        <v>34831</v>
      </c>
      <c r="AQ33" s="5">
        <f t="shared" si="5"/>
        <v>29197</v>
      </c>
      <c r="AR33" s="5">
        <f t="shared" si="5"/>
        <v>20087</v>
      </c>
      <c r="AS33" s="5">
        <f t="shared" si="5"/>
        <v>6924</v>
      </c>
      <c r="AT33" s="5">
        <f t="shared" si="5"/>
        <v>-6391</v>
      </c>
      <c r="AU33" s="5">
        <f t="shared" si="5"/>
        <v>-10543</v>
      </c>
      <c r="AV33" s="5">
        <f t="shared" si="5"/>
        <v>-8530</v>
      </c>
      <c r="AW33" s="5">
        <f t="shared" si="5"/>
        <v>-7108</v>
      </c>
      <c r="AX33" s="5">
        <f t="shared" si="5"/>
        <v>-6070</v>
      </c>
      <c r="AY33" s="5">
        <f t="shared" si="5"/>
        <v>-1303</v>
      </c>
      <c r="AZ33" s="5">
        <f t="shared" si="5"/>
        <v>-3682</v>
      </c>
      <c r="BA33" s="5">
        <f t="shared" si="5"/>
        <v>-1570</v>
      </c>
      <c r="BB33" s="5">
        <f t="shared" si="5"/>
        <v>-4138</v>
      </c>
      <c r="BC33" s="5">
        <f t="shared" si="5"/>
        <v>-4125</v>
      </c>
      <c r="BD33" s="5">
        <f t="shared" si="5"/>
        <v>-2843</v>
      </c>
      <c r="BE33" s="5">
        <f t="shared" si="5"/>
        <v>-4942</v>
      </c>
      <c r="BF33" s="5">
        <f t="shared" si="5"/>
        <v>-5383</v>
      </c>
      <c r="BG33" s="5">
        <f t="shared" si="5"/>
        <v>-5991</v>
      </c>
      <c r="BH33" s="5">
        <f t="shared" si="5"/>
        <v>-7062</v>
      </c>
      <c r="BI33" s="5">
        <f t="shared" si="5"/>
        <v>-7463</v>
      </c>
      <c r="BJ33" s="5">
        <f t="shared" si="5"/>
        <v>-8131</v>
      </c>
      <c r="BK33" s="5">
        <f t="shared" si="5"/>
        <v>-7243</v>
      </c>
      <c r="BL33" s="5">
        <f t="shared" si="5"/>
        <v>-7608</v>
      </c>
      <c r="BM33" s="5">
        <f t="shared" si="5"/>
        <v>-6909</v>
      </c>
      <c r="BN33" s="5">
        <f t="shared" si="5"/>
        <v>-1153</v>
      </c>
      <c r="BO33" s="5">
        <f t="shared" si="5"/>
        <v>396</v>
      </c>
      <c r="BP33" s="5">
        <f t="shared" si="5"/>
        <v>-1318</v>
      </c>
      <c r="BQ33" s="5">
        <f t="shared" si="5"/>
        <v>-4129</v>
      </c>
      <c r="BR33" s="5">
        <f t="shared" si="5"/>
        <v>-10135</v>
      </c>
      <c r="BS33" s="5">
        <f t="shared" si="5"/>
        <v>-8742</v>
      </c>
      <c r="BT33" s="5">
        <f t="shared" si="5"/>
        <v>-8077</v>
      </c>
      <c r="BU33" s="5">
        <f t="shared" si="5"/>
        <v>-278</v>
      </c>
      <c r="BV33" s="5">
        <f t="shared" si="5"/>
        <v>2316</v>
      </c>
    </row>
    <row r="34" spans="3:74" x14ac:dyDescent="0.25">
      <c r="C34" t="s">
        <v>404</v>
      </c>
      <c r="M34" s="5">
        <f t="shared" si="6"/>
        <v>713</v>
      </c>
      <c r="N34" s="5">
        <f t="shared" si="5"/>
        <v>700</v>
      </c>
      <c r="O34" s="5">
        <f t="shared" si="5"/>
        <v>623</v>
      </c>
      <c r="P34" s="5">
        <f t="shared" si="5"/>
        <v>-209</v>
      </c>
      <c r="Q34" s="5">
        <f t="shared" si="5"/>
        <v>-2356</v>
      </c>
      <c r="R34" s="5">
        <f t="shared" si="5"/>
        <v>-2329</v>
      </c>
      <c r="S34" s="5">
        <f t="shared" si="5"/>
        <v>-2169</v>
      </c>
      <c r="T34" s="5">
        <f t="shared" si="5"/>
        <v>-2162</v>
      </c>
      <c r="U34" s="5">
        <f t="shared" si="5"/>
        <v>-2909</v>
      </c>
      <c r="V34" s="5">
        <f t="shared" si="5"/>
        <v>-2888</v>
      </c>
      <c r="W34" s="5">
        <f t="shared" si="5"/>
        <v>-2873</v>
      </c>
      <c r="X34" s="5">
        <f t="shared" si="5"/>
        <v>-2849</v>
      </c>
      <c r="Y34" s="5">
        <f t="shared" si="5"/>
        <v>31</v>
      </c>
      <c r="Z34" s="5">
        <f t="shared" si="5"/>
        <v>-17</v>
      </c>
      <c r="AA34" s="5">
        <f t="shared" si="5"/>
        <v>132</v>
      </c>
      <c r="AB34" s="5">
        <f t="shared" si="5"/>
        <v>168</v>
      </c>
      <c r="AC34" s="5">
        <f t="shared" si="5"/>
        <v>167</v>
      </c>
      <c r="AD34" s="5">
        <f t="shared" si="5"/>
        <v>215</v>
      </c>
      <c r="AE34" s="5">
        <f t="shared" si="5"/>
        <v>57</v>
      </c>
      <c r="AF34" s="5">
        <f t="shared" si="5"/>
        <v>24</v>
      </c>
      <c r="AG34" s="5">
        <f t="shared" si="5"/>
        <v>25</v>
      </c>
      <c r="AH34" s="5">
        <f t="shared" si="5"/>
        <v>-19</v>
      </c>
      <c r="AI34" s="5">
        <f t="shared" si="5"/>
        <v>-390</v>
      </c>
      <c r="AJ34" s="5">
        <f t="shared" si="5"/>
        <v>-359</v>
      </c>
      <c r="AK34" s="5">
        <f t="shared" si="5"/>
        <v>-222</v>
      </c>
      <c r="AL34" s="5">
        <f t="shared" si="5"/>
        <v>-50</v>
      </c>
      <c r="AM34" s="5">
        <f t="shared" si="5"/>
        <v>309</v>
      </c>
      <c r="AN34" s="5">
        <f t="shared" si="5"/>
        <v>266</v>
      </c>
      <c r="AO34" s="5">
        <f t="shared" si="5"/>
        <v>96</v>
      </c>
      <c r="AP34" s="5">
        <f t="shared" si="5"/>
        <v>-17</v>
      </c>
      <c r="AQ34" s="5">
        <f t="shared" si="5"/>
        <v>-6</v>
      </c>
      <c r="AR34" s="5">
        <f t="shared" si="5"/>
        <v>-25</v>
      </c>
      <c r="AS34" s="5">
        <f t="shared" si="5"/>
        <v>33</v>
      </c>
      <c r="AT34" s="5">
        <f t="shared" si="5"/>
        <v>30</v>
      </c>
      <c r="AU34" s="5">
        <f t="shared" si="5"/>
        <v>71</v>
      </c>
      <c r="AV34" s="5">
        <f t="shared" si="5"/>
        <v>68</v>
      </c>
      <c r="AW34" s="5">
        <f t="shared" si="5"/>
        <v>25</v>
      </c>
      <c r="AX34" s="5">
        <f t="shared" si="5"/>
        <v>1</v>
      </c>
      <c r="AY34" s="5">
        <f t="shared" si="5"/>
        <v>-47</v>
      </c>
      <c r="AZ34" s="5">
        <f t="shared" si="5"/>
        <v>-13</v>
      </c>
      <c r="BA34" s="5">
        <f t="shared" si="5"/>
        <v>-9</v>
      </c>
      <c r="BB34" s="5">
        <f t="shared" si="5"/>
        <v>-6</v>
      </c>
      <c r="BC34" s="5">
        <f t="shared" si="5"/>
        <v>-3</v>
      </c>
      <c r="BD34" s="5">
        <f t="shared" si="5"/>
        <v>-4</v>
      </c>
      <c r="BE34" s="5">
        <f t="shared" si="5"/>
        <v>16</v>
      </c>
      <c r="BF34" s="5">
        <f t="shared" si="5"/>
        <v>12</v>
      </c>
      <c r="BG34" s="5">
        <f t="shared" si="5"/>
        <v>10</v>
      </c>
      <c r="BH34" s="5">
        <f t="shared" si="5"/>
        <v>15</v>
      </c>
      <c r="BI34" s="5">
        <f t="shared" si="5"/>
        <v>-4</v>
      </c>
      <c r="BJ34" s="5">
        <f t="shared" si="5"/>
        <v>-6</v>
      </c>
      <c r="BK34" s="5">
        <f t="shared" si="5"/>
        <v>-2</v>
      </c>
      <c r="BL34" s="5">
        <f t="shared" si="5"/>
        <v>-5</v>
      </c>
      <c r="BM34" s="5">
        <f t="shared" si="5"/>
        <v>-9</v>
      </c>
      <c r="BN34" s="5">
        <f t="shared" si="5"/>
        <v>-7</v>
      </c>
      <c r="BO34" s="5">
        <f t="shared" si="5"/>
        <v>-3</v>
      </c>
      <c r="BP34" s="5">
        <f t="shared" si="5"/>
        <v>-23</v>
      </c>
      <c r="BQ34" s="5">
        <f t="shared" si="5"/>
        <v>-19</v>
      </c>
      <c r="BR34" s="5">
        <f t="shared" si="5"/>
        <v>-9</v>
      </c>
      <c r="BS34" s="5">
        <f t="shared" si="5"/>
        <v>-9</v>
      </c>
      <c r="BT34" s="5">
        <f t="shared" si="5"/>
        <v>30</v>
      </c>
      <c r="BU34" s="5">
        <f t="shared" si="5"/>
        <v>-3</v>
      </c>
      <c r="BV34" s="5">
        <f t="shared" si="5"/>
        <v>-2</v>
      </c>
    </row>
    <row r="35" spans="3:74" x14ac:dyDescent="0.25">
      <c r="C35" t="s">
        <v>407</v>
      </c>
      <c r="M35" s="5">
        <f t="shared" si="6"/>
        <v>-6383</v>
      </c>
      <c r="N35" s="5">
        <f t="shared" si="5"/>
        <v>-7549</v>
      </c>
      <c r="O35" s="5">
        <f t="shared" si="5"/>
        <v>-6317</v>
      </c>
      <c r="P35" s="5">
        <f t="shared" si="5"/>
        <v>-5575</v>
      </c>
      <c r="Q35" s="5">
        <f t="shared" si="5"/>
        <v>-7995</v>
      </c>
      <c r="R35" s="5">
        <f t="shared" si="5"/>
        <v>-8215</v>
      </c>
      <c r="S35" s="5">
        <f t="shared" si="5"/>
        <v>-11860</v>
      </c>
      <c r="T35" s="5">
        <f t="shared" si="5"/>
        <v>-13569</v>
      </c>
      <c r="U35" s="5">
        <f t="shared" si="5"/>
        <v>-11727</v>
      </c>
      <c r="V35" s="5">
        <f t="shared" si="5"/>
        <v>-8499</v>
      </c>
      <c r="W35" s="5">
        <f t="shared" si="5"/>
        <v>-8322</v>
      </c>
      <c r="X35" s="5">
        <f t="shared" si="5"/>
        <v>-6104</v>
      </c>
      <c r="Y35" s="5">
        <f t="shared" si="5"/>
        <v>-5056</v>
      </c>
      <c r="Z35" s="5">
        <f t="shared" ref="N35:BV36" si="7">-SUM(W16:Z16)</f>
        <v>-5305</v>
      </c>
      <c r="AA35" s="5">
        <f t="shared" si="7"/>
        <v>6121</v>
      </c>
      <c r="AB35" s="5">
        <f t="shared" si="7"/>
        <v>5439</v>
      </c>
      <c r="AC35" s="5">
        <f t="shared" si="7"/>
        <v>9542</v>
      </c>
      <c r="AD35" s="5">
        <f t="shared" si="7"/>
        <v>11420</v>
      </c>
      <c r="AE35" s="5">
        <f t="shared" si="7"/>
        <v>4269</v>
      </c>
      <c r="AF35" s="5">
        <f t="shared" si="7"/>
        <v>7932</v>
      </c>
      <c r="AG35" s="5">
        <f t="shared" si="7"/>
        <v>2247</v>
      </c>
      <c r="AH35" s="5">
        <f t="shared" si="7"/>
        <v>2544</v>
      </c>
      <c r="AI35" s="5">
        <f t="shared" si="7"/>
        <v>-3506</v>
      </c>
      <c r="AJ35" s="5">
        <f t="shared" si="7"/>
        <v>-10175</v>
      </c>
      <c r="AK35" s="5">
        <f t="shared" si="7"/>
        <v>-8232</v>
      </c>
      <c r="AL35" s="5">
        <f t="shared" si="7"/>
        <v>-10204</v>
      </c>
      <c r="AM35" s="5">
        <f t="shared" si="7"/>
        <v>-6070</v>
      </c>
      <c r="AN35" s="5">
        <f t="shared" si="7"/>
        <v>-1191</v>
      </c>
      <c r="AO35" s="5">
        <f t="shared" si="7"/>
        <v>-550</v>
      </c>
      <c r="AP35" s="5">
        <f t="shared" si="7"/>
        <v>-106</v>
      </c>
      <c r="AQ35" s="5">
        <f t="shared" si="7"/>
        <v>10903</v>
      </c>
      <c r="AR35" s="5">
        <f t="shared" si="7"/>
        <v>5223</v>
      </c>
      <c r="AS35" s="5">
        <f t="shared" si="7"/>
        <v>22367</v>
      </c>
      <c r="AT35" s="5">
        <f t="shared" si="7"/>
        <v>24081</v>
      </c>
      <c r="AU35" s="5">
        <f t="shared" si="7"/>
        <v>20879</v>
      </c>
      <c r="AV35" s="5">
        <f t="shared" si="7"/>
        <v>11442</v>
      </c>
      <c r="AW35" s="5">
        <f t="shared" si="7"/>
        <v>-14298</v>
      </c>
      <c r="AX35" s="5">
        <f t="shared" si="7"/>
        <v>-19109</v>
      </c>
      <c r="AY35" s="5">
        <f t="shared" si="7"/>
        <v>-28277</v>
      </c>
      <c r="AZ35" s="5">
        <f t="shared" si="7"/>
        <v>-15326</v>
      </c>
      <c r="BA35" s="5">
        <f t="shared" si="7"/>
        <v>-11216</v>
      </c>
      <c r="BB35" s="5">
        <f t="shared" si="7"/>
        <v>-9424</v>
      </c>
      <c r="BC35" s="5">
        <f t="shared" si="7"/>
        <v>-5696</v>
      </c>
      <c r="BD35" s="5">
        <f t="shared" si="7"/>
        <v>-4169</v>
      </c>
      <c r="BE35" s="5">
        <f t="shared" si="7"/>
        <v>-4797</v>
      </c>
      <c r="BF35" s="5">
        <f t="shared" si="7"/>
        <v>468</v>
      </c>
      <c r="BG35" s="5">
        <f t="shared" si="7"/>
        <v>1675</v>
      </c>
      <c r="BH35" s="5">
        <f t="shared" si="7"/>
        <v>-1647</v>
      </c>
      <c r="BI35" s="5">
        <f t="shared" si="7"/>
        <v>8707</v>
      </c>
      <c r="BJ35" s="5">
        <f t="shared" si="7"/>
        <v>5029</v>
      </c>
      <c r="BK35" s="5">
        <f t="shared" si="7"/>
        <v>-4659</v>
      </c>
      <c r="BL35" s="5">
        <f t="shared" si="7"/>
        <v>820</v>
      </c>
      <c r="BM35" s="5">
        <f t="shared" si="7"/>
        <v>-12085</v>
      </c>
      <c r="BN35" s="5">
        <f t="shared" si="7"/>
        <v>-15481</v>
      </c>
      <c r="BO35" s="5">
        <f t="shared" si="7"/>
        <v>-10903</v>
      </c>
      <c r="BP35" s="5">
        <f t="shared" si="7"/>
        <v>-14063</v>
      </c>
      <c r="BQ35" s="5">
        <f t="shared" si="7"/>
        <v>-1667</v>
      </c>
      <c r="BR35" s="5">
        <f t="shared" si="7"/>
        <v>5687</v>
      </c>
      <c r="BS35" s="5">
        <f t="shared" si="7"/>
        <v>22485</v>
      </c>
      <c r="BT35" s="5">
        <f t="shared" si="7"/>
        <v>25955</v>
      </c>
      <c r="BU35" s="5">
        <f t="shared" si="7"/>
        <v>17887</v>
      </c>
      <c r="BV35" s="5">
        <f t="shared" si="7"/>
        <v>15161</v>
      </c>
    </row>
    <row r="36" spans="3:74" x14ac:dyDescent="0.25">
      <c r="C36" t="s">
        <v>410</v>
      </c>
      <c r="M36" s="5">
        <f t="shared" si="6"/>
        <v>-4157</v>
      </c>
      <c r="N36" s="5">
        <f t="shared" si="7"/>
        <v>-3302</v>
      </c>
      <c r="O36" s="5">
        <f t="shared" si="7"/>
        <v>-1424</v>
      </c>
      <c r="P36" s="5">
        <f t="shared" si="7"/>
        <v>3009</v>
      </c>
      <c r="Q36" s="5">
        <f t="shared" si="7"/>
        <v>6108</v>
      </c>
      <c r="R36" s="5">
        <f t="shared" si="7"/>
        <v>4279</v>
      </c>
      <c r="S36" s="5">
        <f t="shared" si="7"/>
        <v>5204</v>
      </c>
      <c r="T36" s="5">
        <f t="shared" si="7"/>
        <v>3776</v>
      </c>
      <c r="U36" s="5">
        <f t="shared" si="7"/>
        <v>3304</v>
      </c>
      <c r="V36" s="5">
        <f t="shared" si="7"/>
        <v>6557</v>
      </c>
      <c r="W36" s="5">
        <f t="shared" si="7"/>
        <v>8569</v>
      </c>
      <c r="X36" s="5">
        <f t="shared" si="7"/>
        <v>9428</v>
      </c>
      <c r="Y36" s="5">
        <f t="shared" si="7"/>
        <v>11824</v>
      </c>
      <c r="Z36" s="5">
        <f t="shared" si="7"/>
        <v>12974</v>
      </c>
      <c r="AA36" s="5">
        <f t="shared" si="7"/>
        <v>8079</v>
      </c>
      <c r="AB36" s="5">
        <f t="shared" si="7"/>
        <v>6477</v>
      </c>
      <c r="AC36" s="5">
        <f t="shared" si="7"/>
        <v>-1195</v>
      </c>
      <c r="AD36" s="5">
        <f t="shared" si="7"/>
        <v>-5267</v>
      </c>
      <c r="AE36" s="5">
        <f t="shared" si="7"/>
        <v>-5383</v>
      </c>
      <c r="AF36" s="5">
        <f t="shared" si="7"/>
        <v>-6139</v>
      </c>
      <c r="AG36" s="5">
        <f t="shared" si="7"/>
        <v>4906</v>
      </c>
      <c r="AH36" s="5">
        <f t="shared" si="7"/>
        <v>1700</v>
      </c>
      <c r="AI36" s="5">
        <f t="shared" si="7"/>
        <v>2926</v>
      </c>
      <c r="AJ36" s="5">
        <f t="shared" si="7"/>
        <v>3268</v>
      </c>
      <c r="AK36" s="5">
        <f t="shared" si="7"/>
        <v>-14312</v>
      </c>
      <c r="AL36" s="5">
        <f t="shared" si="7"/>
        <v>-21705</v>
      </c>
      <c r="AM36" s="5">
        <f t="shared" si="7"/>
        <v>-17827</v>
      </c>
      <c r="AN36" s="5">
        <f t="shared" si="7"/>
        <v>-20281</v>
      </c>
      <c r="AO36" s="5">
        <f t="shared" si="7"/>
        <v>-14556</v>
      </c>
      <c r="AP36" s="5">
        <f t="shared" si="7"/>
        <v>-9771</v>
      </c>
      <c r="AQ36" s="5">
        <f t="shared" si="7"/>
        <v>-13316</v>
      </c>
      <c r="AR36" s="5">
        <f t="shared" si="7"/>
        <v>856</v>
      </c>
      <c r="AS36" s="5">
        <f t="shared" si="7"/>
        <v>-11277</v>
      </c>
      <c r="AT36" s="5">
        <f t="shared" si="7"/>
        <v>-5079</v>
      </c>
      <c r="AU36" s="5">
        <f t="shared" si="7"/>
        <v>-2565</v>
      </c>
      <c r="AV36" s="5">
        <f t="shared" si="7"/>
        <v>-29</v>
      </c>
      <c r="AW36" s="5">
        <f t="shared" si="7"/>
        <v>21374</v>
      </c>
      <c r="AX36" s="5">
        <f t="shared" si="7"/>
        <v>22418</v>
      </c>
      <c r="AY36" s="5">
        <f t="shared" si="7"/>
        <v>21438</v>
      </c>
      <c r="AZ36" s="5">
        <f t="shared" si="7"/>
        <v>9651</v>
      </c>
      <c r="BA36" s="5">
        <f t="shared" si="7"/>
        <v>7727</v>
      </c>
      <c r="BB36" s="5">
        <f t="shared" si="7"/>
        <v>5958</v>
      </c>
      <c r="BC36" s="5">
        <f t="shared" si="7"/>
        <v>2762</v>
      </c>
      <c r="BD36" s="5">
        <f t="shared" si="7"/>
        <v>-726</v>
      </c>
      <c r="BE36" s="5">
        <f t="shared" si="7"/>
        <v>105</v>
      </c>
      <c r="BF36" s="5">
        <f t="shared" si="7"/>
        <v>-2407</v>
      </c>
      <c r="BG36" s="5">
        <f t="shared" si="7"/>
        <v>-1287</v>
      </c>
      <c r="BH36" s="5">
        <f t="shared" si="7"/>
        <v>2690</v>
      </c>
      <c r="BI36" s="5">
        <f t="shared" si="7"/>
        <v>-6919</v>
      </c>
      <c r="BJ36" s="5">
        <f t="shared" si="7"/>
        <v>2277</v>
      </c>
      <c r="BK36" s="5">
        <f t="shared" si="7"/>
        <v>13618</v>
      </c>
      <c r="BL36" s="5">
        <f t="shared" si="7"/>
        <v>10982</v>
      </c>
      <c r="BM36" s="5">
        <f t="shared" si="7"/>
        <v>21675</v>
      </c>
      <c r="BN36" s="5">
        <f t="shared" si="7"/>
        <v>11593</v>
      </c>
      <c r="BO36" s="5">
        <f t="shared" si="7"/>
        <v>-159</v>
      </c>
      <c r="BP36" s="5">
        <f t="shared" si="7"/>
        <v>1923</v>
      </c>
      <c r="BQ36" s="5">
        <f t="shared" si="7"/>
        <v>-6093</v>
      </c>
      <c r="BR36" s="5">
        <f t="shared" si="7"/>
        <v>3613</v>
      </c>
      <c r="BS36" s="5">
        <f t="shared" si="7"/>
        <v>-8964</v>
      </c>
      <c r="BT36" s="5">
        <f t="shared" si="7"/>
        <v>-11481</v>
      </c>
      <c r="BU36" s="5">
        <f t="shared" si="7"/>
        <v>-7221</v>
      </c>
      <c r="BV36" s="5">
        <f t="shared" si="7"/>
        <v>-12860</v>
      </c>
    </row>
    <row r="37" spans="3:74" x14ac:dyDescent="0.2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row>
    <row r="38" spans="3:74" x14ac:dyDescent="0.25">
      <c r="C38" t="s">
        <v>413</v>
      </c>
      <c r="M38" s="5">
        <f t="shared" si="2"/>
        <v>-2258</v>
      </c>
      <c r="N38" s="5">
        <f t="shared" si="2"/>
        <v>-1863</v>
      </c>
      <c r="O38" s="5">
        <f t="shared" si="2"/>
        <v>-1037</v>
      </c>
      <c r="P38" s="5">
        <f t="shared" si="2"/>
        <v>-2701</v>
      </c>
      <c r="Q38" s="5">
        <f t="shared" si="2"/>
        <v>24</v>
      </c>
      <c r="R38" s="5">
        <f t="shared" si="2"/>
        <v>-548</v>
      </c>
      <c r="S38" s="5">
        <f t="shared" si="2"/>
        <v>-468</v>
      </c>
      <c r="T38" s="5">
        <f t="shared" si="2"/>
        <v>924</v>
      </c>
      <c r="U38" s="5">
        <f t="shared" si="2"/>
        <v>-697</v>
      </c>
      <c r="V38" s="5">
        <f t="shared" si="2"/>
        <v>-1257</v>
      </c>
      <c r="W38" s="5">
        <f t="shared" si="2"/>
        <v>-1404</v>
      </c>
      <c r="X38" s="5">
        <f t="shared" si="2"/>
        <v>-2039</v>
      </c>
      <c r="Y38" s="5">
        <f t="shared" si="2"/>
        <v>-3074</v>
      </c>
      <c r="Z38" s="5">
        <f t="shared" si="2"/>
        <v>-748</v>
      </c>
      <c r="AA38" s="5">
        <f t="shared" si="2"/>
        <v>-570</v>
      </c>
      <c r="AB38" s="5">
        <f t="shared" si="2"/>
        <v>312</v>
      </c>
      <c r="AC38" s="5">
        <f t="shared" ref="AC38:BV38" si="8">SUM(Z19:AC19)</f>
        <v>-199</v>
      </c>
      <c r="AD38" s="5">
        <f t="shared" si="8"/>
        <v>-1819</v>
      </c>
      <c r="AE38" s="5">
        <f t="shared" si="8"/>
        <v>-1620</v>
      </c>
      <c r="AF38" s="5">
        <f t="shared" si="8"/>
        <v>-2188</v>
      </c>
      <c r="AG38" s="5">
        <f t="shared" si="8"/>
        <v>-928</v>
      </c>
      <c r="AH38" s="5">
        <f t="shared" si="8"/>
        <v>-769</v>
      </c>
      <c r="AI38" s="5">
        <f t="shared" si="8"/>
        <v>-942</v>
      </c>
      <c r="AJ38" s="5">
        <f t="shared" si="8"/>
        <v>-1805</v>
      </c>
      <c r="AK38" s="5">
        <f t="shared" si="8"/>
        <v>776</v>
      </c>
      <c r="AL38" s="5">
        <f t="shared" si="8"/>
        <v>1659</v>
      </c>
      <c r="AM38" s="5">
        <f t="shared" si="8"/>
        <v>1455</v>
      </c>
      <c r="AN38" s="5">
        <f t="shared" si="8"/>
        <v>2444</v>
      </c>
      <c r="AO38" s="5">
        <f t="shared" si="8"/>
        <v>-295</v>
      </c>
      <c r="AP38" s="5">
        <f t="shared" si="8"/>
        <v>-1435</v>
      </c>
      <c r="AQ38" s="5">
        <f t="shared" si="8"/>
        <v>-1614</v>
      </c>
      <c r="AR38" s="5">
        <f t="shared" si="8"/>
        <v>-1346</v>
      </c>
      <c r="AS38" s="5">
        <f t="shared" si="8"/>
        <v>-1063</v>
      </c>
      <c r="AT38" s="5">
        <f t="shared" si="8"/>
        <v>-1131</v>
      </c>
      <c r="AU38" s="5">
        <f t="shared" si="8"/>
        <v>-1243</v>
      </c>
      <c r="AV38" s="5">
        <f t="shared" si="8"/>
        <v>-1512</v>
      </c>
      <c r="AW38" s="5">
        <f t="shared" si="8"/>
        <v>-1911</v>
      </c>
      <c r="AX38" s="5">
        <f t="shared" si="8"/>
        <v>-2339</v>
      </c>
      <c r="AY38" s="5">
        <f t="shared" si="8"/>
        <v>-709</v>
      </c>
      <c r="AZ38" s="5">
        <f t="shared" si="8"/>
        <v>-1465</v>
      </c>
      <c r="BA38" s="5">
        <f t="shared" si="8"/>
        <v>-1491</v>
      </c>
      <c r="BB38" s="5">
        <f t="shared" si="8"/>
        <v>148</v>
      </c>
      <c r="BC38" s="5">
        <f t="shared" si="8"/>
        <v>-2118</v>
      </c>
      <c r="BD38" s="5">
        <f t="shared" si="8"/>
        <v>-2756</v>
      </c>
      <c r="BE38" s="5">
        <f t="shared" si="8"/>
        <v>-2377</v>
      </c>
      <c r="BF38" s="5">
        <f t="shared" si="8"/>
        <v>-3876</v>
      </c>
      <c r="BG38" s="5">
        <f t="shared" si="8"/>
        <v>-4733</v>
      </c>
      <c r="BH38" s="5">
        <f t="shared" si="8"/>
        <v>-2461</v>
      </c>
      <c r="BI38" s="5">
        <f t="shared" si="8"/>
        <v>-3666</v>
      </c>
      <c r="BJ38" s="5">
        <f t="shared" si="8"/>
        <v>-4825</v>
      </c>
      <c r="BK38" s="5">
        <f t="shared" si="8"/>
        <v>-2864</v>
      </c>
      <c r="BL38" s="5">
        <f t="shared" si="8"/>
        <v>-3876</v>
      </c>
      <c r="BM38" s="5">
        <f t="shared" si="8"/>
        <v>-3751</v>
      </c>
      <c r="BN38" s="5">
        <f t="shared" si="8"/>
        <v>-3047</v>
      </c>
      <c r="BO38" s="5">
        <f t="shared" si="8"/>
        <v>-3796</v>
      </c>
      <c r="BP38" s="5">
        <f t="shared" si="8"/>
        <v>-4337</v>
      </c>
      <c r="BQ38" s="5">
        <f t="shared" si="8"/>
        <v>-3850</v>
      </c>
      <c r="BR38" s="5">
        <f t="shared" si="8"/>
        <v>-4955</v>
      </c>
      <c r="BS38" s="5">
        <f t="shared" si="8"/>
        <v>-5042</v>
      </c>
      <c r="BT38" s="5">
        <f t="shared" si="8"/>
        <v>-5251</v>
      </c>
      <c r="BU38" s="5">
        <f t="shared" si="8"/>
        <v>-4669</v>
      </c>
      <c r="BV38" s="5">
        <f t="shared" si="8"/>
        <v>-3389</v>
      </c>
    </row>
    <row r="40" spans="3:74" x14ac:dyDescent="0.25">
      <c r="C40" t="s">
        <v>416</v>
      </c>
      <c r="M40" s="5">
        <f t="shared" ref="M40:BV40" si="9">SUM(J21:M21)</f>
        <v>426.13499999999999</v>
      </c>
      <c r="N40" s="5">
        <f t="shared" si="9"/>
        <v>451.86400000000003</v>
      </c>
      <c r="O40" s="5">
        <f t="shared" si="9"/>
        <v>480.95100000000002</v>
      </c>
      <c r="P40" s="5">
        <f t="shared" si="9"/>
        <v>507.43099999999998</v>
      </c>
      <c r="Q40" s="5">
        <f t="shared" si="9"/>
        <v>529.61599999999999</v>
      </c>
      <c r="R40" s="5">
        <f t="shared" si="9"/>
        <v>546.88900000000001</v>
      </c>
      <c r="S40" s="5">
        <f t="shared" si="9"/>
        <v>558.62</v>
      </c>
      <c r="T40" s="5">
        <f t="shared" si="9"/>
        <v>570.04600000000005</v>
      </c>
      <c r="U40" s="5">
        <f t="shared" si="9"/>
        <v>580.851</v>
      </c>
      <c r="V40" s="5">
        <f t="shared" si="9"/>
        <v>589.82799999999997</v>
      </c>
      <c r="W40" s="5">
        <f t="shared" si="9"/>
        <v>602.46100000000001</v>
      </c>
      <c r="X40" s="5">
        <f t="shared" si="9"/>
        <v>609.65300000000002</v>
      </c>
      <c r="Y40" s="5">
        <f t="shared" si="9"/>
        <v>613.04</v>
      </c>
      <c r="Z40" s="5">
        <f t="shared" si="9"/>
        <v>597.74</v>
      </c>
      <c r="AA40" s="5">
        <f t="shared" si="9"/>
        <v>582.53399999999988</v>
      </c>
      <c r="AB40" s="5">
        <f t="shared" si="9"/>
        <v>570.18099999999993</v>
      </c>
      <c r="AC40" s="5">
        <f t="shared" si="9"/>
        <v>566.02099999999996</v>
      </c>
      <c r="AD40" s="5">
        <f t="shared" si="9"/>
        <v>584.13299999999992</v>
      </c>
      <c r="AE40" s="5">
        <f t="shared" si="9"/>
        <v>604.07799999999997</v>
      </c>
      <c r="AF40" s="5">
        <f t="shared" si="9"/>
        <v>631.1099999999999</v>
      </c>
      <c r="AG40" s="5">
        <f t="shared" si="9"/>
        <v>644.22899999999993</v>
      </c>
      <c r="AH40" s="5">
        <f t="shared" si="9"/>
        <v>618.25</v>
      </c>
      <c r="AI40" s="5">
        <f t="shared" si="9"/>
        <v>599.26900000000001</v>
      </c>
      <c r="AJ40" s="5">
        <f t="shared" si="9"/>
        <v>572.96799999999996</v>
      </c>
      <c r="AK40" s="5">
        <f t="shared" si="9"/>
        <v>557.13499999999999</v>
      </c>
      <c r="AL40" s="5">
        <f t="shared" si="9"/>
        <v>583.22500000000002</v>
      </c>
      <c r="AM40" s="5">
        <f t="shared" si="9"/>
        <v>603.17900000000009</v>
      </c>
      <c r="AN40" s="5">
        <f t="shared" si="9"/>
        <v>621.274</v>
      </c>
      <c r="AO40" s="5">
        <f t="shared" si="9"/>
        <v>642.88900000000001</v>
      </c>
      <c r="AP40" s="5">
        <f t="shared" si="9"/>
        <v>652.49300000000005</v>
      </c>
      <c r="AQ40" s="5">
        <f t="shared" si="9"/>
        <v>638.298</v>
      </c>
      <c r="AR40" s="5">
        <f t="shared" si="9"/>
        <v>596.79099999999994</v>
      </c>
      <c r="AS40" s="5">
        <f t="shared" si="9"/>
        <v>543.35500000000002</v>
      </c>
      <c r="AT40" s="5">
        <f t="shared" si="9"/>
        <v>498.42</v>
      </c>
      <c r="AU40" s="5">
        <f t="shared" si="9"/>
        <v>465.892</v>
      </c>
      <c r="AV40" s="5">
        <f t="shared" si="9"/>
        <v>457.173</v>
      </c>
      <c r="AW40" s="5">
        <f t="shared" si="9"/>
        <v>449.959</v>
      </c>
      <c r="AX40" s="5">
        <f t="shared" si="9"/>
        <v>439.68700000000001</v>
      </c>
      <c r="AY40" s="5">
        <f t="shared" si="9"/>
        <v>407.52800000000002</v>
      </c>
      <c r="AZ40" s="5">
        <f t="shared" si="9"/>
        <v>391.00199999999995</v>
      </c>
      <c r="BA40" s="5">
        <f t="shared" si="9"/>
        <v>385.61200000000002</v>
      </c>
      <c r="BB40" s="5">
        <f t="shared" si="9"/>
        <v>387.76900000000001</v>
      </c>
      <c r="BC40" s="5">
        <f t="shared" si="9"/>
        <v>422.16800000000001</v>
      </c>
      <c r="BD40" s="5">
        <f t="shared" si="9"/>
        <v>450.30600000000004</v>
      </c>
      <c r="BE40" s="5">
        <f t="shared" si="9"/>
        <v>484.58499999999998</v>
      </c>
      <c r="BF40" s="5">
        <f t="shared" si="9"/>
        <v>522.30999999999995</v>
      </c>
      <c r="BG40" s="5">
        <f t="shared" si="9"/>
        <v>565.92999999999995</v>
      </c>
      <c r="BH40" s="5">
        <f t="shared" si="9"/>
        <v>605.65900000000011</v>
      </c>
      <c r="BI40" s="5">
        <f t="shared" si="9"/>
        <v>631.06200000000001</v>
      </c>
      <c r="BJ40" s="5">
        <f t="shared" si="9"/>
        <v>648.33200000000011</v>
      </c>
      <c r="BK40" s="5">
        <f t="shared" si="9"/>
        <v>654.00800000000004</v>
      </c>
      <c r="BL40" s="5">
        <f t="shared" si="9"/>
        <v>658.93900000000008</v>
      </c>
      <c r="BM40" s="5">
        <f t="shared" si="9"/>
        <v>657.21299999999997</v>
      </c>
      <c r="BN40" s="5">
        <f t="shared" si="9"/>
        <v>627.87400000000002</v>
      </c>
      <c r="BO40" s="5">
        <f t="shared" si="9"/>
        <v>613.39699999999993</v>
      </c>
      <c r="BP40" s="5">
        <f t="shared" si="9"/>
        <v>615.94900000000007</v>
      </c>
      <c r="BQ40" s="5">
        <f t="shared" si="9"/>
        <v>634.23</v>
      </c>
      <c r="BR40" s="5">
        <f t="shared" si="9"/>
        <v>677.452</v>
      </c>
      <c r="BS40" s="5">
        <f t="shared" si="9"/>
        <v>701.46</v>
      </c>
      <c r="BT40" s="5">
        <f t="shared" si="9"/>
        <v>699.20100000000002</v>
      </c>
      <c r="BU40" s="5">
        <f t="shared" si="9"/>
        <v>687.45799999999997</v>
      </c>
      <c r="BV40" s="5">
        <f t="shared" si="9"/>
        <v>686.9</v>
      </c>
    </row>
    <row r="43" spans="3:74" x14ac:dyDescent="0.25">
      <c r="C43" t="s">
        <v>421</v>
      </c>
    </row>
    <row r="44" spans="3:74" x14ac:dyDescent="0.25">
      <c r="C44" t="s">
        <v>372</v>
      </c>
      <c r="M44" s="2">
        <f>(M23/1000)/M$40*100</f>
        <v>-0.38109988618630247</v>
      </c>
      <c r="N44" s="2">
        <f t="shared" ref="N44:BC48" si="10">(N23/1000)/N$40*100</f>
        <v>-0.49417523856735657</v>
      </c>
      <c r="O44" s="2">
        <f t="shared" si="10"/>
        <v>-0.79529931323565184</v>
      </c>
      <c r="P44" s="2">
        <f t="shared" si="10"/>
        <v>-0.94830627218281893</v>
      </c>
      <c r="Q44" s="2">
        <f t="shared" si="10"/>
        <v>-1.0082776955378991</v>
      </c>
      <c r="R44" s="2">
        <f t="shared" si="10"/>
        <v>-0.89232001375050518</v>
      </c>
      <c r="S44" s="2">
        <f t="shared" si="10"/>
        <v>-0.87537145107586556</v>
      </c>
      <c r="T44" s="2">
        <f t="shared" si="10"/>
        <v>-0.58030404563842208</v>
      </c>
      <c r="U44" s="2">
        <f t="shared" si="10"/>
        <v>-0.36808062652900653</v>
      </c>
      <c r="V44" s="2">
        <f t="shared" si="10"/>
        <v>-0.71919271380809324</v>
      </c>
      <c r="W44" s="2">
        <f t="shared" si="10"/>
        <v>-0.84105029205209969</v>
      </c>
      <c r="X44" s="2">
        <f t="shared" si="10"/>
        <v>-1.3376461692142907</v>
      </c>
      <c r="Y44" s="2">
        <f t="shared" si="10"/>
        <v>-2.1409695941537259</v>
      </c>
      <c r="Z44" s="2">
        <f t="shared" si="10"/>
        <v>-2.5574664569879881</v>
      </c>
      <c r="AA44" s="2">
        <f t="shared" si="10"/>
        <v>-2.4573672952995023</v>
      </c>
      <c r="AB44" s="2">
        <f t="shared" si="10"/>
        <v>-2.3033036877763378</v>
      </c>
      <c r="AC44" s="2">
        <f t="shared" si="10"/>
        <v>-1.6218479526377998</v>
      </c>
      <c r="AD44" s="2">
        <f t="shared" si="10"/>
        <v>-1.4852781815100329</v>
      </c>
      <c r="AE44" s="2">
        <f t="shared" si="10"/>
        <v>-1.9519002512920518</v>
      </c>
      <c r="AF44" s="2">
        <f t="shared" si="10"/>
        <v>-2.2910427659203632</v>
      </c>
      <c r="AG44" s="2">
        <f t="shared" si="10"/>
        <v>-2.7353627359215436</v>
      </c>
      <c r="AH44" s="2">
        <f t="shared" si="10"/>
        <v>-2.7456530529720991</v>
      </c>
      <c r="AI44" s="2">
        <f t="shared" si="10"/>
        <v>-2.9097116653789867</v>
      </c>
      <c r="AJ44" s="2">
        <f t="shared" si="10"/>
        <v>-2.7743259658480057</v>
      </c>
      <c r="AK44" s="2">
        <f t="shared" si="10"/>
        <v>-2.7113715706247139</v>
      </c>
      <c r="AL44" s="2">
        <f t="shared" si="10"/>
        <v>-2.9909554631574431</v>
      </c>
      <c r="AM44" s="2">
        <f t="shared" si="10"/>
        <v>-3.5011165839659535</v>
      </c>
      <c r="AN44" s="2">
        <f t="shared" si="10"/>
        <v>-4.2332368648937511</v>
      </c>
      <c r="AO44" s="2">
        <f t="shared" si="10"/>
        <v>-4.8456265389515139</v>
      </c>
      <c r="AP44" s="2">
        <f t="shared" si="10"/>
        <v>-5.1054953846248159</v>
      </c>
      <c r="AQ44" s="2">
        <f t="shared" si="10"/>
        <v>-5.5055788988842203</v>
      </c>
      <c r="AR44" s="2">
        <f t="shared" si="10"/>
        <v>-5.7561189763250455</v>
      </c>
      <c r="AS44" s="2">
        <f t="shared" si="10"/>
        <v>-4.9844024624784895</v>
      </c>
      <c r="AT44" s="2">
        <f t="shared" si="10"/>
        <v>-4.2375907868865612</v>
      </c>
      <c r="AU44" s="2">
        <f t="shared" si="10"/>
        <v>-3.1120946485451566</v>
      </c>
      <c r="AV44" s="2">
        <f t="shared" si="10"/>
        <v>-1.7385103669726776</v>
      </c>
      <c r="AW44" s="2">
        <f t="shared" si="10"/>
        <v>-0.77629295113554786</v>
      </c>
      <c r="AX44" s="2">
        <f t="shared" si="10"/>
        <v>1.3191201923186267E-2</v>
      </c>
      <c r="AY44" s="2">
        <f t="shared" si="10"/>
        <v>1.1613925914293004</v>
      </c>
      <c r="AZ44" s="2">
        <f t="shared" si="10"/>
        <v>1.7112444437624361</v>
      </c>
      <c r="BA44" s="2">
        <f t="shared" si="10"/>
        <v>0.69707374251838627</v>
      </c>
      <c r="BB44" s="2">
        <f t="shared" si="10"/>
        <v>0.76488837426405931</v>
      </c>
      <c r="BC44" s="2">
        <f t="shared" si="10"/>
        <v>0.62771219040761017</v>
      </c>
      <c r="BD44" s="2">
        <f>(BD23/1000)/BD$40*100</f>
        <v>1.0768233157008789</v>
      </c>
      <c r="BE44" s="2">
        <f t="shared" ref="BE44:BV48" si="11">(BE23/1000)/BE$40*100</f>
        <v>1.3671492101488902</v>
      </c>
      <c r="BF44" s="2">
        <f t="shared" si="11"/>
        <v>0.95479695965997213</v>
      </c>
      <c r="BG44" s="2">
        <f t="shared" si="11"/>
        <v>0.26275334405315148</v>
      </c>
      <c r="BH44" s="2">
        <f t="shared" si="11"/>
        <v>-0.9028182525150289</v>
      </c>
      <c r="BI44" s="2">
        <f t="shared" si="11"/>
        <v>-0.62830593507452515</v>
      </c>
      <c r="BJ44" s="2">
        <f t="shared" si="11"/>
        <v>-1.3258639092316897</v>
      </c>
      <c r="BK44" s="2">
        <f t="shared" si="11"/>
        <v>-2.2114408386441751</v>
      </c>
      <c r="BL44" s="2">
        <f t="shared" si="11"/>
        <v>-2.6190588203156886</v>
      </c>
      <c r="BM44" s="2">
        <f t="shared" si="11"/>
        <v>-3.4013325968902017</v>
      </c>
      <c r="BN44" s="2">
        <f t="shared" si="11"/>
        <v>-2.6154929173687713</v>
      </c>
      <c r="BO44" s="2">
        <f t="shared" si="11"/>
        <v>-0.99429896135781559</v>
      </c>
      <c r="BP44" s="2">
        <f t="shared" si="11"/>
        <v>0.15049947317066834</v>
      </c>
      <c r="BQ44" s="2">
        <f t="shared" si="11"/>
        <v>0.92884284880879164</v>
      </c>
      <c r="BR44" s="2">
        <f t="shared" si="11"/>
        <v>9.9638055537514106E-2</v>
      </c>
      <c r="BS44" s="2">
        <f t="shared" si="11"/>
        <v>-0.75271576426310838</v>
      </c>
      <c r="BT44" s="2">
        <f t="shared" si="11"/>
        <v>-1.1448782252885794</v>
      </c>
      <c r="BU44" s="2">
        <f t="shared" si="11"/>
        <v>-1.1328692080097986</v>
      </c>
      <c r="BV44" s="2">
        <f t="shared" si="11"/>
        <v>-0.62323482311835776</v>
      </c>
    </row>
    <row r="45" spans="3:74" x14ac:dyDescent="0.25">
      <c r="C45" t="s">
        <v>377</v>
      </c>
      <c r="M45" s="2">
        <f t="shared" ref="M45:AB48" si="12">(M24/1000)/M$40*100</f>
        <v>3.3198399568211951</v>
      </c>
      <c r="N45" s="2">
        <f t="shared" si="12"/>
        <v>3.0338774498521679</v>
      </c>
      <c r="O45" s="2">
        <f t="shared" si="12"/>
        <v>2.6347798424371716</v>
      </c>
      <c r="P45" s="2">
        <f t="shared" si="12"/>
        <v>2.3549999901464438</v>
      </c>
      <c r="Q45" s="2">
        <f t="shared" si="12"/>
        <v>2.3322558230869159</v>
      </c>
      <c r="R45" s="2">
        <f t="shared" si="12"/>
        <v>2.4348633817831407</v>
      </c>
      <c r="S45" s="2">
        <f t="shared" si="12"/>
        <v>2.330206580501951</v>
      </c>
      <c r="T45" s="2">
        <f t="shared" si="12"/>
        <v>2.535233998659757</v>
      </c>
      <c r="U45" s="2">
        <f t="shared" si="12"/>
        <v>2.5893043138429648</v>
      </c>
      <c r="V45" s="2">
        <f t="shared" si="12"/>
        <v>2.2048800667313184</v>
      </c>
      <c r="W45" s="2">
        <f t="shared" si="12"/>
        <v>2.0223715725997198</v>
      </c>
      <c r="X45" s="2">
        <f t="shared" si="12"/>
        <v>1.5257859798934803</v>
      </c>
      <c r="Y45" s="2">
        <f t="shared" si="12"/>
        <v>0.75623124102831796</v>
      </c>
      <c r="Z45" s="2">
        <f t="shared" si="12"/>
        <v>0.26884598654933584</v>
      </c>
      <c r="AA45" s="2">
        <f t="shared" si="12"/>
        <v>0.36564389374697448</v>
      </c>
      <c r="AB45" s="2">
        <f t="shared" si="12"/>
        <v>0.45897706166989083</v>
      </c>
      <c r="AC45" s="2">
        <f t="shared" si="10"/>
        <v>0.9791156158517087</v>
      </c>
      <c r="AD45" s="2">
        <f t="shared" si="10"/>
        <v>1.1458006994982308</v>
      </c>
      <c r="AE45" s="2">
        <f t="shared" si="10"/>
        <v>0.6378315383112777</v>
      </c>
      <c r="AF45" s="2">
        <f t="shared" si="10"/>
        <v>0.27285259305033993</v>
      </c>
      <c r="AG45" s="2">
        <f t="shared" si="10"/>
        <v>-0.12185108090446101</v>
      </c>
      <c r="AH45" s="2">
        <f t="shared" si="10"/>
        <v>4.1568944601698347E-2</v>
      </c>
      <c r="AI45" s="2">
        <f t="shared" si="10"/>
        <v>7.8595755829185224E-2</v>
      </c>
      <c r="AJ45" s="2">
        <f t="shared" si="10"/>
        <v>0.44993786738526415</v>
      </c>
      <c r="AK45" s="2">
        <f t="shared" si="10"/>
        <v>0.79244707297154193</v>
      </c>
      <c r="AL45" s="2">
        <f t="shared" si="10"/>
        <v>0.62051523854430113</v>
      </c>
      <c r="AM45" s="2">
        <f t="shared" si="10"/>
        <v>0.20391956616526763</v>
      </c>
      <c r="AN45" s="2">
        <f t="shared" si="10"/>
        <v>-0.36618303679213998</v>
      </c>
      <c r="AO45" s="2">
        <f t="shared" si="10"/>
        <v>-0.84711357637165985</v>
      </c>
      <c r="AP45" s="2">
        <f t="shared" si="10"/>
        <v>-0.9947999442139609</v>
      </c>
      <c r="AQ45" s="2">
        <f t="shared" si="10"/>
        <v>-1.1710830991167134</v>
      </c>
      <c r="AR45" s="2">
        <f t="shared" si="10"/>
        <v>-1.0961961557731266</v>
      </c>
      <c r="AS45" s="2">
        <f t="shared" si="10"/>
        <v>-0.13674301331541994</v>
      </c>
      <c r="AT45" s="2">
        <f t="shared" si="10"/>
        <v>0.69660125998154165</v>
      </c>
      <c r="AU45" s="2">
        <f t="shared" si="10"/>
        <v>2.0157032101860519</v>
      </c>
      <c r="AV45" s="2">
        <f t="shared" si="10"/>
        <v>3.1952893106110816</v>
      </c>
      <c r="AW45" s="2">
        <f t="shared" si="10"/>
        <v>4.0523692158618907</v>
      </c>
      <c r="AX45" s="2">
        <f t="shared" si="10"/>
        <v>4.4599908571324596</v>
      </c>
      <c r="AY45" s="2">
        <f t="shared" si="10"/>
        <v>5.086276280402819</v>
      </c>
      <c r="AZ45" s="2">
        <f t="shared" si="10"/>
        <v>5.1984388826655623</v>
      </c>
      <c r="BA45" s="2">
        <f t="shared" si="10"/>
        <v>3.7942283953818863</v>
      </c>
      <c r="BB45" s="2">
        <f t="shared" si="10"/>
        <v>3.5964710949044401</v>
      </c>
      <c r="BC45" s="2">
        <f t="shared" si="10"/>
        <v>3.2624452824467984</v>
      </c>
      <c r="BD45" s="2">
        <f t="shared" ref="BD45:BE48" si="13">(BD24/1000)/BD$40*100</f>
        <v>3.6337512713576983</v>
      </c>
      <c r="BE45" s="2">
        <f t="shared" si="13"/>
        <v>3.8579402994314727</v>
      </c>
      <c r="BF45" s="2">
        <f t="shared" si="11"/>
        <v>3.490647316727614</v>
      </c>
      <c r="BG45" s="2">
        <f t="shared" si="11"/>
        <v>2.8763274609934091</v>
      </c>
      <c r="BH45" s="2">
        <f t="shared" si="11"/>
        <v>1.7409136164079124</v>
      </c>
      <c r="BI45" s="2">
        <f t="shared" si="11"/>
        <v>1.9676355096646603</v>
      </c>
      <c r="BJ45" s="2">
        <f t="shared" si="11"/>
        <v>1.438614783783617</v>
      </c>
      <c r="BK45" s="2">
        <f t="shared" si="11"/>
        <v>0.61375396019620554</v>
      </c>
      <c r="BL45" s="2">
        <f t="shared" si="11"/>
        <v>0.27392520400219134</v>
      </c>
      <c r="BM45" s="2">
        <f t="shared" si="11"/>
        <v>-0.41965085900613652</v>
      </c>
      <c r="BN45" s="2">
        <f t="shared" si="11"/>
        <v>0.41791824474337214</v>
      </c>
      <c r="BO45" s="2">
        <f t="shared" si="11"/>
        <v>1.9289302034408387</v>
      </c>
      <c r="BP45" s="2">
        <f t="shared" si="11"/>
        <v>2.9908320331715772</v>
      </c>
      <c r="BQ45" s="2">
        <f t="shared" si="11"/>
        <v>3.5324724469041198</v>
      </c>
      <c r="BR45" s="2">
        <f t="shared" si="11"/>
        <v>2.8627858505104418</v>
      </c>
      <c r="BS45" s="2">
        <f t="shared" si="11"/>
        <v>2.1316967467852761</v>
      </c>
      <c r="BT45" s="2">
        <f t="shared" si="11"/>
        <v>2.001570363886779</v>
      </c>
      <c r="BU45" s="2">
        <f t="shared" si="11"/>
        <v>2.2341728512869152</v>
      </c>
      <c r="BV45" s="2">
        <f t="shared" si="11"/>
        <v>2.8589314310671137</v>
      </c>
    </row>
    <row r="46" spans="3:74" x14ac:dyDescent="0.25">
      <c r="C46" t="s">
        <v>381</v>
      </c>
      <c r="M46" s="2">
        <f t="shared" si="12"/>
        <v>-0.42334002135473497</v>
      </c>
      <c r="N46" s="2">
        <f t="shared" si="10"/>
        <v>-0.46142202078501493</v>
      </c>
      <c r="O46" s="2">
        <f t="shared" si="10"/>
        <v>-0.47884295905404084</v>
      </c>
      <c r="P46" s="2">
        <f t="shared" si="10"/>
        <v>-0.52263263379651614</v>
      </c>
      <c r="Q46" s="2">
        <f t="shared" si="10"/>
        <v>-0.59533699888220903</v>
      </c>
      <c r="R46" s="2">
        <f t="shared" si="10"/>
        <v>-0.64437207550343856</v>
      </c>
      <c r="S46" s="2">
        <f t="shared" si="10"/>
        <v>-0.67505638895850495</v>
      </c>
      <c r="T46" s="2">
        <f t="shared" si="10"/>
        <v>-0.68485701153941958</v>
      </c>
      <c r="U46" s="2">
        <f t="shared" si="10"/>
        <v>-0.70534439985469599</v>
      </c>
      <c r="V46" s="2">
        <f t="shared" si="10"/>
        <v>-0.78056653804159859</v>
      </c>
      <c r="W46" s="2">
        <f t="shared" si="10"/>
        <v>-0.80536333472208155</v>
      </c>
      <c r="X46" s="2">
        <f t="shared" si="10"/>
        <v>-0.85130393846991648</v>
      </c>
      <c r="Y46" s="2">
        <f t="shared" si="10"/>
        <v>-0.86927443559963458</v>
      </c>
      <c r="Z46" s="2">
        <f t="shared" si="10"/>
        <v>-0.86157861277478509</v>
      </c>
      <c r="AA46" s="2">
        <f t="shared" si="10"/>
        <v>-0.86999213779796558</v>
      </c>
      <c r="AB46" s="2">
        <f t="shared" si="10"/>
        <v>-0.84797634435381053</v>
      </c>
      <c r="AC46" s="2">
        <f t="shared" si="10"/>
        <v>-0.8201109146127088</v>
      </c>
      <c r="AD46" s="2">
        <f t="shared" si="10"/>
        <v>-0.79211412469420495</v>
      </c>
      <c r="AE46" s="2">
        <f t="shared" si="10"/>
        <v>-0.77456884706941831</v>
      </c>
      <c r="AF46" s="2">
        <f t="shared" si="10"/>
        <v>-0.80841691622696532</v>
      </c>
      <c r="AG46" s="2">
        <f t="shared" si="10"/>
        <v>-0.90278456884120406</v>
      </c>
      <c r="AH46" s="2">
        <f t="shared" si="10"/>
        <v>-1.0963202587949856</v>
      </c>
      <c r="AI46" s="2">
        <f t="shared" si="10"/>
        <v>-1.2445162356137227</v>
      </c>
      <c r="AJ46" s="2">
        <f t="shared" si="10"/>
        <v>-1.4204981779087138</v>
      </c>
      <c r="AK46" s="2">
        <f t="shared" si="10"/>
        <v>-1.5168675455679503</v>
      </c>
      <c r="AL46" s="2">
        <f t="shared" si="10"/>
        <v>-1.5455441724891763</v>
      </c>
      <c r="AM46" s="2">
        <f t="shared" si="10"/>
        <v>-1.5179573559424315</v>
      </c>
      <c r="AN46" s="2">
        <f t="shared" si="10"/>
        <v>-1.5258967862810935</v>
      </c>
      <c r="AO46" s="2">
        <f t="shared" si="10"/>
        <v>-1.508191927377821</v>
      </c>
      <c r="AP46" s="2">
        <f t="shared" si="10"/>
        <v>-1.5374877584893631</v>
      </c>
      <c r="AQ46" s="2">
        <f t="shared" si="10"/>
        <v>-1.6449996710000656</v>
      </c>
      <c r="AR46" s="2">
        <f t="shared" si="10"/>
        <v>-1.6595424528855163</v>
      </c>
      <c r="AS46" s="2">
        <f t="shared" si="10"/>
        <v>-1.6445969945983747</v>
      </c>
      <c r="AT46" s="2">
        <f t="shared" si="10"/>
        <v>-1.4543958910156092</v>
      </c>
      <c r="AU46" s="2">
        <f t="shared" si="10"/>
        <v>-1.2884960462939909</v>
      </c>
      <c r="AV46" s="2">
        <f t="shared" si="10"/>
        <v>-1.1669543039505832</v>
      </c>
      <c r="AW46" s="2">
        <f t="shared" si="10"/>
        <v>-1.0763202869594783</v>
      </c>
      <c r="AX46" s="2">
        <f t="shared" si="10"/>
        <v>-0.93680277106214183</v>
      </c>
      <c r="AY46" s="2">
        <f t="shared" si="10"/>
        <v>-0.76632771245165976</v>
      </c>
      <c r="AZ46" s="2">
        <f t="shared" si="10"/>
        <v>-0.62403772870727003</v>
      </c>
      <c r="BA46" s="2">
        <f t="shared" si="10"/>
        <v>-0.65791521010756915</v>
      </c>
      <c r="BB46" s="2">
        <f t="shared" si="10"/>
        <v>-0.56992694103963959</v>
      </c>
      <c r="BC46" s="2">
        <f t="shared" si="10"/>
        <v>-0.60544617308749127</v>
      </c>
      <c r="BD46" s="2">
        <f t="shared" si="13"/>
        <v>-0.66221635954217795</v>
      </c>
      <c r="BE46" s="2">
        <f t="shared" si="13"/>
        <v>-0.76374629837902541</v>
      </c>
      <c r="BF46" s="2">
        <f t="shared" si="11"/>
        <v>-0.94579847217169888</v>
      </c>
      <c r="BG46" s="2">
        <f t="shared" si="11"/>
        <v>-1.0743378156309085</v>
      </c>
      <c r="BH46" s="2">
        <f t="shared" si="11"/>
        <v>-1.1623702446426123</v>
      </c>
      <c r="BI46" s="2">
        <f t="shared" si="11"/>
        <v>-1.0735870643455001</v>
      </c>
      <c r="BJ46" s="2">
        <f t="shared" si="11"/>
        <v>-1.1096166778749159</v>
      </c>
      <c r="BK46" s="2">
        <f t="shared" si="11"/>
        <v>-1.0640542623331823</v>
      </c>
      <c r="BL46" s="2">
        <f t="shared" si="11"/>
        <v>-1.0029759962606553</v>
      </c>
      <c r="BM46" s="2">
        <f t="shared" si="11"/>
        <v>-0.9701573158169422</v>
      </c>
      <c r="BN46" s="2">
        <f t="shared" si="11"/>
        <v>-0.86434539413958833</v>
      </c>
      <c r="BO46" s="2">
        <f t="shared" si="11"/>
        <v>-0.80453605087732749</v>
      </c>
      <c r="BP46" s="2">
        <f t="shared" si="11"/>
        <v>-0.78610404432834535</v>
      </c>
      <c r="BQ46" s="2">
        <f t="shared" si="11"/>
        <v>-0.77858190246440562</v>
      </c>
      <c r="BR46" s="2">
        <f t="shared" si="11"/>
        <v>-1.2000850244740588</v>
      </c>
      <c r="BS46" s="2">
        <f t="shared" si="11"/>
        <v>-1.3556011746927836</v>
      </c>
      <c r="BT46" s="2">
        <f t="shared" si="11"/>
        <v>-1.5221660152087884</v>
      </c>
      <c r="BU46" s="2">
        <f t="shared" si="11"/>
        <v>-1.6876667374588701</v>
      </c>
      <c r="BV46" s="2">
        <f t="shared" si="11"/>
        <v>-1.6115882952394818</v>
      </c>
    </row>
    <row r="47" spans="3:74" x14ac:dyDescent="0.25">
      <c r="C47" t="s">
        <v>384</v>
      </c>
      <c r="M47" s="2">
        <f t="shared" si="12"/>
        <v>-3.4139415912797588</v>
      </c>
      <c r="N47" s="2">
        <f t="shared" si="10"/>
        <v>-3.1697590425437738</v>
      </c>
      <c r="O47" s="2">
        <f t="shared" si="10"/>
        <v>-3.0362760447529995</v>
      </c>
      <c r="P47" s="2">
        <f t="shared" si="10"/>
        <v>-2.8788150507162555</v>
      </c>
      <c r="Q47" s="2">
        <f t="shared" si="10"/>
        <v>-2.8460242892963961</v>
      </c>
      <c r="R47" s="2">
        <f t="shared" si="10"/>
        <v>-2.803311092378892</v>
      </c>
      <c r="S47" s="2">
        <f t="shared" si="10"/>
        <v>-2.6558304392968388</v>
      </c>
      <c r="T47" s="2">
        <f t="shared" si="10"/>
        <v>-2.5454086161467671</v>
      </c>
      <c r="U47" s="2">
        <f t="shared" si="10"/>
        <v>-2.367732860923025</v>
      </c>
      <c r="V47" s="2">
        <f t="shared" si="10"/>
        <v>-2.261676285289949</v>
      </c>
      <c r="W47" s="2">
        <f t="shared" si="10"/>
        <v>-2.2159110714220507</v>
      </c>
      <c r="X47" s="2">
        <f t="shared" si="10"/>
        <v>-2.1789444159218441</v>
      </c>
      <c r="Y47" s="2">
        <f t="shared" si="10"/>
        <v>-2.1476575753621296</v>
      </c>
      <c r="Z47" s="2">
        <f t="shared" si="10"/>
        <v>-2.1089436878910561</v>
      </c>
      <c r="AA47" s="2">
        <f t="shared" si="10"/>
        <v>-2.1131813765376788</v>
      </c>
      <c r="AB47" s="2">
        <f t="shared" si="10"/>
        <v>-2.111434790005279</v>
      </c>
      <c r="AC47" s="2">
        <f t="shared" si="10"/>
        <v>-2.0520440054344276</v>
      </c>
      <c r="AD47" s="2">
        <f t="shared" si="10"/>
        <v>-2.0637423326536939</v>
      </c>
      <c r="AE47" s="2">
        <f t="shared" si="10"/>
        <v>-2.0126539950138889</v>
      </c>
      <c r="AF47" s="2">
        <f t="shared" si="10"/>
        <v>-1.9096512493860025</v>
      </c>
      <c r="AG47" s="2">
        <f t="shared" si="10"/>
        <v>-1.8788350105319693</v>
      </c>
      <c r="AH47" s="2">
        <f t="shared" si="10"/>
        <v>-1.9047310958350181</v>
      </c>
      <c r="AI47" s="2">
        <f t="shared" si="10"/>
        <v>-1.9482068987382961</v>
      </c>
      <c r="AJ47" s="2">
        <f t="shared" si="10"/>
        <v>-2.0336214238840564</v>
      </c>
      <c r="AK47" s="2">
        <f t="shared" si="10"/>
        <v>-2.1885180432031732</v>
      </c>
      <c r="AL47" s="2">
        <f t="shared" si="10"/>
        <v>-2.2420163744695443</v>
      </c>
      <c r="AM47" s="2">
        <f t="shared" si="10"/>
        <v>-2.3412618808015528</v>
      </c>
      <c r="AN47" s="2">
        <f t="shared" si="10"/>
        <v>-2.430811525993362</v>
      </c>
      <c r="AO47" s="2">
        <f t="shared" si="10"/>
        <v>-2.547873738701393</v>
      </c>
      <c r="AP47" s="2">
        <f t="shared" si="10"/>
        <v>-2.6194917033592691</v>
      </c>
      <c r="AQ47" s="2">
        <f t="shared" si="10"/>
        <v>-2.7750361116594444</v>
      </c>
      <c r="AR47" s="2">
        <f t="shared" si="10"/>
        <v>-3.1448195431901622</v>
      </c>
      <c r="AS47" s="2">
        <f t="shared" si="10"/>
        <v>-3.4323784634355063</v>
      </c>
      <c r="AT47" s="2">
        <f t="shared" si="10"/>
        <v>-3.7554672765940369</v>
      </c>
      <c r="AU47" s="2">
        <f t="shared" si="10"/>
        <v>-4.0575927468168596</v>
      </c>
      <c r="AV47" s="2">
        <f t="shared" si="10"/>
        <v>-3.9864558930645515</v>
      </c>
      <c r="AW47" s="2">
        <f t="shared" si="10"/>
        <v>-3.940803495429583</v>
      </c>
      <c r="AX47" s="2">
        <f t="shared" si="10"/>
        <v>-3.6985400978423288</v>
      </c>
      <c r="AY47" s="2">
        <f t="shared" si="10"/>
        <v>-3.4343652460689813</v>
      </c>
      <c r="AZ47" s="2">
        <f t="shared" si="10"/>
        <v>-3.1634109288443542</v>
      </c>
      <c r="BA47" s="2">
        <f t="shared" si="10"/>
        <v>-2.7242409468585005</v>
      </c>
      <c r="BB47" s="2">
        <f t="shared" si="10"/>
        <v>-2.5582240973363009</v>
      </c>
      <c r="BC47" s="2">
        <f t="shared" si="10"/>
        <v>-2.3118758408974625</v>
      </c>
      <c r="BD47" s="2">
        <f t="shared" si="13"/>
        <v>-2.1707461148641145</v>
      </c>
      <c r="BE47" s="2">
        <f t="shared" si="13"/>
        <v>-2.0167772423826573</v>
      </c>
      <c r="BF47" s="2">
        <f t="shared" si="11"/>
        <v>-1.8841301142999372</v>
      </c>
      <c r="BG47" s="2">
        <f t="shared" si="11"/>
        <v>-1.8375064053858252</v>
      </c>
      <c r="BH47" s="2">
        <f t="shared" si="11"/>
        <v>-1.7767423583237427</v>
      </c>
      <c r="BI47" s="2">
        <f t="shared" si="11"/>
        <v>-1.8345265599893512</v>
      </c>
      <c r="BJ47" s="2">
        <f t="shared" si="11"/>
        <v>-1.9627289721932586</v>
      </c>
      <c r="BK47" s="2">
        <f t="shared" si="11"/>
        <v>-2.073522036427689</v>
      </c>
      <c r="BL47" s="2">
        <f t="shared" si="11"/>
        <v>-2.2094609667966223</v>
      </c>
      <c r="BM47" s="2">
        <f t="shared" si="11"/>
        <v>-2.3283166948919147</v>
      </c>
      <c r="BN47" s="2">
        <f t="shared" si="11"/>
        <v>-2.5041648483612953</v>
      </c>
      <c r="BO47" s="2">
        <f t="shared" si="11"/>
        <v>-2.4851768104506546</v>
      </c>
      <c r="BP47" s="2">
        <f t="shared" si="11"/>
        <v>-2.3995493133360064</v>
      </c>
      <c r="BQ47" s="2">
        <f t="shared" si="11"/>
        <v>-2.1790202292543714</v>
      </c>
      <c r="BR47" s="2">
        <f t="shared" si="11"/>
        <v>-1.8743763395783024</v>
      </c>
      <c r="BS47" s="2">
        <f t="shared" si="11"/>
        <v>-1.844011062640778</v>
      </c>
      <c r="BT47" s="2">
        <f t="shared" si="11"/>
        <v>-1.9605235118370825</v>
      </c>
      <c r="BU47" s="2">
        <f t="shared" si="11"/>
        <v>-2.0479796583936767</v>
      </c>
      <c r="BV47" s="2">
        <f t="shared" si="11"/>
        <v>-2.2910176153734167</v>
      </c>
    </row>
    <row r="48" spans="3:74" x14ac:dyDescent="0.25">
      <c r="C48" t="s">
        <v>388</v>
      </c>
      <c r="M48" s="2">
        <f t="shared" si="12"/>
        <v>0.13634176962699615</v>
      </c>
      <c r="N48" s="2">
        <f t="shared" si="10"/>
        <v>0.10312837490926473</v>
      </c>
      <c r="O48" s="2">
        <f t="shared" si="10"/>
        <v>8.5039848134217402E-2</v>
      </c>
      <c r="P48" s="2">
        <f t="shared" si="10"/>
        <v>9.8141422183508686E-2</v>
      </c>
      <c r="Q48" s="2">
        <f t="shared" si="10"/>
        <v>0.10101658560164345</v>
      </c>
      <c r="R48" s="2">
        <f t="shared" si="10"/>
        <v>0.12068262481051914</v>
      </c>
      <c r="S48" s="2">
        <f t="shared" si="10"/>
        <v>0.12530879667752676</v>
      </c>
      <c r="T48" s="2">
        <f t="shared" si="10"/>
        <v>0.11507843226686969</v>
      </c>
      <c r="U48" s="2">
        <f t="shared" si="10"/>
        <v>0.1156923204057495</v>
      </c>
      <c r="V48" s="2">
        <f t="shared" si="10"/>
        <v>0.11833958374305728</v>
      </c>
      <c r="W48" s="2">
        <f t="shared" si="10"/>
        <v>0.15801852734035896</v>
      </c>
      <c r="X48" s="2">
        <f t="shared" si="10"/>
        <v>0.16665217755018019</v>
      </c>
      <c r="Y48" s="2">
        <f t="shared" si="10"/>
        <v>0.11973117577972073</v>
      </c>
      <c r="Z48" s="2">
        <f t="shared" si="10"/>
        <v>0.14404256031050289</v>
      </c>
      <c r="AA48" s="2">
        <f t="shared" si="10"/>
        <v>0.15999066148928651</v>
      </c>
      <c r="AB48" s="2">
        <f t="shared" si="10"/>
        <v>0.19713038491286106</v>
      </c>
      <c r="AC48" s="2">
        <f t="shared" si="10"/>
        <v>0.27119135155762775</v>
      </c>
      <c r="AD48" s="2">
        <f t="shared" si="10"/>
        <v>0.22477757633963502</v>
      </c>
      <c r="AE48" s="2">
        <f t="shared" si="10"/>
        <v>0.19749105247997778</v>
      </c>
      <c r="AF48" s="2">
        <f t="shared" si="10"/>
        <v>0.15417280664226524</v>
      </c>
      <c r="AG48" s="2">
        <f t="shared" si="10"/>
        <v>0.16810792435609079</v>
      </c>
      <c r="AH48" s="2">
        <f t="shared" si="10"/>
        <v>0.21399110392236148</v>
      </c>
      <c r="AI48" s="2">
        <f t="shared" si="10"/>
        <v>0.20458258311376026</v>
      </c>
      <c r="AJ48" s="2">
        <f t="shared" si="10"/>
        <v>0.22985576855950071</v>
      </c>
      <c r="AK48" s="2">
        <f t="shared" si="10"/>
        <v>0.20174643488562022</v>
      </c>
      <c r="AL48" s="2">
        <f t="shared" si="10"/>
        <v>0.17608984525697627</v>
      </c>
      <c r="AM48" s="2">
        <f t="shared" si="10"/>
        <v>0.15418308661276336</v>
      </c>
      <c r="AN48" s="2">
        <f t="shared" si="10"/>
        <v>8.9976403326068696E-2</v>
      </c>
      <c r="AO48" s="2">
        <f t="shared" si="10"/>
        <v>5.7708251346655491E-2</v>
      </c>
      <c r="AP48" s="2">
        <f t="shared" si="10"/>
        <v>4.6437279786909591E-2</v>
      </c>
      <c r="AQ48" s="2">
        <f t="shared" si="10"/>
        <v>8.553998289200343E-2</v>
      </c>
      <c r="AR48" s="2">
        <f t="shared" si="10"/>
        <v>0.14427161267512414</v>
      </c>
      <c r="AS48" s="2">
        <f t="shared" si="10"/>
        <v>0.22913196713014514</v>
      </c>
      <c r="AT48" s="2">
        <f t="shared" si="10"/>
        <v>0.27567112074154326</v>
      </c>
      <c r="AU48" s="2">
        <f t="shared" si="10"/>
        <v>0.21850557639968063</v>
      </c>
      <c r="AV48" s="2">
        <f t="shared" si="10"/>
        <v>0.219610519431375</v>
      </c>
      <c r="AW48" s="2">
        <f t="shared" si="10"/>
        <v>0.18868385786260525</v>
      </c>
      <c r="AX48" s="2">
        <f t="shared" si="10"/>
        <v>0.1885432136951968</v>
      </c>
      <c r="AY48" s="2">
        <f t="shared" si="10"/>
        <v>0.27605465145953162</v>
      </c>
      <c r="AZ48" s="2">
        <f t="shared" si="10"/>
        <v>0.30076572498350396</v>
      </c>
      <c r="BA48" s="2">
        <f t="shared" si="10"/>
        <v>0.28500150410256941</v>
      </c>
      <c r="BB48" s="2">
        <f t="shared" si="10"/>
        <v>0.29656831773555903</v>
      </c>
      <c r="BC48" s="2">
        <f t="shared" si="10"/>
        <v>0.28211517689640142</v>
      </c>
      <c r="BD48" s="2">
        <f t="shared" si="13"/>
        <v>0.27536830510808202</v>
      </c>
      <c r="BE48" s="2">
        <f t="shared" si="13"/>
        <v>0.28911336504431628</v>
      </c>
      <c r="BF48" s="2">
        <f t="shared" si="11"/>
        <v>0.29350385786218913</v>
      </c>
      <c r="BG48" s="2">
        <f t="shared" si="11"/>
        <v>0.29809340377785243</v>
      </c>
      <c r="BH48" s="2">
        <f t="shared" si="11"/>
        <v>0.29538073404341381</v>
      </c>
      <c r="BI48" s="2">
        <f t="shared" si="11"/>
        <v>0.31233064263099347</v>
      </c>
      <c r="BJ48" s="2">
        <f t="shared" si="11"/>
        <v>0.30786695705286793</v>
      </c>
      <c r="BK48" s="2">
        <f t="shared" si="11"/>
        <v>0.31222859659209057</v>
      </c>
      <c r="BL48" s="2">
        <f t="shared" si="11"/>
        <v>0.31930117962360699</v>
      </c>
      <c r="BM48" s="2">
        <f t="shared" si="11"/>
        <v>0.31648795748106023</v>
      </c>
      <c r="BN48" s="2">
        <f t="shared" si="11"/>
        <v>0.33493981276498153</v>
      </c>
      <c r="BO48" s="2">
        <f t="shared" si="11"/>
        <v>0.36615764341853652</v>
      </c>
      <c r="BP48" s="2">
        <f t="shared" si="11"/>
        <v>0.34499609545595494</v>
      </c>
      <c r="BQ48" s="2">
        <f t="shared" si="11"/>
        <v>0.35397253362344894</v>
      </c>
      <c r="BR48" s="2">
        <f t="shared" si="11"/>
        <v>0.31131356907943292</v>
      </c>
      <c r="BS48" s="2">
        <f t="shared" si="11"/>
        <v>0.31519972628517662</v>
      </c>
      <c r="BT48" s="2">
        <f t="shared" si="11"/>
        <v>0.33609791748009515</v>
      </c>
      <c r="BU48" s="2">
        <f t="shared" si="11"/>
        <v>0.36831340969193754</v>
      </c>
      <c r="BV48" s="2">
        <f t="shared" si="11"/>
        <v>0.42014849323045567</v>
      </c>
    </row>
    <row r="51" spans="3:74" x14ac:dyDescent="0.25">
      <c r="C51" t="s">
        <v>391</v>
      </c>
      <c r="M51" s="2">
        <f t="shared" ref="M51:BV56" si="14">(M30/1000)/M$40*100</f>
        <v>1.8538725990589835E-2</v>
      </c>
      <c r="N51" s="2">
        <f t="shared" si="14"/>
        <v>1.7261830993396243E-2</v>
      </c>
      <c r="O51" s="2">
        <f t="shared" si="14"/>
        <v>1.5594104181091212E-2</v>
      </c>
      <c r="P51" s="2">
        <f t="shared" si="14"/>
        <v>1.2809623377365595E-2</v>
      </c>
      <c r="Q51" s="2">
        <f t="shared" si="14"/>
        <v>1.1895411014772967E-2</v>
      </c>
      <c r="R51" s="2">
        <f t="shared" si="14"/>
        <v>8.7769181680377555E-3</v>
      </c>
      <c r="S51" s="2">
        <f t="shared" si="14"/>
        <v>1.2351867101070496E-2</v>
      </c>
      <c r="T51" s="2">
        <f t="shared" si="14"/>
        <v>9.1220708504225964E-3</v>
      </c>
      <c r="U51" s="2">
        <f t="shared" si="14"/>
        <v>8.0915759807592656E-3</v>
      </c>
      <c r="V51" s="2">
        <f t="shared" si="14"/>
        <v>7.9684246933004205E-3</v>
      </c>
      <c r="W51" s="2">
        <f t="shared" si="14"/>
        <v>4.1496462011648885E-3</v>
      </c>
      <c r="X51" s="2">
        <f t="shared" si="14"/>
        <v>4.9208320142769737E-3</v>
      </c>
      <c r="Y51" s="2">
        <f t="shared" si="14"/>
        <v>5.3830092653007963E-3</v>
      </c>
      <c r="Z51" s="2">
        <f t="shared" si="14"/>
        <v>5.688091812493727E-3</v>
      </c>
      <c r="AA51" s="2">
        <f t="shared" si="14"/>
        <v>8.5831899940604344E-3</v>
      </c>
      <c r="AB51" s="2">
        <f t="shared" si="14"/>
        <v>9.9968255694244477E-3</v>
      </c>
      <c r="AC51" s="2">
        <f t="shared" si="14"/>
        <v>1.0070297745136667E-2</v>
      </c>
      <c r="AD51" s="2">
        <f t="shared" si="14"/>
        <v>1.1127602789090842E-2</v>
      </c>
      <c r="AE51" s="2">
        <f t="shared" si="14"/>
        <v>8.6081598733938336E-3</v>
      </c>
      <c r="AF51" s="2">
        <f t="shared" si="14"/>
        <v>8.0810001426058851E-3</v>
      </c>
      <c r="AG51" s="2">
        <f t="shared" si="14"/>
        <v>8.2268882648871763E-3</v>
      </c>
      <c r="AH51" s="2">
        <f t="shared" si="14"/>
        <v>2.0380105135463001E-2</v>
      </c>
      <c r="AI51" s="2">
        <f t="shared" si="14"/>
        <v>2.5864845336568385E-2</v>
      </c>
      <c r="AJ51" s="2">
        <f t="shared" si="14"/>
        <v>3.9269208751623132E-2</v>
      </c>
      <c r="AK51" s="2">
        <f t="shared" si="14"/>
        <v>6.5513744424600853E-2</v>
      </c>
      <c r="AL51" s="2">
        <f t="shared" si="14"/>
        <v>5.6067555403146299E-2</v>
      </c>
      <c r="AM51" s="2">
        <f t="shared" si="14"/>
        <v>5.6202221894329871E-2</v>
      </c>
      <c r="AN51" s="2">
        <f t="shared" si="14"/>
        <v>4.9736509173086273E-2</v>
      </c>
      <c r="AO51" s="2">
        <f t="shared" si="14"/>
        <v>2.7065325429428716E-2</v>
      </c>
      <c r="AP51" s="2">
        <f t="shared" si="14"/>
        <v>2.3448527417152365E-2</v>
      </c>
      <c r="AQ51" s="2">
        <f t="shared" si="14"/>
        <v>2.0366662593334146E-2</v>
      </c>
      <c r="AR51" s="2">
        <f t="shared" si="14"/>
        <v>1.6421159166274294E-2</v>
      </c>
      <c r="AS51" s="2">
        <f t="shared" si="14"/>
        <v>2.0428633214012937E-2</v>
      </c>
      <c r="AT51" s="2">
        <f t="shared" si="14"/>
        <v>2.4878616427912201E-2</v>
      </c>
      <c r="AU51" s="2">
        <f t="shared" si="14"/>
        <v>5.1943368849432917E-2</v>
      </c>
      <c r="AV51" s="2">
        <f t="shared" si="14"/>
        <v>6.0152283708792956E-2</v>
      </c>
      <c r="AW51" s="2">
        <f t="shared" si="14"/>
        <v>6.2894619287535078E-2</v>
      </c>
      <c r="AX51" s="2">
        <f t="shared" si="14"/>
        <v>6.5501140584097312E-2</v>
      </c>
      <c r="AY51" s="2">
        <f t="shared" si="14"/>
        <v>4.4414126145933527E-2</v>
      </c>
      <c r="AZ51" s="2">
        <f t="shared" si="14"/>
        <v>3.6061196617920115E-2</v>
      </c>
      <c r="BA51" s="2">
        <f t="shared" si="14"/>
        <v>4.252979679055631E-2</v>
      </c>
      <c r="BB51" s="2">
        <f t="shared" si="14"/>
        <v>4.3324762938759934E-2</v>
      </c>
      <c r="BC51" s="2">
        <f t="shared" si="14"/>
        <v>5.4480680676886925E-2</v>
      </c>
      <c r="BD51" s="2">
        <f t="shared" si="14"/>
        <v>5.7738515587178491E-2</v>
      </c>
      <c r="BE51" s="2">
        <f t="shared" si="14"/>
        <v>5.2209622666818001E-2</v>
      </c>
      <c r="BF51" s="2">
        <f t="shared" si="14"/>
        <v>4.6141180524975595E-2</v>
      </c>
      <c r="BG51" s="2">
        <f t="shared" si="14"/>
        <v>3.0745851960489814E-2</v>
      </c>
      <c r="BH51" s="2">
        <f t="shared" si="14"/>
        <v>3.0545240803818645E-2</v>
      </c>
      <c r="BI51" s="2">
        <f t="shared" si="14"/>
        <v>3.0266439747600075E-2</v>
      </c>
      <c r="BJ51" s="2">
        <f t="shared" si="14"/>
        <v>2.8380521091045937E-2</v>
      </c>
      <c r="BK51" s="2">
        <f t="shared" si="14"/>
        <v>3.1498085650328432E-2</v>
      </c>
      <c r="BL51" s="2">
        <f t="shared" si="14"/>
        <v>2.4736735873882101E-2</v>
      </c>
      <c r="BM51" s="2">
        <f t="shared" si="14"/>
        <v>2.9062115326385817E-2</v>
      </c>
      <c r="BN51" s="2">
        <f t="shared" si="14"/>
        <v>4.1250314553556919E-2</v>
      </c>
      <c r="BO51" s="2">
        <f t="shared" si="14"/>
        <v>4.3528090290627444E-2</v>
      </c>
      <c r="BP51" s="2">
        <f t="shared" si="14"/>
        <v>4.4484202425850196E-2</v>
      </c>
      <c r="BQ51" s="2">
        <f t="shared" si="14"/>
        <v>4.3832678996578535E-2</v>
      </c>
      <c r="BR51" s="2">
        <f t="shared" si="14"/>
        <v>3.572208805937542E-2</v>
      </c>
      <c r="BS51" s="2">
        <f t="shared" si="14"/>
        <v>5.0893849970062431E-2</v>
      </c>
      <c r="BT51" s="2">
        <f t="shared" si="14"/>
        <v>6.4216155297260727E-2</v>
      </c>
      <c r="BU51" s="2">
        <f t="shared" si="14"/>
        <v>6.6040398104320566E-2</v>
      </c>
      <c r="BV51" s="2">
        <f t="shared" si="14"/>
        <v>6.667637210656574E-2</v>
      </c>
    </row>
    <row r="52" spans="3:74" x14ac:dyDescent="0.25">
      <c r="C52" t="s">
        <v>395</v>
      </c>
      <c r="M52" s="2">
        <f>-(M31/1000)/M$40*100</f>
        <v>-0.89244018914193868</v>
      </c>
      <c r="N52" s="2">
        <f t="shared" ref="N52:AH57" si="15">-(N31/1000)/N$40*100</f>
        <v>-0.88920560168546281</v>
      </c>
      <c r="O52" s="2">
        <f t="shared" si="15"/>
        <v>-0.99531968953178174</v>
      </c>
      <c r="P52" s="2">
        <f t="shared" si="15"/>
        <v>-1.467588696788332</v>
      </c>
      <c r="Q52" s="2">
        <f t="shared" si="15"/>
        <v>-0.99166188332678773</v>
      </c>
      <c r="R52" s="2">
        <f t="shared" si="15"/>
        <v>-0.98392909712939924</v>
      </c>
      <c r="S52" s="2">
        <f t="shared" si="15"/>
        <v>-0.94697647774873805</v>
      </c>
      <c r="T52" s="2">
        <f t="shared" si="15"/>
        <v>-0.40908979275356722</v>
      </c>
      <c r="U52" s="2">
        <f t="shared" si="15"/>
        <v>-0.47998540073099633</v>
      </c>
      <c r="V52" s="2">
        <f t="shared" si="15"/>
        <v>-0.92416772347192733</v>
      </c>
      <c r="W52" s="2">
        <f t="shared" si="15"/>
        <v>-1.0696128048122615</v>
      </c>
      <c r="X52" s="2">
        <f t="shared" si="15"/>
        <v>-1.6671778864370386</v>
      </c>
      <c r="Y52" s="2">
        <f t="shared" si="15"/>
        <v>-2.6368589325329506</v>
      </c>
      <c r="Z52" s="2">
        <f t="shared" si="15"/>
        <v>-2.6767490882323419</v>
      </c>
      <c r="AA52" s="2">
        <f t="shared" si="15"/>
        <v>-2.5464608074378496</v>
      </c>
      <c r="AB52" s="2">
        <f t="shared" si="15"/>
        <v>-2.2382366301227159</v>
      </c>
      <c r="AC52" s="2">
        <f t="shared" si="15"/>
        <v>-1.6467586891652433</v>
      </c>
      <c r="AD52" s="2">
        <f t="shared" si="15"/>
        <v>-1.7855522629264227</v>
      </c>
      <c r="AE52" s="2">
        <f t="shared" si="15"/>
        <v>-2.2116349213181081</v>
      </c>
      <c r="AF52" s="2">
        <f t="shared" si="15"/>
        <v>-2.6298109679770572</v>
      </c>
      <c r="AG52" s="2">
        <f t="shared" si="15"/>
        <v>-2.8713392287525092</v>
      </c>
      <c r="AH52" s="2">
        <f t="shared" si="15"/>
        <v>-2.8494945410432675</v>
      </c>
      <c r="AI52" s="2">
        <f t="shared" si="14"/>
        <v>3.0408714617308754</v>
      </c>
      <c r="AJ52" s="2">
        <f t="shared" si="14"/>
        <v>3.0499085463760633</v>
      </c>
      <c r="AK52" s="2">
        <f t="shared" si="14"/>
        <v>2.5063943209455521</v>
      </c>
      <c r="AL52" s="2">
        <f t="shared" si="14"/>
        <v>2.6502636203866432</v>
      </c>
      <c r="AM52" s="2">
        <f t="shared" si="14"/>
        <v>3.2036924362419774</v>
      </c>
      <c r="AN52" s="2">
        <f t="shared" si="14"/>
        <v>3.789954190904496</v>
      </c>
      <c r="AO52" s="2">
        <f t="shared" si="14"/>
        <v>4.8644478284742778</v>
      </c>
      <c r="AP52" s="2">
        <f t="shared" si="14"/>
        <v>5.3021258465608057</v>
      </c>
      <c r="AQ52" s="2">
        <f t="shared" si="14"/>
        <v>5.7382288523542293</v>
      </c>
      <c r="AR52" s="2">
        <f t="shared" si="14"/>
        <v>5.9655725371193604</v>
      </c>
      <c r="AS52" s="2">
        <f t="shared" si="14"/>
        <v>5.1599782830746008</v>
      </c>
      <c r="AT52" s="2">
        <f t="shared" si="14"/>
        <v>4.439829862365074</v>
      </c>
      <c r="AU52" s="2">
        <f t="shared" si="14"/>
        <v>3.3269513106041746</v>
      </c>
      <c r="AV52" s="2">
        <f t="shared" si="14"/>
        <v>2.0090862758736847</v>
      </c>
      <c r="AW52" s="2">
        <f t="shared" si="14"/>
        <v>1.1376592089501487</v>
      </c>
      <c r="AX52" s="2">
        <f t="shared" si="14"/>
        <v>0.4530495557066731</v>
      </c>
      <c r="AY52" s="2">
        <f t="shared" si="14"/>
        <v>-1.0320763235900354</v>
      </c>
      <c r="AZ52" s="2">
        <f t="shared" si="14"/>
        <v>-1.3728830031559942</v>
      </c>
      <c r="BA52" s="2">
        <f t="shared" si="14"/>
        <v>-0.35294544775577519</v>
      </c>
      <c r="BB52" s="2">
        <f t="shared" si="14"/>
        <v>-0.84663807576160033</v>
      </c>
      <c r="BC52" s="2">
        <f t="shared" si="14"/>
        <v>-0.18073373633245532</v>
      </c>
      <c r="BD52" s="2">
        <f t="shared" si="14"/>
        <v>-0.5227556372777622</v>
      </c>
      <c r="BE52" s="2">
        <f t="shared" si="14"/>
        <v>-0.92904237646646104</v>
      </c>
      <c r="BF52" s="2">
        <f t="shared" si="14"/>
        <v>-0.2590415653539086</v>
      </c>
      <c r="BG52" s="2">
        <f t="shared" si="14"/>
        <v>0.54246991677415934</v>
      </c>
      <c r="BH52" s="2">
        <f t="shared" si="14"/>
        <v>1.2781119408776223</v>
      </c>
      <c r="BI52" s="2">
        <f t="shared" si="14"/>
        <v>1.17848959373247</v>
      </c>
      <c r="BJ52" s="2">
        <f t="shared" si="14"/>
        <v>2.0415466150058919</v>
      </c>
      <c r="BK52" s="2">
        <f t="shared" si="14"/>
        <v>2.617857885530452</v>
      </c>
      <c r="BL52" s="2">
        <f t="shared" si="14"/>
        <v>3.1826921763623033</v>
      </c>
      <c r="BM52" s="2">
        <f t="shared" si="14"/>
        <v>3.9430139087327856</v>
      </c>
      <c r="BN52" s="2">
        <f t="shared" si="14"/>
        <v>3.0593717847848452</v>
      </c>
      <c r="BO52" s="2">
        <f t="shared" si="14"/>
        <v>1.5696196753489176</v>
      </c>
      <c r="BP52" s="2">
        <f t="shared" si="14"/>
        <v>0.50897071023737339</v>
      </c>
      <c r="BQ52" s="2">
        <f t="shared" si="14"/>
        <v>-0.36564022515491224</v>
      </c>
      <c r="BR52" s="2">
        <f t="shared" si="14"/>
        <v>0.5959093780813991</v>
      </c>
      <c r="BS52" s="2">
        <f t="shared" si="14"/>
        <v>1.4203233256351038</v>
      </c>
      <c r="BT52" s="2">
        <f t="shared" si="14"/>
        <v>1.83166214007131</v>
      </c>
      <c r="BU52" s="2">
        <f t="shared" si="14"/>
        <v>1.7458521102380073</v>
      </c>
      <c r="BV52" s="2">
        <f t="shared" si="14"/>
        <v>1.0497889066821955</v>
      </c>
    </row>
    <row r="53" spans="3:74" x14ac:dyDescent="0.25">
      <c r="C53" t="s">
        <v>398</v>
      </c>
      <c r="M53" s="2">
        <f t="shared" ref="M53:AB57" si="16">-(M32/1000)/M$40*100</f>
        <v>-2.4330317857017145</v>
      </c>
      <c r="N53" s="2">
        <f t="shared" si="16"/>
        <v>-2.3066674928739617</v>
      </c>
      <c r="O53" s="2">
        <f t="shared" si="16"/>
        <v>-1.9037282384276151</v>
      </c>
      <c r="P53" s="2">
        <f t="shared" si="16"/>
        <v>-1.5056234246626634</v>
      </c>
      <c r="Q53" s="2">
        <f t="shared" si="16"/>
        <v>-1.7658076795262985</v>
      </c>
      <c r="R53" s="2">
        <f t="shared" si="16"/>
        <v>-1.881917537196762</v>
      </c>
      <c r="S53" s="2">
        <f t="shared" si="16"/>
        <v>-2.3758547850059073</v>
      </c>
      <c r="T53" s="2">
        <f t="shared" si="16"/>
        <v>-2.6292614981948823</v>
      </c>
      <c r="U53" s="2">
        <f t="shared" si="16"/>
        <v>-2.4565680355202972</v>
      </c>
      <c r="V53" s="2">
        <f t="shared" si="16"/>
        <v>-2.0439857043070182</v>
      </c>
      <c r="W53" s="2">
        <f t="shared" si="16"/>
        <v>-1.8862631772015119</v>
      </c>
      <c r="X53" s="2">
        <f t="shared" si="16"/>
        <v>-1.766742720859243</v>
      </c>
      <c r="Y53" s="2">
        <f t="shared" si="16"/>
        <v>-1.4568380529818608</v>
      </c>
      <c r="Z53" s="2">
        <f t="shared" si="16"/>
        <v>-1.1759293338240706</v>
      </c>
      <c r="AA53" s="2">
        <f t="shared" si="16"/>
        <v>-0.40598488671905852</v>
      </c>
      <c r="AB53" s="2">
        <f t="shared" si="16"/>
        <v>-0.33445519931390216</v>
      </c>
      <c r="AC53" s="2">
        <f t="shared" si="15"/>
        <v>-0.5556330948851721</v>
      </c>
      <c r="AD53" s="2">
        <f t="shared" si="15"/>
        <v>-1.0920458183324688</v>
      </c>
      <c r="AE53" s="2">
        <f t="shared" si="15"/>
        <v>-1.8702882740308371</v>
      </c>
      <c r="AF53" s="2">
        <f t="shared" si="15"/>
        <v>-1.852767346421385</v>
      </c>
      <c r="AG53" s="2">
        <f t="shared" si="15"/>
        <v>-1.6893061318257949</v>
      </c>
      <c r="AH53" s="2">
        <f t="shared" si="15"/>
        <v>-1.5304488475535787</v>
      </c>
      <c r="AI53" s="2">
        <f t="shared" si="14"/>
        <v>0.98119542309046526</v>
      </c>
      <c r="AJ53" s="2">
        <f t="shared" si="14"/>
        <v>0.72133173231314851</v>
      </c>
      <c r="AK53" s="2">
        <f t="shared" si="14"/>
        <v>0.2645678336489361</v>
      </c>
      <c r="AL53" s="2">
        <f t="shared" si="14"/>
        <v>0.47940331775901235</v>
      </c>
      <c r="AM53" s="2">
        <f t="shared" si="14"/>
        <v>0.86607789727427498</v>
      </c>
      <c r="AN53" s="2">
        <f t="shared" si="14"/>
        <v>1.2174982374926362</v>
      </c>
      <c r="AO53" s="2">
        <f t="shared" si="14"/>
        <v>1.611786793676669</v>
      </c>
      <c r="AP53" s="2">
        <f t="shared" si="14"/>
        <v>1.4803223942632333</v>
      </c>
      <c r="AQ53" s="2">
        <f t="shared" si="14"/>
        <v>1.5430096913980618</v>
      </c>
      <c r="AR53" s="2">
        <f t="shared" si="14"/>
        <v>1.5854796737886465</v>
      </c>
      <c r="AS53" s="2">
        <f t="shared" si="14"/>
        <v>1.8389450727424979</v>
      </c>
      <c r="AT53" s="2">
        <f t="shared" si="14"/>
        <v>1.9040166927490869</v>
      </c>
      <c r="AU53" s="2">
        <f t="shared" si="14"/>
        <v>1.6441578734985793</v>
      </c>
      <c r="AV53" s="2">
        <f t="shared" si="14"/>
        <v>1.3638163233611784</v>
      </c>
      <c r="AW53" s="2">
        <f t="shared" si="14"/>
        <v>1.1394371487179942</v>
      </c>
      <c r="AX53" s="2">
        <f t="shared" si="14"/>
        <v>1.0807688196376057</v>
      </c>
      <c r="AY53" s="2">
        <f t="shared" si="14"/>
        <v>0.97760153903535452</v>
      </c>
      <c r="AZ53" s="2">
        <f t="shared" si="14"/>
        <v>1.0237799295144272</v>
      </c>
      <c r="BA53" s="2">
        <f t="shared" si="14"/>
        <v>0.96132900428409895</v>
      </c>
      <c r="BB53" s="2">
        <f t="shared" si="14"/>
        <v>1.1158705311667512</v>
      </c>
      <c r="BC53" s="2">
        <f t="shared" si="14"/>
        <v>1.4915862879232911</v>
      </c>
      <c r="BD53" s="2">
        <f t="shared" si="14"/>
        <v>1.1960755575097821</v>
      </c>
      <c r="BE53" s="2">
        <f t="shared" si="14"/>
        <v>1.0555423713074075</v>
      </c>
      <c r="BF53" s="2">
        <f t="shared" si="14"/>
        <v>1.1403189676628824</v>
      </c>
      <c r="BG53" s="2">
        <f t="shared" si="14"/>
        <v>1.5307546869754212</v>
      </c>
      <c r="BH53" s="2">
        <f t="shared" si="14"/>
        <v>2.2694288370188502</v>
      </c>
      <c r="BI53" s="2">
        <f t="shared" si="14"/>
        <v>2.0782427083234292</v>
      </c>
      <c r="BJ53" s="2">
        <f t="shared" si="14"/>
        <v>2.169567443840501</v>
      </c>
      <c r="BK53" s="2">
        <f t="shared" si="14"/>
        <v>2.3557815806534474</v>
      </c>
      <c r="BL53" s="2">
        <f t="shared" si="14"/>
        <v>2.5471249994309031</v>
      </c>
      <c r="BM53" s="2">
        <f t="shared" si="14"/>
        <v>3.5367529248508478</v>
      </c>
      <c r="BN53" s="2">
        <f t="shared" si="14"/>
        <v>3.8638325523910848</v>
      </c>
      <c r="BO53" s="2">
        <f t="shared" si="14"/>
        <v>3.3092760479754548</v>
      </c>
      <c r="BP53" s="2">
        <f t="shared" si="14"/>
        <v>2.6979506420174393</v>
      </c>
      <c r="BQ53" s="2">
        <f t="shared" si="14"/>
        <v>1.512227425381959</v>
      </c>
      <c r="BR53" s="2">
        <f t="shared" si="14"/>
        <v>0.72064146242095373</v>
      </c>
      <c r="BS53" s="2">
        <f t="shared" si="14"/>
        <v>0.7407407407407407</v>
      </c>
      <c r="BT53" s="2">
        <f t="shared" si="14"/>
        <v>0.9126131112512712</v>
      </c>
      <c r="BU53" s="2">
        <f t="shared" si="14"/>
        <v>0.23535983289160942</v>
      </c>
      <c r="BV53" s="2">
        <f t="shared" si="14"/>
        <v>0.37792982966952982</v>
      </c>
    </row>
    <row r="54" spans="3:74" x14ac:dyDescent="0.25">
      <c r="C54" t="s">
        <v>401</v>
      </c>
      <c r="M54" s="2">
        <f t="shared" si="16"/>
        <v>-0.76548511621903859</v>
      </c>
      <c r="N54" s="2">
        <f t="shared" si="15"/>
        <v>-0.82901049873413224</v>
      </c>
      <c r="O54" s="2">
        <f t="shared" si="15"/>
        <v>-0.57136797719518206</v>
      </c>
      <c r="P54" s="2">
        <f t="shared" si="15"/>
        <v>-0.50883765477473786</v>
      </c>
      <c r="Q54" s="2">
        <f t="shared" si="15"/>
        <v>-2.7000694843056103E-2</v>
      </c>
      <c r="R54" s="2">
        <f t="shared" si="15"/>
        <v>-0.24758223332339838</v>
      </c>
      <c r="S54" s="2">
        <f t="shared" si="15"/>
        <v>-0.15090759371307866</v>
      </c>
      <c r="T54" s="2">
        <f t="shared" si="15"/>
        <v>0.12297253204127385</v>
      </c>
      <c r="U54" s="2">
        <f t="shared" si="15"/>
        <v>2.5824178661997654E-2</v>
      </c>
      <c r="V54" s="2">
        <f t="shared" si="15"/>
        <v>0.30144381073804571</v>
      </c>
      <c r="W54" s="2">
        <f t="shared" si="15"/>
        <v>0.38126949296302998</v>
      </c>
      <c r="X54" s="2">
        <f t="shared" si="15"/>
        <v>0.17813411891682646</v>
      </c>
      <c r="Y54" s="2">
        <f t="shared" si="15"/>
        <v>-7.0468484927574057E-2</v>
      </c>
      <c r="Z54" s="2">
        <f t="shared" si="15"/>
        <v>-0.22049720614313917</v>
      </c>
      <c r="AA54" s="2">
        <f t="shared" si="15"/>
        <v>0.31998132297857301</v>
      </c>
      <c r="AB54" s="2">
        <f t="shared" si="15"/>
        <v>0.21554558990916922</v>
      </c>
      <c r="AC54" s="2">
        <f t="shared" si="15"/>
        <v>0.41323555133113438</v>
      </c>
      <c r="AD54" s="2">
        <f t="shared" si="15"/>
        <v>0.39682743484788574</v>
      </c>
      <c r="AE54" s="2">
        <f t="shared" si="15"/>
        <v>-0.5159929677955496</v>
      </c>
      <c r="AF54" s="2">
        <f t="shared" si="15"/>
        <v>-0.48897973411925028</v>
      </c>
      <c r="AG54" s="2">
        <f t="shared" si="15"/>
        <v>-6.783302210859804E-2</v>
      </c>
      <c r="AH54" s="2">
        <f t="shared" si="15"/>
        <v>-0.63566518398706029</v>
      </c>
      <c r="AI54" s="2">
        <f t="shared" si="14"/>
        <v>2.2215399094563546</v>
      </c>
      <c r="AJ54" s="2">
        <f t="shared" si="14"/>
        <v>3.5963614023819832</v>
      </c>
      <c r="AK54" s="2">
        <f t="shared" si="14"/>
        <v>6.3277302628626808</v>
      </c>
      <c r="AL54" s="2">
        <f t="shared" si="14"/>
        <v>7.6503922156972006</v>
      </c>
      <c r="AM54" s="2">
        <f t="shared" si="14"/>
        <v>6.248228137915941</v>
      </c>
      <c r="AN54" s="2">
        <f t="shared" si="14"/>
        <v>5.9859256946210522</v>
      </c>
      <c r="AO54" s="2">
        <f t="shared" si="14"/>
        <v>5.5874342227040747</v>
      </c>
      <c r="AP54" s="2">
        <f t="shared" si="14"/>
        <v>5.3381415586067593</v>
      </c>
      <c r="AQ54" s="2">
        <f t="shared" si="14"/>
        <v>4.5741957518275163</v>
      </c>
      <c r="AR54" s="2">
        <f t="shared" si="14"/>
        <v>3.3658349405403234</v>
      </c>
      <c r="AS54" s="2">
        <f t="shared" si="14"/>
        <v>1.2743050123768072</v>
      </c>
      <c r="AT54" s="2">
        <f t="shared" si="14"/>
        <v>-1.282251916054733</v>
      </c>
      <c r="AU54" s="2">
        <f t="shared" si="14"/>
        <v>-2.2629708172709555</v>
      </c>
      <c r="AV54" s="2">
        <f t="shared" si="14"/>
        <v>-1.8658144728581956</v>
      </c>
      <c r="AW54" s="2">
        <f t="shared" si="14"/>
        <v>-1.5796994837307399</v>
      </c>
      <c r="AX54" s="2">
        <f t="shared" si="14"/>
        <v>-1.3805275116162179</v>
      </c>
      <c r="AY54" s="2">
        <f t="shared" si="14"/>
        <v>-0.31973263186823969</v>
      </c>
      <c r="AZ54" s="2">
        <f t="shared" si="14"/>
        <v>-0.94168316274597064</v>
      </c>
      <c r="BA54" s="2">
        <f t="shared" si="14"/>
        <v>-0.40714500586081348</v>
      </c>
      <c r="BB54" s="2">
        <f t="shared" si="14"/>
        <v>-1.0671301728606464</v>
      </c>
      <c r="BC54" s="2">
        <f t="shared" si="14"/>
        <v>-0.977099164313733</v>
      </c>
      <c r="BD54" s="2">
        <f t="shared" si="14"/>
        <v>-0.63134846082441709</v>
      </c>
      <c r="BE54" s="2">
        <f t="shared" si="14"/>
        <v>-1.0198417202348402</v>
      </c>
      <c r="BF54" s="2">
        <f t="shared" si="14"/>
        <v>-1.0306140031781894</v>
      </c>
      <c r="BG54" s="2">
        <f t="shared" si="14"/>
        <v>-1.0586114890534166</v>
      </c>
      <c r="BH54" s="2">
        <f t="shared" si="14"/>
        <v>-1.1660026516571205</v>
      </c>
      <c r="BI54" s="2">
        <f t="shared" si="14"/>
        <v>-1.1826096326509914</v>
      </c>
      <c r="BJ54" s="2">
        <f t="shared" si="14"/>
        <v>-1.2541413966918182</v>
      </c>
      <c r="BK54" s="2">
        <f t="shared" si="14"/>
        <v>-1.1074788075986839</v>
      </c>
      <c r="BL54" s="2">
        <f t="shared" si="14"/>
        <v>-1.1545833529355523</v>
      </c>
      <c r="BM54" s="2">
        <f t="shared" si="14"/>
        <v>-1.0512573549214639</v>
      </c>
      <c r="BN54" s="2">
        <f t="shared" si="14"/>
        <v>-0.18363557019401983</v>
      </c>
      <c r="BO54" s="2">
        <f t="shared" si="14"/>
        <v>6.455851593666094E-2</v>
      </c>
      <c r="BP54" s="2">
        <f t="shared" si="14"/>
        <v>-0.21397875473456404</v>
      </c>
      <c r="BQ54" s="2">
        <f t="shared" si="14"/>
        <v>-0.65102565315421845</v>
      </c>
      <c r="BR54" s="2">
        <f t="shared" si="14"/>
        <v>-1.4960469524040079</v>
      </c>
      <c r="BS54" s="2">
        <f t="shared" si="14"/>
        <v>-1.2462578051492601</v>
      </c>
      <c r="BT54" s="2">
        <f t="shared" si="14"/>
        <v>-1.1551756933986077</v>
      </c>
      <c r="BU54" s="2">
        <f t="shared" si="14"/>
        <v>-4.0438834081500258E-2</v>
      </c>
      <c r="BV54" s="2">
        <f t="shared" si="14"/>
        <v>0.33716698209346335</v>
      </c>
    </row>
    <row r="55" spans="3:74" x14ac:dyDescent="0.25">
      <c r="C55" t="s">
        <v>404</v>
      </c>
      <c r="M55" s="2">
        <f t="shared" si="16"/>
        <v>-0.16731786875051333</v>
      </c>
      <c r="N55" s="2">
        <f t="shared" si="15"/>
        <v>-0.15491386788945344</v>
      </c>
      <c r="O55" s="2">
        <f t="shared" si="15"/>
        <v>-0.12953502539759768</v>
      </c>
      <c r="P55" s="2">
        <f t="shared" si="15"/>
        <v>4.118786593645244E-2</v>
      </c>
      <c r="Q55" s="2">
        <f t="shared" si="15"/>
        <v>0.4448506087429383</v>
      </c>
      <c r="R55" s="2">
        <f t="shared" si="15"/>
        <v>0.42586338361166531</v>
      </c>
      <c r="S55" s="2">
        <f t="shared" si="15"/>
        <v>0.38827825713365083</v>
      </c>
      <c r="T55" s="2">
        <f t="shared" si="15"/>
        <v>0.37926763805026253</v>
      </c>
      <c r="U55" s="2">
        <f t="shared" si="15"/>
        <v>0.50081690485167452</v>
      </c>
      <c r="V55" s="2">
        <f t="shared" si="15"/>
        <v>0.48963426626067263</v>
      </c>
      <c r="W55" s="2">
        <f t="shared" si="15"/>
        <v>0.47687734143786908</v>
      </c>
      <c r="X55" s="2">
        <f t="shared" si="15"/>
        <v>0.46731501362250333</v>
      </c>
      <c r="Y55" s="2">
        <f t="shared" si="15"/>
        <v>-5.0567662795249907E-3</v>
      </c>
      <c r="Z55" s="2">
        <f t="shared" si="15"/>
        <v>2.8440459062468635E-3</v>
      </c>
      <c r="AA55" s="2">
        <f t="shared" si="15"/>
        <v>-2.2659621584319549E-2</v>
      </c>
      <c r="AB55" s="2">
        <f t="shared" si="15"/>
        <v>-2.9464327994093108E-2</v>
      </c>
      <c r="AC55" s="2">
        <f t="shared" si="15"/>
        <v>-2.9504205674347778E-2</v>
      </c>
      <c r="AD55" s="2">
        <f t="shared" si="15"/>
        <v>-3.6806686148531248E-2</v>
      </c>
      <c r="AE55" s="2">
        <f t="shared" si="15"/>
        <v>-9.4358675535278561E-3</v>
      </c>
      <c r="AF55" s="2">
        <f t="shared" si="15"/>
        <v>-3.8028235965204171E-3</v>
      </c>
      <c r="AG55" s="2">
        <f t="shared" si="15"/>
        <v>-3.8806076721165927E-3</v>
      </c>
      <c r="AH55" s="2">
        <f t="shared" si="15"/>
        <v>3.073190456934897E-3</v>
      </c>
      <c r="AI55" s="2">
        <f t="shared" si="14"/>
        <v>-6.5079288266204322E-2</v>
      </c>
      <c r="AJ55" s="2">
        <f t="shared" si="14"/>
        <v>-6.2656204185923131E-2</v>
      </c>
      <c r="AK55" s="2">
        <f t="shared" si="14"/>
        <v>-3.9846715787017511E-2</v>
      </c>
      <c r="AL55" s="2">
        <f t="shared" si="14"/>
        <v>-8.5730207038450003E-3</v>
      </c>
      <c r="AM55" s="2">
        <f t="shared" si="14"/>
        <v>5.1228573939079439E-2</v>
      </c>
      <c r="AN55" s="2">
        <f t="shared" si="14"/>
        <v>4.2815247378773298E-2</v>
      </c>
      <c r="AO55" s="2">
        <f t="shared" si="14"/>
        <v>1.4932593340374466E-2</v>
      </c>
      <c r="AP55" s="2">
        <f t="shared" si="14"/>
        <v>-2.6053919352391521E-3</v>
      </c>
      <c r="AQ55" s="2">
        <f t="shared" si="14"/>
        <v>-9.3999981200003769E-4</v>
      </c>
      <c r="AR55" s="2">
        <f t="shared" si="14"/>
        <v>-4.1890712158862992E-3</v>
      </c>
      <c r="AS55" s="2">
        <f t="shared" si="14"/>
        <v>6.0733774420038472E-3</v>
      </c>
      <c r="AT55" s="2">
        <f t="shared" si="14"/>
        <v>6.019020103527146E-3</v>
      </c>
      <c r="AU55" s="2">
        <f t="shared" si="14"/>
        <v>1.5239583422767508E-2</v>
      </c>
      <c r="AV55" s="2">
        <f t="shared" si="14"/>
        <v>1.4874019244356076E-2</v>
      </c>
      <c r="AW55" s="2">
        <f t="shared" si="14"/>
        <v>5.5560617745172344E-3</v>
      </c>
      <c r="AX55" s="2">
        <f t="shared" si="14"/>
        <v>2.2743451591700461E-4</v>
      </c>
      <c r="AY55" s="2">
        <f t="shared" si="14"/>
        <v>-1.153294988319821E-2</v>
      </c>
      <c r="AZ55" s="2">
        <f t="shared" si="14"/>
        <v>-3.3247911775387343E-3</v>
      </c>
      <c r="BA55" s="2">
        <f t="shared" si="14"/>
        <v>-2.3339522628963824E-3</v>
      </c>
      <c r="BB55" s="2">
        <f t="shared" si="14"/>
        <v>-1.5473129620985691E-3</v>
      </c>
      <c r="BC55" s="2">
        <f t="shared" si="14"/>
        <v>-7.1061757404635123E-4</v>
      </c>
      <c r="BD55" s="2">
        <f t="shared" si="14"/>
        <v>-8.8828485518736139E-4</v>
      </c>
      <c r="BE55" s="2">
        <f t="shared" si="14"/>
        <v>3.3017943188501501E-3</v>
      </c>
      <c r="BF55" s="2">
        <f t="shared" si="14"/>
        <v>2.2974861672187021E-3</v>
      </c>
      <c r="BG55" s="2">
        <f t="shared" si="14"/>
        <v>1.7670029862350469E-3</v>
      </c>
      <c r="BH55" s="2">
        <f t="shared" si="14"/>
        <v>2.4766411462555657E-3</v>
      </c>
      <c r="BI55" s="2">
        <f t="shared" si="14"/>
        <v>-6.3385214131099639E-4</v>
      </c>
      <c r="BJ55" s="2">
        <f t="shared" si="14"/>
        <v>-9.2545177470801994E-4</v>
      </c>
      <c r="BK55" s="2">
        <f t="shared" si="14"/>
        <v>-3.058066567993052E-4</v>
      </c>
      <c r="BL55" s="2">
        <f t="shared" si="14"/>
        <v>-7.5879557895343873E-4</v>
      </c>
      <c r="BM55" s="2">
        <f t="shared" si="14"/>
        <v>-1.3694190467930488E-3</v>
      </c>
      <c r="BN55" s="2">
        <f t="shared" si="14"/>
        <v>-1.1148733663123493E-3</v>
      </c>
      <c r="BO55" s="2">
        <f t="shared" si="14"/>
        <v>-4.8907966618682523E-4</v>
      </c>
      <c r="BP55" s="2">
        <f t="shared" si="14"/>
        <v>-3.734075386111512E-3</v>
      </c>
      <c r="BQ55" s="2">
        <f t="shared" si="14"/>
        <v>-2.9957586364568055E-3</v>
      </c>
      <c r="BR55" s="2">
        <f t="shared" si="14"/>
        <v>-1.3285074071668545E-3</v>
      </c>
      <c r="BS55" s="2">
        <f t="shared" si="14"/>
        <v>-1.283038234539389E-3</v>
      </c>
      <c r="BT55" s="2">
        <f t="shared" si="14"/>
        <v>4.2906117125118522E-3</v>
      </c>
      <c r="BU55" s="2">
        <f t="shared" si="14"/>
        <v>-4.3639029584352789E-4</v>
      </c>
      <c r="BV55" s="2">
        <f t="shared" si="14"/>
        <v>-2.9116319697190275E-4</v>
      </c>
    </row>
    <row r="56" spans="3:74" x14ac:dyDescent="0.25">
      <c r="C56" t="s">
        <v>407</v>
      </c>
      <c r="M56" s="2">
        <f t="shared" si="16"/>
        <v>1.4978821265561384</v>
      </c>
      <c r="N56" s="2">
        <f t="shared" si="15"/>
        <v>1.6706354124249774</v>
      </c>
      <c r="O56" s="2">
        <f t="shared" si="15"/>
        <v>1.3134394148260427</v>
      </c>
      <c r="P56" s="2">
        <f t="shared" si="15"/>
        <v>1.0986715435202028</v>
      </c>
      <c r="Q56" s="2">
        <f t="shared" si="15"/>
        <v>1.5095843025890459</v>
      </c>
      <c r="R56" s="2">
        <f t="shared" si="15"/>
        <v>1.5021329739672951</v>
      </c>
      <c r="S56" s="2">
        <f t="shared" si="15"/>
        <v>2.1230890408506675</v>
      </c>
      <c r="T56" s="2">
        <f t="shared" si="15"/>
        <v>2.3803342186420045</v>
      </c>
      <c r="U56" s="2">
        <f t="shared" si="15"/>
        <v>2.018934287794977</v>
      </c>
      <c r="V56" s="2">
        <f t="shared" si="15"/>
        <v>1.4409285418800057</v>
      </c>
      <c r="W56" s="2">
        <f t="shared" si="15"/>
        <v>1.3813342274437681</v>
      </c>
      <c r="X56" s="2">
        <f t="shared" si="15"/>
        <v>1.001225287171555</v>
      </c>
      <c r="Y56" s="2">
        <f t="shared" si="15"/>
        <v>0.82474226804123718</v>
      </c>
      <c r="Z56" s="2">
        <f t="shared" si="15"/>
        <v>0.88750961956703578</v>
      </c>
      <c r="AA56" s="2">
        <f t="shared" si="15"/>
        <v>-1.0507541190728784</v>
      </c>
      <c r="AB56" s="2">
        <f t="shared" si="15"/>
        <v>-0.95390761880876429</v>
      </c>
      <c r="AC56" s="2">
        <f t="shared" si="15"/>
        <v>-1.6858031769139308</v>
      </c>
      <c r="AD56" s="2">
        <f t="shared" si="15"/>
        <v>-1.9550342130987295</v>
      </c>
      <c r="AE56" s="2">
        <f t="shared" si="15"/>
        <v>-0.70669681729842837</v>
      </c>
      <c r="AF56" s="2">
        <f t="shared" si="15"/>
        <v>-1.2568331986499979</v>
      </c>
      <c r="AG56" s="2">
        <f t="shared" si="15"/>
        <v>-0.34878901756983932</v>
      </c>
      <c r="AH56" s="2">
        <f t="shared" si="15"/>
        <v>-0.41148402749696728</v>
      </c>
      <c r="AI56" s="2">
        <f t="shared" si="14"/>
        <v>-0.58504611451618549</v>
      </c>
      <c r="AJ56" s="2">
        <f t="shared" si="14"/>
        <v>-1.7758408846567351</v>
      </c>
      <c r="AK56" s="2">
        <f t="shared" si="14"/>
        <v>-1.4775592989131896</v>
      </c>
      <c r="AL56" s="2">
        <f t="shared" si="14"/>
        <v>-1.7495820652406877</v>
      </c>
      <c r="AM56" s="2">
        <f t="shared" si="14"/>
        <v>-1.0063347696123373</v>
      </c>
      <c r="AN56" s="2">
        <f t="shared" si="14"/>
        <v>-0.19170285574480825</v>
      </c>
      <c r="AO56" s="2">
        <f t="shared" si="14"/>
        <v>-8.5551316012562051E-2</v>
      </c>
      <c r="AP56" s="2">
        <f t="shared" si="14"/>
        <v>-1.6245385007961768E-2</v>
      </c>
      <c r="AQ56" s="2">
        <f t="shared" si="14"/>
        <v>1.7081363250394017</v>
      </c>
      <c r="AR56" s="2">
        <f t="shared" si="14"/>
        <v>0.87518075842296561</v>
      </c>
      <c r="AS56" s="2">
        <f t="shared" si="14"/>
        <v>4.1164616134939411</v>
      </c>
      <c r="AT56" s="2">
        <f t="shared" si="14"/>
        <v>4.8314674371012396</v>
      </c>
      <c r="AU56" s="2">
        <f t="shared" si="14"/>
        <v>4.4815107363938429</v>
      </c>
      <c r="AV56" s="2">
        <f t="shared" si="14"/>
        <v>2.5027724734400327</v>
      </c>
      <c r="AW56" s="2">
        <f t="shared" si="14"/>
        <v>-3.1776228500818968</v>
      </c>
      <c r="AX56" s="2">
        <f t="shared" si="14"/>
        <v>-4.3460461646580413</v>
      </c>
      <c r="AY56" s="2">
        <f t="shared" si="14"/>
        <v>-6.9386643371743784</v>
      </c>
      <c r="AZ56" s="2">
        <f t="shared" si="14"/>
        <v>-3.9196730451506649</v>
      </c>
      <c r="BA56" s="2">
        <f t="shared" si="14"/>
        <v>-2.908623175627314</v>
      </c>
      <c r="BB56" s="2">
        <f t="shared" si="14"/>
        <v>-2.4303128924694857</v>
      </c>
      <c r="BC56" s="2">
        <f t="shared" si="14"/>
        <v>-1.3492259005893388</v>
      </c>
      <c r="BD56" s="2">
        <f t="shared" si="14"/>
        <v>-0.92581489031902731</v>
      </c>
      <c r="BE56" s="2">
        <f t="shared" si="14"/>
        <v>-0.98991920922026055</v>
      </c>
      <c r="BF56" s="2">
        <f t="shared" si="14"/>
        <v>8.960196052152937E-2</v>
      </c>
      <c r="BG56" s="2">
        <f t="shared" si="14"/>
        <v>0.29597300019437039</v>
      </c>
      <c r="BH56" s="2">
        <f t="shared" si="14"/>
        <v>-0.27193519785886111</v>
      </c>
      <c r="BI56" s="2">
        <f t="shared" si="14"/>
        <v>1.3797376485987116</v>
      </c>
      <c r="BJ56" s="2">
        <f t="shared" si="14"/>
        <v>0.77568282916777198</v>
      </c>
      <c r="BK56" s="2">
        <f t="shared" si="14"/>
        <v>-0.71237660701398142</v>
      </c>
      <c r="BL56" s="2">
        <f t="shared" si="14"/>
        <v>0.12444247494836395</v>
      </c>
      <c r="BM56" s="2">
        <f t="shared" si="14"/>
        <v>-1.8388254644993329</v>
      </c>
      <c r="BN56" s="2">
        <f t="shared" si="14"/>
        <v>-2.4656220834116396</v>
      </c>
      <c r="BO56" s="2">
        <f t="shared" si="14"/>
        <v>-1.7774785334783185</v>
      </c>
      <c r="BP56" s="2">
        <f t="shared" ref="BP56:BY56" si="17">(BP35/1000)/BP$40*100</f>
        <v>-2.283143571951574</v>
      </c>
      <c r="BQ56" s="2">
        <f t="shared" si="17"/>
        <v>-0.26283840247228923</v>
      </c>
      <c r="BR56" s="2">
        <f t="shared" si="17"/>
        <v>0.8394690693953224</v>
      </c>
      <c r="BS56" s="2">
        <f t="shared" si="17"/>
        <v>3.2054571892909069</v>
      </c>
      <c r="BT56" s="2">
        <f t="shared" si="17"/>
        <v>3.7120942332748372</v>
      </c>
      <c r="BU56" s="2">
        <f t="shared" si="17"/>
        <v>2.6019044072510615</v>
      </c>
      <c r="BV56" s="2">
        <f t="shared" si="17"/>
        <v>2.207162614645509</v>
      </c>
    </row>
    <row r="57" spans="3:74" x14ac:dyDescent="0.25">
      <c r="C57" t="s">
        <v>410</v>
      </c>
      <c r="M57" s="2">
        <f t="shared" si="16"/>
        <v>0.97551245497318928</v>
      </c>
      <c r="N57" s="2">
        <f t="shared" si="15"/>
        <v>0.73075084538710755</v>
      </c>
      <c r="O57" s="2">
        <f t="shared" si="15"/>
        <v>0.29608005805165183</v>
      </c>
      <c r="P57" s="2">
        <f t="shared" si="15"/>
        <v>-0.59298702680758564</v>
      </c>
      <c r="Q57" s="2">
        <f t="shared" si="15"/>
        <v>-1.1532884202894171</v>
      </c>
      <c r="R57" s="2">
        <f t="shared" si="15"/>
        <v>-0.78242568418819913</v>
      </c>
      <c r="S57" s="2">
        <f t="shared" si="15"/>
        <v>-0.93158139701407028</v>
      </c>
      <c r="T57" s="2">
        <f t="shared" si="15"/>
        <v>-0.6624026832922254</v>
      </c>
      <c r="U57" s="2">
        <f t="shared" si="15"/>
        <v>-0.56882057532826835</v>
      </c>
      <c r="V57" s="2">
        <f t="shared" si="15"/>
        <v>-1.1116800151908695</v>
      </c>
      <c r="W57" s="2">
        <f t="shared" si="15"/>
        <v>-1.4223327319112773</v>
      </c>
      <c r="X57" s="2">
        <f t="shared" si="15"/>
        <v>-1.5464534743534437</v>
      </c>
      <c r="Y57" s="2">
        <f t="shared" si="15"/>
        <v>-1.9287485319065643</v>
      </c>
      <c r="Z57" s="2">
        <f t="shared" si="15"/>
        <v>-2.1705089169204004</v>
      </c>
      <c r="AA57" s="2">
        <f t="shared" si="15"/>
        <v>-1.386871839240285</v>
      </c>
      <c r="AB57" s="2">
        <f t="shared" si="15"/>
        <v>-1.1359550739151254</v>
      </c>
      <c r="AC57" s="2">
        <f t="shared" si="15"/>
        <v>0.21112290886733887</v>
      </c>
      <c r="AD57" s="2">
        <f t="shared" si="15"/>
        <v>0.9016782136944842</v>
      </c>
      <c r="AE57" s="2">
        <f t="shared" si="15"/>
        <v>0.89111008843228856</v>
      </c>
      <c r="AF57" s="2">
        <f t="shared" si="15"/>
        <v>0.97273058579328497</v>
      </c>
      <c r="AG57" s="2">
        <f t="shared" si="15"/>
        <v>-0.76153044957616012</v>
      </c>
      <c r="AH57" s="2">
        <f t="shared" si="15"/>
        <v>-0.27496967246259602</v>
      </c>
      <c r="AI57" s="2">
        <f t="shared" ref="AI57:BV57" si="18">(AI36/1000)/AI$40*100</f>
        <v>0.48826153196644578</v>
      </c>
      <c r="AJ57" s="2">
        <f t="shared" si="18"/>
        <v>0.57036344089024171</v>
      </c>
      <c r="AK57" s="2">
        <f t="shared" si="18"/>
        <v>-2.5688567402873628</v>
      </c>
      <c r="AL57" s="2">
        <f t="shared" si="18"/>
        <v>-3.7215482875391142</v>
      </c>
      <c r="AM57" s="2">
        <f t="shared" si="18"/>
        <v>-2.9555074032749813</v>
      </c>
      <c r="AN57" s="2">
        <f t="shared" si="18"/>
        <v>-3.2644211732665456</v>
      </c>
      <c r="AO57" s="2">
        <f t="shared" si="18"/>
        <v>-2.2641544652342782</v>
      </c>
      <c r="AP57" s="2">
        <f t="shared" si="18"/>
        <v>-1.4974873293659854</v>
      </c>
      <c r="AQ57" s="2">
        <f t="shared" si="18"/>
        <v>-2.0861729160987506</v>
      </c>
      <c r="AR57" s="2">
        <f t="shared" si="18"/>
        <v>0.14343379843194687</v>
      </c>
      <c r="AS57" s="2">
        <f t="shared" si="18"/>
        <v>-2.0754387094993141</v>
      </c>
      <c r="AT57" s="2">
        <f t="shared" si="18"/>
        <v>-1.0190201035271458</v>
      </c>
      <c r="AU57" s="2">
        <f t="shared" si="18"/>
        <v>-0.5505567813999811</v>
      </c>
      <c r="AV57" s="2">
        <f t="shared" si="18"/>
        <v>-6.3433317365636215E-3</v>
      </c>
      <c r="AW57" s="2">
        <f t="shared" si="18"/>
        <v>4.7502105747412537</v>
      </c>
      <c r="AX57" s="2">
        <f t="shared" si="18"/>
        <v>5.0986269778274087</v>
      </c>
      <c r="AY57" s="2">
        <f t="shared" si="18"/>
        <v>5.260497438212834</v>
      </c>
      <c r="AZ57" s="2">
        <f t="shared" si="18"/>
        <v>2.4682738195712557</v>
      </c>
      <c r="BA57" s="2">
        <f t="shared" si="18"/>
        <v>2.00382768171115</v>
      </c>
      <c r="BB57" s="2">
        <f t="shared" si="18"/>
        <v>1.536481771363879</v>
      </c>
      <c r="BC57" s="2">
        <f t="shared" si="18"/>
        <v>0.65424191317200731</v>
      </c>
      <c r="BD57" s="2">
        <f t="shared" si="18"/>
        <v>-0.16122370121650609</v>
      </c>
      <c r="BE57" s="2">
        <f t="shared" si="18"/>
        <v>2.1668025217454111E-2</v>
      </c>
      <c r="BF57" s="2">
        <f t="shared" si="18"/>
        <v>-0.46083743370795127</v>
      </c>
      <c r="BG57" s="2">
        <f t="shared" si="18"/>
        <v>-0.22741328432845051</v>
      </c>
      <c r="BH57" s="2">
        <f t="shared" si="18"/>
        <v>0.44414431222849815</v>
      </c>
      <c r="BI57" s="2">
        <f t="shared" si="18"/>
        <v>-1.096405741432696</v>
      </c>
      <c r="BJ57" s="2">
        <f t="shared" si="18"/>
        <v>0.35120894850169354</v>
      </c>
      <c r="BK57" s="2">
        <f t="shared" si="18"/>
        <v>2.0822375261464692</v>
      </c>
      <c r="BL57" s="2">
        <f t="shared" si="18"/>
        <v>1.6666186096133326</v>
      </c>
      <c r="BM57" s="2">
        <f t="shared" si="18"/>
        <v>3.2980175376932594</v>
      </c>
      <c r="BN57" s="2">
        <f t="shared" si="18"/>
        <v>1.8463895622370095</v>
      </c>
      <c r="BO57" s="2">
        <f t="shared" si="18"/>
        <v>-2.5921222307901736E-2</v>
      </c>
      <c r="BP57" s="2">
        <f t="shared" si="18"/>
        <v>0.31220117249967122</v>
      </c>
      <c r="BQ57" s="2">
        <f t="shared" si="18"/>
        <v>-0.96069249325954309</v>
      </c>
      <c r="BR57" s="2">
        <f t="shared" si="18"/>
        <v>0.53332191801042728</v>
      </c>
      <c r="BS57" s="2">
        <f t="shared" si="18"/>
        <v>-1.2779060816012318</v>
      </c>
      <c r="BT57" s="2">
        <f t="shared" si="18"/>
        <v>-1.6420171023782859</v>
      </c>
      <c r="BU57" s="2">
        <f t="shared" si="18"/>
        <v>-1.0503914420953717</v>
      </c>
      <c r="BV57" s="2">
        <f t="shared" si="18"/>
        <v>-1.8721793565293348</v>
      </c>
    </row>
    <row r="59" spans="3:74" x14ac:dyDescent="0.25">
      <c r="C59" t="s">
        <v>413</v>
      </c>
    </row>
    <row r="61" spans="3:74" x14ac:dyDescent="0.25">
      <c r="C61" t="s">
        <v>416</v>
      </c>
    </row>
    <row r="65" spans="41:42" x14ac:dyDescent="0.25">
      <c r="AO65" s="8">
        <v>2100000</v>
      </c>
      <c r="AP65" s="9">
        <f>AO65/12*1.333</f>
        <v>233275</v>
      </c>
    </row>
    <row r="66" spans="41:42" x14ac:dyDescent="0.25">
      <c r="AO66" s="8">
        <v>600000</v>
      </c>
    </row>
    <row r="69" spans="41:42" x14ac:dyDescent="0.25">
      <c r="AO69" s="8">
        <v>2350000</v>
      </c>
    </row>
    <row r="70" spans="41:42" x14ac:dyDescent="0.25">
      <c r="AO70" s="10">
        <f>AO69/20.5</f>
        <v>114634.14634146342</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5A566-F904-4C46-B76B-D4DC2F57325D}">
  <sheetPr>
    <tabColor rgb="FF001E50"/>
  </sheetPr>
  <dimension ref="A1:GA48"/>
  <sheetViews>
    <sheetView zoomScale="100" zoomScaleNormal="100" workbookViewId="0" showGridLines="0">
      <pane xSplit="7" topLeftCell="H1" activePane="topRight" state="frozen"/>
      <selection pane="topRight" activeCell="H1" sqref="H1"/>
    </sheetView>
  </sheetViews>
  <sheetFormatPr defaultRowHeight="15" x14ac:dyDescent="0.25"/>
  <cols>
    <col min="1" max="1" width="32.85546875" customWidth="1"/>
    <col min="2" max="2" width="29.28515625" customWidth="1"/>
    <col min="3" max="7" width="9.140625" customWidth="1"/>
    <col min="8" max="8" width="16.7109375" bestFit="1" customWidth="1"/>
    <col min="9" max="107" width="10.28515625" bestFit="1" customWidth="1"/>
    <col min="108" max="108" width="11.7109375" bestFit="1" customWidth="1"/>
    <col min="109" max="109" width="11.42578125" bestFit="1" customWidth="1"/>
    <col min="110" max="111" width="11.7109375" bestFit="1" customWidth="1"/>
    <col min="112" max="114" width="11.42578125" bestFit="1" customWidth="1"/>
    <col min="115" max="115" width="12" customWidth="1"/>
    <col min="116" max="117" width="11" bestFit="1" customWidth="1"/>
    <col min="118" max="119" width="11.7109375" bestFit="1" customWidth="1"/>
    <col min="120" max="120" width="10.85546875" bestFit="1" customWidth="1"/>
    <col min="121" max="122" width="11.28515625" customWidth="1"/>
    <col min="123" max="123" width="17.140625" bestFit="1" customWidth="1"/>
    <col min="124" max="139" width="17" bestFit="1" customWidth="1"/>
    <col min="140" max="140" width="11" bestFit="1" customWidth="1"/>
    <col min="141" max="141" width="11.7109375" bestFit="1" customWidth="1"/>
    <col min="142" max="142" width="11" bestFit="1" customWidth="1"/>
    <col min="143" max="143" width="13.140625" customWidth="1"/>
    <col min="144" max="152" width="15" customWidth="1"/>
    <col min="153" max="153" width="11.7109375" bestFit="1" customWidth="1"/>
    <col min="154" max="154" width="11.42578125" bestFit="1" customWidth="1"/>
    <col min="155" max="156" width="11.7109375" bestFit="1" customWidth="1"/>
    <col min="157" max="157" width="11.42578125" bestFit="1" customWidth="1"/>
    <col min="158" max="159" width="11" bestFit="1" customWidth="1"/>
    <col min="160" max="161" width="11.42578125" bestFit="1" customWidth="1"/>
    <col min="162" max="162" width="11" bestFit="1" customWidth="1"/>
    <col min="163" max="164" width="11.7109375" bestFit="1" customWidth="1"/>
    <col min="165" max="165" width="10.140625" bestFit="1" customWidth="1"/>
    <col min="166" max="167" width="11.7109375" bestFit="1" customWidth="1"/>
    <col min="168" max="168" width="11" bestFit="1" customWidth="1"/>
    <col min="169" max="170" width="11.7109375" bestFit="1" customWidth="1"/>
    <col min="171" max="171" width="11.42578125" bestFit="1" customWidth="1"/>
    <col min="172" max="172" width="11.7109375" bestFit="1" customWidth="1"/>
    <col min="173" max="173" width="11" bestFit="1" customWidth="1"/>
    <col min="174" max="174" width="13.5703125" customWidth="1"/>
    <col min="175" max="175" width="12.42578125" customWidth="1"/>
    <col min="176" max="176" width="12.85546875" customWidth="1"/>
    <col min="177" max="177" width="12.42578125" customWidth="1"/>
    <col min="178" max="178" width="12.5703125" customWidth="1"/>
    <col min="179" max="179" width="12.85546875" customWidth="1"/>
    <col min="180" max="180" width="13.85546875" customWidth="1"/>
    <col min="181" max="181" width="13" customWidth="1"/>
    <col min="182" max="182" width="11.7109375" bestFit="1" customWidth="1"/>
    <col min="183" max="183" width="14.140625" customWidth="1"/>
  </cols>
  <sheetData>
    <row r="1" spans="1:183" x14ac:dyDescent="0.25">
      <c r="H1" s="11">
        <v>2012</v>
      </c>
      <c r="I1" s="11">
        <v>2013</v>
      </c>
      <c r="J1" s="11">
        <v>2014</v>
      </c>
      <c r="K1" s="11">
        <v>2015</v>
      </c>
      <c r="L1" s="11">
        <v>2016</v>
      </c>
      <c r="M1" s="11">
        <v>2017</v>
      </c>
      <c r="N1" s="11">
        <v>2018</v>
      </c>
      <c r="O1" s="11">
        <v>2019</v>
      </c>
      <c r="P1" s="11">
        <v>2020</v>
      </c>
      <c r="Q1" s="11">
        <v>2021</v>
      </c>
      <c r="R1" s="11">
        <v>2022</v>
      </c>
      <c r="S1" s="11">
        <v>2023</v>
      </c>
    </row>
    <row r="2" spans="1:183" x14ac:dyDescent="0.25">
      <c r="A2" t="s">
        <v>422</v>
      </c>
      <c r="H2" s="12">
        <f ca="1">OFFSET($S$11,0,12*(H8-1),1,1)/1000</f>
        <v>43.29</v>
      </c>
      <c r="I2" s="12">
        <f t="shared" ref="I2:O2" ca="1" si="0">OFFSET($S$11,0,12*(I8-1),1,1)/1000</f>
        <v>30.599</v>
      </c>
      <c r="J2" s="12">
        <f t="shared" ca="1" si="0"/>
        <v>31.407</v>
      </c>
      <c r="K2" s="12">
        <f t="shared" ca="1" si="0"/>
        <v>25.562999999999999</v>
      </c>
      <c r="L2" s="12">
        <f t="shared" ca="1" si="0"/>
        <v>39.308</v>
      </c>
      <c r="M2" s="12">
        <f t="shared" ca="1" si="0"/>
        <v>55.055</v>
      </c>
      <c r="N2" s="12">
        <f ca="1">OFFSET($S$11,0,12*(N8-1),1,1)/1000</f>
        <v>65.786000000000001</v>
      </c>
      <c r="O2" s="12">
        <f t="shared" ca="1" si="0"/>
        <v>44.847999999999999</v>
      </c>
      <c r="P2" s="12">
        <f ca="1">OFFSET($S$11,0,12*(P8-1),1,1)/1000</f>
        <v>39.387</v>
      </c>
      <c r="Q2" s="12">
        <f t="shared" ref="Q2" ca="1" si="1">OFFSET($S$11,0,12*(Q8-1),1,1)/1000</f>
        <v>39.661999999999999</v>
      </c>
      <c r="R2" s="12">
        <f ca="1">OFFSET($S$11,0,12*(R8-1),1,1)/1000</f>
        <v>44.597999999999999</v>
      </c>
      <c r="S2" s="12">
        <f t="shared" ref="S2" ca="1" si="2">OFFSET($S$11,0,12*(S8-1),1,1)/1000</f>
        <v>23.073</v>
      </c>
    </row>
    <row r="3" spans="1:183" x14ac:dyDescent="0.25">
      <c r="A3" t="s">
        <v>423</v>
      </c>
      <c r="H3" s="12">
        <f ca="1">OFFSET($S$12,0,12*(H8-1),1,1)/1000</f>
        <v>33.85824508248264</v>
      </c>
      <c r="I3" s="12">
        <f t="shared" ref="I3:Q3" ca="1" si="3">OFFSET($S$12,0,12*(I8-1),1,1)/1000</f>
        <v>16.190752109521615</v>
      </c>
      <c r="J3" s="12">
        <f t="shared" ca="1" si="3"/>
        <v>17.017012331374854</v>
      </c>
      <c r="K3" s="12">
        <f t="shared" ca="1" si="3"/>
        <v>0.51824403816793807</v>
      </c>
      <c r="L3" s="12">
        <f t="shared" ca="1" si="3"/>
        <v>10.199106805031448</v>
      </c>
      <c r="M3" s="12">
        <f ca="1">OFFSET($S$12,0,12*(M8-1),1,1)/1000</f>
        <v>27.697552172043004</v>
      </c>
      <c r="N3" s="12">
        <f t="shared" ca="1" si="3"/>
        <v>29.260467085106384</v>
      </c>
      <c r="O3" s="12">
        <f t="shared" ca="1" si="3"/>
        <v>13.370596780063558</v>
      </c>
      <c r="P3" s="12">
        <f t="shared" ca="1" si="3"/>
        <v>3.023261533610945</v>
      </c>
      <c r="Q3" s="12">
        <f t="shared" ca="1" si="3"/>
        <v>2.1059048739037198</v>
      </c>
      <c r="R3" s="12">
        <f ca="1">OFFSET($S$12,0,12*(R8-1),1,1)/1000</f>
        <v>8.2631674674121776</v>
      </c>
      <c r="S3" s="12">
        <f t="shared" ref="S3" ca="1" si="4">OFFSET($S$12,0,12*(S8-1),1,1)/1000</f>
        <v>-10.458519459198216</v>
      </c>
      <c r="EW3" s="11" t="s">
        <v>424</v>
      </c>
    </row>
    <row r="4" spans="1:183" x14ac:dyDescent="0.25">
      <c r="A4" t="s">
        <v>425</v>
      </c>
      <c r="H4" s="12">
        <f t="shared" ref="H4:S4" ca="1" si="5">OFFSET($S$16,0,12*(H8-1),1,1)/1000</f>
        <v>39.963529000000001</v>
      </c>
      <c r="I4" s="12">
        <f t="shared" ca="1" si="5"/>
        <v>28.209527999999999</v>
      </c>
      <c r="J4" s="12">
        <f t="shared" ca="1" si="5"/>
        <v>29.052215</v>
      </c>
      <c r="K4" s="12">
        <f t="shared" ca="1" si="5"/>
        <v>23.456066999999997</v>
      </c>
      <c r="L4" s="12">
        <f t="shared" ca="1" si="5"/>
        <v>37.206251000000002</v>
      </c>
      <c r="M4" s="12">
        <f t="shared" ca="1" si="5"/>
        <v>52.756225000000001</v>
      </c>
      <c r="N4" s="12">
        <f t="shared" ca="1" si="5"/>
        <v>63.530377000000001</v>
      </c>
      <c r="O4" s="12">
        <f t="shared" ca="1" si="5"/>
        <v>42.163533999999999</v>
      </c>
      <c r="P4" s="12">
        <f t="shared" ca="1" si="5"/>
        <v>35.628749999999997</v>
      </c>
      <c r="Q4" s="12">
        <f t="shared" ca="1" si="5"/>
        <v>36.448236999999999</v>
      </c>
      <c r="R4" s="12">
        <f t="shared" ca="1" si="5"/>
        <v>40.980027</v>
      </c>
      <c r="S4" s="12">
        <f t="shared" ca="1" si="5"/>
        <v>18.977126999999999</v>
      </c>
    </row>
    <row r="5" spans="1:183" x14ac:dyDescent="0.25">
      <c r="H5" s="12"/>
      <c r="I5" s="12"/>
      <c r="J5" s="12"/>
      <c r="K5" s="12"/>
      <c r="L5" s="12"/>
      <c r="M5" s="12"/>
      <c r="N5" s="12"/>
      <c r="O5" s="12"/>
      <c r="P5" s="12"/>
      <c r="Q5" s="12"/>
      <c r="R5" s="12"/>
    </row>
    <row r="6" spans="1:183" x14ac:dyDescent="0.25">
      <c r="A6" t="s">
        <v>426</v>
      </c>
      <c r="H6" s="12">
        <f ca="1">OFFSET($S$13,0,12*(H8-1),1,1)/1000</f>
        <v>0.93185699999999994</v>
      </c>
      <c r="I6" s="12">
        <f t="shared" ref="I6:P6" ca="1" si="6">OFFSET($S$13,0,12*(I8-1),1,1)/1000</f>
        <v>1.0460640000000001</v>
      </c>
      <c r="J6" s="12">
        <f t="shared" ca="1" si="6"/>
        <v>3.5396209999999999</v>
      </c>
      <c r="K6" s="12">
        <f t="shared" ca="1" si="6"/>
        <v>11.855968000000001</v>
      </c>
      <c r="L6" s="12">
        <f t="shared" ca="1" si="6"/>
        <v>11.356553</v>
      </c>
      <c r="M6" s="12">
        <f t="shared" ca="1" si="6"/>
        <v>12.032361000000002</v>
      </c>
      <c r="N6" s="12">
        <f t="shared" ca="1" si="6"/>
        <v>19.978878000000002</v>
      </c>
      <c r="O6" s="12">
        <f t="shared" ca="1" si="6"/>
        <v>19.831921999999999</v>
      </c>
      <c r="P6" s="12">
        <f t="shared" ca="1" si="6"/>
        <v>21.676752</v>
      </c>
      <c r="Q6" s="12"/>
      <c r="R6" s="12"/>
    </row>
    <row r="8" spans="1:183" x14ac:dyDescent="0.25">
      <c r="A8" t="s">
        <v>427</v>
      </c>
      <c r="H8">
        <v>1</v>
      </c>
      <c r="I8">
        <v>2</v>
      </c>
      <c r="J8">
        <v>3</v>
      </c>
      <c r="K8">
        <v>4</v>
      </c>
      <c r="L8">
        <v>5</v>
      </c>
      <c r="M8">
        <v>6</v>
      </c>
      <c r="N8">
        <v>7</v>
      </c>
      <c r="O8">
        <v>8</v>
      </c>
      <c r="P8">
        <v>9</v>
      </c>
      <c r="Q8">
        <v>10</v>
      </c>
      <c r="R8">
        <v>11</v>
      </c>
      <c r="S8">
        <v>12</v>
      </c>
      <c r="DT8">
        <v>45500</v>
      </c>
    </row>
    <row r="9" spans="1:183" x14ac:dyDescent="0.25">
      <c r="DT9" s="2">
        <f>DT8-DS11+DS12</f>
        <v>8639.3738496517799</v>
      </c>
      <c r="DW9" s="2">
        <f>DT9-5000</f>
        <v>3639.3738496517799</v>
      </c>
    </row>
    <row r="10" spans="1:183" x14ac:dyDescent="0.25">
      <c r="H10" s="4">
        <v>40909</v>
      </c>
      <c r="I10" s="4">
        <v>40940</v>
      </c>
      <c r="J10" s="4">
        <v>40969</v>
      </c>
      <c r="K10" s="4">
        <v>41000</v>
      </c>
      <c r="L10" s="4">
        <v>41030</v>
      </c>
      <c r="M10" s="4">
        <v>41061</v>
      </c>
      <c r="N10" s="4">
        <v>41091</v>
      </c>
      <c r="O10" s="4">
        <v>41122</v>
      </c>
      <c r="P10" s="4">
        <v>41153</v>
      </c>
      <c r="Q10" s="4">
        <v>41183</v>
      </c>
      <c r="R10" s="4">
        <v>41214</v>
      </c>
      <c r="S10" s="4">
        <v>41244</v>
      </c>
      <c r="T10" s="4">
        <v>41275</v>
      </c>
      <c r="U10" s="4">
        <v>41306</v>
      </c>
      <c r="V10" s="4">
        <v>41334</v>
      </c>
      <c r="W10" s="4">
        <v>41365</v>
      </c>
      <c r="X10" s="4">
        <v>41395</v>
      </c>
      <c r="Y10" s="4">
        <v>41426</v>
      </c>
      <c r="Z10" s="4">
        <v>41456</v>
      </c>
      <c r="AA10" s="4">
        <v>41487</v>
      </c>
      <c r="AB10" s="4">
        <v>41518</v>
      </c>
      <c r="AC10" s="4">
        <v>41548</v>
      </c>
      <c r="AD10" s="4">
        <v>41579</v>
      </c>
      <c r="AE10" s="4">
        <v>41609</v>
      </c>
      <c r="AF10" s="4">
        <v>41640</v>
      </c>
      <c r="AG10" s="4">
        <v>41671</v>
      </c>
      <c r="AH10" s="4">
        <v>41699</v>
      </c>
      <c r="AI10" s="4">
        <v>41730</v>
      </c>
      <c r="AJ10" s="4">
        <v>41760</v>
      </c>
      <c r="AK10" s="4">
        <v>41791</v>
      </c>
      <c r="AL10" s="4">
        <v>41821</v>
      </c>
      <c r="AM10" s="4">
        <v>41852</v>
      </c>
      <c r="AN10" s="4">
        <v>41883</v>
      </c>
      <c r="AO10" s="4">
        <v>41913</v>
      </c>
      <c r="AP10" s="4">
        <v>41944</v>
      </c>
      <c r="AQ10" s="4">
        <v>41974</v>
      </c>
      <c r="AR10" s="4">
        <v>42005</v>
      </c>
      <c r="AS10" s="4">
        <v>42036</v>
      </c>
      <c r="AT10" s="4">
        <v>42064</v>
      </c>
      <c r="AU10" s="4">
        <v>42095</v>
      </c>
      <c r="AV10" s="4">
        <v>42125</v>
      </c>
      <c r="AW10" s="4">
        <v>42156</v>
      </c>
      <c r="AX10" s="4">
        <v>42186</v>
      </c>
      <c r="AY10" s="4">
        <v>42217</v>
      </c>
      <c r="AZ10" s="4">
        <v>42248</v>
      </c>
      <c r="BA10" s="4">
        <v>42278</v>
      </c>
      <c r="BB10" s="4">
        <v>42309</v>
      </c>
      <c r="BC10" s="4">
        <v>42339</v>
      </c>
      <c r="BD10" s="4">
        <v>42370</v>
      </c>
      <c r="BE10" s="4">
        <v>42401</v>
      </c>
      <c r="BF10" s="4">
        <v>42430</v>
      </c>
      <c r="BG10" s="4">
        <v>42461</v>
      </c>
      <c r="BH10" s="4">
        <v>42491</v>
      </c>
      <c r="BI10" s="4">
        <v>42522</v>
      </c>
      <c r="BJ10" s="4">
        <v>42552</v>
      </c>
      <c r="BK10" s="4">
        <v>42583</v>
      </c>
      <c r="BL10" s="4">
        <v>42614</v>
      </c>
      <c r="BM10" s="4">
        <v>42644</v>
      </c>
      <c r="BN10" s="4">
        <v>42675</v>
      </c>
      <c r="BO10" s="4">
        <v>42705</v>
      </c>
      <c r="BP10" s="4">
        <v>42736</v>
      </c>
      <c r="BQ10" s="4">
        <v>42767</v>
      </c>
      <c r="BR10" s="4">
        <v>42795</v>
      </c>
      <c r="BS10" s="4">
        <v>42826</v>
      </c>
      <c r="BT10" s="4">
        <v>42856</v>
      </c>
      <c r="BU10" s="4">
        <v>42887</v>
      </c>
      <c r="BV10" s="4">
        <v>42917</v>
      </c>
      <c r="BW10" s="4">
        <v>42948</v>
      </c>
      <c r="BX10" s="4">
        <v>42979</v>
      </c>
      <c r="BY10" s="4">
        <v>43009</v>
      </c>
      <c r="BZ10" s="4">
        <v>43040</v>
      </c>
      <c r="CA10" s="4">
        <v>43070</v>
      </c>
      <c r="CB10" s="4">
        <v>43101</v>
      </c>
      <c r="CC10" s="4">
        <v>43132</v>
      </c>
      <c r="CD10" s="4">
        <v>43160</v>
      </c>
      <c r="CE10" s="4">
        <v>43191</v>
      </c>
      <c r="CF10" s="4">
        <v>43221</v>
      </c>
      <c r="CG10" s="4">
        <v>43252</v>
      </c>
      <c r="CH10" s="4">
        <v>43282</v>
      </c>
      <c r="CI10" s="4">
        <v>43313</v>
      </c>
      <c r="CJ10" s="4">
        <v>43344</v>
      </c>
      <c r="CK10" s="4">
        <v>43374</v>
      </c>
      <c r="CL10" s="4">
        <v>43405</v>
      </c>
      <c r="CM10" s="4">
        <v>43435</v>
      </c>
      <c r="CN10" s="4">
        <v>43466</v>
      </c>
      <c r="CO10" s="4">
        <v>43497</v>
      </c>
      <c r="CP10" s="4">
        <v>43525</v>
      </c>
      <c r="CQ10" s="4">
        <v>43556</v>
      </c>
      <c r="CR10" s="4">
        <v>43586</v>
      </c>
      <c r="CS10" s="4">
        <v>43617</v>
      </c>
      <c r="CT10" s="4">
        <v>43647</v>
      </c>
      <c r="CU10" s="4">
        <v>43678</v>
      </c>
      <c r="CV10" s="4">
        <v>43709</v>
      </c>
      <c r="CW10" s="4">
        <v>43739</v>
      </c>
      <c r="CX10" s="4">
        <v>43770</v>
      </c>
      <c r="CY10" s="4">
        <v>43800</v>
      </c>
      <c r="CZ10" s="4">
        <v>43831</v>
      </c>
      <c r="DA10" s="4">
        <v>43862</v>
      </c>
      <c r="DB10" s="4">
        <v>43891</v>
      </c>
      <c r="DC10" s="4">
        <v>43922</v>
      </c>
      <c r="DD10" s="4">
        <v>43952</v>
      </c>
      <c r="DE10" s="4">
        <v>43983</v>
      </c>
      <c r="DF10" s="4">
        <v>44013</v>
      </c>
      <c r="DG10" s="4">
        <v>44044</v>
      </c>
      <c r="DH10" s="4">
        <v>44075</v>
      </c>
      <c r="DI10" s="4">
        <v>44105</v>
      </c>
      <c r="DJ10" s="4">
        <v>44136</v>
      </c>
      <c r="DK10" s="4">
        <v>44166</v>
      </c>
      <c r="DL10" s="4">
        <v>44197</v>
      </c>
      <c r="DM10" s="4">
        <v>44228</v>
      </c>
      <c r="DN10" s="4">
        <v>44256</v>
      </c>
      <c r="DO10" s="4">
        <v>44287</v>
      </c>
      <c r="DP10" s="4">
        <v>44317</v>
      </c>
      <c r="DQ10" s="4">
        <v>44348</v>
      </c>
      <c r="DR10" s="4">
        <v>44378</v>
      </c>
      <c r="DS10" s="4">
        <v>44409</v>
      </c>
      <c r="DT10" s="4">
        <v>44440</v>
      </c>
      <c r="DU10" s="4">
        <v>44470</v>
      </c>
      <c r="DV10" s="4">
        <v>44501</v>
      </c>
      <c r="DW10" s="4">
        <v>44531</v>
      </c>
      <c r="DX10" s="4">
        <v>44562</v>
      </c>
      <c r="DY10" s="4">
        <v>44593</v>
      </c>
      <c r="DZ10" s="4">
        <v>44621</v>
      </c>
      <c r="EA10" s="4">
        <v>44652</v>
      </c>
      <c r="EB10" s="4">
        <v>44682</v>
      </c>
      <c r="EC10" s="4">
        <v>44713</v>
      </c>
      <c r="ED10" s="4">
        <v>44743</v>
      </c>
      <c r="EE10" s="4">
        <v>44774</v>
      </c>
      <c r="EF10" s="4">
        <v>44805</v>
      </c>
      <c r="EG10" s="4">
        <v>44835</v>
      </c>
      <c r="EH10" s="4">
        <v>44866</v>
      </c>
      <c r="EI10" s="4">
        <v>44896</v>
      </c>
      <c r="EJ10" s="4">
        <v>44927</v>
      </c>
      <c r="EK10" s="4">
        <v>44958</v>
      </c>
      <c r="EL10" s="4">
        <v>44986</v>
      </c>
      <c r="EM10" s="4">
        <v>45017</v>
      </c>
      <c r="EN10" s="4">
        <v>45047</v>
      </c>
      <c r="EO10" s="4">
        <v>45078</v>
      </c>
      <c r="EP10" s="4">
        <v>45108</v>
      </c>
      <c r="EQ10" s="4">
        <v>45139</v>
      </c>
      <c r="ER10" s="4">
        <v>45170</v>
      </c>
      <c r="ES10" s="4">
        <v>45200</v>
      </c>
      <c r="ET10" s="4">
        <v>45231</v>
      </c>
      <c r="EU10" s="4">
        <v>45261</v>
      </c>
      <c r="EV10" s="4">
        <v>45292</v>
      </c>
      <c r="EW10" s="4">
        <v>45323</v>
      </c>
      <c r="EX10" s="4">
        <v>45352</v>
      </c>
      <c r="EY10" s="4">
        <v>45383</v>
      </c>
      <c r="EZ10" s="4">
        <v>45413</v>
      </c>
      <c r="FA10" s="4">
        <v>45444</v>
      </c>
      <c r="FB10" s="4">
        <v>45474</v>
      </c>
      <c r="FC10" s="4">
        <v>45505</v>
      </c>
      <c r="FD10" s="4">
        <v>45536</v>
      </c>
      <c r="FE10" s="4">
        <v>45566</v>
      </c>
      <c r="FF10" s="4">
        <v>45597</v>
      </c>
      <c r="FG10" s="4">
        <v>45627</v>
      </c>
      <c r="FH10" s="4">
        <v>45658</v>
      </c>
      <c r="FI10" s="4">
        <v>45689</v>
      </c>
      <c r="FJ10" s="4">
        <v>45717</v>
      </c>
      <c r="FK10" s="4">
        <v>45748</v>
      </c>
      <c r="FL10" s="4">
        <v>45778</v>
      </c>
      <c r="FM10" s="4">
        <v>45809</v>
      </c>
      <c r="FN10" s="4">
        <v>45839</v>
      </c>
      <c r="FO10" s="4">
        <v>45870</v>
      </c>
      <c r="FP10" s="4">
        <v>45901</v>
      </c>
      <c r="FQ10" s="4">
        <v>45931</v>
      </c>
      <c r="FR10" s="4">
        <v>45962</v>
      </c>
      <c r="FS10" s="4">
        <v>45992</v>
      </c>
      <c r="FT10" s="4">
        <v>46023</v>
      </c>
      <c r="FU10" s="4">
        <v>46054</v>
      </c>
      <c r="FV10" s="4">
        <v>46082</v>
      </c>
      <c r="FW10" s="4">
        <v>46113</v>
      </c>
      <c r="FX10" s="4">
        <v>46143</v>
      </c>
      <c r="FY10" s="4">
        <v>46174</v>
      </c>
      <c r="FZ10" s="4">
        <v>46204</v>
      </c>
      <c r="GA10" s="4">
        <v>46235</v>
      </c>
    </row>
    <row r="11" spans="1:183" x14ac:dyDescent="0.25">
      <c r="A11" t="s">
        <v>428</v>
      </c>
      <c r="H11" s="2">
        <f>H21</f>
        <v>46594</v>
      </c>
      <c r="I11" s="2">
        <f>I21</f>
        <v>46668</v>
      </c>
      <c r="J11" s="2">
        <f t="shared" ref="J11:BU11" si="7">J21</f>
        <v>47291</v>
      </c>
      <c r="K11" s="2">
        <f t="shared" si="7"/>
        <v>47844</v>
      </c>
      <c r="L11" s="2">
        <f t="shared" si="7"/>
        <v>46978</v>
      </c>
      <c r="M11" s="2">
        <f t="shared" si="7"/>
        <v>46348</v>
      </c>
      <c r="N11" s="2">
        <f t="shared" si="7"/>
        <v>46818</v>
      </c>
      <c r="O11" s="2">
        <f t="shared" si="7"/>
        <v>45152</v>
      </c>
      <c r="P11" s="2">
        <f t="shared" si="7"/>
        <v>45010</v>
      </c>
      <c r="Q11" s="2">
        <f t="shared" si="7"/>
        <v>45274</v>
      </c>
      <c r="R11" s="2">
        <f t="shared" si="7"/>
        <v>45238</v>
      </c>
      <c r="S11" s="2">
        <f t="shared" si="7"/>
        <v>43290</v>
      </c>
      <c r="T11" s="2">
        <f t="shared" si="7"/>
        <v>42531</v>
      </c>
      <c r="U11" s="2">
        <f t="shared" si="7"/>
        <v>41609</v>
      </c>
      <c r="V11" s="2">
        <f t="shared" si="7"/>
        <v>40446</v>
      </c>
      <c r="W11" s="2">
        <f t="shared" si="7"/>
        <v>39532</v>
      </c>
      <c r="X11" s="2">
        <f t="shared" si="7"/>
        <v>38551</v>
      </c>
      <c r="Y11" s="2">
        <f t="shared" si="7"/>
        <v>37005</v>
      </c>
      <c r="Z11" s="2">
        <f t="shared" si="7"/>
        <v>37049</v>
      </c>
      <c r="AA11" s="2">
        <f t="shared" si="7"/>
        <v>36678</v>
      </c>
      <c r="AB11" s="2">
        <f t="shared" si="7"/>
        <v>34741</v>
      </c>
      <c r="AC11" s="2">
        <f t="shared" si="7"/>
        <v>33232</v>
      </c>
      <c r="AD11" s="2">
        <f t="shared" si="7"/>
        <v>30799</v>
      </c>
      <c r="AE11" s="2">
        <f t="shared" si="7"/>
        <v>30599</v>
      </c>
      <c r="AF11" s="2">
        <f t="shared" si="7"/>
        <v>27748</v>
      </c>
      <c r="AG11" s="2">
        <f t="shared" si="7"/>
        <v>27546</v>
      </c>
      <c r="AH11" s="2">
        <f t="shared" si="7"/>
        <v>27007</v>
      </c>
      <c r="AI11" s="2">
        <f t="shared" si="7"/>
        <v>28220</v>
      </c>
      <c r="AJ11" s="2">
        <f t="shared" si="7"/>
        <v>28542</v>
      </c>
      <c r="AK11" s="2">
        <f t="shared" si="7"/>
        <v>29278</v>
      </c>
      <c r="AL11" s="2">
        <f t="shared" si="7"/>
        <v>29003</v>
      </c>
      <c r="AM11" s="2">
        <f t="shared" si="7"/>
        <v>28620</v>
      </c>
      <c r="AN11" s="2">
        <f t="shared" si="7"/>
        <v>27866</v>
      </c>
      <c r="AO11" s="2">
        <f t="shared" si="7"/>
        <v>28111</v>
      </c>
      <c r="AP11" s="2">
        <f t="shared" si="7"/>
        <v>28911</v>
      </c>
      <c r="AQ11" s="2">
        <f t="shared" si="7"/>
        <v>31407</v>
      </c>
      <c r="AR11" s="2">
        <f t="shared" si="7"/>
        <v>31452</v>
      </c>
      <c r="AS11" s="2">
        <f t="shared" si="7"/>
        <v>31470</v>
      </c>
      <c r="AT11" s="2">
        <f t="shared" si="7"/>
        <v>31490</v>
      </c>
      <c r="AU11" s="2">
        <f t="shared" si="7"/>
        <v>33909</v>
      </c>
      <c r="AV11" s="2">
        <f t="shared" si="7"/>
        <v>33283</v>
      </c>
      <c r="AW11" s="2">
        <f t="shared" si="7"/>
        <v>33851</v>
      </c>
      <c r="AX11" s="2">
        <f t="shared" si="7"/>
        <v>33943</v>
      </c>
      <c r="AY11" s="2">
        <f t="shared" si="7"/>
        <v>33606</v>
      </c>
      <c r="AZ11" s="2">
        <f t="shared" si="7"/>
        <v>33257</v>
      </c>
      <c r="BA11" s="2">
        <f t="shared" si="7"/>
        <v>26970</v>
      </c>
      <c r="BB11" s="2">
        <f t="shared" si="7"/>
        <v>25615</v>
      </c>
      <c r="BC11" s="2">
        <f t="shared" si="7"/>
        <v>25563</v>
      </c>
      <c r="BD11" s="2">
        <f t="shared" si="7"/>
        <v>30074</v>
      </c>
      <c r="BE11" s="2">
        <f t="shared" si="7"/>
        <v>28399</v>
      </c>
      <c r="BF11" s="2">
        <f t="shared" si="7"/>
        <v>29572</v>
      </c>
      <c r="BG11" s="2">
        <f t="shared" si="7"/>
        <v>34380</v>
      </c>
      <c r="BH11" s="2">
        <f t="shared" si="7"/>
        <v>30171</v>
      </c>
      <c r="BI11" s="2">
        <f t="shared" si="7"/>
        <v>30507</v>
      </c>
      <c r="BJ11" s="2">
        <f t="shared" si="7"/>
        <v>32511</v>
      </c>
      <c r="BK11" s="2">
        <f t="shared" si="7"/>
        <v>31150</v>
      </c>
      <c r="BL11" s="2">
        <f t="shared" si="7"/>
        <v>29902</v>
      </c>
      <c r="BM11" s="2">
        <f t="shared" si="7"/>
        <v>37210</v>
      </c>
      <c r="BN11" s="2">
        <f t="shared" si="7"/>
        <v>37378</v>
      </c>
      <c r="BO11" s="2">
        <f t="shared" si="7"/>
        <v>39308</v>
      </c>
      <c r="BP11" s="2">
        <f t="shared" si="7"/>
        <v>46887</v>
      </c>
      <c r="BQ11" s="2">
        <f t="shared" si="7"/>
        <v>50608</v>
      </c>
      <c r="BR11" s="2">
        <f t="shared" si="7"/>
        <v>50522</v>
      </c>
      <c r="BS11" s="2">
        <f t="shared" si="7"/>
        <v>48217</v>
      </c>
      <c r="BT11" s="2">
        <f t="shared" si="7"/>
        <v>46146</v>
      </c>
      <c r="BU11" s="2">
        <f t="shared" si="7"/>
        <v>47995</v>
      </c>
      <c r="BV11" s="2">
        <f t="shared" ref="BV11:DR11" si="8">BV21</f>
        <v>47014</v>
      </c>
      <c r="BW11" s="2">
        <f t="shared" si="8"/>
        <v>48877</v>
      </c>
      <c r="BX11" s="2">
        <f t="shared" si="8"/>
        <v>50237</v>
      </c>
      <c r="BY11" s="2">
        <f t="shared" si="8"/>
        <v>51810</v>
      </c>
      <c r="BZ11" s="2">
        <f t="shared" si="8"/>
        <v>54563</v>
      </c>
      <c r="CA11" s="2">
        <f t="shared" si="8"/>
        <v>55055</v>
      </c>
      <c r="CB11" s="2">
        <f t="shared" si="8"/>
        <v>62024</v>
      </c>
      <c r="CC11" s="2">
        <f t="shared" si="8"/>
        <v>61509</v>
      </c>
      <c r="CD11" s="2">
        <f t="shared" si="8"/>
        <v>61726</v>
      </c>
      <c r="CE11" s="2">
        <f t="shared" si="8"/>
        <v>56623</v>
      </c>
      <c r="CF11" s="2">
        <f t="shared" si="8"/>
        <v>50098</v>
      </c>
      <c r="CG11" s="2">
        <f t="shared" si="8"/>
        <v>61881</v>
      </c>
      <c r="CH11" s="2">
        <f t="shared" si="8"/>
        <v>57996</v>
      </c>
      <c r="CI11" s="2">
        <f t="shared" si="8"/>
        <v>52658</v>
      </c>
      <c r="CJ11" s="2">
        <f t="shared" si="8"/>
        <v>49003</v>
      </c>
      <c r="CK11" s="2">
        <f t="shared" si="8"/>
        <v>53955</v>
      </c>
      <c r="CL11" s="2">
        <f t="shared" si="8"/>
        <v>51193</v>
      </c>
      <c r="CM11" s="2">
        <f t="shared" si="8"/>
        <v>65786</v>
      </c>
      <c r="CN11" s="2">
        <f t="shared" si="8"/>
        <v>66811</v>
      </c>
      <c r="CO11" s="2">
        <f t="shared" si="8"/>
        <v>68015</v>
      </c>
      <c r="CP11" s="2">
        <f t="shared" si="8"/>
        <v>66187</v>
      </c>
      <c r="CQ11" s="2">
        <f t="shared" si="8"/>
        <v>71663</v>
      </c>
      <c r="CR11" s="2">
        <f t="shared" si="8"/>
        <v>64779</v>
      </c>
      <c r="CS11" s="2">
        <f t="shared" si="8"/>
        <v>64278</v>
      </c>
      <c r="CT11" s="2">
        <f t="shared" si="8"/>
        <v>67899</v>
      </c>
      <c r="CU11" s="2">
        <f t="shared" si="8"/>
        <v>54100</v>
      </c>
      <c r="CV11" s="2">
        <f t="shared" si="8"/>
        <v>48703</v>
      </c>
      <c r="CW11" s="2">
        <f t="shared" si="8"/>
        <v>43260</v>
      </c>
      <c r="CX11" s="2">
        <f t="shared" si="8"/>
        <v>43772</v>
      </c>
      <c r="CY11" s="2">
        <f t="shared" si="8"/>
        <v>44848</v>
      </c>
      <c r="CZ11" s="2">
        <f t="shared" si="8"/>
        <v>44917</v>
      </c>
      <c r="DA11" s="2">
        <f t="shared" si="8"/>
        <v>44791</v>
      </c>
      <c r="DB11" s="2">
        <f t="shared" si="8"/>
        <v>43561</v>
      </c>
      <c r="DC11" s="2">
        <f t="shared" si="8"/>
        <v>43568</v>
      </c>
      <c r="DD11" s="2">
        <f t="shared" si="8"/>
        <v>42589</v>
      </c>
      <c r="DE11" s="2">
        <f t="shared" si="8"/>
        <v>43242</v>
      </c>
      <c r="DF11" s="2">
        <f t="shared" si="8"/>
        <v>43386</v>
      </c>
      <c r="DG11" s="2">
        <f t="shared" si="8"/>
        <v>42842</v>
      </c>
      <c r="DH11" s="2">
        <f t="shared" si="8"/>
        <v>41379</v>
      </c>
      <c r="DI11" s="2">
        <f t="shared" si="8"/>
        <v>39856</v>
      </c>
      <c r="DJ11" s="2">
        <f t="shared" si="8"/>
        <v>38652</v>
      </c>
      <c r="DK11" s="2">
        <f t="shared" si="8"/>
        <v>39387</v>
      </c>
      <c r="DL11" s="2">
        <f t="shared" si="8"/>
        <v>39515</v>
      </c>
      <c r="DM11" s="2">
        <f t="shared" si="8"/>
        <v>39518</v>
      </c>
      <c r="DN11" s="2">
        <f t="shared" si="8"/>
        <v>39593</v>
      </c>
      <c r="DO11" s="2">
        <f t="shared" si="8"/>
        <v>40263</v>
      </c>
      <c r="DP11" s="2">
        <f t="shared" si="8"/>
        <v>41872</v>
      </c>
      <c r="DQ11" s="2">
        <f t="shared" si="8"/>
        <v>42437</v>
      </c>
      <c r="DR11" s="2">
        <f t="shared" si="8"/>
        <v>42582</v>
      </c>
      <c r="DS11" s="2">
        <f>DS21</f>
        <v>46180</v>
      </c>
      <c r="DT11" s="2">
        <f t="shared" ref="DT11:FU11" si="9">DT21</f>
        <v>42911</v>
      </c>
      <c r="DU11" s="2">
        <f t="shared" si="9"/>
        <v>42817</v>
      </c>
      <c r="DV11" s="2">
        <f t="shared" si="9"/>
        <v>41530</v>
      </c>
      <c r="DW11" s="2">
        <f t="shared" si="9"/>
        <v>39662</v>
      </c>
      <c r="DX11" s="2">
        <f t="shared" si="9"/>
        <v>37589</v>
      </c>
      <c r="DY11" s="2">
        <f t="shared" si="9"/>
        <v>37018</v>
      </c>
      <c r="DZ11" s="2">
        <f t="shared" si="9"/>
        <v>43137</v>
      </c>
      <c r="EA11" s="2">
        <f t="shared" si="9"/>
        <v>42007</v>
      </c>
      <c r="EB11" s="2">
        <f t="shared" si="9"/>
        <v>41561</v>
      </c>
      <c r="EC11" s="2">
        <f t="shared" si="9"/>
        <v>42787</v>
      </c>
      <c r="ED11" s="2">
        <f t="shared" si="9"/>
        <v>38232</v>
      </c>
      <c r="EE11" s="2">
        <f t="shared" si="9"/>
        <v>36734</v>
      </c>
      <c r="EF11" s="2">
        <f t="shared" si="9"/>
        <v>37625</v>
      </c>
      <c r="EG11" s="2">
        <f t="shared" si="9"/>
        <v>38676</v>
      </c>
      <c r="EH11" s="2">
        <f t="shared" si="9"/>
        <v>38009</v>
      </c>
      <c r="EI11" s="2">
        <f t="shared" si="9"/>
        <v>44598</v>
      </c>
      <c r="EJ11" s="2">
        <f t="shared" si="9"/>
        <v>41417</v>
      </c>
      <c r="EK11" s="2">
        <f t="shared" si="9"/>
        <v>38709</v>
      </c>
      <c r="EL11" s="2">
        <f t="shared" si="9"/>
        <v>39060</v>
      </c>
      <c r="EM11" s="2">
        <f t="shared" si="9"/>
        <v>35001</v>
      </c>
      <c r="EN11" s="2">
        <f t="shared" si="9"/>
        <v>33001</v>
      </c>
      <c r="EO11" s="2">
        <f t="shared" si="9"/>
        <v>27926</v>
      </c>
      <c r="EP11" s="2">
        <f t="shared" si="9"/>
        <v>24092</v>
      </c>
      <c r="EQ11" s="2">
        <f t="shared" si="9"/>
        <v>27818</v>
      </c>
      <c r="ER11" s="2">
        <f t="shared" si="9"/>
        <v>26925</v>
      </c>
      <c r="ES11" s="2">
        <f t="shared" si="9"/>
        <v>22559</v>
      </c>
      <c r="ET11" s="2">
        <f t="shared" si="9"/>
        <v>21513</v>
      </c>
      <c r="EU11" s="2">
        <f t="shared" si="9"/>
        <v>23073</v>
      </c>
      <c r="EV11" s="2">
        <f t="shared" si="9"/>
        <v>27642</v>
      </c>
      <c r="EW11" s="2">
        <f t="shared" si="9"/>
        <v>26690</v>
      </c>
      <c r="EX11" s="2">
        <f t="shared" si="9"/>
        <v>27127</v>
      </c>
      <c r="EY11" s="2">
        <f t="shared" si="9"/>
        <v>27578</v>
      </c>
      <c r="EZ11" s="2">
        <f t="shared" si="9"/>
        <v>28664</v>
      </c>
      <c r="FA11" s="2">
        <f t="shared" si="9"/>
        <v>29022</v>
      </c>
      <c r="FB11" s="2">
        <f t="shared" si="9"/>
        <v>26402</v>
      </c>
      <c r="FC11" s="2">
        <f t="shared" si="9"/>
        <v>26719</v>
      </c>
      <c r="FD11" s="2">
        <f t="shared" si="9"/>
        <v>27172</v>
      </c>
      <c r="FE11" s="2">
        <f t="shared" si="9"/>
        <v>28618</v>
      </c>
      <c r="FF11" s="2">
        <f t="shared" si="9"/>
        <v>30214</v>
      </c>
      <c r="FG11" s="2">
        <f t="shared" si="9"/>
        <v>29640</v>
      </c>
      <c r="FH11" s="2">
        <f t="shared" si="9"/>
        <v>28310</v>
      </c>
      <c r="FI11" s="2">
        <f t="shared" si="9"/>
        <v>28117</v>
      </c>
      <c r="FJ11" s="2">
        <f t="shared" si="9"/>
        <v>24986</v>
      </c>
      <c r="FK11" s="2">
        <f t="shared" si="9"/>
        <v>38928</v>
      </c>
      <c r="FL11" s="2">
        <f t="shared" si="9"/>
        <v>36919</v>
      </c>
      <c r="FM11" s="2">
        <f t="shared" si="9"/>
        <v>39973</v>
      </c>
      <c r="FN11" s="2">
        <f t="shared" si="9"/>
        <v>38866</v>
      </c>
      <c r="FO11" s="2">
        <f t="shared" si="9"/>
        <v>39986</v>
      </c>
      <c r="FP11" s="2">
        <f t="shared" si="9"/>
        <v>40374</v>
      </c>
      <c r="FQ11" s="2">
        <f t="shared" si="9"/>
        <v>39382</v>
      </c>
      <c r="FR11" s="2">
        <f t="shared" si="9"/>
        <v>40335</v>
      </c>
      <c r="FS11" s="2">
        <f t="shared" si="9"/>
        <v>41167</v>
      </c>
      <c r="FT11" s="2">
        <f t="shared" si="9"/>
        <v>44503</v>
      </c>
      <c r="FU11" s="2">
        <f t="shared" si="9"/>
        <v>45566</v>
      </c>
      <c r="FV11" s="2">
        <f>FV21</f>
        <v>42052</v>
      </c>
      <c r="FW11" s="2">
        <f t="shared" ref="FW11:FY11" si="10">FW21</f>
        <v>44516</v>
      </c>
      <c r="FX11" s="2">
        <f t="shared" si="10"/>
        <v>48193</v>
      </c>
      <c r="FY11" s="2">
        <f t="shared" si="10"/>
        <v>44870</v>
      </c>
      <c r="FZ11">
        <v>47500</v>
      </c>
      <c r="GA11">
        <v>49500</v>
      </c>
    </row>
    <row r="12" spans="1:183" x14ac:dyDescent="0.25">
      <c r="A12" t="s">
        <v>429</v>
      </c>
      <c r="H12" s="8">
        <f t="shared" ref="H12:BS12" si="11">H21-H13-H14</f>
        <v>38906.998575167941</v>
      </c>
      <c r="I12" s="8">
        <f t="shared" si="11"/>
        <v>39046.497944890929</v>
      </c>
      <c r="J12" s="8">
        <f t="shared" si="11"/>
        <v>39370.86746295022</v>
      </c>
      <c r="K12" s="8">
        <f t="shared" si="11"/>
        <v>40023.011065726634</v>
      </c>
      <c r="L12" s="8">
        <f t="shared" si="11"/>
        <v>39947.098896877105</v>
      </c>
      <c r="M12" s="8">
        <f t="shared" si="11"/>
        <v>40166.411977900549</v>
      </c>
      <c r="N12" s="8">
        <f t="shared" si="11"/>
        <v>40038.853928961747</v>
      </c>
      <c r="O12" s="8">
        <f t="shared" si="11"/>
        <v>37843.96859333045</v>
      </c>
      <c r="P12" s="8">
        <f t="shared" si="11"/>
        <v>37575.449846055162</v>
      </c>
      <c r="Q12" s="8">
        <f t="shared" si="11"/>
        <v>36594.867022756</v>
      </c>
      <c r="R12" s="8">
        <f t="shared" si="11"/>
        <v>36248.632582213031</v>
      </c>
      <c r="S12" s="8">
        <f t="shared" si="11"/>
        <v>33858.245082482637</v>
      </c>
      <c r="T12" s="8">
        <f t="shared" si="11"/>
        <v>33639.652914400802</v>
      </c>
      <c r="U12" s="8">
        <f t="shared" si="11"/>
        <v>32864.759206923991</v>
      </c>
      <c r="V12" s="8">
        <f t="shared" si="11"/>
        <v>31986.636406115253</v>
      </c>
      <c r="W12" s="8">
        <f t="shared" si="11"/>
        <v>30532.050004830915</v>
      </c>
      <c r="X12" s="8">
        <f t="shared" si="11"/>
        <v>29536.084389057756</v>
      </c>
      <c r="Y12" s="8">
        <f t="shared" si="11"/>
        <v>28081.651767441861</v>
      </c>
      <c r="Z12" s="8">
        <f t="shared" si="11"/>
        <v>27734.514824065638</v>
      </c>
      <c r="AA12" s="8">
        <f t="shared" ref="AA12:CL12" si="12">AA21-AA13-AA14-AA15</f>
        <v>24505.176215852796</v>
      </c>
      <c r="AB12" s="8">
        <f t="shared" si="12"/>
        <v>22120.37997835498</v>
      </c>
      <c r="AC12" s="8">
        <f t="shared" si="12"/>
        <v>20310.946687712152</v>
      </c>
      <c r="AD12" s="8">
        <f t="shared" si="12"/>
        <v>17956.071322169584</v>
      </c>
      <c r="AE12" s="8">
        <f t="shared" si="12"/>
        <v>16190.752109521616</v>
      </c>
      <c r="AF12" s="8">
        <f t="shared" si="12"/>
        <v>13056.723419518376</v>
      </c>
      <c r="AG12" s="8">
        <f t="shared" si="12"/>
        <v>14938.487648261758</v>
      </c>
      <c r="AH12" s="8">
        <f t="shared" si="12"/>
        <v>15098.470637826958</v>
      </c>
      <c r="AI12" s="8">
        <f t="shared" si="12"/>
        <v>17333.652050301811</v>
      </c>
      <c r="AJ12" s="8">
        <f t="shared" si="12"/>
        <v>17659.578244084682</v>
      </c>
      <c r="AK12" s="8">
        <f t="shared" si="12"/>
        <v>17787.687395892612</v>
      </c>
      <c r="AL12" s="8">
        <f t="shared" si="12"/>
        <v>17924.781815177481</v>
      </c>
      <c r="AM12" s="8">
        <f t="shared" si="12"/>
        <v>17585.437026104661</v>
      </c>
      <c r="AN12" s="8">
        <f t="shared" si="12"/>
        <v>17098.613221957039</v>
      </c>
      <c r="AO12" s="8">
        <f t="shared" si="12"/>
        <v>16180.354955595027</v>
      </c>
      <c r="AP12" s="8">
        <f t="shared" si="12"/>
        <v>16161.911415094341</v>
      </c>
      <c r="AQ12" s="8">
        <f t="shared" si="12"/>
        <v>17017.012331374855</v>
      </c>
      <c r="AR12" s="8">
        <f t="shared" si="12"/>
        <v>15920.056030250144</v>
      </c>
      <c r="AS12" s="8">
        <f t="shared" si="12"/>
        <v>15072.470691244242</v>
      </c>
      <c r="AT12" s="8">
        <f t="shared" si="12"/>
        <v>14356.583329532494</v>
      </c>
      <c r="AU12" s="8">
        <f t="shared" si="12"/>
        <v>16140.270902934535</v>
      </c>
      <c r="AV12" s="8">
        <f t="shared" si="12"/>
        <v>15140.36801621017</v>
      </c>
      <c r="AW12" s="8">
        <f t="shared" si="12"/>
        <v>14772.109690265483</v>
      </c>
      <c r="AX12" s="8">
        <f t="shared" si="12"/>
        <v>14442.367754510666</v>
      </c>
      <c r="AY12" s="8">
        <f t="shared" si="12"/>
        <v>12398.463513513514</v>
      </c>
      <c r="AZ12" s="8">
        <f t="shared" si="12"/>
        <v>10893.057666666668</v>
      </c>
      <c r="BA12" s="8">
        <f t="shared" si="12"/>
        <v>3198.6177091004738</v>
      </c>
      <c r="BB12" s="8">
        <f t="shared" si="12"/>
        <v>1874.9284878175222</v>
      </c>
      <c r="BC12" s="8">
        <f t="shared" si="12"/>
        <v>518.24403816793802</v>
      </c>
      <c r="BD12" s="8">
        <f t="shared" si="12"/>
        <v>1723.1509753265591</v>
      </c>
      <c r="BE12" s="8">
        <f t="shared" si="12"/>
        <v>1919.3192993630564</v>
      </c>
      <c r="BF12" s="8">
        <f t="shared" si="12"/>
        <v>1200.7828767123306</v>
      </c>
      <c r="BG12" s="8">
        <f t="shared" si="12"/>
        <v>6360.8643146853155</v>
      </c>
      <c r="BH12" s="8">
        <f t="shared" si="12"/>
        <v>88.657142857141025</v>
      </c>
      <c r="BI12" s="8">
        <f t="shared" si="12"/>
        <v>48.545999999999822</v>
      </c>
      <c r="BJ12" s="8">
        <f t="shared" si="12"/>
        <v>5545.9323333333332</v>
      </c>
      <c r="BK12" s="8">
        <f t="shared" si="12"/>
        <v>5645.1750402684593</v>
      </c>
      <c r="BL12" s="8">
        <f t="shared" si="12"/>
        <v>4649.5621437908485</v>
      </c>
      <c r="BM12" s="8">
        <f t="shared" si="12"/>
        <v>5188.6139999999959</v>
      </c>
      <c r="BN12" s="8">
        <f t="shared" si="12"/>
        <v>9074.6260062893125</v>
      </c>
      <c r="BO12" s="8">
        <f t="shared" si="12"/>
        <v>10199.106805031448</v>
      </c>
      <c r="BP12" s="8">
        <f t="shared" si="12"/>
        <v>11054.057591194971</v>
      </c>
      <c r="BQ12" s="8">
        <f t="shared" si="12"/>
        <v>14560.62093548387</v>
      </c>
      <c r="BR12" s="8">
        <f t="shared" si="12"/>
        <v>12624.572285714283</v>
      </c>
      <c r="BS12" s="8">
        <f t="shared" si="12"/>
        <v>15490.423000000001</v>
      </c>
      <c r="BT12" s="8">
        <f t="shared" si="12"/>
        <v>16478.938161490685</v>
      </c>
      <c r="BU12" s="8">
        <f t="shared" si="12"/>
        <v>20954.054927710848</v>
      </c>
      <c r="BV12" s="8">
        <f t="shared" si="12"/>
        <v>17545.550484419258</v>
      </c>
      <c r="BW12" s="8">
        <f t="shared" si="12"/>
        <v>18303.026826589594</v>
      </c>
      <c r="BX12" s="8">
        <f t="shared" si="12"/>
        <v>21395.025456647403</v>
      </c>
      <c r="BY12" s="8">
        <f t="shared" si="12"/>
        <v>24794.264855524081</v>
      </c>
      <c r="BZ12" s="8">
        <f t="shared" si="12"/>
        <v>26060.35870520231</v>
      </c>
      <c r="CA12" s="8">
        <f t="shared" si="12"/>
        <v>27697.552172043004</v>
      </c>
      <c r="CB12" s="8">
        <f t="shared" si="12"/>
        <v>30741.244020408165</v>
      </c>
      <c r="CC12" s="8">
        <f t="shared" si="12"/>
        <v>34591.384417910456</v>
      </c>
      <c r="CD12" s="8">
        <f t="shared" si="12"/>
        <v>34716.354640776706</v>
      </c>
      <c r="CE12" s="8">
        <f t="shared" si="12"/>
        <v>29223.103240875909</v>
      </c>
      <c r="CF12" s="8">
        <f t="shared" si="12"/>
        <v>24148.697218787638</v>
      </c>
      <c r="CG12" s="8">
        <f t="shared" si="12"/>
        <v>33821.579694444445</v>
      </c>
      <c r="CH12" s="8">
        <f t="shared" si="12"/>
        <v>30433.54378311499</v>
      </c>
      <c r="CI12" s="8">
        <f t="shared" si="12"/>
        <v>25123.016623978201</v>
      </c>
      <c r="CJ12" s="8">
        <f t="shared" si="12"/>
        <v>22409.42284082625</v>
      </c>
      <c r="CK12" s="8">
        <f t="shared" si="12"/>
        <v>27326.383736401673</v>
      </c>
      <c r="CL12" s="8">
        <f t="shared" si="12"/>
        <v>24239.983424242422</v>
      </c>
      <c r="CM12" s="8">
        <f t="shared" ref="CM12:EX12" si="13">CM21-CM13-CM14-CM15</f>
        <v>29260.467085106386</v>
      </c>
      <c r="CN12" s="8">
        <f t="shared" si="13"/>
        <v>29698.982302013421</v>
      </c>
      <c r="CO12" s="8">
        <f t="shared" si="13"/>
        <v>31192.162089628677</v>
      </c>
      <c r="CP12" s="8">
        <f t="shared" si="13"/>
        <v>27971.487231213872</v>
      </c>
      <c r="CQ12" s="8">
        <f t="shared" si="13"/>
        <v>32717.437191827466</v>
      </c>
      <c r="CR12" s="8">
        <f t="shared" si="13"/>
        <v>25601.864110613526</v>
      </c>
      <c r="CS12" s="8">
        <f t="shared" si="13"/>
        <v>26080.139647780928</v>
      </c>
      <c r="CT12" s="8">
        <f t="shared" si="13"/>
        <v>29112.000566925533</v>
      </c>
      <c r="CU12" s="8">
        <f t="shared" si="13"/>
        <v>20709.512752735231</v>
      </c>
      <c r="CV12" s="8">
        <f t="shared" si="13"/>
        <v>17724.943015828838</v>
      </c>
      <c r="CW12" s="8">
        <f t="shared" si="13"/>
        <v>12663.577102064799</v>
      </c>
      <c r="CX12" s="8">
        <f t="shared" si="13"/>
        <v>13105.19044919786</v>
      </c>
      <c r="CY12" s="8">
        <f t="shared" si="13"/>
        <v>13370.596780063557</v>
      </c>
      <c r="CZ12" s="8">
        <f t="shared" si="13"/>
        <v>11773.954726141079</v>
      </c>
      <c r="DA12" s="8">
        <f t="shared" si="13"/>
        <v>10914.487234422801</v>
      </c>
      <c r="DB12" s="8">
        <f t="shared" si="13"/>
        <v>10374.872488426285</v>
      </c>
      <c r="DC12" s="8">
        <f t="shared" si="13"/>
        <v>9597.4023578064116</v>
      </c>
      <c r="DD12" s="8">
        <f t="shared" si="13"/>
        <v>8083.1896370543545</v>
      </c>
      <c r="DE12" s="8">
        <f t="shared" si="13"/>
        <v>9121.5612836839118</v>
      </c>
      <c r="DF12" s="8">
        <f t="shared" si="13"/>
        <v>8453.3234148435331</v>
      </c>
      <c r="DG12" s="8">
        <f t="shared" si="13"/>
        <v>6768.7705637149038</v>
      </c>
      <c r="DH12" s="8">
        <f t="shared" si="13"/>
        <v>4712.6394111461595</v>
      </c>
      <c r="DI12" s="8">
        <f t="shared" si="13"/>
        <v>3420.9222983891596</v>
      </c>
      <c r="DJ12" s="8">
        <f t="shared" si="13"/>
        <v>2412.8780077576657</v>
      </c>
      <c r="DK12" s="8">
        <f t="shared" si="13"/>
        <v>3023.2615336109448</v>
      </c>
      <c r="DL12" s="8">
        <f t="shared" si="13"/>
        <v>2402.9540510145603</v>
      </c>
      <c r="DM12" s="8">
        <f t="shared" si="13"/>
        <v>2391.6270410164962</v>
      </c>
      <c r="DN12" s="8">
        <f t="shared" si="13"/>
        <v>3370.6869575625692</v>
      </c>
      <c r="DO12" s="8">
        <f t="shared" si="13"/>
        <v>4365.5023434624436</v>
      </c>
      <c r="DP12" s="8">
        <f t="shared" si="13"/>
        <v>5811.304066363733</v>
      </c>
      <c r="DQ12" s="8">
        <f t="shared" si="13"/>
        <v>6331.136371888726</v>
      </c>
      <c r="DR12" s="8">
        <f t="shared" si="13"/>
        <v>5880.4108686199424</v>
      </c>
      <c r="DS12" s="8">
        <f t="shared" si="13"/>
        <v>9319.3738496517799</v>
      </c>
      <c r="DT12" s="8">
        <f t="shared" si="13"/>
        <v>5618.8750519059204</v>
      </c>
      <c r="DU12" s="8">
        <f t="shared" si="13"/>
        <v>5301.5250092350943</v>
      </c>
      <c r="DV12" s="8">
        <f t="shared" si="13"/>
        <v>4366.583978782468</v>
      </c>
      <c r="DW12" s="8">
        <f t="shared" si="13"/>
        <v>2105.9048739037198</v>
      </c>
      <c r="DX12" s="8">
        <f t="shared" si="13"/>
        <v>-216.33949294700915</v>
      </c>
      <c r="DY12" s="8">
        <f t="shared" si="13"/>
        <v>-1260.222220307408</v>
      </c>
      <c r="DZ12" s="8">
        <f t="shared" si="13"/>
        <v>5439.7140736633282</v>
      </c>
      <c r="EA12" s="8">
        <f t="shared" si="13"/>
        <v>4496.4023824320784</v>
      </c>
      <c r="EB12" s="8">
        <f t="shared" si="13"/>
        <v>4554.7966061615316</v>
      </c>
      <c r="EC12" s="8">
        <f t="shared" si="13"/>
        <v>6506.8330095900237</v>
      </c>
      <c r="ED12" s="8">
        <f t="shared" si="13"/>
        <v>2208.9700495540114</v>
      </c>
      <c r="EE12" s="8">
        <f t="shared" si="13"/>
        <v>1157.1931739161773</v>
      </c>
      <c r="EF12" s="8">
        <f t="shared" si="13"/>
        <v>3241.1755603858182</v>
      </c>
      <c r="EG12" s="8">
        <f t="shared" si="13"/>
        <v>4640.382394553917</v>
      </c>
      <c r="EH12" s="8">
        <f t="shared" si="13"/>
        <v>2903.3695348725914</v>
      </c>
      <c r="EI12" s="8">
        <f t="shared" si="13"/>
        <v>8263.1674674121768</v>
      </c>
      <c r="EJ12" s="8">
        <f t="shared" si="13"/>
        <v>3664.4496928838971</v>
      </c>
      <c r="EK12" s="8">
        <f t="shared" si="13"/>
        <v>1569.238343060139</v>
      </c>
      <c r="EL12" s="8">
        <f t="shared" si="13"/>
        <v>2260.9612811646944</v>
      </c>
      <c r="EM12" s="8">
        <f t="shared" si="13"/>
        <v>-851.12050916936323</v>
      </c>
      <c r="EN12" s="8">
        <f t="shared" si="13"/>
        <v>-2080.4003330547425</v>
      </c>
      <c r="EO12" s="8">
        <f t="shared" si="13"/>
        <v>-6004.2538791422994</v>
      </c>
      <c r="EP12" s="8">
        <f t="shared" si="13"/>
        <v>-9253.2675286311569</v>
      </c>
      <c r="EQ12" s="8">
        <f t="shared" si="13"/>
        <v>-5193.4252246065826</v>
      </c>
      <c r="ER12" s="8">
        <f t="shared" si="13"/>
        <v>-6037.6053805980828</v>
      </c>
      <c r="ES12" s="8">
        <f t="shared" si="13"/>
        <v>-9968.3402460658072</v>
      </c>
      <c r="ET12" s="8">
        <f t="shared" si="13"/>
        <v>-11573.153722222221</v>
      </c>
      <c r="EU12" s="8">
        <f t="shared" si="13"/>
        <v>-10458.519459198216</v>
      </c>
      <c r="EV12" s="8">
        <f t="shared" si="13"/>
        <v>-6392.7489203539808</v>
      </c>
      <c r="EW12" s="8">
        <f t="shared" si="13"/>
        <v>-6838.457993814678</v>
      </c>
      <c r="EX12" s="8">
        <f t="shared" si="13"/>
        <v>-6194.3803899591348</v>
      </c>
      <c r="EY12" s="8">
        <f t="shared" ref="EY12:FZ12" si="14">EY21-EY13-EY14-EY15</f>
        <v>-5440.8976571428584</v>
      </c>
      <c r="EZ12" s="8">
        <f t="shared" si="14"/>
        <v>-4172.3784563758391</v>
      </c>
      <c r="FA12" s="8">
        <f t="shared" si="14"/>
        <v>-3839.3036562328416</v>
      </c>
      <c r="FB12" s="8">
        <f t="shared" si="14"/>
        <v>-7959.7091628156904</v>
      </c>
      <c r="FC12" s="8">
        <f t="shared" si="14"/>
        <v>-8037.7708361344557</v>
      </c>
      <c r="FD12" s="8">
        <f t="shared" si="14"/>
        <v>-9253.5249184726508</v>
      </c>
      <c r="FE12" s="8">
        <f t="shared" si="14"/>
        <v>-9687.3949934376597</v>
      </c>
      <c r="FF12" s="8">
        <f t="shared" si="14"/>
        <v>-8626.9543366336638</v>
      </c>
      <c r="FG12" s="8">
        <f t="shared" si="14"/>
        <v>-7689.382901018922</v>
      </c>
      <c r="FH12" s="8">
        <f t="shared" si="14"/>
        <v>-10201.130159695815</v>
      </c>
      <c r="FI12" s="8">
        <f t="shared" si="14"/>
        <v>-9969.4380557253698</v>
      </c>
      <c r="FJ12" s="8">
        <f t="shared" si="14"/>
        <v>-12691.473023310024</v>
      </c>
      <c r="FK12" s="8">
        <f t="shared" si="14"/>
        <v>-1440.0768168168161</v>
      </c>
      <c r="FL12" s="8">
        <f t="shared" si="14"/>
        <v>-1873.905052809464</v>
      </c>
      <c r="FM12" s="8">
        <f t="shared" si="14"/>
        <v>1554.2583969179523</v>
      </c>
      <c r="FN12" s="8">
        <f t="shared" si="14"/>
        <v>-391.95792332968449</v>
      </c>
      <c r="FO12" s="8">
        <f t="shared" si="14"/>
        <v>399.23861682243205</v>
      </c>
      <c r="FP12" s="8">
        <f t="shared" si="14"/>
        <v>-528.23029661941109</v>
      </c>
      <c r="FQ12" s="8">
        <f t="shared" si="14"/>
        <v>-6714.4721926414413</v>
      </c>
      <c r="FR12" s="8">
        <f t="shared" si="14"/>
        <v>-8255.7022273669663</v>
      </c>
      <c r="FS12" s="8">
        <f t="shared" si="14"/>
        <v>-4491.7471875215451</v>
      </c>
      <c r="FT12" s="8">
        <f t="shared" si="14"/>
        <v>-8681.1759982668973</v>
      </c>
      <c r="FU12" s="8">
        <f t="shared" si="14"/>
        <v>-8456.3855780969516</v>
      </c>
      <c r="FV12" s="8">
        <f t="shared" si="14"/>
        <v>-7914.5258239564446</v>
      </c>
      <c r="FW12" s="8">
        <f t="shared" si="14"/>
        <v>-6151.2083184276962</v>
      </c>
      <c r="FX12" s="8">
        <f t="shared" si="14"/>
        <v>-3197.9472130388313</v>
      </c>
      <c r="FY12" s="8">
        <f t="shared" si="14"/>
        <v>-3070.8748815566823</v>
      </c>
      <c r="FZ12" s="8">
        <f t="shared" si="14"/>
        <v>-341.87488155668234</v>
      </c>
      <c r="GA12" s="8">
        <f>GA21-GA13-GA14-GA15</f>
        <v>1559.1251184433177</v>
      </c>
    </row>
    <row r="13" spans="1:183" x14ac:dyDescent="0.25">
      <c r="A13" t="s">
        <v>426</v>
      </c>
      <c r="H13" s="8">
        <f>-H28</f>
        <v>946.60299999999995</v>
      </c>
      <c r="I13" s="6">
        <f t="shared" ref="I13:BT13" si="15">-I28</f>
        <v>966.99</v>
      </c>
      <c r="J13" s="6">
        <f t="shared" si="15"/>
        <v>881.43100000000004</v>
      </c>
      <c r="K13" s="6">
        <f t="shared" si="15"/>
        <v>860.15200000000004</v>
      </c>
      <c r="L13" s="6">
        <f t="shared" si="15"/>
        <v>911.31</v>
      </c>
      <c r="M13" s="6">
        <f t="shared" si="15"/>
        <v>946.47199999999998</v>
      </c>
      <c r="N13" s="6">
        <f t="shared" si="15"/>
        <v>957.15700000000004</v>
      </c>
      <c r="O13" s="6">
        <f t="shared" si="15"/>
        <v>951.10199999999998</v>
      </c>
      <c r="P13" s="6">
        <f t="shared" si="15"/>
        <v>755.91</v>
      </c>
      <c r="Q13" s="6">
        <f t="shared" si="15"/>
        <v>931.53499999999997</v>
      </c>
      <c r="R13" s="6">
        <f t="shared" si="15"/>
        <v>915.779</v>
      </c>
      <c r="S13" s="6">
        <f t="shared" si="15"/>
        <v>931.85699999999997</v>
      </c>
      <c r="T13" s="6">
        <f t="shared" si="15"/>
        <v>789.19200000000001</v>
      </c>
      <c r="U13" s="6">
        <f t="shared" si="15"/>
        <v>1044.201</v>
      </c>
      <c r="V13" s="6">
        <f t="shared" si="15"/>
        <v>860.12800000000004</v>
      </c>
      <c r="W13" s="6">
        <f t="shared" si="15"/>
        <v>1012.607</v>
      </c>
      <c r="X13" s="6">
        <f t="shared" si="15"/>
        <v>1037.4839999999999</v>
      </c>
      <c r="Y13" s="6">
        <f t="shared" si="15"/>
        <v>960.81799999999998</v>
      </c>
      <c r="Z13" s="6">
        <f t="shared" si="15"/>
        <v>983.05399999999997</v>
      </c>
      <c r="AA13" s="6">
        <f t="shared" si="15"/>
        <v>997.76800000000003</v>
      </c>
      <c r="AB13" s="6">
        <f t="shared" si="15"/>
        <v>1001.026</v>
      </c>
      <c r="AC13" s="6">
        <f t="shared" si="15"/>
        <v>997.55</v>
      </c>
      <c r="AD13" s="6">
        <f t="shared" si="15"/>
        <v>946.98500000000001</v>
      </c>
      <c r="AE13" s="6">
        <f t="shared" si="15"/>
        <v>1046.0640000000001</v>
      </c>
      <c r="AF13" s="6">
        <f t="shared" si="15"/>
        <v>977.45399999999995</v>
      </c>
      <c r="AG13" s="6">
        <f t="shared" si="15"/>
        <v>1016.703</v>
      </c>
      <c r="AH13" s="6">
        <f t="shared" si="15"/>
        <v>1015.023</v>
      </c>
      <c r="AI13" s="6">
        <f t="shared" si="15"/>
        <v>995.93600000000004</v>
      </c>
      <c r="AJ13" s="6">
        <f t="shared" si="15"/>
        <v>1010.849</v>
      </c>
      <c r="AK13" s="6">
        <f t="shared" si="15"/>
        <v>1066.2719999999999</v>
      </c>
      <c r="AL13" s="6">
        <f t="shared" si="15"/>
        <v>1074.087</v>
      </c>
      <c r="AM13" s="6">
        <f t="shared" si="15"/>
        <v>947.58500000000004</v>
      </c>
      <c r="AN13" s="6">
        <f t="shared" si="15"/>
        <v>966.4</v>
      </c>
      <c r="AO13" s="6">
        <f t="shared" si="15"/>
        <v>1806.8</v>
      </c>
      <c r="AP13" s="6">
        <f t="shared" si="15"/>
        <v>2534.77</v>
      </c>
      <c r="AQ13" s="6">
        <f t="shared" si="15"/>
        <v>3539.6210000000001</v>
      </c>
      <c r="AR13" s="6">
        <f t="shared" si="15"/>
        <v>4384.6859999999997</v>
      </c>
      <c r="AS13" s="6">
        <f t="shared" si="15"/>
        <v>4605.12</v>
      </c>
      <c r="AT13" s="6">
        <f t="shared" si="15"/>
        <v>6323.88</v>
      </c>
      <c r="AU13" s="6">
        <f t="shared" si="15"/>
        <v>7387.5870000000004</v>
      </c>
      <c r="AV13" s="6">
        <f t="shared" si="15"/>
        <v>8032.65</v>
      </c>
      <c r="AW13" s="6">
        <f t="shared" si="15"/>
        <v>9029.152</v>
      </c>
      <c r="AX13" s="6">
        <f t="shared" si="15"/>
        <v>9051.3989999999994</v>
      </c>
      <c r="AY13" s="6">
        <f t="shared" si="15"/>
        <v>11073.554</v>
      </c>
      <c r="AZ13" s="6">
        <f t="shared" si="15"/>
        <v>12119.123</v>
      </c>
      <c r="BA13" s="6">
        <f t="shared" si="15"/>
        <v>12167.887000000001</v>
      </c>
      <c r="BB13" s="6">
        <f t="shared" si="15"/>
        <v>12024.418</v>
      </c>
      <c r="BC13" s="6">
        <f t="shared" si="15"/>
        <v>11855.968000000001</v>
      </c>
      <c r="BD13" s="6">
        <f t="shared" si="15"/>
        <v>16647.13</v>
      </c>
      <c r="BE13" s="6">
        <f t="shared" si="15"/>
        <v>16749.713</v>
      </c>
      <c r="BF13" s="6">
        <f t="shared" si="15"/>
        <v>16923.009999999998</v>
      </c>
      <c r="BG13" s="6">
        <f t="shared" si="15"/>
        <v>16793.02</v>
      </c>
      <c r="BH13" s="6">
        <f t="shared" si="15"/>
        <v>16627.52</v>
      </c>
      <c r="BI13" s="6">
        <f t="shared" si="15"/>
        <v>16627.708999999999</v>
      </c>
      <c r="BJ13" s="6">
        <f t="shared" si="15"/>
        <v>12587.683000000001</v>
      </c>
      <c r="BK13" s="6">
        <f t="shared" si="15"/>
        <v>12515.293</v>
      </c>
      <c r="BL13" s="6">
        <f t="shared" si="15"/>
        <v>12609.707</v>
      </c>
      <c r="BM13" s="6">
        <f t="shared" si="15"/>
        <v>12448.271000000001</v>
      </c>
      <c r="BN13" s="6">
        <f t="shared" si="15"/>
        <v>12381.31</v>
      </c>
      <c r="BO13" s="6">
        <f t="shared" si="15"/>
        <v>11356.553</v>
      </c>
      <c r="BP13" s="6">
        <f t="shared" si="15"/>
        <v>11446.907999999999</v>
      </c>
      <c r="BQ13" s="6">
        <f t="shared" si="15"/>
        <v>11468.630999999999</v>
      </c>
      <c r="BR13" s="6">
        <f t="shared" si="15"/>
        <v>11449.512000000001</v>
      </c>
      <c r="BS13" s="6">
        <f t="shared" si="15"/>
        <v>11431.428</v>
      </c>
      <c r="BT13" s="6">
        <f t="shared" si="15"/>
        <v>11542.815000000001</v>
      </c>
      <c r="BU13" s="6">
        <f t="shared" ref="BU13:DM13" si="16">-BU28</f>
        <v>11598.343000000001</v>
      </c>
      <c r="BV13" s="6">
        <f t="shared" si="16"/>
        <v>11685.476000000001</v>
      </c>
      <c r="BW13" s="6">
        <f t="shared" si="16"/>
        <v>11888.378000000001</v>
      </c>
      <c r="BX13" s="6">
        <f t="shared" si="16"/>
        <v>11824.723</v>
      </c>
      <c r="BY13" s="6">
        <f t="shared" si="16"/>
        <v>11825.583000000001</v>
      </c>
      <c r="BZ13" s="6">
        <f t="shared" si="16"/>
        <v>11865.606</v>
      </c>
      <c r="CA13" s="6">
        <f t="shared" si="16"/>
        <v>12032.361000000001</v>
      </c>
      <c r="CB13" s="6">
        <f t="shared" si="16"/>
        <v>12402.424000000001</v>
      </c>
      <c r="CC13" s="6">
        <f t="shared" si="16"/>
        <v>12170.543</v>
      </c>
      <c r="CD13" s="6">
        <f t="shared" si="16"/>
        <v>12228.329</v>
      </c>
      <c r="CE13" s="6">
        <f t="shared" si="16"/>
        <v>12167.77</v>
      </c>
      <c r="CF13" s="6">
        <f t="shared" si="16"/>
        <v>12007.273999999999</v>
      </c>
      <c r="CG13" s="6">
        <f t="shared" si="16"/>
        <v>11661.584999999999</v>
      </c>
      <c r="CH13" s="6">
        <f t="shared" si="16"/>
        <v>11352.554</v>
      </c>
      <c r="CI13" s="6">
        <f t="shared" si="16"/>
        <v>11325.163</v>
      </c>
      <c r="CJ13" s="6">
        <f t="shared" si="16"/>
        <v>11268.816000000001</v>
      </c>
      <c r="CK13" s="6">
        <f t="shared" si="16"/>
        <v>11111.709000000001</v>
      </c>
      <c r="CL13" s="6">
        <f t="shared" si="16"/>
        <v>11161.65</v>
      </c>
      <c r="CM13" s="6">
        <f t="shared" si="16"/>
        <v>19978.878000000001</v>
      </c>
      <c r="CN13" s="6">
        <f t="shared" si="16"/>
        <v>20481.652999999998</v>
      </c>
      <c r="CO13" s="6">
        <f t="shared" si="16"/>
        <v>20499.167000000001</v>
      </c>
      <c r="CP13" s="6">
        <f>-CP28</f>
        <v>20446.78</v>
      </c>
      <c r="CQ13" s="6">
        <f t="shared" si="16"/>
        <v>20381.349999999999</v>
      </c>
      <c r="CR13" s="6">
        <f t="shared" si="16"/>
        <v>19909.363000000001</v>
      </c>
      <c r="CS13" s="6">
        <f t="shared" si="16"/>
        <v>20017.776000000002</v>
      </c>
      <c r="CT13" s="6">
        <f t="shared" si="16"/>
        <v>19971.689999999999</v>
      </c>
      <c r="CU13" s="6">
        <f t="shared" si="16"/>
        <v>19256.612000000001</v>
      </c>
      <c r="CV13" s="6">
        <f t="shared" si="16"/>
        <v>19279.75</v>
      </c>
      <c r="CW13" s="6">
        <f t="shared" si="16"/>
        <v>19566.439999999999</v>
      </c>
      <c r="CX13" s="6">
        <f t="shared" si="16"/>
        <v>19590.718000000001</v>
      </c>
      <c r="CY13" s="6">
        <f t="shared" si="16"/>
        <v>19831.921999999999</v>
      </c>
      <c r="CZ13" s="6">
        <f t="shared" si="16"/>
        <v>20030.636999999999</v>
      </c>
      <c r="DA13" s="6">
        <f t="shared" si="16"/>
        <v>20093.460999999999</v>
      </c>
      <c r="DB13" s="6">
        <f t="shared" si="16"/>
        <v>19914.538</v>
      </c>
      <c r="DC13" s="6">
        <f t="shared" si="16"/>
        <v>19745.506000000001</v>
      </c>
      <c r="DD13" s="6">
        <f t="shared" si="16"/>
        <v>19828.904999999999</v>
      </c>
      <c r="DE13" s="6">
        <f t="shared" si="16"/>
        <v>20057.482</v>
      </c>
      <c r="DF13" s="6">
        <f t="shared" si="16"/>
        <v>20295.344000000001</v>
      </c>
      <c r="DG13" s="6">
        <f t="shared" si="16"/>
        <v>20741.072</v>
      </c>
      <c r="DH13" s="6">
        <f t="shared" si="16"/>
        <v>20902.346000000001</v>
      </c>
      <c r="DI13" s="6">
        <f t="shared" si="16"/>
        <v>21187.188999999998</v>
      </c>
      <c r="DJ13" s="6">
        <f t="shared" si="16"/>
        <v>21519.96</v>
      </c>
      <c r="DK13" s="6">
        <f t="shared" si="16"/>
        <v>21676.752</v>
      </c>
      <c r="DL13" s="6">
        <f t="shared" si="16"/>
        <v>21983.675999999999</v>
      </c>
      <c r="DM13" s="6">
        <f t="shared" si="16"/>
        <v>21842.288</v>
      </c>
      <c r="DN13" s="6">
        <f>-DN28</f>
        <v>21599.796999999999</v>
      </c>
      <c r="DO13" s="6">
        <f t="shared" ref="DO13:EG13" si="17">-DO28</f>
        <v>21838.749</v>
      </c>
      <c r="DP13" s="6">
        <f t="shared" si="17"/>
        <v>22168.657999999999</v>
      </c>
      <c r="DQ13" s="6">
        <f t="shared" si="17"/>
        <v>21894.092000000001</v>
      </c>
      <c r="DR13" s="6">
        <f t="shared" si="17"/>
        <v>21880.973999999998</v>
      </c>
      <c r="DS13" s="6">
        <f t="shared" si="17"/>
        <v>21883.883000000002</v>
      </c>
      <c r="DT13" s="6">
        <f t="shared" si="17"/>
        <v>21934.264999999999</v>
      </c>
      <c r="DU13" s="6">
        <f t="shared" si="17"/>
        <v>22056.955999999998</v>
      </c>
      <c r="DV13" s="6">
        <f t="shared" si="17"/>
        <v>22187.703000000001</v>
      </c>
      <c r="DW13" s="6">
        <f t="shared" si="17"/>
        <v>22214.169000000002</v>
      </c>
      <c r="DX13" s="6">
        <f t="shared" si="17"/>
        <v>22197.311000000002</v>
      </c>
      <c r="DY13" s="6">
        <f t="shared" si="17"/>
        <v>22337.167000000001</v>
      </c>
      <c r="DZ13" s="6">
        <f t="shared" si="17"/>
        <v>22263.093000000001</v>
      </c>
      <c r="EA13" s="6">
        <f t="shared" si="17"/>
        <v>21429.756000000001</v>
      </c>
      <c r="EB13" s="6">
        <f t="shared" si="17"/>
        <v>21244.647000000001</v>
      </c>
      <c r="EC13" s="6">
        <f t="shared" si="17"/>
        <v>21162.987000000001</v>
      </c>
      <c r="ED13" s="6">
        <f t="shared" si="17"/>
        <v>21036.291000000001</v>
      </c>
      <c r="EE13" s="6">
        <f t="shared" si="17"/>
        <v>20630.434000000001</v>
      </c>
      <c r="EF13" s="6">
        <f t="shared" si="17"/>
        <v>20035.154999999999</v>
      </c>
      <c r="EG13" s="6">
        <f t="shared" si="17"/>
        <v>19562.865000000002</v>
      </c>
      <c r="EH13" s="6">
        <f>-EH28</f>
        <v>20098.579000000002</v>
      </c>
      <c r="EI13" s="6">
        <f>-EI28-EI29</f>
        <v>20624.513999999999</v>
      </c>
      <c r="EJ13" s="6">
        <f t="shared" ref="EJ13:FR13" si="18">-EJ28-EJ29</f>
        <v>21036.054</v>
      </c>
      <c r="EK13" s="6">
        <f t="shared" si="18"/>
        <v>20548.803</v>
      </c>
      <c r="EL13" s="6">
        <f t="shared" si="18"/>
        <v>20743.813000000002</v>
      </c>
      <c r="EM13" s="6">
        <f t="shared" si="18"/>
        <v>20657.850999999999</v>
      </c>
      <c r="EN13" s="6">
        <f t="shared" si="18"/>
        <v>20161.339</v>
      </c>
      <c r="EO13" s="6">
        <f t="shared" si="18"/>
        <v>19815.797999999999</v>
      </c>
      <c r="EP13" s="6">
        <f t="shared" si="18"/>
        <v>20037.231</v>
      </c>
      <c r="EQ13" s="6">
        <f t="shared" si="18"/>
        <v>19776.272000000001</v>
      </c>
      <c r="ER13" s="6">
        <f t="shared" si="18"/>
        <v>19709.003000000001</v>
      </c>
      <c r="ES13" s="6">
        <f t="shared" si="18"/>
        <v>19694.37</v>
      </c>
      <c r="ET13" s="6">
        <f t="shared" si="18"/>
        <v>20179.53</v>
      </c>
      <c r="EU13" s="6">
        <f t="shared" si="18"/>
        <v>20301.095000000001</v>
      </c>
      <c r="EV13" s="6">
        <f t="shared" si="18"/>
        <v>20156.565999999999</v>
      </c>
      <c r="EW13" s="6">
        <f t="shared" si="18"/>
        <v>20136.964</v>
      </c>
      <c r="EX13" s="6">
        <f t="shared" si="18"/>
        <v>20069.249</v>
      </c>
      <c r="EY13" s="6">
        <f t="shared" si="18"/>
        <v>20062.733</v>
      </c>
      <c r="EZ13" s="6">
        <f t="shared" si="18"/>
        <v>20092.802</v>
      </c>
      <c r="FA13" s="6">
        <f t="shared" si="18"/>
        <v>19910.633000000002</v>
      </c>
      <c r="FB13" s="6">
        <f t="shared" si="18"/>
        <v>19945.144</v>
      </c>
      <c r="FC13" s="6">
        <f t="shared" si="18"/>
        <v>20301.026000000002</v>
      </c>
      <c r="FD13" s="6">
        <f t="shared" si="18"/>
        <v>20515.331999999999</v>
      </c>
      <c r="FE13" s="6">
        <f t="shared" si="18"/>
        <v>20298.311000000002</v>
      </c>
      <c r="FF13" s="6">
        <f t="shared" si="18"/>
        <v>19976.345000000001</v>
      </c>
      <c r="FG13" s="6">
        <f t="shared" si="18"/>
        <v>19842.673999999999</v>
      </c>
      <c r="FH13" s="6">
        <f t="shared" si="18"/>
        <v>20074.885999999999</v>
      </c>
      <c r="FI13" s="6">
        <f t="shared" si="18"/>
        <v>20003.816999999999</v>
      </c>
      <c r="FJ13" s="6">
        <f t="shared" si="18"/>
        <v>20061.931</v>
      </c>
      <c r="FK13" s="6">
        <f t="shared" si="18"/>
        <v>20032.173999999999</v>
      </c>
      <c r="FL13" s="6">
        <f t="shared" si="18"/>
        <v>20213.882000000001</v>
      </c>
      <c r="FM13" s="6">
        <f t="shared" si="18"/>
        <v>20439.297999999999</v>
      </c>
      <c r="FN13" s="6">
        <f t="shared" si="18"/>
        <v>20366.042000000001</v>
      </c>
      <c r="FO13" s="6">
        <f t="shared" si="18"/>
        <v>20549.654999999999</v>
      </c>
      <c r="FP13" s="6">
        <f t="shared" si="18"/>
        <v>20575.036</v>
      </c>
      <c r="FQ13" s="6">
        <f t="shared" si="18"/>
        <v>24088.830999999998</v>
      </c>
      <c r="FR13" s="6">
        <f t="shared" si="18"/>
        <v>24195.7</v>
      </c>
      <c r="FS13" s="6">
        <f>-FS28-FS29</f>
        <v>21914.429</v>
      </c>
      <c r="FT13" s="6">
        <f>-FT28-FT29</f>
        <v>26209.463</v>
      </c>
      <c r="FU13" s="6">
        <f>-FU28-FU29</f>
        <v>26451.827000000001</v>
      </c>
      <c r="FV13" s="6">
        <f>-FV28-FV29</f>
        <v>26363.468000000001</v>
      </c>
      <c r="FW13" s="6">
        <f>-FW28-FW29</f>
        <v>27442.845000000001</v>
      </c>
      <c r="FX13" s="6">
        <f>-FX28-FX29</f>
        <v>27600.838</v>
      </c>
      <c r="FY13" s="6">
        <f>-FY28-FY29</f>
        <v>27542.727999999999</v>
      </c>
      <c r="FZ13" s="6">
        <f>FY13</f>
        <v>27542.727999999999</v>
      </c>
      <c r="GA13" s="6">
        <f>FZ13</f>
        <v>27542.727999999999</v>
      </c>
    </row>
    <row r="14" spans="1:183" x14ac:dyDescent="0.25">
      <c r="A14" t="s">
        <v>430</v>
      </c>
      <c r="H14" s="2">
        <f>H30</f>
        <v>6740.3984248320585</v>
      </c>
      <c r="I14" s="2">
        <f t="shared" ref="I14:BT14" si="19">I30</f>
        <v>6654.5120551090695</v>
      </c>
      <c r="J14" s="2">
        <f t="shared" si="19"/>
        <v>7038.701537049782</v>
      </c>
      <c r="K14" s="2">
        <f t="shared" si="19"/>
        <v>6960.8369342733677</v>
      </c>
      <c r="L14" s="2">
        <f t="shared" si="19"/>
        <v>6119.5911031228943</v>
      </c>
      <c r="M14" s="2">
        <f t="shared" si="19"/>
        <v>5235.116022099447</v>
      </c>
      <c r="N14" s="2">
        <f t="shared" si="19"/>
        <v>5821.9890710382506</v>
      </c>
      <c r="O14" s="2">
        <f t="shared" si="19"/>
        <v>6356.9294066695529</v>
      </c>
      <c r="P14" s="2">
        <f t="shared" si="19"/>
        <v>6678.640153944837</v>
      </c>
      <c r="Q14" s="2">
        <f t="shared" si="19"/>
        <v>7747.5979772439941</v>
      </c>
      <c r="R14" s="2">
        <f t="shared" si="19"/>
        <v>8073.5884177869702</v>
      </c>
      <c r="S14" s="2">
        <f t="shared" si="19"/>
        <v>8499.8979175173554</v>
      </c>
      <c r="T14" s="2">
        <f t="shared" si="19"/>
        <v>8102.1550855991936</v>
      </c>
      <c r="U14" s="2">
        <f t="shared" si="19"/>
        <v>7700.0397930760055</v>
      </c>
      <c r="V14" s="2">
        <f t="shared" si="19"/>
        <v>7599.2355938847513</v>
      </c>
      <c r="W14" s="2">
        <f t="shared" si="19"/>
        <v>7987.3429951690823</v>
      </c>
      <c r="X14" s="2">
        <f t="shared" si="19"/>
        <v>7977.431610942248</v>
      </c>
      <c r="Y14" s="2">
        <f t="shared" si="19"/>
        <v>7962.5302325581397</v>
      </c>
      <c r="Z14" s="2">
        <f t="shared" si="19"/>
        <v>8331.4311759343655</v>
      </c>
      <c r="AA14" s="2">
        <f t="shared" si="19"/>
        <v>8405.4847841472056</v>
      </c>
      <c r="AB14" s="2">
        <f t="shared" si="19"/>
        <v>8981.6450216450212</v>
      </c>
      <c r="AC14" s="2">
        <f t="shared" si="19"/>
        <v>9297.9803122878475</v>
      </c>
      <c r="AD14" s="2">
        <f t="shared" si="19"/>
        <v>9414.131677830419</v>
      </c>
      <c r="AE14" s="2">
        <f t="shared" si="19"/>
        <v>10972.711890478387</v>
      </c>
      <c r="AF14" s="2">
        <f t="shared" si="19"/>
        <v>11252.078580481622</v>
      </c>
      <c r="AG14" s="2">
        <f t="shared" si="19"/>
        <v>8967.1523517382411</v>
      </c>
      <c r="AH14" s="2">
        <f t="shared" si="19"/>
        <v>8347.5603621730388</v>
      </c>
      <c r="AI14" s="2">
        <f t="shared" si="19"/>
        <v>7320.8249496981889</v>
      </c>
      <c r="AJ14" s="2">
        <f t="shared" si="19"/>
        <v>7401.5317559153182</v>
      </c>
      <c r="AK14" s="2">
        <f t="shared" si="19"/>
        <v>7790.399604107386</v>
      </c>
      <c r="AL14" s="2">
        <f t="shared" si="19"/>
        <v>7461.897184822521</v>
      </c>
      <c r="AM14" s="2">
        <f t="shared" si="19"/>
        <v>7534.9179738953408</v>
      </c>
      <c r="AN14" s="2">
        <f t="shared" si="19"/>
        <v>7401.6467780429593</v>
      </c>
      <c r="AO14" s="2">
        <f t="shared" si="19"/>
        <v>7799.3250444049736</v>
      </c>
      <c r="AP14" s="2">
        <f t="shared" si="19"/>
        <v>7898.1485849056608</v>
      </c>
      <c r="AQ14" s="2">
        <f t="shared" si="19"/>
        <v>8495.5816686251455</v>
      </c>
      <c r="AR14" s="2">
        <f t="shared" si="19"/>
        <v>8617.7079697498539</v>
      </c>
      <c r="AS14" s="2">
        <f t="shared" si="19"/>
        <v>9385.4493087557603</v>
      </c>
      <c r="AT14" s="2">
        <f t="shared" si="19"/>
        <v>8463.9566704675035</v>
      </c>
      <c r="AU14" s="2">
        <f t="shared" si="19"/>
        <v>8032.7990970654637</v>
      </c>
      <c r="AV14" s="2">
        <f t="shared" si="19"/>
        <v>7748.1609837898268</v>
      </c>
      <c r="AW14" s="2">
        <f t="shared" si="19"/>
        <v>7723.8053097345137</v>
      </c>
      <c r="AX14" s="2">
        <f t="shared" si="19"/>
        <v>8271.2192454893393</v>
      </c>
      <c r="AY14" s="2">
        <f t="shared" si="19"/>
        <v>7884.8864864864863</v>
      </c>
      <c r="AZ14" s="2">
        <f t="shared" si="19"/>
        <v>8030.4213333333328</v>
      </c>
      <c r="BA14" s="2">
        <f t="shared" si="19"/>
        <v>9340.1472908995256</v>
      </c>
      <c r="BB14" s="2">
        <f t="shared" si="19"/>
        <v>9605.0285121824782</v>
      </c>
      <c r="BC14" s="2">
        <f t="shared" si="19"/>
        <v>11081.854961832061</v>
      </c>
      <c r="BD14" s="2">
        <f t="shared" si="19"/>
        <v>9488.44702467344</v>
      </c>
      <c r="BE14" s="2">
        <f t="shared" si="19"/>
        <v>7285.7707006369437</v>
      </c>
      <c r="BF14" s="2">
        <f t="shared" si="19"/>
        <v>9003.767123287671</v>
      </c>
      <c r="BG14" s="2">
        <f t="shared" si="19"/>
        <v>8666.3146853146845</v>
      </c>
      <c r="BH14" s="2">
        <f t="shared" si="19"/>
        <v>11041.792857142858</v>
      </c>
      <c r="BI14" s="2">
        <f t="shared" si="19"/>
        <v>11213.480000000001</v>
      </c>
      <c r="BJ14" s="2">
        <f t="shared" si="19"/>
        <v>11695.826666666666</v>
      </c>
      <c r="BK14" s="2">
        <f t="shared" si="19"/>
        <v>10395.093959731543</v>
      </c>
      <c r="BL14" s="2">
        <f t="shared" si="19"/>
        <v>10034.97385620915</v>
      </c>
      <c r="BM14" s="2">
        <f t="shared" si="19"/>
        <v>17250.125000000004</v>
      </c>
      <c r="BN14" s="2">
        <f t="shared" si="19"/>
        <v>13780.238993710691</v>
      </c>
      <c r="BO14" s="2">
        <f t="shared" si="19"/>
        <v>15650.591194968552</v>
      </c>
      <c r="BP14" s="2">
        <f t="shared" si="19"/>
        <v>21985.465408805034</v>
      </c>
      <c r="BQ14" s="2">
        <f t="shared" si="19"/>
        <v>22287.258064516129</v>
      </c>
      <c r="BR14" s="2">
        <f t="shared" si="19"/>
        <v>24245.785714285714</v>
      </c>
      <c r="BS14" s="2">
        <f t="shared" si="19"/>
        <v>18781</v>
      </c>
      <c r="BT14" s="2">
        <f t="shared" si="19"/>
        <v>15601.465838509315</v>
      </c>
      <c r="BU14" s="2">
        <f t="shared" ref="BU14:DR14" si="20">BU30</f>
        <v>13056.018072289155</v>
      </c>
      <c r="BV14" s="2">
        <f t="shared" si="20"/>
        <v>15268.906515580738</v>
      </c>
      <c r="BW14" s="2">
        <f t="shared" si="20"/>
        <v>16070.890173410406</v>
      </c>
      <c r="BX14" s="2">
        <f t="shared" si="20"/>
        <v>14471.7225433526</v>
      </c>
      <c r="BY14" s="2">
        <f t="shared" si="20"/>
        <v>12755.133144475922</v>
      </c>
      <c r="BZ14" s="2">
        <f t="shared" si="20"/>
        <v>14343.913294797689</v>
      </c>
      <c r="CA14" s="2">
        <f t="shared" si="20"/>
        <v>13026.311827956988</v>
      </c>
      <c r="CB14" s="2">
        <f t="shared" si="20"/>
        <v>16222.448979591836</v>
      </c>
      <c r="CC14" s="2">
        <f t="shared" si="20"/>
        <v>12130.283582089553</v>
      </c>
      <c r="CD14" s="2">
        <f t="shared" si="20"/>
        <v>12443.6213592233</v>
      </c>
      <c r="CE14" s="2">
        <f t="shared" si="20"/>
        <v>12608.408759124086</v>
      </c>
      <c r="CF14" s="2">
        <f t="shared" si="20"/>
        <v>11362.994781212365</v>
      </c>
      <c r="CG14" s="2">
        <f t="shared" si="20"/>
        <v>13911.399305555555</v>
      </c>
      <c r="CH14" s="2">
        <f t="shared" si="20"/>
        <v>13780.673216885009</v>
      </c>
      <c r="CI14" s="2">
        <f t="shared" si="20"/>
        <v>13825.986376021798</v>
      </c>
      <c r="CJ14" s="2">
        <f t="shared" si="20"/>
        <v>13027.803159173754</v>
      </c>
      <c r="CK14" s="2">
        <f t="shared" si="20"/>
        <v>13109.983263598326</v>
      </c>
      <c r="CL14" s="2">
        <f t="shared" si="20"/>
        <v>13355.757575757576</v>
      </c>
      <c r="CM14" s="2">
        <f t="shared" si="20"/>
        <v>14291.031914893618</v>
      </c>
      <c r="CN14" s="2">
        <f t="shared" si="20"/>
        <v>14008.104697986579</v>
      </c>
      <c r="CO14" s="2">
        <f t="shared" si="20"/>
        <v>13715.469910371319</v>
      </c>
      <c r="CP14" s="2">
        <f t="shared" si="20"/>
        <v>15487.879768786128</v>
      </c>
      <c r="CQ14" s="2">
        <f t="shared" si="20"/>
        <v>16017.048808172533</v>
      </c>
      <c r="CR14" s="2">
        <f t="shared" si="20"/>
        <v>16679.558889386477</v>
      </c>
      <c r="CS14" s="2">
        <f t="shared" si="20"/>
        <v>15694.053352219074</v>
      </c>
      <c r="CT14" s="2">
        <f t="shared" si="20"/>
        <v>15996.868433074464</v>
      </c>
      <c r="CU14" s="2">
        <f t="shared" si="20"/>
        <v>11121.99124726477</v>
      </c>
      <c r="CV14" s="2">
        <f t="shared" si="20"/>
        <v>8784.1589841711593</v>
      </c>
      <c r="CW14" s="2">
        <f t="shared" si="20"/>
        <v>8030.543897935202</v>
      </c>
      <c r="CX14" s="2">
        <f t="shared" si="20"/>
        <v>8171.8315508021387</v>
      </c>
      <c r="CY14" s="2">
        <f t="shared" si="20"/>
        <v>8961.0152199364438</v>
      </c>
      <c r="CZ14" s="2">
        <f t="shared" si="20"/>
        <v>9972.1742738589219</v>
      </c>
      <c r="DA14" s="2">
        <f t="shared" si="20"/>
        <v>10643.295765577201</v>
      </c>
      <c r="DB14" s="2">
        <f t="shared" si="20"/>
        <v>10330.711511573714</v>
      </c>
      <c r="DC14" s="2">
        <f t="shared" si="20"/>
        <v>10883.961642193588</v>
      </c>
      <c r="DD14" s="2">
        <f t="shared" si="20"/>
        <v>11236.189362945646</v>
      </c>
      <c r="DE14" s="2">
        <f t="shared" si="20"/>
        <v>10529.860716316089</v>
      </c>
      <c r="DF14" s="2">
        <f t="shared" si="20"/>
        <v>10726.517585156465</v>
      </c>
      <c r="DG14" s="2">
        <f t="shared" si="20"/>
        <v>11418.921436285096</v>
      </c>
      <c r="DH14" s="2">
        <f t="shared" si="20"/>
        <v>12010.190588853839</v>
      </c>
      <c r="DI14" s="2">
        <f t="shared" si="20"/>
        <v>11518.896701610842</v>
      </c>
      <c r="DJ14" s="2">
        <f t="shared" si="20"/>
        <v>11191.702992242335</v>
      </c>
      <c r="DK14" s="2">
        <f t="shared" si="20"/>
        <v>10928.736466389055</v>
      </c>
      <c r="DL14" s="2">
        <f t="shared" si="20"/>
        <v>11455.21494898544</v>
      </c>
      <c r="DM14" s="2">
        <f t="shared" si="20"/>
        <v>11859.843958983503</v>
      </c>
      <c r="DN14" s="2">
        <f t="shared" si="20"/>
        <v>11229.519042437432</v>
      </c>
      <c r="DO14" s="2">
        <f t="shared" si="20"/>
        <v>10547.884656537557</v>
      </c>
      <c r="DP14" s="2">
        <f t="shared" si="20"/>
        <v>10108.955933636267</v>
      </c>
      <c r="DQ14" s="2">
        <f t="shared" si="20"/>
        <v>10702.137628111273</v>
      </c>
      <c r="DR14" s="2">
        <f t="shared" si="20"/>
        <v>11220.209131380059</v>
      </c>
      <c r="DS14" s="2">
        <f>DS30</f>
        <v>11376.913150348219</v>
      </c>
      <c r="DT14" s="2">
        <f>DT30</f>
        <v>11874.40794809408</v>
      </c>
      <c r="DU14" s="2">
        <f>DU30</f>
        <v>11922.365990764907</v>
      </c>
      <c r="DV14" s="2">
        <f t="shared" ref="DV14:FP14" si="21">DV30</f>
        <v>11453.95102121753</v>
      </c>
      <c r="DW14" s="2">
        <f t="shared" si="21"/>
        <v>12128.163126096279</v>
      </c>
      <c r="DX14" s="2">
        <f t="shared" si="21"/>
        <v>12043.709492947008</v>
      </c>
      <c r="DY14" s="2">
        <f t="shared" si="21"/>
        <v>12196.541220307407</v>
      </c>
      <c r="DZ14" s="2">
        <f t="shared" si="21"/>
        <v>11574.986926336671</v>
      </c>
      <c r="EA14" s="2">
        <f t="shared" si="21"/>
        <v>12291.68561756792</v>
      </c>
      <c r="EB14" s="2">
        <f t="shared" si="21"/>
        <v>12106.127393838467</v>
      </c>
      <c r="EC14" s="2">
        <f t="shared" si="21"/>
        <v>11529.239990409975</v>
      </c>
      <c r="ED14" s="2">
        <f t="shared" si="21"/>
        <v>11484.449950445987</v>
      </c>
      <c r="EE14" s="2">
        <f t="shared" si="21"/>
        <v>11547.996826083821</v>
      </c>
      <c r="EF14" s="2">
        <f t="shared" si="21"/>
        <v>11049.124439614183</v>
      </c>
      <c r="EG14" s="2">
        <f t="shared" si="21"/>
        <v>11228.826605446082</v>
      </c>
      <c r="EH14" s="2">
        <f t="shared" si="21"/>
        <v>11530.368465127407</v>
      </c>
      <c r="EI14" s="2">
        <f t="shared" si="21"/>
        <v>12092.345532587824</v>
      </c>
      <c r="EJ14" s="2">
        <f t="shared" si="21"/>
        <v>12888.554307116103</v>
      </c>
      <c r="EK14" s="2">
        <f t="shared" si="21"/>
        <v>12961.671656939861</v>
      </c>
      <c r="EL14" s="2">
        <f t="shared" si="21"/>
        <v>12149.790718835304</v>
      </c>
      <c r="EM14" s="2">
        <f t="shared" si="21"/>
        <v>11245.164509169364</v>
      </c>
      <c r="EN14" s="2">
        <f t="shared" si="21"/>
        <v>11019.171333054743</v>
      </c>
      <c r="EO14" s="2">
        <f t="shared" si="21"/>
        <v>10307.573879142301</v>
      </c>
      <c r="EP14" s="2">
        <f t="shared" si="21"/>
        <v>9839.0925286311576</v>
      </c>
      <c r="EQ14" s="2">
        <f t="shared" si="21"/>
        <v>9385.2572246065811</v>
      </c>
      <c r="ER14" s="2">
        <f t="shared" si="21"/>
        <v>9584.0603805980827</v>
      </c>
      <c r="ES14" s="2">
        <f t="shared" si="21"/>
        <v>8896.1722460658093</v>
      </c>
      <c r="ET14" s="2">
        <f t="shared" si="21"/>
        <v>8863.6897222222215</v>
      </c>
      <c r="EU14" s="2">
        <f t="shared" si="21"/>
        <v>9134.5514591982155</v>
      </c>
      <c r="EV14" s="2">
        <f t="shared" si="21"/>
        <v>9813.5929203539818</v>
      </c>
      <c r="EW14" s="2">
        <f t="shared" si="21"/>
        <v>9333.2359938146783</v>
      </c>
      <c r="EX14" s="2">
        <f t="shared" si="21"/>
        <v>8907.3643899591352</v>
      </c>
      <c r="EY14" s="2">
        <f t="shared" si="21"/>
        <v>8401.9636571428582</v>
      </c>
      <c r="EZ14" s="2">
        <f t="shared" si="21"/>
        <v>8129.5684563758396</v>
      </c>
      <c r="FA14" s="2">
        <f t="shared" si="21"/>
        <v>8333.7056562328398</v>
      </c>
      <c r="FB14" s="2">
        <f t="shared" si="21"/>
        <v>9609.8771628156901</v>
      </c>
      <c r="FC14" s="2">
        <f t="shared" si="21"/>
        <v>9495.1028361344543</v>
      </c>
      <c r="FD14" s="2">
        <f t="shared" si="21"/>
        <v>10675.390918472653</v>
      </c>
      <c r="FE14" s="2">
        <f t="shared" si="21"/>
        <v>12570.272993437658</v>
      </c>
      <c r="FF14" s="2">
        <f t="shared" si="21"/>
        <v>13586.966336633663</v>
      </c>
      <c r="FG14" s="2">
        <f t="shared" si="21"/>
        <v>12280.563901018922</v>
      </c>
      <c r="FH14" s="2">
        <f t="shared" si="21"/>
        <v>12863.616159695817</v>
      </c>
      <c r="FI14" s="2">
        <f t="shared" si="21"/>
        <v>12436.27105572537</v>
      </c>
      <c r="FJ14" s="2">
        <f t="shared" si="21"/>
        <v>11428.230023310023</v>
      </c>
      <c r="FK14" s="2">
        <f t="shared" si="21"/>
        <v>13775.616816816817</v>
      </c>
      <c r="FL14" s="2">
        <f t="shared" si="21"/>
        <v>12046.725052809463</v>
      </c>
      <c r="FM14" s="2">
        <f t="shared" si="21"/>
        <v>11443.552603082049</v>
      </c>
      <c r="FN14" s="2">
        <f t="shared" si="21"/>
        <v>12352.789923329683</v>
      </c>
      <c r="FO14" s="2">
        <f t="shared" si="21"/>
        <v>12202.101383177569</v>
      </c>
      <c r="FP14" s="2">
        <f t="shared" si="21"/>
        <v>12698.184296619411</v>
      </c>
      <c r="FQ14" s="2">
        <f>FQ30</f>
        <v>14073.245192641443</v>
      </c>
      <c r="FR14" s="2">
        <f>FR30</f>
        <v>16026.693227366966</v>
      </c>
      <c r="FS14" s="2">
        <f t="shared" ref="FS14:FU14" si="22">FS30</f>
        <v>15158.656187521545</v>
      </c>
      <c r="FT14" s="2">
        <f t="shared" si="22"/>
        <v>17330.112998266897</v>
      </c>
      <c r="FU14" s="2">
        <f t="shared" si="22"/>
        <v>17181.97457809695</v>
      </c>
      <c r="FV14" s="2">
        <f>FV30</f>
        <v>14366.486823956444</v>
      </c>
      <c r="FW14" s="2">
        <f t="shared" ref="FW14:FY14" si="23">FW30</f>
        <v>14051.529318427694</v>
      </c>
      <c r="FX14" s="2">
        <f t="shared" si="23"/>
        <v>14753.086213038832</v>
      </c>
      <c r="FY14" s="2">
        <f>FY30</f>
        <v>12397.849881556684</v>
      </c>
      <c r="FZ14" s="6">
        <f t="shared" ref="FZ14:GA16" si="24">FY14</f>
        <v>12397.849881556684</v>
      </c>
      <c r="GA14" s="6">
        <f t="shared" si="24"/>
        <v>12397.849881556684</v>
      </c>
    </row>
    <row r="15" spans="1:183" x14ac:dyDescent="0.25">
      <c r="A15" t="s">
        <v>431</v>
      </c>
      <c r="H15" s="2">
        <f>H24</f>
        <v>3433.6390000000001</v>
      </c>
      <c r="I15" s="2">
        <f t="shared" ref="I15:BT15" si="25">I24</f>
        <v>3419.7840000000001</v>
      </c>
      <c r="J15" s="2">
        <f t="shared" si="25"/>
        <v>3311.107</v>
      </c>
      <c r="K15" s="2">
        <f t="shared" si="25"/>
        <v>3300.4279999999999</v>
      </c>
      <c r="L15" s="2">
        <f t="shared" si="25"/>
        <v>3096.5929999999998</v>
      </c>
      <c r="M15" s="2">
        <f t="shared" si="25"/>
        <v>3175.038</v>
      </c>
      <c r="N15" s="2">
        <f t="shared" si="25"/>
        <v>3201.3589999999999</v>
      </c>
      <c r="O15" s="2">
        <f t="shared" si="25"/>
        <v>3346.4989999999998</v>
      </c>
      <c r="P15" s="2">
        <f t="shared" si="25"/>
        <v>3514.1480000000001</v>
      </c>
      <c r="Q15" s="2">
        <f t="shared" si="25"/>
        <v>3411.1089999999999</v>
      </c>
      <c r="R15" s="2">
        <f t="shared" si="25"/>
        <v>3399.835</v>
      </c>
      <c r="S15" s="2">
        <f t="shared" si="25"/>
        <v>3326.471</v>
      </c>
      <c r="T15" s="2">
        <f t="shared" si="25"/>
        <v>3330.7379999999998</v>
      </c>
      <c r="U15" s="2">
        <f t="shared" si="25"/>
        <v>3137.2649999999999</v>
      </c>
      <c r="V15" s="2">
        <f t="shared" si="25"/>
        <v>3186.9679999999998</v>
      </c>
      <c r="W15" s="2">
        <f t="shared" si="25"/>
        <v>2922.9090000000001</v>
      </c>
      <c r="X15" s="2">
        <f t="shared" si="25"/>
        <v>2763.3980000000001</v>
      </c>
      <c r="Y15" s="2">
        <f t="shared" si="25"/>
        <v>2432.7640000000001</v>
      </c>
      <c r="Z15" s="2">
        <f t="shared" si="25"/>
        <v>2606.6260000000002</v>
      </c>
      <c r="AA15" s="2">
        <f t="shared" si="25"/>
        <v>2769.5709999999999</v>
      </c>
      <c r="AB15" s="2">
        <f t="shared" si="25"/>
        <v>2637.9490000000001</v>
      </c>
      <c r="AC15" s="2">
        <f t="shared" si="25"/>
        <v>2625.5230000000001</v>
      </c>
      <c r="AD15" s="2">
        <f t="shared" si="25"/>
        <v>2481.8119999999999</v>
      </c>
      <c r="AE15" s="2">
        <f t="shared" si="25"/>
        <v>2389.4720000000002</v>
      </c>
      <c r="AF15" s="2">
        <f t="shared" si="25"/>
        <v>2461.7440000000001</v>
      </c>
      <c r="AG15" s="2">
        <f t="shared" si="25"/>
        <v>2623.6570000000002</v>
      </c>
      <c r="AH15" s="2">
        <f t="shared" si="25"/>
        <v>2545.9459999999999</v>
      </c>
      <c r="AI15" s="2">
        <f t="shared" si="25"/>
        <v>2569.587</v>
      </c>
      <c r="AJ15" s="2">
        <f t="shared" si="25"/>
        <v>2470.0410000000002</v>
      </c>
      <c r="AK15" s="2">
        <f t="shared" si="25"/>
        <v>2633.6410000000001</v>
      </c>
      <c r="AL15" s="2">
        <f t="shared" si="25"/>
        <v>2542.2339999999999</v>
      </c>
      <c r="AM15" s="2">
        <f t="shared" si="25"/>
        <v>2552.06</v>
      </c>
      <c r="AN15" s="2">
        <f t="shared" si="25"/>
        <v>2399.34</v>
      </c>
      <c r="AO15" s="2">
        <f t="shared" si="25"/>
        <v>2324.52</v>
      </c>
      <c r="AP15" s="2">
        <f t="shared" si="25"/>
        <v>2316.17</v>
      </c>
      <c r="AQ15" s="2">
        <f t="shared" si="25"/>
        <v>2354.7849999999999</v>
      </c>
      <c r="AR15" s="2">
        <f t="shared" si="25"/>
        <v>2529.5500000000002</v>
      </c>
      <c r="AS15" s="2">
        <f t="shared" si="25"/>
        <v>2406.96</v>
      </c>
      <c r="AT15" s="2">
        <f t="shared" si="25"/>
        <v>2345.58</v>
      </c>
      <c r="AU15" s="2">
        <f t="shared" si="25"/>
        <v>2348.3429999999998</v>
      </c>
      <c r="AV15" s="2">
        <f t="shared" si="25"/>
        <v>2361.8209999999999</v>
      </c>
      <c r="AW15" s="2">
        <f t="shared" si="25"/>
        <v>2325.933</v>
      </c>
      <c r="AX15" s="2">
        <f t="shared" si="25"/>
        <v>2178.0140000000001</v>
      </c>
      <c r="AY15" s="2">
        <f t="shared" si="25"/>
        <v>2249.096</v>
      </c>
      <c r="AZ15" s="2">
        <f t="shared" si="25"/>
        <v>2214.3980000000001</v>
      </c>
      <c r="BA15" s="2">
        <f t="shared" si="25"/>
        <v>2263.348</v>
      </c>
      <c r="BB15" s="2">
        <f t="shared" si="25"/>
        <v>2110.625</v>
      </c>
      <c r="BC15" s="2">
        <f t="shared" si="25"/>
        <v>2106.933</v>
      </c>
      <c r="BD15" s="2">
        <f t="shared" si="25"/>
        <v>2215.2719999999999</v>
      </c>
      <c r="BE15" s="2">
        <f t="shared" si="25"/>
        <v>2444.1970000000001</v>
      </c>
      <c r="BF15" s="2">
        <f t="shared" si="25"/>
        <v>2444.44</v>
      </c>
      <c r="BG15" s="2">
        <f t="shared" si="25"/>
        <v>2559.8009999999999</v>
      </c>
      <c r="BH15" s="2">
        <f t="shared" si="25"/>
        <v>2413.0300000000002</v>
      </c>
      <c r="BI15" s="2">
        <f t="shared" si="25"/>
        <v>2617.2649999999999</v>
      </c>
      <c r="BJ15" s="2">
        <f t="shared" si="25"/>
        <v>2681.558</v>
      </c>
      <c r="BK15" s="2">
        <f t="shared" si="25"/>
        <v>2594.4380000000001</v>
      </c>
      <c r="BL15" s="2">
        <f t="shared" si="25"/>
        <v>2607.7570000000001</v>
      </c>
      <c r="BM15" s="2">
        <f t="shared" si="25"/>
        <v>2322.9899999999998</v>
      </c>
      <c r="BN15" s="2">
        <f t="shared" si="25"/>
        <v>2141.8249999999998</v>
      </c>
      <c r="BO15" s="2">
        <f t="shared" si="25"/>
        <v>2101.7489999999998</v>
      </c>
      <c r="BP15" s="2">
        <f t="shared" si="25"/>
        <v>2400.569</v>
      </c>
      <c r="BQ15" s="2">
        <f t="shared" si="25"/>
        <v>2291.4899999999998</v>
      </c>
      <c r="BR15" s="2">
        <f t="shared" si="25"/>
        <v>2202.13</v>
      </c>
      <c r="BS15" s="2">
        <f t="shared" si="25"/>
        <v>2514.1489999999999</v>
      </c>
      <c r="BT15" s="2">
        <f t="shared" si="25"/>
        <v>2522.7809999999999</v>
      </c>
      <c r="BU15" s="2">
        <f t="shared" ref="BU15:EF15" si="26">BU24</f>
        <v>2386.5839999999998</v>
      </c>
      <c r="BV15" s="2">
        <f t="shared" si="26"/>
        <v>2514.067</v>
      </c>
      <c r="BW15" s="2">
        <f t="shared" si="26"/>
        <v>2614.7049999999999</v>
      </c>
      <c r="BX15" s="2">
        <f t="shared" si="26"/>
        <v>2545.529</v>
      </c>
      <c r="BY15" s="2">
        <f t="shared" si="26"/>
        <v>2435.0189999999998</v>
      </c>
      <c r="BZ15" s="2">
        <f t="shared" si="26"/>
        <v>2293.1219999999998</v>
      </c>
      <c r="CA15" s="2">
        <f t="shared" si="26"/>
        <v>2298.7750000000001</v>
      </c>
      <c r="CB15" s="2">
        <f t="shared" si="26"/>
        <v>2657.8829999999998</v>
      </c>
      <c r="CC15" s="2">
        <f t="shared" si="26"/>
        <v>2616.7890000000002</v>
      </c>
      <c r="CD15" s="2">
        <f t="shared" si="26"/>
        <v>2337.6950000000002</v>
      </c>
      <c r="CE15" s="2">
        <f t="shared" si="26"/>
        <v>2623.7179999999998</v>
      </c>
      <c r="CF15" s="2">
        <f t="shared" si="26"/>
        <v>2579.0340000000001</v>
      </c>
      <c r="CG15" s="2">
        <f t="shared" si="26"/>
        <v>2486.4360000000001</v>
      </c>
      <c r="CH15" s="2">
        <f t="shared" si="26"/>
        <v>2429.2289999999998</v>
      </c>
      <c r="CI15" s="2">
        <f t="shared" si="26"/>
        <v>2383.8339999999998</v>
      </c>
      <c r="CJ15" s="2">
        <f t="shared" si="26"/>
        <v>2296.9580000000001</v>
      </c>
      <c r="CK15" s="2">
        <f t="shared" si="26"/>
        <v>2406.924</v>
      </c>
      <c r="CL15" s="2">
        <f t="shared" si="26"/>
        <v>2435.6089999999999</v>
      </c>
      <c r="CM15" s="2">
        <f t="shared" si="26"/>
        <v>2255.623</v>
      </c>
      <c r="CN15" s="2">
        <f t="shared" si="26"/>
        <v>2622.26</v>
      </c>
      <c r="CO15" s="2">
        <f t="shared" si="26"/>
        <v>2608.201</v>
      </c>
      <c r="CP15" s="2">
        <f t="shared" si="26"/>
        <v>2280.8530000000001</v>
      </c>
      <c r="CQ15" s="2">
        <f t="shared" si="26"/>
        <v>2547.1640000000002</v>
      </c>
      <c r="CR15" s="2">
        <f t="shared" si="26"/>
        <v>2588.2139999999999</v>
      </c>
      <c r="CS15" s="2">
        <f t="shared" si="26"/>
        <v>2486.0309999999999</v>
      </c>
      <c r="CT15" s="2">
        <f t="shared" si="26"/>
        <v>2818.4409999999998</v>
      </c>
      <c r="CU15" s="2">
        <f t="shared" si="26"/>
        <v>3011.884</v>
      </c>
      <c r="CV15" s="2">
        <f t="shared" si="26"/>
        <v>2914.1480000000001</v>
      </c>
      <c r="CW15" s="2">
        <f t="shared" si="26"/>
        <v>2999.4389999999999</v>
      </c>
      <c r="CX15" s="2">
        <f t="shared" si="26"/>
        <v>2904.26</v>
      </c>
      <c r="CY15" s="2">
        <f t="shared" si="26"/>
        <v>2684.4659999999999</v>
      </c>
      <c r="CZ15" s="2">
        <f t="shared" si="26"/>
        <v>3140.2339999999999</v>
      </c>
      <c r="DA15" s="2">
        <f t="shared" si="26"/>
        <v>3139.7559999999999</v>
      </c>
      <c r="DB15" s="2">
        <f t="shared" si="26"/>
        <v>2940.8780000000002</v>
      </c>
      <c r="DC15" s="2">
        <f t="shared" si="26"/>
        <v>3341.13</v>
      </c>
      <c r="DD15" s="2">
        <f t="shared" si="26"/>
        <v>3440.7159999999999</v>
      </c>
      <c r="DE15" s="2">
        <f t="shared" si="26"/>
        <v>3533.096</v>
      </c>
      <c r="DF15" s="2">
        <f t="shared" si="26"/>
        <v>3910.8150000000001</v>
      </c>
      <c r="DG15" s="2">
        <f t="shared" si="26"/>
        <v>3913.2359999999999</v>
      </c>
      <c r="DH15" s="2">
        <f t="shared" si="26"/>
        <v>3753.8240000000001</v>
      </c>
      <c r="DI15" s="2">
        <f t="shared" si="26"/>
        <v>3728.9920000000002</v>
      </c>
      <c r="DJ15" s="2">
        <f t="shared" si="26"/>
        <v>3527.4589999999998</v>
      </c>
      <c r="DK15" s="2">
        <f t="shared" si="26"/>
        <v>3758.25</v>
      </c>
      <c r="DL15" s="2">
        <f t="shared" si="26"/>
        <v>3673.1550000000002</v>
      </c>
      <c r="DM15" s="2">
        <f t="shared" si="26"/>
        <v>3424.241</v>
      </c>
      <c r="DN15" s="2">
        <f t="shared" si="26"/>
        <v>3392.9969999999998</v>
      </c>
      <c r="DO15" s="2">
        <f t="shared" si="26"/>
        <v>3510.864</v>
      </c>
      <c r="DP15" s="2">
        <f t="shared" si="26"/>
        <v>3783.0819999999999</v>
      </c>
      <c r="DQ15" s="2">
        <f t="shared" si="26"/>
        <v>3509.634</v>
      </c>
      <c r="DR15" s="2">
        <f t="shared" si="26"/>
        <v>3600.4059999999999</v>
      </c>
      <c r="DS15" s="2">
        <f>DS24</f>
        <v>3599.83</v>
      </c>
      <c r="DT15" s="2">
        <f t="shared" si="26"/>
        <v>3483.4520000000002</v>
      </c>
      <c r="DU15" s="2">
        <f t="shared" si="26"/>
        <v>3536.1529999999998</v>
      </c>
      <c r="DV15" s="2">
        <f t="shared" si="26"/>
        <v>3521.7620000000002</v>
      </c>
      <c r="DW15" s="2">
        <f t="shared" si="26"/>
        <v>3213.7629999999999</v>
      </c>
      <c r="DX15" s="2">
        <f t="shared" si="26"/>
        <v>3564.319</v>
      </c>
      <c r="DY15" s="2">
        <f t="shared" si="26"/>
        <v>3744.5140000000001</v>
      </c>
      <c r="DZ15" s="2">
        <f t="shared" si="26"/>
        <v>3859.2060000000001</v>
      </c>
      <c r="EA15" s="2">
        <f t="shared" si="26"/>
        <v>3789.1559999999999</v>
      </c>
      <c r="EB15" s="2">
        <f t="shared" si="26"/>
        <v>3655.4290000000001</v>
      </c>
      <c r="EC15" s="2">
        <f t="shared" si="26"/>
        <v>3587.94</v>
      </c>
      <c r="ED15" s="2">
        <f t="shared" si="26"/>
        <v>3502.2890000000002</v>
      </c>
      <c r="EE15" s="2">
        <f t="shared" si="26"/>
        <v>3398.3760000000002</v>
      </c>
      <c r="EF15" s="2">
        <f t="shared" si="26"/>
        <v>3299.5450000000001</v>
      </c>
      <c r="EG15" s="2">
        <f t="shared" ref="EG15:FU15" si="27">EG24</f>
        <v>3243.9259999999999</v>
      </c>
      <c r="EH15" s="2">
        <f t="shared" si="27"/>
        <v>3476.683</v>
      </c>
      <c r="EI15" s="2">
        <f t="shared" si="27"/>
        <v>3617.973</v>
      </c>
      <c r="EJ15" s="2">
        <f t="shared" si="27"/>
        <v>3827.942</v>
      </c>
      <c r="EK15" s="2">
        <f t="shared" si="27"/>
        <v>3629.2869999999998</v>
      </c>
      <c r="EL15" s="2">
        <f t="shared" si="27"/>
        <v>3905.4349999999999</v>
      </c>
      <c r="EM15" s="2">
        <f t="shared" si="27"/>
        <v>3949.105</v>
      </c>
      <c r="EN15" s="2">
        <f t="shared" si="27"/>
        <v>3900.89</v>
      </c>
      <c r="EO15" s="2">
        <f t="shared" si="27"/>
        <v>3806.8820000000001</v>
      </c>
      <c r="EP15" s="2">
        <f t="shared" si="27"/>
        <v>3468.944</v>
      </c>
      <c r="EQ15" s="2">
        <f t="shared" si="27"/>
        <v>3849.8960000000002</v>
      </c>
      <c r="ER15" s="2">
        <f t="shared" si="27"/>
        <v>3669.5419999999999</v>
      </c>
      <c r="ES15" s="2">
        <f t="shared" si="27"/>
        <v>3936.7979999999998</v>
      </c>
      <c r="ET15" s="2">
        <f t="shared" si="27"/>
        <v>4042.9340000000002</v>
      </c>
      <c r="EU15" s="2">
        <f t="shared" si="27"/>
        <v>4095.873</v>
      </c>
      <c r="EV15" s="2">
        <f t="shared" si="27"/>
        <v>4064.59</v>
      </c>
      <c r="EW15" s="2">
        <f t="shared" si="27"/>
        <v>4058.2579999999998</v>
      </c>
      <c r="EX15" s="2">
        <f t="shared" si="27"/>
        <v>4344.7669999999998</v>
      </c>
      <c r="EY15" s="2">
        <f t="shared" si="27"/>
        <v>4554.201</v>
      </c>
      <c r="EZ15" s="2">
        <f t="shared" si="27"/>
        <v>4614.0079999999998</v>
      </c>
      <c r="FA15" s="2">
        <f t="shared" si="27"/>
        <v>4616.9650000000001</v>
      </c>
      <c r="FB15" s="2">
        <f t="shared" si="27"/>
        <v>4806.6880000000001</v>
      </c>
      <c r="FC15" s="2">
        <f t="shared" si="27"/>
        <v>4960.6419999999998</v>
      </c>
      <c r="FD15" s="2">
        <f t="shared" si="27"/>
        <v>5234.8019999999997</v>
      </c>
      <c r="FE15" s="2">
        <f t="shared" si="27"/>
        <v>5436.8109999999997</v>
      </c>
      <c r="FF15" s="2">
        <f t="shared" si="27"/>
        <v>5277.643</v>
      </c>
      <c r="FG15" s="2">
        <f t="shared" si="27"/>
        <v>5206.1450000000004</v>
      </c>
      <c r="FH15" s="2">
        <f t="shared" si="27"/>
        <v>5572.6279999999997</v>
      </c>
      <c r="FI15" s="2">
        <f t="shared" si="27"/>
        <v>5646.35</v>
      </c>
      <c r="FJ15" s="2">
        <f t="shared" si="27"/>
        <v>6187.3119999999999</v>
      </c>
      <c r="FK15" s="2">
        <f t="shared" si="27"/>
        <v>6560.2860000000001</v>
      </c>
      <c r="FL15" s="2">
        <f t="shared" si="27"/>
        <v>6532.2979999999998</v>
      </c>
      <c r="FM15" s="2">
        <f t="shared" si="27"/>
        <v>6535.8909999999996</v>
      </c>
      <c r="FN15" s="2">
        <f t="shared" si="27"/>
        <v>6539.1260000000002</v>
      </c>
      <c r="FO15" s="2">
        <f t="shared" si="27"/>
        <v>6835.0050000000001</v>
      </c>
      <c r="FP15" s="2">
        <f t="shared" si="27"/>
        <v>7629.01</v>
      </c>
      <c r="FQ15" s="2">
        <f t="shared" si="27"/>
        <v>7934.3959999999997</v>
      </c>
      <c r="FR15" s="2">
        <f t="shared" si="27"/>
        <v>8368.3089999999993</v>
      </c>
      <c r="FS15" s="2">
        <f t="shared" si="27"/>
        <v>8585.6620000000003</v>
      </c>
      <c r="FT15" s="2">
        <f t="shared" si="27"/>
        <v>9644.6</v>
      </c>
      <c r="FU15" s="2">
        <f t="shared" si="27"/>
        <v>10388.584000000001</v>
      </c>
      <c r="FV15" s="2">
        <f>FV24</f>
        <v>9236.5709999999999</v>
      </c>
      <c r="FW15" s="2">
        <f t="shared" ref="FW15:FY15" si="28">FW24</f>
        <v>9172.8340000000007</v>
      </c>
      <c r="FX15" s="2">
        <f t="shared" si="28"/>
        <v>9037.0229999999992</v>
      </c>
      <c r="FY15" s="2">
        <f>FY24</f>
        <v>8000.2969999999996</v>
      </c>
      <c r="FZ15" s="6">
        <f t="shared" si="24"/>
        <v>8000.2969999999996</v>
      </c>
      <c r="GA15" s="6">
        <f t="shared" si="24"/>
        <v>8000.2969999999996</v>
      </c>
    </row>
    <row r="16" spans="1:183" x14ac:dyDescent="0.25">
      <c r="A16" t="s">
        <v>432</v>
      </c>
      <c r="H16" s="2">
        <f>H21-H24</f>
        <v>43160.360999999997</v>
      </c>
      <c r="I16" s="2">
        <f t="shared" ref="I16:BT16" si="29">I21-I24</f>
        <v>43248.216</v>
      </c>
      <c r="J16" s="2">
        <f t="shared" si="29"/>
        <v>43979.892999999996</v>
      </c>
      <c r="K16" s="2">
        <f t="shared" si="29"/>
        <v>44543.572</v>
      </c>
      <c r="L16" s="2">
        <f t="shared" si="29"/>
        <v>43881.406999999999</v>
      </c>
      <c r="M16" s="2">
        <f t="shared" si="29"/>
        <v>43172.962</v>
      </c>
      <c r="N16" s="2">
        <f t="shared" si="29"/>
        <v>43616.641000000003</v>
      </c>
      <c r="O16" s="2">
        <f t="shared" si="29"/>
        <v>41805.501000000004</v>
      </c>
      <c r="P16" s="2">
        <f t="shared" si="29"/>
        <v>41495.851999999999</v>
      </c>
      <c r="Q16" s="2">
        <f t="shared" si="29"/>
        <v>41862.891000000003</v>
      </c>
      <c r="R16" s="2">
        <f t="shared" si="29"/>
        <v>41838.165000000001</v>
      </c>
      <c r="S16" s="2">
        <f t="shared" si="29"/>
        <v>39963.529000000002</v>
      </c>
      <c r="T16" s="2">
        <f t="shared" si="29"/>
        <v>39200.262000000002</v>
      </c>
      <c r="U16" s="2">
        <f t="shared" si="29"/>
        <v>38471.735000000001</v>
      </c>
      <c r="V16" s="2">
        <f t="shared" si="29"/>
        <v>37259.031999999999</v>
      </c>
      <c r="W16" s="2">
        <f t="shared" si="29"/>
        <v>36609.091</v>
      </c>
      <c r="X16" s="2">
        <f t="shared" si="29"/>
        <v>35787.601999999999</v>
      </c>
      <c r="Y16" s="2">
        <f t="shared" si="29"/>
        <v>34572.235999999997</v>
      </c>
      <c r="Z16" s="2">
        <f t="shared" si="29"/>
        <v>34442.373999999996</v>
      </c>
      <c r="AA16" s="2">
        <f t="shared" si="29"/>
        <v>33908.429000000004</v>
      </c>
      <c r="AB16" s="2">
        <f t="shared" si="29"/>
        <v>32103.050999999999</v>
      </c>
      <c r="AC16" s="2">
        <f t="shared" si="29"/>
        <v>30606.476999999999</v>
      </c>
      <c r="AD16" s="2">
        <f t="shared" si="29"/>
        <v>28317.188000000002</v>
      </c>
      <c r="AE16" s="2">
        <f t="shared" si="29"/>
        <v>28209.527999999998</v>
      </c>
      <c r="AF16" s="2">
        <f t="shared" si="29"/>
        <v>25286.256000000001</v>
      </c>
      <c r="AG16" s="2">
        <f t="shared" si="29"/>
        <v>24922.343000000001</v>
      </c>
      <c r="AH16" s="2">
        <f t="shared" si="29"/>
        <v>24461.054</v>
      </c>
      <c r="AI16" s="2">
        <f t="shared" si="29"/>
        <v>25650.413</v>
      </c>
      <c r="AJ16" s="2">
        <f t="shared" si="29"/>
        <v>26071.958999999999</v>
      </c>
      <c r="AK16" s="2">
        <f t="shared" si="29"/>
        <v>26644.359</v>
      </c>
      <c r="AL16" s="2">
        <f t="shared" si="29"/>
        <v>26460.766</v>
      </c>
      <c r="AM16" s="2">
        <f t="shared" si="29"/>
        <v>26067.94</v>
      </c>
      <c r="AN16" s="2">
        <f t="shared" si="29"/>
        <v>25466.66</v>
      </c>
      <c r="AO16" s="2">
        <f t="shared" si="29"/>
        <v>25786.48</v>
      </c>
      <c r="AP16" s="2">
        <f t="shared" si="29"/>
        <v>26594.83</v>
      </c>
      <c r="AQ16" s="2">
        <f t="shared" si="29"/>
        <v>29052.215</v>
      </c>
      <c r="AR16" s="2">
        <f t="shared" si="29"/>
        <v>28922.45</v>
      </c>
      <c r="AS16" s="2">
        <f t="shared" si="29"/>
        <v>29063.040000000001</v>
      </c>
      <c r="AT16" s="2">
        <f t="shared" si="29"/>
        <v>29144.42</v>
      </c>
      <c r="AU16" s="2">
        <f t="shared" si="29"/>
        <v>31560.656999999999</v>
      </c>
      <c r="AV16" s="2">
        <f t="shared" si="29"/>
        <v>30921.179</v>
      </c>
      <c r="AW16" s="2">
        <f t="shared" si="29"/>
        <v>31525.066999999999</v>
      </c>
      <c r="AX16" s="2">
        <f t="shared" si="29"/>
        <v>31764.986000000001</v>
      </c>
      <c r="AY16" s="2">
        <f t="shared" si="29"/>
        <v>31356.903999999999</v>
      </c>
      <c r="AZ16" s="2">
        <f t="shared" si="29"/>
        <v>31042.601999999999</v>
      </c>
      <c r="BA16" s="2">
        <f t="shared" si="29"/>
        <v>24706.652000000002</v>
      </c>
      <c r="BB16" s="2">
        <f t="shared" si="29"/>
        <v>23504.375</v>
      </c>
      <c r="BC16" s="2">
        <f t="shared" si="29"/>
        <v>23456.066999999999</v>
      </c>
      <c r="BD16" s="2">
        <f t="shared" si="29"/>
        <v>27858.727999999999</v>
      </c>
      <c r="BE16" s="2">
        <f t="shared" si="29"/>
        <v>25954.803</v>
      </c>
      <c r="BF16" s="2">
        <f t="shared" si="29"/>
        <v>27127.56</v>
      </c>
      <c r="BG16" s="2">
        <f t="shared" si="29"/>
        <v>31820.199000000001</v>
      </c>
      <c r="BH16" s="2">
        <f t="shared" si="29"/>
        <v>27757.97</v>
      </c>
      <c r="BI16" s="2">
        <f t="shared" si="29"/>
        <v>27889.735000000001</v>
      </c>
      <c r="BJ16" s="2">
        <f t="shared" si="29"/>
        <v>29829.441999999999</v>
      </c>
      <c r="BK16" s="2">
        <f t="shared" si="29"/>
        <v>28555.561999999998</v>
      </c>
      <c r="BL16" s="2">
        <f t="shared" si="29"/>
        <v>27294.242999999999</v>
      </c>
      <c r="BM16" s="2">
        <f t="shared" si="29"/>
        <v>34887.01</v>
      </c>
      <c r="BN16" s="2">
        <f t="shared" si="29"/>
        <v>35236.175000000003</v>
      </c>
      <c r="BO16" s="2">
        <f t="shared" si="29"/>
        <v>37206.251000000004</v>
      </c>
      <c r="BP16" s="2">
        <f t="shared" si="29"/>
        <v>44486.430999999997</v>
      </c>
      <c r="BQ16" s="2">
        <f t="shared" si="29"/>
        <v>48316.51</v>
      </c>
      <c r="BR16" s="2">
        <f t="shared" si="29"/>
        <v>48319.87</v>
      </c>
      <c r="BS16" s="2">
        <f t="shared" si="29"/>
        <v>45702.851000000002</v>
      </c>
      <c r="BT16" s="2">
        <f t="shared" si="29"/>
        <v>43623.218999999997</v>
      </c>
      <c r="BU16" s="2">
        <f t="shared" ref="BU16:DR16" si="30">BU21-BU24</f>
        <v>45608.415999999997</v>
      </c>
      <c r="BV16" s="2">
        <f t="shared" si="30"/>
        <v>44499.932999999997</v>
      </c>
      <c r="BW16" s="2">
        <f t="shared" si="30"/>
        <v>46262.294999999998</v>
      </c>
      <c r="BX16" s="2">
        <f t="shared" si="30"/>
        <v>47691.470999999998</v>
      </c>
      <c r="BY16" s="2">
        <f t="shared" si="30"/>
        <v>49374.981</v>
      </c>
      <c r="BZ16" s="2">
        <f t="shared" si="30"/>
        <v>52269.877999999997</v>
      </c>
      <c r="CA16" s="2">
        <f t="shared" si="30"/>
        <v>52756.224999999999</v>
      </c>
      <c r="CB16" s="2">
        <f t="shared" si="30"/>
        <v>59366.116999999998</v>
      </c>
      <c r="CC16" s="2">
        <f t="shared" si="30"/>
        <v>58892.211000000003</v>
      </c>
      <c r="CD16" s="2">
        <f t="shared" si="30"/>
        <v>59388.305</v>
      </c>
      <c r="CE16" s="2">
        <f t="shared" si="30"/>
        <v>53999.281999999999</v>
      </c>
      <c r="CF16" s="2">
        <f t="shared" si="30"/>
        <v>47518.966</v>
      </c>
      <c r="CG16" s="2">
        <f t="shared" si="30"/>
        <v>59394.563999999998</v>
      </c>
      <c r="CH16" s="2">
        <f t="shared" si="30"/>
        <v>55566.771000000001</v>
      </c>
      <c r="CI16" s="2">
        <f t="shared" si="30"/>
        <v>50274.165999999997</v>
      </c>
      <c r="CJ16" s="2">
        <f t="shared" si="30"/>
        <v>46706.042000000001</v>
      </c>
      <c r="CK16" s="2">
        <f t="shared" si="30"/>
        <v>51548.076000000001</v>
      </c>
      <c r="CL16" s="2">
        <f t="shared" si="30"/>
        <v>48757.391000000003</v>
      </c>
      <c r="CM16" s="2">
        <f t="shared" si="30"/>
        <v>63530.377</v>
      </c>
      <c r="CN16" s="2">
        <f t="shared" si="30"/>
        <v>64188.74</v>
      </c>
      <c r="CO16" s="2">
        <f t="shared" si="30"/>
        <v>65406.798999999999</v>
      </c>
      <c r="CP16" s="2">
        <f t="shared" si="30"/>
        <v>63906.146999999997</v>
      </c>
      <c r="CQ16" s="2">
        <f t="shared" si="30"/>
        <v>69115.835999999996</v>
      </c>
      <c r="CR16" s="2">
        <f t="shared" si="30"/>
        <v>62190.786</v>
      </c>
      <c r="CS16" s="2">
        <f t="shared" si="30"/>
        <v>61791.968999999997</v>
      </c>
      <c r="CT16" s="2">
        <f t="shared" si="30"/>
        <v>65080.559000000001</v>
      </c>
      <c r="CU16" s="2">
        <f t="shared" si="30"/>
        <v>51088.116000000002</v>
      </c>
      <c r="CV16" s="2">
        <f t="shared" si="30"/>
        <v>45788.851999999999</v>
      </c>
      <c r="CW16" s="2">
        <f t="shared" si="30"/>
        <v>40260.561000000002</v>
      </c>
      <c r="CX16" s="2">
        <f t="shared" si="30"/>
        <v>40867.74</v>
      </c>
      <c r="CY16" s="2">
        <f t="shared" si="30"/>
        <v>42163.534</v>
      </c>
      <c r="CZ16" s="2">
        <f t="shared" si="30"/>
        <v>41776.766000000003</v>
      </c>
      <c r="DA16" s="2">
        <f t="shared" si="30"/>
        <v>41651.243999999999</v>
      </c>
      <c r="DB16" s="2">
        <f t="shared" si="30"/>
        <v>40620.122000000003</v>
      </c>
      <c r="DC16" s="2">
        <f t="shared" si="30"/>
        <v>40226.870000000003</v>
      </c>
      <c r="DD16" s="2">
        <f t="shared" si="30"/>
        <v>39148.284</v>
      </c>
      <c r="DE16" s="2">
        <f t="shared" si="30"/>
        <v>39708.904000000002</v>
      </c>
      <c r="DF16" s="2">
        <f t="shared" si="30"/>
        <v>39475.184999999998</v>
      </c>
      <c r="DG16" s="2">
        <f t="shared" si="30"/>
        <v>38928.764000000003</v>
      </c>
      <c r="DH16" s="2">
        <f t="shared" si="30"/>
        <v>37625.175999999999</v>
      </c>
      <c r="DI16" s="2">
        <f t="shared" si="30"/>
        <v>36127.008000000002</v>
      </c>
      <c r="DJ16" s="2">
        <f t="shared" si="30"/>
        <v>35124.540999999997</v>
      </c>
      <c r="DK16" s="2">
        <f t="shared" si="30"/>
        <v>35628.75</v>
      </c>
      <c r="DL16" s="2">
        <f t="shared" si="30"/>
        <v>35841.845000000001</v>
      </c>
      <c r="DM16" s="2">
        <f t="shared" si="30"/>
        <v>36093.758999999998</v>
      </c>
      <c r="DN16" s="2">
        <f t="shared" si="30"/>
        <v>36200.002999999997</v>
      </c>
      <c r="DO16" s="2">
        <f t="shared" si="30"/>
        <v>36752.135999999999</v>
      </c>
      <c r="DP16" s="2">
        <f t="shared" si="30"/>
        <v>38088.917999999998</v>
      </c>
      <c r="DQ16" s="2">
        <f t="shared" si="30"/>
        <v>38927.366000000002</v>
      </c>
      <c r="DR16" s="2">
        <f t="shared" si="30"/>
        <v>38981.593999999997</v>
      </c>
      <c r="DS16" s="2">
        <f>DS21-DS24</f>
        <v>42580.17</v>
      </c>
      <c r="DT16" s="2">
        <f>DT21-DT24</f>
        <v>39427.548000000003</v>
      </c>
      <c r="DU16" s="2">
        <f>DU21-DU24</f>
        <v>39280.847000000002</v>
      </c>
      <c r="DV16" s="2">
        <f>DV21-DV24</f>
        <v>38008.237999999998</v>
      </c>
      <c r="DW16" s="2">
        <f>DW21-DW24</f>
        <v>36448.237000000001</v>
      </c>
      <c r="DX16" s="2">
        <f t="shared" ref="DX16:FU16" si="31">DX21-DX24</f>
        <v>34024.680999999997</v>
      </c>
      <c r="DY16" s="2">
        <f t="shared" si="31"/>
        <v>33273.485999999997</v>
      </c>
      <c r="DZ16" s="2">
        <f t="shared" si="31"/>
        <v>39277.794000000002</v>
      </c>
      <c r="EA16" s="2">
        <f t="shared" si="31"/>
        <v>38217.843999999997</v>
      </c>
      <c r="EB16" s="2">
        <f t="shared" si="31"/>
        <v>37905.570999999996</v>
      </c>
      <c r="EC16" s="2">
        <f t="shared" si="31"/>
        <v>39199.06</v>
      </c>
      <c r="ED16" s="2">
        <f t="shared" si="31"/>
        <v>34729.711000000003</v>
      </c>
      <c r="EE16" s="2">
        <f t="shared" si="31"/>
        <v>33335.623999999996</v>
      </c>
      <c r="EF16" s="2">
        <f t="shared" si="31"/>
        <v>34325.455000000002</v>
      </c>
      <c r="EG16" s="2">
        <f t="shared" si="31"/>
        <v>35432.074000000001</v>
      </c>
      <c r="EH16" s="2">
        <f t="shared" si="31"/>
        <v>34532.317000000003</v>
      </c>
      <c r="EI16" s="2">
        <f t="shared" si="31"/>
        <v>40980.027000000002</v>
      </c>
      <c r="EJ16" s="2">
        <f t="shared" si="31"/>
        <v>37589.057999999997</v>
      </c>
      <c r="EK16" s="2">
        <f t="shared" si="31"/>
        <v>35079.713000000003</v>
      </c>
      <c r="EL16" s="2">
        <f t="shared" si="31"/>
        <v>35154.565000000002</v>
      </c>
      <c r="EM16" s="2">
        <f t="shared" si="31"/>
        <v>31051.895</v>
      </c>
      <c r="EN16" s="2">
        <f t="shared" si="31"/>
        <v>29100.11</v>
      </c>
      <c r="EO16" s="2">
        <f t="shared" si="31"/>
        <v>24119.117999999999</v>
      </c>
      <c r="EP16" s="2">
        <f t="shared" si="31"/>
        <v>20623.056</v>
      </c>
      <c r="EQ16" s="2">
        <f t="shared" si="31"/>
        <v>23968.103999999999</v>
      </c>
      <c r="ER16" s="2">
        <f t="shared" si="31"/>
        <v>23255.457999999999</v>
      </c>
      <c r="ES16" s="2">
        <f t="shared" si="31"/>
        <v>18622.202000000001</v>
      </c>
      <c r="ET16" s="2">
        <f t="shared" si="31"/>
        <v>17470.065999999999</v>
      </c>
      <c r="EU16" s="2">
        <f t="shared" si="31"/>
        <v>18977.127</v>
      </c>
      <c r="EV16" s="2">
        <f t="shared" si="31"/>
        <v>23577.41</v>
      </c>
      <c r="EW16" s="2">
        <f t="shared" si="31"/>
        <v>22631.741999999998</v>
      </c>
      <c r="EX16" s="2">
        <f t="shared" si="31"/>
        <v>22782.233</v>
      </c>
      <c r="EY16" s="2">
        <f t="shared" si="31"/>
        <v>23023.798999999999</v>
      </c>
      <c r="EZ16" s="2">
        <f t="shared" si="31"/>
        <v>24049.991999999998</v>
      </c>
      <c r="FA16" s="2">
        <f t="shared" si="31"/>
        <v>24405.035</v>
      </c>
      <c r="FB16" s="2">
        <f t="shared" si="31"/>
        <v>21595.311999999998</v>
      </c>
      <c r="FC16" s="2">
        <f t="shared" si="31"/>
        <v>21758.358</v>
      </c>
      <c r="FD16" s="2">
        <f t="shared" si="31"/>
        <v>21937.198</v>
      </c>
      <c r="FE16" s="2">
        <f t="shared" si="31"/>
        <v>23181.188999999998</v>
      </c>
      <c r="FF16" s="2">
        <f t="shared" si="31"/>
        <v>24936.357</v>
      </c>
      <c r="FG16" s="2">
        <f t="shared" si="31"/>
        <v>24433.855</v>
      </c>
      <c r="FH16" s="2">
        <f t="shared" si="31"/>
        <v>22737.371999999999</v>
      </c>
      <c r="FI16" s="2">
        <f t="shared" si="31"/>
        <v>22470.65</v>
      </c>
      <c r="FJ16" s="2">
        <f t="shared" si="31"/>
        <v>18798.688000000002</v>
      </c>
      <c r="FK16" s="2">
        <f t="shared" si="31"/>
        <v>32367.714</v>
      </c>
      <c r="FL16" s="2">
        <f t="shared" si="31"/>
        <v>30386.702000000001</v>
      </c>
      <c r="FM16" s="2">
        <f t="shared" si="31"/>
        <v>33437.108999999997</v>
      </c>
      <c r="FN16" s="2">
        <f t="shared" si="31"/>
        <v>32326.874</v>
      </c>
      <c r="FO16" s="2">
        <f t="shared" si="31"/>
        <v>33150.995000000003</v>
      </c>
      <c r="FP16" s="2">
        <f t="shared" si="31"/>
        <v>32744.989999999998</v>
      </c>
      <c r="FQ16" s="2">
        <f t="shared" si="31"/>
        <v>31447.603999999999</v>
      </c>
      <c r="FR16" s="2">
        <f t="shared" si="31"/>
        <v>31966.690999999999</v>
      </c>
      <c r="FS16" s="2">
        <f t="shared" si="31"/>
        <v>32581.338</v>
      </c>
      <c r="FT16" s="2">
        <f t="shared" si="31"/>
        <v>34858.400000000001</v>
      </c>
      <c r="FU16" s="2">
        <f t="shared" si="31"/>
        <v>35177.415999999997</v>
      </c>
      <c r="FV16" s="2">
        <f>FV21-FV24</f>
        <v>32815.429000000004</v>
      </c>
      <c r="FW16" s="2">
        <f t="shared" ref="FW16:FY16" si="32">FW21-FW24</f>
        <v>35343.165999999997</v>
      </c>
      <c r="FX16" s="2">
        <f t="shared" si="32"/>
        <v>39155.976999999999</v>
      </c>
      <c r="FY16" s="2">
        <f>FY21-FY24</f>
        <v>36869.703000000001</v>
      </c>
      <c r="FZ16" s="6">
        <f t="shared" si="24"/>
        <v>36869.703000000001</v>
      </c>
      <c r="GA16" s="6">
        <f t="shared" si="24"/>
        <v>36869.703000000001</v>
      </c>
    </row>
    <row r="17" spans="1:183" x14ac:dyDescent="0.25">
      <c r="FV17" s="5"/>
    </row>
    <row r="20" spans="1:183" x14ac:dyDescent="0.25">
      <c r="B20" s="1" t="s">
        <v>433</v>
      </c>
      <c r="C20" t="s">
        <v>9</v>
      </c>
      <c r="D20" t="s">
        <v>305</v>
      </c>
      <c r="E20" t="s">
        <v>8</v>
      </c>
      <c r="F20" t="s">
        <v>306</v>
      </c>
      <c r="G20" t="s">
        <v>7</v>
      </c>
      <c r="H20" t="s">
        <v>234</v>
      </c>
      <c r="I20" t="s">
        <v>235</v>
      </c>
      <c r="J20" t="s">
        <v>236</v>
      </c>
      <c r="K20" t="s">
        <v>237</v>
      </c>
      <c r="L20" t="s">
        <v>238</v>
      </c>
      <c r="M20" t="s">
        <v>239</v>
      </c>
      <c r="N20" t="s">
        <v>240</v>
      </c>
      <c r="O20" t="s">
        <v>241</v>
      </c>
      <c r="P20" t="s">
        <v>242</v>
      </c>
      <c r="Q20" t="s">
        <v>243</v>
      </c>
      <c r="R20" t="s">
        <v>244</v>
      </c>
      <c r="S20" t="s">
        <v>245</v>
      </c>
      <c r="T20" t="s">
        <v>246</v>
      </c>
      <c r="U20" t="s">
        <v>247</v>
      </c>
      <c r="V20" t="s">
        <v>248</v>
      </c>
      <c r="W20" t="s">
        <v>249</v>
      </c>
      <c r="X20" t="s">
        <v>250</v>
      </c>
      <c r="Y20" t="s">
        <v>251</v>
      </c>
      <c r="Z20" t="s">
        <v>252</v>
      </c>
      <c r="AA20" t="s">
        <v>253</v>
      </c>
      <c r="AB20" t="s">
        <v>254</v>
      </c>
      <c r="AC20" t="s">
        <v>255</v>
      </c>
      <c r="AD20" t="s">
        <v>256</v>
      </c>
      <c r="AE20" t="s">
        <v>257</v>
      </c>
      <c r="AF20" t="s">
        <v>258</v>
      </c>
      <c r="AG20" t="s">
        <v>259</v>
      </c>
      <c r="AH20" t="s">
        <v>260</v>
      </c>
      <c r="AI20" t="s">
        <v>261</v>
      </c>
      <c r="AJ20" t="s">
        <v>262</v>
      </c>
      <c r="AK20" t="s">
        <v>263</v>
      </c>
      <c r="AL20" t="s">
        <v>264</v>
      </c>
      <c r="AM20" t="s">
        <v>265</v>
      </c>
      <c r="AN20" t="s">
        <v>266</v>
      </c>
      <c r="AO20" t="s">
        <v>267</v>
      </c>
      <c r="AP20" t="s">
        <v>268</v>
      </c>
      <c r="AQ20" t="s">
        <v>269</v>
      </c>
      <c r="AR20" t="s">
        <v>270</v>
      </c>
      <c r="AS20" t="s">
        <v>271</v>
      </c>
      <c r="AT20" t="s">
        <v>272</v>
      </c>
      <c r="AU20" t="s">
        <v>273</v>
      </c>
      <c r="AV20" t="s">
        <v>274</v>
      </c>
      <c r="AW20" t="s">
        <v>275</v>
      </c>
      <c r="AX20" t="s">
        <v>276</v>
      </c>
      <c r="AY20" t="s">
        <v>277</v>
      </c>
      <c r="AZ20" t="s">
        <v>278</v>
      </c>
      <c r="BA20" t="s">
        <v>279</v>
      </c>
      <c r="BB20" t="s">
        <v>280</v>
      </c>
      <c r="BC20" t="s">
        <v>281</v>
      </c>
      <c r="BD20" t="s">
        <v>282</v>
      </c>
      <c r="BE20" t="s">
        <v>283</v>
      </c>
      <c r="BF20" t="s">
        <v>284</v>
      </c>
      <c r="BG20" t="s">
        <v>285</v>
      </c>
      <c r="BH20" t="s">
        <v>286</v>
      </c>
      <c r="BI20" t="s">
        <v>5</v>
      </c>
      <c r="BJ20" t="s">
        <v>15</v>
      </c>
      <c r="BK20" t="s">
        <v>16</v>
      </c>
      <c r="BL20" t="s">
        <v>17</v>
      </c>
      <c r="BM20" t="s">
        <v>18</v>
      </c>
      <c r="BN20" t="s">
        <v>19</v>
      </c>
      <c r="BO20" t="s">
        <v>20</v>
      </c>
      <c r="BP20" t="s">
        <v>21</v>
      </c>
      <c r="BQ20" t="s">
        <v>22</v>
      </c>
      <c r="BR20" t="s">
        <v>23</v>
      </c>
      <c r="BS20" t="s">
        <v>24</v>
      </c>
      <c r="BT20" t="s">
        <v>25</v>
      </c>
      <c r="BU20" t="s">
        <v>26</v>
      </c>
      <c r="BV20" t="s">
        <v>27</v>
      </c>
      <c r="BW20" t="s">
        <v>28</v>
      </c>
      <c r="BX20" t="s">
        <v>29</v>
      </c>
      <c r="BY20" t="s">
        <v>30</v>
      </c>
      <c r="BZ20" t="s">
        <v>31</v>
      </c>
      <c r="CA20" t="s">
        <v>32</v>
      </c>
      <c r="CB20" t="s">
        <v>33</v>
      </c>
      <c r="CC20" t="s">
        <v>34</v>
      </c>
      <c r="CD20" t="s">
        <v>35</v>
      </c>
      <c r="CE20" t="s">
        <v>36</v>
      </c>
      <c r="CF20" t="s">
        <v>37</v>
      </c>
      <c r="CG20" t="s">
        <v>38</v>
      </c>
      <c r="CH20" t="s">
        <v>39</v>
      </c>
      <c r="CI20" t="s">
        <v>40</v>
      </c>
      <c r="CJ20" t="s">
        <v>41</v>
      </c>
      <c r="CK20" t="s">
        <v>42</v>
      </c>
      <c r="CL20" t="s">
        <v>43</v>
      </c>
      <c r="CM20" t="s">
        <v>44</v>
      </c>
      <c r="CN20" t="s">
        <v>45</v>
      </c>
      <c r="CO20" t="s">
        <v>46</v>
      </c>
      <c r="CP20" t="s">
        <v>47</v>
      </c>
      <c r="CQ20" t="s">
        <v>48</v>
      </c>
      <c r="CR20" t="s">
        <v>49</v>
      </c>
      <c r="CS20" t="s">
        <v>50</v>
      </c>
      <c r="CT20" t="s">
        <v>51</v>
      </c>
      <c r="CU20" t="s">
        <v>52</v>
      </c>
      <c r="CV20" t="s">
        <v>53</v>
      </c>
      <c r="CW20" t="s">
        <v>54</v>
      </c>
      <c r="CX20" t="s">
        <v>55</v>
      </c>
      <c r="CY20" t="s">
        <v>56</v>
      </c>
      <c r="CZ20" t="s">
        <v>57</v>
      </c>
      <c r="DA20" t="s">
        <v>58</v>
      </c>
      <c r="DB20" t="s">
        <v>59</v>
      </c>
      <c r="DC20" t="s">
        <v>60</v>
      </c>
      <c r="DD20" t="s">
        <v>61</v>
      </c>
      <c r="DE20" t="s">
        <v>62</v>
      </c>
      <c r="DF20" t="s">
        <v>63</v>
      </c>
      <c r="DG20" t="s">
        <v>64</v>
      </c>
      <c r="DH20" t="s">
        <v>65</v>
      </c>
      <c r="DI20" t="s">
        <v>66</v>
      </c>
      <c r="DJ20" t="s">
        <v>67</v>
      </c>
      <c r="DK20" t="s">
        <v>68</v>
      </c>
      <c r="DL20" t="s">
        <v>69</v>
      </c>
      <c r="DM20" t="s">
        <v>70</v>
      </c>
      <c r="DN20" t="s">
        <v>71</v>
      </c>
      <c r="DO20" t="s">
        <v>72</v>
      </c>
      <c r="DP20" t="s">
        <v>73</v>
      </c>
      <c r="DQ20" t="s">
        <v>74</v>
      </c>
      <c r="DR20" t="s">
        <v>75</v>
      </c>
      <c r="DS20" t="s">
        <v>76</v>
      </c>
      <c r="DT20" t="s">
        <v>77</v>
      </c>
      <c r="DU20" t="s">
        <v>78</v>
      </c>
      <c r="DV20" t="s">
        <v>79</v>
      </c>
      <c r="DW20" t="s">
        <v>80</v>
      </c>
      <c r="DX20" t="s">
        <v>81</v>
      </c>
      <c r="DY20" t="s">
        <v>82</v>
      </c>
      <c r="DZ20" t="s">
        <v>83</v>
      </c>
      <c r="EA20" t="s">
        <v>84</v>
      </c>
      <c r="EB20" t="s">
        <v>85</v>
      </c>
      <c r="EC20" t="s">
        <v>86</v>
      </c>
      <c r="ED20" t="s">
        <v>87</v>
      </c>
      <c r="EE20" t="s">
        <v>88</v>
      </c>
      <c r="EF20" t="s">
        <v>89</v>
      </c>
      <c r="EG20" t="s">
        <v>90</v>
      </c>
      <c r="EH20" t="s">
        <v>91</v>
      </c>
      <c r="EI20" t="s">
        <v>92</v>
      </c>
      <c r="EJ20" t="s">
        <v>93</v>
      </c>
      <c r="EK20" t="s">
        <v>94</v>
      </c>
      <c r="EL20" t="s">
        <v>95</v>
      </c>
      <c r="EM20" t="s">
        <v>96</v>
      </c>
      <c r="EN20" t="s">
        <v>97</v>
      </c>
      <c r="EO20" t="s">
        <v>98</v>
      </c>
      <c r="EP20" t="s">
        <v>99</v>
      </c>
      <c r="EQ20" t="s">
        <v>100</v>
      </c>
      <c r="ER20" t="s">
        <v>101</v>
      </c>
      <c r="ES20" t="s">
        <v>102</v>
      </c>
      <c r="ET20" t="s">
        <v>103</v>
      </c>
      <c r="EU20" t="s">
        <v>104</v>
      </c>
      <c r="EV20" t="s">
        <v>105</v>
      </c>
      <c r="EW20" t="s">
        <v>106</v>
      </c>
      <c r="EX20" t="s">
        <v>107</v>
      </c>
      <c r="EY20" t="s">
        <v>108</v>
      </c>
      <c r="EZ20" t="s">
        <v>109</v>
      </c>
      <c r="FA20" t="s">
        <v>110</v>
      </c>
      <c r="FB20" t="s">
        <v>111</v>
      </c>
      <c r="FC20" t="s">
        <v>112</v>
      </c>
      <c r="FD20" t="s">
        <v>113</v>
      </c>
      <c r="FE20" t="s">
        <v>114</v>
      </c>
      <c r="FF20" t="s">
        <v>115</v>
      </c>
      <c r="FG20" t="s">
        <v>116</v>
      </c>
      <c r="FH20" t="s">
        <v>117</v>
      </c>
      <c r="FI20" t="s">
        <v>118</v>
      </c>
      <c r="FJ20" t="s">
        <v>119</v>
      </c>
      <c r="FK20" t="s">
        <v>120</v>
      </c>
      <c r="FL20" t="s">
        <v>121</v>
      </c>
      <c r="FM20" t="s">
        <v>122</v>
      </c>
      <c r="FN20" t="s">
        <v>123</v>
      </c>
      <c r="FO20" t="s">
        <v>124</v>
      </c>
      <c r="FP20" t="s">
        <v>125</v>
      </c>
      <c r="FQ20" t="s">
        <v>126</v>
      </c>
      <c r="FR20" t="s">
        <v>127</v>
      </c>
      <c r="FS20" t="s">
        <v>128</v>
      </c>
      <c r="FT20" t="s">
        <v>129</v>
      </c>
      <c r="FU20" t="s">
        <v>130</v>
      </c>
      <c r="FV20" t="s">
        <v>131</v>
      </c>
      <c r="FW20" t="s">
        <v>132</v>
      </c>
      <c r="FX20" t="s">
        <v>133</v>
      </c>
      <c r="FY20" t="s">
        <v>134</v>
      </c>
      <c r="FZ20" t="s">
        <v>135</v>
      </c>
    </row>
    <row r="21" spans="1:183" x14ac:dyDescent="0.25">
      <c r="A21" t="s">
        <v>434</v>
      </c>
      <c r="B21" t="s">
        <v>435</v>
      </c>
      <c r="C21" t="s">
        <v>436</v>
      </c>
      <c r="D21" t="s">
        <v>437</v>
      </c>
      <c r="E21" t="s">
        <v>12</v>
      </c>
      <c r="F21" t="s">
        <v>438</v>
      </c>
      <c r="G21" t="s">
        <v>146</v>
      </c>
      <c r="H21" s="5">
        <v>46594</v>
      </c>
      <c r="I21" s="5">
        <v>46668</v>
      </c>
      <c r="J21" s="5">
        <v>47291</v>
      </c>
      <c r="K21" s="5">
        <v>47844</v>
      </c>
      <c r="L21" s="5">
        <v>46978</v>
      </c>
      <c r="M21" s="5">
        <v>46348</v>
      </c>
      <c r="N21" s="5">
        <v>46818</v>
      </c>
      <c r="O21" s="5">
        <v>45152</v>
      </c>
      <c r="P21" s="5">
        <v>45010</v>
      </c>
      <c r="Q21" s="5">
        <v>45274</v>
      </c>
      <c r="R21" s="5">
        <v>45238</v>
      </c>
      <c r="S21" s="5">
        <v>43290</v>
      </c>
      <c r="T21" s="5">
        <v>42531</v>
      </c>
      <c r="U21" s="5">
        <v>41609</v>
      </c>
      <c r="V21" s="5">
        <v>40446</v>
      </c>
      <c r="W21" s="5">
        <v>39532</v>
      </c>
      <c r="X21" s="5">
        <v>38551</v>
      </c>
      <c r="Y21" s="5">
        <v>37005</v>
      </c>
      <c r="Z21" s="5">
        <v>37049</v>
      </c>
      <c r="AA21" s="5">
        <v>36678</v>
      </c>
      <c r="AB21" s="5">
        <v>34741</v>
      </c>
      <c r="AC21" s="5">
        <v>33232</v>
      </c>
      <c r="AD21" s="5">
        <v>30799</v>
      </c>
      <c r="AE21" s="5">
        <v>30599</v>
      </c>
      <c r="AF21" s="5">
        <v>27748</v>
      </c>
      <c r="AG21" s="5">
        <v>27546</v>
      </c>
      <c r="AH21" s="5">
        <v>27007</v>
      </c>
      <c r="AI21" s="5">
        <v>28220</v>
      </c>
      <c r="AJ21" s="5">
        <v>28542</v>
      </c>
      <c r="AK21" s="5">
        <v>29278</v>
      </c>
      <c r="AL21" s="5">
        <v>29003</v>
      </c>
      <c r="AM21" s="5">
        <v>28620</v>
      </c>
      <c r="AN21" s="5">
        <v>27866</v>
      </c>
      <c r="AO21" s="5">
        <v>28111</v>
      </c>
      <c r="AP21" s="5">
        <v>28911</v>
      </c>
      <c r="AQ21" s="5">
        <v>31407</v>
      </c>
      <c r="AR21" s="5">
        <v>31452</v>
      </c>
      <c r="AS21" s="5">
        <v>31470</v>
      </c>
      <c r="AT21" s="5">
        <v>31490</v>
      </c>
      <c r="AU21" s="5">
        <v>33909</v>
      </c>
      <c r="AV21" s="5">
        <v>33283</v>
      </c>
      <c r="AW21" s="5">
        <v>33851</v>
      </c>
      <c r="AX21" s="5">
        <v>33943</v>
      </c>
      <c r="AY21" s="5">
        <v>33606</v>
      </c>
      <c r="AZ21" s="5">
        <v>33257</v>
      </c>
      <c r="BA21" s="5">
        <v>26970</v>
      </c>
      <c r="BB21" s="5">
        <v>25615</v>
      </c>
      <c r="BC21" s="5">
        <v>25563</v>
      </c>
      <c r="BD21" s="5">
        <v>30074</v>
      </c>
      <c r="BE21" s="5">
        <v>28399</v>
      </c>
      <c r="BF21" s="5">
        <v>29572</v>
      </c>
      <c r="BG21" s="5">
        <v>34380</v>
      </c>
      <c r="BH21" s="5">
        <v>30171</v>
      </c>
      <c r="BI21" s="5">
        <v>30507</v>
      </c>
      <c r="BJ21" s="5">
        <v>32511</v>
      </c>
      <c r="BK21" s="5">
        <v>31150</v>
      </c>
      <c r="BL21" s="5">
        <v>29902</v>
      </c>
      <c r="BM21" s="5">
        <v>37210</v>
      </c>
      <c r="BN21" s="5">
        <v>37378</v>
      </c>
      <c r="BO21" s="5">
        <v>39308</v>
      </c>
      <c r="BP21" s="5">
        <v>46887</v>
      </c>
      <c r="BQ21" s="5">
        <v>50608</v>
      </c>
      <c r="BR21" s="5">
        <v>50522</v>
      </c>
      <c r="BS21" s="5">
        <v>48217</v>
      </c>
      <c r="BT21" s="5">
        <v>46146</v>
      </c>
      <c r="BU21" s="5">
        <v>47995</v>
      </c>
      <c r="BV21" s="5">
        <v>47014</v>
      </c>
      <c r="BW21" s="5">
        <v>48877</v>
      </c>
      <c r="BX21" s="5">
        <v>50237</v>
      </c>
      <c r="BY21" s="5">
        <v>51810</v>
      </c>
      <c r="BZ21" s="5">
        <v>54563</v>
      </c>
      <c r="CA21" s="5">
        <v>55055</v>
      </c>
      <c r="CB21" s="5">
        <v>62024</v>
      </c>
      <c r="CC21" s="5">
        <v>61509</v>
      </c>
      <c r="CD21" s="5">
        <v>61726</v>
      </c>
      <c r="CE21" s="5">
        <v>56623</v>
      </c>
      <c r="CF21" s="5">
        <v>50098</v>
      </c>
      <c r="CG21" s="5">
        <v>61881</v>
      </c>
      <c r="CH21" s="5">
        <v>57996</v>
      </c>
      <c r="CI21" s="5">
        <v>52658</v>
      </c>
      <c r="CJ21" s="5">
        <v>49003</v>
      </c>
      <c r="CK21" s="5">
        <v>53955</v>
      </c>
      <c r="CL21" s="5">
        <v>51193</v>
      </c>
      <c r="CM21" s="5">
        <v>65786</v>
      </c>
      <c r="CN21" s="5">
        <v>66811</v>
      </c>
      <c r="CO21" s="5">
        <v>68015</v>
      </c>
      <c r="CP21" s="5">
        <v>66187</v>
      </c>
      <c r="CQ21" s="5">
        <v>71663</v>
      </c>
      <c r="CR21" s="5">
        <v>64779</v>
      </c>
      <c r="CS21" s="5">
        <v>64278</v>
      </c>
      <c r="CT21" s="5">
        <v>67899</v>
      </c>
      <c r="CU21" s="5">
        <v>54100</v>
      </c>
      <c r="CV21" s="5">
        <v>48703</v>
      </c>
      <c r="CW21" s="5">
        <v>43260</v>
      </c>
      <c r="CX21" s="5">
        <v>43772</v>
      </c>
      <c r="CY21" s="5">
        <v>44848</v>
      </c>
      <c r="CZ21" s="5">
        <v>44917</v>
      </c>
      <c r="DA21" s="5">
        <v>44791</v>
      </c>
      <c r="DB21" s="5">
        <v>43561</v>
      </c>
      <c r="DC21" s="5">
        <v>43568</v>
      </c>
      <c r="DD21" s="5">
        <v>42589</v>
      </c>
      <c r="DE21" s="5">
        <v>43242</v>
      </c>
      <c r="DF21" s="5">
        <v>43386</v>
      </c>
      <c r="DG21" s="5">
        <v>42842</v>
      </c>
      <c r="DH21" s="5">
        <v>41379</v>
      </c>
      <c r="DI21" s="5">
        <v>39856</v>
      </c>
      <c r="DJ21" s="5">
        <v>38652</v>
      </c>
      <c r="DK21" s="5">
        <v>39387</v>
      </c>
      <c r="DL21" s="5">
        <v>39515</v>
      </c>
      <c r="DM21" s="5">
        <v>39518</v>
      </c>
      <c r="DN21" s="5">
        <v>39593</v>
      </c>
      <c r="DO21" s="5">
        <v>40263</v>
      </c>
      <c r="DP21" s="5">
        <v>41872</v>
      </c>
      <c r="DQ21" s="5">
        <v>42437</v>
      </c>
      <c r="DR21" s="5">
        <v>42582</v>
      </c>
      <c r="DS21" s="5">
        <v>46180</v>
      </c>
      <c r="DT21" s="5">
        <v>42911</v>
      </c>
      <c r="DU21" s="5">
        <v>42817</v>
      </c>
      <c r="DV21" s="5">
        <v>41530</v>
      </c>
      <c r="DW21" s="5">
        <v>39662</v>
      </c>
      <c r="DX21" s="5">
        <v>37589</v>
      </c>
      <c r="DY21" s="5">
        <v>37018</v>
      </c>
      <c r="DZ21" s="5">
        <v>43137</v>
      </c>
      <c r="EA21" s="5">
        <v>42007</v>
      </c>
      <c r="EB21" s="5">
        <v>41561</v>
      </c>
      <c r="EC21" s="5">
        <v>42787</v>
      </c>
      <c r="ED21" s="5">
        <v>38232</v>
      </c>
      <c r="EE21" s="5">
        <v>36734</v>
      </c>
      <c r="EF21" s="5">
        <v>37625</v>
      </c>
      <c r="EG21" s="5">
        <v>38676</v>
      </c>
      <c r="EH21" s="5">
        <v>38009</v>
      </c>
      <c r="EI21" s="5">
        <v>44598</v>
      </c>
      <c r="EJ21" s="5">
        <v>41417</v>
      </c>
      <c r="EK21" s="5">
        <v>38709</v>
      </c>
      <c r="EL21" s="5">
        <v>39060</v>
      </c>
      <c r="EM21" s="5">
        <v>35001</v>
      </c>
      <c r="EN21" s="5">
        <v>33001</v>
      </c>
      <c r="EO21" s="5">
        <v>27926</v>
      </c>
      <c r="EP21" s="5">
        <v>24092</v>
      </c>
      <c r="EQ21" s="5">
        <v>27818</v>
      </c>
      <c r="ER21" s="5">
        <v>26925</v>
      </c>
      <c r="ES21" s="5">
        <v>22559</v>
      </c>
      <c r="ET21" s="5">
        <v>21513</v>
      </c>
      <c r="EU21" s="5">
        <v>23073</v>
      </c>
      <c r="EV21" s="5">
        <v>27642</v>
      </c>
      <c r="EW21" s="5">
        <v>26690</v>
      </c>
      <c r="EX21" s="5">
        <v>27127</v>
      </c>
      <c r="EY21" s="5">
        <v>27578</v>
      </c>
      <c r="EZ21" s="5">
        <v>28664</v>
      </c>
      <c r="FA21" s="5">
        <v>29022</v>
      </c>
      <c r="FB21" s="5">
        <v>26402</v>
      </c>
      <c r="FC21" s="5">
        <v>26719</v>
      </c>
      <c r="FD21" s="5">
        <v>27172</v>
      </c>
      <c r="FE21" s="5">
        <v>28618</v>
      </c>
      <c r="FF21" s="5">
        <v>30214</v>
      </c>
      <c r="FG21" s="5">
        <v>29640</v>
      </c>
      <c r="FH21" s="5">
        <v>28310</v>
      </c>
      <c r="FI21" s="5">
        <v>28117</v>
      </c>
      <c r="FJ21" s="5">
        <v>24986</v>
      </c>
      <c r="FK21" s="5">
        <v>38928</v>
      </c>
      <c r="FL21" s="5">
        <v>36919</v>
      </c>
      <c r="FM21" s="5">
        <v>39973</v>
      </c>
      <c r="FN21" s="5">
        <v>38866</v>
      </c>
      <c r="FO21" s="5">
        <v>39986</v>
      </c>
      <c r="FP21" s="5">
        <v>40374</v>
      </c>
      <c r="FQ21" s="5">
        <v>39382</v>
      </c>
      <c r="FR21" s="5">
        <v>40335</v>
      </c>
      <c r="FS21" s="5">
        <v>41167</v>
      </c>
      <c r="FT21">
        <v>44503</v>
      </c>
      <c r="FU21">
        <v>45566</v>
      </c>
      <c r="FV21">
        <v>42052</v>
      </c>
      <c r="FW21">
        <v>44516</v>
      </c>
      <c r="FX21">
        <v>48193</v>
      </c>
      <c r="FY21">
        <v>44870</v>
      </c>
      <c r="FZ21">
        <v>47599</v>
      </c>
      <c r="GA21">
        <v>49500</v>
      </c>
    </row>
    <row r="22" spans="1:183" x14ac:dyDescent="0.25">
      <c r="A22" t="s">
        <v>439</v>
      </c>
      <c r="B22" t="s">
        <v>440</v>
      </c>
      <c r="C22" t="s">
        <v>441</v>
      </c>
      <c r="D22" t="s">
        <v>442</v>
      </c>
      <c r="E22" t="s">
        <v>443</v>
      </c>
      <c r="F22" t="s">
        <v>438</v>
      </c>
      <c r="G22" t="s">
        <v>146</v>
      </c>
      <c r="H22" s="6">
        <v>46594.275000000001</v>
      </c>
      <c r="I22" s="6">
        <v>46667.873</v>
      </c>
      <c r="J22" s="6">
        <v>47290.718999999997</v>
      </c>
      <c r="K22" s="6">
        <v>47844.169000000002</v>
      </c>
      <c r="L22" s="6">
        <v>46977.529000000002</v>
      </c>
      <c r="M22" s="6">
        <v>46347.88</v>
      </c>
      <c r="N22" s="6">
        <v>46818.402999999998</v>
      </c>
      <c r="O22" s="6">
        <v>45152.120999999999</v>
      </c>
      <c r="P22" s="6">
        <v>45010.400000000001</v>
      </c>
      <c r="Q22" s="6">
        <v>45274.313000000002</v>
      </c>
      <c r="R22" s="6">
        <v>45237.536999999997</v>
      </c>
      <c r="S22" s="6">
        <v>43290.267999999996</v>
      </c>
      <c r="T22" s="6">
        <v>42530.591</v>
      </c>
      <c r="U22" s="6">
        <v>41609.108</v>
      </c>
      <c r="V22" s="6">
        <v>40445.771999999997</v>
      </c>
      <c r="W22" s="6">
        <v>39531.944000000003</v>
      </c>
      <c r="X22" s="6">
        <v>38551.071000000004</v>
      </c>
      <c r="Y22" s="6">
        <v>37005.088000000003</v>
      </c>
      <c r="Z22" s="6">
        <v>37048.576999999997</v>
      </c>
      <c r="AA22" s="6">
        <v>36678.089</v>
      </c>
      <c r="AB22" s="6">
        <v>34741.175000000003</v>
      </c>
      <c r="AC22" s="6">
        <v>33231.819000000003</v>
      </c>
      <c r="AD22" s="6">
        <v>30798.710999999999</v>
      </c>
      <c r="AE22" s="6">
        <v>30600.442999999999</v>
      </c>
      <c r="AF22" s="6">
        <v>27748.151000000002</v>
      </c>
      <c r="AG22" s="6">
        <v>27545.91</v>
      </c>
      <c r="AH22" s="6">
        <v>27007.323</v>
      </c>
      <c r="AI22" s="6">
        <v>28220.006000000001</v>
      </c>
      <c r="AJ22" s="6">
        <v>28541.775000000001</v>
      </c>
      <c r="AK22" s="6">
        <v>29278.333999999999</v>
      </c>
      <c r="AL22" s="6">
        <v>29002.882000000001</v>
      </c>
      <c r="AM22" s="6">
        <v>28619.651000000002</v>
      </c>
      <c r="AN22" s="6">
        <v>27865.52</v>
      </c>
      <c r="AO22" s="6">
        <v>28111.41</v>
      </c>
      <c r="AP22" s="6">
        <v>28910.799999999999</v>
      </c>
      <c r="AQ22" s="6">
        <v>31407.548999999999</v>
      </c>
      <c r="AR22" s="6">
        <v>31451.544999999998</v>
      </c>
      <c r="AS22" s="6">
        <v>31469.85</v>
      </c>
      <c r="AT22" s="6">
        <v>31489.55</v>
      </c>
      <c r="AU22" s="6">
        <v>33908.870000000003</v>
      </c>
      <c r="AV22" s="6">
        <v>33283.235999999997</v>
      </c>
      <c r="AW22" s="6">
        <v>33851.343999999997</v>
      </c>
      <c r="AX22" s="6">
        <v>33942.957000000002</v>
      </c>
      <c r="AY22" s="6">
        <v>33605.993999999999</v>
      </c>
      <c r="AZ22" s="6">
        <v>33257.142999999996</v>
      </c>
      <c r="BA22" s="6">
        <v>26969.611000000001</v>
      </c>
      <c r="BB22" s="6">
        <v>25614.777999999998</v>
      </c>
      <c r="BC22" s="6">
        <v>25563.482</v>
      </c>
      <c r="BD22" s="6">
        <v>30074.001</v>
      </c>
      <c r="BE22" s="6">
        <v>28398.536</v>
      </c>
      <c r="BF22" s="6">
        <v>29571.69</v>
      </c>
      <c r="BG22" s="6">
        <v>34379.756999999998</v>
      </c>
      <c r="BH22" s="6">
        <v>30171.35</v>
      </c>
      <c r="BI22" s="6">
        <v>30507.284</v>
      </c>
      <c r="BJ22" s="6">
        <v>32511.206999999999</v>
      </c>
      <c r="BK22" s="6">
        <v>31149.635999999999</v>
      </c>
      <c r="BL22" s="6">
        <v>29901.567999999999</v>
      </c>
      <c r="BM22" s="6">
        <v>37210.423999999999</v>
      </c>
      <c r="BN22" s="6">
        <v>37377.697999999997</v>
      </c>
      <c r="BO22" s="6">
        <v>39308.313999999998</v>
      </c>
      <c r="BP22" s="6">
        <v>46886.711000000003</v>
      </c>
      <c r="BQ22" s="6">
        <v>50607.995000000003</v>
      </c>
      <c r="BR22" s="6">
        <v>50522.328999999998</v>
      </c>
      <c r="BS22" s="6">
        <v>48216.716999999997</v>
      </c>
      <c r="BT22" s="6">
        <v>46145.77</v>
      </c>
      <c r="BU22" s="6">
        <v>47994.546000000002</v>
      </c>
      <c r="BV22" s="6">
        <v>47014.173000000003</v>
      </c>
      <c r="BW22" s="6">
        <v>48876.535000000003</v>
      </c>
      <c r="BX22" s="6">
        <v>50237.025000000001</v>
      </c>
      <c r="BY22" s="6">
        <v>51809.938000000002</v>
      </c>
      <c r="BZ22" s="6">
        <v>54563.421000000002</v>
      </c>
      <c r="CA22" s="6">
        <v>55055.080999999998</v>
      </c>
      <c r="CB22" s="6">
        <v>62023.843999999997</v>
      </c>
      <c r="CC22" s="6">
        <v>61508.504999999997</v>
      </c>
      <c r="CD22" s="6">
        <v>61725.911999999997</v>
      </c>
      <c r="CE22" s="6">
        <v>56622.97</v>
      </c>
      <c r="CF22" s="6">
        <v>50098.112000000001</v>
      </c>
      <c r="CG22" s="6">
        <v>61880.978000000003</v>
      </c>
      <c r="CH22" s="6">
        <v>57996.156000000003</v>
      </c>
      <c r="CI22" s="6">
        <v>52657.659</v>
      </c>
      <c r="CJ22" s="6">
        <v>49003.425999999999</v>
      </c>
      <c r="CK22" s="6">
        <v>53955.088000000003</v>
      </c>
      <c r="CL22" s="6">
        <v>51193.235999999997</v>
      </c>
      <c r="CM22" s="6">
        <v>65785.763000000006</v>
      </c>
      <c r="CN22" s="6">
        <v>66811.240999999995</v>
      </c>
      <c r="CO22" s="6">
        <v>68014.865000000005</v>
      </c>
      <c r="CP22" s="6">
        <v>66187.122000000003</v>
      </c>
      <c r="CQ22" s="6">
        <v>71662.491999999998</v>
      </c>
      <c r="CR22" s="6">
        <v>64779.383999999998</v>
      </c>
      <c r="CS22" s="6">
        <v>64278.004000000001</v>
      </c>
      <c r="CT22" s="6">
        <v>67899.418000000005</v>
      </c>
      <c r="CU22" s="6">
        <v>54100.383000000002</v>
      </c>
      <c r="CV22" s="6">
        <v>48703.345000000001</v>
      </c>
      <c r="CW22" s="6">
        <v>43260.324999999997</v>
      </c>
      <c r="CX22" s="6">
        <v>43772.256000000001</v>
      </c>
      <c r="CY22" s="6">
        <v>44848.343000000001</v>
      </c>
      <c r="CZ22" s="6">
        <v>44917.097999999998</v>
      </c>
      <c r="DA22" s="6">
        <v>44790.678</v>
      </c>
      <c r="DB22" s="6">
        <v>43561.209000000003</v>
      </c>
      <c r="DC22" s="6">
        <v>43568.381999999998</v>
      </c>
      <c r="DD22" s="6">
        <v>42588.498</v>
      </c>
      <c r="DE22" s="6">
        <v>43241.495000000003</v>
      </c>
      <c r="DF22" s="6">
        <v>43386.262999999999</v>
      </c>
      <c r="DG22" s="6">
        <v>42842.069000000003</v>
      </c>
      <c r="DH22" s="6">
        <v>41378.839999999997</v>
      </c>
      <c r="DI22" s="6">
        <v>39856.341</v>
      </c>
      <c r="DJ22" s="6">
        <v>38651.953000000001</v>
      </c>
      <c r="DK22" s="6">
        <v>39387.067000000003</v>
      </c>
      <c r="DL22" s="6">
        <v>39515.178999999996</v>
      </c>
      <c r="DM22" s="6">
        <v>39518.125999999997</v>
      </c>
      <c r="DN22" s="6">
        <v>39593.339</v>
      </c>
      <c r="DO22" s="6">
        <v>40262.762999999999</v>
      </c>
      <c r="DP22" s="6">
        <v>41871.81</v>
      </c>
      <c r="DQ22" s="6">
        <v>42436.913999999997</v>
      </c>
      <c r="DR22" s="6">
        <v>42581.74</v>
      </c>
      <c r="DS22" s="6">
        <v>46180.315999999999</v>
      </c>
      <c r="DT22" s="6">
        <v>42911.182999999997</v>
      </c>
      <c r="DU22" s="6">
        <v>42817.082999999999</v>
      </c>
      <c r="DV22" s="6">
        <v>41529.544000000002</v>
      </c>
      <c r="DW22" s="6">
        <v>39662.442000000003</v>
      </c>
      <c r="DX22" s="6">
        <v>37588.966</v>
      </c>
      <c r="DY22" s="6">
        <v>37017.463000000003</v>
      </c>
      <c r="DZ22" s="6">
        <v>43137.396999999997</v>
      </c>
      <c r="EA22" s="6">
        <v>42006.593999999997</v>
      </c>
      <c r="EB22" s="6">
        <v>41561.078999999998</v>
      </c>
      <c r="EC22" s="6">
        <v>42786.790999999997</v>
      </c>
      <c r="ED22" s="6">
        <v>38231.739000000001</v>
      </c>
      <c r="EE22" s="6">
        <v>36734.427000000003</v>
      </c>
      <c r="EF22" s="6">
        <v>37625.012000000002</v>
      </c>
      <c r="EG22" s="6">
        <v>38675.902000000002</v>
      </c>
      <c r="EH22" s="6">
        <v>38008.870999999999</v>
      </c>
      <c r="EI22" s="6">
        <v>44598.432999999997</v>
      </c>
      <c r="EJ22" s="6">
        <v>41417.273000000001</v>
      </c>
      <c r="EK22" s="6">
        <v>38709.357000000004</v>
      </c>
      <c r="EL22" s="6">
        <v>39060.010999999999</v>
      </c>
      <c r="EM22" s="6">
        <v>35001.285000000003</v>
      </c>
      <c r="EN22" s="6">
        <v>33001.347999999998</v>
      </c>
      <c r="EO22" s="6">
        <v>27925.947</v>
      </c>
      <c r="EP22" s="6">
        <v>24091.963</v>
      </c>
      <c r="EQ22" s="6">
        <v>27818.482</v>
      </c>
      <c r="ER22" s="6">
        <v>26924.696</v>
      </c>
      <c r="ES22" s="6">
        <v>22558.874</v>
      </c>
      <c r="ET22" s="6">
        <v>21513.116999999998</v>
      </c>
      <c r="EU22" s="6">
        <v>23073.165000000001</v>
      </c>
      <c r="EV22" s="6">
        <v>27641.526000000002</v>
      </c>
      <c r="EW22" s="6">
        <v>26690.39</v>
      </c>
      <c r="EX22" s="6">
        <v>27127.076000000001</v>
      </c>
      <c r="EY22" s="6">
        <v>27578.444</v>
      </c>
      <c r="EZ22" s="6">
        <v>28663.835999999999</v>
      </c>
      <c r="FA22" s="6">
        <v>29021.795999999998</v>
      </c>
      <c r="FB22" s="6">
        <v>26401.661</v>
      </c>
      <c r="FC22" s="6">
        <v>26718.641</v>
      </c>
      <c r="FD22" s="6">
        <v>27172.273000000001</v>
      </c>
      <c r="FE22" s="6">
        <v>28617.946</v>
      </c>
      <c r="FF22" s="6">
        <v>30214.105</v>
      </c>
      <c r="FG22" s="6">
        <v>29639.73</v>
      </c>
      <c r="FH22" s="6">
        <v>28309.764999999999</v>
      </c>
      <c r="FI22" s="6">
        <v>28117.311000000002</v>
      </c>
      <c r="FJ22" s="6">
        <v>24986.329000000002</v>
      </c>
      <c r="FK22" s="6">
        <v>38928.25</v>
      </c>
      <c r="FL22" s="6">
        <v>36919.129000000001</v>
      </c>
      <c r="FM22" s="6">
        <v>39972.557000000001</v>
      </c>
      <c r="FN22" s="6">
        <v>38865.966999999997</v>
      </c>
      <c r="FO22" s="6">
        <v>39986.148000000001</v>
      </c>
      <c r="FP22" s="6">
        <v>40373.563999999998</v>
      </c>
      <c r="FQ22" s="6">
        <v>39381.591</v>
      </c>
      <c r="FR22" s="6">
        <v>40422.421999999999</v>
      </c>
      <c r="FS22" s="6">
        <v>41094.284</v>
      </c>
      <c r="FT22">
        <v>44503.120999999999</v>
      </c>
      <c r="FU22">
        <v>45565.580999999998</v>
      </c>
      <c r="FV22">
        <v>42052.053999999996</v>
      </c>
      <c r="FW22">
        <v>44515.839</v>
      </c>
      <c r="FX22">
        <v>48193.48</v>
      </c>
      <c r="FY22">
        <v>44870.205000000002</v>
      </c>
    </row>
    <row r="23" spans="1:183" x14ac:dyDescent="0.25">
      <c r="A23" t="s">
        <v>444</v>
      </c>
      <c r="B23" t="s">
        <v>445</v>
      </c>
      <c r="C23" t="s">
        <v>446</v>
      </c>
      <c r="D23" t="s">
        <v>442</v>
      </c>
      <c r="E23" t="s">
        <v>443</v>
      </c>
      <c r="F23" t="s">
        <v>438</v>
      </c>
      <c r="G23" t="s">
        <v>146</v>
      </c>
      <c r="H23" s="6">
        <v>3185.6889999999999</v>
      </c>
      <c r="I23" s="6">
        <v>3194.9879999999998</v>
      </c>
      <c r="J23" s="6">
        <v>3181.1370000000002</v>
      </c>
      <c r="K23" s="6">
        <v>3182.192</v>
      </c>
      <c r="L23" s="6">
        <v>3100.9989999999998</v>
      </c>
      <c r="M23" s="6">
        <v>3116.277</v>
      </c>
      <c r="N23" s="6">
        <v>3097.5949999999998</v>
      </c>
      <c r="O23" s="6">
        <v>3124.989</v>
      </c>
      <c r="P23" s="6">
        <v>3166.61</v>
      </c>
      <c r="Q23" s="6">
        <v>3167.1590000000001</v>
      </c>
      <c r="R23" s="6">
        <v>3151.26</v>
      </c>
      <c r="S23" s="6">
        <v>3155.7660000000001</v>
      </c>
      <c r="T23" s="6">
        <v>3163.5949999999998</v>
      </c>
      <c r="U23" s="6">
        <v>3110.2750000000001</v>
      </c>
      <c r="V23" s="6">
        <v>3072.2020000000002</v>
      </c>
      <c r="W23" s="6">
        <v>3098.7429999999999</v>
      </c>
      <c r="X23" s="6">
        <v>3077.25</v>
      </c>
      <c r="Y23" s="6">
        <v>3088.0619999999999</v>
      </c>
      <c r="Z23" s="6">
        <v>3107.3560000000002</v>
      </c>
      <c r="AA23" s="6">
        <v>3111.1849999999999</v>
      </c>
      <c r="AB23" s="6">
        <v>3149.9540000000002</v>
      </c>
      <c r="AC23" s="6">
        <v>3158.31</v>
      </c>
      <c r="AD23" s="6">
        <v>3152.1509999999998</v>
      </c>
      <c r="AE23" s="6">
        <v>3162.299</v>
      </c>
      <c r="AF23" s="6">
        <v>3150.7190000000001</v>
      </c>
      <c r="AG23" s="6">
        <v>3177.239</v>
      </c>
      <c r="AH23" s="6">
        <v>3173.9409999999998</v>
      </c>
      <c r="AI23" s="6">
        <v>3182.6179999999999</v>
      </c>
      <c r="AJ23" s="6">
        <v>3163.0120000000002</v>
      </c>
      <c r="AK23" s="6">
        <v>3174.3719999999998</v>
      </c>
      <c r="AL23" s="6">
        <v>3144.634</v>
      </c>
      <c r="AM23" s="6">
        <v>3117.5639999999999</v>
      </c>
      <c r="AN23" s="6">
        <v>3044.19</v>
      </c>
      <c r="AO23" s="6">
        <v>3035.55</v>
      </c>
      <c r="AP23" s="6">
        <v>3006.35</v>
      </c>
      <c r="AQ23" s="6">
        <v>2974.8029999999999</v>
      </c>
      <c r="AR23" s="6">
        <v>2894.8310000000001</v>
      </c>
      <c r="AS23" s="6">
        <v>2889.63</v>
      </c>
      <c r="AT23" s="6">
        <v>2832.47</v>
      </c>
      <c r="AU23" s="6">
        <v>2887.8330000000001</v>
      </c>
      <c r="AV23" s="6">
        <v>2854.9229999999998</v>
      </c>
      <c r="AW23" s="6">
        <v>2887.6660000000002</v>
      </c>
      <c r="AX23" s="6">
        <v>2863.7849999999999</v>
      </c>
      <c r="AY23" s="6">
        <v>2882.2350000000001</v>
      </c>
      <c r="AZ23" s="6">
        <v>2882.2310000000002</v>
      </c>
      <c r="BA23" s="6">
        <v>2868.2429999999999</v>
      </c>
      <c r="BB23" s="6">
        <v>2817.2959999999998</v>
      </c>
      <c r="BC23" s="6">
        <v>2845.2570000000001</v>
      </c>
      <c r="BD23" s="6">
        <v>2834.6439999999998</v>
      </c>
      <c r="BE23" s="6">
        <v>2836.0770000000002</v>
      </c>
      <c r="BF23" s="6">
        <v>2892.68</v>
      </c>
      <c r="BG23" s="6">
        <v>2910.2750000000001</v>
      </c>
      <c r="BH23" s="6">
        <v>2880.26</v>
      </c>
      <c r="BI23" s="6">
        <v>2872.0880000000002</v>
      </c>
      <c r="BJ23" s="6">
        <v>2860.991</v>
      </c>
      <c r="BK23" s="6">
        <v>2489.681</v>
      </c>
      <c r="BL23" s="6">
        <v>2492.4079999999999</v>
      </c>
      <c r="BM23" s="6">
        <v>2453.4299999999998</v>
      </c>
      <c r="BN23" s="6">
        <v>2417.4450000000002</v>
      </c>
      <c r="BO23" s="6">
        <v>2401.1129999999998</v>
      </c>
      <c r="BP23" s="6">
        <v>2427.6480000000001</v>
      </c>
      <c r="BQ23" s="6">
        <v>2419.69</v>
      </c>
      <c r="BR23" s="6">
        <v>2423.86</v>
      </c>
      <c r="BS23" s="6">
        <v>2450.1080000000002</v>
      </c>
      <c r="BT23" s="6">
        <v>2472.4789999999998</v>
      </c>
      <c r="BU23" s="6">
        <v>2486.3270000000002</v>
      </c>
      <c r="BV23" s="6">
        <v>2516.8679999999999</v>
      </c>
      <c r="BW23" s="6">
        <v>2524.326</v>
      </c>
      <c r="BX23" s="6">
        <v>2525.2649999999999</v>
      </c>
      <c r="BY23" s="6">
        <v>2511.183</v>
      </c>
      <c r="BZ23" s="6">
        <v>2528.04</v>
      </c>
      <c r="CA23" s="6">
        <v>2545.1950000000002</v>
      </c>
      <c r="CB23" s="6">
        <v>2605.8890000000001</v>
      </c>
      <c r="CC23" s="6">
        <v>2582.3789999999999</v>
      </c>
      <c r="CD23" s="6">
        <v>2604.915</v>
      </c>
      <c r="CE23" s="6">
        <v>2571.3780000000002</v>
      </c>
      <c r="CF23" s="6">
        <v>2530.279</v>
      </c>
      <c r="CG23" s="6">
        <v>3809.2820000000002</v>
      </c>
      <c r="CH23" s="6">
        <v>3807.8609999999999</v>
      </c>
      <c r="CI23" s="6">
        <v>3748.9430000000002</v>
      </c>
      <c r="CJ23" s="6">
        <v>3735.5680000000002</v>
      </c>
      <c r="CK23" s="6">
        <v>4174.8419999999996</v>
      </c>
      <c r="CL23" s="6">
        <v>3514.9720000000002</v>
      </c>
      <c r="CM23" s="6">
        <v>4360.37</v>
      </c>
      <c r="CN23" s="6">
        <v>3566.4740000000002</v>
      </c>
      <c r="CO23" s="6">
        <v>3348.6570000000002</v>
      </c>
      <c r="CP23" s="6">
        <v>3328.3649999999998</v>
      </c>
      <c r="CQ23" s="6">
        <v>3326.3440000000001</v>
      </c>
      <c r="CR23" s="6">
        <v>3034.828</v>
      </c>
      <c r="CS23" s="6">
        <v>3031.4290000000001</v>
      </c>
      <c r="CT23" s="6">
        <v>3345.915</v>
      </c>
      <c r="CU23" s="6">
        <v>2962.9140000000002</v>
      </c>
      <c r="CV23" s="6">
        <v>2954.2530000000002</v>
      </c>
      <c r="CW23" s="6">
        <v>2991.0880000000002</v>
      </c>
      <c r="CX23" s="6">
        <v>2584.585</v>
      </c>
      <c r="CY23" s="6">
        <v>2604.9859999999999</v>
      </c>
      <c r="CZ23" s="6">
        <v>2595.5309999999999</v>
      </c>
      <c r="DA23" s="6">
        <v>2210.386</v>
      </c>
      <c r="DB23" s="6">
        <v>2206.4409999999998</v>
      </c>
      <c r="DC23" s="6">
        <v>2199.8310000000001</v>
      </c>
      <c r="DD23" s="6">
        <v>1888.4380000000001</v>
      </c>
      <c r="DE23" s="6">
        <v>1864.877</v>
      </c>
      <c r="DF23" s="6">
        <v>1942.1980000000001</v>
      </c>
      <c r="DG23" s="6">
        <v>1642.9880000000001</v>
      </c>
      <c r="DH23" s="6">
        <v>1629.9849999999999</v>
      </c>
      <c r="DI23" s="6">
        <v>1634.8209999999999</v>
      </c>
      <c r="DJ23" s="6">
        <v>1344.7180000000001</v>
      </c>
      <c r="DK23" s="6">
        <v>1354.4</v>
      </c>
      <c r="DL23" s="6">
        <v>1354.9739999999999</v>
      </c>
      <c r="DM23" s="6">
        <v>1039.038</v>
      </c>
      <c r="DN23" s="6">
        <v>1023.1559999999999</v>
      </c>
      <c r="DO23" s="6">
        <v>1036.7570000000001</v>
      </c>
      <c r="DP23" s="6">
        <v>740.77099999999996</v>
      </c>
      <c r="DQ23" s="6">
        <v>853.19600000000003</v>
      </c>
      <c r="DR23" s="6">
        <v>854.63800000000003</v>
      </c>
      <c r="DS23" s="6">
        <v>4855.625</v>
      </c>
      <c r="DT23" s="6">
        <v>2934.1640000000002</v>
      </c>
      <c r="DU23" s="6">
        <v>2947.848</v>
      </c>
      <c r="DV23" s="6">
        <v>2532.0430000000001</v>
      </c>
      <c r="DW23" s="6">
        <v>673.096</v>
      </c>
      <c r="DX23" s="6">
        <v>376.7</v>
      </c>
      <c r="DY23" s="6">
        <v>10.919</v>
      </c>
      <c r="DZ23" s="6">
        <v>6781.8940000000002</v>
      </c>
      <c r="EA23" s="6">
        <v>5908.1319999999996</v>
      </c>
      <c r="EB23" s="6">
        <v>5563.3029999999999</v>
      </c>
      <c r="EC23" s="6">
        <v>6777.0619999999999</v>
      </c>
      <c r="ED23" s="6">
        <v>4792.5069999999996</v>
      </c>
      <c r="EE23" s="6">
        <v>4257.8729999999996</v>
      </c>
      <c r="EF23" s="6">
        <v>1614.614</v>
      </c>
      <c r="EG23" s="6">
        <v>2932.7359999999999</v>
      </c>
      <c r="EH23" s="6">
        <v>2429.3150000000001</v>
      </c>
      <c r="EI23" s="6">
        <v>5763.558</v>
      </c>
      <c r="EJ23" s="6">
        <v>3188.2869999999998</v>
      </c>
      <c r="EK23" s="6">
        <v>2411.598</v>
      </c>
      <c r="EL23" s="6">
        <v>5066.8100000000004</v>
      </c>
      <c r="EM23" s="6">
        <v>2423.5189999999998</v>
      </c>
      <c r="EN23" s="6">
        <v>1607.2639999999999</v>
      </c>
      <c r="EO23" s="6">
        <v>10.29</v>
      </c>
      <c r="EP23" s="6">
        <v>70.828999999999994</v>
      </c>
      <c r="EQ23" s="6">
        <v>2968.9290000000001</v>
      </c>
      <c r="ER23" s="6">
        <v>1860.9169999999999</v>
      </c>
      <c r="ES23" s="6">
        <v>68.150000000000006</v>
      </c>
      <c r="ET23" s="6">
        <v>0.13400000000000001</v>
      </c>
      <c r="EU23" s="6">
        <v>0.104</v>
      </c>
      <c r="EV23" s="6">
        <v>2707.306</v>
      </c>
      <c r="EW23" s="6">
        <v>893.34400000000005</v>
      </c>
      <c r="EX23" s="6">
        <v>892.55799999999999</v>
      </c>
      <c r="EY23" s="6">
        <v>890.73299999999995</v>
      </c>
      <c r="EZ23" s="6">
        <v>30.193999999999999</v>
      </c>
      <c r="FA23" s="6">
        <v>817.40200000000004</v>
      </c>
      <c r="FB23" s="6">
        <v>854.92600000000004</v>
      </c>
      <c r="FC23" s="6">
        <v>8.5909999999999993</v>
      </c>
      <c r="FD23" s="6">
        <v>8.6790000000000003</v>
      </c>
      <c r="FE23" s="6">
        <v>845.68600000000004</v>
      </c>
      <c r="FF23" s="6">
        <v>42.847000000000001</v>
      </c>
      <c r="FG23" s="6">
        <v>42.645000000000003</v>
      </c>
      <c r="FH23" s="6">
        <v>708.86099999999999</v>
      </c>
      <c r="FI23" s="6">
        <v>63.116999999999997</v>
      </c>
      <c r="FJ23" s="6">
        <v>64.234999999999999</v>
      </c>
      <c r="FK23" s="6">
        <v>741.03200000000004</v>
      </c>
      <c r="FL23" s="6">
        <v>77.087999999999994</v>
      </c>
      <c r="FM23" s="6">
        <v>78.260000000000005</v>
      </c>
      <c r="FN23" s="6">
        <v>77.344999999999999</v>
      </c>
      <c r="FO23" s="6">
        <v>40.790999999999997</v>
      </c>
      <c r="FP23" s="6">
        <v>40.954999999999998</v>
      </c>
      <c r="FQ23" s="6">
        <v>912.25699999999995</v>
      </c>
      <c r="FR23" s="6">
        <v>67.441999999999993</v>
      </c>
      <c r="FS23" s="6">
        <v>68.138999999999996</v>
      </c>
      <c r="FT23">
        <v>878.31200000000001</v>
      </c>
      <c r="FU23">
        <v>40.406999999999996</v>
      </c>
      <c r="FV23">
        <v>39.960999999999999</v>
      </c>
      <c r="FW23">
        <v>856.76300000000003</v>
      </c>
      <c r="FX23">
        <v>48.283999999999999</v>
      </c>
      <c r="FY23">
        <v>47.954999999999998</v>
      </c>
    </row>
    <row r="24" spans="1:183" x14ac:dyDescent="0.25">
      <c r="A24" t="s">
        <v>431</v>
      </c>
      <c r="B24" t="s">
        <v>447</v>
      </c>
      <c r="C24" t="s">
        <v>448</v>
      </c>
      <c r="D24" t="s">
        <v>442</v>
      </c>
      <c r="E24" t="s">
        <v>443</v>
      </c>
      <c r="F24" t="s">
        <v>438</v>
      </c>
      <c r="G24" t="s">
        <v>146</v>
      </c>
      <c r="H24" s="6">
        <v>3433.6390000000001</v>
      </c>
      <c r="I24" s="6">
        <v>3419.7840000000001</v>
      </c>
      <c r="J24" s="6">
        <v>3311.107</v>
      </c>
      <c r="K24" s="6">
        <v>3300.4279999999999</v>
      </c>
      <c r="L24" s="6">
        <v>3096.5929999999998</v>
      </c>
      <c r="M24" s="6">
        <v>3175.038</v>
      </c>
      <c r="N24" s="6">
        <v>3201.3589999999999</v>
      </c>
      <c r="O24" s="6">
        <v>3346.4989999999998</v>
      </c>
      <c r="P24" s="6">
        <v>3514.1480000000001</v>
      </c>
      <c r="Q24" s="6">
        <v>3411.1089999999999</v>
      </c>
      <c r="R24" s="6">
        <v>3399.835</v>
      </c>
      <c r="S24" s="6">
        <v>3326.471</v>
      </c>
      <c r="T24" s="6">
        <v>3330.7379999999998</v>
      </c>
      <c r="U24" s="6">
        <v>3137.2649999999999</v>
      </c>
      <c r="V24" s="6">
        <v>3186.9679999999998</v>
      </c>
      <c r="W24" s="6">
        <v>2922.9090000000001</v>
      </c>
      <c r="X24" s="6">
        <v>2763.3980000000001</v>
      </c>
      <c r="Y24" s="6">
        <v>2432.7640000000001</v>
      </c>
      <c r="Z24" s="6">
        <v>2606.6260000000002</v>
      </c>
      <c r="AA24" s="6">
        <v>2769.5709999999999</v>
      </c>
      <c r="AB24" s="6">
        <v>2637.9490000000001</v>
      </c>
      <c r="AC24" s="6">
        <v>2625.5230000000001</v>
      </c>
      <c r="AD24" s="6">
        <v>2481.8119999999999</v>
      </c>
      <c r="AE24" s="6">
        <v>2389.4720000000002</v>
      </c>
      <c r="AF24" s="6">
        <v>2461.7440000000001</v>
      </c>
      <c r="AG24" s="6">
        <v>2623.6570000000002</v>
      </c>
      <c r="AH24" s="6">
        <v>2545.9459999999999</v>
      </c>
      <c r="AI24" s="6">
        <v>2569.587</v>
      </c>
      <c r="AJ24" s="6">
        <v>2470.0410000000002</v>
      </c>
      <c r="AK24" s="6">
        <v>2633.6410000000001</v>
      </c>
      <c r="AL24" s="6">
        <v>2542.2339999999999</v>
      </c>
      <c r="AM24" s="6">
        <v>2552.06</v>
      </c>
      <c r="AN24" s="6">
        <v>2399.34</v>
      </c>
      <c r="AO24" s="6">
        <v>2324.52</v>
      </c>
      <c r="AP24" s="6">
        <v>2316.17</v>
      </c>
      <c r="AQ24" s="6">
        <v>2354.7849999999999</v>
      </c>
      <c r="AR24" s="6">
        <v>2529.5500000000002</v>
      </c>
      <c r="AS24" s="6">
        <v>2406.96</v>
      </c>
      <c r="AT24" s="6">
        <v>2345.58</v>
      </c>
      <c r="AU24" s="6">
        <v>2348.3429999999998</v>
      </c>
      <c r="AV24" s="6">
        <v>2361.8209999999999</v>
      </c>
      <c r="AW24" s="6">
        <v>2325.933</v>
      </c>
      <c r="AX24" s="6">
        <v>2178.0140000000001</v>
      </c>
      <c r="AY24" s="6">
        <v>2249.096</v>
      </c>
      <c r="AZ24" s="6">
        <v>2214.3980000000001</v>
      </c>
      <c r="BA24" s="6">
        <v>2263.348</v>
      </c>
      <c r="BB24" s="6">
        <v>2110.625</v>
      </c>
      <c r="BC24" s="6">
        <v>2106.933</v>
      </c>
      <c r="BD24" s="6">
        <v>2215.2719999999999</v>
      </c>
      <c r="BE24" s="6">
        <v>2444.1970000000001</v>
      </c>
      <c r="BF24" s="6">
        <v>2444.44</v>
      </c>
      <c r="BG24" s="6">
        <v>2559.8009999999999</v>
      </c>
      <c r="BH24" s="6">
        <v>2413.0300000000002</v>
      </c>
      <c r="BI24" s="6">
        <v>2617.2649999999999</v>
      </c>
      <c r="BJ24" s="6">
        <v>2681.558</v>
      </c>
      <c r="BK24" s="6">
        <v>2594.4380000000001</v>
      </c>
      <c r="BL24" s="6">
        <v>2607.7570000000001</v>
      </c>
      <c r="BM24" s="6">
        <v>2322.9899999999998</v>
      </c>
      <c r="BN24" s="6">
        <v>2141.8249999999998</v>
      </c>
      <c r="BO24" s="6">
        <v>2101.7489999999998</v>
      </c>
      <c r="BP24" s="6">
        <v>2400.569</v>
      </c>
      <c r="BQ24" s="6">
        <v>2291.4899999999998</v>
      </c>
      <c r="BR24" s="6">
        <v>2202.13</v>
      </c>
      <c r="BS24" s="6">
        <v>2514.1489999999999</v>
      </c>
      <c r="BT24" s="6">
        <v>2522.7809999999999</v>
      </c>
      <c r="BU24" s="6">
        <v>2386.5839999999998</v>
      </c>
      <c r="BV24" s="6">
        <v>2514.067</v>
      </c>
      <c r="BW24" s="6">
        <v>2614.7049999999999</v>
      </c>
      <c r="BX24" s="6">
        <v>2545.529</v>
      </c>
      <c r="BY24" s="6">
        <v>2435.0189999999998</v>
      </c>
      <c r="BZ24" s="6">
        <v>2293.1219999999998</v>
      </c>
      <c r="CA24" s="6">
        <v>2298.7750000000001</v>
      </c>
      <c r="CB24" s="6">
        <v>2657.8829999999998</v>
      </c>
      <c r="CC24" s="6">
        <v>2616.7890000000002</v>
      </c>
      <c r="CD24" s="6">
        <v>2337.6950000000002</v>
      </c>
      <c r="CE24" s="6">
        <v>2623.7179999999998</v>
      </c>
      <c r="CF24" s="6">
        <v>2579.0340000000001</v>
      </c>
      <c r="CG24" s="6">
        <v>2486.4360000000001</v>
      </c>
      <c r="CH24" s="6">
        <v>2429.2289999999998</v>
      </c>
      <c r="CI24" s="6">
        <v>2383.8339999999998</v>
      </c>
      <c r="CJ24" s="6">
        <v>2296.9580000000001</v>
      </c>
      <c r="CK24" s="6">
        <v>2406.924</v>
      </c>
      <c r="CL24" s="6">
        <v>2435.6089999999999</v>
      </c>
      <c r="CM24" s="6">
        <v>2255.623</v>
      </c>
      <c r="CN24" s="6">
        <v>2622.26</v>
      </c>
      <c r="CO24" s="6">
        <v>2608.201</v>
      </c>
      <c r="CP24" s="6">
        <v>2280.8530000000001</v>
      </c>
      <c r="CQ24" s="6">
        <v>2547.1640000000002</v>
      </c>
      <c r="CR24" s="6">
        <v>2588.2139999999999</v>
      </c>
      <c r="CS24" s="6">
        <v>2486.0309999999999</v>
      </c>
      <c r="CT24" s="6">
        <v>2818.4409999999998</v>
      </c>
      <c r="CU24" s="6">
        <v>3011.884</v>
      </c>
      <c r="CV24" s="6">
        <v>2914.1480000000001</v>
      </c>
      <c r="CW24" s="6">
        <v>2999.4389999999999</v>
      </c>
      <c r="CX24" s="6">
        <v>2904.26</v>
      </c>
      <c r="CY24" s="6">
        <v>2684.4659999999999</v>
      </c>
      <c r="CZ24" s="6">
        <v>3140.2339999999999</v>
      </c>
      <c r="DA24" s="6">
        <v>3139.7559999999999</v>
      </c>
      <c r="DB24" s="6">
        <v>2940.8780000000002</v>
      </c>
      <c r="DC24" s="6">
        <v>3341.13</v>
      </c>
      <c r="DD24" s="6">
        <v>3440.7159999999999</v>
      </c>
      <c r="DE24" s="6">
        <v>3533.096</v>
      </c>
      <c r="DF24" s="6">
        <v>3910.8150000000001</v>
      </c>
      <c r="DG24" s="6">
        <v>3913.2359999999999</v>
      </c>
      <c r="DH24" s="6">
        <v>3753.8240000000001</v>
      </c>
      <c r="DI24" s="6">
        <v>3728.9920000000002</v>
      </c>
      <c r="DJ24" s="6">
        <v>3527.4589999999998</v>
      </c>
      <c r="DK24" s="6">
        <v>3758.25</v>
      </c>
      <c r="DL24" s="6">
        <v>3673.1550000000002</v>
      </c>
      <c r="DM24" s="6">
        <v>3424.241</v>
      </c>
      <c r="DN24" s="6">
        <v>3392.9969999999998</v>
      </c>
      <c r="DO24" s="6">
        <v>3510.864</v>
      </c>
      <c r="DP24" s="6">
        <v>3783.0819999999999</v>
      </c>
      <c r="DQ24" s="6">
        <v>3509.634</v>
      </c>
      <c r="DR24" s="6">
        <v>3600.4059999999999</v>
      </c>
      <c r="DS24" s="6">
        <v>3599.83</v>
      </c>
      <c r="DT24" s="6">
        <v>3483.4520000000002</v>
      </c>
      <c r="DU24" s="6">
        <v>3536.1529999999998</v>
      </c>
      <c r="DV24" s="6">
        <v>3521.7620000000002</v>
      </c>
      <c r="DW24" s="6">
        <v>3213.7629999999999</v>
      </c>
      <c r="DX24" s="6">
        <v>3564.319</v>
      </c>
      <c r="DY24" s="6">
        <v>3744.5140000000001</v>
      </c>
      <c r="DZ24" s="6">
        <v>3859.2060000000001</v>
      </c>
      <c r="EA24" s="6">
        <v>3789.1559999999999</v>
      </c>
      <c r="EB24" s="6">
        <v>3655.4290000000001</v>
      </c>
      <c r="EC24" s="6">
        <v>3587.94</v>
      </c>
      <c r="ED24" s="6">
        <v>3502.2890000000002</v>
      </c>
      <c r="EE24" s="6">
        <v>3398.3760000000002</v>
      </c>
      <c r="EF24" s="6">
        <v>3299.5450000000001</v>
      </c>
      <c r="EG24" s="6">
        <v>3243.9259999999999</v>
      </c>
      <c r="EH24" s="6">
        <v>3476.683</v>
      </c>
      <c r="EI24" s="6">
        <v>3617.973</v>
      </c>
      <c r="EJ24" s="6">
        <v>3827.942</v>
      </c>
      <c r="EK24" s="6">
        <v>3629.2869999999998</v>
      </c>
      <c r="EL24" s="6">
        <v>3905.4349999999999</v>
      </c>
      <c r="EM24" s="6">
        <v>3949.105</v>
      </c>
      <c r="EN24" s="6">
        <v>3900.89</v>
      </c>
      <c r="EO24" s="6">
        <v>3806.8820000000001</v>
      </c>
      <c r="EP24" s="6">
        <v>3468.944</v>
      </c>
      <c r="EQ24" s="6">
        <v>3849.8960000000002</v>
      </c>
      <c r="ER24" s="6">
        <v>3669.5419999999999</v>
      </c>
      <c r="ES24" s="6">
        <v>3936.7979999999998</v>
      </c>
      <c r="ET24" s="6">
        <v>4042.9340000000002</v>
      </c>
      <c r="EU24" s="6">
        <v>4095.873</v>
      </c>
      <c r="EV24" s="6">
        <v>4064.59</v>
      </c>
      <c r="EW24" s="6">
        <v>4058.2579999999998</v>
      </c>
      <c r="EX24" s="6">
        <v>4344.7669999999998</v>
      </c>
      <c r="EY24" s="6">
        <v>4554.201</v>
      </c>
      <c r="EZ24" s="6">
        <v>4614.0079999999998</v>
      </c>
      <c r="FA24" s="6">
        <v>4616.9650000000001</v>
      </c>
      <c r="FB24" s="6">
        <v>4806.6880000000001</v>
      </c>
      <c r="FC24" s="6">
        <v>4960.6419999999998</v>
      </c>
      <c r="FD24" s="6">
        <v>5234.8019999999997</v>
      </c>
      <c r="FE24" s="6">
        <v>5436.8109999999997</v>
      </c>
      <c r="FF24" s="6">
        <v>5277.643</v>
      </c>
      <c r="FG24" s="6">
        <v>5206.1450000000004</v>
      </c>
      <c r="FH24" s="6">
        <v>5572.6279999999997</v>
      </c>
      <c r="FI24" s="6">
        <v>5646.35</v>
      </c>
      <c r="FJ24" s="6">
        <v>6187.3119999999999</v>
      </c>
      <c r="FK24" s="6">
        <v>6560.2860000000001</v>
      </c>
      <c r="FL24" s="6">
        <v>6532.2979999999998</v>
      </c>
      <c r="FM24" s="6">
        <v>6535.8909999999996</v>
      </c>
      <c r="FN24" s="6">
        <v>6539.1260000000002</v>
      </c>
      <c r="FO24" s="6">
        <v>6835.0050000000001</v>
      </c>
      <c r="FP24" s="6">
        <v>7629.01</v>
      </c>
      <c r="FQ24" s="6">
        <v>7934.3959999999997</v>
      </c>
      <c r="FR24" s="6">
        <v>8368.3089999999993</v>
      </c>
      <c r="FS24" s="6">
        <v>8585.6620000000003</v>
      </c>
      <c r="FT24">
        <v>9644.6</v>
      </c>
      <c r="FU24">
        <v>10388.584000000001</v>
      </c>
      <c r="FV24">
        <v>9236.5709999999999</v>
      </c>
      <c r="FW24">
        <v>9172.8340000000007</v>
      </c>
      <c r="FX24">
        <v>9037.0229999999992</v>
      </c>
      <c r="FY24">
        <v>8000.2969999999996</v>
      </c>
    </row>
    <row r="25" spans="1:183" x14ac:dyDescent="0.25">
      <c r="A25" t="s">
        <v>449</v>
      </c>
      <c r="B25" t="s">
        <v>450</v>
      </c>
      <c r="C25" t="s">
        <v>451</v>
      </c>
      <c r="D25" t="s">
        <v>452</v>
      </c>
      <c r="E25" t="s">
        <v>443</v>
      </c>
      <c r="F25" t="s">
        <v>438</v>
      </c>
      <c r="G25" t="s">
        <v>146</v>
      </c>
      <c r="H25" s="6">
        <v>-20015.944</v>
      </c>
      <c r="I25" s="6">
        <v>-19309.446</v>
      </c>
      <c r="J25" s="6">
        <v>-19476.871999999999</v>
      </c>
      <c r="K25" s="6">
        <v>-21067.088</v>
      </c>
      <c r="L25" s="6">
        <v>-18893.438999999998</v>
      </c>
      <c r="M25" s="6">
        <v>-17731.618999999999</v>
      </c>
      <c r="N25" s="6">
        <v>-22032.332999999999</v>
      </c>
      <c r="O25" s="6">
        <v>-17835.490000000002</v>
      </c>
      <c r="P25" s="6">
        <v>-19717.789000000001</v>
      </c>
      <c r="Q25" s="6">
        <v>-22539.909</v>
      </c>
      <c r="R25" s="6">
        <v>-22008.06</v>
      </c>
      <c r="S25" s="6">
        <v>-20150.832999999999</v>
      </c>
      <c r="T25" s="6">
        <v>-19642.446</v>
      </c>
      <c r="U25" s="6">
        <v>-19152.598999999998</v>
      </c>
      <c r="V25" s="6">
        <v>-18849.108</v>
      </c>
      <c r="W25" s="6">
        <v>-17695.106</v>
      </c>
      <c r="X25" s="6">
        <v>-16746.723000000002</v>
      </c>
      <c r="Y25" s="6">
        <v>-16727.432000000001</v>
      </c>
      <c r="Z25" s="6">
        <v>-16963.437000000002</v>
      </c>
      <c r="AA25" s="6">
        <v>-26275.169000000002</v>
      </c>
      <c r="AB25" s="6">
        <v>-20886.118999999999</v>
      </c>
      <c r="AC25" s="6">
        <v>-20810.219000000001</v>
      </c>
      <c r="AD25" s="6">
        <v>-19032.784</v>
      </c>
      <c r="AE25" s="6">
        <v>-19413.280999999999</v>
      </c>
      <c r="AF25" s="6">
        <v>-19072.719000000001</v>
      </c>
      <c r="AG25" s="6">
        <v>-17319.552</v>
      </c>
      <c r="AH25" s="6">
        <v>-16672.677</v>
      </c>
      <c r="AI25" s="6">
        <v>-15956.771000000001</v>
      </c>
      <c r="AJ25" s="6">
        <v>-15664.112999999999</v>
      </c>
      <c r="AK25" s="6">
        <v>-15509.166999999999</v>
      </c>
      <c r="AL25" s="6">
        <v>-15043.088</v>
      </c>
      <c r="AM25" s="6">
        <v>-15326.907999999999</v>
      </c>
      <c r="AN25" s="6">
        <v>-15594.41</v>
      </c>
      <c r="AO25" s="6">
        <v>-22271.57</v>
      </c>
      <c r="AP25" s="6">
        <v>-22959.3</v>
      </c>
      <c r="AQ25" s="6">
        <v>-26229.612000000001</v>
      </c>
      <c r="AR25" s="6">
        <v>-34688.224999999999</v>
      </c>
      <c r="AS25" s="6">
        <v>-25955.439999999999</v>
      </c>
      <c r="AT25" s="6">
        <v>-25142.006000000001</v>
      </c>
      <c r="AU25" s="6">
        <v>-25873.350999999999</v>
      </c>
      <c r="AV25" s="6">
        <v>-25593.511999999999</v>
      </c>
      <c r="AW25" s="6">
        <v>-24274.714</v>
      </c>
      <c r="AX25" s="6">
        <v>-25122.495999999999</v>
      </c>
      <c r="AY25" s="6">
        <v>-24641.627</v>
      </c>
      <c r="AZ25" s="6">
        <v>-31565.986000000001</v>
      </c>
      <c r="BA25" s="6">
        <v>-21635.803</v>
      </c>
      <c r="BB25" s="6">
        <v>-23545.314999999999</v>
      </c>
      <c r="BC25" s="6">
        <v>-25563.839</v>
      </c>
      <c r="BD25" s="6">
        <v>-25285.521000000001</v>
      </c>
      <c r="BE25" s="6">
        <v>-23942.231</v>
      </c>
      <c r="BF25" s="6">
        <v>-26574.16</v>
      </c>
      <c r="BG25" s="6">
        <v>-39075.137000000002</v>
      </c>
      <c r="BH25" s="6">
        <v>-34169.279999999999</v>
      </c>
      <c r="BI25" s="6">
        <v>-35658.400000000001</v>
      </c>
      <c r="BJ25" s="6">
        <v>-41045.769</v>
      </c>
      <c r="BK25" s="6">
        <v>-39108.57</v>
      </c>
      <c r="BL25" s="6">
        <v>-39014.807000000001</v>
      </c>
      <c r="BM25" s="6">
        <v>-44065.777999999998</v>
      </c>
      <c r="BN25" s="6">
        <v>-41472.421999999999</v>
      </c>
      <c r="BO25" s="6">
        <v>-45449.086000000003</v>
      </c>
      <c r="BP25" s="6">
        <v>-53678.347999999998</v>
      </c>
      <c r="BQ25" s="6">
        <v>-56049.031000000003</v>
      </c>
      <c r="BR25" s="6">
        <v>-58666.120999999999</v>
      </c>
      <c r="BS25" s="6">
        <v>-46755.531000000003</v>
      </c>
      <c r="BT25" s="6">
        <v>-43943.286999999997</v>
      </c>
      <c r="BU25" s="6">
        <v>-44797.758000000002</v>
      </c>
      <c r="BV25" s="6">
        <v>-43713.23</v>
      </c>
      <c r="BW25" s="6">
        <v>-46079.733</v>
      </c>
      <c r="BX25" s="6">
        <v>-44462.887000000002</v>
      </c>
      <c r="BY25" s="6">
        <v>-44228.012000000002</v>
      </c>
      <c r="BZ25" s="6">
        <v>-49684.071000000004</v>
      </c>
      <c r="CA25" s="6">
        <v>-52448.877999999997</v>
      </c>
      <c r="CB25" s="6">
        <v>-56862.578000000001</v>
      </c>
      <c r="CC25" s="6">
        <v>-53332.961000000003</v>
      </c>
      <c r="CD25" s="6">
        <v>-57401.04</v>
      </c>
      <c r="CE25" s="6">
        <v>-61056.794000000002</v>
      </c>
      <c r="CF25" s="6">
        <v>-59684.201999999997</v>
      </c>
      <c r="CG25" s="6">
        <v>-74290.198999999993</v>
      </c>
      <c r="CH25" s="6">
        <v>-69539.077999999994</v>
      </c>
      <c r="CI25" s="6">
        <v>-67208.554999999993</v>
      </c>
      <c r="CJ25" s="6">
        <v>-66783.591</v>
      </c>
      <c r="CK25" s="6">
        <v>-72263.547000000006</v>
      </c>
      <c r="CL25" s="6">
        <v>-62911.743999999999</v>
      </c>
      <c r="CM25" s="6">
        <v>-68172.982000000004</v>
      </c>
      <c r="CN25" s="6">
        <v>-67141.957999999999</v>
      </c>
      <c r="CO25" s="6">
        <v>-67479.616999999998</v>
      </c>
      <c r="CP25" s="6">
        <v>-65290.127999999997</v>
      </c>
      <c r="CQ25" s="6">
        <v>-72181.116999999998</v>
      </c>
      <c r="CR25" s="6">
        <v>-60511.330999999998</v>
      </c>
      <c r="CS25" s="6">
        <v>-61285.542999999998</v>
      </c>
      <c r="CT25" s="6">
        <v>-65026.97</v>
      </c>
      <c r="CU25" s="6">
        <v>-52143.555</v>
      </c>
      <c r="CV25" s="6">
        <v>-45679.43</v>
      </c>
      <c r="CW25" s="6">
        <v>-48633.65</v>
      </c>
      <c r="CX25" s="6">
        <v>-48041.502999999997</v>
      </c>
      <c r="CY25" s="6">
        <v>-52864.38</v>
      </c>
      <c r="CZ25" s="6">
        <v>-53539.944000000003</v>
      </c>
      <c r="DA25" s="6">
        <v>-53911.125999999997</v>
      </c>
      <c r="DB25" s="6">
        <v>-55336.19</v>
      </c>
      <c r="DC25" s="6">
        <v>-59180.286</v>
      </c>
      <c r="DD25" s="6">
        <v>-58539.459000000003</v>
      </c>
      <c r="DE25" s="6">
        <v>-59861.601999999999</v>
      </c>
      <c r="DF25" s="6">
        <v>-56674.517</v>
      </c>
      <c r="DG25" s="6">
        <v>-32447.842000000001</v>
      </c>
      <c r="DH25" s="6">
        <v>-34725.911999999997</v>
      </c>
      <c r="DI25" s="6">
        <v>-34525.578999999998</v>
      </c>
      <c r="DJ25" s="6">
        <v>-34341.277000000002</v>
      </c>
      <c r="DK25" s="6">
        <v>-36473.052000000003</v>
      </c>
      <c r="DL25" s="6">
        <v>-30289.272000000001</v>
      </c>
      <c r="DM25" s="6">
        <v>-30647.548999999999</v>
      </c>
      <c r="DN25" s="6">
        <v>-30600.607</v>
      </c>
      <c r="DO25" s="6">
        <v>-36391.445</v>
      </c>
      <c r="DP25" s="6">
        <v>-33617.057999999997</v>
      </c>
      <c r="DQ25" s="6">
        <v>-39488.294000000002</v>
      </c>
      <c r="DR25" s="6">
        <v>-44591.275999999998</v>
      </c>
      <c r="DS25" s="6">
        <v>-44501.213000000003</v>
      </c>
      <c r="DT25" s="6">
        <v>-45704.512000000002</v>
      </c>
      <c r="DU25" s="6">
        <v>-48716.447</v>
      </c>
      <c r="DV25" s="6">
        <v>-48677.089</v>
      </c>
      <c r="DW25" s="6">
        <v>-50031.822</v>
      </c>
      <c r="DX25" s="6">
        <v>-59609.506000000001</v>
      </c>
      <c r="DY25" s="6">
        <v>-58630.525999999998</v>
      </c>
      <c r="DZ25" s="6">
        <v>-64633.161</v>
      </c>
      <c r="EA25" s="6">
        <v>-60859.178999999996</v>
      </c>
      <c r="EB25" s="6">
        <v>-56218.580999999998</v>
      </c>
      <c r="EC25" s="6">
        <v>-54414.767999999996</v>
      </c>
      <c r="ED25" s="6">
        <v>-54211.082999999999</v>
      </c>
      <c r="EE25" s="6">
        <v>-55804.29</v>
      </c>
      <c r="EF25" s="6">
        <v>-51776.124000000003</v>
      </c>
      <c r="EG25" s="6">
        <v>-55076.014000000003</v>
      </c>
      <c r="EH25" s="6">
        <v>-54844.281999999999</v>
      </c>
      <c r="EI25" s="6">
        <v>-56986.964999999997</v>
      </c>
      <c r="EJ25" s="6">
        <v>-55818.766000000003</v>
      </c>
      <c r="EK25" s="6">
        <v>-54407.533000000003</v>
      </c>
      <c r="EL25" s="6">
        <v>-54855.139000000003</v>
      </c>
      <c r="EM25" s="6">
        <v>-50892.591</v>
      </c>
      <c r="EN25" s="6">
        <v>-49698.046000000002</v>
      </c>
      <c r="EO25" s="6">
        <v>-46689.11</v>
      </c>
      <c r="EP25" s="6">
        <v>-49575.811999999998</v>
      </c>
      <c r="EQ25" s="6">
        <v>-51956.224999999999</v>
      </c>
      <c r="ER25" s="6">
        <v>-51811.864999999998</v>
      </c>
      <c r="ES25" s="6">
        <v>-48454.216</v>
      </c>
      <c r="ET25" s="6">
        <v>-44553.209000000003</v>
      </c>
      <c r="EU25" s="6">
        <v>-44276.464999999997</v>
      </c>
      <c r="EV25" s="6">
        <v>-40896.343000000001</v>
      </c>
      <c r="EW25" s="6">
        <v>-38703.069000000003</v>
      </c>
      <c r="EX25" s="6">
        <v>-36926.052000000003</v>
      </c>
      <c r="EY25" s="6">
        <v>-34467.343999999997</v>
      </c>
      <c r="EZ25" s="6">
        <v>-33574.341</v>
      </c>
      <c r="FA25" s="6">
        <v>-45157.868000000002</v>
      </c>
      <c r="FB25" s="6">
        <v>-45004.737000000001</v>
      </c>
      <c r="FC25" s="6">
        <v>-41487.949999999997</v>
      </c>
      <c r="FD25" s="6">
        <v>-43148.62</v>
      </c>
      <c r="FE25" s="6">
        <v>-44421.491000000002</v>
      </c>
      <c r="FF25" s="6">
        <v>-48510.802000000003</v>
      </c>
      <c r="FG25" s="6">
        <v>-48903.525999999998</v>
      </c>
      <c r="FH25" s="6">
        <v>-46432.444000000003</v>
      </c>
      <c r="FI25" s="6">
        <v>-46248.428</v>
      </c>
      <c r="FJ25" s="6">
        <v>-44295.398999999998</v>
      </c>
      <c r="FK25" s="6">
        <v>-60912.296000000002</v>
      </c>
      <c r="FL25" s="6">
        <v>-36781.099000000002</v>
      </c>
      <c r="FM25" s="6">
        <v>-37614.767</v>
      </c>
      <c r="FN25" s="6">
        <v>-36624.925000000003</v>
      </c>
      <c r="FO25" s="6">
        <v>-35018.14</v>
      </c>
      <c r="FP25" s="6">
        <v>-36588.889000000003</v>
      </c>
      <c r="FQ25" s="6">
        <v>-35942.571000000004</v>
      </c>
      <c r="FR25" s="6">
        <v>-37941.9</v>
      </c>
      <c r="FS25" s="6">
        <v>-41129.766000000003</v>
      </c>
      <c r="FT25">
        <v>-41848.498</v>
      </c>
      <c r="FU25">
        <v>-41188.218000000001</v>
      </c>
      <c r="FV25">
        <v>-38503.89</v>
      </c>
      <c r="FW25">
        <v>-41494.125</v>
      </c>
      <c r="FX25">
        <v>-42971.934000000001</v>
      </c>
      <c r="FY25">
        <v>-40884.987999999998</v>
      </c>
    </row>
    <row r="26" spans="1:183" x14ac:dyDescent="0.25">
      <c r="A26" t="s">
        <v>453</v>
      </c>
      <c r="B26" t="s">
        <v>454</v>
      </c>
      <c r="C26" t="s">
        <v>455</v>
      </c>
      <c r="D26" t="s">
        <v>442</v>
      </c>
      <c r="E26" t="s">
        <v>443</v>
      </c>
      <c r="F26" t="s">
        <v>438</v>
      </c>
      <c r="G26" t="s">
        <v>146</v>
      </c>
      <c r="H26" s="6">
        <v>-16913.567999999999</v>
      </c>
      <c r="I26" s="6">
        <v>-16213.373</v>
      </c>
      <c r="J26" s="6">
        <v>-16384.105</v>
      </c>
      <c r="K26" s="6">
        <v>-17972.439999999999</v>
      </c>
      <c r="L26" s="6">
        <v>-15819.209000000001</v>
      </c>
      <c r="M26" s="6">
        <v>-14478.509</v>
      </c>
      <c r="N26" s="6">
        <v>-18777.41</v>
      </c>
      <c r="O26" s="6">
        <v>-14591.905000000001</v>
      </c>
      <c r="P26" s="6">
        <v>-16481.502</v>
      </c>
      <c r="Q26" s="6">
        <v>-19141.324000000001</v>
      </c>
      <c r="R26" s="6">
        <v>-18628.904999999999</v>
      </c>
      <c r="S26" s="6">
        <v>-16777.982</v>
      </c>
      <c r="T26" s="6">
        <v>-16272.218000000001</v>
      </c>
      <c r="U26" s="6">
        <v>-15787.325999999999</v>
      </c>
      <c r="V26" s="6">
        <v>-15559.297</v>
      </c>
      <c r="W26" s="6">
        <v>-14417.262000000001</v>
      </c>
      <c r="X26" s="6">
        <v>-13482.018</v>
      </c>
      <c r="Y26" s="6">
        <v>-13050.35</v>
      </c>
      <c r="Z26" s="6">
        <v>-13288.056</v>
      </c>
      <c r="AA26" s="6">
        <v>-22606.022000000001</v>
      </c>
      <c r="AB26" s="6">
        <v>-17302.349999999999</v>
      </c>
      <c r="AC26" s="6">
        <v>-16996.850999999999</v>
      </c>
      <c r="AD26" s="6">
        <v>-15223.050999999999</v>
      </c>
      <c r="AE26" s="6">
        <v>-15617.468000000001</v>
      </c>
      <c r="AF26" s="6">
        <v>-15278.112999999999</v>
      </c>
      <c r="AG26" s="6">
        <v>-13528.494000000001</v>
      </c>
      <c r="AH26" s="6">
        <v>-12856.307000000001</v>
      </c>
      <c r="AI26" s="6">
        <v>-12158.474</v>
      </c>
      <c r="AJ26" s="6">
        <v>-11869.035</v>
      </c>
      <c r="AK26" s="6">
        <v>-11728.290999999999</v>
      </c>
      <c r="AL26" s="6">
        <v>-11264.671</v>
      </c>
      <c r="AM26" s="6">
        <v>-11467.136</v>
      </c>
      <c r="AN26" s="6">
        <v>-11742.97</v>
      </c>
      <c r="AO26" s="6">
        <v>-18428.91</v>
      </c>
      <c r="AP26" s="6">
        <v>-19121.189999999999</v>
      </c>
      <c r="AQ26" s="6">
        <v>-21556.363000000001</v>
      </c>
      <c r="AR26" s="6">
        <v>-30017.78</v>
      </c>
      <c r="AS26" s="6">
        <v>-30821.58</v>
      </c>
      <c r="AT26" s="6">
        <v>-30013.286</v>
      </c>
      <c r="AU26" s="6">
        <v>-30969.921999999999</v>
      </c>
      <c r="AV26" s="6">
        <v>-30736.013999999999</v>
      </c>
      <c r="AW26" s="6">
        <v>-29433.054</v>
      </c>
      <c r="AX26" s="6">
        <v>-30282.620999999999</v>
      </c>
      <c r="AY26" s="6">
        <v>-29809.17</v>
      </c>
      <c r="AZ26" s="6">
        <v>-36740.262000000002</v>
      </c>
      <c r="BA26" s="6">
        <v>-27017.631000000001</v>
      </c>
      <c r="BB26" s="6">
        <v>-28609.079000000002</v>
      </c>
      <c r="BC26" s="6">
        <v>-20037.48</v>
      </c>
      <c r="BD26" s="6">
        <v>-19767.883999999998</v>
      </c>
      <c r="BE26" s="6">
        <v>-18436.27</v>
      </c>
      <c r="BF26" s="6">
        <v>-20830.222000000002</v>
      </c>
      <c r="BG26" s="6">
        <v>-32179.647000000001</v>
      </c>
      <c r="BH26" s="6">
        <v>-27364.91</v>
      </c>
      <c r="BI26" s="6">
        <v>-28770.666000000001</v>
      </c>
      <c r="BJ26" s="6">
        <v>-33486.815999999999</v>
      </c>
      <c r="BK26" s="6">
        <v>-32148.572</v>
      </c>
      <c r="BL26" s="6">
        <v>-31850.27</v>
      </c>
      <c r="BM26" s="6">
        <v>-37026.377999999997</v>
      </c>
      <c r="BN26" s="6">
        <v>-34434.574999999997</v>
      </c>
      <c r="BO26" s="6">
        <v>-38381.478000000003</v>
      </c>
      <c r="BP26" s="6">
        <v>-46022.603999999999</v>
      </c>
      <c r="BQ26" s="6">
        <v>-48392.273000000001</v>
      </c>
      <c r="BR26" s="6">
        <v>-51011.421999999999</v>
      </c>
      <c r="BS26" s="6">
        <v>-39230.449999999997</v>
      </c>
      <c r="BT26" s="6">
        <v>-36359.114999999998</v>
      </c>
      <c r="BU26" s="6">
        <v>-36836.726999999999</v>
      </c>
      <c r="BV26" s="6">
        <v>-35702.358999999997</v>
      </c>
      <c r="BW26" s="6">
        <v>-37589.356</v>
      </c>
      <c r="BX26" s="6">
        <v>-35590.607000000004</v>
      </c>
      <c r="BY26" s="6">
        <v>-35026.997000000003</v>
      </c>
      <c r="BZ26" s="6">
        <v>-40373.044000000002</v>
      </c>
      <c r="CA26" s="6">
        <v>-43029.194000000003</v>
      </c>
      <c r="CB26" s="6">
        <v>-46769.917000000001</v>
      </c>
      <c r="CC26" s="6">
        <v>-43224.517</v>
      </c>
      <c r="CD26" s="6">
        <v>-47312.347000000002</v>
      </c>
      <c r="CE26" s="6">
        <v>-50550.644999999997</v>
      </c>
      <c r="CF26" s="6">
        <v>-50805.294000000002</v>
      </c>
      <c r="CG26" s="6">
        <v>-64823.692000000003</v>
      </c>
      <c r="CH26" s="6">
        <v>-60230.45</v>
      </c>
      <c r="CI26" s="6">
        <v>-57703.180999999997</v>
      </c>
      <c r="CJ26" s="6">
        <v>-57249.038999999997</v>
      </c>
      <c r="CK26" s="6">
        <v>-62748.826999999997</v>
      </c>
      <c r="CL26" s="6">
        <v>-52300.773000000001</v>
      </c>
      <c r="CM26" s="6">
        <v>-57423.273000000001</v>
      </c>
      <c r="CN26" s="6">
        <v>-57001.197999999997</v>
      </c>
      <c r="CO26" s="6">
        <v>-57168.853000000003</v>
      </c>
      <c r="CP26" s="6">
        <v>-54493.408000000003</v>
      </c>
      <c r="CQ26" s="6">
        <v>-61415.832999999999</v>
      </c>
      <c r="CR26" s="6">
        <v>-50374.156999999999</v>
      </c>
      <c r="CS26" s="6">
        <v>-50288.101999999999</v>
      </c>
      <c r="CT26" s="6">
        <v>-54139.987999999998</v>
      </c>
      <c r="CU26" s="6">
        <v>-41431.319000000003</v>
      </c>
      <c r="CV26" s="6">
        <v>-34996.502</v>
      </c>
      <c r="CW26" s="6">
        <v>-36862.802000000003</v>
      </c>
      <c r="CX26" s="6">
        <v>-35926.966</v>
      </c>
      <c r="CY26" s="6">
        <v>-40917.052000000003</v>
      </c>
      <c r="CZ26" s="6">
        <v>-43205.4</v>
      </c>
      <c r="DA26" s="6">
        <v>-43752.817000000003</v>
      </c>
      <c r="DB26" s="6">
        <v>-45162.072999999997</v>
      </c>
      <c r="DC26" s="6">
        <v>-48861.046000000002</v>
      </c>
      <c r="DD26" s="6">
        <v>-48036.995000000003</v>
      </c>
      <c r="DE26" s="6">
        <v>-47896.775000000001</v>
      </c>
      <c r="DF26" s="6">
        <v>-44360.887999999999</v>
      </c>
      <c r="DG26" s="6">
        <v>-29775.373</v>
      </c>
      <c r="DH26" s="6">
        <v>-32117.451000000001</v>
      </c>
      <c r="DI26" s="6">
        <v>-31966.453000000001</v>
      </c>
      <c r="DJ26" s="6">
        <v>-31678.984</v>
      </c>
      <c r="DK26" s="6">
        <v>-33785.012999999999</v>
      </c>
      <c r="DL26" s="6">
        <v>-27110.262999999999</v>
      </c>
      <c r="DM26" s="6">
        <v>-27441.182000000001</v>
      </c>
      <c r="DN26" s="6">
        <v>-27484.27</v>
      </c>
      <c r="DO26" s="6">
        <v>-33238.212</v>
      </c>
      <c r="DP26" s="6">
        <v>-30661.041000000001</v>
      </c>
      <c r="DQ26" s="6">
        <v>-36562.54</v>
      </c>
      <c r="DR26" s="6">
        <v>-40776.353000000003</v>
      </c>
      <c r="DS26" s="6">
        <v>-40761.095000000001</v>
      </c>
      <c r="DT26" s="6">
        <v>-41990.815999999999</v>
      </c>
      <c r="DU26" s="6">
        <v>-44987.809000000001</v>
      </c>
      <c r="DV26" s="6">
        <v>-45106.627999999997</v>
      </c>
      <c r="DW26" s="6">
        <v>-46467.256000000001</v>
      </c>
      <c r="DX26" s="6">
        <v>-55690.150999999998</v>
      </c>
      <c r="DY26" s="6">
        <v>-54882.957000000002</v>
      </c>
      <c r="DZ26" s="6">
        <v>-60845.802000000003</v>
      </c>
      <c r="EA26" s="6">
        <v>-56400.27</v>
      </c>
      <c r="EB26" s="6">
        <v>-51838.957000000002</v>
      </c>
      <c r="EC26" s="6">
        <v>-50109.364999999998</v>
      </c>
      <c r="ED26" s="6">
        <v>-48747.550999999999</v>
      </c>
      <c r="EE26" s="6">
        <v>-50465.065999999999</v>
      </c>
      <c r="EF26" s="6">
        <v>-46144.61</v>
      </c>
      <c r="EG26" s="6">
        <v>-49815.555999999997</v>
      </c>
      <c r="EH26" s="6">
        <v>-49677.493999999999</v>
      </c>
      <c r="EI26" s="6">
        <v>-51082.122000000003</v>
      </c>
      <c r="EJ26" s="6">
        <v>-48836.178999999996</v>
      </c>
      <c r="EK26" s="6">
        <v>-47725.222000000002</v>
      </c>
      <c r="EL26" s="6">
        <v>-47551.67</v>
      </c>
      <c r="EM26" s="6">
        <v>-42924.307999999997</v>
      </c>
      <c r="EN26" s="6">
        <v>-41964.724999999999</v>
      </c>
      <c r="EO26" s="6">
        <v>-38891.781999999999</v>
      </c>
      <c r="EP26" s="6">
        <v>-41144.281999999999</v>
      </c>
      <c r="EQ26" s="6">
        <v>-43506.735999999997</v>
      </c>
      <c r="ER26" s="6">
        <v>-43211.495999999999</v>
      </c>
      <c r="ES26" s="6">
        <v>-39865.815999999999</v>
      </c>
      <c r="ET26" s="6">
        <v>-35985.762999999999</v>
      </c>
      <c r="EU26" s="6">
        <v>-35692.093000000001</v>
      </c>
      <c r="EV26" s="6">
        <v>-31916.718000000001</v>
      </c>
      <c r="EW26" s="6">
        <v>-30084.185000000001</v>
      </c>
      <c r="EX26" s="6">
        <v>-28153.367999999999</v>
      </c>
      <c r="EY26" s="6">
        <v>-25584.575000000001</v>
      </c>
      <c r="EZ26" s="6">
        <v>-24705.055</v>
      </c>
      <c r="FA26" s="6">
        <v>-36205.455000000002</v>
      </c>
      <c r="FB26" s="6">
        <v>-35878.300000000003</v>
      </c>
      <c r="FC26" s="6">
        <v>-32292.573</v>
      </c>
      <c r="FD26" s="6">
        <v>-34075.267999999996</v>
      </c>
      <c r="FE26" s="6">
        <v>-35473.224999999999</v>
      </c>
      <c r="FF26" s="6">
        <v>-39706.966999999997</v>
      </c>
      <c r="FG26" s="6">
        <v>-40625.067999999999</v>
      </c>
      <c r="FH26" s="6">
        <v>-38101.519</v>
      </c>
      <c r="FI26" s="6">
        <v>-37963.249000000003</v>
      </c>
      <c r="FJ26" s="6">
        <v>-35997.838000000003</v>
      </c>
      <c r="FK26" s="6">
        <v>-51981.122000000003</v>
      </c>
      <c r="FL26" s="6">
        <v>-27966.707999999999</v>
      </c>
      <c r="FM26" s="6">
        <v>-28679.438999999998</v>
      </c>
      <c r="FN26" s="6">
        <v>-27777.175999999999</v>
      </c>
      <c r="FO26" s="6">
        <v>-26376.741999999998</v>
      </c>
      <c r="FP26" s="6">
        <v>-27970.366999999998</v>
      </c>
      <c r="FQ26" s="6">
        <v>-27206.377</v>
      </c>
      <c r="FR26" s="6">
        <v>-29253.032999999999</v>
      </c>
      <c r="FS26" s="6">
        <v>-32037.933000000001</v>
      </c>
      <c r="FT26">
        <v>-32854.317999999999</v>
      </c>
      <c r="FU26">
        <v>-32215.309000000001</v>
      </c>
      <c r="FV26">
        <v>-29029.221000000001</v>
      </c>
      <c r="FW26">
        <v>-31915.205000000002</v>
      </c>
      <c r="FX26">
        <v>-33597.387999999999</v>
      </c>
      <c r="FY26">
        <v>-31254.812000000002</v>
      </c>
    </row>
    <row r="27" spans="1:183" x14ac:dyDescent="0.25">
      <c r="A27" t="s">
        <v>456</v>
      </c>
      <c r="B27" t="s">
        <v>457</v>
      </c>
      <c r="C27" t="s">
        <v>458</v>
      </c>
      <c r="D27" t="s">
        <v>459</v>
      </c>
      <c r="E27" t="s">
        <v>443</v>
      </c>
      <c r="F27" t="s">
        <v>438</v>
      </c>
      <c r="G27" t="s">
        <v>146</v>
      </c>
      <c r="H27" s="6">
        <v>-3102.37</v>
      </c>
      <c r="I27" s="6">
        <v>-3096.0529999999999</v>
      </c>
      <c r="J27" s="6">
        <v>-3092.7579999999998</v>
      </c>
      <c r="K27" s="6">
        <v>-3094.6480000000001</v>
      </c>
      <c r="L27" s="6">
        <v>-3074.23</v>
      </c>
      <c r="M27" s="6">
        <v>-3253.11</v>
      </c>
      <c r="N27" s="6">
        <v>-3254.9229999999998</v>
      </c>
      <c r="O27" s="6">
        <v>-3243.585</v>
      </c>
      <c r="P27" s="6">
        <v>-3236.2869999999998</v>
      </c>
      <c r="Q27" s="6">
        <v>-3398.5949999999998</v>
      </c>
      <c r="R27" s="6">
        <v>-3379.1550000000002</v>
      </c>
      <c r="S27" s="6">
        <v>-3372.8510000000001</v>
      </c>
      <c r="T27" s="6">
        <v>-3370.2179999999998</v>
      </c>
      <c r="U27" s="6">
        <v>-3365.2739999999999</v>
      </c>
      <c r="V27" s="6">
        <v>-3289.8119999999999</v>
      </c>
      <c r="W27" s="6">
        <v>-3277.8440000000001</v>
      </c>
      <c r="X27" s="6">
        <v>-3264.7049999999999</v>
      </c>
      <c r="Y27" s="6">
        <v>-3677.0720000000001</v>
      </c>
      <c r="Z27" s="6">
        <v>-3675.3710000000001</v>
      </c>
      <c r="AA27" s="6">
        <v>-3669.1370000000002</v>
      </c>
      <c r="AB27" s="6">
        <v>-3583.779</v>
      </c>
      <c r="AC27" s="6">
        <v>-3813.3670000000002</v>
      </c>
      <c r="AD27" s="6">
        <v>-3809.7330000000002</v>
      </c>
      <c r="AE27" s="6">
        <v>-3795.8130000000001</v>
      </c>
      <c r="AF27" s="6">
        <v>-3794.6060000000002</v>
      </c>
      <c r="AG27" s="6">
        <v>-3791.058</v>
      </c>
      <c r="AH27" s="6">
        <v>-3816.3690000000001</v>
      </c>
      <c r="AI27" s="6">
        <v>-3798.297</v>
      </c>
      <c r="AJ27" s="6">
        <v>-3795.0680000000002</v>
      </c>
      <c r="AK27" s="6">
        <v>-3780.8760000000002</v>
      </c>
      <c r="AL27" s="6">
        <v>-3778.4180000000001</v>
      </c>
      <c r="AM27" s="6">
        <v>-3859.7620000000002</v>
      </c>
      <c r="AN27" s="6">
        <v>-3851.44</v>
      </c>
      <c r="AO27" s="6">
        <v>-3842.67</v>
      </c>
      <c r="AP27" s="6">
        <v>-3838.11</v>
      </c>
      <c r="AQ27" s="6">
        <v>-4673.2489999999998</v>
      </c>
      <c r="AR27" s="6">
        <v>-4670.4449999999997</v>
      </c>
      <c r="AS27" s="6">
        <v>-4663.97</v>
      </c>
      <c r="AT27" s="6">
        <v>-4658.83</v>
      </c>
      <c r="AU27" s="6">
        <v>-4433.54</v>
      </c>
      <c r="AV27" s="6">
        <v>-4387.6080000000002</v>
      </c>
      <c r="AW27" s="6">
        <v>-4371.7700000000004</v>
      </c>
      <c r="AX27" s="6">
        <v>-4369.9939999999997</v>
      </c>
      <c r="AY27" s="6">
        <v>-4362.567</v>
      </c>
      <c r="AZ27" s="6">
        <v>-4355.8339999999998</v>
      </c>
      <c r="BA27" s="6">
        <v>-4148.2820000000002</v>
      </c>
      <c r="BB27" s="6">
        <v>-4466.3459999999995</v>
      </c>
      <c r="BC27" s="6">
        <v>-5526.3580000000002</v>
      </c>
      <c r="BD27" s="6">
        <v>-5517.6360000000004</v>
      </c>
      <c r="BE27" s="6">
        <v>-5505.9610000000002</v>
      </c>
      <c r="BF27" s="6">
        <v>-5743.9380000000001</v>
      </c>
      <c r="BG27" s="6">
        <v>-6895.49</v>
      </c>
      <c r="BH27" s="6">
        <v>-6804.37</v>
      </c>
      <c r="BI27" s="6">
        <v>-6887.7340000000004</v>
      </c>
      <c r="BJ27" s="6">
        <v>-7558.9530000000004</v>
      </c>
      <c r="BK27" s="6">
        <v>-6959.9979999999996</v>
      </c>
      <c r="BL27" s="6">
        <v>-7164.5370000000003</v>
      </c>
      <c r="BM27" s="6">
        <v>-7039.3990000000003</v>
      </c>
      <c r="BN27" s="6">
        <v>-7037.8469999999998</v>
      </c>
      <c r="BO27" s="6">
        <v>-7067.6080000000002</v>
      </c>
      <c r="BP27" s="6">
        <v>-7655.7439999999997</v>
      </c>
      <c r="BQ27" s="6">
        <v>-7656.7579999999998</v>
      </c>
      <c r="BR27" s="6">
        <v>-7654.6989999999996</v>
      </c>
      <c r="BS27" s="6">
        <v>-7525.0810000000001</v>
      </c>
      <c r="BT27" s="6">
        <v>-7584.1719999999996</v>
      </c>
      <c r="BU27" s="6">
        <v>-7961.0309999999999</v>
      </c>
      <c r="BV27" s="6">
        <v>-8010.8710000000001</v>
      </c>
      <c r="BW27" s="6">
        <v>-8490.3770000000004</v>
      </c>
      <c r="BX27" s="6">
        <v>-8872.2810000000009</v>
      </c>
      <c r="BY27" s="6">
        <v>-9201.0149999999994</v>
      </c>
      <c r="BZ27" s="6">
        <v>-9311.027</v>
      </c>
      <c r="CA27" s="6">
        <v>-9419.6839999999993</v>
      </c>
      <c r="CB27" s="6">
        <v>-10092.661</v>
      </c>
      <c r="CC27" s="6">
        <v>-10108.444</v>
      </c>
      <c r="CD27" s="6">
        <v>-10088.691999999999</v>
      </c>
      <c r="CE27" s="6">
        <v>-10506.148999999999</v>
      </c>
      <c r="CF27" s="6">
        <v>-8878.9079999999994</v>
      </c>
      <c r="CG27" s="6">
        <v>-9466.5069999999996</v>
      </c>
      <c r="CH27" s="6">
        <v>-9308.6270000000004</v>
      </c>
      <c r="CI27" s="6">
        <v>-9505.3739999999998</v>
      </c>
      <c r="CJ27" s="6">
        <v>-9534.5519999999997</v>
      </c>
      <c r="CK27" s="6">
        <v>-9514.7199999999993</v>
      </c>
      <c r="CL27" s="6">
        <v>-10610.971</v>
      </c>
      <c r="CM27" s="6">
        <v>-10749.708000000001</v>
      </c>
      <c r="CN27" s="6">
        <v>-10140.76</v>
      </c>
      <c r="CO27" s="6">
        <v>-10310.763999999999</v>
      </c>
      <c r="CP27" s="6">
        <v>-10796.72</v>
      </c>
      <c r="CQ27" s="6">
        <v>-10765.282999999999</v>
      </c>
      <c r="CR27" s="6">
        <v>-10137.174000000001</v>
      </c>
      <c r="CS27" s="6">
        <v>-10997.441000000001</v>
      </c>
      <c r="CT27" s="6">
        <v>-10886.981</v>
      </c>
      <c r="CU27" s="6">
        <v>-10712.236000000001</v>
      </c>
      <c r="CV27" s="6">
        <v>-10682.928</v>
      </c>
      <c r="CW27" s="6">
        <v>-11770.848</v>
      </c>
      <c r="CX27" s="6">
        <v>-12114.537</v>
      </c>
      <c r="CY27" s="6">
        <v>-11947.328</v>
      </c>
      <c r="CZ27" s="6">
        <v>-10334.543</v>
      </c>
      <c r="DA27" s="6">
        <v>-10158.31</v>
      </c>
      <c r="DB27" s="6">
        <v>-10174.116</v>
      </c>
      <c r="DC27" s="6">
        <v>-10319.24</v>
      </c>
      <c r="DD27" s="6">
        <v>-10502.464</v>
      </c>
      <c r="DE27" s="6">
        <v>-11964.826999999999</v>
      </c>
      <c r="DF27" s="6">
        <v>-12313.629000000001</v>
      </c>
      <c r="DG27" s="6">
        <v>-2672.4690000000001</v>
      </c>
      <c r="DH27" s="6">
        <v>-2608.4609999999998</v>
      </c>
      <c r="DI27" s="6">
        <v>-2559.1260000000002</v>
      </c>
      <c r="DJ27" s="6">
        <v>-2662.2930000000001</v>
      </c>
      <c r="DK27" s="6">
        <v>-2688.0390000000002</v>
      </c>
      <c r="DL27" s="6">
        <v>-3179.009</v>
      </c>
      <c r="DM27" s="6">
        <v>-3206.3679999999999</v>
      </c>
      <c r="DN27" s="6">
        <v>-3116.337</v>
      </c>
      <c r="DO27" s="6">
        <v>-3153.2330000000002</v>
      </c>
      <c r="DP27" s="6">
        <v>-2956.0169999999998</v>
      </c>
      <c r="DQ27" s="6">
        <v>-2925.7530000000002</v>
      </c>
      <c r="DR27" s="6">
        <v>-3814.9229999999998</v>
      </c>
      <c r="DS27" s="6">
        <v>-3740.1190000000001</v>
      </c>
      <c r="DT27" s="6">
        <v>-3713.6959999999999</v>
      </c>
      <c r="DU27" s="6">
        <v>-3728.6379999999999</v>
      </c>
      <c r="DV27" s="6">
        <v>-3570.4609999999998</v>
      </c>
      <c r="DW27" s="6">
        <v>-3564.5659999999998</v>
      </c>
      <c r="DX27" s="6">
        <v>-3919.355</v>
      </c>
      <c r="DY27" s="6">
        <v>-3747.5680000000002</v>
      </c>
      <c r="DZ27" s="6">
        <v>-3787.3589999999999</v>
      </c>
      <c r="EA27" s="6">
        <v>-4458.9089999999997</v>
      </c>
      <c r="EB27" s="6">
        <v>-4379.6239999999998</v>
      </c>
      <c r="EC27" s="6">
        <v>-4305.4040000000005</v>
      </c>
      <c r="ED27" s="6">
        <v>-5463.5320000000002</v>
      </c>
      <c r="EE27" s="6">
        <v>-5339.2240000000002</v>
      </c>
      <c r="EF27" s="6">
        <v>-5631.5150000000003</v>
      </c>
      <c r="EG27" s="6">
        <v>-5260.4570000000003</v>
      </c>
      <c r="EH27" s="6">
        <v>-5166.7879999999996</v>
      </c>
      <c r="EI27" s="6">
        <v>-5904.8429999999998</v>
      </c>
      <c r="EJ27" s="6">
        <v>-6982.5870000000004</v>
      </c>
      <c r="EK27" s="6">
        <v>-6682.3109999999997</v>
      </c>
      <c r="EL27" s="6">
        <v>-7303.4679999999998</v>
      </c>
      <c r="EM27" s="6">
        <v>-7968.2830000000004</v>
      </c>
      <c r="EN27" s="6">
        <v>-7733.32</v>
      </c>
      <c r="EO27" s="6">
        <v>-7797.3280000000004</v>
      </c>
      <c r="EP27" s="6">
        <v>-8431.5300000000007</v>
      </c>
      <c r="EQ27" s="6">
        <v>-8449.4889999999996</v>
      </c>
      <c r="ER27" s="6">
        <v>-8600.3690000000006</v>
      </c>
      <c r="ES27" s="6">
        <v>-8588.4</v>
      </c>
      <c r="ET27" s="6">
        <v>-8567.4459999999999</v>
      </c>
      <c r="EU27" s="6">
        <v>-8584.3719999999994</v>
      </c>
      <c r="EV27" s="6">
        <v>-8979.6239999999998</v>
      </c>
      <c r="EW27" s="6">
        <v>-8618.884</v>
      </c>
      <c r="EX27" s="6">
        <v>-8772.6839999999993</v>
      </c>
      <c r="EY27" s="6">
        <v>-8882.7690000000002</v>
      </c>
      <c r="EZ27" s="6">
        <v>-8869.2860000000001</v>
      </c>
      <c r="FA27" s="6">
        <v>-8952.4130000000005</v>
      </c>
      <c r="FB27" s="6">
        <v>-9126.4359999999997</v>
      </c>
      <c r="FC27" s="6">
        <v>-9195.3770000000004</v>
      </c>
      <c r="FD27" s="6">
        <v>-9073.3520000000008</v>
      </c>
      <c r="FE27" s="6">
        <v>-8948.2659999999996</v>
      </c>
      <c r="FF27" s="6">
        <v>-8803.8349999999991</v>
      </c>
      <c r="FG27" s="6">
        <v>-8278.4580000000005</v>
      </c>
      <c r="FH27" s="6">
        <v>-8330.9249999999993</v>
      </c>
      <c r="FI27" s="6">
        <v>-8285.1790000000001</v>
      </c>
      <c r="FJ27" s="6">
        <v>-8297.5609999999997</v>
      </c>
      <c r="FK27" s="6">
        <v>-8931.1740000000009</v>
      </c>
      <c r="FL27" s="6">
        <v>-8814.3919999999998</v>
      </c>
      <c r="FM27" s="6">
        <v>-8935.3279999999995</v>
      </c>
      <c r="FN27" s="6">
        <v>-8847.75</v>
      </c>
      <c r="FO27" s="6">
        <v>-8641.3979999999992</v>
      </c>
      <c r="FP27" s="6">
        <v>-8618.5220000000008</v>
      </c>
      <c r="FQ27" s="6">
        <v>-8736.1929999999993</v>
      </c>
      <c r="FR27" s="6">
        <v>-8688.8670000000002</v>
      </c>
      <c r="FS27" s="6">
        <v>-9091.8330000000005</v>
      </c>
      <c r="FT27">
        <v>-8994.18</v>
      </c>
      <c r="FU27">
        <v>-8972.9089999999997</v>
      </c>
      <c r="FV27">
        <v>-9474.6689999999999</v>
      </c>
      <c r="FW27">
        <v>-9578.92</v>
      </c>
      <c r="FX27">
        <v>-9374.5460000000003</v>
      </c>
      <c r="FY27">
        <v>-9630.1759999999995</v>
      </c>
    </row>
    <row r="28" spans="1:183" x14ac:dyDescent="0.25">
      <c r="A28" t="s">
        <v>460</v>
      </c>
      <c r="B28" s="13" t="s">
        <v>461</v>
      </c>
      <c r="C28" t="s">
        <v>462</v>
      </c>
      <c r="D28" t="s">
        <v>463</v>
      </c>
      <c r="E28" t="s">
        <v>443</v>
      </c>
      <c r="F28" t="s">
        <v>438</v>
      </c>
      <c r="G28" t="s">
        <v>146</v>
      </c>
      <c r="H28" s="6">
        <v>-946.60299999999995</v>
      </c>
      <c r="I28" s="6">
        <v>-966.99</v>
      </c>
      <c r="J28" s="6">
        <v>-881.43100000000004</v>
      </c>
      <c r="K28" s="6">
        <v>-860.15200000000004</v>
      </c>
      <c r="L28" s="6">
        <v>-911.31</v>
      </c>
      <c r="M28" s="6">
        <v>-946.47199999999998</v>
      </c>
      <c r="N28" s="6">
        <v>-957.15700000000004</v>
      </c>
      <c r="O28" s="6">
        <v>-951.10199999999998</v>
      </c>
      <c r="P28" s="6">
        <v>-755.91</v>
      </c>
      <c r="Q28" s="6">
        <v>-931.53499999999997</v>
      </c>
      <c r="R28" s="6">
        <v>-915.779</v>
      </c>
      <c r="S28" s="6">
        <v>-931.85699999999997</v>
      </c>
      <c r="T28" s="6">
        <v>-789.19200000000001</v>
      </c>
      <c r="U28" s="6">
        <v>-1044.201</v>
      </c>
      <c r="V28" s="6">
        <v>-860.12800000000004</v>
      </c>
      <c r="W28" s="6">
        <v>-1012.607</v>
      </c>
      <c r="X28" s="6">
        <v>-1037.4839999999999</v>
      </c>
      <c r="Y28" s="6">
        <v>-960.81799999999998</v>
      </c>
      <c r="Z28" s="6">
        <v>-983.05399999999997</v>
      </c>
      <c r="AA28" s="6">
        <v>-997.76800000000003</v>
      </c>
      <c r="AB28" s="6">
        <v>-1001.026</v>
      </c>
      <c r="AC28" s="6">
        <v>-997.55</v>
      </c>
      <c r="AD28" s="6">
        <v>-946.98500000000001</v>
      </c>
      <c r="AE28" s="6">
        <v>-1046.0640000000001</v>
      </c>
      <c r="AF28" s="6">
        <v>-977.45399999999995</v>
      </c>
      <c r="AG28" s="6">
        <v>-1016.703</v>
      </c>
      <c r="AH28" s="6">
        <v>-1015.023</v>
      </c>
      <c r="AI28" s="6">
        <v>-995.93600000000004</v>
      </c>
      <c r="AJ28" s="6">
        <v>-1010.849</v>
      </c>
      <c r="AK28" s="6">
        <v>-1066.2719999999999</v>
      </c>
      <c r="AL28" s="6">
        <v>-1074.087</v>
      </c>
      <c r="AM28" s="6">
        <v>-947.58500000000004</v>
      </c>
      <c r="AN28" s="6">
        <v>-966.4</v>
      </c>
      <c r="AO28" s="6">
        <v>-1806.8</v>
      </c>
      <c r="AP28" s="6">
        <v>-2534.77</v>
      </c>
      <c r="AQ28" s="6">
        <v>-3539.6210000000001</v>
      </c>
      <c r="AR28" s="6">
        <v>-4384.6859999999997</v>
      </c>
      <c r="AS28" s="6">
        <v>-4605.12</v>
      </c>
      <c r="AT28" s="6">
        <v>-6323.88</v>
      </c>
      <c r="AU28" s="6">
        <v>-7387.5870000000004</v>
      </c>
      <c r="AV28" s="6">
        <v>-8032.65</v>
      </c>
      <c r="AW28" s="6">
        <v>-9029.152</v>
      </c>
      <c r="AX28" s="6">
        <v>-9051.3989999999994</v>
      </c>
      <c r="AY28" s="6">
        <v>-11073.554</v>
      </c>
      <c r="AZ28" s="6">
        <v>-12119.123</v>
      </c>
      <c r="BA28" s="6">
        <v>-12167.887000000001</v>
      </c>
      <c r="BB28" s="6">
        <v>-12024.418</v>
      </c>
      <c r="BC28" s="6">
        <v>-11855.968000000001</v>
      </c>
      <c r="BD28" s="6">
        <v>-16647.13</v>
      </c>
      <c r="BE28" s="6">
        <v>-16749.713</v>
      </c>
      <c r="BF28" s="6">
        <v>-16923.009999999998</v>
      </c>
      <c r="BG28" s="6">
        <v>-16793.02</v>
      </c>
      <c r="BH28" s="6">
        <v>-16627.52</v>
      </c>
      <c r="BI28" s="6">
        <v>-16627.708999999999</v>
      </c>
      <c r="BJ28" s="6">
        <v>-12587.683000000001</v>
      </c>
      <c r="BK28" s="6">
        <v>-12515.293</v>
      </c>
      <c r="BL28" s="6">
        <v>-12609.707</v>
      </c>
      <c r="BM28" s="6">
        <v>-12448.271000000001</v>
      </c>
      <c r="BN28" s="6">
        <v>-12381.31</v>
      </c>
      <c r="BO28" s="6">
        <v>-11356.553</v>
      </c>
      <c r="BP28" s="6">
        <v>-11446.907999999999</v>
      </c>
      <c r="BQ28" s="6">
        <v>-11468.630999999999</v>
      </c>
      <c r="BR28" s="6">
        <v>-11449.512000000001</v>
      </c>
      <c r="BS28" s="6">
        <v>-11431.428</v>
      </c>
      <c r="BT28" s="6">
        <v>-11542.815000000001</v>
      </c>
      <c r="BU28" s="6">
        <v>-11598.343000000001</v>
      </c>
      <c r="BV28" s="6">
        <v>-11685.476000000001</v>
      </c>
      <c r="BW28" s="6">
        <v>-11888.378000000001</v>
      </c>
      <c r="BX28" s="6">
        <v>-11824.723</v>
      </c>
      <c r="BY28" s="6">
        <v>-11825.583000000001</v>
      </c>
      <c r="BZ28" s="6">
        <v>-11865.606</v>
      </c>
      <c r="CA28" s="6">
        <v>-12032.361000000001</v>
      </c>
      <c r="CB28" s="6">
        <v>-12402.424000000001</v>
      </c>
      <c r="CC28" s="6">
        <v>-12170.543</v>
      </c>
      <c r="CD28" s="6">
        <v>-12228.329</v>
      </c>
      <c r="CE28" s="6">
        <v>-12167.77</v>
      </c>
      <c r="CF28" s="6">
        <v>-12007.273999999999</v>
      </c>
      <c r="CG28" s="6">
        <v>-11661.584999999999</v>
      </c>
      <c r="CH28" s="6">
        <v>-11352.554</v>
      </c>
      <c r="CI28" s="6">
        <v>-11325.163</v>
      </c>
      <c r="CJ28" s="6">
        <v>-11268.816000000001</v>
      </c>
      <c r="CK28" s="6">
        <v>-11111.709000000001</v>
      </c>
      <c r="CL28" s="6">
        <v>-11161.65</v>
      </c>
      <c r="CM28" s="6">
        <v>-19978.878000000001</v>
      </c>
      <c r="CN28" s="6">
        <v>-20481.652999999998</v>
      </c>
      <c r="CO28" s="6">
        <v>-20499.167000000001</v>
      </c>
      <c r="CP28" s="6">
        <v>-20446.78</v>
      </c>
      <c r="CQ28" s="6">
        <v>-20381.349999999999</v>
      </c>
      <c r="CR28" s="6">
        <v>-19909.363000000001</v>
      </c>
      <c r="CS28" s="6">
        <v>-20017.776000000002</v>
      </c>
      <c r="CT28" s="6">
        <v>-19971.689999999999</v>
      </c>
      <c r="CU28" s="6">
        <v>-19256.612000000001</v>
      </c>
      <c r="CV28" s="6">
        <v>-19279.75</v>
      </c>
      <c r="CW28" s="6">
        <v>-19566.439999999999</v>
      </c>
      <c r="CX28" s="6">
        <v>-19590.718000000001</v>
      </c>
      <c r="CY28" s="6">
        <v>-19831.921999999999</v>
      </c>
      <c r="CZ28" s="6">
        <v>-20030.636999999999</v>
      </c>
      <c r="DA28" s="6">
        <v>-20093.460999999999</v>
      </c>
      <c r="DB28" s="6">
        <v>-19914.538</v>
      </c>
      <c r="DC28" s="6">
        <v>-19745.506000000001</v>
      </c>
      <c r="DD28" s="6">
        <v>-19828.904999999999</v>
      </c>
      <c r="DE28" s="6">
        <v>-20057.482</v>
      </c>
      <c r="DF28" s="6">
        <v>-20295.344000000001</v>
      </c>
      <c r="DG28" s="6">
        <v>-20741.072</v>
      </c>
      <c r="DH28" s="6">
        <v>-20902.346000000001</v>
      </c>
      <c r="DI28" s="6">
        <v>-21187.188999999998</v>
      </c>
      <c r="DJ28" s="6">
        <v>-21519.96</v>
      </c>
      <c r="DK28" s="6">
        <v>-21676.752</v>
      </c>
      <c r="DL28" s="6">
        <v>-21983.675999999999</v>
      </c>
      <c r="DM28" s="6">
        <v>-21842.288</v>
      </c>
      <c r="DN28" s="6">
        <v>-21599.796999999999</v>
      </c>
      <c r="DO28" s="6">
        <v>-21838.749</v>
      </c>
      <c r="DP28" s="6">
        <v>-22168.657999999999</v>
      </c>
      <c r="DQ28" s="6">
        <v>-21894.092000000001</v>
      </c>
      <c r="DR28" s="6">
        <v>-21880.973999999998</v>
      </c>
      <c r="DS28" s="6">
        <v>-21883.883000000002</v>
      </c>
      <c r="DT28" s="6">
        <v>-21934.264999999999</v>
      </c>
      <c r="DU28" s="6">
        <v>-22056.955999999998</v>
      </c>
      <c r="DV28" s="6">
        <v>-22187.703000000001</v>
      </c>
      <c r="DW28" s="6">
        <v>-22214.169000000002</v>
      </c>
      <c r="DX28" s="6">
        <v>-22197.311000000002</v>
      </c>
      <c r="DY28" s="6">
        <v>-22337.167000000001</v>
      </c>
      <c r="DZ28" s="6">
        <v>-22263.093000000001</v>
      </c>
      <c r="EA28" s="6">
        <v>-21429.756000000001</v>
      </c>
      <c r="EB28" s="6">
        <v>-21244.647000000001</v>
      </c>
      <c r="EC28" s="6">
        <v>-21162.987000000001</v>
      </c>
      <c r="ED28" s="6">
        <v>-21036.291000000001</v>
      </c>
      <c r="EE28" s="6">
        <v>-20630.434000000001</v>
      </c>
      <c r="EF28" s="6">
        <v>-20035.154999999999</v>
      </c>
      <c r="EG28" s="6">
        <v>-19562.865000000002</v>
      </c>
      <c r="EH28" s="6">
        <v>-20098.579000000002</v>
      </c>
      <c r="EI28" s="6">
        <v>-1776.5139999999999</v>
      </c>
      <c r="EJ28" s="6">
        <v>-1782.0540000000001</v>
      </c>
      <c r="EK28" s="6">
        <v>-1788.8030000000001</v>
      </c>
      <c r="EL28" s="6">
        <v>-1797.8130000000001</v>
      </c>
      <c r="EM28" s="6">
        <v>-1803.8510000000001</v>
      </c>
      <c r="EN28" s="6">
        <v>-1808.3389999999999</v>
      </c>
      <c r="EO28" s="6">
        <v>-1814.798</v>
      </c>
      <c r="EP28" s="6">
        <v>-1824.231</v>
      </c>
      <c r="EQ28" s="6">
        <v>-1832.2719999999999</v>
      </c>
      <c r="ER28" s="6">
        <v>-1840.0029999999999</v>
      </c>
      <c r="ES28" s="6">
        <v>-1848.37</v>
      </c>
      <c r="ET28" s="6">
        <v>-1858.53</v>
      </c>
      <c r="EU28" s="6">
        <v>-1869.095</v>
      </c>
      <c r="EV28" s="6">
        <v>-1876.566</v>
      </c>
      <c r="EW28" s="6">
        <v>-1885.9639999999999</v>
      </c>
      <c r="EX28" s="6">
        <v>-1893.249</v>
      </c>
      <c r="EY28" s="6">
        <v>-1900.7329999999999</v>
      </c>
      <c r="EZ28" s="6">
        <v>-1909.8019999999999</v>
      </c>
      <c r="FA28" s="6">
        <v>-1917.633</v>
      </c>
      <c r="FB28" s="6">
        <v>-1932.144</v>
      </c>
      <c r="FC28" s="6">
        <v>-1943.0260000000001</v>
      </c>
      <c r="FD28" s="6">
        <v>-1953.3320000000001</v>
      </c>
      <c r="FE28" s="6">
        <v>-1958.3109999999999</v>
      </c>
      <c r="FF28" s="6">
        <v>-1965.345</v>
      </c>
      <c r="FG28" s="6">
        <v>-1973.674</v>
      </c>
      <c r="FH28" s="6">
        <v>-2072.886</v>
      </c>
      <c r="FI28" s="6">
        <v>-2079.817</v>
      </c>
      <c r="FJ28" s="6">
        <v>-2093.931</v>
      </c>
      <c r="FK28" s="6">
        <v>-2101.174</v>
      </c>
      <c r="FL28" s="6">
        <v>-2105.8820000000001</v>
      </c>
      <c r="FM28" s="6">
        <v>-2267.2979999999998</v>
      </c>
      <c r="FN28" s="6">
        <v>-2278.0419999999999</v>
      </c>
      <c r="FO28" s="6">
        <v>-2286.6550000000002</v>
      </c>
      <c r="FP28" s="6">
        <v>-2290.0360000000001</v>
      </c>
      <c r="FQ28" s="6">
        <v>-3293.8310000000001</v>
      </c>
      <c r="FR28" s="6">
        <v>-3287.7</v>
      </c>
      <c r="FS28" s="6">
        <v>-3290.4290000000001</v>
      </c>
      <c r="FT28">
        <v>-7503.4629999999997</v>
      </c>
      <c r="FU28">
        <v>-7497.8270000000002</v>
      </c>
      <c r="FV28">
        <v>-7495.4679999999998</v>
      </c>
      <c r="FW28">
        <v>-8400.8449999999993</v>
      </c>
      <c r="FX28">
        <v>-8384.8379999999997</v>
      </c>
      <c r="FY28">
        <v>-8389.7279999999992</v>
      </c>
    </row>
    <row r="29" spans="1:183" x14ac:dyDescent="0.25">
      <c r="A29" t="s">
        <v>464</v>
      </c>
      <c r="B29" s="13" t="s">
        <v>465</v>
      </c>
      <c r="C29" t="s">
        <v>466</v>
      </c>
      <c r="D29" t="s">
        <v>467</v>
      </c>
      <c r="E29" t="s">
        <v>443</v>
      </c>
      <c r="F29" t="s">
        <v>438</v>
      </c>
      <c r="G29" t="s">
        <v>146</v>
      </c>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v>-18848</v>
      </c>
      <c r="EJ29" s="5">
        <v>-19254</v>
      </c>
      <c r="EK29" s="5">
        <v>-18760</v>
      </c>
      <c r="EL29" s="5">
        <v>-18946</v>
      </c>
      <c r="EM29" s="5">
        <v>-18854</v>
      </c>
      <c r="EN29" s="5">
        <v>-18353</v>
      </c>
      <c r="EO29" s="5">
        <v>-18001</v>
      </c>
      <c r="EP29" s="5">
        <v>-18213</v>
      </c>
      <c r="EQ29" s="5">
        <v>-17944</v>
      </c>
      <c r="ER29" s="5">
        <v>-17869</v>
      </c>
      <c r="ES29" s="5">
        <v>-17846</v>
      </c>
      <c r="ET29" s="5">
        <v>-18321</v>
      </c>
      <c r="EU29" s="5">
        <v>-18432</v>
      </c>
      <c r="EV29" s="5">
        <v>-18280</v>
      </c>
      <c r="EW29" s="5">
        <v>-18251</v>
      </c>
      <c r="EX29" s="5">
        <v>-18176</v>
      </c>
      <c r="EY29" s="5">
        <v>-18162</v>
      </c>
      <c r="EZ29" s="5">
        <v>-18183</v>
      </c>
      <c r="FA29" s="5">
        <v>-17993</v>
      </c>
      <c r="FB29" s="5">
        <v>-18013</v>
      </c>
      <c r="FC29" s="5">
        <v>-18358</v>
      </c>
      <c r="FD29" s="5">
        <v>-18562</v>
      </c>
      <c r="FE29" s="5">
        <v>-18340</v>
      </c>
      <c r="FF29" s="5">
        <v>-18011</v>
      </c>
      <c r="FG29" s="5">
        <v>-17869</v>
      </c>
      <c r="FH29" s="5">
        <v>-18002</v>
      </c>
      <c r="FI29" s="5">
        <v>-17924</v>
      </c>
      <c r="FJ29" s="5">
        <v>-17968</v>
      </c>
      <c r="FK29" s="5">
        <v>-17931</v>
      </c>
      <c r="FL29" s="5">
        <v>-18108</v>
      </c>
      <c r="FM29" s="5">
        <v>-18172</v>
      </c>
      <c r="FN29" s="5">
        <v>-18088</v>
      </c>
      <c r="FO29" s="5">
        <v>-18263</v>
      </c>
      <c r="FP29" s="5">
        <v>-18285</v>
      </c>
      <c r="FQ29" s="5">
        <v>-20795</v>
      </c>
      <c r="FR29" s="5">
        <v>-20908</v>
      </c>
      <c r="FS29" s="5">
        <v>-18624</v>
      </c>
      <c r="FT29" s="5">
        <v>-18706</v>
      </c>
      <c r="FU29" s="5">
        <v>-18954</v>
      </c>
      <c r="FV29" s="5">
        <v>-18868</v>
      </c>
      <c r="FW29" s="5">
        <v>-19042</v>
      </c>
      <c r="FX29" s="5">
        <v>-19216</v>
      </c>
      <c r="FY29" s="5">
        <v>-19153</v>
      </c>
    </row>
    <row r="30" spans="1:183" x14ac:dyDescent="0.25">
      <c r="A30" t="s">
        <v>468</v>
      </c>
      <c r="B30" t="s">
        <v>469</v>
      </c>
      <c r="C30" t="s">
        <v>470</v>
      </c>
      <c r="D30" t="s">
        <v>471</v>
      </c>
      <c r="E30" t="s">
        <v>12</v>
      </c>
      <c r="F30" t="s">
        <v>438</v>
      </c>
      <c r="G30" t="s">
        <v>472</v>
      </c>
      <c r="H30" s="2">
        <v>6740.3984248320585</v>
      </c>
      <c r="I30" s="2">
        <v>6654.5120551090695</v>
      </c>
      <c r="J30" s="2">
        <v>7038.701537049782</v>
      </c>
      <c r="K30" s="2">
        <v>6960.8369342733677</v>
      </c>
      <c r="L30" s="2">
        <v>6119.5911031228943</v>
      </c>
      <c r="M30" s="2">
        <v>5235.116022099447</v>
      </c>
      <c r="N30" s="2">
        <v>5821.9890710382506</v>
      </c>
      <c r="O30" s="2">
        <v>6356.9294066695529</v>
      </c>
      <c r="P30" s="2">
        <v>6678.640153944837</v>
      </c>
      <c r="Q30" s="2">
        <v>7747.5979772439941</v>
      </c>
      <c r="R30" s="2">
        <v>8073.5884177869702</v>
      </c>
      <c r="S30" s="2">
        <v>8499.8979175173554</v>
      </c>
      <c r="T30" s="2">
        <v>8102.1550855991936</v>
      </c>
      <c r="U30" s="2">
        <v>7700.0397930760055</v>
      </c>
      <c r="V30" s="2">
        <v>7599.2355938847513</v>
      </c>
      <c r="W30" s="2">
        <v>7987.3429951690823</v>
      </c>
      <c r="X30" s="2">
        <v>7977.431610942248</v>
      </c>
      <c r="Y30" s="2">
        <v>7962.5302325581397</v>
      </c>
      <c r="Z30" s="2">
        <v>8331.4311759343655</v>
      </c>
      <c r="AA30" s="2">
        <v>8405.4847841472056</v>
      </c>
      <c r="AB30" s="2">
        <v>8981.6450216450212</v>
      </c>
      <c r="AC30" s="2">
        <v>9297.9803122878475</v>
      </c>
      <c r="AD30" s="2">
        <v>9414.131677830419</v>
      </c>
      <c r="AE30" s="2">
        <v>10972.711890478387</v>
      </c>
      <c r="AF30" s="2">
        <v>11252.078580481622</v>
      </c>
      <c r="AG30" s="2">
        <v>8967.1523517382411</v>
      </c>
      <c r="AH30" s="2">
        <v>8347.5603621730388</v>
      </c>
      <c r="AI30" s="2">
        <v>7320.8249496981889</v>
      </c>
      <c r="AJ30" s="2">
        <v>7401.5317559153182</v>
      </c>
      <c r="AK30" s="2">
        <v>7790.399604107386</v>
      </c>
      <c r="AL30" s="2">
        <v>7461.897184822521</v>
      </c>
      <c r="AM30" s="2">
        <v>7534.9179738953408</v>
      </c>
      <c r="AN30" s="2">
        <v>7401.6467780429593</v>
      </c>
      <c r="AO30" s="2">
        <v>7799.3250444049736</v>
      </c>
      <c r="AP30" s="2">
        <v>7898.1485849056608</v>
      </c>
      <c r="AQ30" s="2">
        <v>8495.5816686251455</v>
      </c>
      <c r="AR30" s="2">
        <v>8617.7079697498539</v>
      </c>
      <c r="AS30" s="2">
        <v>9385.4493087557603</v>
      </c>
      <c r="AT30" s="2">
        <v>8463.9566704675035</v>
      </c>
      <c r="AU30" s="2">
        <v>8032.7990970654637</v>
      </c>
      <c r="AV30" s="2">
        <v>7748.1609837898268</v>
      </c>
      <c r="AW30" s="2">
        <v>7723.8053097345137</v>
      </c>
      <c r="AX30" s="2">
        <v>8271.2192454893393</v>
      </c>
      <c r="AY30" s="2">
        <v>7884.8864864864863</v>
      </c>
      <c r="AZ30" s="2">
        <v>8030.4213333333328</v>
      </c>
      <c r="BA30" s="2">
        <v>9340.1472908995256</v>
      </c>
      <c r="BB30" s="2">
        <v>9605.0285121824782</v>
      </c>
      <c r="BC30" s="2">
        <v>11081.854961832061</v>
      </c>
      <c r="BD30" s="2">
        <v>9488.44702467344</v>
      </c>
      <c r="BE30" s="2">
        <v>7285.7707006369437</v>
      </c>
      <c r="BF30" s="2">
        <v>9003.767123287671</v>
      </c>
      <c r="BG30" s="2">
        <v>8666.3146853146845</v>
      </c>
      <c r="BH30" s="2">
        <v>11041.792857142858</v>
      </c>
      <c r="BI30" s="2">
        <v>11213.480000000001</v>
      </c>
      <c r="BJ30" s="2">
        <v>11695.826666666666</v>
      </c>
      <c r="BK30" s="2">
        <v>10395.093959731543</v>
      </c>
      <c r="BL30" s="2">
        <v>10034.97385620915</v>
      </c>
      <c r="BM30" s="2">
        <v>17250.125000000004</v>
      </c>
      <c r="BN30" s="2">
        <v>13780.238993710691</v>
      </c>
      <c r="BO30" s="2">
        <v>15650.591194968552</v>
      </c>
      <c r="BP30" s="2">
        <v>21985.465408805034</v>
      </c>
      <c r="BQ30" s="2">
        <v>22287.258064516129</v>
      </c>
      <c r="BR30" s="2">
        <v>24245.785714285714</v>
      </c>
      <c r="BS30" s="2">
        <v>18781</v>
      </c>
      <c r="BT30" s="2">
        <v>15601.465838509315</v>
      </c>
      <c r="BU30" s="2">
        <v>13056.018072289155</v>
      </c>
      <c r="BV30" s="2">
        <v>15268.906515580738</v>
      </c>
      <c r="BW30" s="2">
        <v>16070.890173410406</v>
      </c>
      <c r="BX30" s="2">
        <v>14471.7225433526</v>
      </c>
      <c r="BY30" s="2">
        <v>12755.133144475922</v>
      </c>
      <c r="BZ30" s="2">
        <v>14343.913294797689</v>
      </c>
      <c r="CA30" s="2">
        <v>13026.311827956988</v>
      </c>
      <c r="CB30" s="2">
        <v>16222.448979591836</v>
      </c>
      <c r="CC30" s="2">
        <v>12130.283582089553</v>
      </c>
      <c r="CD30" s="2">
        <v>12443.6213592233</v>
      </c>
      <c r="CE30" s="2">
        <v>12608.408759124086</v>
      </c>
      <c r="CF30" s="2">
        <v>11362.994781212365</v>
      </c>
      <c r="CG30" s="2">
        <v>13911.399305555555</v>
      </c>
      <c r="CH30" s="2">
        <v>13780.673216885009</v>
      </c>
      <c r="CI30" s="2">
        <v>13825.986376021798</v>
      </c>
      <c r="CJ30" s="2">
        <v>13027.803159173754</v>
      </c>
      <c r="CK30" s="2">
        <v>13109.983263598326</v>
      </c>
      <c r="CL30" s="2">
        <v>13355.757575757576</v>
      </c>
      <c r="CM30" s="2">
        <v>14291.031914893618</v>
      </c>
      <c r="CN30" s="2">
        <v>14008.104697986579</v>
      </c>
      <c r="CO30" s="2">
        <v>13715.469910371319</v>
      </c>
      <c r="CP30" s="2">
        <v>15487.879768786128</v>
      </c>
      <c r="CQ30" s="2">
        <v>16017.048808172533</v>
      </c>
      <c r="CR30" s="2">
        <v>16679.558889386477</v>
      </c>
      <c r="CS30" s="2">
        <v>15694.053352219074</v>
      </c>
      <c r="CT30" s="2">
        <v>15996.868433074464</v>
      </c>
      <c r="CU30" s="2">
        <v>11121.99124726477</v>
      </c>
      <c r="CV30" s="2">
        <v>8784.1589841711593</v>
      </c>
      <c r="CW30" s="2">
        <v>8030.543897935202</v>
      </c>
      <c r="CX30" s="2">
        <v>8171.8315508021387</v>
      </c>
      <c r="CY30" s="2">
        <v>8961.0152199364438</v>
      </c>
      <c r="CZ30" s="2">
        <v>9972.1742738589219</v>
      </c>
      <c r="DA30" s="2">
        <v>10643.295765577201</v>
      </c>
      <c r="DB30" s="2">
        <v>10330.711511573714</v>
      </c>
      <c r="DC30" s="2">
        <v>10883.961642193588</v>
      </c>
      <c r="DD30" s="2">
        <v>11236.189362945646</v>
      </c>
      <c r="DE30" s="2">
        <v>10529.860716316089</v>
      </c>
      <c r="DF30" s="2">
        <v>10726.517585156465</v>
      </c>
      <c r="DG30" s="2">
        <v>11418.921436285096</v>
      </c>
      <c r="DH30" s="2">
        <v>12010.190588853839</v>
      </c>
      <c r="DI30" s="2">
        <v>11518.896701610842</v>
      </c>
      <c r="DJ30" s="2">
        <v>11191.702992242335</v>
      </c>
      <c r="DK30" s="2">
        <v>10928.736466389055</v>
      </c>
      <c r="DL30" s="2">
        <v>11455.21494898544</v>
      </c>
      <c r="DM30" s="2">
        <v>11859.843958983503</v>
      </c>
      <c r="DN30" s="2">
        <v>11229.519042437432</v>
      </c>
      <c r="DO30" s="2">
        <v>10547.884656537557</v>
      </c>
      <c r="DP30" s="2">
        <v>10108.955933636267</v>
      </c>
      <c r="DQ30" s="2">
        <v>10702.137628111273</v>
      </c>
      <c r="DR30" s="2">
        <v>11220.209131380059</v>
      </c>
      <c r="DS30" s="2">
        <v>11376.913150348219</v>
      </c>
      <c r="DT30" s="2">
        <v>11874.40794809408</v>
      </c>
      <c r="DU30" s="2">
        <v>11922.365990764907</v>
      </c>
      <c r="DV30" s="2">
        <v>11453.95102121753</v>
      </c>
      <c r="DW30" s="2">
        <v>12128.163126096279</v>
      </c>
      <c r="DX30" s="2">
        <v>12043.709492947008</v>
      </c>
      <c r="DY30" s="2">
        <v>12196.541220307407</v>
      </c>
      <c r="DZ30" s="2">
        <v>11574.986926336671</v>
      </c>
      <c r="EA30" s="2">
        <v>12291.68561756792</v>
      </c>
      <c r="EB30" s="2">
        <v>12106.127393838467</v>
      </c>
      <c r="EC30" s="2">
        <v>11529.239990409975</v>
      </c>
      <c r="ED30" s="2">
        <v>11484.449950445987</v>
      </c>
      <c r="EE30" s="2">
        <v>11547.996826083821</v>
      </c>
      <c r="EF30" s="2">
        <v>11049.124439614183</v>
      </c>
      <c r="EG30" s="2">
        <v>11228.826605446082</v>
      </c>
      <c r="EH30" s="2">
        <v>11530.368465127407</v>
      </c>
      <c r="EI30" s="2">
        <v>12092.345532587824</v>
      </c>
      <c r="EJ30" s="2">
        <v>12888.554307116103</v>
      </c>
      <c r="EK30" s="2">
        <v>12961.671656939861</v>
      </c>
      <c r="EL30" s="2">
        <v>12149.790718835304</v>
      </c>
      <c r="EM30" s="2">
        <v>11245.164509169364</v>
      </c>
      <c r="EN30" s="2">
        <v>11019.171333054743</v>
      </c>
      <c r="EO30" s="2">
        <v>10307.573879142301</v>
      </c>
      <c r="EP30" s="2">
        <v>9839.0925286311576</v>
      </c>
      <c r="EQ30" s="2">
        <v>9385.2572246065811</v>
      </c>
      <c r="ER30" s="2">
        <v>9584.0603805980827</v>
      </c>
      <c r="ES30" s="2">
        <v>8896.1722460658093</v>
      </c>
      <c r="ET30" s="2">
        <v>8863.6897222222215</v>
      </c>
      <c r="EU30" s="2">
        <v>9134.5514591982155</v>
      </c>
      <c r="EV30" s="2">
        <v>9813.5929203539818</v>
      </c>
      <c r="EW30" s="2">
        <v>9333.2359938146783</v>
      </c>
      <c r="EX30" s="2">
        <v>8907.3643899591352</v>
      </c>
      <c r="EY30" s="2">
        <v>8401.9636571428582</v>
      </c>
      <c r="EZ30" s="2">
        <v>8129.5684563758396</v>
      </c>
      <c r="FA30" s="2">
        <v>8333.7056562328398</v>
      </c>
      <c r="FB30" s="2">
        <v>9609.8771628156901</v>
      </c>
      <c r="FC30" s="2">
        <v>9495.1028361344543</v>
      </c>
      <c r="FD30" s="2">
        <v>10675.390918472653</v>
      </c>
      <c r="FE30" s="2">
        <v>12570.272993437658</v>
      </c>
      <c r="FF30" s="2">
        <v>13586.966336633663</v>
      </c>
      <c r="FG30" s="2">
        <v>12280.563901018922</v>
      </c>
      <c r="FH30" s="2">
        <v>12863.616159695817</v>
      </c>
      <c r="FI30" s="2">
        <v>12436.27105572537</v>
      </c>
      <c r="FJ30" s="2">
        <v>11428.230023310023</v>
      </c>
      <c r="FK30" s="2">
        <v>13775.616816816817</v>
      </c>
      <c r="FL30" s="2">
        <v>12046.725052809463</v>
      </c>
      <c r="FM30" s="2">
        <v>11443.552603082049</v>
      </c>
      <c r="FN30" s="2">
        <v>12352.789923329683</v>
      </c>
      <c r="FO30" s="2">
        <v>12202.101383177569</v>
      </c>
      <c r="FP30" s="2">
        <v>12698.184296619411</v>
      </c>
      <c r="FQ30" s="2">
        <v>14073.245192641443</v>
      </c>
      <c r="FR30" s="2">
        <v>16026.693227366966</v>
      </c>
      <c r="FS30" s="2">
        <v>15158.656187521545</v>
      </c>
      <c r="FT30" s="2">
        <v>17330.112998266897</v>
      </c>
      <c r="FU30" s="2">
        <v>17181.97457809695</v>
      </c>
      <c r="FV30" s="2">
        <v>14366.486823956444</v>
      </c>
      <c r="FW30" s="2">
        <v>14051.529318427694</v>
      </c>
      <c r="FX30" s="2">
        <v>14753.086213038832</v>
      </c>
      <c r="FY30" s="2">
        <v>12397.849881556684</v>
      </c>
    </row>
    <row r="31" spans="1:183" x14ac:dyDescent="0.25">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6"/>
      <c r="DG31" s="6"/>
      <c r="DH31" s="6"/>
      <c r="DI31" s="6"/>
      <c r="DJ31" s="6"/>
      <c r="DK31" s="6"/>
      <c r="DL31" s="6"/>
      <c r="DM31" s="6"/>
      <c r="DN31" s="6"/>
      <c r="DO31" s="6"/>
      <c r="DP31" s="6"/>
      <c r="DQ31" s="6"/>
    </row>
    <row r="33" spans="1:130" x14ac:dyDescent="0.25">
      <c r="A33" t="s">
        <v>473</v>
      </c>
      <c r="H33" s="12">
        <f>(-H25)-H34</f>
        <v>20015.944</v>
      </c>
      <c r="I33" s="12">
        <f t="shared" ref="I33:BT33" si="33">(-I25)-I34</f>
        <v>19309.446</v>
      </c>
      <c r="J33" s="12">
        <f t="shared" si="33"/>
        <v>19476.871999999999</v>
      </c>
      <c r="K33" s="12">
        <f t="shared" si="33"/>
        <v>21067.088</v>
      </c>
      <c r="L33" s="12">
        <f t="shared" si="33"/>
        <v>18893.438999999998</v>
      </c>
      <c r="M33" s="12">
        <f t="shared" si="33"/>
        <v>17731.618999999999</v>
      </c>
      <c r="N33" s="12">
        <f t="shared" si="33"/>
        <v>22032.332999999999</v>
      </c>
      <c r="O33" s="12">
        <f t="shared" si="33"/>
        <v>17835.490000000002</v>
      </c>
      <c r="P33" s="12">
        <f t="shared" si="33"/>
        <v>19717.789000000001</v>
      </c>
      <c r="Q33" s="12">
        <f t="shared" si="33"/>
        <v>22539.909</v>
      </c>
      <c r="R33" s="12">
        <f t="shared" si="33"/>
        <v>22008.06</v>
      </c>
      <c r="S33" s="12">
        <f t="shared" si="33"/>
        <v>20150.832999999999</v>
      </c>
      <c r="T33" s="12">
        <f t="shared" si="33"/>
        <v>19642.446</v>
      </c>
      <c r="U33" s="12">
        <f t="shared" si="33"/>
        <v>19152.598999999998</v>
      </c>
      <c r="V33" s="12">
        <f t="shared" si="33"/>
        <v>18849.108</v>
      </c>
      <c r="W33" s="12">
        <f t="shared" si="33"/>
        <v>17695.106</v>
      </c>
      <c r="X33" s="12">
        <f t="shared" si="33"/>
        <v>16746.723000000002</v>
      </c>
      <c r="Y33" s="12">
        <f t="shared" si="33"/>
        <v>16727.432000000001</v>
      </c>
      <c r="Z33" s="12">
        <f t="shared" si="33"/>
        <v>16963.437000000002</v>
      </c>
      <c r="AA33" s="12">
        <f t="shared" si="33"/>
        <v>26275.169000000002</v>
      </c>
      <c r="AB33" s="12">
        <f t="shared" si="33"/>
        <v>20886.118999999999</v>
      </c>
      <c r="AC33" s="12">
        <f t="shared" si="33"/>
        <v>20810.219000000001</v>
      </c>
      <c r="AD33" s="12">
        <f t="shared" si="33"/>
        <v>19032.784</v>
      </c>
      <c r="AE33" s="12">
        <f t="shared" si="33"/>
        <v>19413.280999999999</v>
      </c>
      <c r="AF33" s="12">
        <f t="shared" si="33"/>
        <v>19072.719000000001</v>
      </c>
      <c r="AG33" s="12">
        <f t="shared" si="33"/>
        <v>17319.552</v>
      </c>
      <c r="AH33" s="12">
        <f t="shared" si="33"/>
        <v>16672.677</v>
      </c>
      <c r="AI33" s="12">
        <f t="shared" si="33"/>
        <v>15956.771000000001</v>
      </c>
      <c r="AJ33" s="12">
        <f t="shared" si="33"/>
        <v>15664.112999999999</v>
      </c>
      <c r="AK33" s="12">
        <f t="shared" si="33"/>
        <v>15509.166999999999</v>
      </c>
      <c r="AL33" s="12">
        <f t="shared" si="33"/>
        <v>15043.088</v>
      </c>
      <c r="AM33" s="12">
        <f t="shared" si="33"/>
        <v>15326.907999999999</v>
      </c>
      <c r="AN33" s="12">
        <f t="shared" si="33"/>
        <v>15594.41</v>
      </c>
      <c r="AO33" s="12">
        <f t="shared" si="33"/>
        <v>22271.57</v>
      </c>
      <c r="AP33" s="12">
        <f t="shared" si="33"/>
        <v>22959.3</v>
      </c>
      <c r="AQ33" s="12">
        <f t="shared" si="33"/>
        <v>26229.612000000001</v>
      </c>
      <c r="AR33" s="12">
        <f t="shared" si="33"/>
        <v>34688.224999999999</v>
      </c>
      <c r="AS33" s="12">
        <f t="shared" si="33"/>
        <v>25955.439999999999</v>
      </c>
      <c r="AT33" s="12">
        <f t="shared" si="33"/>
        <v>25142.006000000001</v>
      </c>
      <c r="AU33" s="12">
        <f t="shared" si="33"/>
        <v>25873.350999999999</v>
      </c>
      <c r="AV33" s="12">
        <f t="shared" si="33"/>
        <v>25593.511999999999</v>
      </c>
      <c r="AW33" s="12">
        <f t="shared" si="33"/>
        <v>24274.714</v>
      </c>
      <c r="AX33" s="12">
        <f t="shared" si="33"/>
        <v>25122.495999999999</v>
      </c>
      <c r="AY33" s="12">
        <f t="shared" si="33"/>
        <v>24641.627</v>
      </c>
      <c r="AZ33" s="12">
        <f t="shared" si="33"/>
        <v>31565.986000000001</v>
      </c>
      <c r="BA33" s="12">
        <f t="shared" si="33"/>
        <v>21635.803</v>
      </c>
      <c r="BB33" s="12">
        <f t="shared" si="33"/>
        <v>23545.314999999999</v>
      </c>
      <c r="BC33" s="12">
        <f t="shared" si="33"/>
        <v>25563.839</v>
      </c>
      <c r="BD33" s="12">
        <f t="shared" si="33"/>
        <v>25285.521000000001</v>
      </c>
      <c r="BE33" s="12">
        <f t="shared" si="33"/>
        <v>23942.231</v>
      </c>
      <c r="BF33" s="12">
        <f t="shared" si="33"/>
        <v>26574.16</v>
      </c>
      <c r="BG33" s="12">
        <f t="shared" si="33"/>
        <v>39075.137000000002</v>
      </c>
      <c r="BH33" s="12">
        <f t="shared" si="33"/>
        <v>34169.279999999999</v>
      </c>
      <c r="BI33" s="12">
        <f t="shared" si="33"/>
        <v>35658.400000000001</v>
      </c>
      <c r="BJ33" s="12">
        <f t="shared" si="33"/>
        <v>41045.769</v>
      </c>
      <c r="BK33" s="12">
        <f t="shared" si="33"/>
        <v>39108.57</v>
      </c>
      <c r="BL33" s="12">
        <f t="shared" si="33"/>
        <v>39014.807000000001</v>
      </c>
      <c r="BM33" s="12">
        <f t="shared" si="33"/>
        <v>44065.777999999998</v>
      </c>
      <c r="BN33" s="12">
        <f t="shared" si="33"/>
        <v>41472.421999999999</v>
      </c>
      <c r="BO33" s="12">
        <f t="shared" si="33"/>
        <v>45449.086000000003</v>
      </c>
      <c r="BP33" s="12">
        <f t="shared" si="33"/>
        <v>53678.347999999998</v>
      </c>
      <c r="BQ33" s="12">
        <f t="shared" si="33"/>
        <v>56049.031000000003</v>
      </c>
      <c r="BR33" s="12">
        <f t="shared" si="33"/>
        <v>58666.120999999999</v>
      </c>
      <c r="BS33" s="12">
        <f t="shared" si="33"/>
        <v>46755.531000000003</v>
      </c>
      <c r="BT33" s="12">
        <f t="shared" si="33"/>
        <v>43943.286999999997</v>
      </c>
      <c r="BU33" s="12">
        <f t="shared" ref="BU33:DR33" si="34">(-BU25)-BU34</f>
        <v>44797.758000000002</v>
      </c>
      <c r="BV33" s="12">
        <f t="shared" si="34"/>
        <v>43713.23</v>
      </c>
      <c r="BW33" s="12">
        <f t="shared" si="34"/>
        <v>46079.733</v>
      </c>
      <c r="BX33" s="12">
        <f t="shared" si="34"/>
        <v>44462.887000000002</v>
      </c>
      <c r="BY33" s="12">
        <f t="shared" si="34"/>
        <v>44228.012000000002</v>
      </c>
      <c r="BZ33" s="12">
        <f t="shared" si="34"/>
        <v>49684.071000000004</v>
      </c>
      <c r="CA33" s="12">
        <f t="shared" si="34"/>
        <v>52448.877999999997</v>
      </c>
      <c r="CB33" s="12">
        <f t="shared" si="34"/>
        <v>56862.578000000001</v>
      </c>
      <c r="CC33" s="12">
        <f t="shared" si="34"/>
        <v>53332.961000000003</v>
      </c>
      <c r="CD33" s="12">
        <f t="shared" si="34"/>
        <v>57401.04</v>
      </c>
      <c r="CE33" s="12">
        <f t="shared" si="34"/>
        <v>61056.794000000002</v>
      </c>
      <c r="CF33" s="12">
        <f t="shared" si="34"/>
        <v>59684.201999999997</v>
      </c>
      <c r="CG33" s="12">
        <f t="shared" si="34"/>
        <v>74290.198999999993</v>
      </c>
      <c r="CH33" s="12">
        <f t="shared" si="34"/>
        <v>69539.077999999994</v>
      </c>
      <c r="CI33" s="12">
        <f t="shared" si="34"/>
        <v>67208.554999999993</v>
      </c>
      <c r="CJ33" s="12">
        <f t="shared" si="34"/>
        <v>66783.591</v>
      </c>
      <c r="CK33" s="12">
        <f t="shared" si="34"/>
        <v>72263.547000000006</v>
      </c>
      <c r="CL33" s="12">
        <f t="shared" si="34"/>
        <v>62911.743999999999</v>
      </c>
      <c r="CM33" s="12">
        <f t="shared" si="34"/>
        <v>68172.982000000004</v>
      </c>
      <c r="CN33" s="12">
        <f t="shared" si="34"/>
        <v>67141.957999999999</v>
      </c>
      <c r="CO33" s="12">
        <f t="shared" si="34"/>
        <v>67479.616999999998</v>
      </c>
      <c r="CP33" s="12">
        <f t="shared" si="34"/>
        <v>65290.127999999997</v>
      </c>
      <c r="CQ33" s="12">
        <f t="shared" si="34"/>
        <v>72181.116999999998</v>
      </c>
      <c r="CR33" s="12">
        <f t="shared" si="34"/>
        <v>60511.330999999998</v>
      </c>
      <c r="CS33" s="12">
        <f t="shared" si="34"/>
        <v>61285.542999999998</v>
      </c>
      <c r="CT33" s="12">
        <f t="shared" si="34"/>
        <v>65026.97</v>
      </c>
      <c r="CU33" s="12">
        <f t="shared" si="34"/>
        <v>52143.555</v>
      </c>
      <c r="CV33" s="12">
        <f t="shared" si="34"/>
        <v>45679.43</v>
      </c>
      <c r="CW33" s="12">
        <f t="shared" si="34"/>
        <v>48633.65</v>
      </c>
      <c r="CX33" s="12">
        <f t="shared" si="34"/>
        <v>48041.502999999997</v>
      </c>
      <c r="CY33" s="12">
        <f t="shared" si="34"/>
        <v>52864.38</v>
      </c>
      <c r="CZ33" s="12">
        <f t="shared" si="34"/>
        <v>53539.944000000003</v>
      </c>
      <c r="DA33" s="12">
        <f t="shared" si="34"/>
        <v>53911.125999999997</v>
      </c>
      <c r="DB33" s="12">
        <f t="shared" si="34"/>
        <v>55336.19</v>
      </c>
      <c r="DC33" s="12">
        <f t="shared" si="34"/>
        <v>59180.286</v>
      </c>
      <c r="DD33" s="12">
        <f t="shared" si="34"/>
        <v>58539.459000000003</v>
      </c>
      <c r="DE33" s="12">
        <f t="shared" si="34"/>
        <v>59861.601999999999</v>
      </c>
      <c r="DF33" s="12">
        <f t="shared" si="34"/>
        <v>56674.517</v>
      </c>
      <c r="DG33" s="12">
        <f t="shared" si="34"/>
        <v>32447.842000000001</v>
      </c>
      <c r="DH33" s="12">
        <f t="shared" si="34"/>
        <v>34725.911999999997</v>
      </c>
      <c r="DI33" s="12">
        <f t="shared" si="34"/>
        <v>34525.578999999998</v>
      </c>
      <c r="DJ33" s="12">
        <f t="shared" si="34"/>
        <v>34341.277000000002</v>
      </c>
      <c r="DK33" s="12">
        <f t="shared" si="34"/>
        <v>36473.052000000003</v>
      </c>
      <c r="DL33" s="12">
        <f t="shared" si="34"/>
        <v>30289.272000000001</v>
      </c>
      <c r="DM33" s="12">
        <f t="shared" si="34"/>
        <v>30647.548999999999</v>
      </c>
      <c r="DN33" s="12">
        <f t="shared" si="34"/>
        <v>30600.607</v>
      </c>
      <c r="DO33" s="12">
        <f t="shared" si="34"/>
        <v>36391.445</v>
      </c>
      <c r="DP33" s="12">
        <f t="shared" si="34"/>
        <v>33617.057999999997</v>
      </c>
      <c r="DQ33" s="12">
        <f t="shared" si="34"/>
        <v>39488.294000000002</v>
      </c>
      <c r="DR33" s="12">
        <f t="shared" si="34"/>
        <v>44591.275999999998</v>
      </c>
    </row>
    <row r="34" spans="1:130" x14ac:dyDescent="0.25">
      <c r="A34" t="s">
        <v>426</v>
      </c>
      <c r="H34" s="12">
        <f>-H31</f>
        <v>0</v>
      </c>
      <c r="I34" s="12">
        <f t="shared" ref="I34:BT34" si="35">-I31</f>
        <v>0</v>
      </c>
      <c r="J34" s="12">
        <f t="shared" si="35"/>
        <v>0</v>
      </c>
      <c r="K34" s="12">
        <f t="shared" si="35"/>
        <v>0</v>
      </c>
      <c r="L34" s="12">
        <f t="shared" si="35"/>
        <v>0</v>
      </c>
      <c r="M34" s="12">
        <f t="shared" si="35"/>
        <v>0</v>
      </c>
      <c r="N34" s="12">
        <f t="shared" si="35"/>
        <v>0</v>
      </c>
      <c r="O34" s="12">
        <f t="shared" si="35"/>
        <v>0</v>
      </c>
      <c r="P34" s="12">
        <f t="shared" si="35"/>
        <v>0</v>
      </c>
      <c r="Q34" s="12">
        <f t="shared" si="35"/>
        <v>0</v>
      </c>
      <c r="R34" s="12">
        <f t="shared" si="35"/>
        <v>0</v>
      </c>
      <c r="S34" s="12">
        <f t="shared" si="35"/>
        <v>0</v>
      </c>
      <c r="T34" s="12">
        <f t="shared" si="35"/>
        <v>0</v>
      </c>
      <c r="U34" s="12">
        <f t="shared" si="35"/>
        <v>0</v>
      </c>
      <c r="V34" s="12">
        <f t="shared" si="35"/>
        <v>0</v>
      </c>
      <c r="W34" s="12">
        <f t="shared" si="35"/>
        <v>0</v>
      </c>
      <c r="X34" s="12">
        <f t="shared" si="35"/>
        <v>0</v>
      </c>
      <c r="Y34" s="12">
        <f t="shared" si="35"/>
        <v>0</v>
      </c>
      <c r="Z34" s="12">
        <f t="shared" si="35"/>
        <v>0</v>
      </c>
      <c r="AA34" s="12">
        <f t="shared" si="35"/>
        <v>0</v>
      </c>
      <c r="AB34" s="12">
        <f t="shared" si="35"/>
        <v>0</v>
      </c>
      <c r="AC34" s="12">
        <f t="shared" si="35"/>
        <v>0</v>
      </c>
      <c r="AD34" s="12">
        <f t="shared" si="35"/>
        <v>0</v>
      </c>
      <c r="AE34" s="12">
        <f t="shared" si="35"/>
        <v>0</v>
      </c>
      <c r="AF34" s="12">
        <f t="shared" si="35"/>
        <v>0</v>
      </c>
      <c r="AG34" s="12">
        <f t="shared" si="35"/>
        <v>0</v>
      </c>
      <c r="AH34" s="12">
        <f t="shared" si="35"/>
        <v>0</v>
      </c>
      <c r="AI34" s="12">
        <f t="shared" si="35"/>
        <v>0</v>
      </c>
      <c r="AJ34" s="12">
        <f t="shared" si="35"/>
        <v>0</v>
      </c>
      <c r="AK34" s="12">
        <f t="shared" si="35"/>
        <v>0</v>
      </c>
      <c r="AL34" s="12">
        <f t="shared" si="35"/>
        <v>0</v>
      </c>
      <c r="AM34" s="12">
        <f t="shared" si="35"/>
        <v>0</v>
      </c>
      <c r="AN34" s="12">
        <f t="shared" si="35"/>
        <v>0</v>
      </c>
      <c r="AO34" s="12">
        <f t="shared" si="35"/>
        <v>0</v>
      </c>
      <c r="AP34" s="12">
        <f t="shared" si="35"/>
        <v>0</v>
      </c>
      <c r="AQ34" s="12">
        <f t="shared" si="35"/>
        <v>0</v>
      </c>
      <c r="AR34" s="12">
        <f t="shared" si="35"/>
        <v>0</v>
      </c>
      <c r="AS34" s="12">
        <f t="shared" si="35"/>
        <v>0</v>
      </c>
      <c r="AT34" s="12">
        <f t="shared" si="35"/>
        <v>0</v>
      </c>
      <c r="AU34" s="12">
        <f t="shared" si="35"/>
        <v>0</v>
      </c>
      <c r="AV34" s="12">
        <f t="shared" si="35"/>
        <v>0</v>
      </c>
      <c r="AW34" s="12">
        <f t="shared" si="35"/>
        <v>0</v>
      </c>
      <c r="AX34" s="12">
        <f t="shared" si="35"/>
        <v>0</v>
      </c>
      <c r="AY34" s="12">
        <f t="shared" si="35"/>
        <v>0</v>
      </c>
      <c r="AZ34" s="12">
        <f t="shared" si="35"/>
        <v>0</v>
      </c>
      <c r="BA34" s="12">
        <f t="shared" si="35"/>
        <v>0</v>
      </c>
      <c r="BB34" s="12">
        <f t="shared" si="35"/>
        <v>0</v>
      </c>
      <c r="BC34" s="12">
        <f t="shared" si="35"/>
        <v>0</v>
      </c>
      <c r="BD34" s="12">
        <f t="shared" si="35"/>
        <v>0</v>
      </c>
      <c r="BE34" s="12">
        <f t="shared" si="35"/>
        <v>0</v>
      </c>
      <c r="BF34" s="12">
        <f t="shared" si="35"/>
        <v>0</v>
      </c>
      <c r="BG34" s="12">
        <f t="shared" si="35"/>
        <v>0</v>
      </c>
      <c r="BH34" s="12">
        <f t="shared" si="35"/>
        <v>0</v>
      </c>
      <c r="BI34" s="12">
        <f t="shared" si="35"/>
        <v>0</v>
      </c>
      <c r="BJ34" s="12">
        <f t="shared" si="35"/>
        <v>0</v>
      </c>
      <c r="BK34" s="12">
        <f t="shared" si="35"/>
        <v>0</v>
      </c>
      <c r="BL34" s="12">
        <f t="shared" si="35"/>
        <v>0</v>
      </c>
      <c r="BM34" s="12">
        <f t="shared" si="35"/>
        <v>0</v>
      </c>
      <c r="BN34" s="12">
        <f t="shared" si="35"/>
        <v>0</v>
      </c>
      <c r="BO34" s="12">
        <f t="shared" si="35"/>
        <v>0</v>
      </c>
      <c r="BP34" s="12">
        <f t="shared" si="35"/>
        <v>0</v>
      </c>
      <c r="BQ34" s="12">
        <f t="shared" si="35"/>
        <v>0</v>
      </c>
      <c r="BR34" s="12">
        <f t="shared" si="35"/>
        <v>0</v>
      </c>
      <c r="BS34" s="12">
        <f t="shared" si="35"/>
        <v>0</v>
      </c>
      <c r="BT34" s="12">
        <f t="shared" si="35"/>
        <v>0</v>
      </c>
      <c r="BU34" s="12">
        <f t="shared" ref="BU34:DR34" si="36">-BU31</f>
        <v>0</v>
      </c>
      <c r="BV34" s="12">
        <f t="shared" si="36"/>
        <v>0</v>
      </c>
      <c r="BW34" s="12">
        <f t="shared" si="36"/>
        <v>0</v>
      </c>
      <c r="BX34" s="12">
        <f t="shared" si="36"/>
        <v>0</v>
      </c>
      <c r="BY34" s="12">
        <f t="shared" si="36"/>
        <v>0</v>
      </c>
      <c r="BZ34" s="12">
        <f t="shared" si="36"/>
        <v>0</v>
      </c>
      <c r="CA34" s="12">
        <f t="shared" si="36"/>
        <v>0</v>
      </c>
      <c r="CB34" s="12">
        <f t="shared" si="36"/>
        <v>0</v>
      </c>
      <c r="CC34" s="12">
        <f t="shared" si="36"/>
        <v>0</v>
      </c>
      <c r="CD34" s="12">
        <f t="shared" si="36"/>
        <v>0</v>
      </c>
      <c r="CE34" s="12">
        <f t="shared" si="36"/>
        <v>0</v>
      </c>
      <c r="CF34" s="12">
        <f t="shared" si="36"/>
        <v>0</v>
      </c>
      <c r="CG34" s="12">
        <f t="shared" si="36"/>
        <v>0</v>
      </c>
      <c r="CH34" s="12">
        <f t="shared" si="36"/>
        <v>0</v>
      </c>
      <c r="CI34" s="12">
        <f t="shared" si="36"/>
        <v>0</v>
      </c>
      <c r="CJ34" s="12">
        <f t="shared" si="36"/>
        <v>0</v>
      </c>
      <c r="CK34" s="12">
        <f t="shared" si="36"/>
        <v>0</v>
      </c>
      <c r="CL34" s="12">
        <f t="shared" si="36"/>
        <v>0</v>
      </c>
      <c r="CM34" s="12">
        <f t="shared" si="36"/>
        <v>0</v>
      </c>
      <c r="CN34" s="12">
        <f t="shared" si="36"/>
        <v>0</v>
      </c>
      <c r="CO34" s="12">
        <f t="shared" si="36"/>
        <v>0</v>
      </c>
      <c r="CP34" s="12">
        <f t="shared" si="36"/>
        <v>0</v>
      </c>
      <c r="CQ34" s="12">
        <f t="shared" si="36"/>
        <v>0</v>
      </c>
      <c r="CR34" s="12">
        <f t="shared" si="36"/>
        <v>0</v>
      </c>
      <c r="CS34" s="12">
        <f t="shared" si="36"/>
        <v>0</v>
      </c>
      <c r="CT34" s="12">
        <f t="shared" si="36"/>
        <v>0</v>
      </c>
      <c r="CU34" s="12">
        <f t="shared" si="36"/>
        <v>0</v>
      </c>
      <c r="CV34" s="12">
        <f t="shared" si="36"/>
        <v>0</v>
      </c>
      <c r="CW34" s="12">
        <f t="shared" si="36"/>
        <v>0</v>
      </c>
      <c r="CX34" s="12">
        <f t="shared" si="36"/>
        <v>0</v>
      </c>
      <c r="CY34" s="12">
        <f t="shared" si="36"/>
        <v>0</v>
      </c>
      <c r="CZ34" s="12">
        <f t="shared" si="36"/>
        <v>0</v>
      </c>
      <c r="DA34" s="12">
        <f t="shared" si="36"/>
        <v>0</v>
      </c>
      <c r="DB34" s="12">
        <f t="shared" si="36"/>
        <v>0</v>
      </c>
      <c r="DC34" s="12">
        <f t="shared" si="36"/>
        <v>0</v>
      </c>
      <c r="DD34" s="12">
        <f t="shared" si="36"/>
        <v>0</v>
      </c>
      <c r="DE34" s="12">
        <f t="shared" si="36"/>
        <v>0</v>
      </c>
      <c r="DF34" s="12">
        <f t="shared" si="36"/>
        <v>0</v>
      </c>
      <c r="DG34" s="12">
        <f t="shared" si="36"/>
        <v>0</v>
      </c>
      <c r="DH34" s="12">
        <f t="shared" si="36"/>
        <v>0</v>
      </c>
      <c r="DI34" s="12">
        <f t="shared" si="36"/>
        <v>0</v>
      </c>
      <c r="DJ34" s="12">
        <f t="shared" si="36"/>
        <v>0</v>
      </c>
      <c r="DK34" s="12">
        <f t="shared" si="36"/>
        <v>0</v>
      </c>
      <c r="DL34" s="12">
        <f t="shared" si="36"/>
        <v>0</v>
      </c>
      <c r="DM34" s="12">
        <f t="shared" si="36"/>
        <v>0</v>
      </c>
      <c r="DN34" s="12">
        <f t="shared" si="36"/>
        <v>0</v>
      </c>
      <c r="DO34" s="12">
        <f t="shared" si="36"/>
        <v>0</v>
      </c>
      <c r="DP34" s="12">
        <f t="shared" si="36"/>
        <v>0</v>
      </c>
      <c r="DQ34" s="12">
        <f t="shared" si="36"/>
        <v>0</v>
      </c>
      <c r="DR34" s="12">
        <f t="shared" si="36"/>
        <v>0</v>
      </c>
    </row>
    <row r="35" spans="1:130" x14ac:dyDescent="0.25">
      <c r="A35" t="s">
        <v>474</v>
      </c>
      <c r="H35" s="12">
        <f>H21-H34-H33</f>
        <v>26578.056</v>
      </c>
      <c r="I35" s="12">
        <f t="shared" ref="I35:BT35" si="37">I21-I34-I33</f>
        <v>27358.554</v>
      </c>
      <c r="J35" s="12">
        <f t="shared" si="37"/>
        <v>27814.128000000001</v>
      </c>
      <c r="K35" s="12">
        <f t="shared" si="37"/>
        <v>26776.912</v>
      </c>
      <c r="L35" s="12">
        <f t="shared" si="37"/>
        <v>28084.561000000002</v>
      </c>
      <c r="M35" s="12">
        <f t="shared" si="37"/>
        <v>28616.381000000001</v>
      </c>
      <c r="N35" s="12">
        <f t="shared" si="37"/>
        <v>24785.667000000001</v>
      </c>
      <c r="O35" s="12">
        <f t="shared" si="37"/>
        <v>27316.51</v>
      </c>
      <c r="P35" s="12">
        <f t="shared" si="37"/>
        <v>25292.210999999999</v>
      </c>
      <c r="Q35" s="12">
        <f t="shared" si="37"/>
        <v>22734.091</v>
      </c>
      <c r="R35" s="12">
        <f t="shared" si="37"/>
        <v>23229.94</v>
      </c>
      <c r="S35" s="12">
        <f t="shared" si="37"/>
        <v>23139.167000000001</v>
      </c>
      <c r="T35" s="12">
        <f t="shared" si="37"/>
        <v>22888.554</v>
      </c>
      <c r="U35" s="12">
        <f t="shared" si="37"/>
        <v>22456.401000000002</v>
      </c>
      <c r="V35" s="12">
        <f t="shared" si="37"/>
        <v>21596.892</v>
      </c>
      <c r="W35" s="12">
        <f t="shared" si="37"/>
        <v>21836.894</v>
      </c>
      <c r="X35" s="12">
        <f t="shared" si="37"/>
        <v>21804.276999999998</v>
      </c>
      <c r="Y35" s="12">
        <f t="shared" si="37"/>
        <v>20277.567999999999</v>
      </c>
      <c r="Z35" s="12">
        <f t="shared" si="37"/>
        <v>20085.562999999998</v>
      </c>
      <c r="AA35" s="12">
        <f t="shared" si="37"/>
        <v>10402.830999999998</v>
      </c>
      <c r="AB35" s="12">
        <f t="shared" si="37"/>
        <v>13854.881000000001</v>
      </c>
      <c r="AC35" s="12">
        <f t="shared" si="37"/>
        <v>12421.780999999999</v>
      </c>
      <c r="AD35" s="12">
        <f t="shared" si="37"/>
        <v>11766.216</v>
      </c>
      <c r="AE35" s="12">
        <f t="shared" si="37"/>
        <v>11185.719000000001</v>
      </c>
      <c r="AF35" s="12">
        <f t="shared" si="37"/>
        <v>8675.280999999999</v>
      </c>
      <c r="AG35" s="12">
        <f t="shared" si="37"/>
        <v>10226.448</v>
      </c>
      <c r="AH35" s="12">
        <f t="shared" si="37"/>
        <v>10334.323</v>
      </c>
      <c r="AI35" s="12">
        <f t="shared" si="37"/>
        <v>12263.228999999999</v>
      </c>
      <c r="AJ35" s="12">
        <f t="shared" si="37"/>
        <v>12877.887000000001</v>
      </c>
      <c r="AK35" s="12">
        <f t="shared" si="37"/>
        <v>13768.833000000001</v>
      </c>
      <c r="AL35" s="12">
        <f t="shared" si="37"/>
        <v>13959.912</v>
      </c>
      <c r="AM35" s="12">
        <f t="shared" si="37"/>
        <v>13293.092000000001</v>
      </c>
      <c r="AN35" s="12">
        <f t="shared" si="37"/>
        <v>12271.59</v>
      </c>
      <c r="AO35" s="12">
        <f t="shared" si="37"/>
        <v>5839.43</v>
      </c>
      <c r="AP35" s="12">
        <f t="shared" si="37"/>
        <v>5951.7000000000007</v>
      </c>
      <c r="AQ35" s="12">
        <f t="shared" si="37"/>
        <v>5177.387999999999</v>
      </c>
      <c r="AR35" s="12">
        <f t="shared" si="37"/>
        <v>-3236.2249999999985</v>
      </c>
      <c r="AS35" s="12">
        <f t="shared" si="37"/>
        <v>5514.5600000000013</v>
      </c>
      <c r="AT35" s="12">
        <f t="shared" si="37"/>
        <v>6347.9939999999988</v>
      </c>
      <c r="AU35" s="12">
        <f t="shared" si="37"/>
        <v>8035.6490000000013</v>
      </c>
      <c r="AV35" s="12">
        <f t="shared" si="37"/>
        <v>7689.4880000000012</v>
      </c>
      <c r="AW35" s="12">
        <f t="shared" si="37"/>
        <v>9576.2860000000001</v>
      </c>
      <c r="AX35" s="12">
        <f t="shared" si="37"/>
        <v>8820.5040000000008</v>
      </c>
      <c r="AY35" s="12">
        <f t="shared" si="37"/>
        <v>8964.3729999999996</v>
      </c>
      <c r="AZ35" s="12">
        <f t="shared" si="37"/>
        <v>1691.0139999999992</v>
      </c>
      <c r="BA35" s="12">
        <f t="shared" si="37"/>
        <v>5334.1970000000001</v>
      </c>
      <c r="BB35" s="12">
        <f t="shared" si="37"/>
        <v>2069.6850000000013</v>
      </c>
      <c r="BC35" s="12">
        <f t="shared" si="37"/>
        <v>-0.83899999999994179</v>
      </c>
      <c r="BD35" s="12">
        <f t="shared" si="37"/>
        <v>4788.4789999999994</v>
      </c>
      <c r="BE35" s="12">
        <f t="shared" si="37"/>
        <v>4456.7690000000002</v>
      </c>
      <c r="BF35" s="12">
        <f t="shared" si="37"/>
        <v>2997.84</v>
      </c>
      <c r="BG35" s="12">
        <f t="shared" si="37"/>
        <v>-4695.1370000000024</v>
      </c>
      <c r="BH35" s="12">
        <f t="shared" si="37"/>
        <v>-3998.2799999999988</v>
      </c>
      <c r="BI35" s="12">
        <f t="shared" si="37"/>
        <v>-5151.4000000000015</v>
      </c>
      <c r="BJ35" s="12">
        <f t="shared" si="37"/>
        <v>-8534.7690000000002</v>
      </c>
      <c r="BK35" s="12">
        <f t="shared" si="37"/>
        <v>-7958.57</v>
      </c>
      <c r="BL35" s="12">
        <f t="shared" si="37"/>
        <v>-9112.8070000000007</v>
      </c>
      <c r="BM35" s="12">
        <f t="shared" si="37"/>
        <v>-6855.7779999999984</v>
      </c>
      <c r="BN35" s="12">
        <f t="shared" si="37"/>
        <v>-4094.4219999999987</v>
      </c>
      <c r="BO35" s="12">
        <f t="shared" si="37"/>
        <v>-6141.086000000003</v>
      </c>
      <c r="BP35" s="12">
        <f t="shared" si="37"/>
        <v>-6791.3479999999981</v>
      </c>
      <c r="BQ35" s="12">
        <f t="shared" si="37"/>
        <v>-5441.0310000000027</v>
      </c>
      <c r="BR35" s="12">
        <f t="shared" si="37"/>
        <v>-8144.1209999999992</v>
      </c>
      <c r="BS35" s="12">
        <f t="shared" si="37"/>
        <v>1461.4689999999973</v>
      </c>
      <c r="BT35" s="12">
        <f t="shared" si="37"/>
        <v>2202.7130000000034</v>
      </c>
      <c r="BU35" s="12">
        <f t="shared" ref="BU35:DP35" si="38">BU21-BU34-BU33</f>
        <v>3197.2419999999984</v>
      </c>
      <c r="BV35" s="12">
        <f t="shared" si="38"/>
        <v>3300.7699999999968</v>
      </c>
      <c r="BW35" s="12">
        <f t="shared" si="38"/>
        <v>2797.2669999999998</v>
      </c>
      <c r="BX35" s="12">
        <f t="shared" si="38"/>
        <v>5774.1129999999976</v>
      </c>
      <c r="BY35" s="12">
        <f t="shared" si="38"/>
        <v>7581.9879999999976</v>
      </c>
      <c r="BZ35" s="12">
        <f t="shared" si="38"/>
        <v>4878.9289999999964</v>
      </c>
      <c r="CA35" s="12">
        <f t="shared" si="38"/>
        <v>2606.122000000003</v>
      </c>
      <c r="CB35" s="12">
        <f t="shared" si="38"/>
        <v>5161.4219999999987</v>
      </c>
      <c r="CC35" s="12">
        <f t="shared" si="38"/>
        <v>8176.038999999997</v>
      </c>
      <c r="CD35" s="12">
        <f t="shared" si="38"/>
        <v>4324.9599999999991</v>
      </c>
      <c r="CE35" s="12">
        <f t="shared" si="38"/>
        <v>-4433.7940000000017</v>
      </c>
      <c r="CF35" s="12">
        <f t="shared" si="38"/>
        <v>-9586.2019999999975</v>
      </c>
      <c r="CG35" s="12">
        <f t="shared" si="38"/>
        <v>-12409.198999999993</v>
      </c>
      <c r="CH35" s="12">
        <f t="shared" si="38"/>
        <v>-11543.077999999994</v>
      </c>
      <c r="CI35" s="12">
        <f t="shared" si="38"/>
        <v>-14550.554999999993</v>
      </c>
      <c r="CJ35" s="12">
        <f t="shared" si="38"/>
        <v>-17780.591</v>
      </c>
      <c r="CK35" s="12">
        <f t="shared" si="38"/>
        <v>-18308.547000000006</v>
      </c>
      <c r="CL35" s="12">
        <f t="shared" si="38"/>
        <v>-11718.743999999999</v>
      </c>
      <c r="CM35" s="12">
        <f t="shared" si="38"/>
        <v>-2386.9820000000036</v>
      </c>
      <c r="CN35" s="12">
        <f t="shared" si="38"/>
        <v>-330.95799999999872</v>
      </c>
      <c r="CO35" s="12">
        <f t="shared" si="38"/>
        <v>535.38300000000163</v>
      </c>
      <c r="CP35" s="12">
        <f t="shared" si="38"/>
        <v>896.87200000000303</v>
      </c>
      <c r="CQ35" s="12">
        <f t="shared" si="38"/>
        <v>-518.11699999999837</v>
      </c>
      <c r="CR35" s="12">
        <f t="shared" si="38"/>
        <v>4267.6690000000017</v>
      </c>
      <c r="CS35" s="12">
        <f t="shared" si="38"/>
        <v>2992.4570000000022</v>
      </c>
      <c r="CT35" s="12">
        <f t="shared" si="38"/>
        <v>2872.0299999999988</v>
      </c>
      <c r="CU35" s="12">
        <f t="shared" si="38"/>
        <v>1956.4449999999997</v>
      </c>
      <c r="CV35" s="12">
        <f t="shared" si="38"/>
        <v>3023.5699999999997</v>
      </c>
      <c r="CW35" s="12">
        <f t="shared" si="38"/>
        <v>-5373.6500000000015</v>
      </c>
      <c r="CX35" s="12">
        <f t="shared" si="38"/>
        <v>-4269.502999999997</v>
      </c>
      <c r="CY35" s="12">
        <f t="shared" si="38"/>
        <v>-8016.3799999999974</v>
      </c>
      <c r="CZ35" s="12">
        <f t="shared" si="38"/>
        <v>-8622.9440000000031</v>
      </c>
      <c r="DA35" s="12">
        <f t="shared" si="38"/>
        <v>-9120.1259999999966</v>
      </c>
      <c r="DB35" s="12">
        <f t="shared" si="38"/>
        <v>-11775.190000000002</v>
      </c>
      <c r="DC35" s="12">
        <f t="shared" si="38"/>
        <v>-15612.286</v>
      </c>
      <c r="DD35" s="12">
        <f t="shared" si="38"/>
        <v>-15950.459000000003</v>
      </c>
      <c r="DE35" s="12">
        <f t="shared" si="38"/>
        <v>-16619.601999999999</v>
      </c>
      <c r="DF35" s="12">
        <f t="shared" si="38"/>
        <v>-13288.517</v>
      </c>
      <c r="DG35" s="12">
        <f t="shared" si="38"/>
        <v>10394.157999999999</v>
      </c>
      <c r="DH35" s="12">
        <f t="shared" si="38"/>
        <v>6653.0880000000034</v>
      </c>
      <c r="DI35" s="12">
        <f t="shared" si="38"/>
        <v>5330.4210000000021</v>
      </c>
      <c r="DJ35" s="12">
        <f t="shared" si="38"/>
        <v>4310.7229999999981</v>
      </c>
      <c r="DK35" s="12">
        <f t="shared" si="38"/>
        <v>2913.9479999999967</v>
      </c>
      <c r="DL35" s="12">
        <f t="shared" si="38"/>
        <v>9225.7279999999992</v>
      </c>
      <c r="DM35" s="12">
        <f t="shared" si="38"/>
        <v>8870.4510000000009</v>
      </c>
      <c r="DN35" s="12">
        <f t="shared" si="38"/>
        <v>8992.393</v>
      </c>
      <c r="DO35" s="12">
        <f t="shared" si="38"/>
        <v>3871.5550000000003</v>
      </c>
      <c r="DP35" s="12">
        <f t="shared" si="38"/>
        <v>8254.9420000000027</v>
      </c>
      <c r="DQ35" s="12"/>
      <c r="DR35" s="12"/>
    </row>
    <row r="36" spans="1:130" x14ac:dyDescent="0.25">
      <c r="A36" t="s">
        <v>475</v>
      </c>
      <c r="H36" s="12">
        <f>H21-H24</f>
        <v>43160.360999999997</v>
      </c>
      <c r="I36" s="12">
        <f t="shared" ref="I36:BT36" si="39">I21-I24</f>
        <v>43248.216</v>
      </c>
      <c r="J36" s="12">
        <f t="shared" si="39"/>
        <v>43979.892999999996</v>
      </c>
      <c r="K36" s="12">
        <f t="shared" si="39"/>
        <v>44543.572</v>
      </c>
      <c r="L36" s="12">
        <f t="shared" si="39"/>
        <v>43881.406999999999</v>
      </c>
      <c r="M36" s="12">
        <f t="shared" si="39"/>
        <v>43172.962</v>
      </c>
      <c r="N36" s="12">
        <f t="shared" si="39"/>
        <v>43616.641000000003</v>
      </c>
      <c r="O36" s="12">
        <f t="shared" si="39"/>
        <v>41805.501000000004</v>
      </c>
      <c r="P36" s="12">
        <f t="shared" si="39"/>
        <v>41495.851999999999</v>
      </c>
      <c r="Q36" s="12">
        <f t="shared" si="39"/>
        <v>41862.891000000003</v>
      </c>
      <c r="R36" s="12">
        <f t="shared" si="39"/>
        <v>41838.165000000001</v>
      </c>
      <c r="S36" s="12">
        <f t="shared" si="39"/>
        <v>39963.529000000002</v>
      </c>
      <c r="T36" s="12">
        <f t="shared" si="39"/>
        <v>39200.262000000002</v>
      </c>
      <c r="U36" s="12">
        <f t="shared" si="39"/>
        <v>38471.735000000001</v>
      </c>
      <c r="V36" s="12">
        <f t="shared" si="39"/>
        <v>37259.031999999999</v>
      </c>
      <c r="W36" s="12">
        <f t="shared" si="39"/>
        <v>36609.091</v>
      </c>
      <c r="X36" s="12">
        <f t="shared" si="39"/>
        <v>35787.601999999999</v>
      </c>
      <c r="Y36" s="12">
        <f t="shared" si="39"/>
        <v>34572.235999999997</v>
      </c>
      <c r="Z36" s="12">
        <f t="shared" si="39"/>
        <v>34442.373999999996</v>
      </c>
      <c r="AA36" s="12">
        <f t="shared" si="39"/>
        <v>33908.429000000004</v>
      </c>
      <c r="AB36" s="12">
        <f t="shared" si="39"/>
        <v>32103.050999999999</v>
      </c>
      <c r="AC36" s="12">
        <f t="shared" si="39"/>
        <v>30606.476999999999</v>
      </c>
      <c r="AD36" s="12">
        <f t="shared" si="39"/>
        <v>28317.188000000002</v>
      </c>
      <c r="AE36" s="12">
        <f t="shared" si="39"/>
        <v>28209.527999999998</v>
      </c>
      <c r="AF36" s="12">
        <f t="shared" si="39"/>
        <v>25286.256000000001</v>
      </c>
      <c r="AG36" s="12">
        <f t="shared" si="39"/>
        <v>24922.343000000001</v>
      </c>
      <c r="AH36" s="12">
        <f t="shared" si="39"/>
        <v>24461.054</v>
      </c>
      <c r="AI36" s="12">
        <f t="shared" si="39"/>
        <v>25650.413</v>
      </c>
      <c r="AJ36" s="12">
        <f t="shared" si="39"/>
        <v>26071.958999999999</v>
      </c>
      <c r="AK36" s="12">
        <f t="shared" si="39"/>
        <v>26644.359</v>
      </c>
      <c r="AL36" s="12">
        <f t="shared" si="39"/>
        <v>26460.766</v>
      </c>
      <c r="AM36" s="12">
        <f t="shared" si="39"/>
        <v>26067.94</v>
      </c>
      <c r="AN36" s="12">
        <f t="shared" si="39"/>
        <v>25466.66</v>
      </c>
      <c r="AO36" s="12">
        <f t="shared" si="39"/>
        <v>25786.48</v>
      </c>
      <c r="AP36" s="12">
        <f t="shared" si="39"/>
        <v>26594.83</v>
      </c>
      <c r="AQ36" s="12">
        <f t="shared" si="39"/>
        <v>29052.215</v>
      </c>
      <c r="AR36" s="12">
        <f t="shared" si="39"/>
        <v>28922.45</v>
      </c>
      <c r="AS36" s="12">
        <f t="shared" si="39"/>
        <v>29063.040000000001</v>
      </c>
      <c r="AT36" s="12">
        <f t="shared" si="39"/>
        <v>29144.42</v>
      </c>
      <c r="AU36" s="12">
        <f t="shared" si="39"/>
        <v>31560.656999999999</v>
      </c>
      <c r="AV36" s="12">
        <f t="shared" si="39"/>
        <v>30921.179</v>
      </c>
      <c r="AW36" s="12">
        <f t="shared" si="39"/>
        <v>31525.066999999999</v>
      </c>
      <c r="AX36" s="12">
        <f t="shared" si="39"/>
        <v>31764.986000000001</v>
      </c>
      <c r="AY36" s="12">
        <f t="shared" si="39"/>
        <v>31356.903999999999</v>
      </c>
      <c r="AZ36" s="12">
        <f t="shared" si="39"/>
        <v>31042.601999999999</v>
      </c>
      <c r="BA36" s="12">
        <f t="shared" si="39"/>
        <v>24706.652000000002</v>
      </c>
      <c r="BB36" s="12">
        <f t="shared" si="39"/>
        <v>23504.375</v>
      </c>
      <c r="BC36" s="12">
        <f t="shared" si="39"/>
        <v>23456.066999999999</v>
      </c>
      <c r="BD36" s="12">
        <f t="shared" si="39"/>
        <v>27858.727999999999</v>
      </c>
      <c r="BE36" s="12">
        <f t="shared" si="39"/>
        <v>25954.803</v>
      </c>
      <c r="BF36" s="12">
        <f t="shared" si="39"/>
        <v>27127.56</v>
      </c>
      <c r="BG36" s="12">
        <f t="shared" si="39"/>
        <v>31820.199000000001</v>
      </c>
      <c r="BH36" s="12">
        <f t="shared" si="39"/>
        <v>27757.97</v>
      </c>
      <c r="BI36" s="12">
        <f t="shared" si="39"/>
        <v>27889.735000000001</v>
      </c>
      <c r="BJ36" s="12">
        <f t="shared" si="39"/>
        <v>29829.441999999999</v>
      </c>
      <c r="BK36" s="12">
        <f t="shared" si="39"/>
        <v>28555.561999999998</v>
      </c>
      <c r="BL36" s="12">
        <f t="shared" si="39"/>
        <v>27294.242999999999</v>
      </c>
      <c r="BM36" s="12">
        <f t="shared" si="39"/>
        <v>34887.01</v>
      </c>
      <c r="BN36" s="12">
        <f t="shared" si="39"/>
        <v>35236.175000000003</v>
      </c>
      <c r="BO36" s="12">
        <f t="shared" si="39"/>
        <v>37206.251000000004</v>
      </c>
      <c r="BP36" s="12">
        <f t="shared" si="39"/>
        <v>44486.430999999997</v>
      </c>
      <c r="BQ36" s="12">
        <f t="shared" si="39"/>
        <v>48316.51</v>
      </c>
      <c r="BR36" s="12">
        <f t="shared" si="39"/>
        <v>48319.87</v>
      </c>
      <c r="BS36" s="12">
        <f t="shared" si="39"/>
        <v>45702.851000000002</v>
      </c>
      <c r="BT36" s="12">
        <f t="shared" si="39"/>
        <v>43623.218999999997</v>
      </c>
      <c r="BU36" s="12">
        <f t="shared" ref="BU36:DP36" si="40">BU21-BU24</f>
        <v>45608.415999999997</v>
      </c>
      <c r="BV36" s="12">
        <f t="shared" si="40"/>
        <v>44499.932999999997</v>
      </c>
      <c r="BW36" s="12">
        <f t="shared" si="40"/>
        <v>46262.294999999998</v>
      </c>
      <c r="BX36" s="12">
        <f t="shared" si="40"/>
        <v>47691.470999999998</v>
      </c>
      <c r="BY36" s="12">
        <f t="shared" si="40"/>
        <v>49374.981</v>
      </c>
      <c r="BZ36" s="12">
        <f t="shared" si="40"/>
        <v>52269.877999999997</v>
      </c>
      <c r="CA36" s="12">
        <f t="shared" si="40"/>
        <v>52756.224999999999</v>
      </c>
      <c r="CB36" s="12">
        <f t="shared" si="40"/>
        <v>59366.116999999998</v>
      </c>
      <c r="CC36" s="12">
        <f t="shared" si="40"/>
        <v>58892.211000000003</v>
      </c>
      <c r="CD36" s="12">
        <f t="shared" si="40"/>
        <v>59388.305</v>
      </c>
      <c r="CE36" s="12">
        <f t="shared" si="40"/>
        <v>53999.281999999999</v>
      </c>
      <c r="CF36" s="12">
        <f t="shared" si="40"/>
        <v>47518.966</v>
      </c>
      <c r="CG36" s="12">
        <f t="shared" si="40"/>
        <v>59394.563999999998</v>
      </c>
      <c r="CH36" s="12">
        <f t="shared" si="40"/>
        <v>55566.771000000001</v>
      </c>
      <c r="CI36" s="12">
        <f t="shared" si="40"/>
        <v>50274.165999999997</v>
      </c>
      <c r="CJ36" s="12">
        <f t="shared" si="40"/>
        <v>46706.042000000001</v>
      </c>
      <c r="CK36" s="12">
        <f t="shared" si="40"/>
        <v>51548.076000000001</v>
      </c>
      <c r="CL36" s="12">
        <f t="shared" si="40"/>
        <v>48757.391000000003</v>
      </c>
      <c r="CM36" s="12">
        <f t="shared" si="40"/>
        <v>63530.377</v>
      </c>
      <c r="CN36" s="12">
        <f t="shared" si="40"/>
        <v>64188.74</v>
      </c>
      <c r="CO36" s="12">
        <f t="shared" si="40"/>
        <v>65406.798999999999</v>
      </c>
      <c r="CP36" s="12">
        <f t="shared" si="40"/>
        <v>63906.146999999997</v>
      </c>
      <c r="CQ36" s="12">
        <f t="shared" si="40"/>
        <v>69115.835999999996</v>
      </c>
      <c r="CR36" s="12">
        <f t="shared" si="40"/>
        <v>62190.786</v>
      </c>
      <c r="CS36" s="12">
        <f t="shared" si="40"/>
        <v>61791.968999999997</v>
      </c>
      <c r="CT36" s="12">
        <f t="shared" si="40"/>
        <v>65080.559000000001</v>
      </c>
      <c r="CU36" s="12">
        <f t="shared" si="40"/>
        <v>51088.116000000002</v>
      </c>
      <c r="CV36" s="12">
        <f t="shared" si="40"/>
        <v>45788.851999999999</v>
      </c>
      <c r="CW36" s="12">
        <f t="shared" si="40"/>
        <v>40260.561000000002</v>
      </c>
      <c r="CX36" s="12">
        <f t="shared" si="40"/>
        <v>40867.74</v>
      </c>
      <c r="CY36" s="12">
        <f t="shared" si="40"/>
        <v>42163.534</v>
      </c>
      <c r="CZ36" s="12">
        <f t="shared" si="40"/>
        <v>41776.766000000003</v>
      </c>
      <c r="DA36" s="12">
        <f t="shared" si="40"/>
        <v>41651.243999999999</v>
      </c>
      <c r="DB36" s="12">
        <f t="shared" si="40"/>
        <v>40620.122000000003</v>
      </c>
      <c r="DC36" s="12">
        <f t="shared" si="40"/>
        <v>40226.870000000003</v>
      </c>
      <c r="DD36" s="12">
        <f t="shared" si="40"/>
        <v>39148.284</v>
      </c>
      <c r="DE36" s="12">
        <f t="shared" si="40"/>
        <v>39708.904000000002</v>
      </c>
      <c r="DF36" s="12">
        <f t="shared" si="40"/>
        <v>39475.184999999998</v>
      </c>
      <c r="DG36" s="12">
        <f t="shared" si="40"/>
        <v>38928.764000000003</v>
      </c>
      <c r="DH36" s="12">
        <f t="shared" si="40"/>
        <v>37625.175999999999</v>
      </c>
      <c r="DI36" s="12">
        <f t="shared" si="40"/>
        <v>36127.008000000002</v>
      </c>
      <c r="DJ36" s="12">
        <f t="shared" si="40"/>
        <v>35124.540999999997</v>
      </c>
      <c r="DK36" s="12">
        <f t="shared" si="40"/>
        <v>35628.75</v>
      </c>
      <c r="DL36" s="12">
        <f t="shared" si="40"/>
        <v>35841.845000000001</v>
      </c>
      <c r="DM36" s="12">
        <f t="shared" si="40"/>
        <v>36093.758999999998</v>
      </c>
      <c r="DN36" s="12">
        <f t="shared" si="40"/>
        <v>36200.002999999997</v>
      </c>
      <c r="DO36" s="12">
        <f t="shared" si="40"/>
        <v>36752.135999999999</v>
      </c>
      <c r="DP36" s="12">
        <f t="shared" si="40"/>
        <v>38088.917999999998</v>
      </c>
      <c r="DQ36" s="12"/>
      <c r="DR36" s="12"/>
    </row>
    <row r="37" spans="1:130" x14ac:dyDescent="0.25">
      <c r="DY37" t="s">
        <v>476</v>
      </c>
    </row>
    <row r="38" spans="1:130" x14ac:dyDescent="0.25">
      <c r="DY38">
        <v>18.5</v>
      </c>
      <c r="DZ38">
        <v>3.5</v>
      </c>
    </row>
    <row r="39" spans="1:130" x14ac:dyDescent="0.25">
      <c r="DY39">
        <v>6.9</v>
      </c>
    </row>
    <row r="40" spans="1:130" x14ac:dyDescent="0.25">
      <c r="DY40">
        <f>DY39*DY38</f>
        <v>127.65</v>
      </c>
      <c r="DZ40">
        <f>DY40/6.3</f>
        <v>20.261904761904763</v>
      </c>
    </row>
    <row r="47" spans="1:130" x14ac:dyDescent="0.25">
      <c r="DT47">
        <f>18*7</f>
        <v>126</v>
      </c>
    </row>
    <row r="48" spans="1:130" x14ac:dyDescent="0.25">
      <c r="DT48">
        <f>DT47/6.4</f>
        <v>19.6875</v>
      </c>
    </row>
  </sheetData>
  <hyperlinks>
    <hyperlink ref="B28" r:id="rId1" xr:uid="{EB87D0B8-C8C0-498F-BD9E-26B98CF853E8}"/>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10172-53F6-4CED-B2B6-3C169D471124}">
  <sheetPr>
    <tabColor rgb="FF10437C"/>
  </sheetPr>
  <dimension ref="B2:V119"/>
  <sheetViews>
    <sheetView showGridLines="0" zoomScale="100" zoomScaleNormal="100" workbookViewId="0">
      <pane xSplit="2" ySplit="7" topLeftCell="C8" activePane="bottomRight" state="frozen"/>
      <selection pane="topRight" activeCell="C8" sqref="C8"/>
      <selection pane="bottomLeft" activeCell="C8" sqref="C8"/>
      <selection pane="bottomRight" activeCell="C8" sqref="C8"/>
    </sheetView>
  </sheetViews>
  <sheetFormatPr defaultColWidth="8.7109375" defaultRowHeight="15" x14ac:dyDescent="0.25"/>
  <cols>
    <col min="1" max="1" width="2" style="17" customWidth="1"/>
    <col min="2" max="3" width="10" style="17" customWidth="1"/>
    <col min="4" max="5" width="12" style="17" customWidth="1"/>
    <col min="6" max="6" width="10" style="17" customWidth="1"/>
    <col min="7" max="7" width="13" style="17" customWidth="1"/>
    <col min="8" max="9" width="10" style="17" customWidth="1"/>
    <col min="10" max="10" width="13" style="17" customWidth="1"/>
    <col min="11" max="11" width="12" style="17" customWidth="1"/>
    <col min="12" max="13" width="13" style="17" customWidth="1"/>
    <col min="14" max="19" width="8.7109375" style="17"/>
    <col min="20" max="20" width="19.28515625" style="17" bestFit="1" customWidth="1"/>
    <col min="21" max="16384" width="8.7109375" style="17"/>
  </cols>
  <sheetData>
    <row r="2" spans="2:22" ht="25.5" customHeight="1" x14ac:dyDescent="0.25">
      <c r="B2" s="39" t="s">
        <v>676</v>
      </c>
    </row>
    <row r="3" spans="2:22" x14ac:dyDescent="0.25">
      <c r="B3" s="40" t="s">
        <v>677</v>
      </c>
    </row>
    <row r="4" spans="2:22" x14ac:dyDescent="0.25">
      <c r="B4" s="40" t="s">
        <v>678</v>
      </c>
    </row>
    <row r="6" spans="2:22" x14ac:dyDescent="0.25">
      <c r="B6" s="45" t="s">
        <v>679</v>
      </c>
    </row>
    <row r="7" spans="2:22" ht="30" customHeight="1" x14ac:dyDescent="0.25">
      <c r="B7" s="41" t="s">
        <v>680</v>
      </c>
      <c r="C7" s="41" t="s">
        <v>681</v>
      </c>
      <c r="D7" s="41" t="s">
        <v>682</v>
      </c>
      <c r="E7" s="41" t="s">
        <v>683</v>
      </c>
      <c r="F7" s="41" t="s">
        <v>684</v>
      </c>
      <c r="G7" s="41" t="s">
        <v>685</v>
      </c>
      <c r="H7" s="41" t="s">
        <v>660</v>
      </c>
      <c r="I7" s="41" t="s">
        <v>662</v>
      </c>
      <c r="J7" s="41" t="s">
        <v>686</v>
      </c>
      <c r="K7" s="41" t="s">
        <v>687</v>
      </c>
      <c r="L7" s="41" t="s">
        <v>688</v>
      </c>
      <c r="M7" s="66"/>
      <c r="N7" s="66" t="s">
        <v>649</v>
      </c>
      <c r="O7" s="66" t="s">
        <v>671</v>
      </c>
      <c r="P7" s="66" t="s">
        <v>689</v>
      </c>
      <c r="Q7" s="66" t="s">
        <v>672</v>
      </c>
    </row>
    <row r="8" spans="2:22" x14ac:dyDescent="0.25">
      <c r="B8" s="67" t="str">
        <f>'[8]Data Constant'!B10</f>
        <v>1Q 2005</v>
      </c>
      <c r="C8" s="68">
        <f>('[8]Data Constant'!F10/'[8]Data Constant'!F6-1)*100</f>
        <v>7.2187867604144529</v>
      </c>
      <c r="D8" s="69">
        <f>('[8]Data Constant'!G10-'[8]Data Constant'!G6)/'[8]Data Constant'!$F6*100</f>
        <v>3.1632397324267356</v>
      </c>
      <c r="E8" s="69">
        <f>('[8]Data Constant'!H10-'[8]Data Constant'!H6)/'[8]Data Constant'!$F6*100</f>
        <v>0.97574097430837348</v>
      </c>
      <c r="F8" s="69">
        <f>('[8]Data Constant'!I10-'[8]Data Constant'!I6)/'[8]Data Constant'!$F6*100</f>
        <v>1.9284513818612645</v>
      </c>
      <c r="G8" s="69">
        <f>('[8]Data Constant'!N10-'[8]Data Constant'!N6)/'[8]Data Constant'!$F6*100</f>
        <v>0.1561804591005736</v>
      </c>
      <c r="H8" s="69">
        <f>('[8]Data Constant'!L10-'[8]Data Constant'!L6)/'[8]Data Constant'!$F6*100</f>
        <v>3.5651201968518356</v>
      </c>
      <c r="I8" s="69">
        <f>-('[8]Data Constant'!M10-'[8]Data Constant'!M6)/'[8]Data Constant'!$F6*100</f>
        <v>-2.5699669772668741</v>
      </c>
      <c r="J8" s="70">
        <f t="shared" ref="J8:J71" si="0">SUM(D8:I8)</f>
        <v>7.2187657672819068</v>
      </c>
      <c r="K8" s="71">
        <f t="shared" ref="K8:K71" si="1">J8-C8</f>
        <v>-2.0993132546109905E-5</v>
      </c>
      <c r="L8" s="72" t="str">
        <f>IF(OR('[8]Data Constant'!K10="",'[8]Data Constant'!K6=""),"",('[8]Data Constant'!K10-'[8]Data Constant'!K6)/'[8]Data Constant'!$F6*100)</f>
        <v/>
      </c>
      <c r="M8" s="72"/>
    </row>
    <row r="9" spans="2:22" x14ac:dyDescent="0.25">
      <c r="B9" s="67" t="str">
        <f>'[8]Data Constant'!B11</f>
        <v>2Q 2005</v>
      </c>
      <c r="C9" s="68">
        <f>('[8]Data Constant'!F11/'[8]Data Constant'!F7-1)*100</f>
        <v>13.077980723992845</v>
      </c>
      <c r="D9" s="69">
        <f>('[8]Data Constant'!G11-'[8]Data Constant'!G7)/'[8]Data Constant'!$F7*100</f>
        <v>9.1326720069528964</v>
      </c>
      <c r="E9" s="69">
        <f>('[8]Data Constant'!H11-'[8]Data Constant'!H7)/'[8]Data Constant'!$F7*100</f>
        <v>1.1936130582779503</v>
      </c>
      <c r="F9" s="69">
        <f>('[8]Data Constant'!I11-'[8]Data Constant'!I7)/'[8]Data Constant'!$F7*100</f>
        <v>2.4325395479517256</v>
      </c>
      <c r="G9" s="69">
        <f>('[8]Data Constant'!N11-'[8]Data Constant'!N7)/'[8]Data Constant'!$F7*100</f>
        <v>3.2731466902715861E-2</v>
      </c>
      <c r="H9" s="69">
        <f>('[8]Data Constant'!L11-'[8]Data Constant'!L7)/'[8]Data Constant'!$F7*100</f>
        <v>3.6460785415842349</v>
      </c>
      <c r="I9" s="69">
        <f>-('[8]Data Constant'!M11-'[8]Data Constant'!M7)/'[8]Data Constant'!$F7*100</f>
        <v>-3.3596503024778595</v>
      </c>
      <c r="J9" s="70">
        <f t="shared" si="0"/>
        <v>13.077984319191664</v>
      </c>
      <c r="K9" s="71">
        <f t="shared" si="1"/>
        <v>3.5951988195392914E-6</v>
      </c>
      <c r="L9" s="72" t="str">
        <f>IF(OR('[8]Data Constant'!K11="",'[8]Data Constant'!K7=""),"",('[8]Data Constant'!K11-'[8]Data Constant'!K7)/'[8]Data Constant'!$F7*100)</f>
        <v/>
      </c>
      <c r="M9" s="72"/>
    </row>
    <row r="10" spans="2:22" x14ac:dyDescent="0.25">
      <c r="B10" s="67" t="str">
        <f>'[8]Data Constant'!B12</f>
        <v>3Q 2005</v>
      </c>
      <c r="C10" s="68">
        <f>('[8]Data Constant'!F12/'[8]Data Constant'!F8-1)*100</f>
        <v>6.9719778698320356</v>
      </c>
      <c r="D10" s="69">
        <f>('[8]Data Constant'!G12-'[8]Data Constant'!G8)/'[8]Data Constant'!$F8*100</f>
        <v>2.7830689861164477</v>
      </c>
      <c r="E10" s="69">
        <f>('[8]Data Constant'!H12-'[8]Data Constant'!H8)/'[8]Data Constant'!$F8*100</f>
        <v>1.0925909598879389</v>
      </c>
      <c r="F10" s="69">
        <f>('[8]Data Constant'!I12-'[8]Data Constant'!I8)/'[8]Data Constant'!$F8*100</f>
        <v>2.2226429071749898</v>
      </c>
      <c r="G10" s="69">
        <f>('[8]Data Constant'!N12-'[8]Data Constant'!N8)/'[8]Data Constant'!$F8*100</f>
        <v>-3.7611895267972859E-2</v>
      </c>
      <c r="H10" s="69">
        <f>('[8]Data Constant'!L12-'[8]Data Constant'!L8)/'[8]Data Constant'!$F8*100</f>
        <v>3.286596025338123</v>
      </c>
      <c r="I10" s="69">
        <f>-('[8]Data Constant'!M12-'[8]Data Constant'!M8)/'[8]Data Constant'!$F8*100</f>
        <v>-2.3753036446598976</v>
      </c>
      <c r="J10" s="70">
        <f t="shared" si="0"/>
        <v>6.971983338589629</v>
      </c>
      <c r="K10" s="71">
        <f t="shared" si="1"/>
        <v>5.4687575934408983E-6</v>
      </c>
      <c r="L10" s="72" t="str">
        <f>IF(OR('[8]Data Constant'!K12="",'[8]Data Constant'!K8=""),"",('[8]Data Constant'!K12-'[8]Data Constant'!K8)/'[8]Data Constant'!$F8*100)</f>
        <v/>
      </c>
      <c r="M10" s="72"/>
    </row>
    <row r="11" spans="2:22" x14ac:dyDescent="0.25">
      <c r="B11" s="67" t="str">
        <f>'[8]Data Constant'!B13</f>
        <v>4Q 2005</v>
      </c>
      <c r="C11" s="68">
        <f>('[8]Data Constant'!F13/'[8]Data Constant'!F9-1)*100</f>
        <v>7.7828944992746285</v>
      </c>
      <c r="D11" s="69">
        <f>('[8]Data Constant'!G13-'[8]Data Constant'!G9)/'[8]Data Constant'!$F9*100</f>
        <v>3.5811304417528307</v>
      </c>
      <c r="E11" s="69">
        <f>('[8]Data Constant'!H13-'[8]Data Constant'!H9)/'[8]Data Constant'!$F9*100</f>
        <v>1.1075976642328753</v>
      </c>
      <c r="F11" s="69">
        <f>('[8]Data Constant'!I13-'[8]Data Constant'!I9)/'[8]Data Constant'!$F9*100</f>
        <v>3.453051451331532</v>
      </c>
      <c r="G11" s="69">
        <f>('[8]Data Constant'!N13-'[8]Data Constant'!N9)/'[8]Data Constant'!$F9*100</f>
        <v>0.17946060653620324</v>
      </c>
      <c r="H11" s="69">
        <f>('[8]Data Constant'!L13-'[8]Data Constant'!L9)/'[8]Data Constant'!$F9*100</f>
        <v>1.7857561095162744</v>
      </c>
      <c r="I11" s="69">
        <f>-('[8]Data Constant'!M13-'[8]Data Constant'!M9)/'[8]Data Constant'!$F9*100</f>
        <v>-2.3240910754957622</v>
      </c>
      <c r="J11" s="70">
        <f t="shared" si="0"/>
        <v>7.7829051978739532</v>
      </c>
      <c r="K11" s="71">
        <f t="shared" si="1"/>
        <v>1.069859932467665E-5</v>
      </c>
      <c r="L11" s="72" t="str">
        <f>IF(OR('[8]Data Constant'!K13="",'[8]Data Constant'!K9=""),"",('[8]Data Constant'!K13-'[8]Data Constant'!K9)/'[8]Data Constant'!$F9*100)</f>
        <v/>
      </c>
      <c r="M11" s="72"/>
      <c r="N11" s="73">
        <f>SUM(O11:Q11)</f>
        <v>7.7829051978739532</v>
      </c>
      <c r="O11" s="73">
        <f>D11+E11+F11</f>
        <v>8.1417795573172373</v>
      </c>
      <c r="P11" s="73">
        <f>+G11</f>
        <v>0.17946060653620324</v>
      </c>
      <c r="Q11" s="73">
        <f>+H11+I11</f>
        <v>-0.53833496597948782</v>
      </c>
      <c r="R11" s="73"/>
      <c r="S11" s="73"/>
      <c r="T11" s="73"/>
      <c r="U11" s="73"/>
      <c r="V11" s="73"/>
    </row>
    <row r="12" spans="2:22" x14ac:dyDescent="0.25">
      <c r="B12" s="67" t="str">
        <f>'[8]Data Constant'!B14</f>
        <v>1Q 2006</v>
      </c>
      <c r="C12" s="68">
        <f>('[8]Data Constant'!F14/'[8]Data Constant'!F10-1)*100</f>
        <v>7.8495710696018461</v>
      </c>
      <c r="D12" s="69">
        <f>('[8]Data Constant'!G14-'[8]Data Constant'!G10)/'[8]Data Constant'!$F10*100</f>
        <v>7.1086258973726197</v>
      </c>
      <c r="E12" s="69">
        <f>('[8]Data Constant'!H14-'[8]Data Constant'!H10)/'[8]Data Constant'!$F10*100</f>
        <v>0.5469024111300026</v>
      </c>
      <c r="F12" s="69">
        <f>('[8]Data Constant'!I14-'[8]Data Constant'!I10)/'[8]Data Constant'!$F10*100</f>
        <v>2.6669511661467546</v>
      </c>
      <c r="G12" s="69">
        <f>('[8]Data Constant'!N14-'[8]Data Constant'!N10)/'[8]Data Constant'!$F10*100</f>
        <v>-1.4408435828567356</v>
      </c>
      <c r="H12" s="69">
        <f>('[8]Data Constant'!L14-'[8]Data Constant'!L10)/'[8]Data Constant'!$F10*100</f>
        <v>1.3401098455194522</v>
      </c>
      <c r="I12" s="69">
        <f>-('[8]Data Constant'!M14-'[8]Data Constant'!M10)/'[8]Data Constant'!$F10*100</f>
        <v>-2.3721746677103894</v>
      </c>
      <c r="J12" s="70">
        <f t="shared" si="0"/>
        <v>7.8495710696017031</v>
      </c>
      <c r="K12" s="71">
        <f t="shared" si="1"/>
        <v>-1.4299672557172016E-13</v>
      </c>
      <c r="L12" s="72" t="str">
        <f>IF(OR('[8]Data Constant'!K14="",'[8]Data Constant'!K10=""),"",('[8]Data Constant'!K14-'[8]Data Constant'!K10)/'[8]Data Constant'!$F10*100)</f>
        <v/>
      </c>
      <c r="M12" s="72"/>
      <c r="N12" s="73">
        <f t="shared" ref="N12:N75" si="2">SUM(O12:Q12)</f>
        <v>7.8495710696017031</v>
      </c>
      <c r="O12" s="73">
        <f t="shared" ref="O12:O75" si="3">D12+E12+F12</f>
        <v>10.322479474649377</v>
      </c>
      <c r="P12" s="73">
        <f t="shared" ref="P12:P75" si="4">+G12</f>
        <v>-1.4408435828567356</v>
      </c>
      <c r="Q12" s="73">
        <f t="shared" ref="Q12:Q75" si="5">+H12+I12</f>
        <v>-1.0320648221909372</v>
      </c>
      <c r="R12" s="73"/>
      <c r="S12" s="73"/>
      <c r="T12" s="73"/>
      <c r="U12" s="73"/>
      <c r="V12" s="73"/>
    </row>
    <row r="13" spans="2:22" x14ac:dyDescent="0.25">
      <c r="B13" s="67" t="str">
        <f>'[8]Data Constant'!B15</f>
        <v>2Q 2006</v>
      </c>
      <c r="C13" s="68">
        <f>('[8]Data Constant'!F15/'[8]Data Constant'!F11-1)*100</f>
        <v>5.5715853041057306</v>
      </c>
      <c r="D13" s="69">
        <f>('[8]Data Constant'!G15-'[8]Data Constant'!G11)/'[8]Data Constant'!$F11*100</f>
        <v>4.6481124911920499</v>
      </c>
      <c r="E13" s="69">
        <f>('[8]Data Constant'!H15-'[8]Data Constant'!H11)/'[8]Data Constant'!$F11*100</f>
        <v>0.30787146806520105</v>
      </c>
      <c r="F13" s="69">
        <f>('[8]Data Constant'!I15-'[8]Data Constant'!I11)/'[8]Data Constant'!$F11*100</f>
        <v>1.8648867900114288</v>
      </c>
      <c r="G13" s="69">
        <f>('[8]Data Constant'!N15-'[8]Data Constant'!N11)/'[8]Data Constant'!$F11*100</f>
        <v>-1.0357940650642414</v>
      </c>
      <c r="H13" s="69">
        <f>('[8]Data Constant'!L15-'[8]Data Constant'!L11)/'[8]Data Constant'!$F11*100</f>
        <v>0.55252231150457309</v>
      </c>
      <c r="I13" s="69">
        <f>-('[8]Data Constant'!M15-'[8]Data Constant'!M11)/'[8]Data Constant'!$F11*100</f>
        <v>-0.76601369160332322</v>
      </c>
      <c r="J13" s="70">
        <f t="shared" si="0"/>
        <v>5.5715853041056889</v>
      </c>
      <c r="K13" s="71">
        <f t="shared" si="1"/>
        <v>-4.1744385725905886E-14</v>
      </c>
      <c r="L13" s="72" t="str">
        <f>IF(OR('[8]Data Constant'!K15="",'[8]Data Constant'!K11=""),"",('[8]Data Constant'!K15-'[8]Data Constant'!K11)/'[8]Data Constant'!$F11*100)</f>
        <v/>
      </c>
      <c r="M13" s="72"/>
      <c r="N13" s="73">
        <f t="shared" si="2"/>
        <v>5.5715853041056889</v>
      </c>
      <c r="O13" s="73">
        <f t="shared" si="3"/>
        <v>6.8208707492686802</v>
      </c>
      <c r="P13" s="73">
        <f t="shared" si="4"/>
        <v>-1.0357940650642414</v>
      </c>
      <c r="Q13" s="73">
        <f t="shared" si="5"/>
        <v>-0.21349138009875013</v>
      </c>
      <c r="R13" s="73"/>
      <c r="S13" s="73"/>
      <c r="T13" s="73"/>
      <c r="U13" s="73"/>
      <c r="V13" s="73"/>
    </row>
    <row r="14" spans="2:22" x14ac:dyDescent="0.25">
      <c r="B14" s="67" t="str">
        <f>'[8]Data Constant'!B16</f>
        <v>3Q 2006</v>
      </c>
      <c r="C14" s="68">
        <f>('[8]Data Constant'!F16/'[8]Data Constant'!F12-1)*100</f>
        <v>9.3804902810719959</v>
      </c>
      <c r="D14" s="69">
        <f>('[8]Data Constant'!G16-'[8]Data Constant'!G12)/'[8]Data Constant'!$F12*100</f>
        <v>9.5515716486205271</v>
      </c>
      <c r="E14" s="69">
        <f>('[8]Data Constant'!H16-'[8]Data Constant'!H12)/'[8]Data Constant'!$F12*100</f>
        <v>0.3618146812674351</v>
      </c>
      <c r="F14" s="69">
        <f>('[8]Data Constant'!I16-'[8]Data Constant'!I12)/'[8]Data Constant'!$F12*100</f>
        <v>3.163020806943547</v>
      </c>
      <c r="G14" s="69">
        <f>('[8]Data Constant'!N16-'[8]Data Constant'!N12)/'[8]Data Constant'!$F12*100</f>
        <v>-1.916753073594762</v>
      </c>
      <c r="H14" s="69">
        <f>('[8]Data Constant'!L16-'[8]Data Constant'!L12)/'[8]Data Constant'!$F12*100</f>
        <v>0.74652874168628303</v>
      </c>
      <c r="I14" s="69">
        <f>-('[8]Data Constant'!M16-'[8]Data Constant'!M12)/'[8]Data Constant'!$F12*100</f>
        <v>-2.5256925238511063</v>
      </c>
      <c r="J14" s="70">
        <f t="shared" si="0"/>
        <v>9.3804902810719248</v>
      </c>
      <c r="K14" s="71">
        <f t="shared" si="1"/>
        <v>-7.1054273576010019E-14</v>
      </c>
      <c r="L14" s="72" t="str">
        <f>IF(OR('[8]Data Constant'!K16="",'[8]Data Constant'!K12=""),"",('[8]Data Constant'!K16-'[8]Data Constant'!K12)/'[8]Data Constant'!$F12*100)</f>
        <v/>
      </c>
      <c r="M14" s="72"/>
      <c r="N14" s="73">
        <f t="shared" si="2"/>
        <v>9.3804902810719248</v>
      </c>
      <c r="O14" s="73">
        <f t="shared" si="3"/>
        <v>13.076407136831509</v>
      </c>
      <c r="P14" s="73">
        <f t="shared" si="4"/>
        <v>-1.916753073594762</v>
      </c>
      <c r="Q14" s="73">
        <f t="shared" si="5"/>
        <v>-1.7791637821648232</v>
      </c>
      <c r="R14" s="73"/>
      <c r="S14" s="73"/>
      <c r="T14" s="73"/>
      <c r="U14" s="73"/>
      <c r="V14" s="73"/>
    </row>
    <row r="15" spans="2:22" x14ac:dyDescent="0.25">
      <c r="B15" s="67" t="str">
        <f>'[8]Data Constant'!B17</f>
        <v>4Q 2006</v>
      </c>
      <c r="C15" s="68">
        <f>('[8]Data Constant'!F17/'[8]Data Constant'!F13-1)*100</f>
        <v>9.6770403769850244</v>
      </c>
      <c r="D15" s="69">
        <f>('[8]Data Constant'!G17-'[8]Data Constant'!G13)/'[8]Data Constant'!$F13*100</f>
        <v>6.8154071879841016</v>
      </c>
      <c r="E15" s="69">
        <f>('[8]Data Constant'!H17-'[8]Data Constant'!H13)/'[8]Data Constant'!$F13*100</f>
        <v>0.47242029439583555</v>
      </c>
      <c r="F15" s="69">
        <f>('[8]Data Constant'!I17-'[8]Data Constant'!I13)/'[8]Data Constant'!$F13*100</f>
        <v>2.184672465883561</v>
      </c>
      <c r="G15" s="69">
        <f>('[8]Data Constant'!N17-'[8]Data Constant'!N13)/'[8]Data Constant'!$F13*100</f>
        <v>-0.35478561153075594</v>
      </c>
      <c r="H15" s="69">
        <f>('[8]Data Constant'!L17-'[8]Data Constant'!L13)/'[8]Data Constant'!$F13*100</f>
        <v>2.9449256990426949</v>
      </c>
      <c r="I15" s="69">
        <f>-('[8]Data Constant'!M17-'[8]Data Constant'!M13)/'[8]Data Constant'!$F13*100</f>
        <v>-2.3855996587903765</v>
      </c>
      <c r="J15" s="70">
        <f t="shared" si="0"/>
        <v>9.6770403769850599</v>
      </c>
      <c r="K15" s="71">
        <f t="shared" si="1"/>
        <v>3.5527136788005009E-14</v>
      </c>
      <c r="L15" s="72" t="str">
        <f>IF(OR('[8]Data Constant'!K17="",'[8]Data Constant'!K13=""),"",('[8]Data Constant'!K17-'[8]Data Constant'!K13)/'[8]Data Constant'!$F13*100)</f>
        <v/>
      </c>
      <c r="M15" s="72"/>
      <c r="N15" s="73">
        <f t="shared" si="2"/>
        <v>9.6770403769850581</v>
      </c>
      <c r="O15" s="73">
        <f t="shared" si="3"/>
        <v>9.4724999482634971</v>
      </c>
      <c r="P15" s="73">
        <f t="shared" si="4"/>
        <v>-0.35478561153075594</v>
      </c>
      <c r="Q15" s="73">
        <f t="shared" si="5"/>
        <v>0.55932604025231836</v>
      </c>
      <c r="R15" s="73"/>
      <c r="S15" s="73"/>
      <c r="T15" s="73"/>
      <c r="U15" s="73"/>
      <c r="V15" s="73"/>
    </row>
    <row r="16" spans="2:22" x14ac:dyDescent="0.25">
      <c r="B16" s="67" t="str">
        <f>'[8]Data Constant'!B18</f>
        <v>1Q 2007</v>
      </c>
      <c r="C16" s="68">
        <f>('[8]Data Constant'!F18/'[8]Data Constant'!F14-1)*100</f>
        <v>8.358941136275666</v>
      </c>
      <c r="D16" s="69">
        <f>('[8]Data Constant'!G18-'[8]Data Constant'!G14)/'[8]Data Constant'!$F14*100</f>
        <v>7.4497859936735802</v>
      </c>
      <c r="E16" s="69">
        <f>('[8]Data Constant'!H18-'[8]Data Constant'!H14)/'[8]Data Constant'!$F14*100</f>
        <v>0.81625616693426861</v>
      </c>
      <c r="F16" s="69">
        <f>('[8]Data Constant'!I18-'[8]Data Constant'!I14)/'[8]Data Constant'!$F14*100</f>
        <v>3.3104134833189192</v>
      </c>
      <c r="G16" s="69">
        <f>('[8]Data Constant'!N18-'[8]Data Constant'!N14)/'[8]Data Constant'!$F14*100</f>
        <v>-1.0630790173721179</v>
      </c>
      <c r="H16" s="69">
        <f>('[8]Data Constant'!L18-'[8]Data Constant'!L14)/'[8]Data Constant'!$F14*100</f>
        <v>0.78755782803601493</v>
      </c>
      <c r="I16" s="69">
        <f>-('[8]Data Constant'!M18-'[8]Data Constant'!M14)/'[8]Data Constant'!$F14*100</f>
        <v>-2.9419933183148568</v>
      </c>
      <c r="J16" s="70">
        <f t="shared" si="0"/>
        <v>8.3589411362758081</v>
      </c>
      <c r="K16" s="71">
        <f t="shared" si="1"/>
        <v>1.4210854715202004E-13</v>
      </c>
      <c r="L16" s="72" t="str">
        <f>IF(OR('[8]Data Constant'!K18="",'[8]Data Constant'!K14=""),"",('[8]Data Constant'!K18-'[8]Data Constant'!K14)/'[8]Data Constant'!$F14*100)</f>
        <v/>
      </c>
      <c r="M16" s="72"/>
      <c r="N16" s="73">
        <f t="shared" si="2"/>
        <v>8.3589411362758099</v>
      </c>
      <c r="O16" s="73">
        <f t="shared" si="3"/>
        <v>11.576455643926769</v>
      </c>
      <c r="P16" s="73">
        <f t="shared" si="4"/>
        <v>-1.0630790173721179</v>
      </c>
      <c r="Q16" s="73">
        <f t="shared" si="5"/>
        <v>-2.1544354902788418</v>
      </c>
      <c r="R16" s="73"/>
      <c r="S16" s="73"/>
      <c r="T16" s="73"/>
      <c r="U16" s="73"/>
      <c r="V16" s="73"/>
    </row>
    <row r="17" spans="2:22" x14ac:dyDescent="0.25">
      <c r="B17" s="67" t="str">
        <f>'[8]Data Constant'!B19</f>
        <v>2Q 2007</v>
      </c>
      <c r="C17" s="68">
        <f>('[8]Data Constant'!F19/'[8]Data Constant'!F15-1)*100</f>
        <v>9.8593873867638173</v>
      </c>
      <c r="D17" s="69">
        <f>('[8]Data Constant'!G19-'[8]Data Constant'!G15)/'[8]Data Constant'!$F15*100</f>
        <v>5.0859217746084484</v>
      </c>
      <c r="E17" s="69">
        <f>('[8]Data Constant'!H19-'[8]Data Constant'!H15)/'[8]Data Constant'!$F15*100</f>
        <v>0.85606634046717456</v>
      </c>
      <c r="F17" s="69">
        <f>('[8]Data Constant'!I19-'[8]Data Constant'!I15)/'[8]Data Constant'!$F15*100</f>
        <v>3.2597320254070459</v>
      </c>
      <c r="G17" s="69">
        <f>('[8]Data Constant'!N19-'[8]Data Constant'!N15)/'[8]Data Constant'!$F15*100</f>
        <v>1.5553315962347734</v>
      </c>
      <c r="H17" s="69">
        <f>('[8]Data Constant'!L19-'[8]Data Constant'!L15)/'[8]Data Constant'!$F15*100</f>
        <v>1.6970396168219377</v>
      </c>
      <c r="I17" s="69">
        <f>-('[8]Data Constant'!M19-'[8]Data Constant'!M15)/'[8]Data Constant'!$F15*100</f>
        <v>-2.5947039667752114</v>
      </c>
      <c r="J17" s="70">
        <f t="shared" si="0"/>
        <v>9.859387386764169</v>
      </c>
      <c r="K17" s="71">
        <f t="shared" si="1"/>
        <v>3.5171865420124959E-13</v>
      </c>
      <c r="L17" s="72" t="str">
        <f>IF(OR('[8]Data Constant'!K19="",'[8]Data Constant'!K15=""),"",('[8]Data Constant'!K19-'[8]Data Constant'!K15)/'[8]Data Constant'!$F15*100)</f>
        <v/>
      </c>
      <c r="M17" s="72"/>
      <c r="N17" s="73">
        <f t="shared" si="2"/>
        <v>9.859387386764169</v>
      </c>
      <c r="O17" s="73">
        <f t="shared" si="3"/>
        <v>9.201720140482669</v>
      </c>
      <c r="P17" s="73">
        <f t="shared" si="4"/>
        <v>1.5553315962347734</v>
      </c>
      <c r="Q17" s="73">
        <f t="shared" si="5"/>
        <v>-0.89766434995327371</v>
      </c>
      <c r="R17" s="73"/>
      <c r="S17" s="73"/>
      <c r="T17" s="73"/>
      <c r="U17" s="73"/>
      <c r="V17" s="73"/>
    </row>
    <row r="18" spans="2:22" x14ac:dyDescent="0.25">
      <c r="B18" s="67" t="str">
        <f>'[8]Data Constant'!B20</f>
        <v>3Q 2007</v>
      </c>
      <c r="C18" s="68">
        <f>('[8]Data Constant'!F20/'[8]Data Constant'!F16-1)*100</f>
        <v>8.4277977126809844</v>
      </c>
      <c r="D18" s="69">
        <f>('[8]Data Constant'!G20-'[8]Data Constant'!G16)/'[8]Data Constant'!$F16*100</f>
        <v>5.3625350550854929</v>
      </c>
      <c r="E18" s="69">
        <f>('[8]Data Constant'!H20-'[8]Data Constant'!H16)/'[8]Data Constant'!$F16*100</f>
        <v>0.81201467830443186</v>
      </c>
      <c r="F18" s="69">
        <f>('[8]Data Constant'!I20-'[8]Data Constant'!I16)/'[8]Data Constant'!$F16*100</f>
        <v>4.0259232388596287</v>
      </c>
      <c r="G18" s="69">
        <f>('[8]Data Constant'!N20-'[8]Data Constant'!N16)/'[8]Data Constant'!$F16*100</f>
        <v>0.29828216209235758</v>
      </c>
      <c r="H18" s="69">
        <f>('[8]Data Constant'!L20-'[8]Data Constant'!L16)/'[8]Data Constant'!$F16*100</f>
        <v>2.6084335189367769</v>
      </c>
      <c r="I18" s="69">
        <f>-('[8]Data Constant'!M20-'[8]Data Constant'!M16)/'[8]Data Constant'!$F16*100</f>
        <v>-4.679390940597929</v>
      </c>
      <c r="J18" s="70">
        <f t="shared" si="0"/>
        <v>8.4277977126807571</v>
      </c>
      <c r="K18" s="71">
        <f t="shared" si="1"/>
        <v>-2.2737367544323206E-13</v>
      </c>
      <c r="L18" s="72" t="str">
        <f>IF(OR('[8]Data Constant'!K20="",'[8]Data Constant'!K16=""),"",('[8]Data Constant'!K20-'[8]Data Constant'!K16)/'[8]Data Constant'!$F16*100)</f>
        <v/>
      </c>
      <c r="M18" s="72"/>
      <c r="N18" s="73">
        <f t="shared" si="2"/>
        <v>8.4277977126807588</v>
      </c>
      <c r="O18" s="73">
        <f t="shared" si="3"/>
        <v>10.200472972249553</v>
      </c>
      <c r="P18" s="73">
        <f t="shared" si="4"/>
        <v>0.29828216209235758</v>
      </c>
      <c r="Q18" s="73">
        <f t="shared" si="5"/>
        <v>-2.0709574216611522</v>
      </c>
      <c r="R18" s="73"/>
      <c r="S18" s="73"/>
      <c r="T18" s="73"/>
      <c r="U18" s="73"/>
      <c r="V18" s="73"/>
    </row>
    <row r="19" spans="2:22" x14ac:dyDescent="0.25">
      <c r="B19" s="67" t="str">
        <f>'[8]Data Constant'!B21</f>
        <v>4Q 2007</v>
      </c>
      <c r="C19" s="68">
        <f>('[8]Data Constant'!F21/'[8]Data Constant'!F17-1)*100</f>
        <v>9.2673486299768904</v>
      </c>
      <c r="D19" s="69">
        <f>('[8]Data Constant'!G21-'[8]Data Constant'!G17)/'[8]Data Constant'!$F17*100</f>
        <v>6.6052232062445784</v>
      </c>
      <c r="E19" s="69">
        <f>('[8]Data Constant'!H21-'[8]Data Constant'!H17)/'[8]Data Constant'!$F17*100</f>
        <v>0.88479206918844389</v>
      </c>
      <c r="F19" s="69">
        <f>('[8]Data Constant'!I21-'[8]Data Constant'!I17)/'[8]Data Constant'!$F17*100</f>
        <v>4.07373488098417</v>
      </c>
      <c r="G19" s="69">
        <f>('[8]Data Constant'!N21-'[8]Data Constant'!N17)/'[8]Data Constant'!$F17*100</f>
        <v>-0.74519654920625311</v>
      </c>
      <c r="H19" s="69">
        <f>('[8]Data Constant'!L21-'[8]Data Constant'!L17)/'[8]Data Constant'!$F17*100</f>
        <v>2.745030939539681</v>
      </c>
      <c r="I19" s="69">
        <f>-('[8]Data Constant'!M21-'[8]Data Constant'!M17)/'[8]Data Constant'!$F17*100</f>
        <v>-4.2962359167739095</v>
      </c>
      <c r="J19" s="70">
        <f t="shared" si="0"/>
        <v>9.2673486299767109</v>
      </c>
      <c r="K19" s="71">
        <f t="shared" si="1"/>
        <v>-1.794120407794253E-13</v>
      </c>
      <c r="L19" s="72" t="str">
        <f>IF(OR('[8]Data Constant'!K21="",'[8]Data Constant'!K17=""),"",('[8]Data Constant'!K21-'[8]Data Constant'!K17)/'[8]Data Constant'!$F17*100)</f>
        <v/>
      </c>
      <c r="M19" s="72"/>
      <c r="N19" s="73">
        <f t="shared" si="2"/>
        <v>9.2673486299767109</v>
      </c>
      <c r="O19" s="73">
        <f t="shared" si="3"/>
        <v>11.563750156417193</v>
      </c>
      <c r="P19" s="73">
        <f t="shared" si="4"/>
        <v>-0.74519654920625311</v>
      </c>
      <c r="Q19" s="73">
        <f t="shared" si="5"/>
        <v>-1.5512049772342285</v>
      </c>
      <c r="R19" s="73"/>
      <c r="S19" s="73"/>
      <c r="T19" s="73"/>
      <c r="U19" s="73"/>
      <c r="V19" s="73"/>
    </row>
    <row r="20" spans="2:22" x14ac:dyDescent="0.25">
      <c r="B20" s="67" t="str">
        <f>'[8]Data Constant'!B22</f>
        <v>1Q 2008</v>
      </c>
      <c r="C20" s="68">
        <f>('[8]Data Constant'!F22/'[8]Data Constant'!F18-1)*100</f>
        <v>6.9123145766323058</v>
      </c>
      <c r="D20" s="69">
        <f>('[8]Data Constant'!G22-'[8]Data Constant'!G18)/'[8]Data Constant'!$F18*100</f>
        <v>6.9619858114388578</v>
      </c>
      <c r="E20" s="69">
        <f>('[8]Data Constant'!H22-'[8]Data Constant'!H18)/'[8]Data Constant'!$F18*100</f>
        <v>0.40112645977497424</v>
      </c>
      <c r="F20" s="69">
        <f>('[8]Data Constant'!I22-'[8]Data Constant'!I18)/'[8]Data Constant'!$F18*100</f>
        <v>3.3642852815589492</v>
      </c>
      <c r="G20" s="69">
        <f>('[8]Data Constant'!N22-'[8]Data Constant'!N18)/'[8]Data Constant'!$F18*100</f>
        <v>-0.6724301616916597</v>
      </c>
      <c r="H20" s="69">
        <f>('[8]Data Constant'!L22-'[8]Data Constant'!L18)/'[8]Data Constant'!$F18*100</f>
        <v>1.4234906775200356</v>
      </c>
      <c r="I20" s="69">
        <f>-('[8]Data Constant'!M22-'[8]Data Constant'!M18)/'[8]Data Constant'!$F18*100</f>
        <v>-4.566143491968786</v>
      </c>
      <c r="J20" s="70">
        <f t="shared" si="0"/>
        <v>6.9123145766323724</v>
      </c>
      <c r="K20" s="71">
        <f t="shared" si="1"/>
        <v>6.6613381477509392E-14</v>
      </c>
      <c r="L20" s="72" t="str">
        <f>IF(OR('[8]Data Constant'!K22="",'[8]Data Constant'!K18=""),"",('[8]Data Constant'!K22-'[8]Data Constant'!K18)/'[8]Data Constant'!$F18*100)</f>
        <v/>
      </c>
      <c r="M20" s="72"/>
      <c r="N20" s="73">
        <f t="shared" si="2"/>
        <v>6.9123145766323724</v>
      </c>
      <c r="O20" s="73">
        <f t="shared" si="3"/>
        <v>10.727397552772782</v>
      </c>
      <c r="P20" s="73">
        <f t="shared" si="4"/>
        <v>-0.6724301616916597</v>
      </c>
      <c r="Q20" s="73">
        <f t="shared" si="5"/>
        <v>-3.1426528144487502</v>
      </c>
      <c r="R20" s="73"/>
      <c r="S20" s="73"/>
      <c r="T20" s="73"/>
      <c r="U20" s="73"/>
      <c r="V20" s="73"/>
    </row>
    <row r="21" spans="2:22" x14ac:dyDescent="0.25">
      <c r="B21" s="67" t="str">
        <f>'[8]Data Constant'!B23</f>
        <v>2Q 2008</v>
      </c>
      <c r="C21" s="68">
        <f>('[8]Data Constant'!F23/'[8]Data Constant'!F19-1)*100</f>
        <v>5.4526854747524833</v>
      </c>
      <c r="D21" s="69">
        <f>('[8]Data Constant'!G23-'[8]Data Constant'!G19)/'[8]Data Constant'!$F19*100</f>
        <v>6.1564010907793465</v>
      </c>
      <c r="E21" s="69">
        <f>('[8]Data Constant'!H23-'[8]Data Constant'!H19)/'[8]Data Constant'!$F19*100</f>
        <v>0.57640038531891258</v>
      </c>
      <c r="F21" s="69">
        <f>('[8]Data Constant'!I23-'[8]Data Constant'!I19)/'[8]Data Constant'!$F19*100</f>
        <v>3.2017331438421266</v>
      </c>
      <c r="G21" s="69">
        <f>('[8]Data Constant'!N23-'[8]Data Constant'!N19)/'[8]Data Constant'!$F19*100</f>
        <v>0.47637069992050879</v>
      </c>
      <c r="H21" s="69">
        <f>('[8]Data Constant'!L23-'[8]Data Constant'!L19)/'[8]Data Constant'!$F19*100</f>
        <v>-0.60522278357912473</v>
      </c>
      <c r="I21" s="69">
        <f>-('[8]Data Constant'!M23-'[8]Data Constant'!M19)/'[8]Data Constant'!$F19*100</f>
        <v>-4.3529970615294884</v>
      </c>
      <c r="J21" s="70">
        <f t="shared" si="0"/>
        <v>5.4526854747522817</v>
      </c>
      <c r="K21" s="71">
        <f t="shared" si="1"/>
        <v>-2.0161650127192843E-13</v>
      </c>
      <c r="L21" s="72" t="str">
        <f>IF(OR('[8]Data Constant'!K23="",'[8]Data Constant'!K19=""),"",('[8]Data Constant'!K23-'[8]Data Constant'!K19)/'[8]Data Constant'!$F19*100)</f>
        <v/>
      </c>
      <c r="M21" s="72"/>
      <c r="N21" s="73">
        <f t="shared" si="2"/>
        <v>5.4526854747522817</v>
      </c>
      <c r="O21" s="73">
        <f t="shared" si="3"/>
        <v>9.9345346199403863</v>
      </c>
      <c r="P21" s="73">
        <f t="shared" si="4"/>
        <v>0.47637069992050879</v>
      </c>
      <c r="Q21" s="73">
        <f t="shared" si="5"/>
        <v>-4.958219845108613</v>
      </c>
      <c r="R21" s="73"/>
      <c r="S21" s="73"/>
      <c r="T21" s="73"/>
      <c r="U21" s="73"/>
      <c r="V21" s="73"/>
    </row>
    <row r="22" spans="2:22" x14ac:dyDescent="0.25">
      <c r="B22" s="67" t="str">
        <f>'[8]Data Constant'!B24</f>
        <v>3Q 2008</v>
      </c>
      <c r="C22" s="68">
        <f>('[8]Data Constant'!F24/'[8]Data Constant'!F20-1)*100</f>
        <v>6.0060161436697124</v>
      </c>
      <c r="D22" s="69">
        <f>('[8]Data Constant'!G24-'[8]Data Constant'!G20)/'[8]Data Constant'!$F20*100</f>
        <v>3.6252907506012511</v>
      </c>
      <c r="E22" s="69">
        <f>('[8]Data Constant'!H24-'[8]Data Constant'!H20)/'[8]Data Constant'!$F20*100</f>
        <v>0.68989004596582837</v>
      </c>
      <c r="F22" s="69">
        <f>('[8]Data Constant'!I24-'[8]Data Constant'!I20)/'[8]Data Constant'!$F20*100</f>
        <v>1.5657571780552266</v>
      </c>
      <c r="G22" s="69">
        <f>('[8]Data Constant'!N24-'[8]Data Constant'!N20)/'[8]Data Constant'!$F20*100</f>
        <v>0.38832940423003687</v>
      </c>
      <c r="H22" s="69">
        <f>('[8]Data Constant'!L24-'[8]Data Constant'!L20)/'[8]Data Constant'!$F20*100</f>
        <v>2.5001043150024471</v>
      </c>
      <c r="I22" s="69">
        <f>-('[8]Data Constant'!M24-'[8]Data Constant'!M20)/'[8]Data Constant'!$F20*100</f>
        <v>-2.7633555501848721</v>
      </c>
      <c r="J22" s="70">
        <f t="shared" si="0"/>
        <v>6.0060161436699175</v>
      </c>
      <c r="K22" s="71">
        <f t="shared" si="1"/>
        <v>2.0516921495072893E-13</v>
      </c>
      <c r="L22" s="72" t="str">
        <f>IF(OR('[8]Data Constant'!K24="",'[8]Data Constant'!K20=""),"",('[8]Data Constant'!K24-'[8]Data Constant'!K20)/'[8]Data Constant'!$F20*100)</f>
        <v/>
      </c>
      <c r="M22" s="72"/>
      <c r="N22" s="73">
        <f t="shared" si="2"/>
        <v>6.0060161436699175</v>
      </c>
      <c r="O22" s="73">
        <f t="shared" si="3"/>
        <v>5.8809379746223058</v>
      </c>
      <c r="P22" s="73">
        <f t="shared" si="4"/>
        <v>0.38832940423003687</v>
      </c>
      <c r="Q22" s="73">
        <f t="shared" si="5"/>
        <v>-0.26325123518242499</v>
      </c>
      <c r="R22" s="73"/>
      <c r="S22" s="73"/>
      <c r="T22" s="73"/>
      <c r="U22" s="73"/>
      <c r="V22" s="73"/>
    </row>
    <row r="23" spans="2:22" x14ac:dyDescent="0.25">
      <c r="B23" s="67" t="str">
        <f>'[8]Data Constant'!B25</f>
        <v>4Q 2008</v>
      </c>
      <c r="C23" s="68">
        <f>('[8]Data Constant'!F25/'[8]Data Constant'!F21-1)*100</f>
        <v>-1.9789908841391202</v>
      </c>
      <c r="D23" s="69">
        <f>('[8]Data Constant'!G25-'[8]Data Constant'!G21)/'[8]Data Constant'!$F21*100</f>
        <v>2.2377187546604347</v>
      </c>
      <c r="E23" s="69">
        <f>('[8]Data Constant'!H25-'[8]Data Constant'!H21)/'[8]Data Constant'!$F21*100</f>
        <v>0.45950103621844779</v>
      </c>
      <c r="F23" s="69">
        <f>('[8]Data Constant'!I25-'[8]Data Constant'!I21)/'[8]Data Constant'!$F21*100</f>
        <v>-1.2355481586337065</v>
      </c>
      <c r="G23" s="69">
        <f>('[8]Data Constant'!N25-'[8]Data Constant'!N21)/'[8]Data Constant'!$F21*100</f>
        <v>-1.7471402807726761</v>
      </c>
      <c r="H23" s="69">
        <f>('[8]Data Constant'!L25-'[8]Data Constant'!L21)/'[8]Data Constant'!$F21*100</f>
        <v>-2.3929020422186271</v>
      </c>
      <c r="I23" s="69">
        <f>-('[8]Data Constant'!M25-'[8]Data Constant'!M21)/'[8]Data Constant'!$F21*100</f>
        <v>0.69937980660710064</v>
      </c>
      <c r="J23" s="70">
        <f t="shared" si="0"/>
        <v>-1.9789908841390265</v>
      </c>
      <c r="K23" s="71">
        <f t="shared" si="1"/>
        <v>9.3702823278363212E-14</v>
      </c>
      <c r="L23" s="72" t="str">
        <f>IF(OR('[8]Data Constant'!K25="",'[8]Data Constant'!K21=""),"",('[8]Data Constant'!K25-'[8]Data Constant'!K21)/'[8]Data Constant'!$F21*100)</f>
        <v/>
      </c>
      <c r="M23" s="72"/>
      <c r="N23" s="73">
        <f t="shared" si="2"/>
        <v>-1.9789908841390267</v>
      </c>
      <c r="O23" s="73">
        <f t="shared" si="3"/>
        <v>1.4616716322451759</v>
      </c>
      <c r="P23" s="73">
        <f t="shared" si="4"/>
        <v>-1.7471402807726761</v>
      </c>
      <c r="Q23" s="73">
        <f t="shared" si="5"/>
        <v>-1.6935222356115265</v>
      </c>
      <c r="R23" s="73"/>
      <c r="S23" s="73"/>
      <c r="T23" s="73"/>
      <c r="U23" s="73"/>
      <c r="V23" s="73"/>
    </row>
    <row r="24" spans="2:22" x14ac:dyDescent="0.25">
      <c r="B24" s="67" t="str">
        <f>'[8]Data Constant'!B26</f>
        <v>1Q 2009</v>
      </c>
      <c r="C24" s="68">
        <f>('[8]Data Constant'!F26/'[8]Data Constant'!F22-1)*100</f>
        <v>-6.1887551440243165</v>
      </c>
      <c r="D24" s="69">
        <f>('[8]Data Constant'!G26-'[8]Data Constant'!G22)/'[8]Data Constant'!$F22*100</f>
        <v>-3.935618802663813</v>
      </c>
      <c r="E24" s="69">
        <f>('[8]Data Constant'!H26-'[8]Data Constant'!H22)/'[8]Data Constant'!$F22*100</f>
        <v>0.37309690528192285</v>
      </c>
      <c r="F24" s="69">
        <f>('[8]Data Constant'!I26-'[8]Data Constant'!I22)/'[8]Data Constant'!$F22*100</f>
        <v>-5.7344795772178676</v>
      </c>
      <c r="G24" s="69">
        <f>('[8]Data Constant'!N26-'[8]Data Constant'!N22)/'[8]Data Constant'!$F22*100</f>
        <v>-2.2661522745451093E-3</v>
      </c>
      <c r="H24" s="69">
        <f>('[8]Data Constant'!L26-'[8]Data Constant'!L22)/'[8]Data Constant'!$F22*100</f>
        <v>-1.71024808985708</v>
      </c>
      <c r="I24" s="69">
        <f>-('[8]Data Constant'!M26-'[8]Data Constant'!M22)/'[8]Data Constant'!$F22*100</f>
        <v>4.8207605727068099</v>
      </c>
      <c r="J24" s="70">
        <f t="shared" si="0"/>
        <v>-6.1887551440245723</v>
      </c>
      <c r="K24" s="71">
        <f t="shared" si="1"/>
        <v>-2.5579538487363607E-13</v>
      </c>
      <c r="L24" s="72" t="str">
        <f>IF(OR('[8]Data Constant'!K26="",'[8]Data Constant'!K22=""),"",('[8]Data Constant'!K26-'[8]Data Constant'!K22)/'[8]Data Constant'!$F22*100)</f>
        <v/>
      </c>
      <c r="M24" s="72"/>
      <c r="N24" s="73">
        <f t="shared" si="2"/>
        <v>-6.1887551440245723</v>
      </c>
      <c r="O24" s="73">
        <f t="shared" si="3"/>
        <v>-9.2970014745997567</v>
      </c>
      <c r="P24" s="73">
        <f t="shared" si="4"/>
        <v>-2.2661522745451093E-3</v>
      </c>
      <c r="Q24" s="73">
        <f t="shared" si="5"/>
        <v>3.1105124828497299</v>
      </c>
      <c r="R24" s="73"/>
      <c r="S24" s="73"/>
      <c r="T24" s="73"/>
      <c r="U24" s="73"/>
      <c r="V24" s="73"/>
    </row>
    <row r="25" spans="2:22" x14ac:dyDescent="0.25">
      <c r="B25" s="67" t="str">
        <f>'[8]Data Constant'!B27</f>
        <v>2Q 2009</v>
      </c>
      <c r="C25" s="68">
        <f>('[8]Data Constant'!F27/'[8]Data Constant'!F23-1)*100</f>
        <v>-11.274547152620917</v>
      </c>
      <c r="D25" s="69">
        <f>('[8]Data Constant'!G27-'[8]Data Constant'!G23)/'[8]Data Constant'!$F23*100</f>
        <v>-8.6616030789057064</v>
      </c>
      <c r="E25" s="69">
        <f>('[8]Data Constant'!H27-'[8]Data Constant'!H23)/'[8]Data Constant'!$F23*100</f>
        <v>0.31207377062486064</v>
      </c>
      <c r="F25" s="69">
        <f>('[8]Data Constant'!I27-'[8]Data Constant'!I23)/'[8]Data Constant'!$F23*100</f>
        <v>-6.6209520770902159</v>
      </c>
      <c r="G25" s="69">
        <f>('[8]Data Constant'!N27-'[8]Data Constant'!N23)/'[8]Data Constant'!$F23*100</f>
        <v>-2.263558156771873</v>
      </c>
      <c r="H25" s="69">
        <f>('[8]Data Constant'!L27-'[8]Data Constant'!L23)/'[8]Data Constant'!$F23*100</f>
        <v>1.1536607221830645E-2</v>
      </c>
      <c r="I25" s="69">
        <f>-('[8]Data Constant'!M27-'[8]Data Constant'!M23)/'[8]Data Constant'!$F23*100</f>
        <v>5.9479557823002391</v>
      </c>
      <c r="J25" s="70">
        <f t="shared" si="0"/>
        <v>-11.274547152620864</v>
      </c>
      <c r="K25" s="71">
        <f t="shared" si="1"/>
        <v>5.3290705182007514E-14</v>
      </c>
      <c r="L25" s="72" t="str">
        <f>IF(OR('[8]Data Constant'!K27="",'[8]Data Constant'!K23=""),"",('[8]Data Constant'!K27-'[8]Data Constant'!K23)/'[8]Data Constant'!$F23*100)</f>
        <v/>
      </c>
      <c r="M25" s="72"/>
      <c r="N25" s="73">
        <f t="shared" si="2"/>
        <v>-11.274547152620865</v>
      </c>
      <c r="O25" s="73">
        <f t="shared" si="3"/>
        <v>-14.970481385371063</v>
      </c>
      <c r="P25" s="73">
        <f t="shared" si="4"/>
        <v>-2.263558156771873</v>
      </c>
      <c r="Q25" s="73">
        <f t="shared" si="5"/>
        <v>5.9594923895220697</v>
      </c>
      <c r="R25" s="73"/>
      <c r="S25" s="73"/>
      <c r="T25" s="73"/>
      <c r="U25" s="73"/>
      <c r="V25" s="73"/>
    </row>
    <row r="26" spans="2:22" x14ac:dyDescent="0.25">
      <c r="B26" s="67" t="str">
        <f>'[8]Data Constant'!B28</f>
        <v>3Q 2009</v>
      </c>
      <c r="C26" s="68">
        <f>('[8]Data Constant'!F28/'[8]Data Constant'!F24-1)*100</f>
        <v>-5.6511799640529876</v>
      </c>
      <c r="D26" s="69">
        <f>('[8]Data Constant'!G28-'[8]Data Constant'!G24)/'[8]Data Constant'!$F24*100</f>
        <v>-0.92641210650118055</v>
      </c>
      <c r="E26" s="69">
        <f>('[8]Data Constant'!H28-'[8]Data Constant'!H24)/'[8]Data Constant'!$F24*100</f>
        <v>0.72759541464103217</v>
      </c>
      <c r="F26" s="69">
        <f>('[8]Data Constant'!I28-'[8]Data Constant'!I24)/'[8]Data Constant'!$F24*100</f>
        <v>-4.5955743575942742</v>
      </c>
      <c r="G26" s="69">
        <f>('[8]Data Constant'!N28-'[8]Data Constant'!N24)/'[8]Data Constant'!$F24*100</f>
        <v>0.328982972038735</v>
      </c>
      <c r="H26" s="69">
        <f>('[8]Data Constant'!L28-'[8]Data Constant'!L24)/'[8]Data Constant'!$F24*100</f>
        <v>-5.8100507279295144</v>
      </c>
      <c r="I26" s="69">
        <f>-('[8]Data Constant'!M28-'[8]Data Constant'!M24)/'[8]Data Constant'!$F24*100</f>
        <v>4.6242788412921172</v>
      </c>
      <c r="J26" s="70">
        <f t="shared" si="0"/>
        <v>-5.6511799640530853</v>
      </c>
      <c r="K26" s="71">
        <f t="shared" si="1"/>
        <v>-9.7699626167013776E-14</v>
      </c>
      <c r="L26" s="72" t="str">
        <f>IF(OR('[8]Data Constant'!K28="",'[8]Data Constant'!K24=""),"",('[8]Data Constant'!K28-'[8]Data Constant'!K24)/'[8]Data Constant'!$F24*100)</f>
        <v/>
      </c>
      <c r="M26" s="72"/>
      <c r="N26" s="73">
        <f t="shared" si="2"/>
        <v>-5.6511799640530853</v>
      </c>
      <c r="O26" s="73">
        <f t="shared" si="3"/>
        <v>-4.7943910494544228</v>
      </c>
      <c r="P26" s="73">
        <f t="shared" si="4"/>
        <v>0.328982972038735</v>
      </c>
      <c r="Q26" s="73">
        <f t="shared" si="5"/>
        <v>-1.1857718866373972</v>
      </c>
      <c r="R26" s="73"/>
      <c r="S26" s="73"/>
      <c r="T26" s="73"/>
      <c r="U26" s="73"/>
      <c r="V26" s="73"/>
    </row>
    <row r="27" spans="2:22" x14ac:dyDescent="0.25">
      <c r="B27" s="67" t="str">
        <f>'[8]Data Constant'!B29</f>
        <v>4Q 2009</v>
      </c>
      <c r="C27" s="68">
        <f>('[8]Data Constant'!F29/'[8]Data Constant'!F25-1)*100</f>
        <v>0.28199822612742231</v>
      </c>
      <c r="D27" s="69">
        <f>('[8]Data Constant'!G29-'[8]Data Constant'!G25)/'[8]Data Constant'!$F25*100</f>
        <v>-0.36872168049752102</v>
      </c>
      <c r="E27" s="69">
        <f>('[8]Data Constant'!H29-'[8]Data Constant'!H25)/'[8]Data Constant'!$F25*100</f>
        <v>1.0513373716812082</v>
      </c>
      <c r="F27" s="69">
        <f>('[8]Data Constant'!I29-'[8]Data Constant'!I25)/'[8]Data Constant'!$F25*100</f>
        <v>-1.4100232339767311</v>
      </c>
      <c r="G27" s="69">
        <f>('[8]Data Constant'!N29-'[8]Data Constant'!N25)/'[8]Data Constant'!$F25*100</f>
        <v>1.8089300335519116</v>
      </c>
      <c r="H27" s="69">
        <f>('[8]Data Constant'!L29-'[8]Data Constant'!L25)/'[8]Data Constant'!$F25*100</f>
        <v>-1.3207736951041853</v>
      </c>
      <c r="I27" s="69">
        <f>-('[8]Data Constant'!M29-'[8]Data Constant'!M25)/'[8]Data Constant'!$F25*100</f>
        <v>0.52124943047281647</v>
      </c>
      <c r="J27" s="70">
        <f t="shared" si="0"/>
        <v>0.28199822612749881</v>
      </c>
      <c r="K27" s="71">
        <f t="shared" si="1"/>
        <v>7.6494366396673286E-14</v>
      </c>
      <c r="L27" s="72" t="str">
        <f>IF(OR('[8]Data Constant'!K29="",'[8]Data Constant'!K25=""),"",('[8]Data Constant'!K29-'[8]Data Constant'!K25)/'[8]Data Constant'!$F25*100)</f>
        <v/>
      </c>
      <c r="M27" s="72"/>
      <c r="N27" s="73">
        <f t="shared" si="2"/>
        <v>0.28199822612749881</v>
      </c>
      <c r="O27" s="73">
        <f t="shared" si="3"/>
        <v>-0.72740754279304398</v>
      </c>
      <c r="P27" s="73">
        <f t="shared" si="4"/>
        <v>1.8089300335519116</v>
      </c>
      <c r="Q27" s="73">
        <f t="shared" si="5"/>
        <v>-0.79952426463136883</v>
      </c>
      <c r="R27" s="73"/>
      <c r="S27" s="73"/>
      <c r="T27" s="73"/>
      <c r="U27" s="73"/>
      <c r="V27" s="73"/>
    </row>
    <row r="28" spans="2:22" x14ac:dyDescent="0.25">
      <c r="B28" s="67" t="str">
        <f>'[8]Data Constant'!B30</f>
        <v>1Q 2010</v>
      </c>
      <c r="C28" s="68">
        <f>('[8]Data Constant'!F30/'[8]Data Constant'!F26-1)*100</f>
        <v>5.713269107521235</v>
      </c>
      <c r="D28" s="69">
        <f>('[8]Data Constant'!G30-'[8]Data Constant'!G26)/'[8]Data Constant'!$F26*100</f>
        <v>5.0170140194686264</v>
      </c>
      <c r="E28" s="69">
        <f>('[8]Data Constant'!H30-'[8]Data Constant'!H26)/'[8]Data Constant'!$F26*100</f>
        <v>0.81754854378893049</v>
      </c>
      <c r="F28" s="69">
        <f>('[8]Data Constant'!I30-'[8]Data Constant'!I26)/'[8]Data Constant'!$F26*100</f>
        <v>2.2962950643297035</v>
      </c>
      <c r="G28" s="69">
        <f>('[8]Data Constant'!N30-'[8]Data Constant'!N26)/'[8]Data Constant'!$F26*100</f>
        <v>1.9111915952084977</v>
      </c>
      <c r="H28" s="69">
        <f>('[8]Data Constant'!L30-'[8]Data Constant'!L26)/'[8]Data Constant'!$F26*100</f>
        <v>-0.49035167886479181</v>
      </c>
      <c r="I28" s="69">
        <f>-('[8]Data Constant'!M30-'[8]Data Constant'!M26)/'[8]Data Constant'!$F26*100</f>
        <v>-3.8384284364096217</v>
      </c>
      <c r="J28" s="70">
        <f t="shared" si="0"/>
        <v>5.7132691075213451</v>
      </c>
      <c r="K28" s="71">
        <f t="shared" si="1"/>
        <v>1.1013412404281553E-13</v>
      </c>
      <c r="L28" s="72" t="str">
        <f>IF(OR('[8]Data Constant'!K30="",'[8]Data Constant'!K26=""),"",('[8]Data Constant'!K30-'[8]Data Constant'!K26)/'[8]Data Constant'!$F26*100)</f>
        <v/>
      </c>
      <c r="M28" s="72"/>
      <c r="N28" s="73">
        <f t="shared" si="2"/>
        <v>5.713269107521346</v>
      </c>
      <c r="O28" s="73">
        <f t="shared" si="3"/>
        <v>8.130857627587261</v>
      </c>
      <c r="P28" s="73">
        <f t="shared" si="4"/>
        <v>1.9111915952084977</v>
      </c>
      <c r="Q28" s="73">
        <f t="shared" si="5"/>
        <v>-4.3287801152744132</v>
      </c>
      <c r="R28" s="73"/>
      <c r="S28" s="73"/>
      <c r="T28" s="73"/>
      <c r="U28" s="73"/>
      <c r="V28" s="73"/>
    </row>
    <row r="29" spans="2:22" x14ac:dyDescent="0.25">
      <c r="B29" s="67" t="str">
        <f>'[8]Data Constant'!B31</f>
        <v>2Q 2010</v>
      </c>
      <c r="C29" s="68">
        <f>('[8]Data Constant'!F31/'[8]Data Constant'!F27-1)*100</f>
        <v>16.244199509057289</v>
      </c>
      <c r="D29" s="69">
        <f>('[8]Data Constant'!G31-'[8]Data Constant'!G27)/'[8]Data Constant'!$F27*100</f>
        <v>10.034614324558232</v>
      </c>
      <c r="E29" s="69">
        <f>('[8]Data Constant'!H31-'[8]Data Constant'!H27)/'[8]Data Constant'!$F27*100</f>
        <v>0.92156730142998877</v>
      </c>
      <c r="F29" s="69">
        <f>('[8]Data Constant'!I31-'[8]Data Constant'!I27)/'[8]Data Constant'!$F27*100</f>
        <v>4.7795012403920607</v>
      </c>
      <c r="G29" s="69">
        <f>('[8]Data Constant'!N31-'[8]Data Constant'!N27)/'[8]Data Constant'!$F27*100</f>
        <v>3.4866480772589283</v>
      </c>
      <c r="H29" s="69">
        <f>('[8]Data Constant'!L31-'[8]Data Constant'!L27)/'[8]Data Constant'!$F27*100</f>
        <v>4.3936625123731581</v>
      </c>
      <c r="I29" s="69">
        <f>-('[8]Data Constant'!M31-'[8]Data Constant'!M27)/'[8]Data Constant'!$F27*100</f>
        <v>-7.3717939469550613</v>
      </c>
      <c r="J29" s="70">
        <f t="shared" si="0"/>
        <v>16.244199509057303</v>
      </c>
      <c r="K29" s="71">
        <f t="shared" si="1"/>
        <v>0</v>
      </c>
      <c r="L29" s="72" t="str">
        <f>IF(OR('[8]Data Constant'!K31="",'[8]Data Constant'!K27=""),"",('[8]Data Constant'!K31-'[8]Data Constant'!K27)/'[8]Data Constant'!$F27*100)</f>
        <v/>
      </c>
      <c r="M29" s="72"/>
      <c r="N29" s="73">
        <f t="shared" si="2"/>
        <v>16.244199509057303</v>
      </c>
      <c r="O29" s="73">
        <f t="shared" si="3"/>
        <v>15.73568286638028</v>
      </c>
      <c r="P29" s="73">
        <f t="shared" si="4"/>
        <v>3.4866480772589283</v>
      </c>
      <c r="Q29" s="73">
        <f t="shared" si="5"/>
        <v>-2.9781314345819032</v>
      </c>
      <c r="R29" s="73"/>
      <c r="S29" s="73"/>
      <c r="T29" s="73"/>
      <c r="U29" s="73"/>
      <c r="V29" s="73"/>
    </row>
    <row r="30" spans="2:22" x14ac:dyDescent="0.25">
      <c r="B30" s="67" t="str">
        <f>'[8]Data Constant'!B32</f>
        <v>3Q 2010</v>
      </c>
      <c r="C30" s="68">
        <f>('[8]Data Constant'!F32/'[8]Data Constant'!F28-1)*100</f>
        <v>9.5077423672281789</v>
      </c>
      <c r="D30" s="69">
        <f>('[8]Data Constant'!G32-'[8]Data Constant'!G28)/'[8]Data Constant'!$F28*100</f>
        <v>6.1359222248431422</v>
      </c>
      <c r="E30" s="69">
        <f>('[8]Data Constant'!H32-'[8]Data Constant'!H28)/'[8]Data Constant'!$F28*100</f>
        <v>0.32437000544493916</v>
      </c>
      <c r="F30" s="69">
        <f>('[8]Data Constant'!I32-'[8]Data Constant'!I28)/'[8]Data Constant'!$F28*100</f>
        <v>5.0923615583082507</v>
      </c>
      <c r="G30" s="69">
        <f>('[8]Data Constant'!N32-'[8]Data Constant'!N28)/'[8]Data Constant'!$F28*100</f>
        <v>-2.2806959685061887E-2</v>
      </c>
      <c r="H30" s="69">
        <f>('[8]Data Constant'!L32-'[8]Data Constant'!L28)/'[8]Data Constant'!$F28*100</f>
        <v>5.9661426535471049</v>
      </c>
      <c r="I30" s="69">
        <f>-('[8]Data Constant'!M32-'[8]Data Constant'!M28)/'[8]Data Constant'!$F28*100</f>
        <v>-7.9882471152300534</v>
      </c>
      <c r="J30" s="70">
        <f t="shared" si="0"/>
        <v>9.507742367228321</v>
      </c>
      <c r="K30" s="71">
        <f t="shared" si="1"/>
        <v>1.4210854715202004E-13</v>
      </c>
      <c r="L30" s="72" t="str">
        <f>IF(OR('[8]Data Constant'!K32="",'[8]Data Constant'!K28=""),"",('[8]Data Constant'!K32-'[8]Data Constant'!K28)/'[8]Data Constant'!$F28*100)</f>
        <v/>
      </c>
      <c r="M30" s="72"/>
      <c r="N30" s="73">
        <f t="shared" si="2"/>
        <v>9.507742367228321</v>
      </c>
      <c r="O30" s="73">
        <f t="shared" si="3"/>
        <v>11.552653788596331</v>
      </c>
      <c r="P30" s="73">
        <f t="shared" si="4"/>
        <v>-2.2806959685061887E-2</v>
      </c>
      <c r="Q30" s="73">
        <f t="shared" si="5"/>
        <v>-2.0221044616829484</v>
      </c>
      <c r="R30" s="73"/>
      <c r="S30" s="73"/>
      <c r="T30" s="73"/>
      <c r="U30" s="73"/>
      <c r="V30" s="73"/>
    </row>
    <row r="31" spans="2:22" x14ac:dyDescent="0.25">
      <c r="B31" s="67" t="str">
        <f>'[8]Data Constant'!B33</f>
        <v>4Q 2010</v>
      </c>
      <c r="C31" s="68">
        <f>('[8]Data Constant'!F33/'[8]Data Constant'!F29-1)*100</f>
        <v>8.6097931104230252</v>
      </c>
      <c r="D31" s="69">
        <f>('[8]Data Constant'!G33-'[8]Data Constant'!G29)/'[8]Data Constant'!$F29*100</f>
        <v>8.9056448226281475</v>
      </c>
      <c r="E31" s="69">
        <f>('[8]Data Constant'!H33-'[8]Data Constant'!H29)/'[8]Data Constant'!$F29*100</f>
        <v>0.56891257525425276</v>
      </c>
      <c r="F31" s="69">
        <f>('[8]Data Constant'!I33-'[8]Data Constant'!I29)/'[8]Data Constant'!$F29*100</f>
        <v>5.5742580345760917</v>
      </c>
      <c r="G31" s="69">
        <f>('[8]Data Constant'!N33-'[8]Data Constant'!N29)/'[8]Data Constant'!$F29*100</f>
        <v>-1.2175173269328659</v>
      </c>
      <c r="H31" s="69">
        <f>('[8]Data Constant'!L33-'[8]Data Constant'!L29)/'[8]Data Constant'!$F29*100</f>
        <v>2.336982304024521</v>
      </c>
      <c r="I31" s="69">
        <f>-('[8]Data Constant'!M33-'[8]Data Constant'!M29)/'[8]Data Constant'!$F29*100</f>
        <v>-7.5584872991273064</v>
      </c>
      <c r="J31" s="70">
        <f t="shared" si="0"/>
        <v>8.6097931104228387</v>
      </c>
      <c r="K31" s="71">
        <f t="shared" si="1"/>
        <v>-1.865174681370263E-13</v>
      </c>
      <c r="L31" s="72" t="str">
        <f>IF(OR('[8]Data Constant'!K33="",'[8]Data Constant'!K29=""),"",('[8]Data Constant'!K33-'[8]Data Constant'!K29)/'[8]Data Constant'!$F29*100)</f>
        <v/>
      </c>
      <c r="M31" s="72"/>
      <c r="N31" s="73">
        <f t="shared" si="2"/>
        <v>8.6097931104228405</v>
      </c>
      <c r="O31" s="73">
        <f t="shared" si="3"/>
        <v>15.048815432458492</v>
      </c>
      <c r="P31" s="73">
        <f t="shared" si="4"/>
        <v>-1.2175173269328659</v>
      </c>
      <c r="Q31" s="73">
        <f t="shared" si="5"/>
        <v>-5.2215049951027854</v>
      </c>
      <c r="R31" s="73"/>
      <c r="S31" s="73"/>
      <c r="T31" s="73"/>
      <c r="U31" s="73"/>
      <c r="V31" s="73"/>
    </row>
    <row r="32" spans="2:22" x14ac:dyDescent="0.25">
      <c r="B32" s="67" t="str">
        <f>'[8]Data Constant'!B34</f>
        <v>1Q 2011</v>
      </c>
      <c r="C32" s="68">
        <f>('[8]Data Constant'!F34/'[8]Data Constant'!F30-1)*100</f>
        <v>8.2926162504468373</v>
      </c>
      <c r="D32" s="69">
        <f>('[8]Data Constant'!G34-'[8]Data Constant'!G30)/'[8]Data Constant'!$F30*100</f>
        <v>7.3662852307376205</v>
      </c>
      <c r="E32" s="69">
        <f>('[8]Data Constant'!H34-'[8]Data Constant'!H30)/'[8]Data Constant'!$F30*100</f>
        <v>0.57170810843330988</v>
      </c>
      <c r="F32" s="69">
        <f>('[8]Data Constant'!I34-'[8]Data Constant'!I30)/'[8]Data Constant'!$F30*100</f>
        <v>5.0324125902725214</v>
      </c>
      <c r="G32" s="69">
        <f>('[8]Data Constant'!N34-'[8]Data Constant'!N30)/'[8]Data Constant'!$F30*100</f>
        <v>-0.24189299600882622</v>
      </c>
      <c r="H32" s="69">
        <f>('[8]Data Constant'!L34-'[8]Data Constant'!L30)/'[8]Data Constant'!$F30*100</f>
        <v>2.2004781692494459</v>
      </c>
      <c r="I32" s="69">
        <f>-('[8]Data Constant'!M34-'[8]Data Constant'!M30)/'[8]Data Constant'!$F30*100</f>
        <v>-6.6363748522372701</v>
      </c>
      <c r="J32" s="70">
        <f t="shared" si="0"/>
        <v>8.2926162504468017</v>
      </c>
      <c r="K32" s="71">
        <f t="shared" si="1"/>
        <v>-3.5527136788005009E-14</v>
      </c>
      <c r="L32" s="72" t="str">
        <f>IF(OR('[8]Data Constant'!K34="",'[8]Data Constant'!K30=""),"",('[8]Data Constant'!K34-'[8]Data Constant'!K30)/'[8]Data Constant'!$F30*100)</f>
        <v/>
      </c>
      <c r="M32" s="72"/>
      <c r="N32" s="73">
        <f t="shared" si="2"/>
        <v>8.2926162504468017</v>
      </c>
      <c r="O32" s="73">
        <f t="shared" si="3"/>
        <v>12.970405929443451</v>
      </c>
      <c r="P32" s="73">
        <f t="shared" si="4"/>
        <v>-0.24189299600882622</v>
      </c>
      <c r="Q32" s="73">
        <f t="shared" si="5"/>
        <v>-4.4358966829878241</v>
      </c>
      <c r="R32" s="73"/>
      <c r="S32" s="73"/>
      <c r="T32" s="73"/>
      <c r="U32" s="73"/>
      <c r="V32" s="73"/>
    </row>
    <row r="33" spans="2:22" x14ac:dyDescent="0.25">
      <c r="B33" s="67" t="str">
        <f>'[8]Data Constant'!B35</f>
        <v>2Q 2011</v>
      </c>
      <c r="C33" s="68">
        <f>('[8]Data Constant'!F35/'[8]Data Constant'!F31-1)*100</f>
        <v>4.4433437657736441</v>
      </c>
      <c r="D33" s="69">
        <f>('[8]Data Constant'!G35-'[8]Data Constant'!G31)/'[8]Data Constant'!$F31*100</f>
        <v>4.7257151098621542</v>
      </c>
      <c r="E33" s="69">
        <f>('[8]Data Constant'!H35-'[8]Data Constant'!H31)/'[8]Data Constant'!$F31*100</f>
        <v>0.49675178447020968</v>
      </c>
      <c r="F33" s="69">
        <f>('[8]Data Constant'!I35-'[8]Data Constant'!I31)/'[8]Data Constant'!$F31*100</f>
        <v>3.2071878700564547</v>
      </c>
      <c r="G33" s="69">
        <f>('[8]Data Constant'!N35-'[8]Data Constant'!N31)/'[8]Data Constant'!$F31*100</f>
        <v>1.3545861147866256</v>
      </c>
      <c r="H33" s="69">
        <f>('[8]Data Constant'!L35-'[8]Data Constant'!L31)/'[8]Data Constant'!$F31*100</f>
        <v>-0.6287125819521</v>
      </c>
      <c r="I33" s="69">
        <f>-('[8]Data Constant'!M35-'[8]Data Constant'!M31)/'[8]Data Constant'!$F31*100</f>
        <v>-4.7121845314497257</v>
      </c>
      <c r="J33" s="70">
        <f t="shared" si="0"/>
        <v>4.4433437657736192</v>
      </c>
      <c r="K33" s="71">
        <f t="shared" si="1"/>
        <v>-2.4868995751603507E-14</v>
      </c>
      <c r="L33" s="72" t="str">
        <f>IF(OR('[8]Data Constant'!K35="",'[8]Data Constant'!K31=""),"",('[8]Data Constant'!K35-'[8]Data Constant'!K31)/'[8]Data Constant'!$F31*100)</f>
        <v/>
      </c>
      <c r="M33" s="72"/>
      <c r="N33" s="73">
        <f t="shared" si="2"/>
        <v>4.4433437657736183</v>
      </c>
      <c r="O33" s="73">
        <f t="shared" si="3"/>
        <v>8.4296547643888182</v>
      </c>
      <c r="P33" s="73">
        <f t="shared" si="4"/>
        <v>1.3545861147866256</v>
      </c>
      <c r="Q33" s="73">
        <f t="shared" si="5"/>
        <v>-5.3408971134018257</v>
      </c>
      <c r="R33" s="73"/>
      <c r="S33" s="73"/>
      <c r="T33" s="73"/>
      <c r="U33" s="73"/>
      <c r="V33" s="73"/>
    </row>
    <row r="34" spans="2:22" x14ac:dyDescent="0.25">
      <c r="B34" s="67" t="str">
        <f>'[8]Data Constant'!B36</f>
        <v>3Q 2011</v>
      </c>
      <c r="C34" s="68">
        <f>('[8]Data Constant'!F36/'[8]Data Constant'!F32-1)*100</f>
        <v>6.4093671808167274</v>
      </c>
      <c r="D34" s="69">
        <f>('[8]Data Constant'!G36-'[8]Data Constant'!G32)/'[8]Data Constant'!$F32*100</f>
        <v>7.8794235807246649</v>
      </c>
      <c r="E34" s="69">
        <f>('[8]Data Constant'!H36-'[8]Data Constant'!H32)/'[8]Data Constant'!$F32*100</f>
        <v>0.82306971502732096</v>
      </c>
      <c r="F34" s="69">
        <f>('[8]Data Constant'!I36-'[8]Data Constant'!I32)/'[8]Data Constant'!$F32*100</f>
        <v>3.7045961546863926</v>
      </c>
      <c r="G34" s="69">
        <f>('[8]Data Constant'!N36-'[8]Data Constant'!N32)/'[8]Data Constant'!$F32*100</f>
        <v>-0.66349452140658904</v>
      </c>
      <c r="H34" s="69">
        <f>('[8]Data Constant'!L36-'[8]Data Constant'!L32)/'[8]Data Constant'!$F32*100</f>
        <v>0.71673242339204224</v>
      </c>
      <c r="I34" s="69">
        <f>-('[8]Data Constant'!M36-'[8]Data Constant'!M32)/'[8]Data Constant'!$F32*100</f>
        <v>-6.0509601716071986</v>
      </c>
      <c r="J34" s="70">
        <f t="shared" si="0"/>
        <v>6.4093671808166315</v>
      </c>
      <c r="K34" s="71">
        <f t="shared" si="1"/>
        <v>-9.5923269327613525E-14</v>
      </c>
      <c r="L34" s="72" t="str">
        <f>IF(OR('[8]Data Constant'!K36="",'[8]Data Constant'!K32=""),"",('[8]Data Constant'!K36-'[8]Data Constant'!K32)/'[8]Data Constant'!$F32*100)</f>
        <v/>
      </c>
      <c r="M34" s="72"/>
      <c r="N34" s="73">
        <f t="shared" si="2"/>
        <v>6.4093671808166324</v>
      </c>
      <c r="O34" s="73">
        <f t="shared" si="3"/>
        <v>12.407089450438377</v>
      </c>
      <c r="P34" s="73">
        <f t="shared" si="4"/>
        <v>-0.66349452140658904</v>
      </c>
      <c r="Q34" s="73">
        <f t="shared" si="5"/>
        <v>-5.3342277482151559</v>
      </c>
      <c r="R34" s="73"/>
      <c r="S34" s="73"/>
      <c r="T34" s="73"/>
      <c r="U34" s="73"/>
      <c r="V34" s="73"/>
    </row>
    <row r="35" spans="2:22" x14ac:dyDescent="0.25">
      <c r="B35" s="67" t="str">
        <f>'[8]Data Constant'!B37</f>
        <v>4Q 2011</v>
      </c>
      <c r="C35" s="68">
        <f>('[8]Data Constant'!F37/'[8]Data Constant'!F33-1)*100</f>
        <v>5.2171318921653942</v>
      </c>
      <c r="D35" s="69">
        <f>('[8]Data Constant'!G37-'[8]Data Constant'!G33)/'[8]Data Constant'!$F33*100</f>
        <v>5.9087967913163872</v>
      </c>
      <c r="E35" s="69">
        <f>('[8]Data Constant'!H37-'[8]Data Constant'!H33)/'[8]Data Constant'!$F33*100</f>
        <v>0.22545854142581767</v>
      </c>
      <c r="F35" s="69">
        <f>('[8]Data Constant'!I37-'[8]Data Constant'!I33)/'[8]Data Constant'!$F33*100</f>
        <v>1.7771721540841605</v>
      </c>
      <c r="G35" s="69">
        <f>('[8]Data Constant'!N37-'[8]Data Constant'!N33)/'[8]Data Constant'!$F33*100</f>
        <v>-1.0428735159992999</v>
      </c>
      <c r="H35" s="69">
        <f>('[8]Data Constant'!L37-'[8]Data Constant'!L33)/'[8]Data Constant'!$F33*100</f>
        <v>1.811236136561573</v>
      </c>
      <c r="I35" s="69">
        <f>-('[8]Data Constant'!M37-'[8]Data Constant'!M33)/'[8]Data Constant'!$F33*100</f>
        <v>-3.4626582152232332</v>
      </c>
      <c r="J35" s="70">
        <f t="shared" si="0"/>
        <v>5.2171318921654057</v>
      </c>
      <c r="K35" s="71">
        <f t="shared" si="1"/>
        <v>1.1546319456101628E-14</v>
      </c>
      <c r="L35" s="72" t="str">
        <f>IF(OR('[8]Data Constant'!K37="",'[8]Data Constant'!K33=""),"",('[8]Data Constant'!K37-'[8]Data Constant'!K33)/'[8]Data Constant'!$F33*100)</f>
        <v/>
      </c>
      <c r="M35" s="72"/>
      <c r="N35" s="73">
        <f t="shared" si="2"/>
        <v>5.2171318921654048</v>
      </c>
      <c r="O35" s="73">
        <f t="shared" si="3"/>
        <v>7.9114274868263657</v>
      </c>
      <c r="P35" s="73">
        <f t="shared" si="4"/>
        <v>-1.0428735159992999</v>
      </c>
      <c r="Q35" s="73">
        <f t="shared" si="5"/>
        <v>-1.6514220786616602</v>
      </c>
      <c r="R35" s="73"/>
      <c r="S35" s="73"/>
      <c r="T35" s="73"/>
      <c r="U35" s="73"/>
      <c r="V35" s="73"/>
    </row>
    <row r="36" spans="2:22" x14ac:dyDescent="0.25">
      <c r="B36" s="67" t="str">
        <f>'[8]Data Constant'!B38</f>
        <v>1Q 2012</v>
      </c>
      <c r="C36" s="68">
        <f>('[8]Data Constant'!F38/'[8]Data Constant'!F34-1)*100</f>
        <v>1.564246931906399</v>
      </c>
      <c r="D36" s="69">
        <f>('[8]Data Constant'!G38-'[8]Data Constant'!G34)/'[8]Data Constant'!$F34*100</f>
        <v>1.5169385379957525</v>
      </c>
      <c r="E36" s="69">
        <f>('[8]Data Constant'!H38-'[8]Data Constant'!H34)/'[8]Data Constant'!$F34*100</f>
        <v>0.45291087624835757</v>
      </c>
      <c r="F36" s="69">
        <f>('[8]Data Constant'!I38-'[8]Data Constant'!I34)/'[8]Data Constant'!$F34*100</f>
        <v>-0.79710353490324826</v>
      </c>
      <c r="G36" s="69">
        <f>('[8]Data Constant'!N38-'[8]Data Constant'!N34)/'[8]Data Constant'!$F34*100</f>
        <v>-0.12507386753802555</v>
      </c>
      <c r="H36" s="69">
        <f>('[8]Data Constant'!L38-'[8]Data Constant'!L34)/'[8]Data Constant'!$F34*100</f>
        <v>1.1632579239245413</v>
      </c>
      <c r="I36" s="69">
        <f>-('[8]Data Constant'!M38-'[8]Data Constant'!M34)/'[8]Data Constant'!$F34*100</f>
        <v>-0.64668300382110933</v>
      </c>
      <c r="J36" s="70">
        <f t="shared" si="0"/>
        <v>1.5642469319062682</v>
      </c>
      <c r="K36" s="71">
        <f t="shared" si="1"/>
        <v>-1.3078427230084344E-13</v>
      </c>
      <c r="L36" s="72" t="str">
        <f>IF(OR('[8]Data Constant'!K38="",'[8]Data Constant'!K34=""),"",('[8]Data Constant'!K38-'[8]Data Constant'!K34)/'[8]Data Constant'!$F34*100)</f>
        <v/>
      </c>
      <c r="M36" s="72"/>
      <c r="N36" s="73">
        <f t="shared" si="2"/>
        <v>1.5642469319062682</v>
      </c>
      <c r="O36" s="73">
        <f t="shared" si="3"/>
        <v>1.1727458793408618</v>
      </c>
      <c r="P36" s="73">
        <f t="shared" si="4"/>
        <v>-0.12507386753802555</v>
      </c>
      <c r="Q36" s="73">
        <f t="shared" si="5"/>
        <v>0.51657492010343198</v>
      </c>
      <c r="R36" s="73"/>
      <c r="S36" s="73"/>
      <c r="T36" s="73"/>
      <c r="U36" s="73"/>
      <c r="V36" s="73"/>
    </row>
    <row r="37" spans="2:22" x14ac:dyDescent="0.25">
      <c r="B37" s="67" t="str">
        <f>'[8]Data Constant'!B39</f>
        <v>2Q 2012</v>
      </c>
      <c r="C37" s="68">
        <f>('[8]Data Constant'!F39/'[8]Data Constant'!F35-1)*100</f>
        <v>-4.6317572234224063</v>
      </c>
      <c r="D37" s="69">
        <f>('[8]Data Constant'!G39-'[8]Data Constant'!G35)/'[8]Data Constant'!$F35*100</f>
        <v>-0.71031695800409234</v>
      </c>
      <c r="E37" s="69">
        <f>('[8]Data Constant'!H39-'[8]Data Constant'!H35)/'[8]Data Constant'!$F35*100</f>
        <v>0.21186858869226177</v>
      </c>
      <c r="F37" s="69">
        <f>('[8]Data Constant'!I39-'[8]Data Constant'!I35)/'[8]Data Constant'!$F35*100</f>
        <v>-2.5004890456478899</v>
      </c>
      <c r="G37" s="69">
        <f>('[8]Data Constant'!N39-'[8]Data Constant'!N35)/'[8]Data Constant'!$F35*100</f>
        <v>-1.8633020865597698</v>
      </c>
      <c r="H37" s="69">
        <f>('[8]Data Constant'!L39-'[8]Data Constant'!L35)/'[8]Data Constant'!$F35*100</f>
        <v>-1.9937164112447465</v>
      </c>
      <c r="I37" s="69">
        <f>-('[8]Data Constant'!M39-'[8]Data Constant'!M35)/'[8]Data Constant'!$F35*100</f>
        <v>2.224198689341784</v>
      </c>
      <c r="J37" s="70">
        <f t="shared" si="0"/>
        <v>-4.6317572234224533</v>
      </c>
      <c r="K37" s="71">
        <f t="shared" si="1"/>
        <v>-4.7073456244106637E-14</v>
      </c>
      <c r="L37" s="72" t="str">
        <f>IF(OR('[8]Data Constant'!K39="",'[8]Data Constant'!K35=""),"",('[8]Data Constant'!K39-'[8]Data Constant'!K35)/'[8]Data Constant'!$F35*100)</f>
        <v/>
      </c>
      <c r="M37" s="72"/>
      <c r="N37" s="73">
        <f t="shared" si="2"/>
        <v>-4.6317572234224533</v>
      </c>
      <c r="O37" s="73">
        <f t="shared" si="3"/>
        <v>-2.9989374149597205</v>
      </c>
      <c r="P37" s="73">
        <f t="shared" si="4"/>
        <v>-1.8633020865597698</v>
      </c>
      <c r="Q37" s="73">
        <f t="shared" si="5"/>
        <v>0.23048227809703747</v>
      </c>
      <c r="R37" s="73"/>
      <c r="S37" s="73"/>
      <c r="T37" s="73"/>
      <c r="U37" s="73"/>
      <c r="V37" s="73"/>
    </row>
    <row r="38" spans="2:22" x14ac:dyDescent="0.25">
      <c r="B38" s="67" t="str">
        <f>'[8]Data Constant'!B40</f>
        <v>3Q 2012</v>
      </c>
      <c r="C38" s="68">
        <f>('[8]Data Constant'!F40/'[8]Data Constant'!F36-1)*100</f>
        <v>-1.1182941955249048</v>
      </c>
      <c r="D38" s="69">
        <f>('[8]Data Constant'!G40-'[8]Data Constant'!G36)/'[8]Data Constant'!$F36*100</f>
        <v>1.1483027644510546</v>
      </c>
      <c r="E38" s="69">
        <f>('[8]Data Constant'!H40-'[8]Data Constant'!H36)/'[8]Data Constant'!$F36*100</f>
        <v>0.3113869291289485</v>
      </c>
      <c r="F38" s="69">
        <f>('[8]Data Constant'!I40-'[8]Data Constant'!I36)/'[8]Data Constant'!$F36*100</f>
        <v>-2.0158110095524564</v>
      </c>
      <c r="G38" s="69">
        <f>('[8]Data Constant'!N40-'[8]Data Constant'!N36)/'[8]Data Constant'!$F36*100</f>
        <v>-1.8686460886780456</v>
      </c>
      <c r="H38" s="69">
        <f>('[8]Data Constant'!L40-'[8]Data Constant'!L36)/'[8]Data Constant'!$F36*100</f>
        <v>-1.2271456954355311</v>
      </c>
      <c r="I38" s="69">
        <f>-('[8]Data Constant'!M40-'[8]Data Constant'!M36)/'[8]Data Constant'!$F36*100</f>
        <v>2.5336189045611452</v>
      </c>
      <c r="J38" s="70">
        <f t="shared" si="0"/>
        <v>-1.1182941955248848</v>
      </c>
      <c r="K38" s="71">
        <f t="shared" si="1"/>
        <v>1.9984014443252818E-14</v>
      </c>
      <c r="L38" s="72" t="str">
        <f>IF(OR('[8]Data Constant'!K40="",'[8]Data Constant'!K36=""),"",('[8]Data Constant'!K40-'[8]Data Constant'!K36)/'[8]Data Constant'!$F36*100)</f>
        <v/>
      </c>
      <c r="M38" s="72"/>
      <c r="N38" s="73">
        <f t="shared" si="2"/>
        <v>-1.1182941955248848</v>
      </c>
      <c r="O38" s="73">
        <f t="shared" si="3"/>
        <v>-0.55612131597245318</v>
      </c>
      <c r="P38" s="73">
        <f t="shared" si="4"/>
        <v>-1.8686460886780456</v>
      </c>
      <c r="Q38" s="73">
        <f t="shared" si="5"/>
        <v>1.3064732091256142</v>
      </c>
      <c r="R38" s="73"/>
      <c r="S38" s="73"/>
      <c r="T38" s="73"/>
      <c r="U38" s="73"/>
      <c r="V38" s="73"/>
    </row>
    <row r="39" spans="2:22" x14ac:dyDescent="0.25">
      <c r="B39" s="67" t="str">
        <f>'[8]Data Constant'!B41</f>
        <v>4Q 2012</v>
      </c>
      <c r="C39" s="68">
        <f>('[8]Data Constant'!F41/'[8]Data Constant'!F37-1)*100</f>
        <v>0.5558040164415079</v>
      </c>
      <c r="D39" s="69">
        <f>('[8]Data Constant'!G41-'[8]Data Constant'!G37)/'[8]Data Constant'!$F37*100</f>
        <v>1.3520912039562802</v>
      </c>
      <c r="E39" s="69">
        <f>('[8]Data Constant'!H41-'[8]Data Constant'!H37)/'[8]Data Constant'!$F37*100</f>
        <v>0.41471849570103764</v>
      </c>
      <c r="F39" s="69">
        <f>('[8]Data Constant'!I41-'[8]Data Constant'!I37)/'[8]Data Constant'!$F37*100</f>
        <v>-0.66612710556811805</v>
      </c>
      <c r="G39" s="69">
        <f>('[8]Data Constant'!N41-'[8]Data Constant'!N37)/'[8]Data Constant'!$F37*100</f>
        <v>0.12143424066521573</v>
      </c>
      <c r="H39" s="69">
        <f>('[8]Data Constant'!L41-'[8]Data Constant'!L37)/'[8]Data Constant'!$F37*100</f>
        <v>-1.4567457354482676</v>
      </c>
      <c r="I39" s="69">
        <f>-('[8]Data Constant'!M41-'[8]Data Constant'!M37)/'[8]Data Constant'!$F37*100</f>
        <v>0.79043291713533481</v>
      </c>
      <c r="J39" s="70">
        <f t="shared" si="0"/>
        <v>0.55580401644148303</v>
      </c>
      <c r="K39" s="71">
        <f t="shared" si="1"/>
        <v>-2.4868995751603507E-14</v>
      </c>
      <c r="L39" s="72" t="str">
        <f>IF(OR('[8]Data Constant'!K41="",'[8]Data Constant'!K37=""),"",('[8]Data Constant'!K41-'[8]Data Constant'!K37)/'[8]Data Constant'!$F37*100)</f>
        <v/>
      </c>
      <c r="M39" s="72"/>
      <c r="N39" s="73">
        <f t="shared" si="2"/>
        <v>0.55580401644148303</v>
      </c>
      <c r="O39" s="73">
        <f t="shared" si="3"/>
        <v>1.1006825940892</v>
      </c>
      <c r="P39" s="73">
        <f t="shared" si="4"/>
        <v>0.12143424066521573</v>
      </c>
      <c r="Q39" s="73">
        <f t="shared" si="5"/>
        <v>-0.66631281831293276</v>
      </c>
      <c r="R39" s="73"/>
      <c r="S39" s="73"/>
      <c r="T39" s="73"/>
      <c r="U39" s="73"/>
      <c r="V39" s="73"/>
    </row>
    <row r="40" spans="2:22" x14ac:dyDescent="0.25">
      <c r="B40" s="67" t="str">
        <f>'[8]Data Constant'!B42</f>
        <v>1Q 2013</v>
      </c>
      <c r="C40" s="68">
        <f>('[8]Data Constant'!F42/'[8]Data Constant'!F38-1)*100</f>
        <v>0.65402514461503358</v>
      </c>
      <c r="D40" s="69">
        <f>('[8]Data Constant'!G42-'[8]Data Constant'!G38)/'[8]Data Constant'!$F38*100</f>
        <v>1.8417787557914105</v>
      </c>
      <c r="E40" s="69">
        <f>('[8]Data Constant'!H42-'[8]Data Constant'!H38)/'[8]Data Constant'!$F38*100</f>
        <v>0.57941664323073849</v>
      </c>
      <c r="F40" s="69">
        <f>('[8]Data Constant'!I42-'[8]Data Constant'!I38)/'[8]Data Constant'!$F38*100</f>
        <v>-0.15043097979974232</v>
      </c>
      <c r="G40" s="69">
        <f>('[8]Data Constant'!N42-'[8]Data Constant'!N38)/'[8]Data Constant'!$F38*100</f>
        <v>0.59172487435656906</v>
      </c>
      <c r="H40" s="69">
        <f>('[8]Data Constant'!L42-'[8]Data Constant'!L38)/'[8]Data Constant'!$F38*100</f>
        <v>-2.1134746687344013</v>
      </c>
      <c r="I40" s="69">
        <f>-('[8]Data Constant'!M42-'[8]Data Constant'!M38)/'[8]Data Constant'!$F38*100</f>
        <v>-9.4989480229461021E-2</v>
      </c>
      <c r="J40" s="70">
        <f t="shared" si="0"/>
        <v>0.65402514461511352</v>
      </c>
      <c r="K40" s="71">
        <f t="shared" si="1"/>
        <v>7.9936057773011271E-14</v>
      </c>
      <c r="L40" s="72" t="str">
        <f>IF(OR('[8]Data Constant'!K42="",'[8]Data Constant'!K38=""),"",('[8]Data Constant'!K42-'[8]Data Constant'!K38)/'[8]Data Constant'!$F38*100)</f>
        <v/>
      </c>
      <c r="M40" s="72"/>
      <c r="N40" s="73">
        <f t="shared" si="2"/>
        <v>0.65402514461511352</v>
      </c>
      <c r="O40" s="73">
        <f t="shared" si="3"/>
        <v>2.2707644192224068</v>
      </c>
      <c r="P40" s="73">
        <f t="shared" si="4"/>
        <v>0.59172487435656906</v>
      </c>
      <c r="Q40" s="73">
        <f t="shared" si="5"/>
        <v>-2.2084641489638623</v>
      </c>
      <c r="R40" s="73"/>
      <c r="S40" s="73"/>
      <c r="T40" s="73"/>
      <c r="U40" s="73"/>
      <c r="V40" s="73"/>
    </row>
    <row r="41" spans="2:22" x14ac:dyDescent="0.25">
      <c r="B41" s="67" t="str">
        <f>'[8]Data Constant'!B43</f>
        <v>2Q 2013</v>
      </c>
      <c r="C41" s="68">
        <f>('[8]Data Constant'!F43/'[8]Data Constant'!F39-1)*100</f>
        <v>6.246023493638142</v>
      </c>
      <c r="D41" s="69">
        <f>('[8]Data Constant'!G43-'[8]Data Constant'!G39)/'[8]Data Constant'!$F39*100</f>
        <v>3.7484518823146753</v>
      </c>
      <c r="E41" s="69">
        <f>('[8]Data Constant'!H43-'[8]Data Constant'!H39)/'[8]Data Constant'!$F39*100</f>
        <v>0.62910715829906738</v>
      </c>
      <c r="F41" s="69">
        <f>('[8]Data Constant'!I43-'[8]Data Constant'!I39)/'[8]Data Constant'!$F39*100</f>
        <v>2.1975405413472258</v>
      </c>
      <c r="G41" s="69">
        <f>('[8]Data Constant'!N43-'[8]Data Constant'!N39)/'[8]Data Constant'!$F39*100</f>
        <v>0.87975551513777583</v>
      </c>
      <c r="H41" s="69">
        <f>('[8]Data Constant'!L43-'[8]Data Constant'!L39)/'[8]Data Constant'!$F39*100</f>
        <v>1.7825380080505062</v>
      </c>
      <c r="I41" s="69">
        <f>-('[8]Data Constant'!M43-'[8]Data Constant'!M39)/'[8]Data Constant'!$F39*100</f>
        <v>-2.9913696115109696</v>
      </c>
      <c r="J41" s="70">
        <f t="shared" si="0"/>
        <v>6.2460234936382806</v>
      </c>
      <c r="K41" s="71">
        <f t="shared" si="1"/>
        <v>1.3855583347321954E-13</v>
      </c>
      <c r="L41" s="72" t="str">
        <f>IF(OR('[8]Data Constant'!K43="",'[8]Data Constant'!K39=""),"",('[8]Data Constant'!K43-'[8]Data Constant'!K39)/'[8]Data Constant'!$F39*100)</f>
        <v/>
      </c>
      <c r="M41" s="72"/>
      <c r="N41" s="73">
        <f t="shared" si="2"/>
        <v>6.2460234936382797</v>
      </c>
      <c r="O41" s="73">
        <f t="shared" si="3"/>
        <v>6.5750995819609681</v>
      </c>
      <c r="P41" s="73">
        <f t="shared" si="4"/>
        <v>0.87975551513777583</v>
      </c>
      <c r="Q41" s="73">
        <f t="shared" si="5"/>
        <v>-1.2088316034604634</v>
      </c>
      <c r="R41" s="73"/>
      <c r="S41" s="73"/>
      <c r="T41" s="73"/>
      <c r="U41" s="73"/>
      <c r="V41" s="73"/>
    </row>
    <row r="42" spans="2:22" x14ac:dyDescent="0.25">
      <c r="B42" s="67" t="str">
        <f>'[8]Data Constant'!B44</f>
        <v>3Q 2013</v>
      </c>
      <c r="C42" s="68">
        <f>('[8]Data Constant'!F44/'[8]Data Constant'!F40-1)*100</f>
        <v>2.558389874025635</v>
      </c>
      <c r="D42" s="69">
        <f>('[8]Data Constant'!G44-'[8]Data Constant'!G40)/'[8]Data Constant'!$F40*100</f>
        <v>2.9558965641696311</v>
      </c>
      <c r="E42" s="69">
        <f>('[8]Data Constant'!H44-'[8]Data Constant'!H40)/'[8]Data Constant'!$F40*100</f>
        <v>0.5636253057515449</v>
      </c>
      <c r="F42" s="69">
        <f>('[8]Data Constant'!I44-'[8]Data Constant'!I40)/'[8]Data Constant'!$F40*100</f>
        <v>0.35628061618077028</v>
      </c>
      <c r="G42" s="69">
        <f>('[8]Data Constant'!N44-'[8]Data Constant'!N40)/'[8]Data Constant'!$F40*100</f>
        <v>0.52990568602378629</v>
      </c>
      <c r="H42" s="69">
        <f>('[8]Data Constant'!L44-'[8]Data Constant'!L40)/'[8]Data Constant'!$F40*100</f>
        <v>-0.62230694239442841</v>
      </c>
      <c r="I42" s="69">
        <f>-('[8]Data Constant'!M44-'[8]Data Constant'!M40)/'[8]Data Constant'!$F40*100</f>
        <v>-1.2250113557055764</v>
      </c>
      <c r="J42" s="70">
        <f t="shared" si="0"/>
        <v>2.5583898740257283</v>
      </c>
      <c r="K42" s="71">
        <f t="shared" si="1"/>
        <v>9.3258734068513149E-14</v>
      </c>
      <c r="L42" s="72" t="str">
        <f>IF(OR('[8]Data Constant'!K44="",'[8]Data Constant'!K40=""),"",('[8]Data Constant'!K44-'[8]Data Constant'!K40)/'[8]Data Constant'!$F40*100)</f>
        <v/>
      </c>
      <c r="M42" s="72"/>
      <c r="N42" s="73">
        <f t="shared" si="2"/>
        <v>2.5583898740257283</v>
      </c>
      <c r="O42" s="73">
        <f t="shared" si="3"/>
        <v>3.8758024861019464</v>
      </c>
      <c r="P42" s="73">
        <f t="shared" si="4"/>
        <v>0.52990568602378629</v>
      </c>
      <c r="Q42" s="73">
        <f t="shared" si="5"/>
        <v>-1.8473182981000047</v>
      </c>
      <c r="R42" s="73"/>
      <c r="S42" s="73"/>
      <c r="T42" s="73"/>
      <c r="U42" s="73"/>
      <c r="V42" s="73"/>
    </row>
    <row r="43" spans="2:22" x14ac:dyDescent="0.25">
      <c r="B43" s="67" t="str">
        <f>'[8]Data Constant'!B45</f>
        <v>4Q 2013</v>
      </c>
      <c r="C43" s="68">
        <f>('[8]Data Constant'!F45/'[8]Data Constant'!F41-1)*100</f>
        <v>-5.1020575461624418E-2</v>
      </c>
      <c r="D43" s="69">
        <f>('[8]Data Constant'!G45-'[8]Data Constant'!G41)/'[8]Data Constant'!$F41*100</f>
        <v>1.8745978074513205</v>
      </c>
      <c r="E43" s="69">
        <f>('[8]Data Constant'!H45-'[8]Data Constant'!H41)/'[8]Data Constant'!$F41*100</f>
        <v>0.75131316948483307</v>
      </c>
      <c r="F43" s="69">
        <f>('[8]Data Constant'!I45-'[8]Data Constant'!I41)/'[8]Data Constant'!$F41*100</f>
        <v>-0.59400599853013625</v>
      </c>
      <c r="G43" s="69">
        <f>('[8]Data Constant'!N45-'[8]Data Constant'!N41)/'[8]Data Constant'!$F41*100</f>
        <v>-0.16486347459654338</v>
      </c>
      <c r="H43" s="69">
        <f>('[8]Data Constant'!L45-'[8]Data Constant'!L41)/'[8]Data Constant'!$F41*100</f>
        <v>-2.2977587035256115</v>
      </c>
      <c r="I43" s="69">
        <f>-('[8]Data Constant'!M45-'[8]Data Constant'!M41)/'[8]Data Constant'!$F41*100</f>
        <v>0.37969662425458878</v>
      </c>
      <c r="J43" s="70">
        <f t="shared" si="0"/>
        <v>-5.1020575461548645E-2</v>
      </c>
      <c r="K43" s="71">
        <f t="shared" si="1"/>
        <v>7.5772721430666934E-14</v>
      </c>
      <c r="L43" s="72" t="str">
        <f>IF(OR('[8]Data Constant'!K45="",'[8]Data Constant'!K41=""),"",('[8]Data Constant'!K45-'[8]Data Constant'!K41)/'[8]Data Constant'!$F41*100)</f>
        <v/>
      </c>
      <c r="M43" s="72"/>
      <c r="N43" s="73">
        <f t="shared" si="2"/>
        <v>-5.1020575461548701E-2</v>
      </c>
      <c r="O43" s="73">
        <f t="shared" si="3"/>
        <v>2.0319049784060175</v>
      </c>
      <c r="P43" s="73">
        <f t="shared" si="4"/>
        <v>-0.16486347459654338</v>
      </c>
      <c r="Q43" s="73">
        <f t="shared" si="5"/>
        <v>-1.9180620792710228</v>
      </c>
      <c r="R43" s="73"/>
      <c r="S43" s="73"/>
      <c r="T43" s="73"/>
      <c r="U43" s="73"/>
      <c r="V43" s="73"/>
    </row>
    <row r="44" spans="2:22" x14ac:dyDescent="0.25">
      <c r="B44" s="67" t="str">
        <f>'[8]Data Constant'!B46</f>
        <v>1Q 2014</v>
      </c>
      <c r="C44" s="68">
        <f>('[8]Data Constant'!F46/'[8]Data Constant'!F42-1)*100</f>
        <v>-0.88902838396781592</v>
      </c>
      <c r="D44" s="69">
        <f>('[8]Data Constant'!G46-'[8]Data Constant'!G42)/'[8]Data Constant'!$F42*100</f>
        <v>1.6083769137606352</v>
      </c>
      <c r="E44" s="69">
        <f>('[8]Data Constant'!H46-'[8]Data Constant'!H42)/'[8]Data Constant'!$F42*100</f>
        <v>0.6674901197611236</v>
      </c>
      <c r="F44" s="69">
        <f>('[8]Data Constant'!I46-'[8]Data Constant'!I42)/'[8]Data Constant'!$F42*100</f>
        <v>-0.28099501967623053</v>
      </c>
      <c r="G44" s="69">
        <f>('[8]Data Constant'!N46-'[8]Data Constant'!N42)/'[8]Data Constant'!$F42*100</f>
        <v>-1.3784034681044348</v>
      </c>
      <c r="H44" s="69">
        <f>('[8]Data Constant'!L46-'[8]Data Constant'!L42)/'[8]Data Constant'!$F42*100</f>
        <v>-1.8687795390693092</v>
      </c>
      <c r="I44" s="69">
        <f>-('[8]Data Constant'!M46-'[8]Data Constant'!M42)/'[8]Data Constant'!$F42*100</f>
        <v>0.36328260936041373</v>
      </c>
      <c r="J44" s="70">
        <f t="shared" si="0"/>
        <v>-0.88902838396780215</v>
      </c>
      <c r="K44" s="71">
        <f t="shared" si="1"/>
        <v>1.3766765505351941E-14</v>
      </c>
      <c r="L44" s="72" t="str">
        <f>IF(OR('[8]Data Constant'!K46="",'[8]Data Constant'!K42=""),"",('[8]Data Constant'!K46-'[8]Data Constant'!K42)/'[8]Data Constant'!$F42*100)</f>
        <v/>
      </c>
      <c r="M44" s="72"/>
      <c r="N44" s="73">
        <f t="shared" si="2"/>
        <v>-0.88902838396780215</v>
      </c>
      <c r="O44" s="73">
        <f t="shared" si="3"/>
        <v>1.994872013845528</v>
      </c>
      <c r="P44" s="73">
        <f t="shared" si="4"/>
        <v>-1.3784034681044348</v>
      </c>
      <c r="Q44" s="73">
        <f t="shared" si="5"/>
        <v>-1.5054969297088954</v>
      </c>
      <c r="R44" s="73"/>
      <c r="S44" s="73"/>
      <c r="T44" s="73"/>
      <c r="U44" s="73"/>
      <c r="V44" s="73"/>
    </row>
    <row r="45" spans="2:22" x14ac:dyDescent="0.25">
      <c r="B45" s="67" t="str">
        <f>'[8]Data Constant'!B47</f>
        <v>2Q 2014</v>
      </c>
      <c r="C45" s="68">
        <f>('[8]Data Constant'!F47/'[8]Data Constant'!F43-1)*100</f>
        <v>-2.0489386930898301</v>
      </c>
      <c r="D45" s="69">
        <f>('[8]Data Constant'!G47-'[8]Data Constant'!G43)/'[8]Data Constant'!$F43*100</f>
        <v>-2.1306389255654135</v>
      </c>
      <c r="E45" s="69">
        <f>('[8]Data Constant'!H47-'[8]Data Constant'!H43)/'[8]Data Constant'!$F43*100</f>
        <v>0.23059288392274102</v>
      </c>
      <c r="F45" s="69">
        <f>('[8]Data Constant'!I47-'[8]Data Constant'!I43)/'[8]Data Constant'!$F43*100</f>
        <v>-1.2100950410623132</v>
      </c>
      <c r="G45" s="69">
        <f>('[8]Data Constant'!N47-'[8]Data Constant'!N43)/'[8]Data Constant'!$F43*100</f>
        <v>0.40876355203483122</v>
      </c>
      <c r="H45" s="69">
        <f>('[8]Data Constant'!L47-'[8]Data Constant'!L43)/'[8]Data Constant'!$F43*100</f>
        <v>-2.064607634744883</v>
      </c>
      <c r="I45" s="69">
        <f>-('[8]Data Constant'!M47-'[8]Data Constant'!M43)/'[8]Data Constant'!$F43*100</f>
        <v>2.7170464723251477</v>
      </c>
      <c r="J45" s="70">
        <f t="shared" si="0"/>
        <v>-2.0489386930898892</v>
      </c>
      <c r="K45" s="71">
        <f t="shared" si="1"/>
        <v>-5.9063864910058328E-14</v>
      </c>
      <c r="L45" s="72" t="str">
        <f>IF(OR('[8]Data Constant'!K47="",'[8]Data Constant'!K43=""),"",('[8]Data Constant'!K47-'[8]Data Constant'!K43)/'[8]Data Constant'!$F43*100)</f>
        <v/>
      </c>
      <c r="M45" s="72"/>
      <c r="N45" s="73">
        <f t="shared" si="2"/>
        <v>-2.0489386930898896</v>
      </c>
      <c r="O45" s="73">
        <f t="shared" si="3"/>
        <v>-3.1101410827049856</v>
      </c>
      <c r="P45" s="73">
        <f t="shared" si="4"/>
        <v>0.40876355203483122</v>
      </c>
      <c r="Q45" s="73">
        <f t="shared" si="5"/>
        <v>0.65243883758026477</v>
      </c>
      <c r="R45" s="73"/>
      <c r="S45" s="73"/>
      <c r="T45" s="73"/>
      <c r="U45" s="73"/>
      <c r="V45" s="73"/>
    </row>
    <row r="46" spans="2:22" x14ac:dyDescent="0.25">
      <c r="B46" s="67" t="str">
        <f>'[8]Data Constant'!B48</f>
        <v>3Q 2014</v>
      </c>
      <c r="C46" s="68">
        <f>('[8]Data Constant'!F48/'[8]Data Constant'!F44-1)*100</f>
        <v>-4.2385150547577188</v>
      </c>
      <c r="D46" s="69">
        <f>('[8]Data Constant'!G48-'[8]Data Constant'!G44)/'[8]Data Constant'!$F44*100</f>
        <v>-6.6246442919171393</v>
      </c>
      <c r="E46" s="69">
        <f>('[8]Data Constant'!H48-'[8]Data Constant'!H44)/'[8]Data Constant'!$F44*100</f>
        <v>0.36971175218252778</v>
      </c>
      <c r="F46" s="69">
        <f>('[8]Data Constant'!I48-'[8]Data Constant'!I44)/'[8]Data Constant'!$F44*100</f>
        <v>-1.7264545149882757</v>
      </c>
      <c r="G46" s="69">
        <f>('[8]Data Constant'!N48-'[8]Data Constant'!N44)/'[8]Data Constant'!$F44*100</f>
        <v>1.3426145126959281</v>
      </c>
      <c r="H46" s="69">
        <f>('[8]Data Constant'!L48-'[8]Data Constant'!L44)/'[8]Data Constant'!$F44*100</f>
        <v>-1.7374427167669799</v>
      </c>
      <c r="I46" s="69">
        <f>-('[8]Data Constant'!M48-'[8]Data Constant'!M44)/'[8]Data Constant'!$F44*100</f>
        <v>4.1377002040361504</v>
      </c>
      <c r="J46" s="70">
        <f t="shared" si="0"/>
        <v>-4.238515054757789</v>
      </c>
      <c r="K46" s="71">
        <f t="shared" si="1"/>
        <v>-7.0166095156309893E-14</v>
      </c>
      <c r="L46" s="72" t="str">
        <f>IF(OR('[8]Data Constant'!K48="",'[8]Data Constant'!K44=""),"",('[8]Data Constant'!K48-'[8]Data Constant'!K44)/'[8]Data Constant'!$F44*100)</f>
        <v/>
      </c>
      <c r="M46" s="72"/>
      <c r="N46" s="73">
        <f t="shared" si="2"/>
        <v>-4.238515054757789</v>
      </c>
      <c r="O46" s="73">
        <f t="shared" si="3"/>
        <v>-7.9813870547228873</v>
      </c>
      <c r="P46" s="73">
        <f t="shared" si="4"/>
        <v>1.3426145126959281</v>
      </c>
      <c r="Q46" s="73">
        <f t="shared" si="5"/>
        <v>2.4002574872691707</v>
      </c>
      <c r="R46" s="73"/>
      <c r="S46" s="73"/>
      <c r="T46" s="73"/>
      <c r="U46" s="73"/>
      <c r="V46" s="73"/>
    </row>
    <row r="47" spans="2:22" x14ac:dyDescent="0.25">
      <c r="B47" s="67" t="str">
        <f>'[8]Data Constant'!B49</f>
        <v>4Q 2014</v>
      </c>
      <c r="C47" s="68">
        <f>('[8]Data Constant'!F49/'[8]Data Constant'!F45-1)*100</f>
        <v>-2.8157301388051947</v>
      </c>
      <c r="D47" s="69">
        <f>('[8]Data Constant'!G49-'[8]Data Constant'!G45)/'[8]Data Constant'!$F45*100</f>
        <v>-5.4050947849014985</v>
      </c>
      <c r="E47" s="69">
        <f>('[8]Data Constant'!H49-'[8]Data Constant'!H45)/'[8]Data Constant'!$F45*100</f>
        <v>0.19520669180846661</v>
      </c>
      <c r="F47" s="69">
        <f>('[8]Data Constant'!I49-'[8]Data Constant'!I45)/'[8]Data Constant'!$F45*100</f>
        <v>-2.2237870300686602</v>
      </c>
      <c r="G47" s="69">
        <f>('[8]Data Constant'!N49-'[8]Data Constant'!N45)/'[8]Data Constant'!$F45*100</f>
        <v>-0.11201125191771552</v>
      </c>
      <c r="H47" s="69">
        <f>('[8]Data Constant'!L49-'[8]Data Constant'!L45)/'[8]Data Constant'!$F45*100</f>
        <v>-7.0929853423529893E-2</v>
      </c>
      <c r="I47" s="69">
        <f>-('[8]Data Constant'!M49-'[8]Data Constant'!M45)/'[8]Data Constant'!$F45*100</f>
        <v>4.8008860896975865</v>
      </c>
      <c r="J47" s="70">
        <f t="shared" si="0"/>
        <v>-2.8157301388053515</v>
      </c>
      <c r="K47" s="71">
        <f t="shared" si="1"/>
        <v>-1.567634910770721E-13</v>
      </c>
      <c r="L47" s="72" t="str">
        <f>IF(OR('[8]Data Constant'!K49="",'[8]Data Constant'!K45=""),"",('[8]Data Constant'!K49-'[8]Data Constant'!K45)/'[8]Data Constant'!$F45*100)</f>
        <v/>
      </c>
      <c r="M47" s="72"/>
      <c r="N47" s="73">
        <f t="shared" si="2"/>
        <v>-2.8157301388053515</v>
      </c>
      <c r="O47" s="73">
        <f t="shared" si="3"/>
        <v>-7.4336751231616924</v>
      </c>
      <c r="P47" s="73">
        <f t="shared" si="4"/>
        <v>-0.11201125191771552</v>
      </c>
      <c r="Q47" s="73">
        <f t="shared" si="5"/>
        <v>4.7299562362740568</v>
      </c>
      <c r="R47" s="73"/>
      <c r="S47" s="73"/>
      <c r="T47" s="73"/>
      <c r="U47" s="73"/>
      <c r="V47" s="73"/>
    </row>
    <row r="48" spans="2:22" x14ac:dyDescent="0.25">
      <c r="B48" s="67" t="str">
        <f>'[8]Data Constant'!B50</f>
        <v>1Q 2015</v>
      </c>
      <c r="C48" s="68">
        <f>('[8]Data Constant'!F50/'[8]Data Constant'!F46-1)*100</f>
        <v>0.25090894779715711</v>
      </c>
      <c r="D48" s="69">
        <f>('[8]Data Constant'!G50-'[8]Data Constant'!G46)/'[8]Data Constant'!$F46*100</f>
        <v>-1.543337012327969</v>
      </c>
      <c r="E48" s="69">
        <f>('[8]Data Constant'!H50-'[8]Data Constant'!H46)/'[8]Data Constant'!$F46*100</f>
        <v>0.49629418630957034</v>
      </c>
      <c r="F48" s="69">
        <f>('[8]Data Constant'!I50-'[8]Data Constant'!I46)/'[8]Data Constant'!$F46*100</f>
        <v>-0.38450507366500603</v>
      </c>
      <c r="G48" s="69">
        <f>('[8]Data Constant'!N50-'[8]Data Constant'!N46)/'[8]Data Constant'!$F46*100</f>
        <v>5.911362054454504E-2</v>
      </c>
      <c r="H48" s="69">
        <f>('[8]Data Constant'!L50-'[8]Data Constant'!L46)/'[8]Data Constant'!$F46*100</f>
        <v>-0.42164665206966556</v>
      </c>
      <c r="I48" s="69">
        <f>-('[8]Data Constant'!M50-'[8]Data Constant'!M46)/'[8]Data Constant'!$F46*100</f>
        <v>2.0449898790058945</v>
      </c>
      <c r="J48" s="70">
        <f t="shared" si="0"/>
        <v>0.25090894779736916</v>
      </c>
      <c r="K48" s="71">
        <f t="shared" si="1"/>
        <v>2.120525977034049E-13</v>
      </c>
      <c r="L48" s="72" t="str">
        <f>IF(OR('[8]Data Constant'!K50="",'[8]Data Constant'!K46=""),"",('[8]Data Constant'!K50-'[8]Data Constant'!K46)/'[8]Data Constant'!$F46*100)</f>
        <v/>
      </c>
      <c r="M48" s="72"/>
      <c r="N48" s="73">
        <f t="shared" si="2"/>
        <v>0.25090894779736916</v>
      </c>
      <c r="O48" s="73">
        <f t="shared" si="3"/>
        <v>-1.4315478996834048</v>
      </c>
      <c r="P48" s="73">
        <f t="shared" si="4"/>
        <v>5.911362054454504E-2</v>
      </c>
      <c r="Q48" s="73">
        <f t="shared" si="5"/>
        <v>1.6233432269362289</v>
      </c>
      <c r="R48" s="73"/>
      <c r="S48" s="73"/>
      <c r="T48" s="73"/>
      <c r="U48" s="73"/>
      <c r="V48" s="73"/>
    </row>
    <row r="49" spans="2:22" x14ac:dyDescent="0.25">
      <c r="B49" s="67" t="str">
        <f>'[8]Data Constant'!B51</f>
        <v>2Q 2015</v>
      </c>
      <c r="C49" s="68">
        <f>('[8]Data Constant'!F51/'[8]Data Constant'!F47-1)*100</f>
        <v>4.0310320323386328</v>
      </c>
      <c r="D49" s="69">
        <f>('[8]Data Constant'!G51-'[8]Data Constant'!G47)/'[8]Data Constant'!$F47*100</f>
        <v>5.4778104176332869</v>
      </c>
      <c r="E49" s="69">
        <f>('[8]Data Constant'!H51-'[8]Data Constant'!H47)/'[8]Data Constant'!$F47*100</f>
        <v>1.1025236352185088</v>
      </c>
      <c r="F49" s="69">
        <f>('[8]Data Constant'!I51-'[8]Data Constant'!I47)/'[8]Data Constant'!$F47*100</f>
        <v>0.32198577609784496</v>
      </c>
      <c r="G49" s="69">
        <f>('[8]Data Constant'!N51-'[8]Data Constant'!N47)/'[8]Data Constant'!$F47*100</f>
        <v>-1.8768403684446093</v>
      </c>
      <c r="H49" s="69">
        <f>('[8]Data Constant'!L51-'[8]Data Constant'!L47)/'[8]Data Constant'!$F47*100</f>
        <v>-0.40720734618041149</v>
      </c>
      <c r="I49" s="69">
        <f>-('[8]Data Constant'!M51-'[8]Data Constant'!M47)/'[8]Data Constant'!$F47*100</f>
        <v>-0.58724008198595234</v>
      </c>
      <c r="J49" s="70">
        <f t="shared" si="0"/>
        <v>4.0310320323386675</v>
      </c>
      <c r="K49" s="71">
        <f t="shared" si="1"/>
        <v>3.4638958368304884E-14</v>
      </c>
      <c r="L49" s="72" t="str">
        <f>IF(OR('[8]Data Constant'!K51="",'[8]Data Constant'!K47=""),"",('[8]Data Constant'!K51-'[8]Data Constant'!K47)/'[8]Data Constant'!$F47*100)</f>
        <v/>
      </c>
      <c r="M49" s="72"/>
      <c r="N49" s="73">
        <f t="shared" si="2"/>
        <v>4.0310320323386675</v>
      </c>
      <c r="O49" s="73">
        <f t="shared" si="3"/>
        <v>6.9023198289496408</v>
      </c>
      <c r="P49" s="73">
        <f t="shared" si="4"/>
        <v>-1.8768403684446093</v>
      </c>
      <c r="Q49" s="73">
        <f t="shared" si="5"/>
        <v>-0.99444742816636378</v>
      </c>
      <c r="R49" s="73"/>
      <c r="S49" s="73"/>
      <c r="T49" s="73"/>
      <c r="U49" s="73"/>
      <c r="V49" s="73"/>
    </row>
    <row r="50" spans="2:22" x14ac:dyDescent="0.25">
      <c r="B50" s="67" t="str">
        <f>'[8]Data Constant'!B52</f>
        <v>3Q 2015</v>
      </c>
      <c r="C50" s="68">
        <f>('[8]Data Constant'!F52/'[8]Data Constant'!F48-1)*100</f>
        <v>3.966169986072865</v>
      </c>
      <c r="D50" s="69">
        <f>('[8]Data Constant'!G52-'[8]Data Constant'!G48)/'[8]Data Constant'!$F48*100</f>
        <v>4.0478442808025612</v>
      </c>
      <c r="E50" s="69">
        <f>('[8]Data Constant'!H52-'[8]Data Constant'!H48)/'[8]Data Constant'!$F48*100</f>
        <v>1.0747420766198823</v>
      </c>
      <c r="F50" s="69">
        <f>('[8]Data Constant'!I52-'[8]Data Constant'!I48)/'[8]Data Constant'!$F48*100</f>
        <v>1.2631333792591084</v>
      </c>
      <c r="G50" s="69">
        <f>('[8]Data Constant'!N52-'[8]Data Constant'!N48)/'[8]Data Constant'!$F48*100</f>
        <v>0.42971778458500143</v>
      </c>
      <c r="H50" s="69">
        <f>('[8]Data Constant'!L52-'[8]Data Constant'!L48)/'[8]Data Constant'!$F48*100</f>
        <v>2.9818308408251729E-2</v>
      </c>
      <c r="I50" s="69">
        <f>-('[8]Data Constant'!M52-'[8]Data Constant'!M48)/'[8]Data Constant'!$F48*100</f>
        <v>-2.8790858436019624</v>
      </c>
      <c r="J50" s="70">
        <f t="shared" si="0"/>
        <v>3.9661699860728428</v>
      </c>
      <c r="K50" s="71">
        <f t="shared" si="1"/>
        <v>-2.2204460492503131E-14</v>
      </c>
      <c r="L50" s="72" t="str">
        <f>IF(OR('[8]Data Constant'!K52="",'[8]Data Constant'!K48=""),"",('[8]Data Constant'!K52-'[8]Data Constant'!K48)/'[8]Data Constant'!$F48*100)</f>
        <v/>
      </c>
      <c r="M50" s="72"/>
      <c r="N50" s="73">
        <f t="shared" si="2"/>
        <v>3.9661699860728432</v>
      </c>
      <c r="O50" s="73">
        <f t="shared" si="3"/>
        <v>6.3857197366815521</v>
      </c>
      <c r="P50" s="73">
        <f t="shared" si="4"/>
        <v>0.42971778458500143</v>
      </c>
      <c r="Q50" s="73">
        <f t="shared" si="5"/>
        <v>-2.8492675351937105</v>
      </c>
      <c r="R50" s="73"/>
      <c r="S50" s="73"/>
      <c r="T50" s="73"/>
      <c r="U50" s="73"/>
      <c r="V50" s="73"/>
    </row>
    <row r="51" spans="2:22" x14ac:dyDescent="0.25">
      <c r="B51" s="67" t="str">
        <f>'[8]Data Constant'!B53</f>
        <v>4Q 2015</v>
      </c>
      <c r="C51" s="68">
        <f>('[8]Data Constant'!F53/'[8]Data Constant'!F49-1)*100</f>
        <v>2.4727009154353663</v>
      </c>
      <c r="D51" s="69">
        <f>('[8]Data Constant'!G53-'[8]Data Constant'!G49)/'[8]Data Constant'!$F49*100</f>
        <v>2.0760593175918487</v>
      </c>
      <c r="E51" s="69">
        <f>('[8]Data Constant'!H53-'[8]Data Constant'!H49)/'[8]Data Constant'!$F49*100</f>
        <v>0.87445263262799933</v>
      </c>
      <c r="F51" s="69">
        <f>('[8]Data Constant'!I53-'[8]Data Constant'!I49)/'[8]Data Constant'!$F49*100</f>
        <v>1.495102728001974</v>
      </c>
      <c r="G51" s="69">
        <f>('[8]Data Constant'!N53-'[8]Data Constant'!N49)/'[8]Data Constant'!$F49*100</f>
        <v>2.5145215802964174</v>
      </c>
      <c r="H51" s="69">
        <f>('[8]Data Constant'!L53-'[8]Data Constant'!L49)/'[8]Data Constant'!$F49*100</f>
        <v>-1.4159677439180733</v>
      </c>
      <c r="I51" s="69">
        <f>-('[8]Data Constant'!M53-'[8]Data Constant'!M49)/'[8]Data Constant'!$F49*100</f>
        <v>-3.0714675991645226</v>
      </c>
      <c r="J51" s="70">
        <f t="shared" si="0"/>
        <v>2.4727009154356443</v>
      </c>
      <c r="K51" s="71">
        <f t="shared" si="1"/>
        <v>2.779998453661392E-13</v>
      </c>
      <c r="L51" s="72" t="str">
        <f>IF(OR('[8]Data Constant'!K53="",'[8]Data Constant'!K49=""),"",('[8]Data Constant'!K53-'[8]Data Constant'!K49)/'[8]Data Constant'!$F49*100)</f>
        <v/>
      </c>
      <c r="M51" s="72"/>
      <c r="N51" s="73">
        <f t="shared" si="2"/>
        <v>2.4727009154356443</v>
      </c>
      <c r="O51" s="73">
        <f t="shared" si="3"/>
        <v>4.4456146782218227</v>
      </c>
      <c r="P51" s="73">
        <f t="shared" si="4"/>
        <v>2.5145215802964174</v>
      </c>
      <c r="Q51" s="73">
        <f t="shared" si="5"/>
        <v>-4.4874353430825957</v>
      </c>
      <c r="R51" s="73"/>
      <c r="S51" s="73"/>
      <c r="T51" s="73"/>
      <c r="U51" s="73"/>
      <c r="V51" s="73"/>
    </row>
    <row r="52" spans="2:22" x14ac:dyDescent="0.25">
      <c r="B52" s="67" t="str">
        <f>'[8]Data Constant'!B54</f>
        <v>1Q 2016</v>
      </c>
      <c r="C52" s="68">
        <f>('[8]Data Constant'!F54/'[8]Data Constant'!F50-1)*100</f>
        <v>0.72869254528109551</v>
      </c>
      <c r="D52" s="69">
        <f>('[8]Data Constant'!G54-'[8]Data Constant'!G50)/'[8]Data Constant'!$F50*100</f>
        <v>1.9718275180005025</v>
      </c>
      <c r="E52" s="69">
        <f>('[8]Data Constant'!H54-'[8]Data Constant'!H50)/'[8]Data Constant'!$F50*100</f>
        <v>0.26062241894675886</v>
      </c>
      <c r="F52" s="69">
        <f>('[8]Data Constant'!I54-'[8]Data Constant'!I50)/'[8]Data Constant'!$F50*100</f>
        <v>-0.64879020811180899</v>
      </c>
      <c r="G52" s="69">
        <f>('[8]Data Constant'!N54-'[8]Data Constant'!N50)/'[8]Data Constant'!$F50*100</f>
        <v>-0.57031543917309102</v>
      </c>
      <c r="H52" s="69">
        <f>('[8]Data Constant'!L54-'[8]Data Constant'!L50)/'[8]Data Constant'!$F50*100</f>
        <v>2.5486121125157952</v>
      </c>
      <c r="I52" s="69">
        <f>-('[8]Data Constant'!M54-'[8]Data Constant'!M50)/'[8]Data Constant'!$F50*100</f>
        <v>-2.8332638568973363</v>
      </c>
      <c r="J52" s="70">
        <f t="shared" si="0"/>
        <v>0.72869254528082017</v>
      </c>
      <c r="K52" s="71">
        <f t="shared" si="1"/>
        <v>-2.7533531010703882E-13</v>
      </c>
      <c r="L52" s="72" t="str">
        <f>IF(OR('[8]Data Constant'!K54="",'[8]Data Constant'!K50=""),"",('[8]Data Constant'!K54-'[8]Data Constant'!K50)/'[8]Data Constant'!$F50*100)</f>
        <v/>
      </c>
      <c r="M52" s="72"/>
      <c r="N52" s="73">
        <f t="shared" si="2"/>
        <v>0.72869254528082017</v>
      </c>
      <c r="O52" s="73">
        <f t="shared" si="3"/>
        <v>1.5836597288354524</v>
      </c>
      <c r="P52" s="73">
        <f t="shared" si="4"/>
        <v>-0.57031543917309102</v>
      </c>
      <c r="Q52" s="73">
        <f t="shared" si="5"/>
        <v>-0.28465174438154106</v>
      </c>
      <c r="R52" s="73"/>
      <c r="S52" s="73"/>
      <c r="T52" s="73"/>
      <c r="U52" s="73"/>
      <c r="V52" s="73"/>
    </row>
    <row r="53" spans="2:22" x14ac:dyDescent="0.25">
      <c r="B53" s="67" t="str">
        <f>'[8]Data Constant'!B55</f>
        <v>2Q 2016</v>
      </c>
      <c r="C53" s="68">
        <f>('[8]Data Constant'!F55/'[8]Data Constant'!F51-1)*100</f>
        <v>-3.858859647401347</v>
      </c>
      <c r="D53" s="69">
        <f>('[8]Data Constant'!G55-'[8]Data Constant'!G51)/'[8]Data Constant'!$F51*100</f>
        <v>-1.3489971311044842</v>
      </c>
      <c r="E53" s="69">
        <f>('[8]Data Constant'!H55-'[8]Data Constant'!H51)/'[8]Data Constant'!$F51*100</f>
        <v>-0.39709095308809372</v>
      </c>
      <c r="F53" s="69">
        <f>('[8]Data Constant'!I55-'[8]Data Constant'!I51)/'[8]Data Constant'!$F51*100</f>
        <v>-1.128955355499643</v>
      </c>
      <c r="G53" s="69">
        <f>('[8]Data Constant'!N55-'[8]Data Constant'!N51)/'[8]Data Constant'!$F51*100</f>
        <v>0.93851066239172021</v>
      </c>
      <c r="H53" s="69">
        <f>('[8]Data Constant'!L55-'[8]Data Constant'!L51)/'[8]Data Constant'!$F51*100</f>
        <v>-0.1682806699672065</v>
      </c>
      <c r="I53" s="69">
        <f>-('[8]Data Constant'!M55-'[8]Data Constant'!M51)/'[8]Data Constant'!$F51*100</f>
        <v>-1.75404620013372</v>
      </c>
      <c r="J53" s="70">
        <f t="shared" si="0"/>
        <v>-3.8588596474014274</v>
      </c>
      <c r="K53" s="71">
        <f t="shared" si="1"/>
        <v>-8.0380146982861334E-14</v>
      </c>
      <c r="L53" s="72" t="str">
        <f>IF(OR('[8]Data Constant'!K55="",'[8]Data Constant'!K51=""),"",('[8]Data Constant'!K55-'[8]Data Constant'!K51)/'[8]Data Constant'!$F51*100)</f>
        <v/>
      </c>
      <c r="M53" s="72"/>
      <c r="N53" s="73">
        <f t="shared" si="2"/>
        <v>-3.8588596474014274</v>
      </c>
      <c r="O53" s="73">
        <f t="shared" si="3"/>
        <v>-2.8750434396922211</v>
      </c>
      <c r="P53" s="73">
        <f t="shared" si="4"/>
        <v>0.93851066239172021</v>
      </c>
      <c r="Q53" s="73">
        <f t="shared" si="5"/>
        <v>-1.9223268701009266</v>
      </c>
      <c r="R53" s="73"/>
      <c r="S53" s="73"/>
      <c r="T53" s="73"/>
      <c r="U53" s="73"/>
      <c r="V53" s="73"/>
    </row>
    <row r="54" spans="2:22" x14ac:dyDescent="0.25">
      <c r="B54" s="67" t="str">
        <f>'[8]Data Constant'!B56</f>
        <v>3Q 2016</v>
      </c>
      <c r="C54" s="68">
        <f>('[8]Data Constant'!F56/'[8]Data Constant'!F52-1)*100</f>
        <v>-3.3272188518777224</v>
      </c>
      <c r="D54" s="69">
        <f>('[8]Data Constant'!G56-'[8]Data Constant'!G52)/'[8]Data Constant'!$F52*100</f>
        <v>-1.6960148845315719</v>
      </c>
      <c r="E54" s="69">
        <f>('[8]Data Constant'!H56-'[8]Data Constant'!H52)/'[8]Data Constant'!$F52*100</f>
        <v>-0.16884871836642415</v>
      </c>
      <c r="F54" s="69">
        <f>('[8]Data Constant'!I56-'[8]Data Constant'!I52)/'[8]Data Constant'!$F52*100</f>
        <v>-1.6459696809222379</v>
      </c>
      <c r="G54" s="69">
        <f>('[8]Data Constant'!N56-'[8]Data Constant'!N52)/'[8]Data Constant'!$F52*100</f>
        <v>0.25747283112172303</v>
      </c>
      <c r="H54" s="69">
        <f>('[8]Data Constant'!L56-'[8]Data Constant'!L52)/'[8]Data Constant'!$F52*100</f>
        <v>-6.8312158986040275E-2</v>
      </c>
      <c r="I54" s="69">
        <f>-('[8]Data Constant'!M56-'[8]Data Constant'!M52)/'[8]Data Constant'!$F52*100</f>
        <v>-5.5462401932549832E-3</v>
      </c>
      <c r="J54" s="70">
        <f t="shared" si="0"/>
        <v>-3.3272188518778063</v>
      </c>
      <c r="K54" s="71">
        <f t="shared" si="1"/>
        <v>-8.3932860661661834E-14</v>
      </c>
      <c r="L54" s="72" t="str">
        <f>IF(OR('[8]Data Constant'!K56="",'[8]Data Constant'!K52=""),"",('[8]Data Constant'!K56-'[8]Data Constant'!K52)/'[8]Data Constant'!$F52*100)</f>
        <v/>
      </c>
      <c r="M54" s="72"/>
      <c r="N54" s="73">
        <f t="shared" si="2"/>
        <v>-3.3272188518778063</v>
      </c>
      <c r="O54" s="73">
        <f t="shared" si="3"/>
        <v>-3.5108332838202339</v>
      </c>
      <c r="P54" s="73">
        <f t="shared" si="4"/>
        <v>0.25747283112172303</v>
      </c>
      <c r="Q54" s="73">
        <f t="shared" si="5"/>
        <v>-7.3858399179295264E-2</v>
      </c>
      <c r="R54" s="73"/>
      <c r="S54" s="73"/>
      <c r="T54" s="73"/>
      <c r="U54" s="73"/>
      <c r="V54" s="73"/>
    </row>
    <row r="55" spans="2:22" x14ac:dyDescent="0.25">
      <c r="B55" s="67" t="str">
        <f>'[8]Data Constant'!B57</f>
        <v>4Q 2016</v>
      </c>
      <c r="C55" s="68">
        <f>('[8]Data Constant'!F57/'[8]Data Constant'!F53-1)*100</f>
        <v>-1.4932883928850393</v>
      </c>
      <c r="D55" s="69">
        <f>('[8]Data Constant'!G57-'[8]Data Constant'!G53)/'[8]Data Constant'!$F53*100</f>
        <v>-0.94857757023748668</v>
      </c>
      <c r="E55" s="69">
        <f>('[8]Data Constant'!H57-'[8]Data Constant'!H53)/'[8]Data Constant'!$F53*100</f>
        <v>8.1170821717303443E-2</v>
      </c>
      <c r="F55" s="69">
        <f>('[8]Data Constant'!I57-'[8]Data Constant'!I53)/'[8]Data Constant'!$F53*100</f>
        <v>-1.0585088490862911</v>
      </c>
      <c r="G55" s="69">
        <f>('[8]Data Constant'!N57-'[8]Data Constant'!N53)/'[8]Data Constant'!$F53*100</f>
        <v>-0.32551623359279847</v>
      </c>
      <c r="H55" s="69">
        <f>('[8]Data Constant'!L57-'[8]Data Constant'!L53)/'[8]Data Constant'!$F53*100</f>
        <v>1.9075869354288522</v>
      </c>
      <c r="I55" s="69">
        <f>-('[8]Data Constant'!M57-'[8]Data Constant'!M53)/'[8]Data Constant'!$F53*100</f>
        <v>-1.1494434971148464</v>
      </c>
      <c r="J55" s="70">
        <f t="shared" si="0"/>
        <v>-1.4932883928852669</v>
      </c>
      <c r="K55" s="71">
        <f t="shared" si="1"/>
        <v>-2.2759572004815709E-13</v>
      </c>
      <c r="L55" s="72" t="str">
        <f>IF(OR('[8]Data Constant'!K57="",'[8]Data Constant'!K53=""),"",('[8]Data Constant'!K57-'[8]Data Constant'!K53)/'[8]Data Constant'!$F53*100)</f>
        <v/>
      </c>
      <c r="M55" s="72"/>
      <c r="N55" s="73">
        <f t="shared" si="2"/>
        <v>-1.4932883928852669</v>
      </c>
      <c r="O55" s="73">
        <f t="shared" si="3"/>
        <v>-1.9259155976064743</v>
      </c>
      <c r="P55" s="73">
        <f t="shared" si="4"/>
        <v>-0.32551623359279847</v>
      </c>
      <c r="Q55" s="73">
        <f t="shared" si="5"/>
        <v>0.75814343831400577</v>
      </c>
      <c r="R55" s="73"/>
      <c r="S55" s="73"/>
      <c r="T55" s="73"/>
      <c r="U55" s="73"/>
      <c r="V55" s="73"/>
    </row>
    <row r="56" spans="2:22" x14ac:dyDescent="0.25">
      <c r="B56" s="67" t="str">
        <f>'[8]Data Constant'!B58</f>
        <v>1Q 2017</v>
      </c>
      <c r="C56" s="68">
        <f>('[8]Data Constant'!F58/'[8]Data Constant'!F54-1)*100</f>
        <v>0.5596790824430542</v>
      </c>
      <c r="D56" s="69">
        <f>('[8]Data Constant'!G58-'[8]Data Constant'!G54)/'[8]Data Constant'!$F54*100</f>
        <v>2.2521997993222671</v>
      </c>
      <c r="E56" s="69">
        <f>('[8]Data Constant'!H58-'[8]Data Constant'!H54)/'[8]Data Constant'!$F54*100</f>
        <v>0.22846165495248108</v>
      </c>
      <c r="F56" s="69">
        <f>('[8]Data Constant'!I58-'[8]Data Constant'!I54)/'[8]Data Constant'!$F54*100</f>
        <v>1.0419399124137367</v>
      </c>
      <c r="G56" s="69">
        <f>('[8]Data Constant'!N58-'[8]Data Constant'!N54)/'[8]Data Constant'!$F54*100</f>
        <v>-0.97167287626718202</v>
      </c>
      <c r="H56" s="69">
        <f>('[8]Data Constant'!L58-'[8]Data Constant'!L54)/'[8]Data Constant'!$F54*100</f>
        <v>0.18261580905503835</v>
      </c>
      <c r="I56" s="69">
        <f>-('[8]Data Constant'!M58-'[8]Data Constant'!M54)/'[8]Data Constant'!$F54*100</f>
        <v>-2.173865217033041</v>
      </c>
      <c r="J56" s="70">
        <f t="shared" si="0"/>
        <v>0.55967908244329978</v>
      </c>
      <c r="K56" s="71">
        <f t="shared" si="1"/>
        <v>2.4558133304708463E-13</v>
      </c>
      <c r="L56" s="72" t="str">
        <f>IF(OR('[8]Data Constant'!K58="",'[8]Data Constant'!K54=""),"",('[8]Data Constant'!K58-'[8]Data Constant'!K54)/'[8]Data Constant'!$F54*100)</f>
        <v/>
      </c>
      <c r="M56" s="72"/>
      <c r="N56" s="73">
        <f t="shared" si="2"/>
        <v>0.55967908244329978</v>
      </c>
      <c r="O56" s="73">
        <f t="shared" si="3"/>
        <v>3.5226013666884848</v>
      </c>
      <c r="P56" s="73">
        <f t="shared" si="4"/>
        <v>-0.97167287626718202</v>
      </c>
      <c r="Q56" s="73">
        <f t="shared" si="5"/>
        <v>-1.9912494079780028</v>
      </c>
      <c r="R56" s="73"/>
      <c r="S56" s="73"/>
      <c r="T56" s="73"/>
      <c r="U56" s="73"/>
      <c r="V56" s="73"/>
    </row>
    <row r="57" spans="2:22" x14ac:dyDescent="0.25">
      <c r="B57" s="67" t="str">
        <f>'[8]Data Constant'!B59</f>
        <v>2Q 2017</v>
      </c>
      <c r="C57" s="68">
        <f>('[8]Data Constant'!F59/'[8]Data Constant'!F55-1)*100</f>
        <v>2.32658340767673</v>
      </c>
      <c r="D57" s="69">
        <f>('[8]Data Constant'!G59-'[8]Data Constant'!G55)/'[8]Data Constant'!$F55*100</f>
        <v>2.8122960208540109</v>
      </c>
      <c r="E57" s="69">
        <f>('[8]Data Constant'!H59-'[8]Data Constant'!H55)/'[8]Data Constant'!$F55*100</f>
        <v>0.5631858329908993</v>
      </c>
      <c r="F57" s="69">
        <f>('[8]Data Constant'!I59-'[8]Data Constant'!I55)/'[8]Data Constant'!$F55*100</f>
        <v>1.7521006583059349</v>
      </c>
      <c r="G57" s="69">
        <f>('[8]Data Constant'!N59-'[8]Data Constant'!N55)/'[8]Data Constant'!$F55*100</f>
        <v>-3.359306588096462E-3</v>
      </c>
      <c r="H57" s="69">
        <f>('[8]Data Constant'!L59-'[8]Data Constant'!L55)/'[8]Data Constant'!$F55*100</f>
        <v>0.26651010639454914</v>
      </c>
      <c r="I57" s="69">
        <f>-('[8]Data Constant'!M59-'[8]Data Constant'!M55)/'[8]Data Constant'!$F55*100</f>
        <v>-3.0641499042805522</v>
      </c>
      <c r="J57" s="70">
        <f t="shared" si="0"/>
        <v>2.3265834076767451</v>
      </c>
      <c r="K57" s="71">
        <f t="shared" si="1"/>
        <v>1.5099033134902129E-14</v>
      </c>
      <c r="L57" s="72" t="str">
        <f>IF(OR('[8]Data Constant'!K59="",'[8]Data Constant'!K55=""),"",('[8]Data Constant'!K59-'[8]Data Constant'!K55)/'[8]Data Constant'!$F55*100)</f>
        <v/>
      </c>
      <c r="M57" s="72"/>
      <c r="N57" s="73">
        <f t="shared" si="2"/>
        <v>2.3265834076767447</v>
      </c>
      <c r="O57" s="73">
        <f t="shared" si="3"/>
        <v>5.1275825121508447</v>
      </c>
      <c r="P57" s="73">
        <f t="shared" si="4"/>
        <v>-3.359306588096462E-3</v>
      </c>
      <c r="Q57" s="73">
        <f t="shared" si="5"/>
        <v>-2.7976397978860033</v>
      </c>
      <c r="R57" s="73"/>
      <c r="S57" s="73"/>
      <c r="T57" s="73"/>
      <c r="U57" s="73"/>
      <c r="V57" s="73"/>
    </row>
    <row r="58" spans="2:22" x14ac:dyDescent="0.25">
      <c r="B58" s="67" t="str">
        <f>'[8]Data Constant'!B60</f>
        <v>3Q 2017</v>
      </c>
      <c r="C58" s="68">
        <f>('[8]Data Constant'!F60/'[8]Data Constant'!F56-1)*100</f>
        <v>3.8506085636267562</v>
      </c>
      <c r="D58" s="69">
        <f>('[8]Data Constant'!G60-'[8]Data Constant'!G56)/'[8]Data Constant'!$F56*100</f>
        <v>3.4618057952570629</v>
      </c>
      <c r="E58" s="69">
        <f>('[8]Data Constant'!H60-'[8]Data Constant'!H56)/'[8]Data Constant'!$F56*100</f>
        <v>0.36631496250760803</v>
      </c>
      <c r="F58" s="69">
        <f>('[8]Data Constant'!I60-'[8]Data Constant'!I56)/'[8]Data Constant'!$F56*100</f>
        <v>3.3708946650939131</v>
      </c>
      <c r="G58" s="69">
        <f>('[8]Data Constant'!N60-'[8]Data Constant'!N56)/'[8]Data Constant'!$F56*100</f>
        <v>0.84188643982849987</v>
      </c>
      <c r="H58" s="69">
        <f>('[8]Data Constant'!L60-'[8]Data Constant'!L56)/'[8]Data Constant'!$F56*100</f>
        <v>1.0013272540457439</v>
      </c>
      <c r="I58" s="69">
        <f>-('[8]Data Constant'!M60-'[8]Data Constant'!M56)/'[8]Data Constant'!$F56*100</f>
        <v>-5.1916205531058432</v>
      </c>
      <c r="J58" s="70">
        <f t="shared" si="0"/>
        <v>3.8506085636269853</v>
      </c>
      <c r="K58" s="71">
        <f t="shared" si="1"/>
        <v>2.2915003228263231E-13</v>
      </c>
      <c r="L58" s="72" t="str">
        <f>IF(OR('[8]Data Constant'!K60="",'[8]Data Constant'!K56=""),"",('[8]Data Constant'!K60-'[8]Data Constant'!K56)/'[8]Data Constant'!$F56*100)</f>
        <v/>
      </c>
      <c r="M58" s="72"/>
      <c r="N58" s="73">
        <f t="shared" si="2"/>
        <v>3.8506085636269844</v>
      </c>
      <c r="O58" s="73">
        <f t="shared" si="3"/>
        <v>7.1990154228585839</v>
      </c>
      <c r="P58" s="73">
        <f t="shared" si="4"/>
        <v>0.84188643982849987</v>
      </c>
      <c r="Q58" s="73">
        <f t="shared" si="5"/>
        <v>-4.1902932990600998</v>
      </c>
      <c r="R58" s="73"/>
      <c r="S58" s="73"/>
      <c r="T58" s="73"/>
      <c r="U58" s="73"/>
      <c r="V58" s="73"/>
    </row>
    <row r="59" spans="2:22" x14ac:dyDescent="0.25">
      <c r="B59" s="67" t="str">
        <f>'[8]Data Constant'!B61</f>
        <v>4Q 2017</v>
      </c>
      <c r="C59" s="68">
        <f>('[8]Data Constant'!F61/'[8]Data Constant'!F57-1)*100</f>
        <v>4.5326848264046982</v>
      </c>
      <c r="D59" s="69">
        <f>('[8]Data Constant'!G61-'[8]Data Constant'!G57)/'[8]Data Constant'!$F57*100</f>
        <v>3.6522547492434012</v>
      </c>
      <c r="E59" s="69">
        <f>('[8]Data Constant'!H61-'[8]Data Constant'!H57)/'[8]Data Constant'!$F57*100</f>
        <v>0.2568742268002363</v>
      </c>
      <c r="F59" s="69">
        <f>('[8]Data Constant'!I61-'[8]Data Constant'!I57)/'[8]Data Constant'!$F57*100</f>
        <v>3.9329139591696252</v>
      </c>
      <c r="G59" s="69">
        <f>('[8]Data Constant'!N61-'[8]Data Constant'!N57)/'[8]Data Constant'!$F57*100</f>
        <v>2.1036922399887863</v>
      </c>
      <c r="H59" s="69">
        <f>('[8]Data Constant'!L61-'[8]Data Constant'!L57)/'[8]Data Constant'!$F57*100</f>
        <v>0.67420520565739528</v>
      </c>
      <c r="I59" s="69">
        <f>-('[8]Data Constant'!M61-'[8]Data Constant'!M57)/'[8]Data Constant'!$F57*100</f>
        <v>-6.0872555544546181</v>
      </c>
      <c r="J59" s="70">
        <f t="shared" si="0"/>
        <v>4.5326848264048269</v>
      </c>
      <c r="K59" s="71">
        <f t="shared" si="1"/>
        <v>1.2878587085651816E-13</v>
      </c>
      <c r="L59" s="72" t="str">
        <f>IF(OR('[8]Data Constant'!K61="",'[8]Data Constant'!K57=""),"",('[8]Data Constant'!K61-'[8]Data Constant'!K57)/'[8]Data Constant'!$F57*100)</f>
        <v/>
      </c>
      <c r="M59" s="72"/>
      <c r="N59" s="73">
        <f t="shared" si="2"/>
        <v>4.5326848264048269</v>
      </c>
      <c r="O59" s="73">
        <f t="shared" si="3"/>
        <v>7.8420429352132626</v>
      </c>
      <c r="P59" s="73">
        <f t="shared" si="4"/>
        <v>2.1036922399887863</v>
      </c>
      <c r="Q59" s="73">
        <f t="shared" si="5"/>
        <v>-5.4130503487972224</v>
      </c>
      <c r="R59" s="73"/>
      <c r="S59" s="73"/>
      <c r="T59" s="73"/>
      <c r="U59" s="73"/>
      <c r="V59" s="73"/>
    </row>
    <row r="60" spans="2:22" x14ac:dyDescent="0.25">
      <c r="B60" s="67" t="str">
        <f>'[8]Data Constant'!B62</f>
        <v>1Q 2018</v>
      </c>
      <c r="C60" s="68">
        <f>('[8]Data Constant'!F62/'[8]Data Constant'!F58-1)*100</f>
        <v>3.7977402181420539</v>
      </c>
      <c r="D60" s="69">
        <f>('[8]Data Constant'!G62-'[8]Data Constant'!G58)/'[8]Data Constant'!$F58*100</f>
        <v>2.4802612719009751</v>
      </c>
      <c r="E60" s="69">
        <f>('[8]Data Constant'!H62-'[8]Data Constant'!H58)/'[8]Data Constant'!$F58*100</f>
        <v>-8.5514858234996636E-3</v>
      </c>
      <c r="F60" s="69">
        <f>('[8]Data Constant'!I62-'[8]Data Constant'!I58)/'[8]Data Constant'!$F58*100</f>
        <v>3.0544453858586547</v>
      </c>
      <c r="G60" s="69">
        <f>('[8]Data Constant'!N62-'[8]Data Constant'!N58)/'[8]Data Constant'!$F58*100</f>
        <v>1.3470572209207599</v>
      </c>
      <c r="H60" s="69">
        <f>('[8]Data Constant'!L62-'[8]Data Constant'!L58)/'[8]Data Constant'!$F58*100</f>
        <v>1.5074380675411112</v>
      </c>
      <c r="I60" s="69">
        <f>-('[8]Data Constant'!M62-'[8]Data Constant'!M58)/'[8]Data Constant'!$F58*100</f>
        <v>-4.5829102422560259</v>
      </c>
      <c r="J60" s="70">
        <f t="shared" si="0"/>
        <v>3.7977402181419757</v>
      </c>
      <c r="K60" s="71">
        <f t="shared" si="1"/>
        <v>-7.815970093361102E-14</v>
      </c>
      <c r="L60" s="72" t="str">
        <f>IF(OR('[8]Data Constant'!K62="",'[8]Data Constant'!K58=""),"",('[8]Data Constant'!K62-'[8]Data Constant'!K58)/'[8]Data Constant'!$F58*100)</f>
        <v/>
      </c>
      <c r="M60" s="72"/>
      <c r="N60" s="73">
        <f t="shared" si="2"/>
        <v>3.7977402181419757</v>
      </c>
      <c r="O60" s="73">
        <f t="shared" si="3"/>
        <v>5.5261551719361304</v>
      </c>
      <c r="P60" s="73">
        <f t="shared" si="4"/>
        <v>1.3470572209207599</v>
      </c>
      <c r="Q60" s="73">
        <f t="shared" si="5"/>
        <v>-3.075472174714915</v>
      </c>
      <c r="R60" s="73"/>
      <c r="S60" s="73"/>
      <c r="T60" s="73"/>
      <c r="U60" s="73"/>
      <c r="V60" s="73"/>
    </row>
    <row r="61" spans="2:22" x14ac:dyDescent="0.25">
      <c r="B61" s="67" t="str">
        <f>'[8]Data Constant'!B63</f>
        <v>2Q 2018</v>
      </c>
      <c r="C61" s="68">
        <f>('[8]Data Constant'!F63/'[8]Data Constant'!F59-1)*100</f>
        <v>-3.9790994073942931</v>
      </c>
      <c r="D61" s="69">
        <f>('[8]Data Constant'!G63-'[8]Data Constant'!G59)/'[8]Data Constant'!$F59*100</f>
        <v>1.1169160240213172</v>
      </c>
      <c r="E61" s="69">
        <f>('[8]Data Constant'!H63-'[8]Data Constant'!H59)/'[8]Data Constant'!$F59*100</f>
        <v>-9.5802154685295196E-2</v>
      </c>
      <c r="F61" s="69">
        <f>('[8]Data Constant'!I63-'[8]Data Constant'!I59)/'[8]Data Constant'!$F59*100</f>
        <v>0.48065708283486863</v>
      </c>
      <c r="G61" s="69">
        <f>('[8]Data Constant'!N63-'[8]Data Constant'!N59)/'[8]Data Constant'!$F59*100</f>
        <v>-2.7203197170616291</v>
      </c>
      <c r="H61" s="69">
        <f>('[8]Data Constant'!L63-'[8]Data Constant'!L59)/'[8]Data Constant'!$F59*100</f>
        <v>-1.6137479823874552</v>
      </c>
      <c r="I61" s="69">
        <f>-('[8]Data Constant'!M63-'[8]Data Constant'!M59)/'[8]Data Constant'!$F59*100</f>
        <v>-1.1468026601162171</v>
      </c>
      <c r="J61" s="70">
        <f t="shared" si="0"/>
        <v>-3.9790994073944104</v>
      </c>
      <c r="K61" s="71">
        <f t="shared" si="1"/>
        <v>-1.1723955140041653E-13</v>
      </c>
      <c r="L61" s="72" t="str">
        <f>IF(OR('[8]Data Constant'!K63="",'[8]Data Constant'!K59=""),"",('[8]Data Constant'!K63-'[8]Data Constant'!K59)/'[8]Data Constant'!$F59*100)</f>
        <v/>
      </c>
      <c r="M61" s="72"/>
      <c r="N61" s="73">
        <f t="shared" si="2"/>
        <v>-3.9790994073944108</v>
      </c>
      <c r="O61" s="73">
        <f t="shared" si="3"/>
        <v>1.5017709521708906</v>
      </c>
      <c r="P61" s="73">
        <f t="shared" si="4"/>
        <v>-2.7203197170616291</v>
      </c>
      <c r="Q61" s="73">
        <f t="shared" si="5"/>
        <v>-2.7605506425036723</v>
      </c>
      <c r="R61" s="73"/>
      <c r="S61" s="73"/>
      <c r="T61" s="73"/>
      <c r="U61" s="73"/>
      <c r="V61" s="73"/>
    </row>
    <row r="62" spans="2:22" x14ac:dyDescent="0.25">
      <c r="B62" s="67" t="str">
        <f>'[8]Data Constant'!B64</f>
        <v>3Q 2018</v>
      </c>
      <c r="C62" s="68">
        <f>('[8]Data Constant'!F64/'[8]Data Constant'!F60-1)*100</f>
        <v>-3.4694403873949953</v>
      </c>
      <c r="D62" s="69">
        <f>('[8]Data Constant'!G64-'[8]Data Constant'!G60)/'[8]Data Constant'!$F60*100</f>
        <v>-2.3758099041438405</v>
      </c>
      <c r="E62" s="69">
        <f>('[8]Data Constant'!H64-'[8]Data Constant'!H60)/'[8]Data Constant'!$F60*100</f>
        <v>-0.34585786405406094</v>
      </c>
      <c r="F62" s="69">
        <f>('[8]Data Constant'!I64-'[8]Data Constant'!I60)/'[8]Data Constant'!$F60*100</f>
        <v>-2.5690551774384565</v>
      </c>
      <c r="G62" s="69">
        <f>('[8]Data Constant'!N64-'[8]Data Constant'!N60)/'[8]Data Constant'!$F60*100</f>
        <v>2.4331741909981639E-2</v>
      </c>
      <c r="H62" s="69">
        <f>('[8]Data Constant'!L64-'[8]Data Constant'!L60)/'[8]Data Constant'!$F60*100</f>
        <v>-1.3025145371605709</v>
      </c>
      <c r="I62" s="69">
        <f>-('[8]Data Constant'!M64-'[8]Data Constant'!M60)/'[8]Data Constant'!$F60*100</f>
        <v>3.0994653534918672</v>
      </c>
      <c r="J62" s="70">
        <f t="shared" si="0"/>
        <v>-3.4694403873950792</v>
      </c>
      <c r="K62" s="71">
        <f t="shared" si="1"/>
        <v>-8.3932860661661834E-14</v>
      </c>
      <c r="L62" s="72" t="str">
        <f>IF(OR('[8]Data Constant'!K64="",'[8]Data Constant'!K60=""),"",('[8]Data Constant'!K64-'[8]Data Constant'!K60)/'[8]Data Constant'!$F60*100)</f>
        <v/>
      </c>
      <c r="M62" s="72"/>
      <c r="N62" s="73">
        <f t="shared" si="2"/>
        <v>-3.4694403873950792</v>
      </c>
      <c r="O62" s="73">
        <f t="shared" si="3"/>
        <v>-5.2907229456363574</v>
      </c>
      <c r="P62" s="73">
        <f t="shared" si="4"/>
        <v>2.4331741909981639E-2</v>
      </c>
      <c r="Q62" s="73">
        <f t="shared" si="5"/>
        <v>1.7969508163312964</v>
      </c>
      <c r="R62" s="73"/>
      <c r="S62" s="73"/>
      <c r="T62" s="73"/>
      <c r="U62" s="73"/>
      <c r="V62" s="73"/>
    </row>
    <row r="63" spans="2:22" x14ac:dyDescent="0.25">
      <c r="B63" s="67" t="str">
        <f>'[8]Data Constant'!B65</f>
        <v>4Q 2018</v>
      </c>
      <c r="C63" s="68">
        <f>('[8]Data Constant'!F65/'[8]Data Constant'!F61-1)*100</f>
        <v>-6.3397391670074636</v>
      </c>
      <c r="D63" s="69">
        <f>('[8]Data Constant'!G65-'[8]Data Constant'!G61)/'[8]Data Constant'!$F61*100</f>
        <v>-7.8449034199953154</v>
      </c>
      <c r="E63" s="69">
        <f>('[8]Data Constant'!H65-'[8]Data Constant'!H61)/'[8]Data Constant'!$F61*100</f>
        <v>-0.57667969824842213</v>
      </c>
      <c r="F63" s="69">
        <f>('[8]Data Constant'!I65-'[8]Data Constant'!I61)/'[8]Data Constant'!$F61*100</f>
        <v>-5.6065885266532955</v>
      </c>
      <c r="G63" s="69">
        <f>('[8]Data Constant'!N65-'[8]Data Constant'!N61)/'[8]Data Constant'!$F61*100</f>
        <v>-2.2123052393564007</v>
      </c>
      <c r="H63" s="69">
        <f>('[8]Data Constant'!L65-'[8]Data Constant'!L61)/'[8]Data Constant'!$F61*100</f>
        <v>2.133073703435401</v>
      </c>
      <c r="I63" s="69">
        <f>-('[8]Data Constant'!M65-'[8]Data Constant'!M61)/'[8]Data Constant'!$F61*100</f>
        <v>7.7676640138105215</v>
      </c>
      <c r="J63" s="70">
        <f t="shared" si="0"/>
        <v>-6.3397391670075143</v>
      </c>
      <c r="K63" s="71">
        <f t="shared" si="1"/>
        <v>-5.0626169922907138E-14</v>
      </c>
      <c r="L63" s="72" t="str">
        <f>IF(OR('[8]Data Constant'!K65="",'[8]Data Constant'!K61=""),"",('[8]Data Constant'!K65-'[8]Data Constant'!K61)/'[8]Data Constant'!$F61*100)</f>
        <v/>
      </c>
      <c r="M63" s="72"/>
      <c r="N63" s="73">
        <f t="shared" si="2"/>
        <v>-6.3397391670075134</v>
      </c>
      <c r="O63" s="73">
        <f t="shared" si="3"/>
        <v>-14.028171644897034</v>
      </c>
      <c r="P63" s="73">
        <f t="shared" si="4"/>
        <v>-2.2123052393564007</v>
      </c>
      <c r="Q63" s="73">
        <f t="shared" si="5"/>
        <v>9.9007377172459226</v>
      </c>
      <c r="R63" s="73"/>
      <c r="S63" s="73"/>
      <c r="T63" s="73"/>
      <c r="U63" s="73"/>
      <c r="V63" s="73"/>
    </row>
    <row r="64" spans="2:22" x14ac:dyDescent="0.25">
      <c r="B64" s="67" t="str">
        <f>'[8]Data Constant'!B66</f>
        <v>1Q 2019</v>
      </c>
      <c r="C64" s="68">
        <f>('[8]Data Constant'!F66/'[8]Data Constant'!F62-1)*100</f>
        <v>-5.863725398737496</v>
      </c>
      <c r="D64" s="69">
        <f>('[8]Data Constant'!G66-'[8]Data Constant'!G62)/'[8]Data Constant'!$F62*100</f>
        <v>-6.8598477042264072</v>
      </c>
      <c r="E64" s="69">
        <f>('[8]Data Constant'!H66-'[8]Data Constant'!H62)/'[8]Data Constant'!$F62*100</f>
        <v>-0.5796928981490892</v>
      </c>
      <c r="F64" s="69">
        <f>('[8]Data Constant'!I66-'[8]Data Constant'!I62)/'[8]Data Constant'!$F62*100</f>
        <v>-5.3883034880251159</v>
      </c>
      <c r="G64" s="69">
        <f>('[8]Data Constant'!N66-'[8]Data Constant'!N62)/'[8]Data Constant'!$F62*100</f>
        <v>-1.181217794298457</v>
      </c>
      <c r="H64" s="69">
        <f>('[8]Data Constant'!L66-'[8]Data Constant'!L62)/'[8]Data Constant'!$F62*100</f>
        <v>0.14697003499545205</v>
      </c>
      <c r="I64" s="69">
        <f>-('[8]Data Constant'!M66-'[8]Data Constant'!M62)/'[8]Data Constant'!$F62*100</f>
        <v>7.998366450966139</v>
      </c>
      <c r="J64" s="70">
        <f t="shared" si="0"/>
        <v>-5.8637253987374782</v>
      </c>
      <c r="K64" s="71">
        <f t="shared" si="1"/>
        <v>1.7763568394002505E-14</v>
      </c>
      <c r="L64" s="72" t="str">
        <f>IF(OR('[8]Data Constant'!K66="",'[8]Data Constant'!K62=""),"",('[8]Data Constant'!K66-'[8]Data Constant'!K62)/'[8]Data Constant'!$F62*100)</f>
        <v/>
      </c>
      <c r="M64" s="72"/>
      <c r="N64" s="73">
        <f t="shared" si="2"/>
        <v>-5.8637253987374773</v>
      </c>
      <c r="O64" s="73">
        <f t="shared" si="3"/>
        <v>-12.827844090400612</v>
      </c>
      <c r="P64" s="73">
        <f t="shared" si="4"/>
        <v>-1.181217794298457</v>
      </c>
      <c r="Q64" s="73">
        <f t="shared" si="5"/>
        <v>8.1453364859615913</v>
      </c>
      <c r="R64" s="73"/>
      <c r="S64" s="73"/>
      <c r="T64" s="73"/>
      <c r="U64" s="73"/>
      <c r="V64" s="73"/>
    </row>
    <row r="65" spans="2:22" x14ac:dyDescent="0.25">
      <c r="B65" s="67" t="str">
        <f>'[8]Data Constant'!B67</f>
        <v>2Q 2019</v>
      </c>
      <c r="C65" s="68">
        <f>('[8]Data Constant'!F67/'[8]Data Constant'!F63-1)*100</f>
        <v>0.5828198936035367</v>
      </c>
      <c r="D65" s="69">
        <f>('[8]Data Constant'!G67-'[8]Data Constant'!G63)/'[8]Data Constant'!$F63*100</f>
        <v>-5.0544608936339426</v>
      </c>
      <c r="E65" s="69">
        <f>('[8]Data Constant'!H67-'[8]Data Constant'!H63)/'[8]Data Constant'!$F63*100</f>
        <v>-0.56758838773814591</v>
      </c>
      <c r="F65" s="69">
        <f>('[8]Data Constant'!I67-'[8]Data Constant'!I63)/'[8]Data Constant'!$F63*100</f>
        <v>-3.7551347901294037</v>
      </c>
      <c r="G65" s="69">
        <f>('[8]Data Constant'!N67-'[8]Data Constant'!N63)/'[8]Data Constant'!$F63*100</f>
        <v>0.50565297364852679</v>
      </c>
      <c r="H65" s="69">
        <f>('[8]Data Constant'!L67-'[8]Data Constant'!L63)/'[8]Data Constant'!$F63*100</f>
        <v>2.8956560957063471</v>
      </c>
      <c r="I65" s="69">
        <f>-('[8]Data Constant'!M67-'[8]Data Constant'!M63)/'[8]Data Constant'!$F63*100</f>
        <v>6.558694895750171</v>
      </c>
      <c r="J65" s="70">
        <f t="shared" si="0"/>
        <v>0.5828198936035518</v>
      </c>
      <c r="K65" s="71">
        <f t="shared" si="1"/>
        <v>1.5099033134902129E-14</v>
      </c>
      <c r="L65" s="72" t="str">
        <f>IF(OR('[8]Data Constant'!K67="",'[8]Data Constant'!K63=""),"",('[8]Data Constant'!K67-'[8]Data Constant'!K63)/'[8]Data Constant'!$F63*100)</f>
        <v/>
      </c>
      <c r="M65" s="72"/>
      <c r="N65" s="73">
        <f t="shared" si="2"/>
        <v>0.58281989360355269</v>
      </c>
      <c r="O65" s="73">
        <f t="shared" si="3"/>
        <v>-9.3771840715014925</v>
      </c>
      <c r="P65" s="73">
        <f t="shared" si="4"/>
        <v>0.50565297364852679</v>
      </c>
      <c r="Q65" s="73">
        <f t="shared" si="5"/>
        <v>9.4543509914565185</v>
      </c>
      <c r="R65" s="73"/>
      <c r="S65" s="73"/>
      <c r="T65" s="73"/>
      <c r="U65" s="73"/>
      <c r="V65" s="73"/>
    </row>
    <row r="66" spans="2:22" x14ac:dyDescent="0.25">
      <c r="B66" s="67" t="str">
        <f>'[8]Data Constant'!B68</f>
        <v>3Q 2019</v>
      </c>
      <c r="C66" s="68">
        <f>('[8]Data Constant'!F68/'[8]Data Constant'!F64-1)*100</f>
        <v>-1.7527161635666477</v>
      </c>
      <c r="D66" s="69">
        <f>('[8]Data Constant'!G68-'[8]Data Constant'!G64)/'[8]Data Constant'!$F64*100</f>
        <v>-4.7264202325081026</v>
      </c>
      <c r="E66" s="69">
        <f>('[8]Data Constant'!H68-'[8]Data Constant'!H64)/'[8]Data Constant'!$F64*100</f>
        <v>-1.1862037615420717</v>
      </c>
      <c r="F66" s="69">
        <f>('[8]Data Constant'!I68-'[8]Data Constant'!I64)/'[8]Data Constant'!$F64*100</f>
        <v>-2.0577337426907678</v>
      </c>
      <c r="G66" s="69">
        <f>('[8]Data Constant'!N68-'[8]Data Constant'!N64)/'[8]Data Constant'!$F64*100</f>
        <v>-1.2807481961796718</v>
      </c>
      <c r="H66" s="69">
        <f>('[8]Data Constant'!L68-'[8]Data Constant'!L64)/'[8]Data Constant'!$F64*100</f>
        <v>3.1604176769228358</v>
      </c>
      <c r="I66" s="69">
        <f>-('[8]Data Constant'!M68-'[8]Data Constant'!M64)/'[8]Data Constant'!$F64*100</f>
        <v>4.3574367185241032</v>
      </c>
      <c r="J66" s="70">
        <f t="shared" si="0"/>
        <v>-1.7332515374736754</v>
      </c>
      <c r="K66" s="71">
        <f t="shared" si="1"/>
        <v>1.9464626092972281E-2</v>
      </c>
      <c r="L66" s="72" t="str">
        <f>IF(OR('[8]Data Constant'!K68="",'[8]Data Constant'!K64=""),"",('[8]Data Constant'!K68-'[8]Data Constant'!K64)/'[8]Data Constant'!$F64*100)</f>
        <v/>
      </c>
      <c r="M66" s="72"/>
      <c r="N66" s="73">
        <f t="shared" si="2"/>
        <v>-1.7332515374736754</v>
      </c>
      <c r="O66" s="73">
        <f t="shared" si="3"/>
        <v>-7.9703577367409419</v>
      </c>
      <c r="P66" s="73">
        <f t="shared" si="4"/>
        <v>-1.2807481961796718</v>
      </c>
      <c r="Q66" s="73">
        <f t="shared" si="5"/>
        <v>7.517854395446939</v>
      </c>
      <c r="R66" s="73"/>
      <c r="S66" s="73"/>
      <c r="T66" s="73"/>
      <c r="U66" s="73"/>
      <c r="V66" s="73"/>
    </row>
    <row r="67" spans="2:22" x14ac:dyDescent="0.25">
      <c r="B67" s="67" t="str">
        <f>'[8]Data Constant'!B69</f>
        <v>4Q 2019</v>
      </c>
      <c r="C67" s="68">
        <f>('[8]Data Constant'!F69/'[8]Data Constant'!F65-1)*100</f>
        <v>-1.0748427395181226</v>
      </c>
      <c r="D67" s="69">
        <f>('[8]Data Constant'!G69-'[8]Data Constant'!G65)/'[8]Data Constant'!$F65*100</f>
        <v>-1.4483279808353857</v>
      </c>
      <c r="E67" s="69">
        <f>('[8]Data Constant'!H69-'[8]Data Constant'!H65)/'[8]Data Constant'!$F65*100</f>
        <v>-1.2113675355683431</v>
      </c>
      <c r="F67" s="69">
        <f>('[8]Data Constant'!I69-'[8]Data Constant'!I65)/'[8]Data Constant'!$F65*100</f>
        <v>-1.4770092583390921</v>
      </c>
      <c r="G67" s="69">
        <f>('[8]Data Constant'!N69-'[8]Data Constant'!N65)/'[8]Data Constant'!$F65*100</f>
        <v>-1.3443992431699046</v>
      </c>
      <c r="H67" s="69">
        <f>('[8]Data Constant'!L69-'[8]Data Constant'!L65)/'[8]Data Constant'!$F65*100</f>
        <v>1.8650807040288886</v>
      </c>
      <c r="I67" s="69">
        <f>-('[8]Data Constant'!M69-'[8]Data Constant'!M65)/'[8]Data Constant'!$F65*100</f>
        <v>2.6725187349532908</v>
      </c>
      <c r="J67" s="70">
        <f t="shared" si="0"/>
        <v>-0.94350457893054651</v>
      </c>
      <c r="K67" s="71">
        <f t="shared" si="1"/>
        <v>0.13133816058757608</v>
      </c>
      <c r="L67" s="72" t="str">
        <f>IF(OR('[8]Data Constant'!K69="",'[8]Data Constant'!K65=""),"",('[8]Data Constant'!K69-'[8]Data Constant'!K65)/'[8]Data Constant'!$F65*100)</f>
        <v/>
      </c>
      <c r="M67" s="72"/>
      <c r="N67" s="73">
        <f t="shared" si="2"/>
        <v>-0.94350457893054607</v>
      </c>
      <c r="O67" s="73">
        <f t="shared" si="3"/>
        <v>-4.1367047747428209</v>
      </c>
      <c r="P67" s="73">
        <f t="shared" si="4"/>
        <v>-1.3443992431699046</v>
      </c>
      <c r="Q67" s="73">
        <f t="shared" si="5"/>
        <v>4.5375994389821797</v>
      </c>
      <c r="R67" s="73"/>
      <c r="S67" s="73"/>
      <c r="T67" s="73"/>
      <c r="U67" s="73"/>
      <c r="V67" s="73"/>
    </row>
    <row r="68" spans="2:22" x14ac:dyDescent="0.25">
      <c r="B68" s="67" t="str">
        <f>'[8]Data Constant'!B70</f>
        <v>1Q 2020</v>
      </c>
      <c r="C68" s="68">
        <f>('[8]Data Constant'!F70/'[8]Data Constant'!F66-1)*100</f>
        <v>-5.0250696586593868</v>
      </c>
      <c r="D68" s="69">
        <f>('[8]Data Constant'!G70-'[8]Data Constant'!G66)/'[8]Data Constant'!$F66*100</f>
        <v>-5.0317851453246849</v>
      </c>
      <c r="E68" s="69">
        <f>('[8]Data Constant'!H70-'[8]Data Constant'!H66)/'[8]Data Constant'!$F66*100</f>
        <v>-3.2971443785827809E-2</v>
      </c>
      <c r="F68" s="69">
        <f>('[8]Data Constant'!I70-'[8]Data Constant'!I66)/'[8]Data Constant'!$F66*100</f>
        <v>-3.1161773954487004</v>
      </c>
      <c r="G68" s="69">
        <f>('[8]Data Constant'!N70-'[8]Data Constant'!N66)/'[8]Data Constant'!$F66*100</f>
        <v>1.0135932616152707</v>
      </c>
      <c r="H68" s="69">
        <f>('[8]Data Constant'!L70-'[8]Data Constant'!L66)/'[8]Data Constant'!$F66*100</f>
        <v>-0.99964631359436773</v>
      </c>
      <c r="I68" s="69">
        <f>-('[8]Data Constant'!M70-'[8]Data Constant'!M66)/'[8]Data Constant'!$F66*100</f>
        <v>3.1419173778789071</v>
      </c>
      <c r="J68" s="70">
        <f t="shared" si="0"/>
        <v>-5.0250696586594019</v>
      </c>
      <c r="K68" s="71">
        <f t="shared" si="1"/>
        <v>-1.5099033134902129E-14</v>
      </c>
      <c r="L68" s="72" t="str">
        <f>IF(OR('[8]Data Constant'!K70="",'[8]Data Constant'!K66=""),"",('[8]Data Constant'!K70-'[8]Data Constant'!K66)/'[8]Data Constant'!$F66*100)</f>
        <v/>
      </c>
      <c r="M68" s="72"/>
      <c r="N68" s="73">
        <f t="shared" si="2"/>
        <v>-5.0250696586594019</v>
      </c>
      <c r="O68" s="73">
        <f t="shared" si="3"/>
        <v>-8.1809339845592124</v>
      </c>
      <c r="P68" s="73">
        <f t="shared" si="4"/>
        <v>1.0135932616152707</v>
      </c>
      <c r="Q68" s="73">
        <f t="shared" si="5"/>
        <v>2.1422710642845395</v>
      </c>
      <c r="R68" s="73"/>
      <c r="S68" s="73"/>
      <c r="T68" s="73"/>
      <c r="U68" s="73"/>
      <c r="V68" s="73"/>
    </row>
    <row r="69" spans="2:22" x14ac:dyDescent="0.25">
      <c r="B69" s="67" t="str">
        <f>'[8]Data Constant'!B71</f>
        <v>2Q 2020</v>
      </c>
      <c r="C69" s="68">
        <f>('[8]Data Constant'!F71/'[8]Data Constant'!F67-1)*100</f>
        <v>-18.94219403858467</v>
      </c>
      <c r="D69" s="69">
        <f>('[8]Data Constant'!G71-'[8]Data Constant'!G67)/'[8]Data Constant'!$F67*100</f>
        <v>-15.481307416816737</v>
      </c>
      <c r="E69" s="69">
        <f>('[8]Data Constant'!H71-'[8]Data Constant'!H67)/'[8]Data Constant'!$F67*100</f>
        <v>-0.72538337566202182</v>
      </c>
      <c r="F69" s="69">
        <f>('[8]Data Constant'!I71-'[8]Data Constant'!I67)/'[8]Data Constant'!$F67*100</f>
        <v>-6.2998202819047</v>
      </c>
      <c r="G69" s="69">
        <f>('[8]Data Constant'!N71-'[8]Data Constant'!N67)/'[8]Data Constant'!$F67*100</f>
        <v>-0.36051516220033691</v>
      </c>
      <c r="H69" s="69">
        <f>('[8]Data Constant'!L71-'[8]Data Constant'!L67)/'[8]Data Constant'!$F67*100</f>
        <v>-3.0295578852570713</v>
      </c>
      <c r="I69" s="69">
        <f>-('[8]Data Constant'!M71-'[8]Data Constant'!M67)/'[8]Data Constant'!$F67*100</f>
        <v>6.954390083256329</v>
      </c>
      <c r="J69" s="70">
        <f t="shared" si="0"/>
        <v>-18.942194038584539</v>
      </c>
      <c r="K69" s="71">
        <f t="shared" si="1"/>
        <v>1.3145040611561853E-13</v>
      </c>
      <c r="L69" s="72" t="str">
        <f>IF(OR('[8]Data Constant'!K71="",'[8]Data Constant'!K67=""),"",('[8]Data Constant'!K71-'[8]Data Constant'!K67)/'[8]Data Constant'!$F67*100)</f>
        <v/>
      </c>
      <c r="M69" s="72"/>
      <c r="N69" s="73">
        <f t="shared" si="2"/>
        <v>-18.942194038584539</v>
      </c>
      <c r="O69" s="73">
        <f t="shared" si="3"/>
        <v>-22.506511074383461</v>
      </c>
      <c r="P69" s="73">
        <f t="shared" si="4"/>
        <v>-0.36051516220033691</v>
      </c>
      <c r="Q69" s="73">
        <f t="shared" si="5"/>
        <v>3.9248321979992578</v>
      </c>
      <c r="R69" s="73"/>
      <c r="S69" s="73"/>
      <c r="T69" s="73"/>
      <c r="U69" s="73"/>
      <c r="V69" s="73"/>
    </row>
    <row r="70" spans="2:22" x14ac:dyDescent="0.25">
      <c r="B70" s="67" t="str">
        <f>'[8]Data Constant'!B72</f>
        <v>3Q 2020</v>
      </c>
      <c r="C70" s="68">
        <f>('[8]Data Constant'!F72/'[8]Data Constant'!F68-1)*100</f>
        <v>-10.192766275916188</v>
      </c>
      <c r="D70" s="69">
        <f>('[8]Data Constant'!G72-'[8]Data Constant'!G68)/'[8]Data Constant'!$F68*100</f>
        <v>-10.446593076802834</v>
      </c>
      <c r="E70" s="69">
        <f>('[8]Data Constant'!H72-'[8]Data Constant'!H68)/'[8]Data Constant'!$F68*100</f>
        <v>-0.24590056563708482</v>
      </c>
      <c r="F70" s="69">
        <f>('[8]Data Constant'!I72-'[8]Data Constant'!I68)/'[8]Data Constant'!$F68*100</f>
        <v>-1.7092825875695643</v>
      </c>
      <c r="G70" s="69">
        <f>('[8]Data Constant'!N72-'[8]Data Constant'!N68)/'[8]Data Constant'!$F68*100</f>
        <v>0.82420525958457702</v>
      </c>
      <c r="H70" s="69">
        <f>('[8]Data Constant'!L72-'[8]Data Constant'!L68)/'[8]Data Constant'!$F68*100</f>
        <v>-4.405063549863562</v>
      </c>
      <c r="I70" s="69">
        <f>-('[8]Data Constant'!M72-'[8]Data Constant'!M68)/'[8]Data Constant'!$F68*100</f>
        <v>5.7700563723969474</v>
      </c>
      <c r="J70" s="70">
        <f t="shared" si="0"/>
        <v>-10.21257814789152</v>
      </c>
      <c r="K70" s="71">
        <f t="shared" si="1"/>
        <v>-1.9811871975331741E-2</v>
      </c>
      <c r="L70" s="72" t="str">
        <f>IF(OR('[8]Data Constant'!K72="",'[8]Data Constant'!K68=""),"",('[8]Data Constant'!K72-'[8]Data Constant'!K68)/'[8]Data Constant'!$F68*100)</f>
        <v/>
      </c>
      <c r="M70" s="72"/>
      <c r="N70" s="73">
        <f t="shared" si="2"/>
        <v>-10.21257814789152</v>
      </c>
      <c r="O70" s="73">
        <f t="shared" si="3"/>
        <v>-12.401776230009483</v>
      </c>
      <c r="P70" s="73">
        <f t="shared" si="4"/>
        <v>0.82420525958457702</v>
      </c>
      <c r="Q70" s="73">
        <f t="shared" si="5"/>
        <v>1.3649928225333854</v>
      </c>
      <c r="R70" s="73"/>
      <c r="S70" s="73"/>
      <c r="T70" s="73"/>
      <c r="U70" s="73"/>
      <c r="V70" s="73"/>
    </row>
    <row r="71" spans="2:22" x14ac:dyDescent="0.25">
      <c r="B71" s="67" t="str">
        <f>'[8]Data Constant'!B73</f>
        <v>4Q 2020</v>
      </c>
      <c r="C71" s="68">
        <f>('[8]Data Constant'!F73/'[8]Data Constant'!F69-1)*100</f>
        <v>-4.3132994764103927</v>
      </c>
      <c r="D71" s="69">
        <f>('[8]Data Constant'!G73-'[8]Data Constant'!G69)/'[8]Data Constant'!$F69*100</f>
        <v>-2.8723337904484625</v>
      </c>
      <c r="E71" s="69">
        <f>('[8]Data Constant'!H73-'[8]Data Constant'!H69)/'[8]Data Constant'!$F69*100</f>
        <v>2.4329143774918273E-3</v>
      </c>
      <c r="F71" s="69">
        <f>('[8]Data Constant'!I73-'[8]Data Constant'!I69)/'[8]Data Constant'!$F69*100</f>
        <v>2.6032056429975929</v>
      </c>
      <c r="G71" s="69">
        <f>('[8]Data Constant'!N73-'[8]Data Constant'!N69)/'[8]Data Constant'!$F69*100</f>
        <v>3.3194873059567094</v>
      </c>
      <c r="H71" s="69">
        <f>('[8]Data Constant'!L73-'[8]Data Constant'!L69)/'[8]Data Constant'!$F69*100</f>
        <v>-7.8915632828126459</v>
      </c>
      <c r="I71" s="69">
        <f>-('[8]Data Constant'!M73-'[8]Data Constant'!M69)/'[8]Data Constant'!$F69*100</f>
        <v>0.39270655606087829</v>
      </c>
      <c r="J71" s="70">
        <f t="shared" si="0"/>
        <v>-4.4460646538684356</v>
      </c>
      <c r="K71" s="71">
        <f t="shared" si="1"/>
        <v>-0.13276517745804295</v>
      </c>
      <c r="L71" s="72" t="str">
        <f>IF(OR('[8]Data Constant'!K73="",'[8]Data Constant'!K69=""),"",('[8]Data Constant'!K73-'[8]Data Constant'!K69)/'[8]Data Constant'!$F69*100)</f>
        <v/>
      </c>
      <c r="M71" s="72"/>
      <c r="N71" s="73">
        <f t="shared" si="2"/>
        <v>-4.4460646538684356</v>
      </c>
      <c r="O71" s="73">
        <f t="shared" si="3"/>
        <v>-0.26669523307337784</v>
      </c>
      <c r="P71" s="73">
        <f t="shared" si="4"/>
        <v>3.3194873059567094</v>
      </c>
      <c r="Q71" s="73">
        <f t="shared" si="5"/>
        <v>-7.4988567267517672</v>
      </c>
      <c r="R71" s="73"/>
      <c r="S71" s="73"/>
      <c r="T71" s="73"/>
      <c r="U71" s="73"/>
      <c r="V71" s="73"/>
    </row>
    <row r="72" spans="2:22" x14ac:dyDescent="0.25">
      <c r="B72" s="67" t="str">
        <f>'[8]Data Constant'!B74</f>
        <v>1Q 2021</v>
      </c>
      <c r="C72" s="68">
        <f>('[8]Data Constant'!F74/'[8]Data Constant'!F70-1)*100</f>
        <v>3.2326007794805767</v>
      </c>
      <c r="D72" s="69">
        <f>('[8]Data Constant'!G74-'[8]Data Constant'!G70)/'[8]Data Constant'!$F70*100</f>
        <v>0.40029964738985552</v>
      </c>
      <c r="E72" s="69">
        <f>('[8]Data Constant'!H74-'[8]Data Constant'!H70)/'[8]Data Constant'!$F70*100</f>
        <v>9.7432134583457661E-2</v>
      </c>
      <c r="F72" s="69">
        <f>('[8]Data Constant'!I74-'[8]Data Constant'!I70)/'[8]Data Constant'!$F70*100</f>
        <v>5.7321546096022633</v>
      </c>
      <c r="G72" s="69">
        <f>('[8]Data Constant'!N74-'[8]Data Constant'!N70)/'[8]Data Constant'!$F70*100</f>
        <v>-0.84316817160173463</v>
      </c>
      <c r="H72" s="69">
        <f>('[8]Data Constant'!L74-'[8]Data Constant'!L70)/'[8]Data Constant'!$F70*100</f>
        <v>-2.2220744702878599</v>
      </c>
      <c r="I72" s="69">
        <f>-('[8]Data Constant'!M74-'[8]Data Constant'!M70)/'[8]Data Constant'!$F70*100</f>
        <v>6.7957029794376067E-2</v>
      </c>
      <c r="J72" s="70">
        <f t="shared" ref="J72:J92" si="6">SUM(D72:I72)</f>
        <v>3.2326007794803582</v>
      </c>
      <c r="K72" s="71">
        <f t="shared" ref="K72:K92" si="7">J72-C72</f>
        <v>-2.1849189124623081E-13</v>
      </c>
      <c r="L72" s="72" t="str">
        <f>IF(OR('[8]Data Constant'!K74="",'[8]Data Constant'!K70=""),"",('[8]Data Constant'!K74-'[8]Data Constant'!K70)/'[8]Data Constant'!$F70*100)</f>
        <v/>
      </c>
      <c r="M72" s="72"/>
      <c r="N72" s="73">
        <f t="shared" si="2"/>
        <v>3.2326007794803582</v>
      </c>
      <c r="O72" s="73">
        <f t="shared" si="3"/>
        <v>6.2298863915755769</v>
      </c>
      <c r="P72" s="73">
        <f t="shared" si="4"/>
        <v>-0.84316817160173463</v>
      </c>
      <c r="Q72" s="73">
        <f t="shared" si="5"/>
        <v>-2.1541174404934837</v>
      </c>
      <c r="R72" s="73"/>
      <c r="S72" s="73"/>
      <c r="T72" s="73"/>
      <c r="U72" s="73"/>
      <c r="V72" s="73"/>
    </row>
    <row r="73" spans="2:22" x14ac:dyDescent="0.25">
      <c r="B73" s="67" t="str">
        <f>'[8]Data Constant'!B75</f>
        <v>2Q 2021</v>
      </c>
      <c r="C73" s="68">
        <f>('[8]Data Constant'!F75/'[8]Data Constant'!F71-1)*100</f>
        <v>18.729960779663358</v>
      </c>
      <c r="D73" s="69">
        <f>('[8]Data Constant'!G75-'[8]Data Constant'!G71)/'[8]Data Constant'!$F71*100</f>
        <v>13.201380586189851</v>
      </c>
      <c r="E73" s="69">
        <f>('[8]Data Constant'!H75-'[8]Data Constant'!H71)/'[8]Data Constant'!$F71*100</f>
        <v>0.96512985233390436</v>
      </c>
      <c r="F73" s="69">
        <f>('[8]Data Constant'!I75-'[8]Data Constant'!I71)/'[8]Data Constant'!$F71*100</f>
        <v>9.8373002238286205</v>
      </c>
      <c r="G73" s="69">
        <f>('[8]Data Constant'!N75-'[8]Data Constant'!N71)/'[8]Data Constant'!$F71*100</f>
        <v>0.40017490126966293</v>
      </c>
      <c r="H73" s="69">
        <f>('[8]Data Constant'!L75-'[8]Data Constant'!L71)/'[8]Data Constant'!$F71*100</f>
        <v>1.5834513400700314</v>
      </c>
      <c r="I73" s="69">
        <f>-('[8]Data Constant'!M75-'[8]Data Constant'!M71)/'[8]Data Constant'!$F71*100</f>
        <v>-7.2574761240287762</v>
      </c>
      <c r="J73" s="70">
        <f t="shared" si="6"/>
        <v>18.729960779663291</v>
      </c>
      <c r="K73" s="71">
        <f t="shared" si="7"/>
        <v>-6.7501559897209518E-14</v>
      </c>
      <c r="L73" s="72" t="str">
        <f>IF(OR('[8]Data Constant'!K75="",'[8]Data Constant'!K71=""),"",('[8]Data Constant'!K75-'[8]Data Constant'!K71)/'[8]Data Constant'!$F71*100)</f>
        <v/>
      </c>
      <c r="M73" s="72"/>
      <c r="N73" s="73">
        <f t="shared" si="2"/>
        <v>18.729960779663294</v>
      </c>
      <c r="O73" s="73">
        <f t="shared" si="3"/>
        <v>24.003810662352375</v>
      </c>
      <c r="P73" s="73">
        <f t="shared" si="4"/>
        <v>0.40017490126966293</v>
      </c>
      <c r="Q73" s="73">
        <f t="shared" si="5"/>
        <v>-5.6740247839587443</v>
      </c>
      <c r="R73" s="73"/>
      <c r="S73" s="73"/>
      <c r="T73" s="73"/>
      <c r="U73" s="73"/>
      <c r="V73" s="73"/>
    </row>
    <row r="74" spans="2:22" x14ac:dyDescent="0.25">
      <c r="B74" s="67" t="str">
        <f>'[8]Data Constant'!B76</f>
        <v>3Q 2021</v>
      </c>
      <c r="C74" s="68">
        <f>('[8]Data Constant'!F76/'[8]Data Constant'!F72-1)*100</f>
        <v>11.814535666569004</v>
      </c>
      <c r="D74" s="69">
        <f>('[8]Data Constant'!G76-'[8]Data Constant'!G72)/'[8]Data Constant'!$F72*100</f>
        <v>6.5973570388506095</v>
      </c>
      <c r="E74" s="69">
        <f>('[8]Data Constant'!H76-'[8]Data Constant'!H72)/'[8]Data Constant'!$F72*100</f>
        <v>1.322709691954906</v>
      </c>
      <c r="F74" s="69">
        <f>('[8]Data Constant'!I76-'[8]Data Constant'!I72)/'[8]Data Constant'!$F72*100</f>
        <v>4.1802612306973632</v>
      </c>
      <c r="G74" s="69">
        <f>('[8]Data Constant'!N76-'[8]Data Constant'!N72)/'[8]Data Constant'!$F72*100</f>
        <v>0.17194341213208336</v>
      </c>
      <c r="H74" s="69">
        <f>('[8]Data Constant'!L76-'[8]Data Constant'!L72)/'[8]Data Constant'!$F72*100</f>
        <v>4.0960068084988839</v>
      </c>
      <c r="I74" s="69">
        <f>-('[8]Data Constant'!M76-'[8]Data Constant'!M72)/'[8]Data Constant'!$F72*100</f>
        <v>-4.5537425155649229</v>
      </c>
      <c r="J74" s="70">
        <f t="shared" si="6"/>
        <v>11.814535666568922</v>
      </c>
      <c r="K74" s="71">
        <f t="shared" si="7"/>
        <v>-8.1712414612411521E-14</v>
      </c>
      <c r="L74" s="72" t="str">
        <f>IF(OR('[8]Data Constant'!K76="",'[8]Data Constant'!K72=""),"",('[8]Data Constant'!K76-'[8]Data Constant'!K72)/'[8]Data Constant'!$F72*100)</f>
        <v/>
      </c>
      <c r="M74" s="72"/>
      <c r="N74" s="73">
        <f t="shared" si="2"/>
        <v>11.814535666568924</v>
      </c>
      <c r="O74" s="73">
        <f t="shared" si="3"/>
        <v>12.100327961502879</v>
      </c>
      <c r="P74" s="73">
        <f t="shared" si="4"/>
        <v>0.17194341213208336</v>
      </c>
      <c r="Q74" s="73">
        <f t="shared" si="5"/>
        <v>-0.45773570706603905</v>
      </c>
      <c r="R74" s="73"/>
      <c r="S74" s="73"/>
      <c r="T74" s="73"/>
      <c r="U74" s="73"/>
      <c r="V74" s="73"/>
    </row>
    <row r="75" spans="2:22" x14ac:dyDescent="0.25">
      <c r="B75" s="67" t="str">
        <f>'[8]Data Constant'!B77</f>
        <v>4Q 2021</v>
      </c>
      <c r="C75" s="68">
        <f>('[8]Data Constant'!F77/'[8]Data Constant'!F73-1)*100</f>
        <v>8.364113941174022</v>
      </c>
      <c r="D75" s="69">
        <f>('[8]Data Constant'!G77-'[8]Data Constant'!G73)/'[8]Data Constant'!$F73*100</f>
        <v>6.3609961917867306</v>
      </c>
      <c r="E75" s="69">
        <f>('[8]Data Constant'!H77-'[8]Data Constant'!H73)/'[8]Data Constant'!$F73*100</f>
        <v>1.668383115521874</v>
      </c>
      <c r="F75" s="69">
        <f>('[8]Data Constant'!I77-'[8]Data Constant'!I73)/'[8]Data Constant'!$F73*100</f>
        <v>2.9862146385165547</v>
      </c>
      <c r="G75" s="69">
        <f>('[8]Data Constant'!N77-'[8]Data Constant'!N73)/'[8]Data Constant'!$F73*100</f>
        <v>-1.5802562104061662</v>
      </c>
      <c r="H75" s="69">
        <f>('[8]Data Constant'!L77-'[8]Data Constant'!L73)/'[8]Data Constant'!$F73*100</f>
        <v>3.7805878794417929</v>
      </c>
      <c r="I75" s="69">
        <f>-('[8]Data Constant'!M77-'[8]Data Constant'!M73)/'[8]Data Constant'!$F73*100</f>
        <v>-4.8518116736867833</v>
      </c>
      <c r="J75" s="70">
        <f t="shared" si="6"/>
        <v>8.3641139411740042</v>
      </c>
      <c r="K75" s="71">
        <f t="shared" si="7"/>
        <v>-1.7763568394002505E-14</v>
      </c>
      <c r="L75" s="72" t="str">
        <f>IF(OR('[8]Data Constant'!K77="",'[8]Data Constant'!K73=""),"",('[8]Data Constant'!K77-'[8]Data Constant'!K73)/'[8]Data Constant'!$F73*100)</f>
        <v/>
      </c>
      <c r="M75" s="72"/>
      <c r="N75" s="73">
        <f t="shared" si="2"/>
        <v>8.3641139411740042</v>
      </c>
      <c r="O75" s="73">
        <f t="shared" si="3"/>
        <v>11.015593945825159</v>
      </c>
      <c r="P75" s="73">
        <f t="shared" si="4"/>
        <v>-1.5802562104061662</v>
      </c>
      <c r="Q75" s="73">
        <f t="shared" si="5"/>
        <v>-1.0712237942449905</v>
      </c>
      <c r="R75" s="73"/>
      <c r="S75" s="73"/>
      <c r="T75" s="73"/>
      <c r="U75" s="73"/>
      <c r="V75" s="73"/>
    </row>
    <row r="76" spans="2:22" x14ac:dyDescent="0.25">
      <c r="B76" s="67" t="str">
        <f>'[8]Data Constant'!B78</f>
        <v>1Q 2022</v>
      </c>
      <c r="C76" s="68">
        <f>('[8]Data Constant'!F78/'[8]Data Constant'!F74-1)*100</f>
        <v>6.8613838718544207</v>
      </c>
      <c r="D76" s="69">
        <f>('[8]Data Constant'!G78-'[8]Data Constant'!G74)/'[8]Data Constant'!$F74*100</f>
        <v>6.611746246027904</v>
      </c>
      <c r="E76" s="69">
        <f>('[8]Data Constant'!H78-'[8]Data Constant'!H74)/'[8]Data Constant'!$F74*100</f>
        <v>0.99931066932652035</v>
      </c>
      <c r="F76" s="69">
        <f>('[8]Data Constant'!I78-'[8]Data Constant'!I74)/'[8]Data Constant'!$F74*100</f>
        <v>2.1437962009636431</v>
      </c>
      <c r="G76" s="69">
        <f>('[8]Data Constant'!N78-'[8]Data Constant'!N74)/'[8]Data Constant'!$F74*100</f>
        <v>0.93388392415424093</v>
      </c>
      <c r="H76" s="69">
        <f>('[8]Data Constant'!L78-'[8]Data Constant'!L74)/'[8]Data Constant'!$F74*100</f>
        <v>1.5427323849958496</v>
      </c>
      <c r="I76" s="69">
        <f>-('[8]Data Constant'!M78-'[8]Data Constant'!M74)/'[8]Data Constant'!$F74*100</f>
        <v>-5.3700855536137073</v>
      </c>
      <c r="J76" s="70">
        <f t="shared" si="6"/>
        <v>6.86138387185445</v>
      </c>
      <c r="K76" s="71">
        <f t="shared" si="7"/>
        <v>2.9309887850104133E-14</v>
      </c>
      <c r="L76" s="72" t="str">
        <f>IF(OR('[8]Data Constant'!K78="",'[8]Data Constant'!K74=""),"",('[8]Data Constant'!K78-'[8]Data Constant'!K74)/'[8]Data Constant'!$F74*100)</f>
        <v/>
      </c>
      <c r="M76" s="72"/>
      <c r="N76" s="73">
        <f t="shared" ref="N76:N92" si="8">SUM(O76:Q76)</f>
        <v>6.86138387185445</v>
      </c>
      <c r="O76" s="73">
        <f t="shared" ref="O76:O92" si="9">D76+E76+F76</f>
        <v>9.754853116318067</v>
      </c>
      <c r="P76" s="73">
        <f t="shared" ref="P76:P92" si="10">+G76</f>
        <v>0.93388392415424093</v>
      </c>
      <c r="Q76" s="73">
        <f t="shared" ref="Q76:Q92" si="11">+H76+I76</f>
        <v>-3.8273531686178579</v>
      </c>
      <c r="R76" s="73"/>
      <c r="S76" s="73"/>
      <c r="T76" s="73"/>
      <c r="U76" s="73"/>
      <c r="V76" s="73"/>
    </row>
    <row r="77" spans="2:22" x14ac:dyDescent="0.25">
      <c r="B77" s="67" t="str">
        <f>'[8]Data Constant'!B79</f>
        <v>2Q 2022</v>
      </c>
      <c r="C77" s="68">
        <f>('[8]Data Constant'!F79/'[8]Data Constant'!F75-1)*100</f>
        <v>8.1300144619439241</v>
      </c>
      <c r="D77" s="69">
        <f>('[8]Data Constant'!G79-'[8]Data Constant'!G75)/'[8]Data Constant'!$F75*100</f>
        <v>8.527467559202373</v>
      </c>
      <c r="E77" s="69">
        <f>('[8]Data Constant'!H79-'[8]Data Constant'!H75)/'[8]Data Constant'!$F75*100</f>
        <v>0.80736217252045084</v>
      </c>
      <c r="F77" s="69">
        <f>('[8]Data Constant'!I79-'[8]Data Constant'!I75)/'[8]Data Constant'!$F75*100</f>
        <v>3.3711532049180204</v>
      </c>
      <c r="G77" s="69">
        <f>('[8]Data Constant'!N79-'[8]Data Constant'!N75)/'[8]Data Constant'!$F75*100</f>
        <v>-0.41149555928018944</v>
      </c>
      <c r="H77" s="69">
        <f>('[8]Data Constant'!L79-'[8]Data Constant'!L75)/'[8]Data Constant'!$F75*100</f>
        <v>1.5724777281998983</v>
      </c>
      <c r="I77" s="69">
        <f>-('[8]Data Constant'!M79-'[8]Data Constant'!M75)/'[8]Data Constant'!$F75*100</f>
        <v>-5.7369506436166189</v>
      </c>
      <c r="J77" s="70">
        <f t="shared" si="6"/>
        <v>8.130014461943933</v>
      </c>
      <c r="K77" s="71">
        <f t="shared" si="7"/>
        <v>0</v>
      </c>
      <c r="L77" s="72" t="str">
        <f>IF(OR('[8]Data Constant'!K79="",'[8]Data Constant'!K75=""),"",('[8]Data Constant'!K79-'[8]Data Constant'!K75)/'[8]Data Constant'!$F75*100)</f>
        <v/>
      </c>
      <c r="M77" s="72"/>
      <c r="N77" s="73">
        <f t="shared" si="8"/>
        <v>8.1300144619439347</v>
      </c>
      <c r="O77" s="73">
        <f t="shared" si="9"/>
        <v>12.705982936640844</v>
      </c>
      <c r="P77" s="73">
        <f t="shared" si="10"/>
        <v>-0.41149555928018944</v>
      </c>
      <c r="Q77" s="73">
        <f t="shared" si="11"/>
        <v>-4.1644729154167202</v>
      </c>
      <c r="R77" s="73"/>
      <c r="S77" s="73"/>
      <c r="T77" s="73"/>
      <c r="U77" s="73"/>
      <c r="V77" s="73"/>
    </row>
    <row r="78" spans="2:22" x14ac:dyDescent="0.25">
      <c r="B78" s="67" t="str">
        <f>'[8]Data Constant'!B80</f>
        <v>3Q 2022</v>
      </c>
      <c r="C78" s="68">
        <f>('[8]Data Constant'!F80/'[8]Data Constant'!F76-1)*100</f>
        <v>6.684421363238302</v>
      </c>
      <c r="D78" s="69">
        <f>('[8]Data Constant'!G80-'[8]Data Constant'!G76)/'[8]Data Constant'!$F76*100</f>
        <v>6.9759583811106047</v>
      </c>
      <c r="E78" s="69">
        <f>('[8]Data Constant'!H80-'[8]Data Constant'!H76)/'[8]Data Constant'!$F76*100</f>
        <v>0.14854925604206784</v>
      </c>
      <c r="F78" s="69">
        <f>('[8]Data Constant'!I80-'[8]Data Constant'!I76)/'[8]Data Constant'!$F76*100</f>
        <v>2.7994382391963364</v>
      </c>
      <c r="G78" s="69">
        <f>('[8]Data Constant'!N80-'[8]Data Constant'!N76)/'[8]Data Constant'!$F76*100</f>
        <v>2.6994438298732919</v>
      </c>
      <c r="H78" s="69">
        <f>('[8]Data Constant'!L80-'[8]Data Constant'!L76)/'[8]Data Constant'!$F76*100</f>
        <v>-0.63918434111098832</v>
      </c>
      <c r="I78" s="69">
        <f>-('[8]Data Constant'!M80-'[8]Data Constant'!M76)/'[8]Data Constant'!$F76*100</f>
        <v>-5.2997840018728315</v>
      </c>
      <c r="J78" s="70">
        <f t="shared" si="6"/>
        <v>6.6844213632384815</v>
      </c>
      <c r="K78" s="71">
        <f t="shared" si="7"/>
        <v>1.794120407794253E-13</v>
      </c>
      <c r="L78" s="72" t="str">
        <f>IF(OR('[8]Data Constant'!K80="",'[8]Data Constant'!K76=""),"",('[8]Data Constant'!K80-'[8]Data Constant'!K76)/'[8]Data Constant'!$F76*100)</f>
        <v/>
      </c>
      <c r="M78" s="72"/>
      <c r="N78" s="73">
        <f t="shared" si="8"/>
        <v>6.6844213632384815</v>
      </c>
      <c r="O78" s="73">
        <f t="shared" si="9"/>
        <v>9.9239458763490092</v>
      </c>
      <c r="P78" s="73">
        <f t="shared" si="10"/>
        <v>2.6994438298732919</v>
      </c>
      <c r="Q78" s="73">
        <f t="shared" si="11"/>
        <v>-5.93896834298382</v>
      </c>
      <c r="R78" s="73"/>
      <c r="S78" s="73"/>
      <c r="T78" s="73"/>
      <c r="U78" s="73"/>
      <c r="V78" s="73"/>
    </row>
    <row r="79" spans="2:22" x14ac:dyDescent="0.25">
      <c r="B79" s="67" t="str">
        <f>'[8]Data Constant'!B81</f>
        <v>4Q 2022</v>
      </c>
      <c r="C79" s="68">
        <f>('[8]Data Constant'!F81/'[8]Data Constant'!F77-1)*100</f>
        <v>2.3854276267841756</v>
      </c>
      <c r="D79" s="69">
        <f>('[8]Data Constant'!G81-'[8]Data Constant'!G77)/'[8]Data Constant'!$F77*100</f>
        <v>3.9004165801646127</v>
      </c>
      <c r="E79" s="69">
        <f>('[8]Data Constant'!H81-'[8]Data Constant'!H77)/'[8]Data Constant'!$F77*100</f>
        <v>-0.40860510383342191</v>
      </c>
      <c r="F79" s="69">
        <f>('[8]Data Constant'!I81-'[8]Data Constant'!I77)/'[8]Data Constant'!$F77*100</f>
        <v>6.876786605881588E-2</v>
      </c>
      <c r="G79" s="69">
        <f>('[8]Data Constant'!N81-'[8]Data Constant'!N77)/'[8]Data Constant'!$F77*100</f>
        <v>-2.1701796874462951</v>
      </c>
      <c r="H79" s="69">
        <f>('[8]Data Constant'!L81-'[8]Data Constant'!L77)/'[8]Data Constant'!$F77*100</f>
        <v>1.3323001213900605</v>
      </c>
      <c r="I79" s="69">
        <f>-('[8]Data Constant'!M81-'[8]Data Constant'!M77)/'[8]Data Constant'!$F77*100</f>
        <v>-0.33727214954954188</v>
      </c>
      <c r="J79" s="70">
        <f t="shared" si="6"/>
        <v>2.3854276267842298</v>
      </c>
      <c r="K79" s="71">
        <f t="shared" si="7"/>
        <v>5.4178883601707639E-14</v>
      </c>
      <c r="L79" s="72" t="str">
        <f>IF(OR('[8]Data Constant'!K81="",'[8]Data Constant'!K77=""),"",('[8]Data Constant'!K81-'[8]Data Constant'!K77)/'[8]Data Constant'!$F77*100)</f>
        <v/>
      </c>
      <c r="M79" s="72"/>
      <c r="N79" s="73">
        <f t="shared" si="8"/>
        <v>2.3854276267842303</v>
      </c>
      <c r="O79" s="73">
        <f t="shared" si="9"/>
        <v>3.5605793423900067</v>
      </c>
      <c r="P79" s="73">
        <f t="shared" si="10"/>
        <v>-2.1701796874462951</v>
      </c>
      <c r="Q79" s="73">
        <f t="shared" si="11"/>
        <v>0.99502797184051861</v>
      </c>
      <c r="R79" s="73"/>
      <c r="S79" s="73"/>
      <c r="T79" s="73"/>
      <c r="U79" s="73"/>
      <c r="V79" s="73"/>
    </row>
    <row r="80" spans="2:22" x14ac:dyDescent="0.25">
      <c r="B80" s="67" t="str">
        <f>'[8]Data Constant'!B82</f>
        <v>1Q 2023</v>
      </c>
      <c r="C80" s="68">
        <f>('[8]Data Constant'!F82/'[8]Data Constant'!F78-1)*100</f>
        <v>0.91506868385611284</v>
      </c>
      <c r="D80" s="69">
        <f>('[8]Data Constant'!G82-'[8]Data Constant'!G78)/'[8]Data Constant'!$F78*100</f>
        <v>2.7797510662904603</v>
      </c>
      <c r="E80" s="69">
        <f>('[8]Data Constant'!H82-'[8]Data Constant'!H78)/'[8]Data Constant'!$F78*100</f>
        <v>0.4046667425877965</v>
      </c>
      <c r="F80" s="69">
        <f>('[8]Data Constant'!I82-'[8]Data Constant'!I78)/'[8]Data Constant'!$F78*100</f>
        <v>-0.27631035592780584</v>
      </c>
      <c r="G80" s="69">
        <f>('[8]Data Constant'!N82-'[8]Data Constant'!N78)/'[8]Data Constant'!$F78*100</f>
        <v>0.32023245311411702</v>
      </c>
      <c r="H80" s="69">
        <f>('[8]Data Constant'!L82-'[8]Data Constant'!L78)/'[8]Data Constant'!$F78*100</f>
        <v>-1.2751608844565414</v>
      </c>
      <c r="I80" s="69">
        <f>-('[8]Data Constant'!M82-'[8]Data Constant'!M78)/'[8]Data Constant'!$F78*100</f>
        <v>-1.0381103377518153</v>
      </c>
      <c r="J80" s="70">
        <f t="shared" si="6"/>
        <v>0.91506868385621121</v>
      </c>
      <c r="K80" s="71">
        <f t="shared" si="7"/>
        <v>9.8365759981788869E-14</v>
      </c>
      <c r="L80" s="72" t="str">
        <f>IF(OR('[8]Data Constant'!K82="",'[8]Data Constant'!K78=""),"",('[8]Data Constant'!K82-'[8]Data Constant'!K78)/'[8]Data Constant'!$F78*100)</f>
        <v/>
      </c>
      <c r="M80" s="72"/>
      <c r="N80" s="73">
        <f t="shared" si="8"/>
        <v>0.91506868385621098</v>
      </c>
      <c r="O80" s="73">
        <f t="shared" si="9"/>
        <v>2.9081074529504507</v>
      </c>
      <c r="P80" s="73">
        <f t="shared" si="10"/>
        <v>0.32023245311411702</v>
      </c>
      <c r="Q80" s="73">
        <f t="shared" si="11"/>
        <v>-2.3132712222083569</v>
      </c>
      <c r="R80" s="73"/>
      <c r="S80" s="73"/>
      <c r="T80" s="73"/>
      <c r="U80" s="73"/>
      <c r="V80" s="73"/>
    </row>
    <row r="81" spans="2:22" x14ac:dyDescent="0.25">
      <c r="B81" s="67" t="str">
        <f>'[8]Data Constant'!B83</f>
        <v>2Q 2023</v>
      </c>
      <c r="C81" s="68">
        <f>('[8]Data Constant'!F83/'[8]Data Constant'!F79-1)*100</f>
        <v>-5.6510334136625868</v>
      </c>
      <c r="D81" s="69">
        <f>('[8]Data Constant'!G83-'[8]Data Constant'!G79)/'[8]Data Constant'!$F79*100</f>
        <v>1.4893286089733946</v>
      </c>
      <c r="E81" s="69">
        <f>('[8]Data Constant'!H83-'[8]Data Constant'!H79)/'[8]Data Constant'!$F79*100</f>
        <v>0.55763555796945863</v>
      </c>
      <c r="F81" s="69">
        <f>('[8]Data Constant'!I83-'[8]Data Constant'!I79)/'[8]Data Constant'!$F79*100</f>
        <v>-0.3809826840753357</v>
      </c>
      <c r="G81" s="69">
        <f>('[8]Data Constant'!N83-'[8]Data Constant'!N79)/'[8]Data Constant'!$F79*100</f>
        <v>-3.6659386247684811</v>
      </c>
      <c r="H81" s="69">
        <f>('[8]Data Constant'!L83-'[8]Data Constant'!L79)/'[8]Data Constant'!$F79*100</f>
        <v>-2.6468623700299716</v>
      </c>
      <c r="I81" s="69">
        <f>-('[8]Data Constant'!M83-'[8]Data Constant'!M79)/'[8]Data Constant'!$F79*100</f>
        <v>-1.0042139017315863</v>
      </c>
      <c r="J81" s="70">
        <f t="shared" si="6"/>
        <v>-5.6510334136625211</v>
      </c>
      <c r="K81" s="71">
        <f t="shared" si="7"/>
        <v>6.5725203057809267E-14</v>
      </c>
      <c r="L81" s="72" t="str">
        <f>IF(OR('[8]Data Constant'!K83="",'[8]Data Constant'!K79=""),"",('[8]Data Constant'!K83-'[8]Data Constant'!K79)/'[8]Data Constant'!$F79*100)</f>
        <v/>
      </c>
      <c r="M81" s="72"/>
      <c r="N81" s="73">
        <f t="shared" si="8"/>
        <v>-5.6510334136625211</v>
      </c>
      <c r="O81" s="73">
        <f t="shared" si="9"/>
        <v>1.6659814828675177</v>
      </c>
      <c r="P81" s="73">
        <f t="shared" si="10"/>
        <v>-3.6659386247684811</v>
      </c>
      <c r="Q81" s="73">
        <f t="shared" si="11"/>
        <v>-3.6510762717615579</v>
      </c>
      <c r="R81" s="73"/>
      <c r="S81" s="73"/>
      <c r="T81" s="73"/>
      <c r="U81" s="73"/>
      <c r="V81" s="73"/>
    </row>
    <row r="82" spans="2:22" x14ac:dyDescent="0.25">
      <c r="B82" s="67" t="str">
        <f>'[8]Data Constant'!B84</f>
        <v>3Q 2023</v>
      </c>
      <c r="C82" s="68">
        <f>('[8]Data Constant'!F84/'[8]Data Constant'!F80-1)*100</f>
        <v>-0.56232029319233101</v>
      </c>
      <c r="D82" s="69">
        <f>('[8]Data Constant'!G84-'[8]Data Constant'!G80)/'[8]Data Constant'!$F80*100</f>
        <v>-0.14001165256137435</v>
      </c>
      <c r="E82" s="69">
        <f>('[8]Data Constant'!H84-'[8]Data Constant'!H80)/'[8]Data Constant'!$F80*100</f>
        <v>0.46521309415409912</v>
      </c>
      <c r="F82" s="69">
        <f>('[8]Data Constant'!I84-'[8]Data Constant'!I80)/'[8]Data Constant'!$F80*100</f>
        <v>0.16709167618515319</v>
      </c>
      <c r="G82" s="69">
        <f>('[8]Data Constant'!N84-'[8]Data Constant'!N80)/'[8]Data Constant'!$F80*100</f>
        <v>1.2483127070350033</v>
      </c>
      <c r="H82" s="69">
        <f>('[8]Data Constant'!L84-'[8]Data Constant'!L80)/'[8]Data Constant'!$F80*100</f>
        <v>-1.801561471165162</v>
      </c>
      <c r="I82" s="69">
        <f>-('[8]Data Constant'!M84-'[8]Data Constant'!M80)/'[8]Data Constant'!$F80*100</f>
        <v>-0.50136464684031212</v>
      </c>
      <c r="J82" s="70">
        <f t="shared" si="6"/>
        <v>-0.5623202931925928</v>
      </c>
      <c r="K82" s="71">
        <f t="shared" si="7"/>
        <v>-2.6179058920661191E-13</v>
      </c>
      <c r="L82" s="72" t="str">
        <f>IF(OR('[8]Data Constant'!K84="",'[8]Data Constant'!K80=""),"",('[8]Data Constant'!K84-'[8]Data Constant'!K80)/'[8]Data Constant'!$F80*100)</f>
        <v/>
      </c>
      <c r="M82" s="72"/>
      <c r="N82" s="73">
        <f t="shared" si="8"/>
        <v>-0.5623202931925928</v>
      </c>
      <c r="O82" s="73">
        <f t="shared" si="9"/>
        <v>0.49229311777787799</v>
      </c>
      <c r="P82" s="73">
        <f t="shared" si="10"/>
        <v>1.2483127070350033</v>
      </c>
      <c r="Q82" s="73">
        <f t="shared" si="11"/>
        <v>-2.3029261180054741</v>
      </c>
      <c r="R82" s="73"/>
      <c r="S82" s="73"/>
      <c r="T82" s="73"/>
      <c r="U82" s="73"/>
      <c r="V82" s="73"/>
    </row>
    <row r="83" spans="2:22" x14ac:dyDescent="0.25">
      <c r="B83" s="67" t="str">
        <f>'[8]Data Constant'!B85</f>
        <v>4Q 2023</v>
      </c>
      <c r="C83" s="68">
        <f>('[8]Data Constant'!F85/'[8]Data Constant'!F81-1)*100</f>
        <v>-1.7113184746569976</v>
      </c>
      <c r="D83" s="69">
        <f>('[8]Data Constant'!G85-'[8]Data Constant'!G81)/'[8]Data Constant'!$F81*100</f>
        <v>-1.3301207556408954</v>
      </c>
      <c r="E83" s="69">
        <f>('[8]Data Constant'!H85-'[8]Data Constant'!H81)/'[8]Data Constant'!$F81*100</f>
        <v>-0.22582984754712238</v>
      </c>
      <c r="F83" s="69">
        <f>('[8]Data Constant'!I85-'[8]Data Constant'!I81)/'[8]Data Constant'!$F81*100</f>
        <v>-1.6206495335803637</v>
      </c>
      <c r="G83" s="69">
        <f>('[8]Data Constant'!N85-'[8]Data Constant'!N81)/'[8]Data Constant'!$F81*100</f>
        <v>3.7590130648522213</v>
      </c>
      <c r="H83" s="69">
        <f>('[8]Data Constant'!L85-'[8]Data Constant'!L81)/'[8]Data Constant'!$F81*100</f>
        <v>-2.5279465374947763</v>
      </c>
      <c r="I83" s="69">
        <f>-('[8]Data Constant'!M85-'[8]Data Constant'!M81)/'[8]Data Constant'!$F81*100</f>
        <v>0.234215134753881</v>
      </c>
      <c r="J83" s="70">
        <f t="shared" si="6"/>
        <v>-1.7113184746570551</v>
      </c>
      <c r="K83" s="71">
        <f t="shared" si="7"/>
        <v>-5.7509552675583109E-14</v>
      </c>
      <c r="L83" s="72" t="str">
        <f>IF(OR('[8]Data Constant'!K85="",'[8]Data Constant'!K81=""),"",('[8]Data Constant'!K85-'[8]Data Constant'!K81)/'[8]Data Constant'!$F81*100)</f>
        <v/>
      </c>
      <c r="M83" s="72"/>
      <c r="N83" s="73">
        <f t="shared" si="8"/>
        <v>-1.7113184746570549</v>
      </c>
      <c r="O83" s="73">
        <f t="shared" si="9"/>
        <v>-3.1766001367683812</v>
      </c>
      <c r="P83" s="73">
        <f t="shared" si="10"/>
        <v>3.7590130648522213</v>
      </c>
      <c r="Q83" s="73">
        <f t="shared" si="11"/>
        <v>-2.293731402740895</v>
      </c>
      <c r="R83" s="73"/>
      <c r="S83" s="73"/>
      <c r="T83" s="73"/>
      <c r="U83" s="73"/>
      <c r="V83" s="73"/>
    </row>
    <row r="84" spans="2:22" x14ac:dyDescent="0.25">
      <c r="B84" s="67" t="str">
        <f>'[8]Data Constant'!B86</f>
        <v>1Q 2024</v>
      </c>
      <c r="C84" s="68">
        <f>('[8]Data Constant'!F86/'[8]Data Constant'!F82-1)*100</f>
        <v>-5.0836569648498582</v>
      </c>
      <c r="D84" s="69">
        <f>('[8]Data Constant'!G86-'[8]Data Constant'!G82)/'[8]Data Constant'!$F82*100</f>
        <v>-3.9329009506077801</v>
      </c>
      <c r="E84" s="69">
        <f>('[8]Data Constant'!H86-'[8]Data Constant'!H82)/'[8]Data Constant'!$F82*100</f>
        <v>-0.62621193103480344</v>
      </c>
      <c r="F84" s="69">
        <f>('[8]Data Constant'!I86-'[8]Data Constant'!I82)/'[8]Data Constant'!$F82*100</f>
        <v>-4.827192035184007</v>
      </c>
      <c r="G84" s="69">
        <f>('[8]Data Constant'!N86-'[8]Data Constant'!N82)/'[8]Data Constant'!$F82*100</f>
        <v>-2.3825257772443358</v>
      </c>
      <c r="H84" s="69">
        <f>('[8]Data Constant'!L86-'[8]Data Constant'!L82)/'[8]Data Constant'!$F82*100</f>
        <v>2.9737530346787957</v>
      </c>
      <c r="I84" s="69">
        <f>-('[8]Data Constant'!M86-'[8]Data Constant'!M82)/'[8]Data Constant'!$F82*100</f>
        <v>3.7114206945421806</v>
      </c>
      <c r="J84" s="70">
        <f t="shared" si="6"/>
        <v>-5.0836569648499506</v>
      </c>
      <c r="K84" s="71">
        <f t="shared" si="7"/>
        <v>-9.2370555648813024E-14</v>
      </c>
      <c r="L84" s="72" t="str">
        <f>IF(OR('[8]Data Constant'!K86="",'[8]Data Constant'!K82=""),"",('[8]Data Constant'!K86-'[8]Data Constant'!K82)/'[8]Data Constant'!$F82*100)</f>
        <v/>
      </c>
      <c r="M84" s="72"/>
      <c r="N84" s="73">
        <f t="shared" si="8"/>
        <v>-5.0836569648499506</v>
      </c>
      <c r="O84" s="73">
        <f t="shared" si="9"/>
        <v>-9.3863049168265906</v>
      </c>
      <c r="P84" s="73">
        <f t="shared" si="10"/>
        <v>-2.3825257772443358</v>
      </c>
      <c r="Q84" s="73">
        <f t="shared" si="11"/>
        <v>6.6851737292209759</v>
      </c>
      <c r="R84" s="73"/>
      <c r="S84" s="73"/>
      <c r="T84" s="73"/>
      <c r="U84" s="73"/>
      <c r="V84" s="73"/>
    </row>
    <row r="85" spans="2:22" x14ac:dyDescent="0.25">
      <c r="B85" s="67" t="str">
        <f>'[8]Data Constant'!B87</f>
        <v>2Q 2024</v>
      </c>
      <c r="C85" s="68">
        <f>('[8]Data Constant'!F87/'[8]Data Constant'!F83-1)*100</f>
        <v>-1.1134976492525261</v>
      </c>
      <c r="D85" s="69">
        <f>('[8]Data Constant'!G87-'[8]Data Constant'!G83)/'[8]Data Constant'!$F83*100</f>
        <v>-6.7323065020745005</v>
      </c>
      <c r="E85" s="69">
        <f>('[8]Data Constant'!H87-'[8]Data Constant'!H83)/'[8]Data Constant'!$F83*100</f>
        <v>-0.77931732705046652</v>
      </c>
      <c r="F85" s="69">
        <f>('[8]Data Constant'!I87-'[8]Data Constant'!I83)/'[8]Data Constant'!$F83*100</f>
        <v>-6.2776746249994426</v>
      </c>
      <c r="G85" s="69">
        <f>('[8]Data Constant'!N87-'[8]Data Constant'!N83)/'[8]Data Constant'!$F83*100</f>
        <v>2.4242840431095911</v>
      </c>
      <c r="H85" s="69">
        <f>('[8]Data Constant'!L87-'[8]Data Constant'!L83)/'[8]Data Constant'!$F83*100</f>
        <v>3.6941387494006181</v>
      </c>
      <c r="I85" s="69">
        <f>-('[8]Data Constant'!M87-'[8]Data Constant'!M83)/'[8]Data Constant'!$F83*100</f>
        <v>6.5573780123617045</v>
      </c>
      <c r="J85" s="70">
        <f t="shared" si="6"/>
        <v>-1.1134976492524959</v>
      </c>
      <c r="K85" s="71">
        <f t="shared" si="7"/>
        <v>3.0198066269804258E-14</v>
      </c>
      <c r="L85" s="72" t="str">
        <f>IF(OR('[8]Data Constant'!K87="",'[8]Data Constant'!K83=""),"",('[8]Data Constant'!K87-'[8]Data Constant'!K83)/'[8]Data Constant'!$F83*100)</f>
        <v/>
      </c>
      <c r="M85" s="72"/>
      <c r="N85" s="73">
        <f t="shared" si="8"/>
        <v>-1.1134976492524959</v>
      </c>
      <c r="O85" s="73">
        <f t="shared" si="9"/>
        <v>-13.78929845412441</v>
      </c>
      <c r="P85" s="73">
        <f t="shared" si="10"/>
        <v>2.4242840431095911</v>
      </c>
      <c r="Q85" s="73">
        <f t="shared" si="11"/>
        <v>10.251516761762323</v>
      </c>
      <c r="R85" s="73"/>
      <c r="S85" s="73"/>
      <c r="T85" s="73"/>
      <c r="U85" s="73"/>
      <c r="V85" s="73"/>
    </row>
    <row r="86" spans="2:22" x14ac:dyDescent="0.25">
      <c r="B86" s="67" t="str">
        <f>'[8]Data Constant'!B88</f>
        <v>3Q 2024</v>
      </c>
      <c r="C86" s="68">
        <f>('[8]Data Constant'!F88/'[8]Data Constant'!F84-1)*100</f>
        <v>-1.9550050497316063</v>
      </c>
      <c r="D86" s="69">
        <f>('[8]Data Constant'!G88-'[8]Data Constant'!G84)/'[8]Data Constant'!$F84*100</f>
        <v>-0.85848964413524609</v>
      </c>
      <c r="E86" s="69">
        <f>('[8]Data Constant'!H88-'[8]Data Constant'!H84)/'[8]Data Constant'!$F84*100</f>
        <v>-0.53845233465188547</v>
      </c>
      <c r="F86" s="69">
        <f>('[8]Data Constant'!I88-'[8]Data Constant'!I84)/'[8]Data Constant'!$F84*100</f>
        <v>-3.7303825502014951</v>
      </c>
      <c r="G86" s="69">
        <f>('[8]Data Constant'!N88-'[8]Data Constant'!N84)/'[8]Data Constant'!$F84*100</f>
        <v>-4.0698600367434921</v>
      </c>
      <c r="H86" s="69">
        <f>('[8]Data Constant'!L88-'[8]Data Constant'!L84)/'[8]Data Constant'!$F84*100</f>
        <v>3.8668075181996562</v>
      </c>
      <c r="I86" s="69">
        <f>-('[8]Data Constant'!M88-'[8]Data Constant'!M84)/'[8]Data Constant'!$F84*100</f>
        <v>3.375371997801027</v>
      </c>
      <c r="J86" s="70">
        <f t="shared" si="6"/>
        <v>-1.9550050497314357</v>
      </c>
      <c r="K86" s="71">
        <f t="shared" si="7"/>
        <v>1.7053025658242404E-13</v>
      </c>
      <c r="L86" s="72" t="str">
        <f>IF(OR('[8]Data Constant'!K88="",'[8]Data Constant'!K84=""),"",('[8]Data Constant'!K88-'[8]Data Constant'!K84)/'[8]Data Constant'!$F84*100)</f>
        <v/>
      </c>
      <c r="M86" s="72"/>
      <c r="N86" s="73">
        <f t="shared" si="8"/>
        <v>-1.9550050497314357</v>
      </c>
      <c r="O86" s="73">
        <f t="shared" si="9"/>
        <v>-5.1273245289886269</v>
      </c>
      <c r="P86" s="73">
        <f t="shared" si="10"/>
        <v>-4.0698600367434921</v>
      </c>
      <c r="Q86" s="73">
        <f t="shared" si="11"/>
        <v>7.2421795160006832</v>
      </c>
      <c r="R86" s="73"/>
      <c r="S86" s="73"/>
      <c r="T86" s="73"/>
      <c r="U86" s="73"/>
      <c r="V86" s="73"/>
    </row>
    <row r="87" spans="2:22" x14ac:dyDescent="0.25">
      <c r="B87" s="67" t="str">
        <f>'[8]Data Constant'!B89</f>
        <v>4Q 2024</v>
      </c>
      <c r="C87" s="68">
        <f>('[8]Data Constant'!F89/'[8]Data Constant'!F85-1)*100</f>
        <v>2.7093435592070003</v>
      </c>
      <c r="D87" s="69">
        <f>('[8]Data Constant'!G89-'[8]Data Constant'!G85)/'[8]Data Constant'!$F85*100</f>
        <v>3.3413722366255749</v>
      </c>
      <c r="E87" s="69">
        <f>('[8]Data Constant'!H89-'[8]Data Constant'!H85)/'[8]Data Constant'!$F85*100</f>
        <v>0.27787572479376854</v>
      </c>
      <c r="F87" s="69">
        <f>('[8]Data Constant'!I89-'[8]Data Constant'!I85)/'[8]Data Constant'!$F85*100</f>
        <v>0.36620014267236167</v>
      </c>
      <c r="G87" s="69">
        <f>('[8]Data Constant'!N89-'[8]Data Constant'!N85)/'[8]Data Constant'!$F85*100</f>
        <v>-4.0853839621312966</v>
      </c>
      <c r="H87" s="69">
        <f>('[8]Data Constant'!L89-'[8]Data Constant'!L85)/'[8]Data Constant'!$F85*100</f>
        <v>5.2069911180249742</v>
      </c>
      <c r="I87" s="69">
        <f>-('[8]Data Constant'!M89-'[8]Data Constant'!M85)/'[8]Data Constant'!$F85*100</f>
        <v>-2.3977117007783022</v>
      </c>
      <c r="J87" s="70">
        <f t="shared" si="6"/>
        <v>2.7093435592070803</v>
      </c>
      <c r="K87" s="71">
        <f t="shared" si="7"/>
        <v>7.9936057773011271E-14</v>
      </c>
      <c r="L87" s="72" t="str">
        <f>IF(OR('[8]Data Constant'!K89="",'[8]Data Constant'!K85=""),"",('[8]Data Constant'!K89-'[8]Data Constant'!K85)/'[8]Data Constant'!$F85*100)</f>
        <v/>
      </c>
      <c r="M87" s="72"/>
      <c r="N87" s="73">
        <f t="shared" si="8"/>
        <v>2.7093435592070803</v>
      </c>
      <c r="O87" s="73">
        <f t="shared" si="9"/>
        <v>3.9854481040917049</v>
      </c>
      <c r="P87" s="73">
        <f t="shared" si="10"/>
        <v>-4.0853839621312966</v>
      </c>
      <c r="Q87" s="73">
        <f t="shared" si="11"/>
        <v>2.809279417246672</v>
      </c>
      <c r="R87" s="73"/>
      <c r="S87" s="73"/>
      <c r="T87" s="73"/>
      <c r="U87" s="73"/>
      <c r="V87" s="73"/>
    </row>
    <row r="88" spans="2:22" x14ac:dyDescent="0.25">
      <c r="B88" s="67" t="str">
        <f>'[8]Data Constant'!B90</f>
        <v>1Q 2025</v>
      </c>
      <c r="C88" s="68">
        <f>('[8]Data Constant'!F90/'[8]Data Constant'!F86-1)*100</f>
        <v>6.117074683809931</v>
      </c>
      <c r="D88" s="69">
        <f>('[8]Data Constant'!G90-'[8]Data Constant'!G86)/'[8]Data Constant'!$F86*100</f>
        <v>8.7252764036597235</v>
      </c>
      <c r="E88" s="69">
        <f>('[8]Data Constant'!H90-'[8]Data Constant'!H86)/'[8]Data Constant'!$F86*100</f>
        <v>-0.23988992571259699</v>
      </c>
      <c r="F88" s="69">
        <f>('[8]Data Constant'!I90-'[8]Data Constant'!I86)/'[8]Data Constant'!$F86*100</f>
        <v>5.0654467947194268</v>
      </c>
      <c r="G88" s="69">
        <f>('[8]Data Constant'!N90-'[8]Data Constant'!N86)/'[8]Data Constant'!$F86*100</f>
        <v>1.0851799889114124</v>
      </c>
      <c r="H88" s="69">
        <f>('[8]Data Constant'!L90-'[8]Data Constant'!L86)/'[8]Data Constant'!$F86*100</f>
        <v>1.4215424375141543</v>
      </c>
      <c r="I88" s="69">
        <f>-('[8]Data Constant'!M90-'[8]Data Constant'!M86)/'[8]Data Constant'!$F86*100</f>
        <v>-9.9404810152821792</v>
      </c>
      <c r="J88" s="70">
        <f t="shared" si="6"/>
        <v>6.1170746838099443</v>
      </c>
      <c r="K88" s="71">
        <f t="shared" si="7"/>
        <v>1.3322676295501878E-14</v>
      </c>
      <c r="L88" s="72">
        <f>IF(OR('[8]Data Constant'!K90="",'[8]Data Constant'!K86=""),"",('[8]Data Constant'!K90-'[8]Data Constant'!K86)/'[8]Data Constant'!$F86*100)</f>
        <v>-0.42646375081442972</v>
      </c>
      <c r="M88" s="72"/>
      <c r="N88" s="73">
        <f t="shared" si="8"/>
        <v>6.1170746838099426</v>
      </c>
      <c r="O88" s="73">
        <f t="shared" si="9"/>
        <v>13.550833272666555</v>
      </c>
      <c r="P88" s="73">
        <f t="shared" si="10"/>
        <v>1.0851799889114124</v>
      </c>
      <c r="Q88" s="73">
        <f t="shared" si="11"/>
        <v>-8.5189385777680258</v>
      </c>
      <c r="R88" s="73"/>
      <c r="S88" s="73"/>
      <c r="T88" s="73"/>
      <c r="U88" s="73"/>
      <c r="V88" s="73"/>
    </row>
    <row r="89" spans="2:22" x14ac:dyDescent="0.25">
      <c r="B89" s="67" t="str">
        <f>'[8]Data Constant'!B91</f>
        <v>2Q 2025</v>
      </c>
      <c r="C89" s="68">
        <f>('[8]Data Constant'!F91/'[8]Data Constant'!F87-1)*100</f>
        <v>6.5176841024132903</v>
      </c>
      <c r="D89" s="69">
        <f>('[8]Data Constant'!G91-'[8]Data Constant'!G87)/'[8]Data Constant'!$F87*100</f>
        <v>8.5996844372566663</v>
      </c>
      <c r="E89" s="69">
        <f>('[8]Data Constant'!H91-'[8]Data Constant'!H87)/'[8]Data Constant'!$F87*100</f>
        <v>0.20146278599792164</v>
      </c>
      <c r="F89" s="69">
        <f>('[8]Data Constant'!I91-'[8]Data Constant'!I87)/'[8]Data Constant'!$F87*100</f>
        <v>4.9319206757469516</v>
      </c>
      <c r="G89" s="69">
        <f>('[8]Data Constant'!N91-'[8]Data Constant'!N87)/'[8]Data Constant'!$F87*100</f>
        <v>0.7799192612966408</v>
      </c>
      <c r="H89" s="69">
        <f>('[8]Data Constant'!L91-'[8]Data Constant'!L87)/'[8]Data Constant'!$F87*100</f>
        <v>0.7941754318168095</v>
      </c>
      <c r="I89" s="69">
        <f>-('[8]Data Constant'!M91-'[8]Data Constant'!M87)/'[8]Data Constant'!$F87*100</f>
        <v>-8.7894784897016578</v>
      </c>
      <c r="J89" s="70">
        <f t="shared" si="6"/>
        <v>6.5176841024133321</v>
      </c>
      <c r="K89" s="71">
        <f t="shared" si="7"/>
        <v>4.1744385725905886E-14</v>
      </c>
      <c r="L89" s="72">
        <f>IF(OR('[8]Data Constant'!K91="",'[8]Data Constant'!K87=""),"",('[8]Data Constant'!K91-'[8]Data Constant'!K87)/'[8]Data Constant'!$F87*100)</f>
        <v>-0.38142511350458996</v>
      </c>
      <c r="M89" s="72"/>
      <c r="N89" s="73">
        <f t="shared" si="8"/>
        <v>6.5176841024133321</v>
      </c>
      <c r="O89" s="73">
        <f t="shared" si="9"/>
        <v>13.73306789900154</v>
      </c>
      <c r="P89" s="73">
        <f t="shared" si="10"/>
        <v>0.7799192612966408</v>
      </c>
      <c r="Q89" s="73">
        <f t="shared" si="11"/>
        <v>-7.9953030578848487</v>
      </c>
      <c r="R89" s="73"/>
      <c r="S89" s="73"/>
      <c r="T89" s="73"/>
      <c r="U89" s="73"/>
      <c r="V89" s="73"/>
    </row>
    <row r="90" spans="2:22" x14ac:dyDescent="0.25">
      <c r="B90" s="67" t="str">
        <f>'[8]Data Constant'!B92</f>
        <v>3Q 2025</v>
      </c>
      <c r="C90" s="68">
        <f>('[8]Data Constant'!F92/'[8]Data Constant'!F88-1)*100</f>
        <v>3.1969585220612551</v>
      </c>
      <c r="D90" s="69">
        <f>('[8]Data Constant'!G92-'[8]Data Constant'!G88)/'[8]Data Constant'!$F88*100</f>
        <v>4.5380793067726435</v>
      </c>
      <c r="E90" s="69">
        <f>('[8]Data Constant'!H92-'[8]Data Constant'!H88)/'[8]Data Constant'!$F88*100</f>
        <v>0.17119547480217473</v>
      </c>
      <c r="F90" s="69">
        <f>('[8]Data Constant'!I92-'[8]Data Constant'!I88)/'[8]Data Constant'!$F88*100</f>
        <v>1.9361396865914298</v>
      </c>
      <c r="G90" s="69">
        <f>('[8]Data Constant'!N92-'[8]Data Constant'!N88)/'[8]Data Constant'!$F88*100</f>
        <v>0.44455245005612404</v>
      </c>
      <c r="H90" s="69">
        <f>('[8]Data Constant'!L92-'[8]Data Constant'!L88)/'[8]Data Constant'!$F88*100</f>
        <v>2.473551299998261</v>
      </c>
      <c r="I90" s="69">
        <f>-('[8]Data Constant'!M92-'[8]Data Constant'!M88)/'[8]Data Constant'!$F88*100</f>
        <v>-6.366559696159432</v>
      </c>
      <c r="J90" s="70">
        <f t="shared" si="6"/>
        <v>3.1969585220612009</v>
      </c>
      <c r="K90" s="71">
        <f t="shared" si="7"/>
        <v>-5.4178883601707639E-14</v>
      </c>
      <c r="L90" s="72">
        <f>IF(OR('[8]Data Constant'!K92="",'[8]Data Constant'!K88=""),"",('[8]Data Constant'!K92-'[8]Data Constant'!K88)/'[8]Data Constant'!$F88*100)</f>
        <v>5.7092810661103395E-2</v>
      </c>
      <c r="M90" s="72"/>
      <c r="N90" s="73">
        <f t="shared" si="8"/>
        <v>3.1969585220612005</v>
      </c>
      <c r="O90" s="73">
        <f t="shared" si="9"/>
        <v>6.6454144681662477</v>
      </c>
      <c r="P90" s="73">
        <f t="shared" si="10"/>
        <v>0.44455245005612404</v>
      </c>
      <c r="Q90" s="73">
        <f t="shared" si="11"/>
        <v>-3.893008396161171</v>
      </c>
      <c r="R90" s="73"/>
      <c r="S90" s="73"/>
      <c r="T90" s="73"/>
      <c r="U90" s="73"/>
      <c r="V90" s="73"/>
    </row>
    <row r="91" spans="2:22" x14ac:dyDescent="0.25">
      <c r="B91" s="67" t="str">
        <f>'[8]Data Constant'!B93</f>
        <v>4Q 2025</v>
      </c>
      <c r="C91" s="68">
        <f>('[8]Data Constant'!F93/'[8]Data Constant'!F89-1)*100</f>
        <v>2.179051647852015</v>
      </c>
      <c r="D91" s="69">
        <f>('[8]Data Constant'!G93-'[8]Data Constant'!G89)/'[8]Data Constant'!$F89*100</f>
        <v>2.9673279044948422</v>
      </c>
      <c r="E91" s="69">
        <f>('[8]Data Constant'!H93-'[8]Data Constant'!H89)/'[8]Data Constant'!$F89*100</f>
        <v>5.1830121102282647E-2</v>
      </c>
      <c r="F91" s="69">
        <f>('[8]Data Constant'!I93-'[8]Data Constant'!I89)/'[8]Data Constant'!$F89*100</f>
        <v>-0.50651191225626069</v>
      </c>
      <c r="G91" s="69">
        <f>('[8]Data Constant'!N93-'[8]Data Constant'!N89)/'[8]Data Constant'!$F89*100</f>
        <v>-8.720104790282765E-2</v>
      </c>
      <c r="H91" s="69">
        <f>('[8]Data Constant'!L93-'[8]Data Constant'!L89)/'[8]Data Constant'!$F89*100</f>
        <v>2.8319701130236004</v>
      </c>
      <c r="I91" s="69">
        <f>-('[8]Data Constant'!M93-'[8]Data Constant'!M89)/'[8]Data Constant'!$F89*100</f>
        <v>-3.0783635306098431</v>
      </c>
      <c r="J91" s="70">
        <f t="shared" si="6"/>
        <v>2.1790516478517934</v>
      </c>
      <c r="K91" s="71">
        <f t="shared" si="7"/>
        <v>-2.2160051571518125E-13</v>
      </c>
      <c r="L91" s="72">
        <f>IF(OR('[8]Data Constant'!K93="",'[8]Data Constant'!K89=""),"",('[8]Data Constant'!K93-'[8]Data Constant'!K89)/'[8]Data Constant'!$F89*100)</f>
        <v>1.1837176420625939</v>
      </c>
      <c r="M91" s="72"/>
      <c r="N91" s="73">
        <f t="shared" si="8"/>
        <v>2.1790516478517934</v>
      </c>
      <c r="O91" s="73">
        <f t="shared" si="9"/>
        <v>2.512646113340864</v>
      </c>
      <c r="P91" s="73">
        <f t="shared" si="10"/>
        <v>-8.720104790282765E-2</v>
      </c>
      <c r="Q91" s="73">
        <f t="shared" si="11"/>
        <v>-0.24639341758624278</v>
      </c>
      <c r="R91" s="73"/>
      <c r="S91" s="73"/>
      <c r="T91" s="73"/>
      <c r="U91" s="73"/>
      <c r="V91" s="73"/>
    </row>
    <row r="92" spans="2:22" x14ac:dyDescent="0.25">
      <c r="B92" s="67" t="str">
        <f>'[8]Data Constant'!B94</f>
        <v>1Q 2026</v>
      </c>
      <c r="C92" s="68">
        <f>('[8]Data Constant'!F94/'[8]Data Constant'!F90-1)*100</f>
        <v>2.3276312721358217</v>
      </c>
      <c r="D92" s="69">
        <f>('[8]Data Constant'!G94-'[8]Data Constant'!G90)/'[8]Data Constant'!$F90*100</f>
        <v>2.1949152717143301</v>
      </c>
      <c r="E92" s="69">
        <f>('[8]Data Constant'!H94-'[8]Data Constant'!H90)/'[8]Data Constant'!$F90*100</f>
        <v>-0.11715373105571866</v>
      </c>
      <c r="F92" s="69">
        <f>('[8]Data Constant'!I94-'[8]Data Constant'!I90)/'[8]Data Constant'!$F90*100</f>
        <v>-2.3248094993235084</v>
      </c>
      <c r="G92" s="69">
        <f>('[8]Data Constant'!N94-'[8]Data Constant'!N90)/'[8]Data Constant'!$F90*100</f>
        <v>-2.0200720789571198</v>
      </c>
      <c r="H92" s="69">
        <f>('[8]Data Constant'!L94-'[8]Data Constant'!L90)/'[8]Data Constant'!$F90*100</f>
        <v>2.1753871448536062</v>
      </c>
      <c r="I92" s="69">
        <f>-('[8]Data Constant'!M94-'[8]Data Constant'!M90)/'[8]Data Constant'!$F90*100</f>
        <v>2.4193641649042168</v>
      </c>
      <c r="J92" s="70">
        <f t="shared" si="6"/>
        <v>2.3276312721358061</v>
      </c>
      <c r="K92" s="71">
        <f t="shared" si="7"/>
        <v>-1.5543122344752192E-14</v>
      </c>
      <c r="L92" s="72">
        <f>IF(OR('[8]Data Constant'!K94="",'[8]Data Constant'!K90=""),"",('[8]Data Constant'!K94-'[8]Data Constant'!K90)/'[8]Data Constant'!$F90*100)</f>
        <v>-0.22184521513252559</v>
      </c>
      <c r="M92" s="72"/>
      <c r="N92" s="73">
        <f t="shared" si="8"/>
        <v>2.3276312721358066</v>
      </c>
      <c r="O92" s="73">
        <f t="shared" si="9"/>
        <v>-0.24704795866489704</v>
      </c>
      <c r="P92" s="73">
        <f t="shared" si="10"/>
        <v>-2.0200720789571198</v>
      </c>
      <c r="Q92" s="73">
        <f t="shared" si="11"/>
        <v>4.5947513097578234</v>
      </c>
      <c r="R92" s="73"/>
      <c r="S92" s="73"/>
      <c r="T92" s="73"/>
      <c r="U92" s="73"/>
      <c r="V92" s="73"/>
    </row>
    <row r="94" spans="2:22" x14ac:dyDescent="0.25">
      <c r="B94" s="46" t="s">
        <v>690</v>
      </c>
    </row>
    <row r="97" spans="2:11" x14ac:dyDescent="0.25">
      <c r="B97" s="45" t="s">
        <v>691</v>
      </c>
    </row>
    <row r="98" spans="2:11" ht="30" customHeight="1" x14ac:dyDescent="0.25">
      <c r="B98" s="41" t="s">
        <v>692</v>
      </c>
      <c r="C98" s="41" t="s">
        <v>681</v>
      </c>
      <c r="D98" s="41" t="s">
        <v>682</v>
      </c>
      <c r="E98" s="41" t="s">
        <v>683</v>
      </c>
      <c r="F98" s="41" t="s">
        <v>684</v>
      </c>
      <c r="G98" s="41" t="s">
        <v>685</v>
      </c>
      <c r="H98" s="41" t="s">
        <v>660</v>
      </c>
      <c r="I98" s="41" t="s">
        <v>662</v>
      </c>
      <c r="J98" s="41" t="s">
        <v>686</v>
      </c>
      <c r="K98" s="41" t="s">
        <v>687</v>
      </c>
    </row>
    <row r="99" spans="2:11" x14ac:dyDescent="0.25">
      <c r="B99" s="74">
        <f>[8]Annual!B7</f>
        <v>2005</v>
      </c>
      <c r="C99" s="68">
        <f>[8]Annual!J7*100</f>
        <v>8.8516599194144128</v>
      </c>
      <c r="D99" s="69">
        <f>([8]Annual!D7-[8]Annual!D6)/[8]Annual!$C6*100</f>
        <v>4.7557566277488901</v>
      </c>
      <c r="E99" s="69">
        <f>([8]Annual!E7-[8]Annual!E6)/[8]Annual!$C6*100</f>
        <v>1.0953957432899473</v>
      </c>
      <c r="F99" s="69">
        <f>([8]Annual!F7-[8]Annual!F6)/[8]Annual!$C6*100</f>
        <v>2.5157278398267988</v>
      </c>
      <c r="G99" s="69">
        <f>([8]Annual!G7-[8]Annual!G6)/[8]Annual!$C6*100</f>
        <v>8.1216328565811804E-2</v>
      </c>
      <c r="H99" s="69">
        <f>([8]Annual!H7-[8]Annual!H6)/[8]Annual!$C6*100</f>
        <v>3.0732022666034169</v>
      </c>
      <c r="I99" s="69">
        <f>-([8]Annual!I7-[8]Annual!I6)/[8]Annual!$C6*100</f>
        <v>-2.6696388866203509</v>
      </c>
      <c r="J99" s="70">
        <f t="shared" ref="J99:J119" si="12">SUM(D99:I99)</f>
        <v>8.851659919414514</v>
      </c>
      <c r="K99" s="71">
        <f t="shared" ref="K99:K119" si="13">J99-C99</f>
        <v>1.0125233984581428E-13</v>
      </c>
    </row>
    <row r="100" spans="2:11" x14ac:dyDescent="0.25">
      <c r="B100" s="74">
        <f>[8]Annual!B8</f>
        <v>2006</v>
      </c>
      <c r="C100" s="68">
        <f>[8]Annual!J8*100</f>
        <v>8.0471515036576911</v>
      </c>
      <c r="D100" s="69">
        <f>([8]Annual!D8-[8]Annual!D7)/[8]Annual!$C7*100</f>
        <v>6.9538322864392548</v>
      </c>
      <c r="E100" s="69">
        <f>([8]Annual!E8-[8]Annual!E7)/[8]Annual!$C7*100</f>
        <v>0.41756023043962337</v>
      </c>
      <c r="F100" s="69">
        <f>([8]Annual!F8-[8]Annual!F7)/[8]Annual!$C7*100</f>
        <v>2.4477120873810918</v>
      </c>
      <c r="G100" s="69">
        <f>([8]Annual!G8-[8]Annual!G7)/[8]Annual!$C7*100</f>
        <v>-1.176736004747529</v>
      </c>
      <c r="H100" s="69">
        <f>([8]Annual!H8-[8]Annual!H7)/[8]Annual!$C7*100</f>
        <v>1.3753778323262653</v>
      </c>
      <c r="I100" s="69">
        <f>-([8]Annual!I8-[8]Annual!I7)/[8]Annual!$C7*100</f>
        <v>-1.9705949281810706</v>
      </c>
      <c r="J100" s="70">
        <f t="shared" si="12"/>
        <v>8.047151503657636</v>
      </c>
      <c r="K100" s="71">
        <f t="shared" si="13"/>
        <v>-5.5067062021407764E-14</v>
      </c>
    </row>
    <row r="101" spans="2:11" x14ac:dyDescent="0.25">
      <c r="B101" s="74">
        <f>[8]Annual!B9</f>
        <v>2007</v>
      </c>
      <c r="C101" s="68">
        <f>[8]Annual!J9*100</f>
        <v>9.0076508791649967</v>
      </c>
      <c r="D101" s="69">
        <f>([8]Annual!D9-[8]Annual!D8)/[8]Annual!$C8*100</f>
        <v>6.0868750431471543</v>
      </c>
      <c r="E101" s="69">
        <f>([8]Annual!E9-[8]Annual!E8)/[8]Annual!$C8*100</f>
        <v>0.84312306715742091</v>
      </c>
      <c r="F101" s="69">
        <f>([8]Annual!F9-[8]Annual!F8)/[8]Annual!$C8*100</f>
        <v>3.6648615825929931</v>
      </c>
      <c r="G101" s="69">
        <f>([8]Annual!G9-[8]Annual!G8)/[8]Annual!$C8*100</f>
        <v>5.7070709808990178E-2</v>
      </c>
      <c r="H101" s="69">
        <f>([8]Annual!H9-[8]Annual!H8)/[8]Annual!$C8*100</f>
        <v>1.9727465836891496</v>
      </c>
      <c r="I101" s="69">
        <f>-([8]Annual!I9-[8]Annual!I8)/[8]Annual!$C8*100</f>
        <v>-3.6170261072307031</v>
      </c>
      <c r="J101" s="70">
        <f t="shared" si="12"/>
        <v>9.0076508791650038</v>
      </c>
      <c r="K101" s="71">
        <f t="shared" si="13"/>
        <v>0</v>
      </c>
    </row>
    <row r="102" spans="2:11" x14ac:dyDescent="0.25">
      <c r="B102" s="74">
        <f>[8]Annual!B10</f>
        <v>2008</v>
      </c>
      <c r="C102" s="68">
        <f>[8]Annual!J10*100</f>
        <v>4.0572331023788433</v>
      </c>
      <c r="D102" s="69">
        <f>([8]Annual!D10-[8]Annual!D9)/[8]Annual!$C9*100</f>
        <v>4.736266447945332</v>
      </c>
      <c r="E102" s="69">
        <f>([8]Annual!E10-[8]Annual!E9)/[8]Annual!$C9*100</f>
        <v>0.53419639891582094</v>
      </c>
      <c r="F102" s="69">
        <f>([8]Annual!F10-[8]Annual!F9)/[8]Annual!$C9*100</f>
        <v>1.7216663460034771</v>
      </c>
      <c r="G102" s="69">
        <f>([8]Annual!G10-[8]Annual!G9)/[8]Annual!$C9*100</f>
        <v>-0.37100222748889156</v>
      </c>
      <c r="H102" s="69">
        <f>([8]Annual!H10-[8]Annual!H9)/[8]Annual!$C9*100</f>
        <v>0.17739031485074372</v>
      </c>
      <c r="I102" s="69">
        <f>-([8]Annual!I10-[8]Annual!I9)/[8]Annual!$C9*100</f>
        <v>-2.7412841778475694</v>
      </c>
      <c r="J102" s="70">
        <f t="shared" si="12"/>
        <v>4.0572331023789125</v>
      </c>
      <c r="K102" s="71">
        <f t="shared" si="13"/>
        <v>6.9277916736609768E-14</v>
      </c>
    </row>
    <row r="103" spans="2:11" x14ac:dyDescent="0.25">
      <c r="B103" s="74">
        <f>[8]Annual!B11</f>
        <v>2009</v>
      </c>
      <c r="C103" s="68">
        <f>[8]Annual!J11*100</f>
        <v>-5.9185250803511451</v>
      </c>
      <c r="D103" s="69">
        <f>([8]Annual!D11-[8]Annual!D10)/[8]Annual!$C10*100</f>
        <v>-3.6368636464959359</v>
      </c>
      <c r="E103" s="69">
        <f>([8]Annual!E11-[8]Annual!E10)/[8]Annual!$C10*100</f>
        <v>0.60567416244901229</v>
      </c>
      <c r="F103" s="69">
        <f>([8]Annual!F11-[8]Annual!F10)/[8]Annual!$C10*100</f>
        <v>-4.668562409073723</v>
      </c>
      <c r="G103" s="69">
        <f>([8]Annual!G11-[8]Annual!G10)/[8]Annual!$C10*100</f>
        <v>-0.11166295619975107</v>
      </c>
      <c r="H103" s="69">
        <f>([8]Annual!H11-[8]Annual!H10)/[8]Annual!$C10*100</f>
        <v>-2.1695924414483105</v>
      </c>
      <c r="I103" s="69">
        <f>-([8]Annual!I11-[8]Annual!I10)/[8]Annual!$C10*100</f>
        <v>4.0624822104174809</v>
      </c>
      <c r="J103" s="70">
        <f t="shared" si="12"/>
        <v>-5.9185250803512277</v>
      </c>
      <c r="K103" s="71">
        <f t="shared" si="13"/>
        <v>-8.2600593032111647E-14</v>
      </c>
    </row>
    <row r="104" spans="2:11" x14ac:dyDescent="0.25">
      <c r="B104" s="74">
        <f>[8]Annual!B12</f>
        <v>2010</v>
      </c>
      <c r="C104" s="68">
        <f>[8]Annual!J12*100</f>
        <v>10.125398160636511</v>
      </c>
      <c r="D104" s="69">
        <f>([8]Annual!D12-[8]Annual!D11)/[8]Annual!$C11*100</f>
        <v>7.5801847223610954</v>
      </c>
      <c r="E104" s="69">
        <f>([8]Annual!E12-[8]Annual!E11)/[8]Annual!$C11*100</f>
        <v>0.65807152825351767</v>
      </c>
      <c r="F104" s="69">
        <f>([8]Annual!F12-[8]Annual!F11)/[8]Annual!$C11*100</f>
        <v>4.4688008742879699</v>
      </c>
      <c r="G104" s="69">
        <f>([8]Annual!G12-[8]Annual!G11)/[8]Annual!$C11*100</f>
        <v>1.0443575701420384</v>
      </c>
      <c r="H104" s="69">
        <f>([8]Annual!H12-[8]Annual!H11)/[8]Annual!$C11*100</f>
        <v>3.1081135871800019</v>
      </c>
      <c r="I104" s="69">
        <f>-([8]Annual!I12-[8]Annual!I11)/[8]Annual!$C11*100</f>
        <v>-6.7341301215881018</v>
      </c>
      <c r="J104" s="70">
        <f t="shared" si="12"/>
        <v>10.125398160636522</v>
      </c>
      <c r="K104" s="71">
        <f t="shared" si="13"/>
        <v>0</v>
      </c>
    </row>
    <row r="105" spans="2:11" x14ac:dyDescent="0.25">
      <c r="B105" s="74">
        <f>[8]Annual!B13</f>
        <v>2011</v>
      </c>
      <c r="C105" s="68">
        <f>[8]Annual!J13*100</f>
        <v>6.0039516892703038</v>
      </c>
      <c r="D105" s="69">
        <f>([8]Annual!D13-[8]Annual!D12)/[8]Annual!$C12*100</f>
        <v>6.4087203212204082</v>
      </c>
      <c r="E105" s="69">
        <f>([8]Annual!E13-[8]Annual!E12)/[8]Annual!$C12*100</f>
        <v>0.52759842771040422</v>
      </c>
      <c r="F105" s="69">
        <f>([8]Annual!F13-[8]Annual!F12)/[8]Annual!$C12*100</f>
        <v>3.3911295504866183</v>
      </c>
      <c r="G105" s="69">
        <f>([8]Annual!G13-[8]Annual!G12)/[8]Annual!$C12*100</f>
        <v>-0.10979104633205762</v>
      </c>
      <c r="H105" s="69">
        <f>([8]Annual!H13-[8]Annual!H12)/[8]Annual!$C12*100</f>
        <v>0.95968130861861667</v>
      </c>
      <c r="I105" s="69">
        <f>-([8]Annual!I13-[8]Annual!I12)/[8]Annual!$C12*100</f>
        <v>-5.1733868724337091</v>
      </c>
      <c r="J105" s="70">
        <f t="shared" si="12"/>
        <v>6.0039516892702798</v>
      </c>
      <c r="K105" s="71">
        <f t="shared" si="13"/>
        <v>-2.3980817331903381E-14</v>
      </c>
    </row>
    <row r="106" spans="2:11" x14ac:dyDescent="0.25">
      <c r="B106" s="74">
        <f>[8]Annual!B14</f>
        <v>2012</v>
      </c>
      <c r="C106" s="68">
        <f>[8]Annual!J14*100</f>
        <v>-1.0264204630762941</v>
      </c>
      <c r="D106" s="69">
        <f>([8]Annual!D14-[8]Annual!D13)/[8]Annual!$C13*100</f>
        <v>0.78360174825268958</v>
      </c>
      <c r="E106" s="69">
        <f>([8]Annual!E14-[8]Annual!E13)/[8]Annual!$C13*100</f>
        <v>0.34308374455592744</v>
      </c>
      <c r="F106" s="69">
        <f>([8]Annual!F14-[8]Annual!F13)/[8]Annual!$C13*100</f>
        <v>-1.5287935202925571</v>
      </c>
      <c r="G106" s="69">
        <f>([8]Annual!G14-[8]Annual!G13)/[8]Annual!$C13*100</f>
        <v>-0.96892011384240362</v>
      </c>
      <c r="H106" s="69">
        <f>([8]Annual!H14-[8]Annual!H13)/[8]Annual!$C13*100</f>
        <v>-0.93368119568267904</v>
      </c>
      <c r="I106" s="69">
        <f>-([8]Annual!I14-[8]Annual!I13)/[8]Annual!$C13*100</f>
        <v>1.278288873932689</v>
      </c>
      <c r="J106" s="70">
        <f t="shared" si="12"/>
        <v>-1.0264204630763338</v>
      </c>
      <c r="K106" s="71">
        <f t="shared" si="13"/>
        <v>-3.9745984281580604E-14</v>
      </c>
    </row>
    <row r="107" spans="2:11" x14ac:dyDescent="0.25">
      <c r="B107" s="74">
        <f>[8]Annual!B15</f>
        <v>2013</v>
      </c>
      <c r="C107" s="68">
        <f>[8]Annual!J15*100</f>
        <v>2.405323787170266</v>
      </c>
      <c r="D107" s="69">
        <f>([8]Annual!D15-[8]Annual!D14)/[8]Annual!$C14*100</f>
        <v>2.6237454808433056</v>
      </c>
      <c r="E107" s="69">
        <f>([8]Annual!E15-[8]Annual!E14)/[8]Annual!$C14*100</f>
        <v>0.63156080927039071</v>
      </c>
      <c r="F107" s="69">
        <f>([8]Annual!F15-[8]Annual!F14)/[8]Annual!$C14*100</f>
        <v>0.47461725435270447</v>
      </c>
      <c r="G107" s="69">
        <f>([8]Annual!G15-[8]Annual!G14)/[8]Annual!$C14*100</f>
        <v>0.46099738528757206</v>
      </c>
      <c r="H107" s="69">
        <f>([8]Annual!H15-[8]Annual!H14)/[8]Annual!$C14*100</f>
        <v>-0.77512057773887366</v>
      </c>
      <c r="I107" s="69">
        <f>-([8]Annual!I15-[8]Annual!I14)/[8]Annual!$C14*100</f>
        <v>-1.0104765648447323</v>
      </c>
      <c r="J107" s="70">
        <f t="shared" si="12"/>
        <v>2.4053237871703663</v>
      </c>
      <c r="K107" s="71">
        <f t="shared" si="13"/>
        <v>1.0036416142611415E-13</v>
      </c>
    </row>
    <row r="108" spans="2:11" x14ac:dyDescent="0.25">
      <c r="B108" s="74">
        <f>[8]Annual!B16</f>
        <v>2014</v>
      </c>
      <c r="C108" s="68">
        <f>[8]Annual!J16*100</f>
        <v>-2.5126153262801543</v>
      </c>
      <c r="D108" s="69">
        <f>([8]Annual!D16-[8]Annual!D15)/[8]Annual!$C15*100</f>
        <v>-3.1801596212566894</v>
      </c>
      <c r="E108" s="69">
        <f>([8]Annual!E16-[8]Annual!E15)/[8]Annual!$C15*100</f>
        <v>0.35940253745286238</v>
      </c>
      <c r="F108" s="69">
        <f>([8]Annual!F16-[8]Annual!F15)/[8]Annual!$C15*100</f>
        <v>-1.3696312414891911</v>
      </c>
      <c r="G108" s="69">
        <f>([8]Annual!G16-[8]Annual!G15)/[8]Annual!$C15*100</f>
        <v>9.4945196209014315E-2</v>
      </c>
      <c r="H108" s="69">
        <f>([8]Annual!H16-[8]Annual!H15)/[8]Annual!$C15*100</f>
        <v>-1.4478189328686972</v>
      </c>
      <c r="I108" s="69">
        <f>-([8]Annual!I16-[8]Annual!I15)/[8]Annual!$C15*100</f>
        <v>3.0306467356724651</v>
      </c>
      <c r="J108" s="70">
        <f t="shared" si="12"/>
        <v>-2.512615326280236</v>
      </c>
      <c r="K108" s="71">
        <f t="shared" si="13"/>
        <v>-8.1712414612411521E-14</v>
      </c>
    </row>
    <row r="109" spans="2:11" x14ac:dyDescent="0.25">
      <c r="B109" s="74">
        <f>[8]Annual!B17</f>
        <v>2015</v>
      </c>
      <c r="C109" s="68">
        <f>[8]Annual!J17*100</f>
        <v>2.7311598390646674</v>
      </c>
      <c r="D109" s="69">
        <f>([8]Annual!D17-[8]Annual!D16)/[8]Annual!$C16*100</f>
        <v>2.6173851464678104</v>
      </c>
      <c r="E109" s="69">
        <f>([8]Annual!E17-[8]Annual!E16)/[8]Annual!$C16*100</f>
        <v>0.8951245912169743</v>
      </c>
      <c r="F109" s="69">
        <f>([8]Annual!F17-[8]Annual!F16)/[8]Annual!$C16*100</f>
        <v>0.67144132556439229</v>
      </c>
      <c r="G109" s="69">
        <f>([8]Annual!G17-[8]Annual!G16)/[8]Annual!$C16*100</f>
        <v>0.22632468454672985</v>
      </c>
      <c r="H109" s="69">
        <f>([8]Annual!H17-[8]Annual!H16)/[8]Annual!$C16*100</f>
        <v>-0.54976442039912266</v>
      </c>
      <c r="I109" s="69">
        <f>-([8]Annual!I17-[8]Annual!I16)/[8]Annual!$C16*100</f>
        <v>-1.1293514883319822</v>
      </c>
      <c r="J109" s="70">
        <f t="shared" si="12"/>
        <v>2.7311598390648015</v>
      </c>
      <c r="K109" s="71">
        <f t="shared" si="13"/>
        <v>1.3411494137471891E-13</v>
      </c>
    </row>
    <row r="110" spans="2:11" x14ac:dyDescent="0.25">
      <c r="B110" s="74">
        <f>[8]Annual!B18</f>
        <v>2016</v>
      </c>
      <c r="C110" s="68">
        <f>[8]Annual!J18*100</f>
        <v>-2.0803278492648958</v>
      </c>
      <c r="D110" s="69">
        <f>([8]Annual!D18-[8]Annual!D17)/[8]Annual!$C17*100</f>
        <v>-0.56360695792077209</v>
      </c>
      <c r="E110" s="69">
        <f>([8]Annual!E18-[8]Annual!E17)/[8]Annual!$C17*100</f>
        <v>-7.0348246451785029E-2</v>
      </c>
      <c r="F110" s="69">
        <f>([8]Annual!F18-[8]Annual!F17)/[8]Annual!$C17*100</f>
        <v>-1.1285252664669203</v>
      </c>
      <c r="G110" s="69">
        <f>([8]Annual!G18-[8]Annual!G17)/[8]Annual!$C17*100</f>
        <v>0.1090739913068421</v>
      </c>
      <c r="H110" s="69">
        <f>([8]Annual!H18-[8]Annual!H17)/[8]Annual!$C17*100</f>
        <v>0.99610055056926428</v>
      </c>
      <c r="I110" s="69">
        <f>-([8]Annual!I18-[8]Annual!I17)/[8]Annual!$C17*100</f>
        <v>-1.4230219203016889</v>
      </c>
      <c r="J110" s="70">
        <f t="shared" si="12"/>
        <v>-2.0803278492650601</v>
      </c>
      <c r="K110" s="71">
        <f t="shared" si="13"/>
        <v>-1.6431300764452317E-13</v>
      </c>
    </row>
    <row r="111" spans="2:11" x14ac:dyDescent="0.25">
      <c r="B111" s="74">
        <f>[8]Annual!B19</f>
        <v>2017</v>
      </c>
      <c r="C111" s="68">
        <f>[8]Annual!J19*100</f>
        <v>2.8185029728372779</v>
      </c>
      <c r="D111" s="69">
        <f>([8]Annual!D19-[8]Annual!D18)/[8]Annual!$C18*100</f>
        <v>3.0436178538471954</v>
      </c>
      <c r="E111" s="69">
        <f>([8]Annual!E19-[8]Annual!E18)/[8]Annual!$C18*100</f>
        <v>0.35940827457483721</v>
      </c>
      <c r="F111" s="69">
        <f>([8]Annual!F19-[8]Annual!F18)/[8]Annual!$C18*100</f>
        <v>2.5145103989803732</v>
      </c>
      <c r="G111" s="69">
        <f>([8]Annual!G19-[8]Annual!G18)/[8]Annual!$C18*100</f>
        <v>0.48897620066933462</v>
      </c>
      <c r="H111" s="69">
        <f>([8]Annual!H19-[8]Annual!H18)/[8]Annual!$C18*100</f>
        <v>0.52695580360933081</v>
      </c>
      <c r="I111" s="69">
        <f>-([8]Annual!I19-[8]Annual!I18)/[8]Annual!$C18*100</f>
        <v>-4.1149655588436325</v>
      </c>
      <c r="J111" s="70">
        <f t="shared" si="12"/>
        <v>2.8185029728374396</v>
      </c>
      <c r="K111" s="71">
        <f t="shared" si="13"/>
        <v>1.6164847238542279E-13</v>
      </c>
    </row>
    <row r="112" spans="2:11" x14ac:dyDescent="0.25">
      <c r="B112" s="74">
        <f>[8]Annual!B20</f>
        <v>2018</v>
      </c>
      <c r="C112" s="68">
        <f>[8]Annual!J20*100</f>
        <v>-2.617396460656829</v>
      </c>
      <c r="D112" s="69">
        <f>([8]Annual!D20-[8]Annual!D19)/[8]Annual!$C19*100</f>
        <v>-1.6650960645496142</v>
      </c>
      <c r="E112" s="69">
        <f>([8]Annual!E20-[8]Annual!E19)/[8]Annual!$C19*100</f>
        <v>-0.25732154035681482</v>
      </c>
      <c r="F112" s="69">
        <f>([8]Annual!F20-[8]Annual!F19)/[8]Annual!$C19*100</f>
        <v>-1.1906526367600507</v>
      </c>
      <c r="G112" s="69">
        <f>([8]Annual!G20-[8]Annual!G19)/[8]Annual!$C19*100</f>
        <v>-0.95851785421838709</v>
      </c>
      <c r="H112" s="69">
        <f>([8]Annual!H20-[8]Annual!H19)/[8]Annual!$C19*100</f>
        <v>0.12989989587921588</v>
      </c>
      <c r="I112" s="69">
        <f>-([8]Annual!I20-[8]Annual!I19)/[8]Annual!$C19*100</f>
        <v>1.3242917393487139</v>
      </c>
      <c r="J112" s="70">
        <f t="shared" si="12"/>
        <v>-2.6173964606569369</v>
      </c>
      <c r="K112" s="71">
        <f t="shared" si="13"/>
        <v>-1.0791367799356522E-13</v>
      </c>
    </row>
    <row r="113" spans="2:11" x14ac:dyDescent="0.25">
      <c r="B113" s="74">
        <f>[8]Annual!B21</f>
        <v>2019</v>
      </c>
      <c r="C113" s="68">
        <f>[8]Annual!J21*100</f>
        <v>-2.0008610017216322</v>
      </c>
      <c r="D113" s="69">
        <f>([8]Annual!D21-[8]Annual!D20)/[8]Annual!$C20*100</f>
        <v>-4.5601427250549396</v>
      </c>
      <c r="E113" s="69">
        <f>([8]Annual!E21-[8]Annual!E20)/[8]Annual!$C20*100</f>
        <v>-0.87721279720956424</v>
      </c>
      <c r="F113" s="69">
        <f>([8]Annual!F21-[8]Annual!F20)/[8]Annual!$C20*100</f>
        <v>-3.1994037533125694</v>
      </c>
      <c r="G113" s="69">
        <f>([8]Annual!G21-[8]Annual!G20)/[8]Annual!$C20*100</f>
        <v>-0.79924785615617489</v>
      </c>
      <c r="H113" s="69">
        <f>([8]Annual!H21-[8]Annual!H20)/[8]Annual!$C20*100</f>
        <v>2.026488861766889</v>
      </c>
      <c r="I113" s="69">
        <f>-([8]Annual!I21-[8]Annual!I20)/[8]Annual!$C20*100</f>
        <v>5.4449472075546543</v>
      </c>
      <c r="J113" s="70">
        <f t="shared" si="12"/>
        <v>-1.9645710624117045</v>
      </c>
      <c r="K113" s="71">
        <f t="shared" si="13"/>
        <v>3.6289939309927632E-2</v>
      </c>
    </row>
    <row r="114" spans="2:11" x14ac:dyDescent="0.25">
      <c r="B114" s="74">
        <f>[8]Annual!B22</f>
        <v>2020</v>
      </c>
      <c r="C114" s="68">
        <f>[8]Annual!J22*100</f>
        <v>-9.9004848192370982</v>
      </c>
      <c r="D114" s="69">
        <f>([8]Annual!D22-[8]Annual!D21)/[8]Annual!$C21*100</f>
        <v>-8.6775084676385639</v>
      </c>
      <c r="E114" s="69">
        <f>([8]Annual!E22-[8]Annual!E21)/[8]Annual!$C21*100</f>
        <v>-0.26464187800588707</v>
      </c>
      <c r="F114" s="69">
        <f>([8]Annual!F22-[8]Annual!F21)/[8]Annual!$C21*100</f>
        <v>-2.2475780789975759</v>
      </c>
      <c r="G114" s="69">
        <f>([8]Annual!G22-[8]Annual!G21)/[8]Annual!$C21*100</f>
        <v>1.1526290486444335</v>
      </c>
      <c r="H114" s="69">
        <f>([8]Annual!H22-[8]Annual!H21)/[8]Annual!$C21*100</f>
        <v>-4.0585390808307853</v>
      </c>
      <c r="I114" s="69">
        <f>-([8]Annual!I22-[8]Annual!I21)/[8]Annual!$C21*100</f>
        <v>4.1581227619317502</v>
      </c>
      <c r="J114" s="70">
        <f t="shared" si="12"/>
        <v>-9.9375156948966286</v>
      </c>
      <c r="K114" s="71">
        <f t="shared" si="13"/>
        <v>-3.7030875659530338E-2</v>
      </c>
    </row>
    <row r="115" spans="2:11" x14ac:dyDescent="0.25">
      <c r="B115" s="74">
        <f>[8]Annual!B23</f>
        <v>2021</v>
      </c>
      <c r="C115" s="68">
        <f>[8]Annual!J23*100</f>
        <v>10.441812002456663</v>
      </c>
      <c r="D115" s="69">
        <f>([8]Annual!D23-[8]Annual!D22)/[8]Annual!$C22*100</f>
        <v>6.5787719606734196</v>
      </c>
      <c r="E115" s="69">
        <f>([8]Annual!E23-[8]Annual!E22)/[8]Annual!$C22*100</f>
        <v>1.0142308745441135</v>
      </c>
      <c r="F115" s="69">
        <f>([8]Annual!F23-[8]Annual!F22)/[8]Annual!$C22*100</f>
        <v>5.6458707400672932</v>
      </c>
      <c r="G115" s="69">
        <f>([8]Annual!G23-[8]Annual!G22)/[8]Annual!$C22*100</f>
        <v>-0.47987680706217301</v>
      </c>
      <c r="H115" s="69">
        <f>([8]Annual!H23-[8]Annual!H22)/[8]Annual!$C22*100</f>
        <v>1.8028213864410412</v>
      </c>
      <c r="I115" s="69">
        <f>-([8]Annual!I23-[8]Annual!I22)/[8]Annual!$C22*100</f>
        <v>-4.1200061522071421</v>
      </c>
      <c r="J115" s="70">
        <f t="shared" si="12"/>
        <v>10.441812002456551</v>
      </c>
      <c r="K115" s="71">
        <f t="shared" si="13"/>
        <v>-1.1191048088221578E-13</v>
      </c>
    </row>
    <row r="116" spans="2:11" x14ac:dyDescent="0.25">
      <c r="B116" s="74">
        <f>[8]Annual!B24</f>
        <v>2022</v>
      </c>
      <c r="C116" s="68">
        <f>[8]Annual!J24*100</f>
        <v>6.0207453739123284</v>
      </c>
      <c r="D116" s="69">
        <f>([8]Annual!D24-[8]Annual!D23)/[8]Annual!$C23*100</f>
        <v>6.5206815505835483</v>
      </c>
      <c r="E116" s="69">
        <f>([8]Annual!E24-[8]Annual!E23)/[8]Annual!$C23*100</f>
        <v>0.38202367181339503</v>
      </c>
      <c r="F116" s="69">
        <f>([8]Annual!F24-[8]Annual!F23)/[8]Annual!$C23*100</f>
        <v>2.1053002495247615</v>
      </c>
      <c r="G116" s="69">
        <f>([8]Annual!G24-[8]Annual!G23)/[8]Annual!$C23*100</f>
        <v>0.23740909261584733</v>
      </c>
      <c r="H116" s="69">
        <f>([8]Annual!H24-[8]Annual!H23)/[8]Annual!$C23*100</f>
        <v>0.9543770686388483</v>
      </c>
      <c r="I116" s="69">
        <f>-([8]Annual!I24-[8]Annual!I23)/[8]Annual!$C23*100</f>
        <v>-4.179046259263985</v>
      </c>
      <c r="J116" s="70">
        <f t="shared" si="12"/>
        <v>6.0207453739124164</v>
      </c>
      <c r="K116" s="71">
        <f t="shared" si="13"/>
        <v>8.7929663550312398E-14</v>
      </c>
    </row>
    <row r="117" spans="2:11" x14ac:dyDescent="0.25">
      <c r="B117" s="74">
        <f>[8]Annual!B25</f>
        <v>2023</v>
      </c>
      <c r="C117" s="68">
        <f>[8]Annual!J25*100</f>
        <v>-1.8508324789033526</v>
      </c>
      <c r="D117" s="69">
        <f>([8]Annual!D25-[8]Annual!D24)/[8]Annual!$C24*100</f>
        <v>0.70205623436296749</v>
      </c>
      <c r="E117" s="69">
        <f>([8]Annual!E25-[8]Annual!E24)/[8]Annual!$C24*100</f>
        <v>0.30712443781329279</v>
      </c>
      <c r="F117" s="69">
        <f>([8]Annual!F25-[8]Annual!F24)/[8]Annual!$C24*100</f>
        <v>-0.52078920182883226</v>
      </c>
      <c r="G117" s="69">
        <f>([8]Annual!G25-[8]Annual!G24)/[8]Annual!$C24*100</f>
        <v>0.32446841477951499</v>
      </c>
      <c r="H117" s="69">
        <f>([8]Annual!H25-[8]Annual!H24)/[8]Annual!$C24*100</f>
        <v>-2.0790669399037509</v>
      </c>
      <c r="I117" s="69">
        <f>-([8]Annual!I25-[8]Annual!I24)/[8]Annual!$C24*100</f>
        <v>-0.58462542412659591</v>
      </c>
      <c r="J117" s="70">
        <f t="shared" si="12"/>
        <v>-1.8508324789034041</v>
      </c>
      <c r="K117" s="71">
        <f t="shared" si="13"/>
        <v>-5.1514348342607263E-14</v>
      </c>
    </row>
    <row r="118" spans="2:11" x14ac:dyDescent="0.25">
      <c r="B118" s="74">
        <f>[8]Annual!B26</f>
        <v>2024</v>
      </c>
      <c r="C118" s="68">
        <f>[8]Annual!J26*100</f>
        <v>-1.3677573657661979</v>
      </c>
      <c r="D118" s="69">
        <f>([8]Annual!D26-[8]Annual!D25)/[8]Annual!$C25*100</f>
        <v>-2.0976340399205142</v>
      </c>
      <c r="E118" s="69">
        <f>([8]Annual!E26-[8]Annual!E25)/[8]Annual!$C25*100</f>
        <v>-0.42271759775484291</v>
      </c>
      <c r="F118" s="69">
        <f>([8]Annual!F26-[8]Annual!F25)/[8]Annual!$C25*100</f>
        <v>-3.6546515075419421</v>
      </c>
      <c r="G118" s="69">
        <f>([8]Annual!G26-[8]Annual!G25)/[8]Annual!$C25*100</f>
        <v>-1.9904200762748629</v>
      </c>
      <c r="H118" s="69">
        <f>([8]Annual!H26-[8]Annual!H25)/[8]Annual!$C25*100</f>
        <v>3.9304341897886141</v>
      </c>
      <c r="I118" s="69">
        <f>-([8]Annual!I26-[8]Annual!I25)/[8]Annual!$C25*100</f>
        <v>2.86723166593739</v>
      </c>
      <c r="J118" s="70">
        <f t="shared" si="12"/>
        <v>-1.3677573657661579</v>
      </c>
      <c r="K118" s="71">
        <f t="shared" si="13"/>
        <v>3.9968028886505635E-14</v>
      </c>
    </row>
    <row r="119" spans="2:11" x14ac:dyDescent="0.25">
      <c r="B119" s="74">
        <f>[8]Annual!B27</f>
        <v>2025</v>
      </c>
      <c r="C119" s="68">
        <f>[8]Annual!J27*100</f>
        <v>4.4832446297564221</v>
      </c>
      <c r="D119" s="69">
        <f>([8]Annual!D27-[8]Annual!D26)/[8]Annual!$C26*100</f>
        <v>6.1738342296629298</v>
      </c>
      <c r="E119" s="69">
        <f>([8]Annual!E27-[8]Annual!E26)/[8]Annual!$C26*100</f>
        <v>5.1670443505879148E-2</v>
      </c>
      <c r="F119" s="69">
        <f>([8]Annual!F27-[8]Annual!F26)/[8]Annual!$C26*100</f>
        <v>2.8260448376290856</v>
      </c>
      <c r="G119" s="69">
        <f>([8]Annual!G27-[8]Annual!G26)/[8]Annual!$C26*100</f>
        <v>0.5470465176322078</v>
      </c>
      <c r="H119" s="69">
        <f>([8]Annual!H27-[8]Annual!H26)/[8]Annual!$C26*100</f>
        <v>1.8835431602456181</v>
      </c>
      <c r="I119" s="69">
        <f>-([8]Annual!I27-[8]Annual!I26)/[8]Annual!$C26*100</f>
        <v>-6.9988945589193552</v>
      </c>
      <c r="J119" s="70">
        <f t="shared" si="12"/>
        <v>4.4832446297563653</v>
      </c>
      <c r="K119" s="71">
        <f t="shared" si="13"/>
        <v>-5.6843418860808015E-14</v>
      </c>
    </row>
  </sheetData>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AC5C6-ED00-4C2E-89DD-0BB99CAA421E}">
  <sheetPr>
    <tabColor rgb="FF5A6472"/>
  </sheetPr>
  <dimension ref="A2:O138"/>
  <sheetViews>
    <sheetView zoomScaleNormal="100" workbookViewId="0" showGridLines="0" zoomScale="100">
      <pane ySplit="6" topLeftCell="A7" activePane="bottomLeft" state="frozen"/>
      <selection pane="bottomLeft" activeCell="A7" sqref="A7"/>
    </sheetView>
  </sheetViews>
  <sheetFormatPr defaultRowHeight="15" x14ac:dyDescent="0.25"/>
  <cols>
    <col min="3" max="3" width="9.5703125" bestFit="1" customWidth="1"/>
    <col min="4" max="4" width="13.28515625" bestFit="1" customWidth="1"/>
    <col min="5" max="5" width="10.5703125" bestFit="1" customWidth="1"/>
    <col min="6" max="6" width="10.5703125" customWidth="1"/>
    <col min="10" max="10" width="10.42578125" bestFit="1" customWidth="1"/>
    <col min="11" max="11" width="12.85546875" customWidth="1"/>
    <col min="12" max="12" width="10.7109375" bestFit="1" customWidth="1"/>
  </cols>
  <sheetData>
    <row r="2" spans="1:13" x14ac:dyDescent="0.25">
      <c r="B2" s="1" t="s">
        <v>486</v>
      </c>
      <c r="C2" t="s">
        <v>480</v>
      </c>
      <c r="I2" s="1" t="s">
        <v>489</v>
      </c>
      <c r="J2" t="s">
        <v>477</v>
      </c>
      <c r="K2" t="s">
        <v>478</v>
      </c>
      <c r="L2" t="s">
        <v>479</v>
      </c>
      <c r="M2" t="s">
        <v>518</v>
      </c>
    </row>
    <row r="3" spans="1:13" x14ac:dyDescent="0.25">
      <c r="B3" t="s">
        <v>9</v>
      </c>
      <c r="C3" t="s">
        <v>488</v>
      </c>
      <c r="I3" t="s">
        <v>9</v>
      </c>
      <c r="J3" t="s">
        <v>483</v>
      </c>
      <c r="K3" t="s">
        <v>484</v>
      </c>
      <c r="L3" t="s">
        <v>485</v>
      </c>
    </row>
    <row r="4" spans="1:13" x14ac:dyDescent="0.25">
      <c r="B4" t="s">
        <v>8</v>
      </c>
      <c r="C4" t="s">
        <v>147</v>
      </c>
      <c r="I4" t="s">
        <v>8</v>
      </c>
      <c r="J4" t="s">
        <v>482</v>
      </c>
      <c r="K4" t="s">
        <v>482</v>
      </c>
      <c r="L4" t="s">
        <v>482</v>
      </c>
    </row>
    <row r="5" spans="1:13" x14ac:dyDescent="0.25">
      <c r="B5" t="s">
        <v>7</v>
      </c>
      <c r="C5" t="s">
        <v>481</v>
      </c>
      <c r="I5" t="s">
        <v>7</v>
      </c>
      <c r="J5" t="s">
        <v>481</v>
      </c>
      <c r="K5" t="s">
        <v>481</v>
      </c>
      <c r="L5" t="s">
        <v>481</v>
      </c>
    </row>
    <row r="6" spans="1:13" x14ac:dyDescent="0.25">
      <c r="B6" t="s">
        <v>6</v>
      </c>
      <c r="C6" t="s">
        <v>487</v>
      </c>
      <c r="I6" t="s">
        <v>6</v>
      </c>
      <c r="J6" t="s">
        <v>145</v>
      </c>
      <c r="K6" t="s">
        <v>145</v>
      </c>
      <c r="L6" t="s">
        <v>145</v>
      </c>
    </row>
    <row r="7" spans="1:13" x14ac:dyDescent="0.25">
      <c r="A7" s="11" t="s">
        <v>490</v>
      </c>
      <c r="B7" t="s">
        <v>331</v>
      </c>
      <c r="C7" s="7">
        <v>7006.65</v>
      </c>
      <c r="H7" s="4">
        <v>42370</v>
      </c>
      <c r="I7" t="s">
        <v>282</v>
      </c>
      <c r="J7" s="2">
        <v>-214370.9</v>
      </c>
      <c r="K7" s="2" t="e">
        <v>#N/A</v>
      </c>
      <c r="L7" s="2" t="e">
        <v>#N/A</v>
      </c>
    </row>
    <row r="8" spans="1:13" x14ac:dyDescent="0.25">
      <c r="A8" s="11" t="s">
        <v>494</v>
      </c>
      <c r="B8" t="s">
        <v>332</v>
      </c>
      <c r="C8" s="7">
        <v>8414.56</v>
      </c>
      <c r="H8" s="4">
        <v>42401</v>
      </c>
      <c r="I8" t="s">
        <v>283</v>
      </c>
      <c r="J8" s="2">
        <v>-218514.90000000002</v>
      </c>
      <c r="K8" s="2" t="e">
        <v>#N/A</v>
      </c>
      <c r="L8" s="2" t="e">
        <v>#N/A</v>
      </c>
    </row>
    <row r="9" spans="1:13" x14ac:dyDescent="0.25">
      <c r="A9" s="11" t="s">
        <v>495</v>
      </c>
      <c r="B9" t="s">
        <v>333</v>
      </c>
      <c r="C9" s="7">
        <v>8527.6299999999992</v>
      </c>
      <c r="H9" s="4">
        <v>42430</v>
      </c>
      <c r="I9" t="s">
        <v>284</v>
      </c>
      <c r="J9" s="2">
        <v>-232452.40000000002</v>
      </c>
      <c r="K9" s="2" t="e">
        <v>#N/A</v>
      </c>
      <c r="L9" s="2" t="e">
        <v>#N/A</v>
      </c>
    </row>
    <row r="10" spans="1:13" x14ac:dyDescent="0.25">
      <c r="A10" s="11" t="s">
        <v>496</v>
      </c>
      <c r="B10" t="s">
        <v>334</v>
      </c>
      <c r="C10" s="7">
        <v>8963.81</v>
      </c>
      <c r="D10" s="8">
        <f>AVERAGE(C7:C10)</f>
        <v>8228.1624999999985</v>
      </c>
      <c r="E10" s="10"/>
      <c r="F10" s="10"/>
      <c r="H10" s="4">
        <v>42461</v>
      </c>
      <c r="I10" t="s">
        <v>285</v>
      </c>
      <c r="J10" s="2">
        <v>-225423.9</v>
      </c>
      <c r="K10" s="2" t="e">
        <v>#N/A</v>
      </c>
      <c r="L10" s="2" t="e">
        <v>#N/A</v>
      </c>
    </row>
    <row r="11" spans="1:13" x14ac:dyDescent="0.25">
      <c r="A11" s="11" t="s">
        <v>491</v>
      </c>
      <c r="B11" t="s">
        <v>335</v>
      </c>
      <c r="C11" s="7">
        <v>9240.8799999999992</v>
      </c>
      <c r="D11" s="8">
        <f t="shared" ref="D11:D46" si="0">AVERAGE(C8:C11)</f>
        <v>8786.7199999999993</v>
      </c>
      <c r="H11" s="4">
        <v>42491</v>
      </c>
      <c r="I11" t="s">
        <v>286</v>
      </c>
      <c r="J11" s="2">
        <v>-244117</v>
      </c>
      <c r="K11" s="2" t="e">
        <v>#N/A</v>
      </c>
      <c r="L11" s="2" t="e">
        <v>#N/A</v>
      </c>
    </row>
    <row r="12" spans="1:13" x14ac:dyDescent="0.25">
      <c r="A12" s="11" t="s">
        <v>497</v>
      </c>
      <c r="B12" t="s">
        <v>336</v>
      </c>
      <c r="C12" s="7">
        <v>10558.21</v>
      </c>
      <c r="D12" s="8">
        <f t="shared" si="0"/>
        <v>9322.6324999999997</v>
      </c>
      <c r="H12" s="4">
        <v>42522</v>
      </c>
      <c r="I12" t="s">
        <v>5</v>
      </c>
      <c r="J12" s="2">
        <v>-296722.8</v>
      </c>
      <c r="K12" s="2" t="e">
        <v>#N/A</v>
      </c>
      <c r="L12" s="2" t="e">
        <v>#N/A</v>
      </c>
    </row>
    <row r="13" spans="1:13" x14ac:dyDescent="0.25">
      <c r="A13" s="11" t="s">
        <v>498</v>
      </c>
      <c r="B13" t="s">
        <v>337</v>
      </c>
      <c r="C13" s="7">
        <v>11116.42</v>
      </c>
      <c r="D13" s="8">
        <f t="shared" si="0"/>
        <v>9969.83</v>
      </c>
      <c r="H13" s="4">
        <v>42552</v>
      </c>
      <c r="I13" t="s">
        <v>15</v>
      </c>
      <c r="J13" s="2">
        <v>-323270.60000000003</v>
      </c>
      <c r="K13" s="2" t="e">
        <v>#N/A</v>
      </c>
      <c r="L13" s="2" t="e">
        <v>#N/A</v>
      </c>
    </row>
    <row r="14" spans="1:13" x14ac:dyDescent="0.25">
      <c r="A14" s="11" t="s">
        <v>499</v>
      </c>
      <c r="B14" t="s">
        <v>338</v>
      </c>
      <c r="C14" s="7">
        <v>11725.41</v>
      </c>
      <c r="D14" s="8">
        <f t="shared" si="0"/>
        <v>10660.23</v>
      </c>
      <c r="E14" s="14">
        <f>D14/D10-1</f>
        <v>0.29557844780046594</v>
      </c>
      <c r="F14" s="14"/>
      <c r="H14" s="4">
        <v>42583</v>
      </c>
      <c r="I14" t="s">
        <v>16</v>
      </c>
      <c r="J14" s="2">
        <v>-350743.9</v>
      </c>
      <c r="K14" s="2" t="e">
        <v>#N/A</v>
      </c>
      <c r="L14" s="2" t="e">
        <v>#N/A</v>
      </c>
    </row>
    <row r="15" spans="1:13" x14ac:dyDescent="0.25">
      <c r="A15" s="11" t="s">
        <v>492</v>
      </c>
      <c r="B15" t="s">
        <v>339</v>
      </c>
      <c r="C15" s="7">
        <v>12457.79</v>
      </c>
      <c r="D15" s="8">
        <f t="shared" si="0"/>
        <v>11464.457499999999</v>
      </c>
      <c r="E15" s="14">
        <f t="shared" ref="E15:E47" si="1">D15/D11-1</f>
        <v>0.30474824507893716</v>
      </c>
      <c r="F15" s="14"/>
      <c r="H15" s="4">
        <v>42614</v>
      </c>
      <c r="I15" t="s">
        <v>17</v>
      </c>
      <c r="J15" s="2">
        <v>-379662.9</v>
      </c>
      <c r="K15" s="2" t="e">
        <v>#N/A</v>
      </c>
      <c r="L15" s="2" t="e">
        <v>#N/A</v>
      </c>
    </row>
    <row r="16" spans="1:13" x14ac:dyDescent="0.25">
      <c r="A16" s="11" t="s">
        <v>500</v>
      </c>
      <c r="B16" t="s">
        <v>340</v>
      </c>
      <c r="C16" s="7">
        <v>14431.39</v>
      </c>
      <c r="D16" s="8">
        <f t="shared" si="0"/>
        <v>12432.752500000001</v>
      </c>
      <c r="E16" s="14">
        <f t="shared" si="1"/>
        <v>0.33360963225784146</v>
      </c>
      <c r="F16" s="14"/>
      <c r="H16" s="4">
        <v>42644</v>
      </c>
      <c r="I16" t="s">
        <v>18</v>
      </c>
      <c r="J16" s="2">
        <v>-439401.30000000005</v>
      </c>
      <c r="K16" s="2" t="e">
        <v>#N/A</v>
      </c>
      <c r="L16" s="2" t="e">
        <v>#N/A</v>
      </c>
    </row>
    <row r="17" spans="1:15" x14ac:dyDescent="0.25">
      <c r="A17" s="11" t="s">
        <v>501</v>
      </c>
      <c r="B17" t="s">
        <v>341</v>
      </c>
      <c r="C17" s="7">
        <v>15276.28</v>
      </c>
      <c r="D17" s="8">
        <f t="shared" si="0"/>
        <v>13472.717499999999</v>
      </c>
      <c r="E17" s="14">
        <f t="shared" si="1"/>
        <v>0.35134876923678737</v>
      </c>
      <c r="F17" s="14"/>
      <c r="H17" s="4">
        <v>42675</v>
      </c>
      <c r="I17" t="s">
        <v>19</v>
      </c>
      <c r="J17" s="2">
        <v>-450044.6</v>
      </c>
      <c r="K17" s="2" t="e">
        <v>#N/A</v>
      </c>
      <c r="L17" s="2" t="e">
        <v>#N/A</v>
      </c>
    </row>
    <row r="18" spans="1:15" x14ac:dyDescent="0.25">
      <c r="A18" s="11" t="s">
        <v>502</v>
      </c>
      <c r="B18" t="s">
        <v>342</v>
      </c>
      <c r="C18" s="7">
        <v>16813.78</v>
      </c>
      <c r="D18" s="8">
        <f t="shared" si="0"/>
        <v>14744.81</v>
      </c>
      <c r="E18" s="14">
        <f t="shared" si="1"/>
        <v>0.38316058846760348</v>
      </c>
      <c r="F18" s="14"/>
      <c r="H18" s="4">
        <v>42705</v>
      </c>
      <c r="I18" t="s">
        <v>20</v>
      </c>
      <c r="J18" s="2">
        <v>-474785.49999999994</v>
      </c>
      <c r="K18" s="2">
        <v>-343525.5</v>
      </c>
      <c r="L18" s="2">
        <v>131260</v>
      </c>
      <c r="N18" t="s">
        <v>520</v>
      </c>
      <c r="O18" t="s">
        <v>519</v>
      </c>
    </row>
    <row r="19" spans="1:15" x14ac:dyDescent="0.25">
      <c r="A19" s="11" t="s">
        <v>493</v>
      </c>
      <c r="B19" t="s">
        <v>343</v>
      </c>
      <c r="C19" s="7">
        <v>17484.11</v>
      </c>
      <c r="D19" s="8">
        <f t="shared" si="0"/>
        <v>16001.39</v>
      </c>
      <c r="E19" s="14">
        <f t="shared" si="1"/>
        <v>0.3957389610454749</v>
      </c>
      <c r="F19" s="14"/>
      <c r="G19" t="s">
        <v>491</v>
      </c>
      <c r="H19" s="4">
        <v>42736</v>
      </c>
      <c r="I19" t="s">
        <v>21</v>
      </c>
      <c r="J19" s="2">
        <v>-478144.3</v>
      </c>
      <c r="K19" s="2">
        <v>-340679</v>
      </c>
      <c r="L19" s="2">
        <v>137465.29999999999</v>
      </c>
      <c r="M19">
        <f>VLOOKUP(G19,$A$11:$D$47,4,FALSE)</f>
        <v>8786.7199999999993</v>
      </c>
      <c r="N19" s="2">
        <f>J19/M19/10</f>
        <v>-5.4416699291658324</v>
      </c>
      <c r="O19" s="2">
        <f>K19/M19/10</f>
        <v>-3.8772033250177542</v>
      </c>
    </row>
    <row r="20" spans="1:15" x14ac:dyDescent="0.25">
      <c r="A20" s="11" t="s">
        <v>503</v>
      </c>
      <c r="B20" t="s">
        <v>344</v>
      </c>
      <c r="C20" s="7">
        <v>21233.56</v>
      </c>
      <c r="D20" s="8">
        <f t="shared" si="0"/>
        <v>17701.932499999999</v>
      </c>
      <c r="E20" s="14">
        <f t="shared" si="1"/>
        <v>0.42381443690767573</v>
      </c>
      <c r="F20" s="14"/>
      <c r="G20" t="s">
        <v>491</v>
      </c>
      <c r="H20" s="4">
        <v>42767</v>
      </c>
      <c r="I20" t="s">
        <v>22</v>
      </c>
      <c r="J20" s="2">
        <v>-487607.4</v>
      </c>
      <c r="K20" s="2">
        <v>-350783.4</v>
      </c>
      <c r="L20" s="2">
        <v>136824</v>
      </c>
      <c r="M20">
        <f t="shared" ref="M20:M83" si="2">VLOOKUP(G20,$A$11:$D$47,4,FALSE)</f>
        <v>8786.7199999999993</v>
      </c>
      <c r="N20" s="2">
        <f t="shared" ref="N20:N83" si="3">J20/M20/10</f>
        <v>-5.5493676821385005</v>
      </c>
      <c r="O20" s="2">
        <f t="shared" ref="O20:O83" si="4">K20/M20/10</f>
        <v>-3.9921995921117328</v>
      </c>
    </row>
    <row r="21" spans="1:15" x14ac:dyDescent="0.25">
      <c r="A21" s="11" t="s">
        <v>504</v>
      </c>
      <c r="B21" t="s">
        <v>345</v>
      </c>
      <c r="C21" s="7">
        <v>22303.88</v>
      </c>
      <c r="D21" s="8">
        <f t="shared" si="0"/>
        <v>19458.8325</v>
      </c>
      <c r="E21" s="14">
        <f t="shared" si="1"/>
        <v>0.44431385130728107</v>
      </c>
      <c r="F21" s="14"/>
      <c r="G21" t="s">
        <v>491</v>
      </c>
      <c r="H21" s="4">
        <v>42795</v>
      </c>
      <c r="I21" t="s">
        <v>23</v>
      </c>
      <c r="J21" s="2">
        <v>-480856.69999999995</v>
      </c>
      <c r="K21" s="2">
        <v>-338955.5</v>
      </c>
      <c r="L21" s="2">
        <v>141901.19999999998</v>
      </c>
      <c r="M21">
        <f t="shared" si="2"/>
        <v>8786.7199999999993</v>
      </c>
      <c r="N21" s="2">
        <f t="shared" si="3"/>
        <v>-5.4725392410364737</v>
      </c>
      <c r="O21" s="2">
        <f t="shared" si="4"/>
        <v>-3.8575884971866636</v>
      </c>
    </row>
    <row r="22" spans="1:15" x14ac:dyDescent="0.25">
      <c r="A22" s="11" t="s">
        <v>505</v>
      </c>
      <c r="B22" t="s">
        <v>346</v>
      </c>
      <c r="C22" s="7">
        <v>25212.23</v>
      </c>
      <c r="D22" s="8">
        <f t="shared" si="0"/>
        <v>21558.445</v>
      </c>
      <c r="E22" s="14">
        <f t="shared" si="1"/>
        <v>0.46210395386580094</v>
      </c>
      <c r="F22" s="14"/>
      <c r="G22" t="s">
        <v>497</v>
      </c>
      <c r="H22" s="4">
        <v>42826</v>
      </c>
      <c r="I22" t="s">
        <v>24</v>
      </c>
      <c r="J22" s="2">
        <v>-512793.69999999995</v>
      </c>
      <c r="K22" s="2">
        <v>-346725.6</v>
      </c>
      <c r="L22" s="2">
        <v>166068.09999999998</v>
      </c>
      <c r="M22">
        <f t="shared" si="2"/>
        <v>9322.6324999999997</v>
      </c>
      <c r="N22" s="2">
        <f t="shared" si="3"/>
        <v>-5.5005246640366874</v>
      </c>
      <c r="O22" s="2">
        <f t="shared" si="4"/>
        <v>-3.719181250574878</v>
      </c>
    </row>
    <row r="23" spans="1:15" x14ac:dyDescent="0.25">
      <c r="A23" s="11" t="s">
        <v>506</v>
      </c>
      <c r="B23" t="s">
        <v>347</v>
      </c>
      <c r="C23" s="7">
        <v>24999.99</v>
      </c>
      <c r="D23" s="8">
        <f t="shared" si="0"/>
        <v>23437.415000000001</v>
      </c>
      <c r="E23" s="14">
        <f t="shared" si="1"/>
        <v>0.46471119071530675</v>
      </c>
      <c r="F23" s="14"/>
      <c r="G23" t="s">
        <v>497</v>
      </c>
      <c r="H23" s="4">
        <v>42856</v>
      </c>
      <c r="I23" t="s">
        <v>25</v>
      </c>
      <c r="J23" s="2">
        <v>-532845.29999999993</v>
      </c>
      <c r="K23" s="2">
        <v>-361990.80000000005</v>
      </c>
      <c r="L23" s="2">
        <v>170854.5</v>
      </c>
      <c r="M23">
        <f t="shared" si="2"/>
        <v>9322.6324999999997</v>
      </c>
      <c r="N23" s="2">
        <f t="shared" si="3"/>
        <v>-5.7156098344539483</v>
      </c>
      <c r="O23" s="2">
        <f t="shared" si="4"/>
        <v>-3.8829246996489468</v>
      </c>
    </row>
    <row r="24" spans="1:15" x14ac:dyDescent="0.25">
      <c r="A24" s="11" t="s">
        <v>507</v>
      </c>
      <c r="B24" t="s">
        <v>348</v>
      </c>
      <c r="C24" s="7">
        <v>24025.360000000001</v>
      </c>
      <c r="D24" s="8">
        <f t="shared" si="0"/>
        <v>24135.365000000002</v>
      </c>
      <c r="E24" s="14">
        <f t="shared" si="1"/>
        <v>0.36343108301876104</v>
      </c>
      <c r="F24" s="14"/>
      <c r="G24" t="s">
        <v>497</v>
      </c>
      <c r="H24" s="4">
        <v>42887</v>
      </c>
      <c r="I24" t="s">
        <v>26</v>
      </c>
      <c r="J24" s="2">
        <v>-552110.20000000007</v>
      </c>
      <c r="K24" s="2">
        <v>-375021.6</v>
      </c>
      <c r="L24" s="2">
        <v>177088.6</v>
      </c>
      <c r="M24">
        <f t="shared" si="2"/>
        <v>9322.6324999999997</v>
      </c>
      <c r="N24" s="2">
        <f t="shared" si="3"/>
        <v>-5.9222564012900873</v>
      </c>
      <c r="O24" s="2">
        <f t="shared" si="4"/>
        <v>-4.0227006695801855</v>
      </c>
    </row>
    <row r="25" spans="1:15" x14ac:dyDescent="0.25">
      <c r="A25" s="11" t="s">
        <v>508</v>
      </c>
      <c r="B25" t="s">
        <v>349</v>
      </c>
      <c r="C25" s="7">
        <v>27536.38</v>
      </c>
      <c r="D25" s="8">
        <f t="shared" si="0"/>
        <v>25443.49</v>
      </c>
      <c r="E25" s="14">
        <f t="shared" si="1"/>
        <v>0.30755480833703674</v>
      </c>
      <c r="F25" s="14"/>
      <c r="G25" t="s">
        <v>498</v>
      </c>
      <c r="H25" s="4">
        <v>42917</v>
      </c>
      <c r="I25" t="s">
        <v>27</v>
      </c>
      <c r="J25" s="2">
        <v>-557246.9</v>
      </c>
      <c r="K25" s="2">
        <v>-372744.89999999997</v>
      </c>
      <c r="L25" s="2">
        <v>184502</v>
      </c>
      <c r="M25">
        <f t="shared" si="2"/>
        <v>9969.83</v>
      </c>
      <c r="N25" s="2">
        <f t="shared" si="3"/>
        <v>-5.5893320146883152</v>
      </c>
      <c r="O25" s="2">
        <f t="shared" si="4"/>
        <v>-3.7387287446225259</v>
      </c>
    </row>
    <row r="26" spans="1:15" x14ac:dyDescent="0.25">
      <c r="A26" s="11" t="s">
        <v>509</v>
      </c>
      <c r="B26" t="s">
        <v>350</v>
      </c>
      <c r="C26" s="7">
        <v>32277.53</v>
      </c>
      <c r="D26" s="8">
        <f t="shared" si="0"/>
        <v>27209.815000000002</v>
      </c>
      <c r="E26" s="14">
        <f t="shared" si="1"/>
        <v>0.26214181959784222</v>
      </c>
      <c r="F26" s="14"/>
      <c r="G26" t="s">
        <v>498</v>
      </c>
      <c r="H26" s="4">
        <v>42948</v>
      </c>
      <c r="I26" t="s">
        <v>28</v>
      </c>
      <c r="J26" s="2">
        <v>-550016.70000000007</v>
      </c>
      <c r="K26" s="2">
        <v>-361979.99999999994</v>
      </c>
      <c r="L26" s="2">
        <v>188036.69999999998</v>
      </c>
      <c r="M26">
        <f t="shared" si="2"/>
        <v>9969.83</v>
      </c>
      <c r="N26" s="2">
        <f t="shared" si="3"/>
        <v>-5.516811219449079</v>
      </c>
      <c r="O26" s="2">
        <f t="shared" si="4"/>
        <v>-3.6307539847720571</v>
      </c>
    </row>
    <row r="27" spans="1:15" x14ac:dyDescent="0.25">
      <c r="A27" s="11" t="s">
        <v>510</v>
      </c>
      <c r="B27" t="s">
        <v>351</v>
      </c>
      <c r="C27" s="7">
        <v>36785.11</v>
      </c>
      <c r="D27" s="8">
        <f t="shared" si="0"/>
        <v>30156.095000000001</v>
      </c>
      <c r="E27" s="14">
        <f t="shared" si="1"/>
        <v>0.28666471963738327</v>
      </c>
      <c r="F27" s="14"/>
      <c r="G27" t="s">
        <v>498</v>
      </c>
      <c r="H27" s="4">
        <v>42979</v>
      </c>
      <c r="I27" t="s">
        <v>29</v>
      </c>
      <c r="J27" s="2">
        <v>-552197.5</v>
      </c>
      <c r="K27" s="2">
        <v>-356315.79999999993</v>
      </c>
      <c r="L27" s="2">
        <v>195881.7</v>
      </c>
      <c r="M27">
        <f t="shared" si="2"/>
        <v>9969.83</v>
      </c>
      <c r="N27" s="2">
        <f t="shared" si="3"/>
        <v>-5.5386852132884909</v>
      </c>
      <c r="O27" s="2">
        <f t="shared" si="4"/>
        <v>-3.5739405787260159</v>
      </c>
    </row>
    <row r="28" spans="1:15" x14ac:dyDescent="0.25">
      <c r="A28" s="11" t="s">
        <v>511</v>
      </c>
      <c r="B28" t="s">
        <v>352</v>
      </c>
      <c r="C28" s="7">
        <v>46340.28</v>
      </c>
      <c r="D28" s="8">
        <f t="shared" si="0"/>
        <v>35734.824999999997</v>
      </c>
      <c r="E28" s="14">
        <f t="shared" si="1"/>
        <v>0.48060014837148701</v>
      </c>
      <c r="F28" s="14"/>
      <c r="G28" t="s">
        <v>499</v>
      </c>
      <c r="H28" s="4">
        <v>43009</v>
      </c>
      <c r="I28" t="s">
        <v>30</v>
      </c>
      <c r="J28" s="2">
        <v>-536628.69999999995</v>
      </c>
      <c r="K28" s="2">
        <v>-326942.3</v>
      </c>
      <c r="L28" s="2">
        <v>209686.39999999999</v>
      </c>
      <c r="M28">
        <f t="shared" si="2"/>
        <v>10660.23</v>
      </c>
      <c r="N28" s="2">
        <f t="shared" si="3"/>
        <v>-5.0339317256757123</v>
      </c>
      <c r="O28" s="2">
        <f t="shared" si="4"/>
        <v>-3.0669347659478268</v>
      </c>
    </row>
    <row r="29" spans="1:15" x14ac:dyDescent="0.25">
      <c r="A29" s="11" t="s">
        <v>512</v>
      </c>
      <c r="B29" t="s">
        <v>353</v>
      </c>
      <c r="C29" s="7">
        <v>47462.53</v>
      </c>
      <c r="D29" s="8">
        <f t="shared" si="0"/>
        <v>40716.362500000003</v>
      </c>
      <c r="E29" s="14">
        <f t="shared" si="1"/>
        <v>0.60026641392356161</v>
      </c>
      <c r="F29" s="14"/>
      <c r="G29" t="s">
        <v>499</v>
      </c>
      <c r="H29" s="4">
        <v>43040</v>
      </c>
      <c r="I29" t="s">
        <v>31</v>
      </c>
      <c r="J29" s="2">
        <v>-562791.6</v>
      </c>
      <c r="K29" s="2">
        <v>-343304.1</v>
      </c>
      <c r="L29" s="2">
        <v>219487.5</v>
      </c>
      <c r="M29">
        <f t="shared" si="2"/>
        <v>10660.23</v>
      </c>
      <c r="N29" s="2">
        <f t="shared" si="3"/>
        <v>-5.2793570119969271</v>
      </c>
      <c r="O29" s="2">
        <f t="shared" si="4"/>
        <v>-3.2204192592467513</v>
      </c>
    </row>
    <row r="30" spans="1:15" x14ac:dyDescent="0.25">
      <c r="A30" s="11" t="s">
        <v>513</v>
      </c>
      <c r="B30" t="s">
        <v>354</v>
      </c>
      <c r="C30" s="7">
        <v>54288.41</v>
      </c>
      <c r="D30" s="8">
        <f t="shared" si="0"/>
        <v>46219.082500000004</v>
      </c>
      <c r="E30" s="14">
        <f t="shared" si="1"/>
        <v>0.69861803544052026</v>
      </c>
      <c r="F30" s="14"/>
      <c r="G30" t="s">
        <v>499</v>
      </c>
      <c r="H30" s="4">
        <v>43070</v>
      </c>
      <c r="I30" t="s">
        <v>32</v>
      </c>
      <c r="J30" s="2">
        <v>-629049.5</v>
      </c>
      <c r="K30" s="2">
        <v>-404142.30000000005</v>
      </c>
      <c r="L30" s="2">
        <v>224907.19999999998</v>
      </c>
      <c r="M30">
        <f t="shared" si="2"/>
        <v>10660.23</v>
      </c>
      <c r="N30" s="2">
        <f t="shared" si="3"/>
        <v>-5.9008998867754263</v>
      </c>
      <c r="O30" s="2">
        <f t="shared" si="4"/>
        <v>-3.7911217675416014</v>
      </c>
    </row>
    <row r="31" spans="1:15" x14ac:dyDescent="0.25">
      <c r="A31" s="11" t="s">
        <v>514</v>
      </c>
      <c r="B31" t="s">
        <v>355</v>
      </c>
      <c r="C31" s="7">
        <v>60345.33</v>
      </c>
      <c r="D31" s="8">
        <f t="shared" si="0"/>
        <v>52109.137499999997</v>
      </c>
      <c r="E31" s="14">
        <f t="shared" si="1"/>
        <v>0.72798028060330733</v>
      </c>
      <c r="F31" s="14"/>
      <c r="G31" t="s">
        <v>492</v>
      </c>
      <c r="H31" s="4">
        <v>43101</v>
      </c>
      <c r="I31" t="s">
        <v>33</v>
      </c>
      <c r="J31" s="2">
        <v>-649383.00000000012</v>
      </c>
      <c r="K31" s="2">
        <v>-403800.9</v>
      </c>
      <c r="L31" s="2">
        <v>245582.1</v>
      </c>
      <c r="M31">
        <f t="shared" si="2"/>
        <v>11464.457499999999</v>
      </c>
      <c r="N31" s="2">
        <f t="shared" si="3"/>
        <v>-5.664315123502357</v>
      </c>
      <c r="O31" s="2">
        <f t="shared" si="4"/>
        <v>-3.5221980630134491</v>
      </c>
    </row>
    <row r="32" spans="1:15" x14ac:dyDescent="0.25">
      <c r="A32" s="11" t="s">
        <v>515</v>
      </c>
      <c r="B32" t="s">
        <v>356</v>
      </c>
      <c r="C32" s="7">
        <v>78676.960000000006</v>
      </c>
      <c r="D32" s="8">
        <f t="shared" si="0"/>
        <v>60193.30750000001</v>
      </c>
      <c r="E32" s="14">
        <f t="shared" si="1"/>
        <v>0.68444388632097719</v>
      </c>
      <c r="F32" s="14"/>
      <c r="G32" t="s">
        <v>492</v>
      </c>
      <c r="H32" s="4">
        <v>43132</v>
      </c>
      <c r="I32" t="s">
        <v>34</v>
      </c>
      <c r="J32" s="2">
        <v>-647120.89999999991</v>
      </c>
      <c r="K32" s="2">
        <v>-397281.7</v>
      </c>
      <c r="L32" s="2">
        <v>249839.2</v>
      </c>
      <c r="M32">
        <f t="shared" si="2"/>
        <v>11464.457499999999</v>
      </c>
      <c r="N32" s="2">
        <f t="shared" si="3"/>
        <v>-5.6445837057706392</v>
      </c>
      <c r="O32" s="2">
        <f t="shared" si="4"/>
        <v>-3.4653336191442121</v>
      </c>
    </row>
    <row r="33" spans="1:15" x14ac:dyDescent="0.25">
      <c r="A33" s="11" t="s">
        <v>516</v>
      </c>
      <c r="B33" t="s">
        <v>357</v>
      </c>
      <c r="C33" s="7">
        <v>87863.360000000001</v>
      </c>
      <c r="D33" s="8">
        <f t="shared" si="0"/>
        <v>70293.514999999999</v>
      </c>
      <c r="E33" s="14">
        <f t="shared" si="1"/>
        <v>0.72641932343538773</v>
      </c>
      <c r="F33" s="14"/>
      <c r="G33" t="s">
        <v>492</v>
      </c>
      <c r="H33" s="4">
        <v>43160</v>
      </c>
      <c r="I33" t="s">
        <v>35</v>
      </c>
      <c r="J33" s="2">
        <v>-649935.30000000005</v>
      </c>
      <c r="K33" s="2">
        <v>-393799.4</v>
      </c>
      <c r="L33" s="2">
        <v>256135.90000000002</v>
      </c>
      <c r="M33">
        <f t="shared" si="2"/>
        <v>11464.457499999999</v>
      </c>
      <c r="N33" s="2">
        <f t="shared" si="3"/>
        <v>-5.6691326214083846</v>
      </c>
      <c r="O33" s="2">
        <f t="shared" si="4"/>
        <v>-3.4349588718000836</v>
      </c>
    </row>
    <row r="34" spans="1:15" x14ac:dyDescent="0.25">
      <c r="A34" s="11" t="s">
        <v>290</v>
      </c>
      <c r="B34" t="s">
        <v>358</v>
      </c>
      <c r="C34" s="7">
        <v>104354.53</v>
      </c>
      <c r="D34" s="8">
        <f t="shared" si="0"/>
        <v>82810.045000000013</v>
      </c>
      <c r="E34" s="14">
        <f t="shared" si="1"/>
        <v>0.79168517678818073</v>
      </c>
      <c r="F34" s="14"/>
      <c r="G34" t="s">
        <v>500</v>
      </c>
      <c r="H34" s="4">
        <v>43191</v>
      </c>
      <c r="I34" t="s">
        <v>36</v>
      </c>
      <c r="J34" s="2">
        <v>-644382.5</v>
      </c>
      <c r="K34" s="2">
        <v>-385478.20000000007</v>
      </c>
      <c r="L34" s="2">
        <v>258904.30000000005</v>
      </c>
      <c r="M34">
        <f t="shared" si="2"/>
        <v>12432.752500000001</v>
      </c>
      <c r="N34" s="2">
        <f t="shared" si="3"/>
        <v>-5.1829431978156082</v>
      </c>
      <c r="O34" s="2">
        <f t="shared" si="4"/>
        <v>-3.1005057005679157</v>
      </c>
    </row>
    <row r="35" spans="1:15" x14ac:dyDescent="0.25">
      <c r="A35" s="11" t="s">
        <v>291</v>
      </c>
      <c r="B35" t="s">
        <v>359</v>
      </c>
      <c r="C35" s="7">
        <v>122260.81</v>
      </c>
      <c r="D35" s="8">
        <f t="shared" si="0"/>
        <v>98288.914999999994</v>
      </c>
      <c r="E35" s="14">
        <f t="shared" si="1"/>
        <v>0.8862126627983431</v>
      </c>
      <c r="F35" s="14"/>
      <c r="G35" t="s">
        <v>500</v>
      </c>
      <c r="H35" s="4">
        <v>43221</v>
      </c>
      <c r="I35" t="s">
        <v>37</v>
      </c>
      <c r="J35" s="2">
        <v>-627676.5</v>
      </c>
      <c r="K35" s="2">
        <v>-366056.60000000003</v>
      </c>
      <c r="L35" s="2">
        <v>261619.9</v>
      </c>
      <c r="M35">
        <f t="shared" si="2"/>
        <v>12432.752500000001</v>
      </c>
      <c r="N35" s="2">
        <f t="shared" si="3"/>
        <v>-5.0485723093096242</v>
      </c>
      <c r="O35" s="2">
        <f t="shared" si="4"/>
        <v>-2.9442925048174167</v>
      </c>
    </row>
    <row r="36" spans="1:15" x14ac:dyDescent="0.25">
      <c r="A36" s="11" t="s">
        <v>292</v>
      </c>
      <c r="B36" t="s">
        <v>360</v>
      </c>
      <c r="C36" s="7">
        <v>160137.44</v>
      </c>
      <c r="D36" s="8">
        <f t="shared" si="0"/>
        <v>118654.035</v>
      </c>
      <c r="E36" s="14">
        <f t="shared" si="1"/>
        <v>0.9712164014246929</v>
      </c>
      <c r="F36" s="14"/>
      <c r="G36" t="s">
        <v>500</v>
      </c>
      <c r="H36" s="4">
        <v>43252</v>
      </c>
      <c r="I36" t="s">
        <v>38</v>
      </c>
      <c r="J36" s="2">
        <v>-624690</v>
      </c>
      <c r="K36" s="2">
        <v>-365681.39999999997</v>
      </c>
      <c r="L36" s="2">
        <v>259008.59999999998</v>
      </c>
      <c r="M36">
        <f t="shared" si="2"/>
        <v>12432.752500000001</v>
      </c>
      <c r="N36" s="2">
        <f t="shared" si="3"/>
        <v>-5.024551079899644</v>
      </c>
      <c r="O36" s="2">
        <f t="shared" si="4"/>
        <v>-2.9412746694667971</v>
      </c>
    </row>
    <row r="37" spans="1:15" x14ac:dyDescent="0.25">
      <c r="A37" s="11" t="s">
        <v>293</v>
      </c>
      <c r="B37" t="s">
        <v>361</v>
      </c>
      <c r="C37" s="7">
        <v>208506.89</v>
      </c>
      <c r="D37" s="8">
        <f t="shared" si="0"/>
        <v>148814.91750000001</v>
      </c>
      <c r="E37" s="14">
        <f t="shared" si="1"/>
        <v>1.1170504491061517</v>
      </c>
      <c r="F37" s="14"/>
      <c r="G37" t="s">
        <v>501</v>
      </c>
      <c r="H37" s="4">
        <v>43282</v>
      </c>
      <c r="I37" t="s">
        <v>39</v>
      </c>
      <c r="J37" s="2">
        <v>-654348.9</v>
      </c>
      <c r="K37" s="2">
        <v>-357871.39999999997</v>
      </c>
      <c r="L37" s="2">
        <v>296477.5</v>
      </c>
      <c r="M37">
        <f t="shared" si="2"/>
        <v>13472.717499999999</v>
      </c>
      <c r="N37" s="2">
        <f t="shared" si="3"/>
        <v>-4.8568442112736356</v>
      </c>
      <c r="O37" s="2">
        <f t="shared" si="4"/>
        <v>-2.6562673788714117</v>
      </c>
    </row>
    <row r="38" spans="1:15" x14ac:dyDescent="0.25">
      <c r="A38" s="11" t="s">
        <v>294</v>
      </c>
      <c r="B38" t="s">
        <v>362</v>
      </c>
      <c r="C38" s="7">
        <v>284879.57</v>
      </c>
      <c r="D38" s="8">
        <f t="shared" si="0"/>
        <v>193946.17749999999</v>
      </c>
      <c r="E38" s="14">
        <f t="shared" si="1"/>
        <v>1.342061008419932</v>
      </c>
      <c r="F38" s="14"/>
      <c r="G38" t="s">
        <v>501</v>
      </c>
      <c r="H38" s="4">
        <v>43313</v>
      </c>
      <c r="I38" t="s">
        <v>40</v>
      </c>
      <c r="J38" s="2">
        <v>-637321.00000000012</v>
      </c>
      <c r="K38" s="2">
        <v>-343577.19999999995</v>
      </c>
      <c r="L38" s="2">
        <v>293743.80000000005</v>
      </c>
      <c r="M38">
        <f t="shared" si="2"/>
        <v>13472.717499999999</v>
      </c>
      <c r="N38" s="2">
        <f t="shared" si="3"/>
        <v>-4.7304561978680262</v>
      </c>
      <c r="O38" s="2">
        <f t="shared" si="4"/>
        <v>-2.5501700009667685</v>
      </c>
    </row>
    <row r="39" spans="1:15" x14ac:dyDescent="0.25">
      <c r="A39" s="11" t="s">
        <v>295</v>
      </c>
      <c r="B39" t="s">
        <v>363</v>
      </c>
      <c r="C39" s="7">
        <v>431840.98</v>
      </c>
      <c r="D39" s="8">
        <f t="shared" si="0"/>
        <v>271341.21999999997</v>
      </c>
      <c r="E39" s="14">
        <f t="shared" si="1"/>
        <v>1.7606492553102249</v>
      </c>
      <c r="F39" s="14"/>
      <c r="G39" t="s">
        <v>501</v>
      </c>
      <c r="H39" s="4">
        <v>43344</v>
      </c>
      <c r="I39" t="s">
        <v>41</v>
      </c>
      <c r="J39" s="2">
        <v>-642002.60000000009</v>
      </c>
      <c r="K39" s="2">
        <v>-335078.39999999997</v>
      </c>
      <c r="L39" s="2">
        <v>306924.20000000007</v>
      </c>
      <c r="M39">
        <f t="shared" si="2"/>
        <v>13472.717499999999</v>
      </c>
      <c r="N39" s="2">
        <f t="shared" si="3"/>
        <v>-4.7652049410224784</v>
      </c>
      <c r="O39" s="2">
        <f t="shared" si="4"/>
        <v>-2.4870884437382434</v>
      </c>
    </row>
    <row r="40" spans="1:15" x14ac:dyDescent="0.25">
      <c r="A40" s="11" t="s">
        <v>296</v>
      </c>
      <c r="B40" t="s">
        <v>364</v>
      </c>
      <c r="C40" s="7">
        <v>559535.91</v>
      </c>
      <c r="D40" s="8">
        <f t="shared" si="0"/>
        <v>371190.83750000002</v>
      </c>
      <c r="E40" s="14">
        <f t="shared" si="1"/>
        <v>2.1283456774141731</v>
      </c>
      <c r="F40" s="14"/>
      <c r="G40" t="s">
        <v>502</v>
      </c>
      <c r="H40" s="4">
        <v>43374</v>
      </c>
      <c r="I40" t="s">
        <v>42</v>
      </c>
      <c r="J40" s="2">
        <v>-658397.6</v>
      </c>
      <c r="K40" s="2">
        <v>-319169.5</v>
      </c>
      <c r="L40" s="2">
        <v>339228.10000000003</v>
      </c>
      <c r="M40">
        <f t="shared" si="2"/>
        <v>14744.81</v>
      </c>
      <c r="N40" s="2">
        <f t="shared" si="3"/>
        <v>-4.4652837167789885</v>
      </c>
      <c r="O40" s="2">
        <f t="shared" si="4"/>
        <v>-2.1646226706210525</v>
      </c>
    </row>
    <row r="41" spans="1:15" x14ac:dyDescent="0.25">
      <c r="A41" s="11" t="s">
        <v>297</v>
      </c>
      <c r="B41" t="s">
        <v>365</v>
      </c>
      <c r="C41" s="7">
        <v>637639.92000000004</v>
      </c>
      <c r="D41" s="8">
        <f t="shared" si="0"/>
        <v>478474.09499999997</v>
      </c>
      <c r="E41" s="14">
        <f t="shared" si="1"/>
        <v>2.2152293804819663</v>
      </c>
      <c r="F41" s="14"/>
      <c r="G41" t="s">
        <v>502</v>
      </c>
      <c r="H41" s="4">
        <v>43405</v>
      </c>
      <c r="I41" t="s">
        <v>43</v>
      </c>
      <c r="J41" s="2">
        <v>-685260.79999999993</v>
      </c>
      <c r="K41" s="2">
        <v>-323278.2</v>
      </c>
      <c r="L41" s="2">
        <v>361982.6</v>
      </c>
      <c r="M41">
        <f t="shared" si="2"/>
        <v>14744.81</v>
      </c>
      <c r="N41" s="2">
        <f t="shared" si="3"/>
        <v>-4.6474712119043922</v>
      </c>
      <c r="O41" s="2">
        <f t="shared" si="4"/>
        <v>-2.1924880686831503</v>
      </c>
    </row>
    <row r="42" spans="1:15" x14ac:dyDescent="0.25">
      <c r="A42" s="11" t="s">
        <v>298</v>
      </c>
      <c r="B42" t="s">
        <v>366</v>
      </c>
      <c r="C42" s="7">
        <v>708491.24</v>
      </c>
      <c r="D42" s="8">
        <f t="shared" si="0"/>
        <v>584377.01249999995</v>
      </c>
      <c r="E42" s="14">
        <f t="shared" si="1"/>
        <v>2.0130885796911362</v>
      </c>
      <c r="F42" s="14"/>
      <c r="G42" t="s">
        <v>502</v>
      </c>
      <c r="H42" s="4">
        <v>43435</v>
      </c>
      <c r="I42" t="s">
        <v>44</v>
      </c>
      <c r="J42" s="2">
        <v>-727927.3</v>
      </c>
      <c r="K42" s="2">
        <v>-338987.3</v>
      </c>
      <c r="L42" s="2">
        <v>388940</v>
      </c>
      <c r="M42">
        <f t="shared" si="2"/>
        <v>14744.81</v>
      </c>
      <c r="N42" s="2">
        <f t="shared" si="3"/>
        <v>-4.9368374363589629</v>
      </c>
      <c r="O42" s="2">
        <f t="shared" si="4"/>
        <v>-2.2990279291493074</v>
      </c>
    </row>
    <row r="43" spans="1:15" x14ac:dyDescent="0.25">
      <c r="A43" s="11" t="s">
        <v>299</v>
      </c>
      <c r="B43" t="s">
        <v>367</v>
      </c>
      <c r="C43" s="7">
        <v>729698.21</v>
      </c>
      <c r="D43" s="8">
        <f t="shared" si="0"/>
        <v>658841.32000000007</v>
      </c>
      <c r="E43" s="14">
        <f t="shared" si="1"/>
        <v>1.4280915372902063</v>
      </c>
      <c r="F43" s="14"/>
      <c r="G43" t="s">
        <v>493</v>
      </c>
      <c r="H43" s="4">
        <v>43466</v>
      </c>
      <c r="I43" t="s">
        <v>45</v>
      </c>
      <c r="J43" s="2">
        <v>-762075.8</v>
      </c>
      <c r="K43" s="2">
        <v>-326258.30000000005</v>
      </c>
      <c r="L43" s="2">
        <v>435817.5</v>
      </c>
      <c r="M43">
        <f t="shared" si="2"/>
        <v>16001.39</v>
      </c>
      <c r="N43" s="2">
        <f t="shared" si="3"/>
        <v>-4.7625600025997752</v>
      </c>
      <c r="O43" s="2">
        <f t="shared" si="4"/>
        <v>-2.0389372423270733</v>
      </c>
    </row>
    <row r="44" spans="1:15" x14ac:dyDescent="0.25">
      <c r="A44" s="11" t="s">
        <v>300</v>
      </c>
      <c r="B44" t="s">
        <v>368</v>
      </c>
      <c r="C44" s="7">
        <v>835447.89</v>
      </c>
      <c r="D44" s="8">
        <f t="shared" si="0"/>
        <v>727819.31500000006</v>
      </c>
      <c r="E44" s="14">
        <f t="shared" si="1"/>
        <v>0.96076853594210831</v>
      </c>
      <c r="F44" s="14"/>
      <c r="G44" t="s">
        <v>493</v>
      </c>
      <c r="H44" s="4">
        <v>43497</v>
      </c>
      <c r="I44" t="s">
        <v>46</v>
      </c>
      <c r="J44" s="2">
        <v>-739244.00000000012</v>
      </c>
      <c r="K44" s="2">
        <v>-299304.3</v>
      </c>
      <c r="L44" s="2">
        <v>439939.7</v>
      </c>
      <c r="M44">
        <f t="shared" si="2"/>
        <v>16001.39</v>
      </c>
      <c r="N44" s="2">
        <f t="shared" si="3"/>
        <v>-4.6198736484767888</v>
      </c>
      <c r="O44" s="2">
        <f t="shared" si="4"/>
        <v>-1.8704893762354395</v>
      </c>
    </row>
    <row r="45" spans="1:15" x14ac:dyDescent="0.25">
      <c r="A45" s="11" t="s">
        <v>301</v>
      </c>
      <c r="B45" t="s">
        <v>369</v>
      </c>
      <c r="C45" s="7">
        <v>888000.91</v>
      </c>
      <c r="D45" s="8">
        <f t="shared" si="0"/>
        <v>790409.5625</v>
      </c>
      <c r="E45" s="14">
        <f t="shared" si="1"/>
        <v>0.65193804797310917</v>
      </c>
      <c r="F45" s="14"/>
      <c r="G45" t="s">
        <v>493</v>
      </c>
      <c r="H45" s="4">
        <v>43525</v>
      </c>
      <c r="I45" t="s">
        <v>47</v>
      </c>
      <c r="J45" s="2">
        <v>-751186.50000000012</v>
      </c>
      <c r="K45" s="2">
        <v>-297639.40000000002</v>
      </c>
      <c r="L45" s="2">
        <v>453547.1</v>
      </c>
      <c r="M45">
        <f t="shared" si="2"/>
        <v>16001.39</v>
      </c>
      <c r="N45" s="2">
        <f t="shared" si="3"/>
        <v>-4.694507789635777</v>
      </c>
      <c r="O45" s="2">
        <f t="shared" si="4"/>
        <v>-1.8600846551455845</v>
      </c>
    </row>
    <row r="46" spans="1:15" x14ac:dyDescent="0.25">
      <c r="A46" s="11" t="s">
        <v>302</v>
      </c>
      <c r="B46" t="s">
        <v>370</v>
      </c>
      <c r="C46" s="7">
        <v>947812.17</v>
      </c>
      <c r="D46" s="8">
        <f t="shared" si="0"/>
        <v>850239.79500000004</v>
      </c>
      <c r="E46" s="14">
        <f t="shared" si="1"/>
        <v>0.4549507882978201</v>
      </c>
      <c r="F46" s="14"/>
      <c r="G46" t="s">
        <v>503</v>
      </c>
      <c r="H46" s="4">
        <v>43556</v>
      </c>
      <c r="I46" t="s">
        <v>48</v>
      </c>
      <c r="J46" s="2">
        <v>-773800.30000000016</v>
      </c>
      <c r="K46" s="2">
        <v>-286798.5</v>
      </c>
      <c r="L46" s="2">
        <v>487001.80000000005</v>
      </c>
      <c r="M46">
        <f t="shared" si="2"/>
        <v>17701.932499999999</v>
      </c>
      <c r="N46" s="2">
        <f t="shared" si="3"/>
        <v>-4.3712758479900442</v>
      </c>
      <c r="O46" s="2">
        <f t="shared" si="4"/>
        <v>-1.620153618820996</v>
      </c>
    </row>
    <row r="47" spans="1:15" x14ac:dyDescent="0.25">
      <c r="A47" s="11" t="s">
        <v>303</v>
      </c>
      <c r="B47" t="s">
        <v>371</v>
      </c>
      <c r="C47" s="7">
        <v>973875.78</v>
      </c>
      <c r="D47" s="8">
        <f>AVERAGE(C44:C47)</f>
        <v>911284.1875</v>
      </c>
      <c r="E47" s="14">
        <f t="shared" si="1"/>
        <v>0.38316186285948173</v>
      </c>
      <c r="F47" s="14"/>
      <c r="G47" t="s">
        <v>503</v>
      </c>
      <c r="H47" s="4">
        <v>43586</v>
      </c>
      <c r="I47" t="s">
        <v>49</v>
      </c>
      <c r="J47" s="2">
        <v>-785095.3</v>
      </c>
      <c r="K47" s="2">
        <v>-253006.90000000002</v>
      </c>
      <c r="L47" s="2">
        <v>532088.4</v>
      </c>
      <c r="M47">
        <f t="shared" si="2"/>
        <v>17701.932499999999</v>
      </c>
      <c r="N47" s="2">
        <f t="shared" si="3"/>
        <v>-4.4350824408577996</v>
      </c>
      <c r="O47" s="2">
        <f t="shared" si="4"/>
        <v>-1.4292614662269221</v>
      </c>
    </row>
    <row r="48" spans="1:15" x14ac:dyDescent="0.25">
      <c r="E48" s="14"/>
      <c r="F48" s="14"/>
      <c r="G48" t="s">
        <v>503</v>
      </c>
      <c r="H48" s="4">
        <v>43617</v>
      </c>
      <c r="I48" t="s">
        <v>50</v>
      </c>
      <c r="J48" s="2">
        <v>-763941.9</v>
      </c>
      <c r="K48" s="2">
        <v>-202941.50000000003</v>
      </c>
      <c r="L48" s="2">
        <v>561000.4</v>
      </c>
      <c r="M48">
        <f t="shared" si="2"/>
        <v>17701.932499999999</v>
      </c>
      <c r="N48" s="2">
        <f t="shared" si="3"/>
        <v>-4.3155847532465739</v>
      </c>
      <c r="O48" s="2">
        <f t="shared" si="4"/>
        <v>-1.1464369779966117</v>
      </c>
    </row>
    <row r="49" spans="5:15" x14ac:dyDescent="0.25">
      <c r="E49" s="14"/>
      <c r="F49" s="14"/>
      <c r="G49" t="s">
        <v>504</v>
      </c>
      <c r="H49" s="4">
        <v>43647</v>
      </c>
      <c r="I49" t="s">
        <v>51</v>
      </c>
      <c r="J49" s="2">
        <v>-779429.10000000009</v>
      </c>
      <c r="K49" s="2">
        <v>-184369.10000000003</v>
      </c>
      <c r="L49" s="2">
        <v>595060</v>
      </c>
      <c r="M49">
        <f t="shared" si="2"/>
        <v>19458.8325</v>
      </c>
      <c r="N49" s="2">
        <f t="shared" si="3"/>
        <v>-4.0055285947910804</v>
      </c>
      <c r="O49" s="2">
        <f t="shared" si="4"/>
        <v>-0.9474828461573942</v>
      </c>
    </row>
    <row r="50" spans="5:15" x14ac:dyDescent="0.25">
      <c r="E50" s="14"/>
      <c r="F50" s="14"/>
      <c r="G50" t="s">
        <v>504</v>
      </c>
      <c r="H50" s="4">
        <v>43678</v>
      </c>
      <c r="I50" t="s">
        <v>52</v>
      </c>
      <c r="J50" s="2">
        <v>-779709.8</v>
      </c>
      <c r="K50" s="2">
        <v>-160266.60000000003</v>
      </c>
      <c r="L50" s="2">
        <v>619443.19999999995</v>
      </c>
      <c r="M50">
        <f t="shared" si="2"/>
        <v>19458.8325</v>
      </c>
      <c r="N50" s="2">
        <f t="shared" si="3"/>
        <v>-4.0069711273787885</v>
      </c>
      <c r="O50" s="2">
        <f t="shared" si="4"/>
        <v>-0.8236187859677605</v>
      </c>
    </row>
    <row r="51" spans="5:15" x14ac:dyDescent="0.25">
      <c r="E51" s="14"/>
      <c r="F51" s="14"/>
      <c r="G51" t="s">
        <v>504</v>
      </c>
      <c r="H51" s="4">
        <v>43709</v>
      </c>
      <c r="I51" t="s">
        <v>53</v>
      </c>
      <c r="J51" s="2">
        <v>-800075.70000000007</v>
      </c>
      <c r="K51" s="2">
        <v>-162780.60000000003</v>
      </c>
      <c r="L51" s="2">
        <v>637295.10000000009</v>
      </c>
      <c r="M51">
        <f t="shared" si="2"/>
        <v>19458.8325</v>
      </c>
      <c r="N51" s="2">
        <f t="shared" si="3"/>
        <v>-4.1116325966627238</v>
      </c>
      <c r="O51" s="2">
        <f t="shared" si="4"/>
        <v>-0.83653836888723931</v>
      </c>
    </row>
    <row r="52" spans="5:15" x14ac:dyDescent="0.25">
      <c r="E52" s="14"/>
      <c r="F52" s="14"/>
      <c r="G52" t="s">
        <v>505</v>
      </c>
      <c r="H52" s="4">
        <v>43739</v>
      </c>
      <c r="I52" t="s">
        <v>54</v>
      </c>
      <c r="J52" s="2">
        <v>-785996.3</v>
      </c>
      <c r="K52" s="2">
        <v>-137667.80000000005</v>
      </c>
      <c r="L52" s="2">
        <v>648328.5</v>
      </c>
      <c r="M52">
        <f t="shared" si="2"/>
        <v>21558.445</v>
      </c>
      <c r="N52" s="2">
        <f t="shared" si="3"/>
        <v>-3.6458858697832803</v>
      </c>
      <c r="O52" s="2">
        <f t="shared" si="4"/>
        <v>-0.63857945227496715</v>
      </c>
    </row>
    <row r="53" spans="5:15" x14ac:dyDescent="0.25">
      <c r="E53" s="14"/>
      <c r="F53" s="14"/>
      <c r="G53" t="s">
        <v>505</v>
      </c>
      <c r="H53" s="4">
        <v>43770</v>
      </c>
      <c r="I53" t="s">
        <v>55</v>
      </c>
      <c r="J53" s="2">
        <v>-786778.29999999993</v>
      </c>
      <c r="K53" s="2">
        <v>-110294.6</v>
      </c>
      <c r="L53" s="2">
        <v>676483.69999999984</v>
      </c>
      <c r="M53">
        <f t="shared" si="2"/>
        <v>21558.445</v>
      </c>
      <c r="N53" s="2">
        <f t="shared" si="3"/>
        <v>-3.6495132186018053</v>
      </c>
      <c r="O53" s="2">
        <f t="shared" si="4"/>
        <v>-0.51160740025544515</v>
      </c>
    </row>
    <row r="54" spans="5:15" x14ac:dyDescent="0.25">
      <c r="E54" s="14"/>
      <c r="F54" s="14"/>
      <c r="G54" t="s">
        <v>505</v>
      </c>
      <c r="H54" s="4">
        <v>43800</v>
      </c>
      <c r="I54" t="s">
        <v>56</v>
      </c>
      <c r="J54" s="2">
        <v>-819406.8</v>
      </c>
      <c r="K54" s="2">
        <v>-95121.5</v>
      </c>
      <c r="L54" s="2">
        <v>724285.29999999993</v>
      </c>
      <c r="M54">
        <f t="shared" si="2"/>
        <v>21558.445</v>
      </c>
      <c r="N54" s="2">
        <f t="shared" si="3"/>
        <v>-3.8008622607057232</v>
      </c>
      <c r="O54" s="2">
        <f t="shared" si="4"/>
        <v>-0.44122616450305208</v>
      </c>
    </row>
    <row r="55" spans="5:15" x14ac:dyDescent="0.25">
      <c r="E55" s="14"/>
      <c r="F55" s="14"/>
      <c r="G55" t="s">
        <v>506</v>
      </c>
      <c r="H55" s="4">
        <v>43831</v>
      </c>
      <c r="I55" t="s">
        <v>57</v>
      </c>
      <c r="J55" s="2">
        <v>-850186.90000000014</v>
      </c>
      <c r="K55" s="2">
        <v>-115545.1</v>
      </c>
      <c r="L55" s="2">
        <v>734641.79999999993</v>
      </c>
      <c r="M55">
        <f t="shared" si="2"/>
        <v>23437.415000000001</v>
      </c>
      <c r="N55" s="2">
        <f t="shared" si="3"/>
        <v>-3.6274772623175386</v>
      </c>
      <c r="O55" s="2">
        <f t="shared" si="4"/>
        <v>-0.49299421459235154</v>
      </c>
    </row>
    <row r="56" spans="5:15" x14ac:dyDescent="0.25">
      <c r="E56" s="14"/>
      <c r="F56" s="14"/>
      <c r="G56" t="s">
        <v>506</v>
      </c>
      <c r="H56" s="4">
        <v>43862</v>
      </c>
      <c r="I56" t="s">
        <v>58</v>
      </c>
      <c r="J56" s="2">
        <v>-912858.7</v>
      </c>
      <c r="K56" s="2">
        <v>-149768.6</v>
      </c>
      <c r="L56" s="2">
        <v>763090.09999999986</v>
      </c>
      <c r="M56">
        <f t="shared" si="2"/>
        <v>23437.415000000001</v>
      </c>
      <c r="N56" s="2">
        <f t="shared" si="3"/>
        <v>-3.8948779120905606</v>
      </c>
      <c r="O56" s="2">
        <f t="shared" si="4"/>
        <v>-0.63901501082777257</v>
      </c>
    </row>
    <row r="57" spans="5:15" x14ac:dyDescent="0.25">
      <c r="E57" s="14"/>
      <c r="F57" s="14"/>
      <c r="G57" t="s">
        <v>506</v>
      </c>
      <c r="H57" s="4">
        <v>43891</v>
      </c>
      <c r="I57" t="s">
        <v>59</v>
      </c>
      <c r="J57" s="2">
        <v>-1029325.3</v>
      </c>
      <c r="K57" s="2">
        <v>-261459.3</v>
      </c>
      <c r="L57" s="2">
        <v>767866</v>
      </c>
      <c r="M57">
        <f t="shared" si="2"/>
        <v>23437.415000000001</v>
      </c>
      <c r="N57" s="2">
        <f t="shared" si="3"/>
        <v>-4.391803874275384</v>
      </c>
      <c r="O57" s="2">
        <f t="shared" si="4"/>
        <v>-1.1155637257777786</v>
      </c>
    </row>
    <row r="58" spans="5:15" x14ac:dyDescent="0.25">
      <c r="E58" s="14"/>
      <c r="F58" s="14"/>
      <c r="G58" t="s">
        <v>507</v>
      </c>
      <c r="H58" s="4">
        <v>43922</v>
      </c>
      <c r="I58" t="s">
        <v>60</v>
      </c>
      <c r="J58" s="2">
        <v>-1229301.8999999999</v>
      </c>
      <c r="K58" s="2">
        <v>-490779.4</v>
      </c>
      <c r="L58" s="2">
        <v>738522.50000000012</v>
      </c>
      <c r="M58">
        <f t="shared" si="2"/>
        <v>24135.365000000002</v>
      </c>
      <c r="N58" s="2">
        <f t="shared" si="3"/>
        <v>-5.0933636180766264</v>
      </c>
      <c r="O58" s="2">
        <f t="shared" si="4"/>
        <v>-2.0334451125972199</v>
      </c>
    </row>
    <row r="59" spans="5:15" x14ac:dyDescent="0.25">
      <c r="E59" s="14"/>
      <c r="F59" s="14"/>
      <c r="G59" t="s">
        <v>507</v>
      </c>
      <c r="H59" s="4">
        <v>43952</v>
      </c>
      <c r="I59" t="s">
        <v>61</v>
      </c>
      <c r="J59" s="2">
        <v>-1498886.7999999998</v>
      </c>
      <c r="K59" s="2">
        <v>-768040.20000000007</v>
      </c>
      <c r="L59" s="2">
        <v>730846.60000000009</v>
      </c>
      <c r="M59">
        <f t="shared" si="2"/>
        <v>24135.365000000002</v>
      </c>
      <c r="N59" s="2">
        <f t="shared" si="3"/>
        <v>-6.2103340885874303</v>
      </c>
      <c r="O59" s="2">
        <f t="shared" si="4"/>
        <v>-3.1822191211941484</v>
      </c>
    </row>
    <row r="60" spans="5:15" x14ac:dyDescent="0.25">
      <c r="E60" s="14"/>
      <c r="F60" s="14"/>
      <c r="G60" t="s">
        <v>507</v>
      </c>
      <c r="H60" s="4">
        <v>43983</v>
      </c>
      <c r="I60" t="s">
        <v>62</v>
      </c>
      <c r="J60" s="2">
        <v>-1719739.7</v>
      </c>
      <c r="K60" s="2">
        <v>-1015148.2</v>
      </c>
      <c r="L60" s="2">
        <v>704591.5</v>
      </c>
      <c r="M60">
        <f t="shared" si="2"/>
        <v>24135.365000000002</v>
      </c>
      <c r="N60" s="2">
        <f t="shared" si="3"/>
        <v>-7.1253933802119835</v>
      </c>
      <c r="O60" s="2">
        <f t="shared" si="4"/>
        <v>-4.2060611057674073</v>
      </c>
    </row>
    <row r="61" spans="5:15" x14ac:dyDescent="0.25">
      <c r="E61" s="14"/>
      <c r="F61" s="14"/>
      <c r="G61" t="s">
        <v>508</v>
      </c>
      <c r="H61" s="4">
        <v>44013</v>
      </c>
      <c r="I61" t="s">
        <v>63</v>
      </c>
      <c r="J61" s="2">
        <v>-1830962.0999999999</v>
      </c>
      <c r="K61" s="2">
        <v>-1174964.8</v>
      </c>
      <c r="L61" s="2">
        <v>655997.29999999993</v>
      </c>
      <c r="M61">
        <f t="shared" si="2"/>
        <v>25443.49</v>
      </c>
      <c r="N61" s="2">
        <f t="shared" si="3"/>
        <v>-7.1961908527485807</v>
      </c>
      <c r="O61" s="2">
        <f t="shared" si="4"/>
        <v>-4.6179388126393039</v>
      </c>
    </row>
    <row r="62" spans="5:15" x14ac:dyDescent="0.25">
      <c r="E62" s="14"/>
      <c r="F62" s="14"/>
      <c r="G62" t="s">
        <v>508</v>
      </c>
      <c r="H62" s="4">
        <v>44044</v>
      </c>
      <c r="I62" t="s">
        <v>64</v>
      </c>
      <c r="J62" s="2">
        <v>-1961716.0999999999</v>
      </c>
      <c r="K62" s="2">
        <v>-1278210.3</v>
      </c>
      <c r="L62" s="2">
        <v>683505.79999999993</v>
      </c>
      <c r="M62">
        <f t="shared" si="2"/>
        <v>25443.49</v>
      </c>
      <c r="N62" s="2">
        <f t="shared" si="3"/>
        <v>-7.710090478939799</v>
      </c>
      <c r="O62" s="2">
        <f t="shared" si="4"/>
        <v>-5.0237223745641817</v>
      </c>
    </row>
    <row r="63" spans="5:15" x14ac:dyDescent="0.25">
      <c r="E63" s="14"/>
      <c r="F63" s="14"/>
      <c r="G63" t="s">
        <v>508</v>
      </c>
      <c r="H63" s="4">
        <v>44075</v>
      </c>
      <c r="I63" t="s">
        <v>65</v>
      </c>
      <c r="J63" s="2">
        <v>-2097512.1999999997</v>
      </c>
      <c r="K63" s="2">
        <v>-1420023.5</v>
      </c>
      <c r="L63" s="2">
        <v>677488.7</v>
      </c>
      <c r="M63">
        <f t="shared" si="2"/>
        <v>25443.49</v>
      </c>
      <c r="N63" s="2">
        <f t="shared" si="3"/>
        <v>-8.2438069620166097</v>
      </c>
      <c r="O63" s="2">
        <f t="shared" si="4"/>
        <v>-5.581087735998481</v>
      </c>
    </row>
    <row r="64" spans="5:15" x14ac:dyDescent="0.25">
      <c r="E64" s="14"/>
      <c r="F64" s="14"/>
      <c r="G64" t="s">
        <v>509</v>
      </c>
      <c r="H64" s="4">
        <v>44105</v>
      </c>
      <c r="I64" t="s">
        <v>66</v>
      </c>
      <c r="J64" s="2">
        <v>-2145961</v>
      </c>
      <c r="K64" s="2">
        <v>-1510177.0999999999</v>
      </c>
      <c r="L64" s="2">
        <v>635783.89999999991</v>
      </c>
      <c r="M64">
        <f t="shared" si="2"/>
        <v>27209.815000000002</v>
      </c>
      <c r="N64" s="2">
        <f t="shared" si="3"/>
        <v>-7.8867166131044986</v>
      </c>
      <c r="O64" s="2">
        <f t="shared" si="4"/>
        <v>-5.5501189552372914</v>
      </c>
    </row>
    <row r="65" spans="5:15" x14ac:dyDescent="0.25">
      <c r="E65" s="14"/>
      <c r="F65" s="14"/>
      <c r="G65" t="s">
        <v>509</v>
      </c>
      <c r="H65" s="4">
        <v>44136</v>
      </c>
      <c r="I65" t="s">
        <v>67</v>
      </c>
      <c r="J65" s="2">
        <v>-2199324.0999999996</v>
      </c>
      <c r="K65" s="2">
        <v>-1562472.9</v>
      </c>
      <c r="L65" s="2">
        <v>636851.19999999995</v>
      </c>
      <c r="M65">
        <f t="shared" si="2"/>
        <v>27209.815000000002</v>
      </c>
      <c r="N65" s="2">
        <f t="shared" si="3"/>
        <v>-8.0828337127613672</v>
      </c>
      <c r="O65" s="2">
        <f t="shared" si="4"/>
        <v>-5.7423135732455357</v>
      </c>
    </row>
    <row r="66" spans="5:15" x14ac:dyDescent="0.25">
      <c r="E66" s="14"/>
      <c r="F66" s="14"/>
      <c r="G66" t="s">
        <v>509</v>
      </c>
      <c r="H66" s="4">
        <v>44166</v>
      </c>
      <c r="I66" t="s">
        <v>68</v>
      </c>
      <c r="J66" s="2">
        <v>-2292830.4</v>
      </c>
      <c r="K66" s="2">
        <v>-1749957.3</v>
      </c>
      <c r="L66" s="2">
        <v>542873.1</v>
      </c>
      <c r="M66">
        <f t="shared" si="2"/>
        <v>27209.815000000002</v>
      </c>
      <c r="N66" s="2">
        <f t="shared" si="3"/>
        <v>-8.4264828702436958</v>
      </c>
      <c r="O66" s="2">
        <f t="shared" si="4"/>
        <v>-6.4313458213515959</v>
      </c>
    </row>
    <row r="67" spans="5:15" x14ac:dyDescent="0.25">
      <c r="E67" s="14"/>
      <c r="F67" s="14"/>
      <c r="G67" t="s">
        <v>510</v>
      </c>
      <c r="H67" s="4">
        <v>44197</v>
      </c>
      <c r="I67" t="s">
        <v>69</v>
      </c>
      <c r="J67" s="2">
        <v>-2205042.6999999997</v>
      </c>
      <c r="K67" s="2">
        <v>-1722117.7</v>
      </c>
      <c r="L67" s="2">
        <v>482925</v>
      </c>
      <c r="M67">
        <f t="shared" si="2"/>
        <v>30156.095000000001</v>
      </c>
      <c r="N67" s="2">
        <f t="shared" si="3"/>
        <v>-7.3120962777176546</v>
      </c>
      <c r="O67" s="2">
        <f t="shared" si="4"/>
        <v>-5.7106787201724885</v>
      </c>
    </row>
    <row r="68" spans="5:15" x14ac:dyDescent="0.25">
      <c r="E68" s="14"/>
      <c r="F68" s="14"/>
      <c r="G68" t="s">
        <v>510</v>
      </c>
      <c r="H68" s="4">
        <v>44228</v>
      </c>
      <c r="I68" t="s">
        <v>70</v>
      </c>
      <c r="J68" s="2">
        <v>-2201781.5</v>
      </c>
      <c r="K68" s="2">
        <v>-1713377.7999999998</v>
      </c>
      <c r="L68" s="2">
        <v>488403.7</v>
      </c>
      <c r="M68">
        <f t="shared" si="2"/>
        <v>30156.095000000001</v>
      </c>
      <c r="N68" s="2">
        <f t="shared" si="3"/>
        <v>-7.3012818801638604</v>
      </c>
      <c r="O68" s="2">
        <f t="shared" si="4"/>
        <v>-5.6816965193935083</v>
      </c>
    </row>
    <row r="69" spans="5:15" x14ac:dyDescent="0.25">
      <c r="E69" s="14"/>
      <c r="F69" s="14"/>
      <c r="G69" t="s">
        <v>510</v>
      </c>
      <c r="H69" s="4">
        <v>44256</v>
      </c>
      <c r="I69" t="s">
        <v>71</v>
      </c>
      <c r="J69" s="2">
        <v>-2152537.1</v>
      </c>
      <c r="K69" s="2">
        <v>-1663115.7999999998</v>
      </c>
      <c r="L69" s="2">
        <v>489421.4</v>
      </c>
      <c r="M69">
        <f t="shared" si="2"/>
        <v>30156.095000000001</v>
      </c>
      <c r="N69" s="2">
        <f t="shared" si="3"/>
        <v>-7.1379835485993794</v>
      </c>
      <c r="O69" s="2">
        <f t="shared" si="4"/>
        <v>-5.5150237456142772</v>
      </c>
    </row>
    <row r="70" spans="5:15" x14ac:dyDescent="0.25">
      <c r="E70" s="14"/>
      <c r="F70" s="14"/>
      <c r="G70" t="s">
        <v>511</v>
      </c>
      <c r="H70" s="4">
        <v>44287</v>
      </c>
      <c r="I70" t="s">
        <v>72</v>
      </c>
      <c r="J70" s="2">
        <v>-1943519.8000000003</v>
      </c>
      <c r="K70" s="2">
        <v>-1445739.0999999996</v>
      </c>
      <c r="L70" s="2">
        <v>497780.8</v>
      </c>
      <c r="M70">
        <f t="shared" si="2"/>
        <v>35734.824999999997</v>
      </c>
      <c r="N70" s="2">
        <f t="shared" si="3"/>
        <v>-5.4387276277412875</v>
      </c>
      <c r="O70" s="2">
        <f t="shared" si="4"/>
        <v>-4.0457427733310567</v>
      </c>
    </row>
    <row r="71" spans="5:15" x14ac:dyDescent="0.25">
      <c r="E71" s="14"/>
      <c r="F71" s="14"/>
      <c r="G71" t="s">
        <v>511</v>
      </c>
      <c r="H71" s="4">
        <v>44317</v>
      </c>
      <c r="I71" t="s">
        <v>73</v>
      </c>
      <c r="J71" s="2">
        <v>-1699919.0000000002</v>
      </c>
      <c r="K71" s="2">
        <v>-1168738.4999999995</v>
      </c>
      <c r="L71" s="2">
        <v>531180.6</v>
      </c>
      <c r="M71">
        <f t="shared" si="2"/>
        <v>35734.824999999997</v>
      </c>
      <c r="N71" s="2">
        <f t="shared" si="3"/>
        <v>-4.7570374277752876</v>
      </c>
      <c r="O71" s="2">
        <f t="shared" si="4"/>
        <v>-3.270586885482158</v>
      </c>
    </row>
    <row r="72" spans="5:15" x14ac:dyDescent="0.25">
      <c r="E72" s="14"/>
      <c r="F72" s="14"/>
      <c r="G72" t="s">
        <v>511</v>
      </c>
      <c r="H72" s="4">
        <v>44348</v>
      </c>
      <c r="I72" t="s">
        <v>74</v>
      </c>
      <c r="J72" s="2">
        <v>-1619301.3000000003</v>
      </c>
      <c r="K72" s="2">
        <v>-1068249.7999999998</v>
      </c>
      <c r="L72" s="2">
        <v>551051.6</v>
      </c>
      <c r="M72">
        <f t="shared" si="2"/>
        <v>35734.824999999997</v>
      </c>
      <c r="N72" s="2">
        <f t="shared" si="3"/>
        <v>-4.5314376102303573</v>
      </c>
      <c r="O72" s="2">
        <f t="shared" si="4"/>
        <v>-2.9893802474197089</v>
      </c>
    </row>
    <row r="73" spans="5:15" x14ac:dyDescent="0.25">
      <c r="E73" s="14"/>
      <c r="F73" s="14"/>
      <c r="G73" t="s">
        <v>512</v>
      </c>
      <c r="H73" s="4">
        <v>44378</v>
      </c>
      <c r="I73" t="s">
        <v>75</v>
      </c>
      <c r="J73" s="2">
        <v>-1593367.6</v>
      </c>
      <c r="K73" s="2">
        <v>-1011296.2999999999</v>
      </c>
      <c r="L73" s="2">
        <v>582071.4</v>
      </c>
      <c r="M73">
        <f t="shared" si="2"/>
        <v>40716.362500000003</v>
      </c>
      <c r="N73" s="2">
        <f t="shared" si="3"/>
        <v>-3.9133348417359235</v>
      </c>
      <c r="O73" s="2">
        <f t="shared" si="4"/>
        <v>-2.4837589556287103</v>
      </c>
    </row>
    <row r="74" spans="5:15" x14ac:dyDescent="0.25">
      <c r="E74" s="14"/>
      <c r="F74" s="14"/>
      <c r="G74" t="s">
        <v>512</v>
      </c>
      <c r="H74" s="4">
        <v>44409</v>
      </c>
      <c r="I74" t="s">
        <v>76</v>
      </c>
      <c r="J74" s="2">
        <v>-1641208.7999999998</v>
      </c>
      <c r="K74" s="2">
        <v>-1046632.4</v>
      </c>
      <c r="L74" s="2">
        <v>594576.5</v>
      </c>
      <c r="M74">
        <f t="shared" si="2"/>
        <v>40716.362500000003</v>
      </c>
      <c r="N74" s="2">
        <f t="shared" si="3"/>
        <v>-4.0308335500254957</v>
      </c>
      <c r="O74" s="2">
        <f t="shared" si="4"/>
        <v>-2.5705449498343569</v>
      </c>
    </row>
    <row r="75" spans="5:15" x14ac:dyDescent="0.25">
      <c r="E75" s="14"/>
      <c r="F75" s="14"/>
      <c r="G75" t="s">
        <v>512</v>
      </c>
      <c r="H75" s="4">
        <v>44440</v>
      </c>
      <c r="I75" t="s">
        <v>77</v>
      </c>
      <c r="J75" s="2">
        <v>-1191938.1000000001</v>
      </c>
      <c r="K75" s="2">
        <v>-588022.50000000012</v>
      </c>
      <c r="L75" s="2">
        <v>603915.69999999995</v>
      </c>
      <c r="M75">
        <f t="shared" si="2"/>
        <v>40716.362500000003</v>
      </c>
      <c r="N75" s="2">
        <f t="shared" si="3"/>
        <v>-2.9274179391638926</v>
      </c>
      <c r="O75" s="2">
        <f t="shared" si="4"/>
        <v>-1.4441921230070591</v>
      </c>
    </row>
    <row r="76" spans="5:15" x14ac:dyDescent="0.25">
      <c r="E76" s="14"/>
      <c r="F76" s="14"/>
      <c r="G76" t="s">
        <v>513</v>
      </c>
      <c r="H76" s="4">
        <v>44470</v>
      </c>
      <c r="I76" t="s">
        <v>78</v>
      </c>
      <c r="J76" s="2">
        <v>-1356336.2999999998</v>
      </c>
      <c r="K76" s="2">
        <v>-715564.50000000023</v>
      </c>
      <c r="L76" s="2">
        <v>640771.9</v>
      </c>
      <c r="M76">
        <f t="shared" si="2"/>
        <v>46219.082500000004</v>
      </c>
      <c r="N76" s="2">
        <f t="shared" si="3"/>
        <v>-2.9345807546049829</v>
      </c>
      <c r="O76" s="2">
        <f t="shared" si="4"/>
        <v>-1.5482014382263001</v>
      </c>
    </row>
    <row r="77" spans="5:15" x14ac:dyDescent="0.25">
      <c r="E77" s="14"/>
      <c r="F77" s="14"/>
      <c r="G77" t="s">
        <v>513</v>
      </c>
      <c r="H77" s="4">
        <v>44501</v>
      </c>
      <c r="I77" t="s">
        <v>79</v>
      </c>
      <c r="J77" s="2">
        <v>-1471396.2</v>
      </c>
      <c r="K77" s="2">
        <v>-791524.60000000021</v>
      </c>
      <c r="L77" s="2">
        <v>679871.70000000019</v>
      </c>
      <c r="M77">
        <f t="shared" si="2"/>
        <v>46219.082500000004</v>
      </c>
      <c r="N77" s="2">
        <f t="shared" si="3"/>
        <v>-3.1835253328535886</v>
      </c>
      <c r="O77" s="2">
        <f t="shared" si="4"/>
        <v>-1.712549356642898</v>
      </c>
    </row>
    <row r="78" spans="5:15" x14ac:dyDescent="0.25">
      <c r="E78" s="14"/>
      <c r="F78" s="14"/>
      <c r="G78" t="s">
        <v>513</v>
      </c>
      <c r="H78" s="4">
        <v>44531</v>
      </c>
      <c r="I78" t="s">
        <v>80</v>
      </c>
      <c r="J78" s="2">
        <v>-1664481.7</v>
      </c>
      <c r="K78" s="2">
        <v>-980240.7</v>
      </c>
      <c r="L78" s="2">
        <v>684241.10000000021</v>
      </c>
      <c r="M78">
        <f t="shared" si="2"/>
        <v>46219.082500000004</v>
      </c>
      <c r="N78" s="2">
        <f t="shared" si="3"/>
        <v>-3.6012867628863026</v>
      </c>
      <c r="O78" s="2">
        <f t="shared" si="4"/>
        <v>-2.1208571156729472</v>
      </c>
    </row>
    <row r="79" spans="5:15" x14ac:dyDescent="0.25">
      <c r="E79" s="14"/>
      <c r="F79" s="14"/>
      <c r="G79" t="s">
        <v>514</v>
      </c>
      <c r="H79" s="4">
        <v>44562</v>
      </c>
      <c r="I79" t="s">
        <v>81</v>
      </c>
      <c r="J79" s="2">
        <v>-1812115.4</v>
      </c>
      <c r="K79" s="2">
        <v>-1021012.2999999999</v>
      </c>
      <c r="L79" s="2">
        <v>791103.20000000007</v>
      </c>
      <c r="M79">
        <f t="shared" si="2"/>
        <v>52109.137499999997</v>
      </c>
      <c r="N79" s="2">
        <f t="shared" si="3"/>
        <v>-3.4775386562481487</v>
      </c>
      <c r="O79" s="2">
        <f t="shared" si="4"/>
        <v>-1.9593728643081072</v>
      </c>
    </row>
    <row r="80" spans="5:15" x14ac:dyDescent="0.25">
      <c r="E80" s="14"/>
      <c r="F80" s="14"/>
      <c r="G80" t="s">
        <v>514</v>
      </c>
      <c r="H80" s="4">
        <v>44593</v>
      </c>
      <c r="I80" t="s">
        <v>82</v>
      </c>
      <c r="J80" s="2">
        <v>-1884697.7</v>
      </c>
      <c r="K80" s="2">
        <v>-1078538.6000000001</v>
      </c>
      <c r="L80" s="2">
        <v>806159.20000000019</v>
      </c>
      <c r="M80">
        <f t="shared" si="2"/>
        <v>52109.137499999997</v>
      </c>
      <c r="N80" s="2">
        <f t="shared" si="3"/>
        <v>-3.6168276629026912</v>
      </c>
      <c r="O80" s="2">
        <f t="shared" si="4"/>
        <v>-2.0697686658122101</v>
      </c>
    </row>
    <row r="81" spans="5:15" x14ac:dyDescent="0.25">
      <c r="E81" s="14"/>
      <c r="F81" s="14"/>
      <c r="G81" t="s">
        <v>514</v>
      </c>
      <c r="H81" s="4">
        <v>44621</v>
      </c>
      <c r="I81" t="s">
        <v>83</v>
      </c>
      <c r="J81" s="2">
        <v>-1939666.4000000001</v>
      </c>
      <c r="K81" s="2">
        <v>-1103826.2</v>
      </c>
      <c r="L81" s="2">
        <v>835840.20000000007</v>
      </c>
      <c r="M81">
        <f t="shared" si="2"/>
        <v>52109.137499999997</v>
      </c>
      <c r="N81" s="2">
        <f t="shared" si="3"/>
        <v>-3.7223153041057344</v>
      </c>
      <c r="O81" s="2">
        <f t="shared" si="4"/>
        <v>-2.1182968150259636</v>
      </c>
    </row>
    <row r="82" spans="5:15" x14ac:dyDescent="0.25">
      <c r="E82" s="14"/>
      <c r="F82" s="14"/>
      <c r="G82" t="s">
        <v>515</v>
      </c>
      <c r="H82" s="4">
        <v>44652</v>
      </c>
      <c r="I82" t="s">
        <v>84</v>
      </c>
      <c r="J82" s="2">
        <v>-2028948.8</v>
      </c>
      <c r="K82" s="2">
        <v>-1171566.1000000001</v>
      </c>
      <c r="L82" s="2">
        <v>857382.70000000019</v>
      </c>
      <c r="M82">
        <f t="shared" si="2"/>
        <v>60193.30750000001</v>
      </c>
      <c r="N82" s="2">
        <f t="shared" si="3"/>
        <v>-3.3707215706663063</v>
      </c>
      <c r="O82" s="2">
        <f t="shared" si="4"/>
        <v>-1.946339466393336</v>
      </c>
    </row>
    <row r="83" spans="5:15" x14ac:dyDescent="0.25">
      <c r="E83" s="14"/>
      <c r="F83" s="14"/>
      <c r="G83" t="s">
        <v>515</v>
      </c>
      <c r="H83" s="4">
        <v>44682</v>
      </c>
      <c r="I83" t="s">
        <v>85</v>
      </c>
      <c r="J83" s="2">
        <v>-2206763</v>
      </c>
      <c r="K83" s="2">
        <v>-1359691.4</v>
      </c>
      <c r="L83" s="2">
        <v>847071.60000000009</v>
      </c>
      <c r="M83">
        <f t="shared" si="2"/>
        <v>60193.30750000001</v>
      </c>
      <c r="N83" s="2">
        <f t="shared" si="3"/>
        <v>-3.6661268364427384</v>
      </c>
      <c r="O83" s="2">
        <f t="shared" si="4"/>
        <v>-2.2588747096178419</v>
      </c>
    </row>
    <row r="84" spans="5:15" x14ac:dyDescent="0.25">
      <c r="E84" s="14"/>
      <c r="F84" s="14"/>
      <c r="G84" t="s">
        <v>515</v>
      </c>
      <c r="H84" s="4">
        <v>44713</v>
      </c>
      <c r="I84" t="s">
        <v>86</v>
      </c>
      <c r="J84" s="2">
        <v>-2395392.9000000004</v>
      </c>
      <c r="K84" s="2">
        <v>-1528118.3000000003</v>
      </c>
      <c r="L84" s="2">
        <v>867274.60000000009</v>
      </c>
      <c r="M84">
        <f t="shared" ref="M84:M132" si="5">VLOOKUP(G84,$A$11:$D$47,4,FALSE)</f>
        <v>60193.30750000001</v>
      </c>
      <c r="N84" s="2">
        <f t="shared" ref="N84:N132" si="6">J84/M84/10</f>
        <v>-3.9795003788419501</v>
      </c>
      <c r="O84" s="2">
        <f t="shared" ref="O84:O132" si="7">K84/M84/10</f>
        <v>-2.5386847200579568</v>
      </c>
    </row>
    <row r="85" spans="5:15" x14ac:dyDescent="0.25">
      <c r="E85" s="14"/>
      <c r="F85" s="14"/>
      <c r="G85" t="s">
        <v>516</v>
      </c>
      <c r="H85" s="4">
        <v>44743</v>
      </c>
      <c r="I85" t="s">
        <v>87</v>
      </c>
      <c r="J85" s="2">
        <v>-2363900</v>
      </c>
      <c r="K85" s="2">
        <v>-1431493.3</v>
      </c>
      <c r="L85" s="2">
        <v>932406.70000000019</v>
      </c>
      <c r="M85">
        <f t="shared" si="5"/>
        <v>70293.514999999999</v>
      </c>
      <c r="N85" s="2">
        <f t="shared" si="6"/>
        <v>-3.3628991237669652</v>
      </c>
      <c r="O85" s="2">
        <f t="shared" si="7"/>
        <v>-2.0364514422134108</v>
      </c>
    </row>
    <row r="86" spans="5:15" x14ac:dyDescent="0.25">
      <c r="E86" s="14"/>
      <c r="F86" s="14"/>
      <c r="G86" t="s">
        <v>516</v>
      </c>
      <c r="H86" s="4">
        <v>44774</v>
      </c>
      <c r="I86" t="s">
        <v>88</v>
      </c>
      <c r="J86" s="2">
        <v>-2540611.1999999997</v>
      </c>
      <c r="K86" s="2">
        <v>-1516709.6</v>
      </c>
      <c r="L86" s="2">
        <v>1023901.6</v>
      </c>
      <c r="M86">
        <f t="shared" si="5"/>
        <v>70293.514999999999</v>
      </c>
      <c r="N86" s="2">
        <f t="shared" si="6"/>
        <v>-3.6142895969848707</v>
      </c>
      <c r="O86" s="2">
        <f t="shared" si="7"/>
        <v>-2.1576806907436628</v>
      </c>
    </row>
    <row r="87" spans="5:15" x14ac:dyDescent="0.25">
      <c r="E87" s="14"/>
      <c r="F87" s="14"/>
      <c r="G87" t="s">
        <v>516</v>
      </c>
      <c r="H87" s="4">
        <v>44805</v>
      </c>
      <c r="I87" t="s">
        <v>89</v>
      </c>
      <c r="J87" s="2">
        <v>-2782305.8</v>
      </c>
      <c r="K87" s="2">
        <v>-1727513.7</v>
      </c>
      <c r="L87" s="2">
        <v>1054792.0999999999</v>
      </c>
      <c r="M87">
        <f t="shared" si="5"/>
        <v>70293.514999999999</v>
      </c>
      <c r="N87" s="2">
        <f t="shared" si="6"/>
        <v>-3.9581258669451942</v>
      </c>
      <c r="O87" s="2">
        <f t="shared" si="7"/>
        <v>-2.4575719396021096</v>
      </c>
    </row>
    <row r="88" spans="5:15" x14ac:dyDescent="0.25">
      <c r="E88" s="14"/>
      <c r="F88" s="14"/>
      <c r="G88" t="s">
        <v>290</v>
      </c>
      <c r="H88" s="4">
        <v>44835</v>
      </c>
      <c r="I88" t="s">
        <v>90</v>
      </c>
      <c r="J88" s="2">
        <v>-2690463</v>
      </c>
      <c r="K88" s="2">
        <v>-1621394.1000000003</v>
      </c>
      <c r="L88" s="2">
        <v>1069068.8999999999</v>
      </c>
      <c r="M88">
        <f t="shared" si="5"/>
        <v>82810.045000000013</v>
      </c>
      <c r="N88" s="2">
        <f t="shared" si="6"/>
        <v>-3.2489572973906724</v>
      </c>
      <c r="O88" s="2">
        <f t="shared" si="7"/>
        <v>-1.9579679011163442</v>
      </c>
    </row>
    <row r="89" spans="5:15" x14ac:dyDescent="0.25">
      <c r="E89" s="14"/>
      <c r="F89" s="14"/>
      <c r="G89" t="s">
        <v>290</v>
      </c>
      <c r="H89" s="4">
        <v>44866</v>
      </c>
      <c r="I89" t="s">
        <v>91</v>
      </c>
      <c r="J89" s="2">
        <v>-2979650.9000000004</v>
      </c>
      <c r="K89" s="2">
        <v>-1714579.5000000005</v>
      </c>
      <c r="L89" s="2">
        <v>1265071.4000000001</v>
      </c>
      <c r="M89">
        <f t="shared" si="5"/>
        <v>82810.045000000013</v>
      </c>
      <c r="N89" s="2">
        <f t="shared" si="6"/>
        <v>-3.5981756802571474</v>
      </c>
      <c r="O89" s="2">
        <f t="shared" si="7"/>
        <v>-2.0704970031111567</v>
      </c>
    </row>
    <row r="90" spans="5:15" x14ac:dyDescent="0.25">
      <c r="E90" s="14"/>
      <c r="F90" s="14"/>
      <c r="G90" t="s">
        <v>290</v>
      </c>
      <c r="H90" s="4">
        <v>44896</v>
      </c>
      <c r="I90" t="s">
        <v>92</v>
      </c>
      <c r="J90" s="2">
        <v>-3152757.3000000003</v>
      </c>
      <c r="K90" s="2">
        <v>-1659747.9</v>
      </c>
      <c r="L90" s="2">
        <v>1493009.4</v>
      </c>
      <c r="M90">
        <f t="shared" si="5"/>
        <v>82810.045000000013</v>
      </c>
      <c r="N90" s="2">
        <f t="shared" si="6"/>
        <v>-3.8072160207134287</v>
      </c>
      <c r="O90" s="2">
        <f t="shared" si="7"/>
        <v>-2.0042832967908657</v>
      </c>
    </row>
    <row r="91" spans="5:15" x14ac:dyDescent="0.25">
      <c r="E91" s="14"/>
      <c r="F91" s="14"/>
      <c r="G91" t="s">
        <v>291</v>
      </c>
      <c r="H91" s="4">
        <v>44927</v>
      </c>
      <c r="I91" t="s">
        <v>93</v>
      </c>
      <c r="J91" s="2">
        <v>-3540063</v>
      </c>
      <c r="K91" s="2">
        <v>-1846988.2</v>
      </c>
      <c r="L91" s="2">
        <v>1693074.7999999998</v>
      </c>
      <c r="M91">
        <f t="shared" si="5"/>
        <v>98288.914999999994</v>
      </c>
      <c r="N91" s="2">
        <f t="shared" si="6"/>
        <v>-3.6016909943506854</v>
      </c>
      <c r="O91" s="2">
        <f t="shared" si="7"/>
        <v>-1.8791419154438729</v>
      </c>
    </row>
    <row r="92" spans="5:15" x14ac:dyDescent="0.25">
      <c r="E92" s="14"/>
      <c r="F92" s="14"/>
      <c r="G92" t="s">
        <v>291</v>
      </c>
      <c r="H92" s="4">
        <v>44958</v>
      </c>
      <c r="I92" t="s">
        <v>94</v>
      </c>
      <c r="J92" s="2">
        <v>-3888755.1</v>
      </c>
      <c r="K92" s="2">
        <v>-1998838.7</v>
      </c>
      <c r="L92" s="2">
        <v>1889916.4</v>
      </c>
      <c r="M92">
        <f t="shared" si="5"/>
        <v>98288.914999999994</v>
      </c>
      <c r="N92" s="2">
        <f t="shared" si="6"/>
        <v>-3.9564533803226949</v>
      </c>
      <c r="O92" s="2">
        <f t="shared" si="7"/>
        <v>-2.0336359395156616</v>
      </c>
    </row>
    <row r="93" spans="5:15" x14ac:dyDescent="0.25">
      <c r="E93" s="14"/>
      <c r="F93" s="14"/>
      <c r="G93" t="s">
        <v>291</v>
      </c>
      <c r="H93" s="4">
        <v>44986</v>
      </c>
      <c r="I93" t="s">
        <v>95</v>
      </c>
      <c r="J93" s="2">
        <v>-4104731.6</v>
      </c>
      <c r="K93" s="2">
        <v>-2156940.9</v>
      </c>
      <c r="L93" s="2">
        <v>1947790.7</v>
      </c>
      <c r="M93">
        <f t="shared" si="5"/>
        <v>98288.914999999994</v>
      </c>
      <c r="N93" s="2">
        <f t="shared" si="6"/>
        <v>-4.1761897564949217</v>
      </c>
      <c r="O93" s="2">
        <f t="shared" si="7"/>
        <v>-2.1944904977331374</v>
      </c>
    </row>
    <row r="94" spans="5:15" x14ac:dyDescent="0.25">
      <c r="E94" s="14"/>
      <c r="F94" s="14"/>
      <c r="G94" t="s">
        <v>292</v>
      </c>
      <c r="H94" s="4">
        <v>45017</v>
      </c>
      <c r="I94" t="s">
        <v>96</v>
      </c>
      <c r="J94" s="2">
        <v>-4365805</v>
      </c>
      <c r="K94" s="2">
        <v>-2409128.9</v>
      </c>
      <c r="L94" s="2">
        <v>1956676.1</v>
      </c>
      <c r="M94">
        <f t="shared" si="5"/>
        <v>118654.035</v>
      </c>
      <c r="N94" s="2">
        <f t="shared" si="6"/>
        <v>-3.6794408213761969</v>
      </c>
      <c r="O94" s="2">
        <f t="shared" si="7"/>
        <v>-2.0303809305768654</v>
      </c>
    </row>
    <row r="95" spans="5:15" x14ac:dyDescent="0.25">
      <c r="E95" s="14"/>
      <c r="F95" s="14"/>
      <c r="G95" t="s">
        <v>292</v>
      </c>
      <c r="H95" s="4">
        <v>45047</v>
      </c>
      <c r="I95" t="s">
        <v>97</v>
      </c>
      <c r="J95" s="2">
        <v>-4754444.3</v>
      </c>
      <c r="K95" s="2">
        <v>-2494368.1</v>
      </c>
      <c r="L95" s="2">
        <v>2260076.1999999997</v>
      </c>
      <c r="M95">
        <f t="shared" si="5"/>
        <v>118654.035</v>
      </c>
      <c r="N95" s="2">
        <f t="shared" si="6"/>
        <v>-4.0069807149836922</v>
      </c>
      <c r="O95" s="2">
        <f t="shared" si="7"/>
        <v>-2.1022193640528113</v>
      </c>
    </row>
    <row r="96" spans="5:15" x14ac:dyDescent="0.25">
      <c r="E96" s="14"/>
      <c r="F96" s="14"/>
      <c r="G96" t="s">
        <v>292</v>
      </c>
      <c r="H96" s="4">
        <v>45078</v>
      </c>
      <c r="I96" t="s">
        <v>98</v>
      </c>
      <c r="J96" s="2">
        <v>-5066469.8999999994</v>
      </c>
      <c r="K96" s="2">
        <v>-2784466.7</v>
      </c>
      <c r="L96" s="2">
        <v>2282004.1999999997</v>
      </c>
      <c r="M96">
        <f t="shared" si="5"/>
        <v>118654.035</v>
      </c>
      <c r="N96" s="2">
        <f t="shared" si="6"/>
        <v>-4.269951628699352</v>
      </c>
      <c r="O96" s="2">
        <f t="shared" si="7"/>
        <v>-2.3467105016698335</v>
      </c>
    </row>
    <row r="97" spans="5:15" x14ac:dyDescent="0.25">
      <c r="E97" s="14"/>
      <c r="F97" s="14"/>
      <c r="G97" t="s">
        <v>293</v>
      </c>
      <c r="H97" s="4">
        <v>45108</v>
      </c>
      <c r="I97" t="s">
        <v>99</v>
      </c>
      <c r="J97" s="2">
        <v>-5689050.2999999998</v>
      </c>
      <c r="K97" s="2">
        <v>-3116887.4</v>
      </c>
      <c r="L97" s="2">
        <v>2572163.9</v>
      </c>
      <c r="M97">
        <f t="shared" si="5"/>
        <v>148814.91750000001</v>
      </c>
      <c r="N97" s="2">
        <f t="shared" si="6"/>
        <v>-3.8229032381783901</v>
      </c>
      <c r="O97" s="2">
        <f t="shared" si="7"/>
        <v>-2.094472417390548</v>
      </c>
    </row>
    <row r="98" spans="5:15" x14ac:dyDescent="0.25">
      <c r="E98" s="14"/>
      <c r="F98" s="14"/>
      <c r="G98" t="s">
        <v>293</v>
      </c>
      <c r="H98" s="4">
        <v>45139</v>
      </c>
      <c r="I98" t="s">
        <v>100</v>
      </c>
      <c r="J98" s="2">
        <v>-5703450.4000000004</v>
      </c>
      <c r="K98" s="2">
        <v>-2943799.9999999995</v>
      </c>
      <c r="L98" s="2">
        <v>2759651.4000000004</v>
      </c>
      <c r="M98">
        <f t="shared" si="5"/>
        <v>148814.91750000001</v>
      </c>
      <c r="N98" s="2">
        <f t="shared" si="6"/>
        <v>-3.8325797546472451</v>
      </c>
      <c r="O98" s="2">
        <f t="shared" si="7"/>
        <v>-1.9781619003350248</v>
      </c>
    </row>
    <row r="99" spans="5:15" x14ac:dyDescent="0.25">
      <c r="E99" s="14"/>
      <c r="F99" s="14"/>
      <c r="G99" t="s">
        <v>293</v>
      </c>
      <c r="H99" s="4">
        <v>45170</v>
      </c>
      <c r="I99" t="s">
        <v>101</v>
      </c>
      <c r="J99" s="2">
        <v>-6210539</v>
      </c>
      <c r="K99" s="2">
        <v>-3404897.6999999997</v>
      </c>
      <c r="L99" s="2">
        <v>2805642.3000000003</v>
      </c>
      <c r="M99">
        <f t="shared" si="5"/>
        <v>148814.91750000001</v>
      </c>
      <c r="N99" s="2">
        <f t="shared" si="6"/>
        <v>-4.1733309431159684</v>
      </c>
      <c r="O99" s="2">
        <f t="shared" si="7"/>
        <v>-2.2880083241654852</v>
      </c>
    </row>
    <row r="100" spans="5:15" x14ac:dyDescent="0.25">
      <c r="E100" s="14"/>
      <c r="F100" s="14"/>
      <c r="G100" t="s">
        <v>294</v>
      </c>
      <c r="H100" s="4">
        <v>45200</v>
      </c>
      <c r="I100" t="s">
        <v>102</v>
      </c>
      <c r="J100" s="2">
        <v>-6479536.5000000009</v>
      </c>
      <c r="K100" s="2">
        <v>-3632186.8</v>
      </c>
      <c r="L100" s="2">
        <v>2847350.7</v>
      </c>
      <c r="M100">
        <f t="shared" si="5"/>
        <v>193946.17749999999</v>
      </c>
      <c r="N100" s="2">
        <f t="shared" si="6"/>
        <v>-3.3408941509043153</v>
      </c>
      <c r="O100" s="2">
        <f t="shared" si="7"/>
        <v>-1.8727808131201762</v>
      </c>
    </row>
    <row r="101" spans="5:15" x14ac:dyDescent="0.25">
      <c r="E101" s="14"/>
      <c r="F101" s="14"/>
      <c r="G101" t="s">
        <v>294</v>
      </c>
      <c r="H101" s="4">
        <v>45231</v>
      </c>
      <c r="I101" t="s">
        <v>103</v>
      </c>
      <c r="J101" s="2">
        <v>-6703215.8000000007</v>
      </c>
      <c r="K101" s="2">
        <v>-3614832.9</v>
      </c>
      <c r="L101" s="2">
        <v>3088383.9</v>
      </c>
      <c r="M101">
        <f t="shared" si="5"/>
        <v>193946.17749999999</v>
      </c>
      <c r="N101" s="2">
        <f t="shared" si="6"/>
        <v>-3.4562247559635457</v>
      </c>
      <c r="O101" s="2">
        <f t="shared" si="7"/>
        <v>-1.8638330214061578</v>
      </c>
    </row>
    <row r="102" spans="5:15" x14ac:dyDescent="0.25">
      <c r="E102" s="14"/>
      <c r="F102" s="14"/>
      <c r="G102" t="s">
        <v>294</v>
      </c>
      <c r="H102" s="4">
        <v>45261</v>
      </c>
      <c r="I102" t="s">
        <v>104</v>
      </c>
      <c r="J102" s="2">
        <v>-8418467.8000000007</v>
      </c>
      <c r="K102" s="2">
        <v>-5164637</v>
      </c>
      <c r="L102" s="2">
        <v>3253831.8</v>
      </c>
      <c r="M102">
        <f t="shared" si="5"/>
        <v>193946.17749999999</v>
      </c>
      <c r="N102" s="2">
        <f t="shared" si="6"/>
        <v>-4.340620634299432</v>
      </c>
      <c r="O102" s="2">
        <f t="shared" si="7"/>
        <v>-2.6629228101182867</v>
      </c>
    </row>
    <row r="103" spans="5:15" x14ac:dyDescent="0.25">
      <c r="E103" s="14"/>
      <c r="F103" s="14"/>
      <c r="G103" t="s">
        <v>295</v>
      </c>
      <c r="H103" s="4">
        <v>45292</v>
      </c>
      <c r="I103" t="s">
        <v>105</v>
      </c>
      <c r="J103" s="2">
        <v>-7362090.5000000019</v>
      </c>
      <c r="K103" s="2">
        <v>-2949953.2</v>
      </c>
      <c r="L103" s="2">
        <v>4412138.3</v>
      </c>
      <c r="M103">
        <f t="shared" si="5"/>
        <v>271341.21999999997</v>
      </c>
      <c r="N103" s="2">
        <f t="shared" si="6"/>
        <v>-2.7132223036367282</v>
      </c>
      <c r="O103" s="2">
        <f t="shared" si="7"/>
        <v>-1.0871747388767548</v>
      </c>
    </row>
    <row r="104" spans="5:15" x14ac:dyDescent="0.25">
      <c r="E104" s="14"/>
      <c r="F104" s="14"/>
      <c r="G104" t="s">
        <v>295</v>
      </c>
      <c r="H104" s="4">
        <v>45323</v>
      </c>
      <c r="I104" t="s">
        <v>106</v>
      </c>
      <c r="J104" s="2">
        <v>-6538387.2000000011</v>
      </c>
      <c r="K104" s="2">
        <v>-1489294.7000000002</v>
      </c>
      <c r="L104" s="2">
        <v>5049093.5</v>
      </c>
      <c r="M104">
        <f t="shared" si="5"/>
        <v>271341.21999999997</v>
      </c>
      <c r="N104" s="2">
        <f t="shared" si="6"/>
        <v>-2.4096549724365515</v>
      </c>
      <c r="O104" s="2">
        <f t="shared" si="7"/>
        <v>-0.54886415709341929</v>
      </c>
    </row>
    <row r="105" spans="5:15" x14ac:dyDescent="0.25">
      <c r="E105" s="14"/>
      <c r="F105" s="14"/>
      <c r="G105" t="s">
        <v>295</v>
      </c>
      <c r="H105" s="4">
        <v>45352</v>
      </c>
      <c r="I105" t="s">
        <v>107</v>
      </c>
      <c r="J105" s="2">
        <v>-5873743.2000000002</v>
      </c>
      <c r="K105" s="2">
        <v>-606405.10000000021</v>
      </c>
      <c r="L105" s="2">
        <v>5267339.0999999996</v>
      </c>
      <c r="M105">
        <f t="shared" si="5"/>
        <v>271341.21999999997</v>
      </c>
      <c r="N105" s="2">
        <f t="shared" si="6"/>
        <v>-2.1647073010138307</v>
      </c>
      <c r="O105" s="2">
        <f t="shared" si="7"/>
        <v>-0.22348432722459205</v>
      </c>
    </row>
    <row r="106" spans="5:15" x14ac:dyDescent="0.25">
      <c r="E106" s="14"/>
      <c r="F106" s="14"/>
      <c r="G106" t="s">
        <v>296</v>
      </c>
      <c r="H106" s="4">
        <v>45383</v>
      </c>
      <c r="I106" t="s">
        <v>108</v>
      </c>
      <c r="J106" s="2">
        <v>-5448946.4000000004</v>
      </c>
      <c r="K106" s="2">
        <v>-10080.699999999953</v>
      </c>
      <c r="L106" s="2">
        <v>5438866.7000000002</v>
      </c>
      <c r="M106">
        <f t="shared" si="5"/>
        <v>371190.83750000002</v>
      </c>
      <c r="N106" s="2">
        <f t="shared" si="6"/>
        <v>-1.4679636051091913</v>
      </c>
      <c r="O106" s="2">
        <f t="shared" si="7"/>
        <v>-2.715772853633531E-3</v>
      </c>
    </row>
    <row r="107" spans="5:15" x14ac:dyDescent="0.25">
      <c r="E107" s="14"/>
      <c r="F107" s="14"/>
      <c r="G107" t="s">
        <v>296</v>
      </c>
      <c r="H107" s="4">
        <v>45413</v>
      </c>
      <c r="I107" t="s">
        <v>109</v>
      </c>
      <c r="J107" s="2">
        <v>-3634303.5999999996</v>
      </c>
      <c r="K107" s="2">
        <v>2569775.5999999996</v>
      </c>
      <c r="L107" s="2">
        <v>6204080.1999999993</v>
      </c>
      <c r="M107">
        <f t="shared" si="5"/>
        <v>371190.83750000002</v>
      </c>
      <c r="N107" s="2">
        <f t="shared" si="6"/>
        <v>-0.97909302516121488</v>
      </c>
      <c r="O107" s="2">
        <f t="shared" si="7"/>
        <v>0.69230577384604741</v>
      </c>
    </row>
    <row r="108" spans="5:15" x14ac:dyDescent="0.25">
      <c r="E108" s="14"/>
      <c r="F108" s="14"/>
      <c r="G108" t="s">
        <v>296</v>
      </c>
      <c r="H108" s="4">
        <v>45444</v>
      </c>
      <c r="I108" t="s">
        <v>110</v>
      </c>
      <c r="J108" s="2">
        <v>-2687511.8</v>
      </c>
      <c r="K108" s="2">
        <v>3670087.3999999994</v>
      </c>
      <c r="L108" s="2">
        <v>6357599.1999999993</v>
      </c>
      <c r="M108">
        <f t="shared" si="5"/>
        <v>371190.83750000002</v>
      </c>
      <c r="N108" s="2">
        <f t="shared" si="6"/>
        <v>-0.72402428306167432</v>
      </c>
      <c r="O108" s="2">
        <f t="shared" si="7"/>
        <v>0.98873329544401789</v>
      </c>
    </row>
    <row r="109" spans="5:15" x14ac:dyDescent="0.25">
      <c r="E109" s="14"/>
      <c r="F109" s="14"/>
      <c r="G109" t="s">
        <v>297</v>
      </c>
      <c r="H109" s="4">
        <v>45474</v>
      </c>
      <c r="I109" t="s">
        <v>111</v>
      </c>
      <c r="J109" s="2">
        <v>-2534225.9000000004</v>
      </c>
      <c r="K109" s="2">
        <v>4912705.8999999994</v>
      </c>
      <c r="L109" s="2">
        <v>7446931.7999999998</v>
      </c>
      <c r="M109">
        <f t="shared" si="5"/>
        <v>478474.09499999997</v>
      </c>
      <c r="N109" s="2">
        <f t="shared" si="6"/>
        <v>-0.52964746189655276</v>
      </c>
      <c r="O109" s="2">
        <f t="shared" si="7"/>
        <v>1.0267443841447674</v>
      </c>
    </row>
    <row r="110" spans="5:15" x14ac:dyDescent="0.25">
      <c r="E110" s="14"/>
      <c r="F110" s="14"/>
      <c r="G110" t="s">
        <v>297</v>
      </c>
      <c r="H110" s="4">
        <v>45505</v>
      </c>
      <c r="I110" t="s">
        <v>112</v>
      </c>
      <c r="J110" s="2">
        <v>-2146190.9</v>
      </c>
      <c r="K110" s="2">
        <v>5849330.2999999998</v>
      </c>
      <c r="L110" s="2">
        <v>7995521.2000000002</v>
      </c>
      <c r="M110">
        <f t="shared" si="5"/>
        <v>478474.09499999997</v>
      </c>
      <c r="N110" s="2">
        <f t="shared" si="6"/>
        <v>-0.44854902750795739</v>
      </c>
      <c r="O110" s="2">
        <f t="shared" si="7"/>
        <v>1.2224967581578268</v>
      </c>
    </row>
    <row r="111" spans="5:15" x14ac:dyDescent="0.25">
      <c r="E111" s="14"/>
      <c r="F111" s="14"/>
      <c r="G111" t="s">
        <v>297</v>
      </c>
      <c r="H111" s="4">
        <v>45536</v>
      </c>
      <c r="I111" t="s">
        <v>113</v>
      </c>
      <c r="J111" s="2">
        <v>-1168027.2000000002</v>
      </c>
      <c r="K111" s="2">
        <v>7046250.7999999998</v>
      </c>
      <c r="L111" s="2">
        <v>8214277.8999999994</v>
      </c>
      <c r="M111">
        <f t="shared" si="5"/>
        <v>478474.09499999997</v>
      </c>
      <c r="N111" s="2">
        <f t="shared" si="6"/>
        <v>-0.24411503406469692</v>
      </c>
      <c r="O111" s="2">
        <f t="shared" si="7"/>
        <v>1.4726504263517131</v>
      </c>
    </row>
    <row r="112" spans="5:15" x14ac:dyDescent="0.25">
      <c r="E112" s="14"/>
      <c r="F112" s="14"/>
      <c r="G112" t="s">
        <v>298</v>
      </c>
      <c r="H112" s="4">
        <v>45566</v>
      </c>
      <c r="I112" t="s">
        <v>114</v>
      </c>
      <c r="J112" s="2">
        <v>-190380.29999999981</v>
      </c>
      <c r="K112" s="2">
        <v>8123509.4999999991</v>
      </c>
      <c r="L112" s="2">
        <v>8313889.7000000002</v>
      </c>
      <c r="M112">
        <f t="shared" si="5"/>
        <v>584377.01249999995</v>
      </c>
      <c r="N112" s="2">
        <f t="shared" si="6"/>
        <v>-3.2578334863916272E-2</v>
      </c>
      <c r="O112" s="2">
        <f t="shared" si="7"/>
        <v>1.3901144853811305</v>
      </c>
    </row>
    <row r="113" spans="5:15" x14ac:dyDescent="0.25">
      <c r="E113" s="14"/>
      <c r="F113" s="14"/>
      <c r="G113" t="s">
        <v>298</v>
      </c>
      <c r="H113" s="4">
        <v>45597</v>
      </c>
      <c r="I113" t="s">
        <v>115</v>
      </c>
      <c r="J113" s="2">
        <v>921738.3</v>
      </c>
      <c r="K113" s="2">
        <v>9715539.2999999989</v>
      </c>
      <c r="L113" s="2">
        <v>8793800.8999999985</v>
      </c>
      <c r="M113">
        <f t="shared" si="5"/>
        <v>584377.01249999995</v>
      </c>
      <c r="N113" s="2">
        <f t="shared" si="6"/>
        <v>0.1577300749830573</v>
      </c>
      <c r="O113" s="2">
        <f t="shared" si="7"/>
        <v>1.6625464541180939</v>
      </c>
    </row>
    <row r="114" spans="5:15" x14ac:dyDescent="0.25">
      <c r="E114" s="14"/>
      <c r="F114" s="14"/>
      <c r="G114" t="s">
        <v>298</v>
      </c>
      <c r="H114" s="4">
        <v>45627</v>
      </c>
      <c r="I114" t="s">
        <v>116</v>
      </c>
      <c r="J114" s="2">
        <v>1764785.9000000001</v>
      </c>
      <c r="K114" s="2">
        <v>10405809.599999998</v>
      </c>
      <c r="L114" s="2">
        <v>8641023.5999999996</v>
      </c>
      <c r="M114">
        <f t="shared" si="5"/>
        <v>584377.01249999995</v>
      </c>
      <c r="N114" s="2">
        <f t="shared" si="6"/>
        <v>0.3019944081048192</v>
      </c>
      <c r="O114" s="2">
        <f t="shared" si="7"/>
        <v>1.7806671681836559</v>
      </c>
    </row>
    <row r="115" spans="5:15" x14ac:dyDescent="0.25">
      <c r="E115" s="14"/>
      <c r="F115" s="14"/>
      <c r="G115" t="s">
        <v>299</v>
      </c>
      <c r="H115" s="4">
        <v>45658</v>
      </c>
      <c r="I115" t="s">
        <v>117</v>
      </c>
      <c r="J115" s="2">
        <v>1846131.5000000005</v>
      </c>
      <c r="K115" s="2">
        <v>10829929.399999999</v>
      </c>
      <c r="L115" s="2">
        <v>8983797.8000000007</v>
      </c>
      <c r="M115">
        <f t="shared" si="5"/>
        <v>658841.32000000007</v>
      </c>
      <c r="N115" s="2">
        <f t="shared" si="6"/>
        <v>0.28020882175392403</v>
      </c>
      <c r="O115" s="2">
        <f t="shared" si="7"/>
        <v>1.6437841815992957</v>
      </c>
    </row>
    <row r="116" spans="5:15" x14ac:dyDescent="0.25">
      <c r="E116" s="14"/>
      <c r="F116" s="14"/>
      <c r="G116" t="s">
        <v>299</v>
      </c>
      <c r="H116" s="4">
        <v>45689</v>
      </c>
      <c r="I116" t="s">
        <v>118</v>
      </c>
      <c r="J116" s="2">
        <v>1818745.3</v>
      </c>
      <c r="K116" s="2">
        <v>10774320.199999999</v>
      </c>
      <c r="L116" s="2">
        <v>8955574.8000000007</v>
      </c>
      <c r="M116">
        <f t="shared" si="5"/>
        <v>658841.32000000007</v>
      </c>
      <c r="N116" s="2">
        <f t="shared" si="6"/>
        <v>0.2760521000716834</v>
      </c>
      <c r="O116" s="2">
        <f t="shared" si="7"/>
        <v>1.6353437273788471</v>
      </c>
    </row>
    <row r="117" spans="5:15" x14ac:dyDescent="0.25">
      <c r="E117" s="14"/>
      <c r="F117" s="14"/>
      <c r="G117" t="s">
        <v>299</v>
      </c>
      <c r="H117" s="4">
        <v>45717</v>
      </c>
      <c r="I117" t="s">
        <v>119</v>
      </c>
      <c r="J117" s="2">
        <v>1941016.4</v>
      </c>
      <c r="K117" s="2">
        <v>10894625.6</v>
      </c>
      <c r="L117" s="2">
        <v>8953609.0999999996</v>
      </c>
      <c r="M117">
        <f t="shared" si="5"/>
        <v>658841.32000000007</v>
      </c>
      <c r="N117" s="2">
        <f t="shared" si="6"/>
        <v>0.29461060517576521</v>
      </c>
      <c r="O117" s="2">
        <f t="shared" si="7"/>
        <v>1.6536038753610653</v>
      </c>
    </row>
    <row r="118" spans="5:15" x14ac:dyDescent="0.25">
      <c r="E118" s="14"/>
      <c r="F118" s="14"/>
      <c r="G118" t="s">
        <v>300</v>
      </c>
      <c r="H118" s="4">
        <v>45748</v>
      </c>
      <c r="I118" t="s">
        <v>120</v>
      </c>
      <c r="J118" s="2">
        <v>2495948.6</v>
      </c>
      <c r="K118" s="2">
        <v>11475623.1</v>
      </c>
      <c r="L118" s="2">
        <v>8979674.3999999985</v>
      </c>
      <c r="M118">
        <f t="shared" si="5"/>
        <v>727819.31500000006</v>
      </c>
      <c r="N118" s="2">
        <f t="shared" si="6"/>
        <v>0.34293519676652162</v>
      </c>
      <c r="O118" s="2">
        <f t="shared" si="7"/>
        <v>1.5767131846452851</v>
      </c>
    </row>
    <row r="119" spans="5:15" x14ac:dyDescent="0.25">
      <c r="E119" s="14"/>
      <c r="F119" s="14"/>
      <c r="G119" t="s">
        <v>300</v>
      </c>
      <c r="H119" s="4">
        <v>45778</v>
      </c>
      <c r="I119" t="s">
        <v>121</v>
      </c>
      <c r="J119" s="2">
        <v>1974500.5</v>
      </c>
      <c r="K119" s="2">
        <v>10840335.1</v>
      </c>
      <c r="L119" s="2">
        <v>8865834.5</v>
      </c>
      <c r="M119">
        <f t="shared" si="5"/>
        <v>727819.31500000006</v>
      </c>
      <c r="N119" s="2">
        <f t="shared" si="6"/>
        <v>0.27128992859993006</v>
      </c>
      <c r="O119" s="2">
        <f t="shared" si="7"/>
        <v>1.4894266855229032</v>
      </c>
    </row>
    <row r="120" spans="5:15" x14ac:dyDescent="0.25">
      <c r="E120" s="14"/>
      <c r="F120" s="14"/>
      <c r="G120" t="s">
        <v>300</v>
      </c>
      <c r="H120" s="4">
        <v>45809</v>
      </c>
      <c r="I120" t="s">
        <v>122</v>
      </c>
      <c r="J120" s="2">
        <v>2287545.8999999994</v>
      </c>
      <c r="K120" s="2">
        <v>11142299.200000001</v>
      </c>
      <c r="L120" s="2">
        <v>8854753.1999999993</v>
      </c>
      <c r="M120">
        <f t="shared" si="5"/>
        <v>727819.31500000006</v>
      </c>
      <c r="N120" s="2">
        <f t="shared" si="6"/>
        <v>0.31430134552007588</v>
      </c>
      <c r="O120" s="2">
        <f t="shared" si="7"/>
        <v>1.5309155679662061</v>
      </c>
    </row>
    <row r="121" spans="5:15" x14ac:dyDescent="0.25">
      <c r="E121" s="14"/>
      <c r="F121" s="14"/>
      <c r="G121" t="s">
        <v>301</v>
      </c>
      <c r="H121" s="4">
        <v>45839</v>
      </c>
      <c r="I121" t="s">
        <v>123</v>
      </c>
      <c r="J121" s="2">
        <v>2719988</v>
      </c>
      <c r="K121" s="2">
        <v>11983432.199999999</v>
      </c>
      <c r="L121" s="2">
        <v>9263444.0999999996</v>
      </c>
      <c r="M121">
        <f t="shared" si="5"/>
        <v>790409.5625</v>
      </c>
      <c r="N121" s="2">
        <f t="shared" si="6"/>
        <v>0.34412387312179055</v>
      </c>
      <c r="O121" s="2">
        <f t="shared" si="7"/>
        <v>1.5161041526493424</v>
      </c>
    </row>
    <row r="122" spans="5:15" x14ac:dyDescent="0.25">
      <c r="E122" s="14"/>
      <c r="F122" s="14"/>
      <c r="G122" t="s">
        <v>301</v>
      </c>
      <c r="H122" s="4">
        <v>45870</v>
      </c>
      <c r="I122" t="s">
        <v>124</v>
      </c>
      <c r="J122" s="2">
        <v>3106758</v>
      </c>
      <c r="K122" s="2">
        <v>12640636.199999999</v>
      </c>
      <c r="L122" s="2">
        <v>9533878.0999999996</v>
      </c>
      <c r="M122">
        <f t="shared" si="5"/>
        <v>790409.5625</v>
      </c>
      <c r="N122" s="2">
        <f t="shared" si="6"/>
        <v>0.39305673253415374</v>
      </c>
      <c r="O122" s="2">
        <f t="shared" si="7"/>
        <v>1.599251426060524</v>
      </c>
    </row>
    <row r="123" spans="5:15" x14ac:dyDescent="0.25">
      <c r="E123" s="14"/>
      <c r="F123" s="14"/>
      <c r="G123" t="s">
        <v>301</v>
      </c>
      <c r="H123" s="4">
        <v>45901</v>
      </c>
      <c r="I123" t="s">
        <v>125</v>
      </c>
      <c r="J123" s="2">
        <v>2949750.4</v>
      </c>
      <c r="K123" s="2">
        <v>12521154.199999999</v>
      </c>
      <c r="L123" s="2">
        <v>9571403.7999999989</v>
      </c>
      <c r="M123">
        <f t="shared" si="5"/>
        <v>790409.5625</v>
      </c>
      <c r="N123" s="2">
        <f t="shared" si="6"/>
        <v>0.37319265099351578</v>
      </c>
      <c r="O123" s="2">
        <f t="shared" si="7"/>
        <v>1.5841349591465752</v>
      </c>
    </row>
    <row r="124" spans="5:15" x14ac:dyDescent="0.25">
      <c r="E124" s="14"/>
      <c r="F124" s="14"/>
      <c r="G124" t="s">
        <v>302</v>
      </c>
      <c r="H124" s="4">
        <v>45931</v>
      </c>
      <c r="I124" t="s">
        <v>126</v>
      </c>
      <c r="J124" s="2">
        <v>2944024.1</v>
      </c>
      <c r="K124" s="2">
        <v>12598158.5</v>
      </c>
      <c r="L124" s="2">
        <v>9654134.3999999985</v>
      </c>
      <c r="M124">
        <f t="shared" si="5"/>
        <v>850239.79500000004</v>
      </c>
      <c r="N124" s="2">
        <f t="shared" si="6"/>
        <v>0.34625809298893145</v>
      </c>
      <c r="O124" s="2">
        <f t="shared" si="7"/>
        <v>1.4817182839577627</v>
      </c>
    </row>
    <row r="125" spans="5:15" x14ac:dyDescent="0.25">
      <c r="E125" s="14"/>
      <c r="F125" s="14"/>
      <c r="G125" t="s">
        <v>302</v>
      </c>
      <c r="H125" s="4">
        <v>45962</v>
      </c>
      <c r="I125" t="s">
        <v>127</v>
      </c>
      <c r="J125" s="2">
        <v>3186815.7</v>
      </c>
      <c r="K125" s="2">
        <v>13344622.5</v>
      </c>
      <c r="L125" s="2">
        <v>10157806.800000001</v>
      </c>
      <c r="M125">
        <f t="shared" si="5"/>
        <v>850239.79500000004</v>
      </c>
      <c r="N125" s="2">
        <f t="shared" si="6"/>
        <v>0.37481375474785911</v>
      </c>
      <c r="O125" s="2">
        <f t="shared" si="7"/>
        <v>1.5695128102066782</v>
      </c>
    </row>
    <row r="126" spans="5:15" x14ac:dyDescent="0.25">
      <c r="E126" s="14"/>
      <c r="F126" s="14"/>
      <c r="G126" t="s">
        <v>302</v>
      </c>
      <c r="H126" s="4">
        <v>45992</v>
      </c>
      <c r="I126" t="s">
        <v>128</v>
      </c>
      <c r="J126" s="2">
        <v>1453819.1</v>
      </c>
      <c r="K126" s="2">
        <v>11769218.700000001</v>
      </c>
      <c r="L126" s="2">
        <v>10315399.600000001</v>
      </c>
      <c r="M126">
        <f t="shared" si="5"/>
        <v>850239.79500000004</v>
      </c>
      <c r="N126" s="2">
        <f t="shared" si="6"/>
        <v>0.17098930308243218</v>
      </c>
      <c r="O126" s="2">
        <f t="shared" si="7"/>
        <v>1.3842234589831215</v>
      </c>
    </row>
    <row r="127" spans="5:15" x14ac:dyDescent="0.25">
      <c r="E127" s="14"/>
      <c r="F127" s="14"/>
      <c r="G127" t="s">
        <v>303</v>
      </c>
      <c r="H127" s="4">
        <v>46023</v>
      </c>
      <c r="I127" t="s">
        <v>129</v>
      </c>
      <c r="J127" s="2">
        <v>1959224.9</v>
      </c>
      <c r="K127" s="2">
        <v>12460090.699999999</v>
      </c>
      <c r="L127" s="2">
        <v>10500865.800000001</v>
      </c>
      <c r="M127">
        <f t="shared" si="5"/>
        <v>911284.1875</v>
      </c>
      <c r="N127" s="2">
        <f t="shared" si="6"/>
        <v>0.21499603821447849</v>
      </c>
      <c r="O127" s="2">
        <f t="shared" si="7"/>
        <v>1.3673111934689417</v>
      </c>
    </row>
    <row r="128" spans="5:15" x14ac:dyDescent="0.25">
      <c r="E128" s="14"/>
      <c r="F128" s="14"/>
      <c r="G128" t="s">
        <v>303</v>
      </c>
      <c r="H128" s="4">
        <v>46054</v>
      </c>
      <c r="I128" t="s">
        <v>130</v>
      </c>
      <c r="J128" s="2">
        <v>1792920.0000000007</v>
      </c>
      <c r="K128" s="2">
        <v>12693815.100000001</v>
      </c>
      <c r="L128" s="2">
        <v>10900895.1</v>
      </c>
      <c r="M128">
        <f t="shared" si="5"/>
        <v>911284.1875</v>
      </c>
      <c r="N128" s="2">
        <f t="shared" si="6"/>
        <v>0.1967465280966483</v>
      </c>
      <c r="O128" s="2">
        <f t="shared" si="7"/>
        <v>1.3929589994120248</v>
      </c>
    </row>
    <row r="129" spans="5:15" x14ac:dyDescent="0.25">
      <c r="E129" s="14"/>
      <c r="F129" s="14"/>
      <c r="G129" t="s">
        <v>303</v>
      </c>
      <c r="H129" s="4">
        <v>46082</v>
      </c>
      <c r="I129" t="s">
        <v>131</v>
      </c>
      <c r="J129" s="2">
        <v>1878799.7999999998</v>
      </c>
      <c r="K129" s="2">
        <v>12878759.699999997</v>
      </c>
      <c r="L129" s="2">
        <v>10999959.9</v>
      </c>
      <c r="M129">
        <f t="shared" si="5"/>
        <v>911284.1875</v>
      </c>
      <c r="N129" s="2">
        <f t="shared" si="6"/>
        <v>0.20617056959522845</v>
      </c>
      <c r="O129" s="2">
        <f t="shared" si="7"/>
        <v>1.4132539417073993</v>
      </c>
    </row>
    <row r="130" spans="5:15" x14ac:dyDescent="0.25">
      <c r="E130" s="14"/>
      <c r="F130" s="14"/>
      <c r="G130" t="s">
        <v>517</v>
      </c>
      <c r="H130" s="4">
        <v>46113</v>
      </c>
      <c r="I130" t="s">
        <v>132</v>
      </c>
      <c r="J130" s="2">
        <v>1574561.7000000007</v>
      </c>
      <c r="K130" s="2">
        <v>12665654.699999999</v>
      </c>
      <c r="L130" s="2">
        <v>11091093</v>
      </c>
      <c r="M130">
        <f>M118*1.35</f>
        <v>982556.07525000011</v>
      </c>
      <c r="N130" s="2">
        <f t="shared" si="6"/>
        <v>0.16025158661803313</v>
      </c>
      <c r="O130" s="2">
        <f t="shared" si="7"/>
        <v>1.2890515889159171</v>
      </c>
    </row>
    <row r="131" spans="5:15" x14ac:dyDescent="0.25">
      <c r="E131" s="14"/>
      <c r="F131" s="14"/>
      <c r="G131" t="s">
        <v>517</v>
      </c>
      <c r="H131" s="4">
        <v>46143</v>
      </c>
      <c r="I131" t="s">
        <v>133</v>
      </c>
      <c r="J131" s="2">
        <v>1391052</v>
      </c>
      <c r="K131" s="2">
        <v>12893104.199999999</v>
      </c>
      <c r="L131" s="2">
        <v>11502052.199999999</v>
      </c>
      <c r="M131">
        <f t="shared" ref="M131:M132" si="8">M119*1.35</f>
        <v>982556.07525000011</v>
      </c>
      <c r="N131" s="2">
        <f t="shared" si="6"/>
        <v>0.1415748205155683</v>
      </c>
      <c r="O131" s="2">
        <f t="shared" si="7"/>
        <v>1.3122003440586836</v>
      </c>
    </row>
    <row r="132" spans="5:15" x14ac:dyDescent="0.25">
      <c r="E132" s="14"/>
      <c r="F132" s="14"/>
      <c r="G132" t="s">
        <v>517</v>
      </c>
      <c r="H132" s="4">
        <v>46174</v>
      </c>
      <c r="I132" t="s">
        <v>134</v>
      </c>
      <c r="J132" s="2">
        <v>-185073.6</v>
      </c>
      <c r="K132" s="2">
        <v>11405728.399999999</v>
      </c>
      <c r="L132" s="2">
        <v>11590801.999999998</v>
      </c>
      <c r="M132">
        <f t="shared" si="8"/>
        <v>982556.07525000011</v>
      </c>
      <c r="N132" s="2">
        <f t="shared" si="6"/>
        <v>-1.8835932590708388E-2</v>
      </c>
      <c r="O132" s="2">
        <f t="shared" si="7"/>
        <v>1.1608221339528069</v>
      </c>
    </row>
    <row r="133" spans="5:15" x14ac:dyDescent="0.25">
      <c r="H133" s="4">
        <v>46204</v>
      </c>
    </row>
    <row r="134" spans="5:15" x14ac:dyDescent="0.25">
      <c r="H134" s="4">
        <v>46235</v>
      </c>
    </row>
    <row r="135" spans="5:15" x14ac:dyDescent="0.25">
      <c r="H135" s="4">
        <v>46266</v>
      </c>
    </row>
    <row r="136" spans="5:15" x14ac:dyDescent="0.25">
      <c r="H136" s="4">
        <v>46296</v>
      </c>
    </row>
    <row r="137" spans="5:15" x14ac:dyDescent="0.25">
      <c r="H137" s="4">
        <v>46327</v>
      </c>
    </row>
    <row r="138" spans="5:15" x14ac:dyDescent="0.25">
      <c r="H138" s="4">
        <v>46357</v>
      </c>
      <c r="N138">
        <v>0.3</v>
      </c>
      <c r="O138">
        <v>1.5</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71277-697E-44AE-ACB2-3AC3283A3AB0}">
  <sheetPr>
    <tabColor rgb="FF5A6472"/>
  </sheetPr>
  <dimension ref="B2:G44"/>
  <sheetViews>
    <sheetView showGridLines="0" topLeftCell="A22" zoomScale="100" zoomScaleNormal="100" workbookViewId="0">
      <selection activeCell="A1" sqref="A1"/>
    </sheetView>
  </sheetViews>
  <sheetFormatPr defaultColWidth="8.7109375" defaultRowHeight="15" x14ac:dyDescent="0.25"/>
  <cols>
    <col min="1" max="1" width="2" style="17" customWidth="1"/>
    <col min="2" max="2" width="21.5703125" style="17" customWidth="1"/>
    <col min="3" max="7" width="9.42578125" style="17" customWidth="1"/>
    <col min="8" max="16384" width="8.7109375" style="17"/>
  </cols>
  <sheetData>
    <row r="2" spans="2:5" ht="25.5" customHeight="1" x14ac:dyDescent="0.25">
      <c r="B2" s="16" t="s">
        <v>521</v>
      </c>
    </row>
    <row r="3" spans="2:5" x14ac:dyDescent="0.25">
      <c r="B3" s="18" t="s">
        <v>522</v>
      </c>
    </row>
    <row r="4" spans="2:5" x14ac:dyDescent="0.25">
      <c r="B4" s="18" t="s">
        <v>523</v>
      </c>
    </row>
    <row r="5" spans="2:5" x14ac:dyDescent="0.25">
      <c r="B5" s="18" t="s">
        <v>524</v>
      </c>
    </row>
    <row r="7" spans="2:5" x14ac:dyDescent="0.25">
      <c r="B7" s="19" t="s">
        <v>525</v>
      </c>
    </row>
    <row r="8" spans="2:5" x14ac:dyDescent="0.25">
      <c r="B8" s="20" t="s">
        <v>526</v>
      </c>
      <c r="E8" s="21">
        <f>[5]Data!K17</f>
        <v>0.76001516436789007</v>
      </c>
    </row>
    <row r="9" spans="2:5" x14ac:dyDescent="0.25">
      <c r="B9" s="20" t="s">
        <v>527</v>
      </c>
      <c r="E9" s="22">
        <v>0.45</v>
      </c>
    </row>
    <row r="10" spans="2:5" x14ac:dyDescent="0.25">
      <c r="B10" s="20" t="s">
        <v>528</v>
      </c>
      <c r="E10" s="22">
        <v>0.35</v>
      </c>
    </row>
    <row r="11" spans="2:5" x14ac:dyDescent="0.25">
      <c r="B11" s="20" t="s">
        <v>529</v>
      </c>
      <c r="E11" s="21">
        <f>1-E9-E10</f>
        <v>0.20000000000000007</v>
      </c>
    </row>
    <row r="12" spans="2:5" x14ac:dyDescent="0.25">
      <c r="B12" s="20" t="s">
        <v>530</v>
      </c>
      <c r="E12" s="22">
        <v>0.05</v>
      </c>
    </row>
    <row r="13" spans="2:5" x14ac:dyDescent="0.25">
      <c r="B13" s="20" t="s">
        <v>531</v>
      </c>
      <c r="E13" s="22">
        <v>0.05</v>
      </c>
    </row>
    <row r="14" spans="2:5" x14ac:dyDescent="0.25">
      <c r="B14" s="20" t="s">
        <v>532</v>
      </c>
      <c r="E14" s="22">
        <v>0.3</v>
      </c>
    </row>
    <row r="15" spans="2:5" x14ac:dyDescent="0.25">
      <c r="B15" s="20" t="s">
        <v>533</v>
      </c>
      <c r="E15" s="22">
        <v>0.25</v>
      </c>
    </row>
    <row r="16" spans="2:5" x14ac:dyDescent="0.25">
      <c r="B16" s="20" t="s">
        <v>534</v>
      </c>
      <c r="E16" s="22">
        <v>0.25</v>
      </c>
    </row>
    <row r="17" spans="2:5" x14ac:dyDescent="0.25">
      <c r="B17" s="20" t="s">
        <v>535</v>
      </c>
      <c r="E17" s="22">
        <v>0.03</v>
      </c>
    </row>
    <row r="18" spans="2:5" x14ac:dyDescent="0.25">
      <c r="B18" s="20" t="s">
        <v>536</v>
      </c>
      <c r="E18" s="21">
        <f>[5]Data!D17/[5]Data!C17</f>
        <v>1.3842232537893066E-2</v>
      </c>
    </row>
    <row r="20" spans="2:5" x14ac:dyDescent="0.25">
      <c r="B20" s="19" t="s">
        <v>537</v>
      </c>
    </row>
    <row r="21" spans="2:5" x14ac:dyDescent="0.25">
      <c r="B21" s="20" t="s">
        <v>538</v>
      </c>
      <c r="E21" s="23">
        <f>($E$9*($E$15+$E$12)+$E$10*($E$16+$E$13)+$E$11*$E$14)</f>
        <v>0.3</v>
      </c>
    </row>
    <row r="22" spans="2:5" x14ac:dyDescent="0.25">
      <c r="B22" s="20" t="s">
        <v>539</v>
      </c>
      <c r="E22" s="23">
        <f>(1+$E$17)*(1+$E$16)-1</f>
        <v>0.28750000000000009</v>
      </c>
    </row>
    <row r="23" spans="2:5" x14ac:dyDescent="0.25">
      <c r="B23" s="24" t="s">
        <v>540</v>
      </c>
      <c r="E23" s="25">
        <f>$E$8*((1+($E$9*($E$15+$E$12)+$E$10*($E$16+$E$13)+$E$11*$E$14))/((1+$E$17)*(1+$E$16))-1)</f>
        <v>7.3787880035717452E-3</v>
      </c>
    </row>
    <row r="24" spans="2:5" x14ac:dyDescent="0.25">
      <c r="B24" s="20" t="s">
        <v>536</v>
      </c>
      <c r="E24" s="23">
        <f>$E$18</f>
        <v>1.3842232537893066E-2</v>
      </c>
    </row>
    <row r="25" spans="2:5" x14ac:dyDescent="0.25">
      <c r="B25" s="24" t="s">
        <v>541</v>
      </c>
      <c r="E25" s="26">
        <f>(E24-E23)*100</f>
        <v>0.64634445343213209</v>
      </c>
    </row>
    <row r="26" spans="2:5" x14ac:dyDescent="0.25">
      <c r="B26" s="20" t="s">
        <v>542</v>
      </c>
      <c r="E26" s="27">
        <f>-(E24-E23)*100</f>
        <v>-0.64634445343213209</v>
      </c>
    </row>
    <row r="28" spans="2:5" x14ac:dyDescent="0.25">
      <c r="B28" s="28" t="s">
        <v>543</v>
      </c>
    </row>
    <row r="31" spans="2:5" x14ac:dyDescent="0.25">
      <c r="B31" s="19" t="s">
        <v>544</v>
      </c>
    </row>
    <row r="32" spans="2:5" x14ac:dyDescent="0.25">
      <c r="B32" s="18" t="s">
        <v>545</v>
      </c>
    </row>
    <row r="34" spans="2:7" x14ac:dyDescent="0.25">
      <c r="B34" s="29" t="s">
        <v>546</v>
      </c>
      <c r="C34" s="29">
        <v>-0.03</v>
      </c>
      <c r="D34" s="29">
        <v>0</v>
      </c>
      <c r="E34" s="29">
        <v>0.02</v>
      </c>
      <c r="F34" s="29">
        <v>0.04</v>
      </c>
      <c r="G34" s="29">
        <v>0.06</v>
      </c>
    </row>
    <row r="35" spans="2:7" x14ac:dyDescent="0.25">
      <c r="B35" s="30" t="s">
        <v>547</v>
      </c>
      <c r="C35" s="31"/>
      <c r="D35" s="31"/>
      <c r="E35" s="31"/>
      <c r="F35" s="31"/>
      <c r="G35" s="31"/>
    </row>
    <row r="36" spans="2:7" ht="15.75" thickBot="1" x14ac:dyDescent="0.3">
      <c r="B36" s="32">
        <v>0</v>
      </c>
      <c r="C36" s="23">
        <f>$E$8*((1+($E$9*($B36+$E$12)+$E$10*($E$16+$E$13)+$E$11*$E$14))/((1+C$34)*(1+$E$16))-1)</f>
        <v>-1.5670415760162627E-2</v>
      </c>
      <c r="D36" s="23">
        <f>$E$8*((1+($E$9*($B36+$E$12)+$E$10*($E$16+$E$13)+$E$11*$E$14))/((1+D$34)*(1+$E$16))-1)</f>
        <v>-3.8000758218394534E-2</v>
      </c>
      <c r="E36" s="23">
        <f>$E$8*((1+($E$9*($B36+$E$12)+$E$10*($E$16+$E$13)+$E$11*$E$14))/((1+E$34)*(1+$E$16))-1)</f>
        <v>-5.215790343701205E-2</v>
      </c>
      <c r="F36" s="23">
        <f>$E$8*((1+($E$9*($B36+$E$12)+$E$10*($E$16+$E$13)+$E$11*$E$14))/((1+F$34)*(1+$E$16))-1)</f>
        <v>-6.5770543070298199E-2</v>
      </c>
      <c r="G36" s="23">
        <f>$E$8*((1+($E$9*($B36+$E$12)+$E$10*($E$16+$E$13)+$E$11*$E$14))/((1+G$34)*(1+$E$16))-1)</f>
        <v>-7.8869498189120729E-2</v>
      </c>
    </row>
    <row r="37" spans="2:7" x14ac:dyDescent="0.25">
      <c r="B37" s="32">
        <v>0.15</v>
      </c>
      <c r="C37" s="23">
        <f>$E$8*((1+($E$9*($B37+$E$12)+$E$10*($E$16+$E$13)+$E$11*$E$14))/((1+C$34)*(1+$E$16))-1)</f>
        <v>2.6639706792276632E-2</v>
      </c>
      <c r="D37" s="33">
        <f>$E$8*((1+($E$9*($B37+$E$12)+$E$10*($E$16+$E$13)+$E$11*$E$14))/((1+D$34)*(1+$E$16))-1)</f>
        <v>3.0400606574715631E-3</v>
      </c>
      <c r="E37" s="34">
        <f>$E$8*((1+($E$9*($B37+$E$12)+$E$10*($E$16+$E$13)+$E$11*$E$14))/((1+E$34)*(1+$E$16))-1)</f>
        <v>-1.1921806499888514E-2</v>
      </c>
      <c r="F37" s="35">
        <f>$E$8*((1+($E$9*($B37+$E$12)+$E$10*($E$16+$E$13)+$E$11*$E$14))/((1+F$34)*(1+$E$16))-1)</f>
        <v>-2.6308217228119348E-2</v>
      </c>
      <c r="G37" s="23">
        <f>$E$8*((1+($E$9*($B37+$E$12)+$E$10*($E$16+$E$13)+$E$11*$E$14))/((1+G$34)*(1+$E$16))-1)</f>
        <v>-4.0151744532643412E-2</v>
      </c>
    </row>
    <row r="38" spans="2:7" ht="15.75" thickBot="1" x14ac:dyDescent="0.3">
      <c r="B38" s="32">
        <v>0.25</v>
      </c>
      <c r="C38" s="23">
        <f>$E$8*((1+($E$9*($B38+$E$12)+$E$10*($E$16+$E$13)+$E$11*$E$14))/((1+C$34)*(1+$E$16))-1)</f>
        <v>5.4846455160569532E-2</v>
      </c>
      <c r="D38" s="36">
        <f>$E$8*((1+($E$9*($B38+$E$12)+$E$10*($E$16+$E$13)+$E$11*$E$14))/((1+D$34)*(1+$E$16))-1)</f>
        <v>3.0400606574715629E-2</v>
      </c>
      <c r="E38" s="37">
        <f>$E$8*((1+($E$9*($B38+$E$12)+$E$10*($E$16+$E$13)+$E$11*$E$14))/((1+E$34)*(1+$E$16))-1)</f>
        <v>1.4902258124860705E-2</v>
      </c>
      <c r="F38" s="38">
        <f>$E$8*((1+($E$9*($B38+$E$12)+$E$10*($E$16+$E$13)+$E$11*$E$14))/((1+F$34)*(1+$E$16))-1)</f>
        <v>0</v>
      </c>
      <c r="G38" s="23">
        <f>$E$8*((1+($E$9*($B38+$E$12)+$E$10*($E$16+$E$13)+$E$11*$E$14))/((1+G$34)*(1+$E$16))-1)</f>
        <v>-1.4339908761658384E-2</v>
      </c>
    </row>
    <row r="39" spans="2:7" x14ac:dyDescent="0.25">
      <c r="B39" s="32">
        <v>0.4</v>
      </c>
      <c r="C39" s="23">
        <f>$E$8*((1+($E$9*($B39+$E$12)+$E$10*($E$16+$E$13)+$E$11*$E$14))/((1+C$34)*(1+$E$16))-1)</f>
        <v>9.7156577713008618E-2</v>
      </c>
      <c r="D39" s="23">
        <f>$E$8*((1+($E$9*($B39+$E$12)+$E$10*($E$16+$E$13)+$E$11*$E$14))/((1+D$34)*(1+$E$16))-1)</f>
        <v>7.1441425450581561E-2</v>
      </c>
      <c r="E39" s="23">
        <f>$E$8*((1+($E$9*($B39+$E$12)+$E$10*($E$16+$E$13)+$E$11*$E$14))/((1+E$34)*(1+$E$16))-1)</f>
        <v>5.5138355061984154E-2</v>
      </c>
      <c r="F39" s="23">
        <f>$E$8*((1+($E$9*($B39+$E$12)+$E$10*($E$16+$E$13)+$E$11*$E$14))/((1+F$34)*(1+$E$16))-1)</f>
        <v>3.9462325842178771E-2</v>
      </c>
      <c r="G39" s="23">
        <f>$E$8*((1+($E$9*($B39+$E$12)+$E$10*($E$16+$E$13)+$E$11*$E$14))/((1+G$34)*(1+$E$16))-1)</f>
        <v>2.4377844894819027E-2</v>
      </c>
    </row>
    <row r="40" spans="2:7" x14ac:dyDescent="0.25">
      <c r="B40" s="32">
        <v>0.6</v>
      </c>
      <c r="C40" s="23">
        <f>$E$8*((1+($E$9*($B40+$E$12)+$E$10*($E$16+$E$13)+$E$11*$E$14))/((1+C$34)*(1+$E$16))-1)</f>
        <v>0.15357007444959442</v>
      </c>
      <c r="D40" s="23">
        <f>$E$8*((1+($E$9*($B40+$E$12)+$E$10*($E$16+$E$13)+$E$11*$E$14))/((1+D$34)*(1+$E$16))-1)</f>
        <v>0.12616251728506969</v>
      </c>
      <c r="E40" s="23">
        <f>$E$8*((1+($E$9*($B40+$E$12)+$E$10*($E$16+$E$13)+$E$11*$E$14))/((1+E$34)*(1+$E$16))-1)</f>
        <v>0.10878648431148243</v>
      </c>
      <c r="F40" s="23">
        <f>$E$8*((1+($E$9*($B40+$E$12)+$E$10*($E$16+$E$13)+$E$11*$E$14))/((1+F$34)*(1+$E$16))-1)</f>
        <v>9.2078760298417467E-2</v>
      </c>
      <c r="G40" s="23">
        <f>$E$8*((1+($E$9*($B40+$E$12)+$E$10*($E$16+$E$13)+$E$11*$E$14))/((1+G$34)*(1+$E$16))-1)</f>
        <v>7.6001516436788902E-2</v>
      </c>
    </row>
    <row r="43" spans="2:7" x14ac:dyDescent="0.25">
      <c r="B43" s="28" t="s">
        <v>548</v>
      </c>
    </row>
    <row r="44" spans="2:7" x14ac:dyDescent="0.25">
      <c r="B44" s="28" t="s">
        <v>549</v>
      </c>
    </row>
  </sheetData>
  <conditionalFormatting sqref="C36:G40">
    <cfRule type="colorScale" priority="1">
      <colorScale>
        <cfvo type="min"/>
        <cfvo type="percentile" val="50"/>
        <cfvo type="max"/>
        <color rgb="FFF8696B"/>
        <color rgb="FFFCFCFF"/>
        <color rgb="FF63BE7B"/>
      </colorScale>
    </cfRule>
  </conditionalFormatting>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F43A0-18B1-4587-9114-656D1C5E6367}">
  <sheetPr>
    <tabColor rgb="FF9BA5B0"/>
  </sheetPr>
  <dimension ref="B2:E30"/>
  <sheetViews>
    <sheetView showGridLines="0" zoomScaleNormal="100" workbookViewId="0" zoomScale="100">
      <pane ySplit="7" topLeftCell="A8" activePane="bottomLeft" state="frozen"/>
      <selection pane="bottomLeft" activeCell="A8" sqref="A8"/>
    </sheetView>
  </sheetViews>
  <sheetFormatPr defaultColWidth="8.7109375" defaultRowHeight="15" x14ac:dyDescent="0.25"/>
  <cols>
    <col min="1" max="1" width="2" style="17" customWidth="1"/>
    <col min="2" max="2" width="24" style="17" customWidth="1"/>
    <col min="3" max="4" width="13" style="17" customWidth="1"/>
    <col min="5" max="5" width="12" style="17" customWidth="1"/>
    <col min="6" max="16384" width="8.7109375" style="17"/>
  </cols>
  <sheetData>
    <row r="2" spans="2:5" ht="25.5" customHeight="1" x14ac:dyDescent="0.25">
      <c r="B2" s="39" t="s">
        <v>550</v>
      </c>
    </row>
    <row r="3" spans="2:5" x14ac:dyDescent="0.25">
      <c r="B3" s="40" t="s">
        <v>551</v>
      </c>
    </row>
    <row r="7" spans="2:5" ht="33.75" customHeight="1" x14ac:dyDescent="0.25">
      <c r="B7" s="41" t="s">
        <v>552</v>
      </c>
      <c r="C7" s="41" t="s">
        <v>553</v>
      </c>
      <c r="D7" s="41" t="s">
        <v>554</v>
      </c>
      <c r="E7" s="41" t="s">
        <v>555</v>
      </c>
    </row>
    <row r="8" spans="2:5" x14ac:dyDescent="0.25">
      <c r="B8" s="42" t="s">
        <v>556</v>
      </c>
      <c r="C8" s="43">
        <v>51</v>
      </c>
      <c r="D8" s="43">
        <v>47</v>
      </c>
      <c r="E8" s="44">
        <f t="shared" ref="E8:E14" si="0">C8-D8</f>
        <v>4</v>
      </c>
    </row>
    <row r="9" spans="2:5" x14ac:dyDescent="0.25">
      <c r="B9" s="42" t="s">
        <v>557</v>
      </c>
      <c r="C9" s="43">
        <v>47</v>
      </c>
      <c r="D9" s="43">
        <v>51</v>
      </c>
      <c r="E9" s="44">
        <f t="shared" si="0"/>
        <v>-4</v>
      </c>
    </row>
    <row r="10" spans="2:5" x14ac:dyDescent="0.25">
      <c r="B10" s="42" t="s">
        <v>558</v>
      </c>
      <c r="C10" s="43">
        <v>37</v>
      </c>
      <c r="D10" s="43">
        <v>59</v>
      </c>
      <c r="E10" s="44">
        <f t="shared" si="0"/>
        <v>-22</v>
      </c>
    </row>
    <row r="11" spans="2:5" x14ac:dyDescent="0.25">
      <c r="B11" s="42" t="s">
        <v>559</v>
      </c>
      <c r="C11" s="43">
        <v>33</v>
      </c>
      <c r="D11" s="43">
        <v>65</v>
      </c>
      <c r="E11" s="44">
        <f t="shared" si="0"/>
        <v>-32</v>
      </c>
    </row>
    <row r="12" spans="2:5" x14ac:dyDescent="0.25">
      <c r="B12" s="42" t="s">
        <v>560</v>
      </c>
      <c r="C12" s="43">
        <v>28</v>
      </c>
      <c r="D12" s="43">
        <v>70</v>
      </c>
      <c r="E12" s="44">
        <f t="shared" si="0"/>
        <v>-42</v>
      </c>
    </row>
    <row r="13" spans="2:5" x14ac:dyDescent="0.25">
      <c r="B13" s="42" t="s">
        <v>561</v>
      </c>
      <c r="C13" s="43">
        <v>25</v>
      </c>
      <c r="D13" s="43">
        <v>67</v>
      </c>
      <c r="E13" s="44">
        <f t="shared" si="0"/>
        <v>-42</v>
      </c>
    </row>
    <row r="14" spans="2:5" x14ac:dyDescent="0.25">
      <c r="B14" s="42" t="s">
        <v>562</v>
      </c>
      <c r="C14" s="43">
        <v>17</v>
      </c>
      <c r="D14" s="43">
        <v>77</v>
      </c>
      <c r="E14" s="44">
        <f t="shared" si="0"/>
        <v>-60</v>
      </c>
    </row>
    <row r="16" spans="2:5" x14ac:dyDescent="0.25">
      <c r="B16" s="45" t="s">
        <v>563</v>
      </c>
    </row>
    <row r="17" spans="2:5" x14ac:dyDescent="0.25">
      <c r="B17" s="42" t="s">
        <v>564</v>
      </c>
      <c r="E17" s="43">
        <v>61</v>
      </c>
    </row>
    <row r="18" spans="2:5" x14ac:dyDescent="0.25">
      <c r="B18" s="42" t="s">
        <v>565</v>
      </c>
      <c r="E18" s="43">
        <v>29</v>
      </c>
    </row>
    <row r="19" spans="2:5" x14ac:dyDescent="0.25">
      <c r="B19" s="42" t="s">
        <v>566</v>
      </c>
      <c r="E19" s="43">
        <v>54</v>
      </c>
    </row>
    <row r="21" spans="2:5" x14ac:dyDescent="0.25">
      <c r="B21" s="46" t="s">
        <v>567</v>
      </c>
    </row>
    <row r="26" spans="2:5" x14ac:dyDescent="0.25">
      <c r="C26" s="47" t="s">
        <v>568</v>
      </c>
      <c r="D26" s="47" t="s">
        <v>569</v>
      </c>
      <c r="E26" s="47" t="s">
        <v>570</v>
      </c>
    </row>
    <row r="27" spans="2:5" x14ac:dyDescent="0.25">
      <c r="C27" s="17" t="s">
        <v>571</v>
      </c>
      <c r="D27" s="17">
        <v>-20</v>
      </c>
      <c r="E27" s="48">
        <f>E11</f>
        <v>-32</v>
      </c>
    </row>
    <row r="28" spans="2:5" x14ac:dyDescent="0.25">
      <c r="C28" s="17" t="s">
        <v>572</v>
      </c>
      <c r="D28" s="17">
        <v>-17</v>
      </c>
      <c r="E28" s="48">
        <f>E8</f>
        <v>4</v>
      </c>
    </row>
    <row r="29" spans="2:5" x14ac:dyDescent="0.25">
      <c r="C29" s="17" t="s">
        <v>573</v>
      </c>
      <c r="E29" s="48">
        <f>E10</f>
        <v>-22</v>
      </c>
    </row>
    <row r="30" spans="2:5" x14ac:dyDescent="0.25">
      <c r="C30" s="17" t="s">
        <v>574</v>
      </c>
      <c r="E30" s="48">
        <f>E12</f>
        <v>-42</v>
      </c>
    </row>
  </sheetData>
  <conditionalFormatting sqref="E8:E14">
    <cfRule type="cellIs" dxfId="0" priority="1" operator="lessThan">
      <formula>0</formula>
    </cfRule>
  </conditionalFormatting>
  <pageMargins left="0.75" right="0.75" top="1" bottom="1" header="0.511811023622047" footer="0.511811023622047"/>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BEDEE-640C-487E-BFE6-9B7D1B9B930D}">
  <sheetPr>
    <tabColor rgb="FFC8102E"/>
  </sheetPr>
  <dimension ref="B3:I9"/>
  <sheetViews>
    <sheetView workbookViewId="0" showGridLines="0" zoomScale="100" zoomScaleNormal="100">
      <pane ySplit="3" topLeftCell="A4" activePane="bottomLeft" state="frozen"/>
      <selection pane="bottomLeft" activeCell="A4" sqref="A4"/>
    </sheetView>
  </sheetViews>
  <sheetFormatPr defaultRowHeight="15" x14ac:dyDescent="0.25"/>
  <cols>
    <col min="2" max="2" width="20.85546875" customWidth="1"/>
    <col min="3" max="3" width="23.5703125" customWidth="1"/>
  </cols>
  <sheetData>
    <row r="3" spans="2:9" x14ac:dyDescent="0.25">
      <c r="C3" t="s">
        <v>600</v>
      </c>
      <c r="D3" t="s">
        <v>603</v>
      </c>
      <c r="E3" t="s">
        <v>604</v>
      </c>
      <c r="F3" t="s">
        <v>601</v>
      </c>
      <c r="G3" t="s">
        <v>602</v>
      </c>
      <c r="H3" t="s">
        <v>606</v>
      </c>
      <c r="I3" t="s">
        <v>605</v>
      </c>
    </row>
    <row r="4" spans="2:9" x14ac:dyDescent="0.25">
      <c r="B4" t="s">
        <v>598</v>
      </c>
      <c r="C4" t="str" cm="1">
        <f t="array" ref="C4">_xll.BDP($B4,C$3)</f>
        <v>ARGENT 1 07/09/29</v>
      </c>
      <c r="D4" cm="1">
        <f t="array" ref="D4">_xll.BDP($B4,D$3)</f>
        <v>1</v>
      </c>
      <c r="E4" cm="1">
        <f t="array" ref="E4">_xll.BDP($B4,E$3)</f>
        <v>89.759500000000003</v>
      </c>
      <c r="F4" cm="1">
        <f t="array" ref="F4">_xll.BDP($B4,F$3)</f>
        <v>4.8175962333717806</v>
      </c>
      <c r="G4" cm="1">
        <f t="array" ref="G4">_xll.BDP($B4,G$3)</f>
        <v>1.5337481171533889</v>
      </c>
      <c r="H4">
        <f>I4*100</f>
        <v>3.099772569559728</v>
      </c>
      <c r="I4" cm="1">
        <f t="array" ref="I4">_xll.BDP($B4,I$3)</f>
        <v>3.0997725695597278E-2</v>
      </c>
    </row>
    <row r="5" spans="2:9" x14ac:dyDescent="0.25">
      <c r="B5" t="s">
        <v>595</v>
      </c>
      <c r="C5" t="str" cm="1">
        <f t="array" ref="C5">_xll.BDP(B5,C$3)</f>
        <v>ARGENT 0 3/4 07/09/30</v>
      </c>
      <c r="D5" cm="1">
        <f t="array" ref="D5">_xll.BDP($B5,D$3)</f>
        <v>0.75</v>
      </c>
      <c r="E5" cm="1">
        <f t="array" ref="E5">_xll.BDP($B5,E$3)</f>
        <v>87.623999999999995</v>
      </c>
      <c r="F5" cm="1">
        <f t="array" ref="F5">_xll.BDP($B5,F$3)</f>
        <v>5.023295456194445</v>
      </c>
      <c r="G5" cm="1">
        <f t="array" ref="G5">_xll.BDP($B5,G$3)</f>
        <v>1.9701816607887026</v>
      </c>
      <c r="H5">
        <f t="shared" ref="H5:H9" si="0">I5*100</f>
        <v>4.8479371453070952</v>
      </c>
      <c r="I5" cm="1">
        <f t="array" ref="I5">_xll.BDP($B5,I$3)</f>
        <v>4.8479371453070956E-2</v>
      </c>
    </row>
    <row r="6" spans="2:9" x14ac:dyDescent="0.25">
      <c r="B6" t="s">
        <v>594</v>
      </c>
      <c r="C6" t="str" cm="1">
        <f t="array" ref="C6">_xll.BDP(B6,C$3)</f>
        <v>ARGENT 4 1/8 07/09/35</v>
      </c>
      <c r="D6" cm="1">
        <f t="array" ref="D6">_xll.BDP($B6,D$3)</f>
        <v>4.125</v>
      </c>
      <c r="E6" cm="1">
        <f t="array" ref="E6">_xll.BDP($B6,E$3)</f>
        <v>77.937000000000012</v>
      </c>
      <c r="F6" cm="1">
        <f t="array" ref="F6">_xll.BDP($B6,F$3)</f>
        <v>8.3988434184246703</v>
      </c>
      <c r="G6" cm="1">
        <f t="array" ref="G6">_xll.BDP($B6,G$3)</f>
        <v>5.2884462534945413</v>
      </c>
      <c r="H6">
        <f t="shared" si="0"/>
        <v>33.482618893377762</v>
      </c>
      <c r="I6" cm="1">
        <f t="array" ref="I6">_xll.BDP($B6,I$3)</f>
        <v>0.33482618893377764</v>
      </c>
    </row>
    <row r="7" spans="2:9" x14ac:dyDescent="0.25">
      <c r="B7" t="s">
        <v>597</v>
      </c>
      <c r="C7" t="str" cm="1">
        <f t="array" ref="C7">_xll.BDP(B7,C$3)</f>
        <v>ARGENT 5 01/09/38</v>
      </c>
      <c r="D7" cm="1">
        <f t="array" ref="D7">_xll.BDP($B7,D$3)</f>
        <v>5</v>
      </c>
      <c r="E7" cm="1">
        <f t="array" ref="E7">_xll.BDP($B7,E$3)</f>
        <v>81.531499999999994</v>
      </c>
      <c r="F7" cm="1">
        <f t="array" ref="F7">_xll.BDP($B7,F$3)</f>
        <v>7.423442528854503</v>
      </c>
      <c r="G7" cm="1">
        <f t="array" ref="G7">_xll.BDP($B7,G$3)</f>
        <v>4.5566702866765674</v>
      </c>
      <c r="H7">
        <f t="shared" si="0"/>
        <v>24.91888291491998</v>
      </c>
      <c r="I7" cm="1">
        <f t="array" ref="I7">_xll.BDP($B7,I$3)</f>
        <v>0.24918882914919979</v>
      </c>
    </row>
    <row r="8" spans="2:9" x14ac:dyDescent="0.25">
      <c r="B8" t="s">
        <v>596</v>
      </c>
      <c r="C8" t="str" cm="1">
        <f t="array" ref="C8">_xll.BDP(B8,C$3)</f>
        <v>ARGENT 3 1/2 07/09/41</v>
      </c>
      <c r="D8" cm="1">
        <f t="array" ref="D8">_xll.BDP($B8,D$3)</f>
        <v>3.5</v>
      </c>
      <c r="E8" cm="1">
        <f t="array" ref="E8">_xll.BDP($B8,E$3)</f>
        <v>72.882499999999993</v>
      </c>
      <c r="F8" cm="1">
        <f t="array" ref="F8">_xll.BDP($B8,F$3)</f>
        <v>7.5249033668862415</v>
      </c>
      <c r="G8" cm="1">
        <f t="array" ref="G8">_xll.BDP($B8,G$3)</f>
        <v>5.7747425694269401</v>
      </c>
      <c r="H8">
        <f t="shared" si="0"/>
        <v>39.467410804234824</v>
      </c>
      <c r="I8" cm="1">
        <f t="array" ref="I8">_xll.BDP($B8,I$3)</f>
        <v>0.39467410804234826</v>
      </c>
    </row>
    <row r="9" spans="2:9" x14ac:dyDescent="0.25">
      <c r="B9" t="s">
        <v>599</v>
      </c>
      <c r="C9" t="str" cm="1">
        <f t="array" ref="C9">_xll.BDP(B9,C$3)</f>
        <v>ARGENT 4 1/8 07/09/46</v>
      </c>
      <c r="D9" cm="1">
        <f t="array" ref="D9">_xll.BDP($B9,D$3)</f>
        <v>4.125</v>
      </c>
      <c r="E9" cm="1">
        <f t="array" ref="E9">_xll.BDP($B9,E$3)</f>
        <v>73.398499999999999</v>
      </c>
      <c r="F9" cm="1">
        <f t="array" ref="F9">_xll.BDP($B9,F$3)</f>
        <v>7.4584381671730391</v>
      </c>
      <c r="G9" cm="1">
        <f t="array" ref="G9">_xll.BDP($B9,G$3)</f>
        <v>6.2064603624855295</v>
      </c>
      <c r="H9">
        <f t="shared" si="0"/>
        <v>46.826511498300654</v>
      </c>
      <c r="I9" cm="1">
        <f t="array" ref="I9">_xll.BDP($B9,I$3)</f>
        <v>0.46826511498300655</v>
      </c>
    </row>
  </sheetData>
  <pageMargins left="0.7" right="0.7" top="0.75" bottom="0.75" header="0.3" footer="0.3"/>
  <ignoredErrors>
    <ignoredError sqref="H4:H9"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E116E-4553-4E71-8432-3F0F22392BBB}">
  <sheetPr>
    <tabColor rgb="FF9BA5B0"/>
  </sheetPr>
  <dimension ref="B2:C13"/>
  <sheetViews>
    <sheetView showGridLines="0" zoomScaleNormal="100" workbookViewId="0" zoomScale="100">
      <pane ySplit="3" topLeftCell="A4" activePane="bottomLeft" state="frozen"/>
      <selection pane="bottomLeft" activeCell="A4" sqref="A4"/>
    </sheetView>
  </sheetViews>
  <sheetFormatPr defaultColWidth="8.7109375" defaultRowHeight="15" x14ac:dyDescent="0.25"/>
  <cols>
    <col min="1" max="1" width="2" style="17" customWidth="1"/>
    <col min="2" max="2" width="30" style="17" customWidth="1"/>
    <col min="3" max="3" width="96" style="17" customWidth="1"/>
    <col min="4" max="16384" width="8.7109375" style="17"/>
  </cols>
  <sheetData>
    <row r="2" spans="2:3" ht="25.5" customHeight="1" x14ac:dyDescent="0.25">
      <c r="B2" s="39" t="s">
        <v>575</v>
      </c>
    </row>
    <row r="4" spans="2:3" ht="21.75" customHeight="1" x14ac:dyDescent="0.25">
      <c r="B4" s="49" t="s">
        <v>576</v>
      </c>
      <c r="C4" s="50" t="s">
        <v>577</v>
      </c>
    </row>
    <row r="5" spans="2:3" ht="12" customHeight="1" x14ac:dyDescent="0.25">
      <c r="B5" s="49" t="s">
        <v>578</v>
      </c>
      <c r="C5" s="50" t="s">
        <v>579</v>
      </c>
    </row>
    <row r="6" spans="2:3" ht="21.75" customHeight="1" x14ac:dyDescent="0.25">
      <c r="B6" s="49" t="s">
        <v>580</v>
      </c>
      <c r="C6" s="50" t="s">
        <v>581</v>
      </c>
    </row>
    <row r="7" spans="2:3" ht="12" customHeight="1" x14ac:dyDescent="0.25">
      <c r="B7" s="49" t="s">
        <v>582</v>
      </c>
      <c r="C7" s="50" t="s">
        <v>583</v>
      </c>
    </row>
    <row r="8" spans="2:3" ht="12" customHeight="1" x14ac:dyDescent="0.25">
      <c r="B8" s="49" t="s">
        <v>584</v>
      </c>
      <c r="C8" s="50" t="s">
        <v>585</v>
      </c>
    </row>
    <row r="9" spans="2:3" ht="12" customHeight="1" x14ac:dyDescent="0.25">
      <c r="B9" s="49" t="s">
        <v>586</v>
      </c>
      <c r="C9" s="50" t="s">
        <v>587</v>
      </c>
    </row>
    <row r="10" spans="2:3" ht="12" customHeight="1" x14ac:dyDescent="0.25">
      <c r="B10" s="49" t="s">
        <v>588</v>
      </c>
      <c r="C10" s="50" t="s">
        <v>589</v>
      </c>
    </row>
    <row r="11" spans="2:3" ht="12" customHeight="1" x14ac:dyDescent="0.25">
      <c r="B11" s="49" t="s">
        <v>590</v>
      </c>
      <c r="C11" s="50" t="s">
        <v>591</v>
      </c>
    </row>
    <row r="13" spans="2:3" ht="12" customHeight="1" x14ac:dyDescent="0.25">
      <c r="B13" s="49" t="s">
        <v>592</v>
      </c>
      <c r="C13" s="50" t="s">
        <v>593</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CDF42-E73C-4F4E-A40E-05449213FCA7}">
  <sheetPr>
    <tabColor rgb="FFC8102E"/>
  </sheetPr>
  <dimension ref="A1:J26"/>
  <sheetViews>
    <sheetView showGridLines="0" zoomScaleNormal="100" workbookViewId="0" zoomScale="100">
      <pane ySplit="5" topLeftCell="A6" activePane="bottomLeft" state="frozen"/>
      <selection pane="bottomLeft" activeCell="A6" sqref="A6"/>
    </sheetView>
  </sheetViews>
  <sheetFormatPr defaultColWidth="8.7109375" defaultRowHeight="15" x14ac:dyDescent="0.25"/>
  <cols>
    <col min="1" max="2" width="19" style="17" customWidth="1"/>
    <col min="3" max="3" width="12" style="17" customWidth="1"/>
    <col min="4" max="4" width="11" style="17" customWidth="1"/>
    <col min="5" max="5" width="15" style="17" customWidth="1"/>
    <col min="6" max="6" width="12" style="17" customWidth="1"/>
    <col min="7" max="7" width="11" style="17" customWidth="1"/>
    <col min="8" max="8" width="14" style="17" customWidth="1"/>
    <col min="9" max="9" width="15" style="17" customWidth="1"/>
    <col min="10" max="12" width="14" style="17" customWidth="1"/>
    <col min="13" max="16384" width="8.7109375" style="17"/>
  </cols>
  <sheetData>
    <row r="1" spans="1:10" ht="16.5" x14ac:dyDescent="0.25">
      <c r="C1" s="51" t="s">
        <v>607</v>
      </c>
    </row>
    <row r="2" spans="1:10" x14ac:dyDescent="0.25">
      <c r="C2" s="52" t="s">
        <v>608</v>
      </c>
    </row>
    <row r="3" spans="1:10" x14ac:dyDescent="0.25">
      <c r="C3" s="53" t="s">
        <v>609</v>
      </c>
      <c r="D3" s="54">
        <v>0.5</v>
      </c>
      <c r="E3" s="55" t="s">
        <v>610</v>
      </c>
    </row>
    <row r="4" spans="1:10" x14ac:dyDescent="0.25">
      <c r="B4" s="17" t="s">
        <v>600</v>
      </c>
      <c r="E4" s="47" t="s">
        <v>603</v>
      </c>
      <c r="F4" s="47" t="s">
        <v>611</v>
      </c>
      <c r="G4" s="47" t="s">
        <v>601</v>
      </c>
      <c r="H4" s="47" t="s">
        <v>602</v>
      </c>
      <c r="I4" s="47" t="s">
        <v>606</v>
      </c>
      <c r="J4" s="47" t="s">
        <v>605</v>
      </c>
    </row>
    <row r="5" spans="1:10" ht="42" customHeight="1" x14ac:dyDescent="0.25">
      <c r="C5" s="56" t="s">
        <v>612</v>
      </c>
      <c r="D5" s="56" t="s">
        <v>613</v>
      </c>
      <c r="E5" s="56" t="s">
        <v>614</v>
      </c>
      <c r="F5" s="56" t="s">
        <v>615</v>
      </c>
      <c r="G5" s="56" t="s">
        <v>616</v>
      </c>
      <c r="H5" s="56" t="s">
        <v>617</v>
      </c>
      <c r="I5" s="56" t="s">
        <v>618</v>
      </c>
    </row>
    <row r="6" spans="1:10" x14ac:dyDescent="0.25">
      <c r="A6" s="17" t="s">
        <v>598</v>
      </c>
      <c r="B6" s="57" t="str" cm="1">
        <f t="array" ref="B6">_xll.BDP($A6,B$4)</f>
        <v>ARGENT 1 07/09/29</v>
      </c>
      <c r="C6" s="58" t="s">
        <v>619</v>
      </c>
      <c r="D6" s="59" t="s">
        <v>620</v>
      </c>
      <c r="E6" s="57" cm="1">
        <f t="array" ref="E6">_xll.BDP($A6,E$4)</f>
        <v>1</v>
      </c>
      <c r="F6" s="57" cm="1">
        <f t="array" ref="F6">_xll.BDP($A6,F$4)</f>
        <v>89.765000000000001</v>
      </c>
      <c r="G6" s="57" cm="1">
        <f t="array" ref="G6">_xll.BDP($A6,G$4)</f>
        <v>4.8175962333717806</v>
      </c>
      <c r="H6" s="57" cm="1">
        <f t="array" ref="H6">_xll.BDP($A6,H$4)</f>
        <v>1.5337481171533889</v>
      </c>
      <c r="I6" s="57">
        <f>J6*100</f>
        <v>3.099772569559728</v>
      </c>
      <c r="J6" s="57" cm="1">
        <f t="array" ref="J6">_xll.BDP($A6,J$4)</f>
        <v>3.0997725695597278E-2</v>
      </c>
    </row>
    <row r="7" spans="1:10" x14ac:dyDescent="0.25">
      <c r="A7" s="17" t="s">
        <v>595</v>
      </c>
      <c r="B7" s="57" t="str" cm="1">
        <f t="array" ref="B7">_xll.BDP($A7,B$4)</f>
        <v>ARGENT 0 3/4 07/09/30</v>
      </c>
      <c r="C7" s="58" t="s">
        <v>621</v>
      </c>
      <c r="D7" s="59" t="s">
        <v>622</v>
      </c>
      <c r="E7" s="57" cm="1">
        <f t="array" ref="E7">_xll.BDP($A7,E$4)</f>
        <v>0.75</v>
      </c>
      <c r="F7" s="57" cm="1">
        <f t="array" ref="F7">_xll.BDP($A7,F$4)</f>
        <v>87.628</v>
      </c>
      <c r="G7" s="57" cm="1">
        <f t="array" ref="G7">_xll.BDP($A7,G$4)</f>
        <v>5.023295456194445</v>
      </c>
      <c r="H7" s="57" cm="1">
        <f t="array" ref="H7">_xll.BDP($A7,H$4)</f>
        <v>1.9701816607887026</v>
      </c>
      <c r="I7" s="57">
        <f t="shared" ref="I7:I11" si="0">J7*100</f>
        <v>4.8479371453070952</v>
      </c>
      <c r="J7" s="57" cm="1">
        <f t="array" ref="J7">_xll.BDP($A7,J$4)</f>
        <v>4.8479371453070956E-2</v>
      </c>
    </row>
    <row r="8" spans="1:10" x14ac:dyDescent="0.25">
      <c r="A8" s="17" t="s">
        <v>594</v>
      </c>
      <c r="B8" s="57" t="str" cm="1">
        <f t="array" ref="B8">_xll.BDP($A8,B$4)</f>
        <v>ARGENT 4 1/8 07/09/35</v>
      </c>
      <c r="C8" s="58" t="s">
        <v>623</v>
      </c>
      <c r="D8" s="59" t="s">
        <v>624</v>
      </c>
      <c r="E8" s="57" cm="1">
        <f t="array" ref="E8">_xll.BDP($A8,E$4)</f>
        <v>4.125</v>
      </c>
      <c r="F8" s="57" cm="1">
        <f t="array" ref="F8">_xll.BDP($A8,F$4)</f>
        <v>77.936000000000007</v>
      </c>
      <c r="G8" s="57" cm="1">
        <f t="array" ref="G8">_xll.BDP($A8,G$4)</f>
        <v>8.3988434184246703</v>
      </c>
      <c r="H8" s="57" cm="1">
        <f t="array" ref="H8">_xll.BDP($A8,H$4)</f>
        <v>5.2884462534945413</v>
      </c>
      <c r="I8" s="57">
        <f t="shared" si="0"/>
        <v>33.482618893377762</v>
      </c>
      <c r="J8" s="57" cm="1">
        <f t="array" ref="J8">_xll.BDP($A8,J$4)</f>
        <v>0.33482618893377764</v>
      </c>
    </row>
    <row r="9" spans="1:10" x14ac:dyDescent="0.25">
      <c r="A9" s="17" t="s">
        <v>597</v>
      </c>
      <c r="B9" s="57" t="str" cm="1">
        <f t="array" ref="B9">_xll.BDP($A9,B$4)</f>
        <v>ARGENT 5 01/09/38</v>
      </c>
      <c r="C9" s="58" t="s">
        <v>625</v>
      </c>
      <c r="D9" s="59" t="s">
        <v>626</v>
      </c>
      <c r="E9" s="57" cm="1">
        <f t="array" ref="E9">_xll.BDP($A9,E$4)</f>
        <v>5</v>
      </c>
      <c r="F9" s="57" cm="1">
        <f t="array" ref="F9">_xll.BDP($A9,F$4)</f>
        <v>81.533500000000004</v>
      </c>
      <c r="G9" s="57" cm="1">
        <f t="array" ref="G9">_xll.BDP($A9,G$4)</f>
        <v>7.423442528854503</v>
      </c>
      <c r="H9" s="57" cm="1">
        <f t="array" ref="H9">_xll.BDP($A9,H$4)</f>
        <v>4.5566702866765674</v>
      </c>
      <c r="I9" s="57">
        <f t="shared" si="0"/>
        <v>24.91888291491998</v>
      </c>
      <c r="J9" s="57" cm="1">
        <f t="array" ref="J9">_xll.BDP($A9,J$4)</f>
        <v>0.24918882914919979</v>
      </c>
    </row>
    <row r="10" spans="1:10" x14ac:dyDescent="0.25">
      <c r="A10" s="17" t="s">
        <v>596</v>
      </c>
      <c r="B10" s="57" t="str" cm="1">
        <f t="array" ref="B10">_xll.BDP($A10,B$4)</f>
        <v>ARGENT 3 1/2 07/09/41</v>
      </c>
      <c r="C10" s="58" t="s">
        <v>627</v>
      </c>
      <c r="D10" s="59" t="s">
        <v>628</v>
      </c>
      <c r="E10" s="57" cm="1">
        <f t="array" ref="E10">_xll.BDP($A10,E$4)</f>
        <v>3.5</v>
      </c>
      <c r="F10" s="57" cm="1">
        <f t="array" ref="F10">_xll.BDP($A10,F$4)</f>
        <v>72.883499999999998</v>
      </c>
      <c r="G10" s="57" cm="1">
        <f t="array" ref="G10">_xll.BDP($A10,G$4)</f>
        <v>7.5249033668862415</v>
      </c>
      <c r="H10" s="57" cm="1">
        <f t="array" ref="H10">_xll.BDP($A10,H$4)</f>
        <v>5.7747425694269401</v>
      </c>
      <c r="I10" s="57">
        <f t="shared" si="0"/>
        <v>39.467410804234824</v>
      </c>
      <c r="J10" s="57" cm="1">
        <f t="array" ref="J10">_xll.BDP($A10,J$4)</f>
        <v>0.39467410804234826</v>
      </c>
    </row>
    <row r="11" spans="1:10" x14ac:dyDescent="0.25">
      <c r="A11" s="17" t="s">
        <v>599</v>
      </c>
      <c r="B11" s="57" t="str" cm="1">
        <f t="array" ref="B11">_xll.BDP($A11,B$4)</f>
        <v>ARGENT 4 1/8 07/09/46</v>
      </c>
      <c r="C11" s="58" t="s">
        <v>629</v>
      </c>
      <c r="D11" s="59" t="s">
        <v>630</v>
      </c>
      <c r="E11" s="57" cm="1">
        <f t="array" ref="E11">_xll.BDP($A11,E$4)</f>
        <v>4.125</v>
      </c>
      <c r="F11" s="57" cm="1">
        <f t="array" ref="F11">_xll.BDP($A11,F$4)</f>
        <v>73.400000000000006</v>
      </c>
      <c r="G11" s="57" cm="1">
        <f t="array" ref="G11">_xll.BDP($A11,G$4)</f>
        <v>7.4584381671730391</v>
      </c>
      <c r="H11" s="57" cm="1">
        <f t="array" ref="H11">_xll.BDP($A11,H$4)</f>
        <v>6.2064603624855295</v>
      </c>
      <c r="I11" s="57">
        <f t="shared" si="0"/>
        <v>46.826511498300654</v>
      </c>
      <c r="J11" s="57" cm="1">
        <f t="array" ref="J11">_xll.BDP($A11,J$4)</f>
        <v>0.46826511498300655</v>
      </c>
    </row>
    <row r="13" spans="1:10" x14ac:dyDescent="0.25">
      <c r="C13" s="52" t="s">
        <v>631</v>
      </c>
    </row>
    <row r="14" spans="1:10" x14ac:dyDescent="0.25">
      <c r="C14" s="52" t="s">
        <v>632</v>
      </c>
    </row>
    <row r="15" spans="1:10" x14ac:dyDescent="0.25">
      <c r="C15" s="52" t="s">
        <v>633</v>
      </c>
    </row>
    <row r="16" spans="1:10" x14ac:dyDescent="0.25">
      <c r="C16" s="52" t="s">
        <v>634</v>
      </c>
    </row>
    <row r="26" spans="6:6" x14ac:dyDescent="0.25">
      <c r="F26" s="17">
        <f>8/12</f>
        <v>0.66666666666666663</v>
      </c>
    </row>
  </sheetData>
  <pageMargins left="0.75" right="0.75" top="1" bottom="1" header="0.511811023622047" footer="0.511811023622047"/>
  <pageSetup paperSize="9" orientation="portrait" horizontalDpi="300" verticalDpi="30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34B8D-1B70-4277-87FF-238B4B627027}">
  <sheetPr>
    <tabColor rgb="FFC8102E"/>
  </sheetPr>
  <dimension ref="A1:I16"/>
  <sheetViews>
    <sheetView showGridLines="0" zoomScaleNormal="100" workbookViewId="0" zoomScale="100">
      <pane ySplit="5" topLeftCell="A6" activePane="bottomLeft" state="frozen"/>
      <selection pane="bottomLeft" activeCell="A6" sqref="A6"/>
    </sheetView>
  </sheetViews>
  <sheetFormatPr defaultColWidth="8.7109375" defaultRowHeight="15" x14ac:dyDescent="0.25"/>
  <cols>
    <col min="1" max="1" width="11" style="17" customWidth="1"/>
    <col min="2" max="2" width="13" style="17" customWidth="1"/>
    <col min="3" max="3" width="15" style="17" customWidth="1"/>
    <col min="4" max="5" width="14" style="17" customWidth="1"/>
    <col min="6" max="6" width="13" style="17" customWidth="1"/>
    <col min="7" max="8" width="17" style="17" customWidth="1"/>
    <col min="9" max="9" width="12" style="17" customWidth="1"/>
    <col min="10" max="10" width="14" style="17" customWidth="1"/>
    <col min="11" max="16384" width="8.7109375" style="17"/>
  </cols>
  <sheetData>
    <row r="1" spans="1:9" ht="16.5" x14ac:dyDescent="0.25">
      <c r="A1" s="51" t="s">
        <v>635</v>
      </c>
    </row>
    <row r="2" spans="1:9" x14ac:dyDescent="0.25">
      <c r="A2" s="52" t="s">
        <v>636</v>
      </c>
    </row>
    <row r="5" spans="1:9" ht="42" customHeight="1" x14ac:dyDescent="0.25">
      <c r="A5" s="56" t="s">
        <v>612</v>
      </c>
      <c r="B5" s="56" t="s">
        <v>637</v>
      </c>
      <c r="C5" s="56" t="s">
        <v>638</v>
      </c>
      <c r="D5" s="56" t="s">
        <v>639</v>
      </c>
      <c r="E5" s="56" t="s">
        <v>640</v>
      </c>
      <c r="F5" s="56" t="s">
        <v>617</v>
      </c>
      <c r="G5" s="56" t="s">
        <v>641</v>
      </c>
      <c r="H5" s="56" t="s">
        <v>642</v>
      </c>
      <c r="I5" s="56" t="s">
        <v>643</v>
      </c>
    </row>
    <row r="6" spans="1:9" x14ac:dyDescent="0.25">
      <c r="A6" s="60" t="str">
        <f>'1 Bond inputs'!C6</f>
        <v>GD29</v>
      </c>
      <c r="B6" s="61">
        <f>'1 Bond inputs'!$D$3</f>
        <v>0.5</v>
      </c>
      <c r="C6" s="62">
        <f>'1 Bond inputs'!G6*$B6</f>
        <v>2.4087981166858903</v>
      </c>
      <c r="D6" s="63">
        <f>'1 Bond inputs'!E6*$B6/'1 Bond inputs'!F6*100</f>
        <v>0.55700997047847156</v>
      </c>
      <c r="E6" s="63">
        <f t="shared" ref="E6:E11" si="0">C6-D6</f>
        <v>1.8517881462074186</v>
      </c>
      <c r="F6" s="61">
        <f>'1 Bond inputs'!H6</f>
        <v>1.5337481171533889</v>
      </c>
      <c r="G6" s="64">
        <f t="shared" ref="G6:G11" si="1">C6/100/F6*10000</f>
        <v>157.05304474352539</v>
      </c>
      <c r="H6" s="65">
        <f>(F6-SQRT(F6^2-2*'1 Bond inputs'!I6*C6/100))/'1 Bond inputs'!I6*10000</f>
        <v>159.62796477337309</v>
      </c>
      <c r="I6" s="63">
        <f>'1 Bond inputs'!F6-'1 Bond inputs'!E6*$B6</f>
        <v>89.265000000000001</v>
      </c>
    </row>
    <row r="7" spans="1:9" x14ac:dyDescent="0.25">
      <c r="A7" s="60" t="str">
        <f>'1 Bond inputs'!C7</f>
        <v>GD30</v>
      </c>
      <c r="B7" s="61">
        <f>'1 Bond inputs'!$D$3</f>
        <v>0.5</v>
      </c>
      <c r="C7" s="62">
        <f>'1 Bond inputs'!G7*$B7</f>
        <v>2.5116477280972225</v>
      </c>
      <c r="D7" s="63">
        <f>'1 Bond inputs'!E7*$B7/'1 Bond inputs'!F7*100</f>
        <v>0.42794540557812577</v>
      </c>
      <c r="E7" s="63">
        <f t="shared" si="0"/>
        <v>2.0837023225190965</v>
      </c>
      <c r="F7" s="61">
        <f>'1 Bond inputs'!H7</f>
        <v>1.9701816607887026</v>
      </c>
      <c r="G7" s="64">
        <f t="shared" si="1"/>
        <v>127.48305286182394</v>
      </c>
      <c r="H7" s="65">
        <f>(F7-SQRT(F7^2-2*'1 Bond inputs'!I7*C7/100))/'1 Bond inputs'!I7*10000</f>
        <v>129.54786837930692</v>
      </c>
      <c r="I7" s="63">
        <f>'1 Bond inputs'!F7-'1 Bond inputs'!E7*$B7</f>
        <v>87.253</v>
      </c>
    </row>
    <row r="8" spans="1:9" x14ac:dyDescent="0.25">
      <c r="A8" s="60" t="str">
        <f>'1 Bond inputs'!C8</f>
        <v>GD35</v>
      </c>
      <c r="B8" s="61">
        <f>'1 Bond inputs'!$D$3</f>
        <v>0.5</v>
      </c>
      <c r="C8" s="62">
        <f>'1 Bond inputs'!G8*$B8</f>
        <v>4.1994217092123352</v>
      </c>
      <c r="D8" s="63">
        <f>'1 Bond inputs'!E8*$B8/'1 Bond inputs'!F8*100</f>
        <v>2.6464021761445284</v>
      </c>
      <c r="E8" s="63">
        <f t="shared" si="0"/>
        <v>1.5530195330678067</v>
      </c>
      <c r="F8" s="61">
        <f>'1 Bond inputs'!H8</f>
        <v>5.2884462534945413</v>
      </c>
      <c r="G8" s="64">
        <f t="shared" si="1"/>
        <v>79.407476372429954</v>
      </c>
      <c r="H8" s="65">
        <f>(F8-SQRT(F8^2-2*'1 Bond inputs'!I8*C8/100))/'1 Bond inputs'!I8*10000</f>
        <v>81.510726158207035</v>
      </c>
      <c r="I8" s="63">
        <f>'1 Bond inputs'!F8-'1 Bond inputs'!E8*$B8</f>
        <v>75.873500000000007</v>
      </c>
    </row>
    <row r="9" spans="1:9" x14ac:dyDescent="0.25">
      <c r="A9" s="60" t="str">
        <f>'1 Bond inputs'!C9</f>
        <v>GD38</v>
      </c>
      <c r="B9" s="61">
        <f>'1 Bond inputs'!$D$3</f>
        <v>0.5</v>
      </c>
      <c r="C9" s="62">
        <f>'1 Bond inputs'!G9*$B9</f>
        <v>3.7117212644272515</v>
      </c>
      <c r="D9" s="63">
        <f>'1 Bond inputs'!E9*$B9/'1 Bond inputs'!F9*100</f>
        <v>3.0662243127058204</v>
      </c>
      <c r="E9" s="63">
        <f t="shared" si="0"/>
        <v>0.64549695172143107</v>
      </c>
      <c r="F9" s="61">
        <f>'1 Bond inputs'!H9</f>
        <v>4.5566702866765674</v>
      </c>
      <c r="G9" s="64">
        <f t="shared" si="1"/>
        <v>81.456875984205027</v>
      </c>
      <c r="H9" s="65">
        <f>(F9-SQRT(F9^2-2*'1 Bond inputs'!I9*C9/100))/'1 Bond inputs'!I9*10000</f>
        <v>83.356785353585764</v>
      </c>
      <c r="I9" s="63">
        <f>'1 Bond inputs'!F9-'1 Bond inputs'!E9*$B9</f>
        <v>79.033500000000004</v>
      </c>
    </row>
    <row r="10" spans="1:9" x14ac:dyDescent="0.25">
      <c r="A10" s="60" t="str">
        <f>'1 Bond inputs'!C10</f>
        <v>GD41</v>
      </c>
      <c r="B10" s="61">
        <f>'1 Bond inputs'!$D$3</f>
        <v>0.5</v>
      </c>
      <c r="C10" s="62">
        <f>'1 Bond inputs'!G10*$B10</f>
        <v>3.7624516834431208</v>
      </c>
      <c r="D10" s="63">
        <f>'1 Bond inputs'!E10*$B10/'1 Bond inputs'!F10*100</f>
        <v>2.401092153916867</v>
      </c>
      <c r="E10" s="63">
        <f t="shared" si="0"/>
        <v>1.3613595295262537</v>
      </c>
      <c r="F10" s="61">
        <f>'1 Bond inputs'!H10</f>
        <v>5.7747425694269401</v>
      </c>
      <c r="G10" s="64">
        <f t="shared" si="1"/>
        <v>65.153582834368493</v>
      </c>
      <c r="H10" s="65">
        <f>(F10-SQRT(F10^2-2*'1 Bond inputs'!I10*C10/100))/'1 Bond inputs'!I10*10000</f>
        <v>66.672629731648584</v>
      </c>
      <c r="I10" s="63">
        <f>'1 Bond inputs'!F10-'1 Bond inputs'!E10*$B10</f>
        <v>71.133499999999998</v>
      </c>
    </row>
    <row r="11" spans="1:9" x14ac:dyDescent="0.25">
      <c r="A11" s="60" t="str">
        <f>'1 Bond inputs'!C11</f>
        <v>GD46</v>
      </c>
      <c r="B11" s="61">
        <f>'1 Bond inputs'!$D$3</f>
        <v>0.5</v>
      </c>
      <c r="C11" s="62">
        <f>'1 Bond inputs'!G11*$B11</f>
        <v>3.7292190835865195</v>
      </c>
      <c r="D11" s="63">
        <f>'1 Bond inputs'!E11*$B11/'1 Bond inputs'!F11*100</f>
        <v>2.8099455040871932</v>
      </c>
      <c r="E11" s="63">
        <f t="shared" si="0"/>
        <v>0.91927357949932631</v>
      </c>
      <c r="F11" s="61">
        <f>'1 Bond inputs'!H11</f>
        <v>6.2064603624855295</v>
      </c>
      <c r="G11" s="64">
        <f t="shared" si="1"/>
        <v>60.086085558968463</v>
      </c>
      <c r="H11" s="65">
        <f>(F11-SQRT(F11^2-2*'1 Bond inputs'!I11*C11/100))/'1 Bond inputs'!I11*10000</f>
        <v>61.513529687758187</v>
      </c>
      <c r="I11" s="63">
        <f>'1 Bond inputs'!F11-'1 Bond inputs'!E11*$B11</f>
        <v>71.337500000000006</v>
      </c>
    </row>
    <row r="13" spans="1:9" x14ac:dyDescent="0.25">
      <c r="A13" s="52" t="s">
        <v>644</v>
      </c>
    </row>
    <row r="14" spans="1:9" x14ac:dyDescent="0.25">
      <c r="A14" s="52" t="s">
        <v>645</v>
      </c>
    </row>
    <row r="15" spans="1:9" x14ac:dyDescent="0.25">
      <c r="A15" s="52" t="s">
        <v>646</v>
      </c>
    </row>
    <row r="16" spans="1:9" x14ac:dyDescent="0.25">
      <c r="A16" s="52" t="s">
        <v>647</v>
      </c>
    </row>
  </sheetData>
  <pageMargins left="0.75" right="0.75" top="1" bottom="1" header="0.511811023622047" footer="0.511811023622047"/>
  <pageSetup paperSize="9" orientation="portrait" horizontalDpi="300" verticalDpi="300"/>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C3BE6-BFD0-43AD-AFC5-22A422B4E277}">
  <sheetPr>
    <tabColor rgb="FF10437C"/>
  </sheetPr>
  <dimension ref="A1:AF41"/>
  <sheetViews>
    <sheetView zoomScale="100" zoomScaleNormal="100" workbookViewId="0" showGridLines="0">
      <pane ySplit="7" topLeftCell="A8" activePane="bottomLeft" state="frozen"/>
      <selection pane="bottomLeft" activeCell="A8" sqref="A8"/>
    </sheetView>
  </sheetViews>
  <sheetFormatPr defaultRowHeight="15" x14ac:dyDescent="0.25"/>
  <cols>
    <col min="3" max="10" width="12.5703125" customWidth="1"/>
    <col min="11" max="11" width="10.5703125" bestFit="1" customWidth="1"/>
    <col min="12" max="12" width="12.140625" customWidth="1"/>
    <col min="13" max="24" width="14.42578125" customWidth="1"/>
    <col min="25" max="31" width="12.140625" customWidth="1"/>
    <col min="32" max="32" width="13.28515625" customWidth="1"/>
  </cols>
  <sheetData>
    <row r="1" spans="1:32" x14ac:dyDescent="0.25">
      <c r="K1" s="11"/>
    </row>
    <row r="2" spans="1:32" x14ac:dyDescent="0.25">
      <c r="C2" s="11" t="s">
        <v>649</v>
      </c>
      <c r="D2" s="11" t="s">
        <v>650</v>
      </c>
      <c r="E2" s="11" t="s">
        <v>651</v>
      </c>
      <c r="F2" s="11" t="s">
        <v>654</v>
      </c>
      <c r="G2" s="11" t="s">
        <v>656</v>
      </c>
      <c r="H2" s="11" t="s">
        <v>658</v>
      </c>
      <c r="I2" s="11" t="s">
        <v>660</v>
      </c>
      <c r="J2" s="11" t="s">
        <v>662</v>
      </c>
    </row>
    <row r="3" spans="1:32" x14ac:dyDescent="0.25">
      <c r="B3" s="1" t="s">
        <v>663</v>
      </c>
      <c r="C3" t="s">
        <v>648</v>
      </c>
      <c r="D3" t="s">
        <v>652</v>
      </c>
      <c r="E3" t="s">
        <v>653</v>
      </c>
      <c r="F3" t="s">
        <v>655</v>
      </c>
      <c r="G3" t="s">
        <v>657</v>
      </c>
      <c r="H3" t="s">
        <v>659</v>
      </c>
      <c r="I3" t="s">
        <v>661</v>
      </c>
      <c r="J3" t="s">
        <v>674</v>
      </c>
    </row>
    <row r="4" spans="1:32" x14ac:dyDescent="0.25">
      <c r="B4" t="s">
        <v>9</v>
      </c>
      <c r="C4" t="s">
        <v>664</v>
      </c>
      <c r="D4" t="s">
        <v>665</v>
      </c>
      <c r="E4" t="s">
        <v>666</v>
      </c>
      <c r="F4" t="s">
        <v>667</v>
      </c>
      <c r="G4" t="s">
        <v>668</v>
      </c>
      <c r="H4" t="s">
        <v>669</v>
      </c>
      <c r="I4" t="s">
        <v>670</v>
      </c>
      <c r="J4" t="s">
        <v>675</v>
      </c>
    </row>
    <row r="5" spans="1:32" x14ac:dyDescent="0.25">
      <c r="B5" t="s">
        <v>8</v>
      </c>
      <c r="C5" t="s">
        <v>147</v>
      </c>
      <c r="D5" t="s">
        <v>147</v>
      </c>
      <c r="E5" t="s">
        <v>147</v>
      </c>
      <c r="F5" t="s">
        <v>147</v>
      </c>
      <c r="G5" t="s">
        <v>147</v>
      </c>
      <c r="H5" t="s">
        <v>147</v>
      </c>
      <c r="I5" t="s">
        <v>147</v>
      </c>
      <c r="J5" t="s">
        <v>147</v>
      </c>
    </row>
    <row r="6" spans="1:32" x14ac:dyDescent="0.25">
      <c r="B6" t="s">
        <v>7</v>
      </c>
      <c r="C6" t="s">
        <v>481</v>
      </c>
      <c r="D6" t="s">
        <v>481</v>
      </c>
      <c r="E6" t="s">
        <v>481</v>
      </c>
      <c r="F6" t="s">
        <v>481</v>
      </c>
      <c r="G6" t="s">
        <v>481</v>
      </c>
      <c r="H6" t="s">
        <v>481</v>
      </c>
      <c r="I6" t="s">
        <v>481</v>
      </c>
      <c r="J6" t="s">
        <v>481</v>
      </c>
    </row>
    <row r="7" spans="1:32" x14ac:dyDescent="0.25">
      <c r="B7" t="s">
        <v>6</v>
      </c>
      <c r="C7" t="s">
        <v>145</v>
      </c>
      <c r="D7" t="s">
        <v>145</v>
      </c>
      <c r="E7" t="s">
        <v>145</v>
      </c>
      <c r="F7" t="s">
        <v>145</v>
      </c>
      <c r="G7" t="s">
        <v>145</v>
      </c>
      <c r="H7" t="s">
        <v>145</v>
      </c>
      <c r="I7" t="s">
        <v>145</v>
      </c>
      <c r="J7" t="s">
        <v>145</v>
      </c>
    </row>
    <row r="8" spans="1:32" x14ac:dyDescent="0.25">
      <c r="A8" t="s">
        <v>492</v>
      </c>
      <c r="B8" t="s">
        <v>339</v>
      </c>
      <c r="C8" s="6">
        <v>707324.26800000004</v>
      </c>
      <c r="D8" s="6">
        <v>552912.87899999996</v>
      </c>
      <c r="E8" s="6">
        <v>92056.194000000003</v>
      </c>
      <c r="F8" s="6">
        <v>152300.60399999999</v>
      </c>
      <c r="G8" s="6">
        <v>-9443.6720000000005</v>
      </c>
      <c r="H8" s="6" t="e">
        <v>#N/A</v>
      </c>
      <c r="I8" s="6">
        <v>144939.932</v>
      </c>
      <c r="J8" s="6">
        <v>225441.66899999999</v>
      </c>
    </row>
    <row r="9" spans="1:32" x14ac:dyDescent="0.25">
      <c r="A9" t="s">
        <v>500</v>
      </c>
      <c r="B9" t="s">
        <v>340</v>
      </c>
      <c r="C9" s="6">
        <v>747428.3</v>
      </c>
      <c r="D9" s="6">
        <v>588455.75699999998</v>
      </c>
      <c r="E9" s="6">
        <v>97624.180999999997</v>
      </c>
      <c r="F9" s="6">
        <v>151659.16800000001</v>
      </c>
      <c r="G9" s="6">
        <v>-7901.4440000000004</v>
      </c>
      <c r="H9" s="6" t="e">
        <v>#N/A</v>
      </c>
      <c r="I9" s="6">
        <v>137726.12100000001</v>
      </c>
      <c r="J9" s="6">
        <v>220135.48199999999</v>
      </c>
    </row>
    <row r="10" spans="1:32" x14ac:dyDescent="0.25">
      <c r="A10" t="s">
        <v>501</v>
      </c>
      <c r="B10" t="s">
        <v>341</v>
      </c>
      <c r="C10" s="6">
        <v>696101.58400000003</v>
      </c>
      <c r="D10" s="6">
        <v>513316.29300000001</v>
      </c>
      <c r="E10" s="6">
        <v>96923.532999999996</v>
      </c>
      <c r="F10" s="6">
        <v>142066.41500000001</v>
      </c>
      <c r="G10" s="6">
        <v>6049.8969999999999</v>
      </c>
      <c r="H10" s="6" t="e">
        <v>#N/A</v>
      </c>
      <c r="I10" s="6">
        <v>144474.37400000001</v>
      </c>
      <c r="J10" s="6">
        <v>206728.929</v>
      </c>
    </row>
    <row r="11" spans="1:32" x14ac:dyDescent="0.25">
      <c r="A11" t="s">
        <v>502</v>
      </c>
      <c r="B11" t="s">
        <v>342</v>
      </c>
      <c r="C11" s="6">
        <v>678655.62</v>
      </c>
      <c r="D11" s="6">
        <v>451265.20899999997</v>
      </c>
      <c r="E11" s="6">
        <v>101213.659</v>
      </c>
      <c r="F11" s="6">
        <v>121488.746</v>
      </c>
      <c r="G11" s="6">
        <v>15485.466</v>
      </c>
      <c r="H11" s="6" t="e">
        <v>#N/A</v>
      </c>
      <c r="I11" s="6">
        <v>160897.22</v>
      </c>
      <c r="J11" s="6">
        <v>171694.68</v>
      </c>
      <c r="L11" t="s">
        <v>671</v>
      </c>
      <c r="M11" t="s">
        <v>672</v>
      </c>
      <c r="N11" t="s">
        <v>673</v>
      </c>
      <c r="P11" s="11" t="s">
        <v>650</v>
      </c>
      <c r="Q11" s="11" t="s">
        <v>651</v>
      </c>
      <c r="R11" s="11" t="s">
        <v>654</v>
      </c>
      <c r="S11" s="11" t="s">
        <v>656</v>
      </c>
      <c r="T11" s="11" t="s">
        <v>658</v>
      </c>
      <c r="U11" s="11" t="s">
        <v>660</v>
      </c>
      <c r="V11" s="11" t="s">
        <v>662</v>
      </c>
      <c r="W11" s="11"/>
      <c r="X11" s="11" t="s">
        <v>734</v>
      </c>
      <c r="Y11" s="11" t="s">
        <v>733</v>
      </c>
      <c r="Z11" s="11" t="s">
        <v>650</v>
      </c>
      <c r="AA11" s="11" t="s">
        <v>651</v>
      </c>
      <c r="AB11" s="11" t="s">
        <v>654</v>
      </c>
      <c r="AC11" s="11" t="s">
        <v>656</v>
      </c>
      <c r="AD11" s="11" t="s">
        <v>658</v>
      </c>
      <c r="AE11" s="11" t="s">
        <v>660</v>
      </c>
      <c r="AF11" s="11" t="s">
        <v>662</v>
      </c>
    </row>
    <row r="12" spans="1:32" x14ac:dyDescent="0.25">
      <c r="A12" t="s">
        <v>493</v>
      </c>
      <c r="B12" t="s">
        <v>343</v>
      </c>
      <c r="C12" s="6">
        <v>665848.71499999997</v>
      </c>
      <c r="D12" s="6">
        <v>504391.511</v>
      </c>
      <c r="E12" s="6">
        <v>87955.884999999995</v>
      </c>
      <c r="F12" s="6">
        <v>114187.826</v>
      </c>
      <c r="G12" s="6">
        <v>-17798.712</v>
      </c>
      <c r="H12" s="6" t="e">
        <v>#N/A</v>
      </c>
      <c r="I12" s="6">
        <v>145979.48699999999</v>
      </c>
      <c r="J12" s="6">
        <v>168867.28200000001</v>
      </c>
      <c r="L12" s="6">
        <f>P12+Q12</f>
        <v>-7.4395407284399839</v>
      </c>
      <c r="M12" s="6">
        <f>U12-V12</f>
        <v>8.1453365318436965</v>
      </c>
      <c r="N12" s="6">
        <f>S12</f>
        <v>-1.1812177777562134</v>
      </c>
      <c r="O12" s="6"/>
      <c r="P12" s="6">
        <f>Z12/$Y12*$X12</f>
        <v>-6.8598477664561024</v>
      </c>
      <c r="Q12" s="6">
        <f t="shared" ref="Q12:V12" si="0">AA12/$Y12*$X12</f>
        <v>-0.57969296198388176</v>
      </c>
      <c r="R12" s="6">
        <f t="shared" si="0"/>
        <v>-5.3883034591427315</v>
      </c>
      <c r="S12" s="6">
        <f t="shared" si="0"/>
        <v>-1.1812177777562134</v>
      </c>
      <c r="T12" s="6" t="e">
        <f t="shared" si="0"/>
        <v>#N/A</v>
      </c>
      <c r="U12" s="6">
        <f t="shared" si="0"/>
        <v>0.14697007398592374</v>
      </c>
      <c r="V12" s="6">
        <f t="shared" si="0"/>
        <v>-7.998366457857772</v>
      </c>
      <c r="W12" s="6"/>
      <c r="X12" s="6">
        <f>(C12/C8-1)*100</f>
        <v>-5.8637254334952482</v>
      </c>
      <c r="Y12" s="6">
        <f>C12-C8</f>
        <v>-41475.553000000073</v>
      </c>
      <c r="Z12" s="6">
        <f t="shared" ref="Z12:AF12" si="1">D12-D8</f>
        <v>-48521.367999999959</v>
      </c>
      <c r="AA12" s="6">
        <f t="shared" si="1"/>
        <v>-4100.3090000000084</v>
      </c>
      <c r="AB12" s="6">
        <f t="shared" si="1"/>
        <v>-38112.777999999991</v>
      </c>
      <c r="AC12" s="6">
        <f t="shared" si="1"/>
        <v>-8355.0399999999991</v>
      </c>
      <c r="AD12" s="6" t="e">
        <f t="shared" si="1"/>
        <v>#N/A</v>
      </c>
      <c r="AE12" s="6">
        <f t="shared" si="1"/>
        <v>1039.554999999993</v>
      </c>
      <c r="AF12" s="6">
        <f t="shared" si="1"/>
        <v>-56574.386999999988</v>
      </c>
    </row>
    <row r="13" spans="1:32" x14ac:dyDescent="0.25">
      <c r="A13" t="s">
        <v>503</v>
      </c>
      <c r="B13" t="s">
        <v>344</v>
      </c>
      <c r="C13" s="6">
        <v>751784.46100000001</v>
      </c>
      <c r="D13" s="6">
        <v>550677.28500000003</v>
      </c>
      <c r="E13" s="6">
        <v>93381.864000000001</v>
      </c>
      <c r="F13" s="6">
        <v>123592.228</v>
      </c>
      <c r="G13" s="6">
        <v>-4122.05</v>
      </c>
      <c r="H13" s="6" t="e">
        <v>#N/A</v>
      </c>
      <c r="I13" s="6">
        <v>159369.07399999999</v>
      </c>
      <c r="J13" s="6">
        <v>171113.94</v>
      </c>
      <c r="L13" s="6"/>
      <c r="M13" s="6"/>
      <c r="N13" s="6"/>
      <c r="O13" s="6"/>
      <c r="P13" s="6">
        <f t="shared" ref="P13:P41" si="2">Z13/$Y13*$X13</f>
        <v>-5.0544610098385769</v>
      </c>
      <c r="Q13" s="6">
        <f t="shared" ref="Q13:Q41" si="3">AA13/$Y13*$X13</f>
        <v>-0.56758848975880671</v>
      </c>
      <c r="R13" s="6">
        <f t="shared" ref="R13:R41" si="4">AB13/$Y13*$X13</f>
        <v>-3.7551347734624878</v>
      </c>
      <c r="S13" s="6">
        <f t="shared" ref="S13:S41" si="5">AC13/$Y13*$X13</f>
        <v>0.50565305060029653</v>
      </c>
      <c r="T13" s="6" t="e">
        <f t="shared" ref="T13:T41" si="6">AD13/$Y13*$X13</f>
        <v>#N/A</v>
      </c>
      <c r="U13" s="6">
        <f t="shared" ref="U13:U41" si="7">AE13/$Y13*$X13</f>
        <v>2.8956560783154197</v>
      </c>
      <c r="V13" s="6">
        <f t="shared" ref="V13:V41" si="8">AF13/$Y13*$X13</f>
        <v>-6.5586949276605067</v>
      </c>
      <c r="W13" s="6"/>
      <c r="X13" s="6">
        <f t="shared" ref="X13:X40" si="9">(C13/C9-1)*100</f>
        <v>0.5828199173084414</v>
      </c>
      <c r="Y13" s="6">
        <f t="shared" ref="Y13:Y40" si="10">C13-C9</f>
        <v>4356.1609999999637</v>
      </c>
      <c r="Z13" s="6">
        <f t="shared" ref="Z13:Z40" si="11">D13-D9</f>
        <v>-37778.471999999951</v>
      </c>
      <c r="AA13" s="6">
        <f t="shared" ref="AA13:AA40" si="12">E13-E9</f>
        <v>-4242.3169999999955</v>
      </c>
      <c r="AB13" s="6">
        <f t="shared" ref="AB13:AB40" si="13">F13-F9</f>
        <v>-28066.940000000002</v>
      </c>
      <c r="AC13" s="6">
        <f t="shared" ref="AC13:AC40" si="14">G13-G9</f>
        <v>3779.3940000000002</v>
      </c>
      <c r="AD13" s="6" t="e">
        <f t="shared" ref="AD13:AD40" si="15">H13-H9</f>
        <v>#N/A</v>
      </c>
      <c r="AE13" s="6">
        <f t="shared" ref="AE13:AE40" si="16">I13-I9</f>
        <v>21642.95299999998</v>
      </c>
      <c r="AF13" s="6">
        <f t="shared" ref="AF13:AF40" si="17">J13-J9</f>
        <v>-49021.541999999987</v>
      </c>
    </row>
    <row r="14" spans="1:32" x14ac:dyDescent="0.25">
      <c r="A14" t="s">
        <v>504</v>
      </c>
      <c r="B14" t="s">
        <v>345</v>
      </c>
      <c r="C14" s="6">
        <v>683900.89899999998</v>
      </c>
      <c r="D14" s="6">
        <v>480415.60700000002</v>
      </c>
      <c r="E14" s="6">
        <v>88666.35</v>
      </c>
      <c r="F14" s="6">
        <v>127742.49800000001</v>
      </c>
      <c r="G14" s="6">
        <v>-2865.4110000000001</v>
      </c>
      <c r="H14" s="6" t="e">
        <v>#N/A</v>
      </c>
      <c r="I14" s="6">
        <v>166474.092</v>
      </c>
      <c r="J14" s="6">
        <v>176396.74299999999</v>
      </c>
      <c r="L14" s="6"/>
      <c r="M14" s="6"/>
      <c r="N14" s="6"/>
      <c r="O14" s="6"/>
      <c r="P14" s="6">
        <f t="shared" si="2"/>
        <v>-4.7264202174261971</v>
      </c>
      <c r="Q14" s="6">
        <f t="shared" si="3"/>
        <v>-1.1862037366086491</v>
      </c>
      <c r="R14" s="6">
        <f t="shared" si="4"/>
        <v>-2.0577337172098735</v>
      </c>
      <c r="S14" s="6">
        <f t="shared" si="5"/>
        <v>-1.2807481271296755</v>
      </c>
      <c r="T14" s="6" t="e">
        <f t="shared" si="6"/>
        <v>#N/A</v>
      </c>
      <c r="U14" s="6">
        <f t="shared" si="7"/>
        <v>3.160417747303963</v>
      </c>
      <c r="V14" s="6">
        <f t="shared" si="8"/>
        <v>-4.3574367157308505</v>
      </c>
      <c r="W14" s="6"/>
      <c r="X14" s="6">
        <f t="shared" si="9"/>
        <v>-1.7527161667829305</v>
      </c>
      <c r="Y14" s="6">
        <f t="shared" si="10"/>
        <v>-12200.685000000056</v>
      </c>
      <c r="Z14" s="6">
        <f t="shared" si="11"/>
        <v>-32900.685999999987</v>
      </c>
      <c r="AA14" s="6">
        <f t="shared" si="12"/>
        <v>-8257.18299999999</v>
      </c>
      <c r="AB14" s="6">
        <f t="shared" si="13"/>
        <v>-14323.917000000001</v>
      </c>
      <c r="AC14" s="6">
        <f t="shared" si="14"/>
        <v>-8915.3080000000009</v>
      </c>
      <c r="AD14" s="6" t="e">
        <f t="shared" si="15"/>
        <v>#N/A</v>
      </c>
      <c r="AE14" s="6">
        <f t="shared" si="16"/>
        <v>21999.717999999993</v>
      </c>
      <c r="AF14" s="6">
        <f t="shared" si="17"/>
        <v>-30332.186000000016</v>
      </c>
    </row>
    <row r="15" spans="1:32" x14ac:dyDescent="0.25">
      <c r="A15" t="s">
        <v>505</v>
      </c>
      <c r="B15" t="s">
        <v>346</v>
      </c>
      <c r="C15" s="6">
        <v>671361.14</v>
      </c>
      <c r="D15" s="6">
        <v>441436.05</v>
      </c>
      <c r="E15" s="6">
        <v>92992.645999999993</v>
      </c>
      <c r="F15" s="6">
        <v>111464.94</v>
      </c>
      <c r="G15" s="6">
        <v>6361.625</v>
      </c>
      <c r="H15" s="6" t="e">
        <v>#N/A</v>
      </c>
      <c r="I15" s="6">
        <v>173554.69500000001</v>
      </c>
      <c r="J15" s="6">
        <v>153557.48199999999</v>
      </c>
      <c r="L15" s="6"/>
      <c r="M15" s="6"/>
      <c r="N15" s="6"/>
      <c r="O15" s="6"/>
      <c r="P15" s="6">
        <f t="shared" si="2"/>
        <v>-1.4483279457701952</v>
      </c>
      <c r="Q15" s="6">
        <f t="shared" si="3"/>
        <v>-1.2113674089960389</v>
      </c>
      <c r="R15" s="6">
        <f t="shared" si="4"/>
        <v>-1.4770092082933011</v>
      </c>
      <c r="S15" s="6">
        <f t="shared" si="5"/>
        <v>-1.3443992403687748</v>
      </c>
      <c r="T15" s="6" t="e">
        <f t="shared" si="6"/>
        <v>#N/A</v>
      </c>
      <c r="U15" s="6">
        <f t="shared" si="7"/>
        <v>1.865080701755627</v>
      </c>
      <c r="V15" s="6">
        <f t="shared" si="8"/>
        <v>-2.6725186479705272</v>
      </c>
      <c r="W15" s="6"/>
      <c r="X15" s="6">
        <f t="shared" si="9"/>
        <v>-1.0748426425762125</v>
      </c>
      <c r="Y15" s="6">
        <f t="shared" si="10"/>
        <v>-7294.4799999999814</v>
      </c>
      <c r="Z15" s="6">
        <f t="shared" si="11"/>
        <v>-9829.1589999999851</v>
      </c>
      <c r="AA15" s="6">
        <f t="shared" si="12"/>
        <v>-8221.0130000000063</v>
      </c>
      <c r="AB15" s="6">
        <f t="shared" si="13"/>
        <v>-10023.805999999997</v>
      </c>
      <c r="AC15" s="6">
        <f t="shared" si="14"/>
        <v>-9123.8410000000003</v>
      </c>
      <c r="AD15" s="6" t="e">
        <f t="shared" si="15"/>
        <v>#N/A</v>
      </c>
      <c r="AE15" s="6">
        <f t="shared" si="16"/>
        <v>12657.475000000006</v>
      </c>
      <c r="AF15" s="6">
        <f t="shared" si="17"/>
        <v>-18137.198000000004</v>
      </c>
    </row>
    <row r="16" spans="1:32" x14ac:dyDescent="0.25">
      <c r="A16" t="s">
        <v>506</v>
      </c>
      <c r="B16" t="s">
        <v>347</v>
      </c>
      <c r="C16" s="6">
        <v>632389.35400000005</v>
      </c>
      <c r="D16" s="6">
        <v>470887.43400000001</v>
      </c>
      <c r="E16" s="6">
        <v>87736.345000000001</v>
      </c>
      <c r="F16" s="6">
        <v>93438.798999999999</v>
      </c>
      <c r="G16" s="6">
        <v>-11049.715</v>
      </c>
      <c r="H16" s="6" t="e">
        <v>#N/A</v>
      </c>
      <c r="I16" s="6">
        <v>139323.35500000001</v>
      </c>
      <c r="J16" s="6">
        <v>147946.86499999999</v>
      </c>
      <c r="L16" s="6"/>
      <c r="M16" s="6"/>
      <c r="N16" s="6"/>
      <c r="O16" s="6"/>
      <c r="P16" s="6">
        <f t="shared" si="2"/>
        <v>-5.0317851856183236</v>
      </c>
      <c r="Q16" s="6">
        <f t="shared" si="3"/>
        <v>-3.2971453583115123E-2</v>
      </c>
      <c r="R16" s="6">
        <f t="shared" si="4"/>
        <v>-3.1161773737146872</v>
      </c>
      <c r="S16" s="6">
        <f t="shared" si="5"/>
        <v>1.0135931553160684</v>
      </c>
      <c r="T16" s="6" t="e">
        <f t="shared" si="6"/>
        <v>#N/A</v>
      </c>
      <c r="U16" s="6">
        <f t="shared" si="7"/>
        <v>-0.99964629352779921</v>
      </c>
      <c r="V16" s="6">
        <f t="shared" si="8"/>
        <v>-3.1419174549281825</v>
      </c>
      <c r="W16" s="6"/>
      <c r="X16" s="6">
        <f t="shared" si="9"/>
        <v>-5.0250695460154038</v>
      </c>
      <c r="Y16" s="6">
        <f t="shared" si="10"/>
        <v>-33459.360999999917</v>
      </c>
      <c r="Z16" s="6">
        <f t="shared" si="11"/>
        <v>-33504.07699999999</v>
      </c>
      <c r="AA16" s="6">
        <f t="shared" si="12"/>
        <v>-219.5399999999936</v>
      </c>
      <c r="AB16" s="6">
        <f t="shared" si="13"/>
        <v>-20749.027000000002</v>
      </c>
      <c r="AC16" s="6">
        <f t="shared" si="14"/>
        <v>6748.9969999999994</v>
      </c>
      <c r="AD16" s="6" t="e">
        <f t="shared" si="15"/>
        <v>#N/A</v>
      </c>
      <c r="AE16" s="6">
        <f t="shared" si="16"/>
        <v>-6656.1319999999832</v>
      </c>
      <c r="AF16" s="6">
        <f t="shared" si="17"/>
        <v>-20920.417000000016</v>
      </c>
    </row>
    <row r="17" spans="1:32" x14ac:dyDescent="0.25">
      <c r="A17" t="s">
        <v>507</v>
      </c>
      <c r="B17" t="s">
        <v>348</v>
      </c>
      <c r="C17" s="6">
        <v>609379.98899999994</v>
      </c>
      <c r="D17" s="6">
        <v>434291.22200000001</v>
      </c>
      <c r="E17" s="6">
        <v>87928.544999999998</v>
      </c>
      <c r="F17" s="6">
        <v>76231.157999999996</v>
      </c>
      <c r="G17" s="6">
        <v>-6832.3469999999998</v>
      </c>
      <c r="H17" s="6" t="e">
        <v>#N/A</v>
      </c>
      <c r="I17" s="6">
        <v>136593.32800000001</v>
      </c>
      <c r="J17" s="6">
        <v>118831.916</v>
      </c>
      <c r="L17" s="6"/>
      <c r="M17" s="6"/>
      <c r="N17" s="6"/>
      <c r="O17" s="6"/>
      <c r="P17" s="6">
        <f t="shared" si="2"/>
        <v>-15.481307347745247</v>
      </c>
      <c r="Q17" s="6">
        <f t="shared" si="3"/>
        <v>-0.72538330903330583</v>
      </c>
      <c r="R17" s="6">
        <f t="shared" si="4"/>
        <v>-6.2998202885175099</v>
      </c>
      <c r="S17" s="6">
        <f t="shared" si="5"/>
        <v>-0.36051516632770614</v>
      </c>
      <c r="T17" s="6" t="e">
        <f t="shared" si="6"/>
        <v>#N/A</v>
      </c>
      <c r="U17" s="6">
        <f t="shared" si="7"/>
        <v>-3.0295579626246072</v>
      </c>
      <c r="V17" s="6">
        <f t="shared" si="8"/>
        <v>-6.95439008282455</v>
      </c>
      <c r="W17" s="6"/>
      <c r="X17" s="6">
        <f t="shared" si="9"/>
        <v>-18.942194124440682</v>
      </c>
      <c r="Y17" s="6">
        <f t="shared" si="10"/>
        <v>-142404.47200000007</v>
      </c>
      <c r="Z17" s="6">
        <f t="shared" si="11"/>
        <v>-116386.06300000002</v>
      </c>
      <c r="AA17" s="6">
        <f t="shared" si="12"/>
        <v>-5453.3190000000031</v>
      </c>
      <c r="AB17" s="6">
        <f t="shared" si="13"/>
        <v>-47361.070000000007</v>
      </c>
      <c r="AC17" s="6">
        <f t="shared" si="14"/>
        <v>-2710.2969999999996</v>
      </c>
      <c r="AD17" s="6" t="e">
        <f t="shared" si="15"/>
        <v>#N/A</v>
      </c>
      <c r="AE17" s="6">
        <f t="shared" si="16"/>
        <v>-22775.745999999985</v>
      </c>
      <c r="AF17" s="6">
        <f t="shared" si="17"/>
        <v>-52282.024000000005</v>
      </c>
    </row>
    <row r="18" spans="1:32" x14ac:dyDescent="0.25">
      <c r="A18" t="s">
        <v>508</v>
      </c>
      <c r="B18" t="s">
        <v>349</v>
      </c>
      <c r="C18" s="6">
        <v>614192.478</v>
      </c>
      <c r="D18" s="6">
        <v>408971.26299999998</v>
      </c>
      <c r="E18" s="6">
        <v>86984.634000000005</v>
      </c>
      <c r="F18" s="6">
        <v>116052.69899999999</v>
      </c>
      <c r="G18" s="6">
        <v>2771.3359999999998</v>
      </c>
      <c r="H18" s="6" t="e">
        <v>#N/A</v>
      </c>
      <c r="I18" s="6">
        <v>136347.82199999999</v>
      </c>
      <c r="J18" s="6">
        <v>136935.27600000001</v>
      </c>
      <c r="L18" s="6"/>
      <c r="M18" s="6"/>
      <c r="N18" s="6"/>
      <c r="O18" s="6"/>
      <c r="P18" s="6">
        <f t="shared" si="2"/>
        <v>-10.446593081609628</v>
      </c>
      <c r="Q18" s="6">
        <f t="shared" si="3"/>
        <v>-0.24590053945812998</v>
      </c>
      <c r="R18" s="6">
        <f t="shared" si="4"/>
        <v>-1.7092825900788904</v>
      </c>
      <c r="S18" s="6">
        <f t="shared" si="5"/>
        <v>0.82420523327898132</v>
      </c>
      <c r="T18" s="6" t="e">
        <f t="shared" si="6"/>
        <v>#N/A</v>
      </c>
      <c r="U18" s="6">
        <f t="shared" si="7"/>
        <v>-4.4050636640558105</v>
      </c>
      <c r="V18" s="6">
        <f t="shared" si="8"/>
        <v>-5.7700563133782312</v>
      </c>
      <c r="W18" s="6"/>
      <c r="X18" s="6">
        <f t="shared" si="9"/>
        <v>-10.192766393775422</v>
      </c>
      <c r="Y18" s="6">
        <f t="shared" si="10"/>
        <v>-69708.420999999973</v>
      </c>
      <c r="Z18" s="6">
        <f t="shared" si="11"/>
        <v>-71444.344000000041</v>
      </c>
      <c r="AA18" s="6">
        <f t="shared" si="12"/>
        <v>-1681.7160000000003</v>
      </c>
      <c r="AB18" s="6">
        <f t="shared" si="13"/>
        <v>-11689.799000000014</v>
      </c>
      <c r="AC18" s="6">
        <f t="shared" si="14"/>
        <v>5636.7469999999994</v>
      </c>
      <c r="AD18" s="6" t="e">
        <f t="shared" si="15"/>
        <v>#N/A</v>
      </c>
      <c r="AE18" s="6">
        <f t="shared" si="16"/>
        <v>-30126.270000000019</v>
      </c>
      <c r="AF18" s="6">
        <f t="shared" si="17"/>
        <v>-39461.466999999975</v>
      </c>
    </row>
    <row r="19" spans="1:32" x14ac:dyDescent="0.25">
      <c r="A19" t="s">
        <v>509</v>
      </c>
      <c r="B19" t="s">
        <v>350</v>
      </c>
      <c r="C19" s="6">
        <v>642403.32299999997</v>
      </c>
      <c r="D19" s="6">
        <v>422152.31699999998</v>
      </c>
      <c r="E19" s="6">
        <v>93008.979000000007</v>
      </c>
      <c r="F19" s="6">
        <v>128941.851</v>
      </c>
      <c r="G19" s="6">
        <v>28647.373</v>
      </c>
      <c r="H19" s="6" t="e">
        <v>#N/A</v>
      </c>
      <c r="I19" s="6">
        <v>120573.806</v>
      </c>
      <c r="J19" s="6">
        <v>150921.003</v>
      </c>
      <c r="L19" s="6"/>
      <c r="M19" s="6"/>
      <c r="N19" s="6"/>
      <c r="O19" s="6"/>
      <c r="P19" s="6">
        <f t="shared" si="2"/>
        <v>-2.8723338082987659</v>
      </c>
      <c r="Q19" s="6">
        <f t="shared" si="3"/>
        <v>2.4328187955610999E-3</v>
      </c>
      <c r="R19" s="6">
        <f t="shared" si="4"/>
        <v>2.603205630876996</v>
      </c>
      <c r="S19" s="6">
        <f t="shared" si="5"/>
        <v>3.3194873328533729</v>
      </c>
      <c r="T19" s="6" t="e">
        <f t="shared" si="6"/>
        <v>#N/A</v>
      </c>
      <c r="U19" s="6">
        <f t="shared" si="7"/>
        <v>-7.8915632501458175</v>
      </c>
      <c r="V19" s="6">
        <f t="shared" si="8"/>
        <v>-0.39270652453908667</v>
      </c>
      <c r="W19" s="6"/>
      <c r="X19" s="6">
        <f t="shared" si="9"/>
        <v>-4.3132995454577605</v>
      </c>
      <c r="Y19" s="6">
        <f t="shared" si="10"/>
        <v>-28957.817000000039</v>
      </c>
      <c r="Z19" s="6">
        <f t="shared" si="11"/>
        <v>-19283.733000000007</v>
      </c>
      <c r="AA19" s="6">
        <f t="shared" si="12"/>
        <v>16.333000000013271</v>
      </c>
      <c r="AB19" s="6">
        <f t="shared" si="13"/>
        <v>17476.910999999993</v>
      </c>
      <c r="AC19" s="6">
        <f t="shared" si="14"/>
        <v>22285.748</v>
      </c>
      <c r="AD19" s="6" t="e">
        <f t="shared" si="15"/>
        <v>#N/A</v>
      </c>
      <c r="AE19" s="6">
        <f t="shared" si="16"/>
        <v>-52980.88900000001</v>
      </c>
      <c r="AF19" s="6">
        <f t="shared" si="17"/>
        <v>-2636.4789999999921</v>
      </c>
    </row>
    <row r="20" spans="1:32" x14ac:dyDescent="0.25">
      <c r="A20" t="s">
        <v>510</v>
      </c>
      <c r="B20" t="s">
        <v>351</v>
      </c>
      <c r="C20" s="6">
        <v>652831.97699999996</v>
      </c>
      <c r="D20" s="6">
        <v>473418.88699999999</v>
      </c>
      <c r="E20" s="6">
        <v>88352.495999999999</v>
      </c>
      <c r="F20" s="6">
        <v>129688.334</v>
      </c>
      <c r="G20" s="6">
        <v>-16381.82</v>
      </c>
      <c r="H20" s="6" t="e">
        <v>#N/A</v>
      </c>
      <c r="I20" s="6">
        <v>125271.192</v>
      </c>
      <c r="J20" s="6">
        <v>147517.11199999999</v>
      </c>
      <c r="L20" s="6"/>
      <c r="M20" s="6"/>
      <c r="N20" s="6"/>
      <c r="O20" s="6"/>
      <c r="P20" s="6">
        <f t="shared" si="2"/>
        <v>0.40029974951159358</v>
      </c>
      <c r="Q20" s="6">
        <f t="shared" si="3"/>
        <v>9.7432222111695971E-2</v>
      </c>
      <c r="R20" s="6">
        <f t="shared" si="4"/>
        <v>5.73215452959698</v>
      </c>
      <c r="S20" s="6">
        <f t="shared" si="5"/>
        <v>-0.84316805244637494</v>
      </c>
      <c r="T20" s="6" t="e">
        <f t="shared" si="6"/>
        <v>#N/A</v>
      </c>
      <c r="U20" s="6">
        <f t="shared" si="7"/>
        <v>-2.2220745670554165</v>
      </c>
      <c r="V20" s="6">
        <f t="shared" si="8"/>
        <v>-6.7957026360693271E-2</v>
      </c>
      <c r="W20" s="6"/>
      <c r="X20" s="6">
        <f t="shared" si="9"/>
        <v>3.232600749948733</v>
      </c>
      <c r="Y20" s="6">
        <f t="shared" si="10"/>
        <v>20442.622999999905</v>
      </c>
      <c r="Z20" s="6">
        <f t="shared" si="11"/>
        <v>2531.4529999999795</v>
      </c>
      <c r="AA20" s="6">
        <f t="shared" si="12"/>
        <v>616.15099999999802</v>
      </c>
      <c r="AB20" s="6">
        <f t="shared" si="13"/>
        <v>36249.535000000003</v>
      </c>
      <c r="AC20" s="6">
        <f t="shared" si="14"/>
        <v>-5332.1049999999996</v>
      </c>
      <c r="AD20" s="6" t="e">
        <f t="shared" si="15"/>
        <v>#N/A</v>
      </c>
      <c r="AE20" s="6">
        <f t="shared" si="16"/>
        <v>-14052.163000000015</v>
      </c>
      <c r="AF20" s="6">
        <f t="shared" si="17"/>
        <v>-429.75299999999697</v>
      </c>
    </row>
    <row r="21" spans="1:32" x14ac:dyDescent="0.25">
      <c r="A21" t="s">
        <v>511</v>
      </c>
      <c r="B21" t="s">
        <v>352</v>
      </c>
      <c r="C21" s="6">
        <v>723516.62199999997</v>
      </c>
      <c r="D21" s="6">
        <v>514737.79399999999</v>
      </c>
      <c r="E21" s="6">
        <v>93809.853000000003</v>
      </c>
      <c r="F21" s="6">
        <v>136177.69699999999</v>
      </c>
      <c r="G21" s="6">
        <v>-4393.7619999999997</v>
      </c>
      <c r="H21" s="6" t="e">
        <v>#N/A</v>
      </c>
      <c r="I21" s="6">
        <v>146242.56400000001</v>
      </c>
      <c r="J21" s="6">
        <v>163057.52299999999</v>
      </c>
      <c r="L21" s="6"/>
      <c r="M21" s="6"/>
      <c r="N21" s="6"/>
      <c r="O21" s="6"/>
      <c r="P21" s="6">
        <f t="shared" si="2"/>
        <v>13.201380657742604</v>
      </c>
      <c r="Q21" s="6">
        <f t="shared" si="3"/>
        <v>0.96512982148483495</v>
      </c>
      <c r="R21" s="6">
        <f t="shared" si="4"/>
        <v>9.837300220240742</v>
      </c>
      <c r="S21" s="6">
        <f t="shared" si="5"/>
        <v>0.40017477502038568</v>
      </c>
      <c r="T21" s="6" t="e">
        <f t="shared" si="6"/>
        <v>#N/A</v>
      </c>
      <c r="U21" s="6">
        <f t="shared" si="7"/>
        <v>1.5834514053923106</v>
      </c>
      <c r="V21" s="6">
        <f t="shared" si="8"/>
        <v>7.257476090177291</v>
      </c>
      <c r="W21" s="6"/>
      <c r="X21" s="6">
        <f t="shared" si="9"/>
        <v>18.729960789703593</v>
      </c>
      <c r="Y21" s="6">
        <f t="shared" si="10"/>
        <v>114136.63300000003</v>
      </c>
      <c r="Z21" s="6">
        <f t="shared" si="11"/>
        <v>80446.571999999986</v>
      </c>
      <c r="AA21" s="6">
        <f t="shared" si="12"/>
        <v>5881.3080000000045</v>
      </c>
      <c r="AB21" s="6">
        <f t="shared" si="13"/>
        <v>59946.53899999999</v>
      </c>
      <c r="AC21" s="6">
        <f t="shared" si="14"/>
        <v>2438.585</v>
      </c>
      <c r="AD21" s="6" t="e">
        <f t="shared" si="15"/>
        <v>#N/A</v>
      </c>
      <c r="AE21" s="6">
        <f t="shared" si="16"/>
        <v>9649.2360000000044</v>
      </c>
      <c r="AF21" s="6">
        <f t="shared" si="17"/>
        <v>44225.606999999989</v>
      </c>
    </row>
    <row r="22" spans="1:32" x14ac:dyDescent="0.25">
      <c r="A22" t="s">
        <v>512</v>
      </c>
      <c r="B22" t="s">
        <v>353</v>
      </c>
      <c r="C22" s="6">
        <v>686756.46799999999</v>
      </c>
      <c r="D22" s="6">
        <v>449491.734</v>
      </c>
      <c r="E22" s="6">
        <v>95108.616999999998</v>
      </c>
      <c r="F22" s="6">
        <v>141727.549</v>
      </c>
      <c r="G22" s="6">
        <v>3827.3989999999999</v>
      </c>
      <c r="H22" s="6" t="e">
        <v>#N/A</v>
      </c>
      <c r="I22" s="6">
        <v>161505.18799999999</v>
      </c>
      <c r="J22" s="6">
        <v>164904.01999999999</v>
      </c>
      <c r="L22" s="6"/>
      <c r="M22" s="6"/>
      <c r="N22" s="6"/>
      <c r="O22" s="6"/>
      <c r="P22" s="6">
        <f t="shared" si="2"/>
        <v>6.5973570910453265</v>
      </c>
      <c r="Q22" s="6">
        <f t="shared" si="3"/>
        <v>1.3227096213314404</v>
      </c>
      <c r="R22" s="6">
        <f t="shared" si="4"/>
        <v>4.1802612242346608</v>
      </c>
      <c r="S22" s="6">
        <f t="shared" si="5"/>
        <v>0.17194333011678462</v>
      </c>
      <c r="T22" s="6" t="e">
        <f t="shared" si="6"/>
        <v>#N/A</v>
      </c>
      <c r="U22" s="6">
        <f t="shared" si="7"/>
        <v>4.0960068547111064</v>
      </c>
      <c r="V22" s="6">
        <f t="shared" si="8"/>
        <v>4.5537425158762632</v>
      </c>
      <c r="W22" s="6"/>
      <c r="X22" s="6">
        <f t="shared" si="9"/>
        <v>11.814535768378454</v>
      </c>
      <c r="Y22" s="6">
        <f t="shared" si="10"/>
        <v>72563.989999999991</v>
      </c>
      <c r="Z22" s="6">
        <f t="shared" si="11"/>
        <v>40520.47100000002</v>
      </c>
      <c r="AA22" s="6">
        <f t="shared" si="12"/>
        <v>8123.9829999999929</v>
      </c>
      <c r="AB22" s="6">
        <f t="shared" si="13"/>
        <v>25674.850000000006</v>
      </c>
      <c r="AC22" s="6">
        <f t="shared" si="14"/>
        <v>1056.0630000000001</v>
      </c>
      <c r="AD22" s="6" t="e">
        <f t="shared" si="15"/>
        <v>#N/A</v>
      </c>
      <c r="AE22" s="6">
        <f t="shared" si="16"/>
        <v>25157.366000000009</v>
      </c>
      <c r="AF22" s="6">
        <f t="shared" si="17"/>
        <v>27968.743999999977</v>
      </c>
    </row>
    <row r="23" spans="1:32" x14ac:dyDescent="0.25">
      <c r="A23" t="s">
        <v>513</v>
      </c>
      <c r="B23" t="s">
        <v>354</v>
      </c>
      <c r="C23" s="6">
        <v>696134.66899999999</v>
      </c>
      <c r="D23" s="6">
        <v>463015.56800000003</v>
      </c>
      <c r="E23" s="6">
        <v>103726.728</v>
      </c>
      <c r="F23" s="6">
        <v>148125.39300000001</v>
      </c>
      <c r="G23" s="6">
        <v>18495.754000000001</v>
      </c>
      <c r="H23" s="6" t="e">
        <v>#N/A</v>
      </c>
      <c r="I23" s="6">
        <v>144860.42800000001</v>
      </c>
      <c r="J23" s="6">
        <v>182089.20199999999</v>
      </c>
      <c r="L23" s="6"/>
      <c r="M23" s="6"/>
      <c r="N23" s="6"/>
      <c r="O23" s="6"/>
      <c r="P23" s="6">
        <f t="shared" si="2"/>
        <v>6.3609962054944198</v>
      </c>
      <c r="Q23" s="6">
        <f t="shared" si="3"/>
        <v>1.668383181760098</v>
      </c>
      <c r="R23" s="6">
        <f t="shared" si="4"/>
        <v>2.9862146276600163</v>
      </c>
      <c r="S23" s="6">
        <f t="shared" si="5"/>
        <v>-1.5802563026281236</v>
      </c>
      <c r="T23" s="6" t="e">
        <f t="shared" si="6"/>
        <v>#N/A</v>
      </c>
      <c r="U23" s="6">
        <f t="shared" si="7"/>
        <v>3.7805878535282771</v>
      </c>
      <c r="V23" s="6">
        <f t="shared" si="8"/>
        <v>4.8518116087017811</v>
      </c>
      <c r="W23" s="6"/>
      <c r="X23" s="6">
        <f t="shared" si="9"/>
        <v>8.3641139571128953</v>
      </c>
      <c r="Y23" s="6">
        <f t="shared" si="10"/>
        <v>53731.34600000002</v>
      </c>
      <c r="Z23" s="6">
        <f t="shared" si="11"/>
        <v>40863.251000000047</v>
      </c>
      <c r="AA23" s="6">
        <f t="shared" si="12"/>
        <v>10717.748999999996</v>
      </c>
      <c r="AB23" s="6">
        <f t="shared" si="13"/>
        <v>19183.542000000016</v>
      </c>
      <c r="AC23" s="6">
        <f t="shared" si="14"/>
        <v>-10151.618999999999</v>
      </c>
      <c r="AD23" s="6" t="e">
        <f t="shared" si="15"/>
        <v>#N/A</v>
      </c>
      <c r="AE23" s="6">
        <f t="shared" si="16"/>
        <v>24286.622000000018</v>
      </c>
      <c r="AF23" s="6">
        <f t="shared" si="17"/>
        <v>31168.198999999993</v>
      </c>
    </row>
    <row r="24" spans="1:32" x14ac:dyDescent="0.25">
      <c r="A24" t="s">
        <v>514</v>
      </c>
      <c r="B24" t="s">
        <v>355</v>
      </c>
      <c r="C24" s="6">
        <v>697625.28500000003</v>
      </c>
      <c r="D24" s="6">
        <v>516582.48</v>
      </c>
      <c r="E24" s="6">
        <v>94876.315000000002</v>
      </c>
      <c r="F24" s="6">
        <v>143683.72099999999</v>
      </c>
      <c r="G24" s="6">
        <v>-10285.127</v>
      </c>
      <c r="H24" s="6">
        <v>3455.491</v>
      </c>
      <c r="I24" s="6">
        <v>135342.64300000001</v>
      </c>
      <c r="J24" s="6">
        <v>182574.74799999999</v>
      </c>
      <c r="L24" s="6"/>
      <c r="M24" s="6"/>
      <c r="N24" s="6"/>
      <c r="O24" s="6"/>
      <c r="P24" s="6">
        <f t="shared" si="2"/>
        <v>6.611746133875422</v>
      </c>
      <c r="Q24" s="6">
        <f t="shared" si="3"/>
        <v>0.99931057758220099</v>
      </c>
      <c r="R24" s="6">
        <f t="shared" si="4"/>
        <v>2.1437961823368195</v>
      </c>
      <c r="S24" s="6">
        <f t="shared" si="5"/>
        <v>0.93388394177878897</v>
      </c>
      <c r="T24" s="6" t="e">
        <f t="shared" si="6"/>
        <v>#N/A</v>
      </c>
      <c r="U24" s="6">
        <f t="shared" si="7"/>
        <v>1.5427324878113335</v>
      </c>
      <c r="V24" s="6">
        <f t="shared" si="8"/>
        <v>5.370085601673888</v>
      </c>
      <c r="W24" s="6"/>
      <c r="X24" s="6">
        <f t="shared" si="9"/>
        <v>6.8613838748894596</v>
      </c>
      <c r="Y24" s="6">
        <f t="shared" si="10"/>
        <v>44793.308000000077</v>
      </c>
      <c r="Z24" s="6">
        <f t="shared" si="11"/>
        <v>43163.592999999993</v>
      </c>
      <c r="AA24" s="6">
        <f t="shared" si="12"/>
        <v>6523.8190000000031</v>
      </c>
      <c r="AB24" s="6">
        <f t="shared" si="13"/>
        <v>13995.386999999988</v>
      </c>
      <c r="AC24" s="6">
        <f t="shared" si="14"/>
        <v>6096.6929999999993</v>
      </c>
      <c r="AD24" s="6" t="e">
        <f t="shared" si="15"/>
        <v>#N/A</v>
      </c>
      <c r="AE24" s="6">
        <f t="shared" si="16"/>
        <v>10071.451000000015</v>
      </c>
      <c r="AF24" s="6">
        <f t="shared" si="17"/>
        <v>35057.635999999999</v>
      </c>
    </row>
    <row r="25" spans="1:32" x14ac:dyDescent="0.25">
      <c r="A25" t="s">
        <v>515</v>
      </c>
      <c r="B25" t="s">
        <v>356</v>
      </c>
      <c r="C25" s="6">
        <v>782338.62899999996</v>
      </c>
      <c r="D25" s="6">
        <v>576435.43900000001</v>
      </c>
      <c r="E25" s="6">
        <v>99651.252999999997</v>
      </c>
      <c r="F25" s="6">
        <v>160568.55100000001</v>
      </c>
      <c r="G25" s="6">
        <v>-7371</v>
      </c>
      <c r="H25" s="6">
        <v>2589.835</v>
      </c>
      <c r="I25" s="6">
        <v>157619.70199999999</v>
      </c>
      <c r="J25" s="6">
        <v>204565.315</v>
      </c>
      <c r="L25" s="6"/>
      <c r="M25" s="6"/>
      <c r="N25" s="6"/>
      <c r="O25" s="6" t="e">
        <f t="shared" ref="O25:O39" si="18">SUM(P25:U25)-V25</f>
        <v>#N/A</v>
      </c>
      <c r="P25" s="6">
        <f t="shared" si="2"/>
        <v>8.5274675278987679</v>
      </c>
      <c r="Q25" s="6">
        <f t="shared" si="3"/>
        <v>0.80736223914977301</v>
      </c>
      <c r="R25" s="6">
        <f t="shared" si="4"/>
        <v>3.371153233850658</v>
      </c>
      <c r="S25" s="6">
        <f t="shared" si="5"/>
        <v>-0.4114954528301083</v>
      </c>
      <c r="T25" s="6" t="e">
        <f t="shared" si="6"/>
        <v>#N/A</v>
      </c>
      <c r="U25" s="6">
        <f t="shared" si="7"/>
        <v>1.5724777640284797</v>
      </c>
      <c r="V25" s="6">
        <f t="shared" si="8"/>
        <v>5.7369507123776975</v>
      </c>
      <c r="W25" s="6"/>
      <c r="X25" s="6">
        <f t="shared" si="9"/>
        <v>8.1300145997198712</v>
      </c>
      <c r="Y25" s="6">
        <f t="shared" si="10"/>
        <v>58822.006999999983</v>
      </c>
      <c r="Z25" s="6">
        <f t="shared" si="11"/>
        <v>61697.645000000019</v>
      </c>
      <c r="AA25" s="6">
        <f t="shared" si="12"/>
        <v>5841.3999999999942</v>
      </c>
      <c r="AB25" s="6">
        <f t="shared" si="13"/>
        <v>24390.854000000021</v>
      </c>
      <c r="AC25" s="6">
        <f t="shared" si="14"/>
        <v>-2977.2380000000003</v>
      </c>
      <c r="AD25" s="6" t="e">
        <f t="shared" si="15"/>
        <v>#N/A</v>
      </c>
      <c r="AE25" s="6">
        <f t="shared" si="16"/>
        <v>11377.137999999977</v>
      </c>
      <c r="AF25" s="6">
        <f t="shared" si="17"/>
        <v>41507.792000000016</v>
      </c>
    </row>
    <row r="26" spans="1:32" x14ac:dyDescent="0.25">
      <c r="A26" t="s">
        <v>516</v>
      </c>
      <c r="B26" t="s">
        <v>357</v>
      </c>
      <c r="C26" s="6">
        <v>732662.16399999999</v>
      </c>
      <c r="D26" s="6">
        <v>497399.57900000003</v>
      </c>
      <c r="E26" s="6">
        <v>96128.789000000004</v>
      </c>
      <c r="F26" s="6">
        <v>160952.872</v>
      </c>
      <c r="G26" s="6">
        <v>22366.004000000001</v>
      </c>
      <c r="H26" s="6">
        <v>850.82899999999995</v>
      </c>
      <c r="I26" s="6">
        <v>157115.54800000001</v>
      </c>
      <c r="J26" s="6">
        <v>201300.62899999999</v>
      </c>
      <c r="L26" s="6"/>
      <c r="M26" s="6"/>
      <c r="N26" s="6"/>
      <c r="O26" s="6" t="e">
        <f t="shared" si="18"/>
        <v>#N/A</v>
      </c>
      <c r="P26" s="6">
        <f t="shared" si="2"/>
        <v>6.9759583247201471</v>
      </c>
      <c r="Q26" s="6">
        <f t="shared" si="3"/>
        <v>0.14854931078712555</v>
      </c>
      <c r="R26" s="6">
        <f t="shared" si="4"/>
        <v>2.7994382136638296</v>
      </c>
      <c r="S26" s="6">
        <f t="shared" si="5"/>
        <v>2.6994438150672075</v>
      </c>
      <c r="T26" s="6" t="e">
        <f t="shared" si="6"/>
        <v>#N/A</v>
      </c>
      <c r="U26" s="6">
        <f t="shared" si="7"/>
        <v>-0.63918436950199742</v>
      </c>
      <c r="V26" s="6">
        <f t="shared" si="8"/>
        <v>5.299783940294831</v>
      </c>
      <c r="W26" s="6"/>
      <c r="X26" s="6">
        <f t="shared" si="9"/>
        <v>6.6844213544414721</v>
      </c>
      <c r="Y26" s="6">
        <f t="shared" si="10"/>
        <v>45905.695999999996</v>
      </c>
      <c r="Z26" s="6">
        <f t="shared" si="11"/>
        <v>47907.84500000003</v>
      </c>
      <c r="AA26" s="6">
        <f t="shared" si="12"/>
        <v>1020.1720000000059</v>
      </c>
      <c r="AB26" s="6">
        <f t="shared" si="13"/>
        <v>19225.323000000004</v>
      </c>
      <c r="AC26" s="6">
        <f t="shared" si="14"/>
        <v>18538.605</v>
      </c>
      <c r="AD26" s="6" t="e">
        <f t="shared" si="15"/>
        <v>#N/A</v>
      </c>
      <c r="AE26" s="6">
        <f t="shared" si="16"/>
        <v>-4389.6399999999849</v>
      </c>
      <c r="AF26" s="6">
        <f t="shared" si="17"/>
        <v>36396.608999999997</v>
      </c>
    </row>
    <row r="27" spans="1:32" x14ac:dyDescent="0.25">
      <c r="A27" t="s">
        <v>290</v>
      </c>
      <c r="B27" t="s">
        <v>358</v>
      </c>
      <c r="C27" s="6">
        <v>712740.45799999998</v>
      </c>
      <c r="D27" s="6">
        <v>490167.72</v>
      </c>
      <c r="E27" s="6">
        <v>100882.28599999999</v>
      </c>
      <c r="F27" s="6">
        <v>148604.10999999999</v>
      </c>
      <c r="G27" s="6">
        <v>3388.3809999999999</v>
      </c>
      <c r="H27" s="6">
        <v>-13333.556</v>
      </c>
      <c r="I27" s="6">
        <v>154135.03099999999</v>
      </c>
      <c r="J27" s="6">
        <v>184437.07</v>
      </c>
      <c r="L27" s="6"/>
      <c r="M27" s="6"/>
      <c r="N27" s="6"/>
      <c r="O27" s="6" t="e">
        <f t="shared" si="18"/>
        <v>#N/A</v>
      </c>
      <c r="P27" s="6">
        <f t="shared" si="2"/>
        <v>3.9004165729892732</v>
      </c>
      <c r="Q27" s="6">
        <f t="shared" si="3"/>
        <v>-0.40860513441832591</v>
      </c>
      <c r="R27" s="6">
        <f t="shared" si="4"/>
        <v>6.8767872269262953E-2</v>
      </c>
      <c r="S27" s="6">
        <f t="shared" si="5"/>
        <v>-2.170179661027634</v>
      </c>
      <c r="T27" s="6" t="e">
        <f t="shared" si="6"/>
        <v>#N/A</v>
      </c>
      <c r="U27" s="6">
        <f t="shared" si="7"/>
        <v>1.332300115626047</v>
      </c>
      <c r="V27" s="6">
        <f t="shared" si="8"/>
        <v>0.33727209756306836</v>
      </c>
      <c r="W27" s="6"/>
      <c r="X27" s="6">
        <f t="shared" si="9"/>
        <v>2.3854276678755726</v>
      </c>
      <c r="Y27" s="6">
        <f t="shared" si="10"/>
        <v>16605.78899999999</v>
      </c>
      <c r="Z27" s="6">
        <f t="shared" si="11"/>
        <v>27152.151999999944</v>
      </c>
      <c r="AA27" s="6">
        <f t="shared" si="12"/>
        <v>-2844.44200000001</v>
      </c>
      <c r="AB27" s="6">
        <f t="shared" si="13"/>
        <v>478.71699999997509</v>
      </c>
      <c r="AC27" s="6">
        <f t="shared" si="14"/>
        <v>-15107.373000000001</v>
      </c>
      <c r="AD27" s="6" t="e">
        <f t="shared" si="15"/>
        <v>#N/A</v>
      </c>
      <c r="AE27" s="6">
        <f t="shared" si="16"/>
        <v>9274.6029999999737</v>
      </c>
      <c r="AF27" s="6">
        <f t="shared" si="17"/>
        <v>2347.8680000000168</v>
      </c>
    </row>
    <row r="28" spans="1:32" x14ac:dyDescent="0.25">
      <c r="A28" t="s">
        <v>291</v>
      </c>
      <c r="B28" t="s">
        <v>359</v>
      </c>
      <c r="C28" s="6">
        <v>704009.03500000003</v>
      </c>
      <c r="D28" s="6">
        <v>535974.72699999996</v>
      </c>
      <c r="E28" s="6">
        <v>97699.373000000007</v>
      </c>
      <c r="F28" s="6">
        <v>141756.111</v>
      </c>
      <c r="G28" s="6">
        <v>-8051.1049999999996</v>
      </c>
      <c r="H28" s="6">
        <v>16502.653999999999</v>
      </c>
      <c r="I28" s="6">
        <v>126446.798</v>
      </c>
      <c r="J28" s="6">
        <v>189816.86799999999</v>
      </c>
      <c r="L28" s="6"/>
      <c r="M28" s="6"/>
      <c r="N28" s="6"/>
      <c r="O28" s="6">
        <f t="shared" si="18"/>
        <v>2.7852939705303443</v>
      </c>
      <c r="P28" s="6">
        <f t="shared" si="2"/>
        <v>2.7797511668459842</v>
      </c>
      <c r="Q28" s="6">
        <f t="shared" si="3"/>
        <v>0.40466681192612253</v>
      </c>
      <c r="R28" s="6">
        <f t="shared" si="4"/>
        <v>-0.27631022576826481</v>
      </c>
      <c r="S28" s="6">
        <f t="shared" si="5"/>
        <v>0.32023237231145057</v>
      </c>
      <c r="T28" s="6">
        <f t="shared" si="6"/>
        <v>1.870225073622453</v>
      </c>
      <c r="U28" s="6">
        <f t="shared" si="7"/>
        <v>-1.2751609196619189</v>
      </c>
      <c r="V28" s="6">
        <f t="shared" si="8"/>
        <v>1.0381103087454822</v>
      </c>
      <c r="W28" s="6"/>
      <c r="X28" s="6">
        <f t="shared" si="9"/>
        <v>0.91506861022103703</v>
      </c>
      <c r="Y28" s="6">
        <f t="shared" si="10"/>
        <v>6383.75</v>
      </c>
      <c r="Z28" s="6">
        <f t="shared" si="11"/>
        <v>19392.246999999974</v>
      </c>
      <c r="AA28" s="6">
        <f t="shared" si="12"/>
        <v>2823.0580000000045</v>
      </c>
      <c r="AB28" s="6">
        <f t="shared" si="13"/>
        <v>-1927.609999999986</v>
      </c>
      <c r="AC28" s="6">
        <f t="shared" si="14"/>
        <v>2234.0220000000008</v>
      </c>
      <c r="AD28" s="6">
        <f t="shared" si="15"/>
        <v>13047.162999999999</v>
      </c>
      <c r="AE28" s="6">
        <f t="shared" si="16"/>
        <v>-8895.8450000000157</v>
      </c>
      <c r="AF28" s="6">
        <f t="shared" si="17"/>
        <v>7242.1199999999953</v>
      </c>
    </row>
    <row r="29" spans="1:32" x14ac:dyDescent="0.25">
      <c r="A29" t="s">
        <v>292</v>
      </c>
      <c r="B29" t="s">
        <v>360</v>
      </c>
      <c r="C29" s="6">
        <v>738128.41099999996</v>
      </c>
      <c r="D29" s="6">
        <v>588087.03200000001</v>
      </c>
      <c r="E29" s="6">
        <v>104013.851</v>
      </c>
      <c r="F29" s="6">
        <v>157587.976</v>
      </c>
      <c r="G29" s="6">
        <v>-36051.053999999996</v>
      </c>
      <c r="H29" s="6">
        <v>-11636.946</v>
      </c>
      <c r="I29" s="6">
        <v>136912.27499999999</v>
      </c>
      <c r="J29" s="6">
        <v>212421.66800000001</v>
      </c>
      <c r="L29" s="6"/>
      <c r="M29" s="6"/>
      <c r="N29" s="6"/>
      <c r="O29" s="6">
        <f t="shared" si="18"/>
        <v>-7.4695274953628807</v>
      </c>
      <c r="P29" s="6">
        <f t="shared" si="2"/>
        <v>1.4893286063214439</v>
      </c>
      <c r="Q29" s="6">
        <f t="shared" si="3"/>
        <v>0.55763550952051955</v>
      </c>
      <c r="R29" s="6">
        <f t="shared" si="4"/>
        <v>-0.38098272148594253</v>
      </c>
      <c r="S29" s="6">
        <f t="shared" si="5"/>
        <v>-3.6659386277089983</v>
      </c>
      <c r="T29" s="6">
        <f t="shared" si="6"/>
        <v>-1.818493996414946</v>
      </c>
      <c r="U29" s="6">
        <f t="shared" si="7"/>
        <v>-2.6468623985074875</v>
      </c>
      <c r="V29" s="6">
        <f t="shared" si="8"/>
        <v>1.0042138670874707</v>
      </c>
      <c r="W29" s="6"/>
      <c r="X29" s="6">
        <f t="shared" si="9"/>
        <v>-5.6510334989479327</v>
      </c>
      <c r="Y29" s="6">
        <f t="shared" si="10"/>
        <v>-44210.217999999993</v>
      </c>
      <c r="Z29" s="6">
        <f t="shared" si="11"/>
        <v>11651.592999999993</v>
      </c>
      <c r="AA29" s="6">
        <f t="shared" si="12"/>
        <v>4362.5979999999981</v>
      </c>
      <c r="AB29" s="6">
        <f t="shared" si="13"/>
        <v>-2980.5750000000116</v>
      </c>
      <c r="AC29" s="6">
        <f t="shared" si="14"/>
        <v>-28680.053999999996</v>
      </c>
      <c r="AD29" s="6">
        <f t="shared" si="15"/>
        <v>-14226.780999999999</v>
      </c>
      <c r="AE29" s="6">
        <f t="shared" si="16"/>
        <v>-20707.426999999996</v>
      </c>
      <c r="AF29" s="6">
        <f t="shared" si="17"/>
        <v>7856.3530000000028</v>
      </c>
    </row>
    <row r="30" spans="1:32" x14ac:dyDescent="0.25">
      <c r="A30" t="s">
        <v>293</v>
      </c>
      <c r="B30" t="s">
        <v>361</v>
      </c>
      <c r="C30" s="6">
        <v>728542.25600000005</v>
      </c>
      <c r="D30" s="6">
        <v>496373.76699999999</v>
      </c>
      <c r="E30" s="6">
        <v>99537.229000000007</v>
      </c>
      <c r="F30" s="6">
        <v>162177.09</v>
      </c>
      <c r="G30" s="6">
        <v>31511.919000000002</v>
      </c>
      <c r="H30" s="6">
        <v>6508.0510000000004</v>
      </c>
      <c r="I30" s="6">
        <v>143916.18900000001</v>
      </c>
      <c r="J30" s="6">
        <v>204973.93799999999</v>
      </c>
      <c r="L30" s="6"/>
      <c r="M30" s="6"/>
      <c r="N30" s="6"/>
      <c r="O30" s="6">
        <f t="shared" si="18"/>
        <v>0.20982590278811641</v>
      </c>
      <c r="P30" s="6">
        <f t="shared" si="2"/>
        <v>-0.14001159748711003</v>
      </c>
      <c r="Q30" s="6">
        <f t="shared" si="3"/>
        <v>0.46521305009002584</v>
      </c>
      <c r="R30" s="6">
        <f t="shared" si="4"/>
        <v>0.16709174571214627</v>
      </c>
      <c r="S30" s="6">
        <f t="shared" si="5"/>
        <v>1.2483127216597962</v>
      </c>
      <c r="T30" s="6">
        <f t="shared" si="6"/>
        <v>0.77214605557275318</v>
      </c>
      <c r="U30" s="6">
        <f t="shared" si="7"/>
        <v>-1.8015614356195877</v>
      </c>
      <c r="V30" s="6">
        <f t="shared" si="8"/>
        <v>0.5013646371399072</v>
      </c>
      <c r="W30" s="6"/>
      <c r="X30" s="6">
        <f t="shared" si="9"/>
        <v>-0.56232028927317712</v>
      </c>
      <c r="Y30" s="6">
        <f t="shared" si="10"/>
        <v>-4119.9079999999376</v>
      </c>
      <c r="Z30" s="6">
        <f t="shared" si="11"/>
        <v>-1025.8120000000345</v>
      </c>
      <c r="AA30" s="6">
        <f t="shared" si="12"/>
        <v>3408.4400000000023</v>
      </c>
      <c r="AB30" s="6">
        <f t="shared" si="13"/>
        <v>1224.2179999999935</v>
      </c>
      <c r="AC30" s="6">
        <f t="shared" si="14"/>
        <v>9145.9150000000009</v>
      </c>
      <c r="AD30" s="6">
        <f t="shared" si="15"/>
        <v>5657.2220000000007</v>
      </c>
      <c r="AE30" s="6">
        <f t="shared" si="16"/>
        <v>-13199.358999999997</v>
      </c>
      <c r="AF30" s="6">
        <f t="shared" si="17"/>
        <v>3673.3090000000084</v>
      </c>
    </row>
    <row r="31" spans="1:32" x14ac:dyDescent="0.25">
      <c r="A31" t="s">
        <v>294</v>
      </c>
      <c r="B31" t="s">
        <v>362</v>
      </c>
      <c r="C31" s="6">
        <v>700543.19900000002</v>
      </c>
      <c r="D31" s="6">
        <v>480687.41100000002</v>
      </c>
      <c r="E31" s="6">
        <v>99272.705000000002</v>
      </c>
      <c r="F31" s="6">
        <v>137053.08499999999</v>
      </c>
      <c r="G31" s="6">
        <v>30180.387999999999</v>
      </c>
      <c r="H31" s="6">
        <v>-11924.588</v>
      </c>
      <c r="I31" s="6">
        <v>136117.334</v>
      </c>
      <c r="J31" s="6">
        <v>182767.72399999999</v>
      </c>
      <c r="L31" s="6"/>
      <c r="M31" s="6"/>
      <c r="N31" s="6"/>
      <c r="O31" s="6">
        <f t="shared" si="18"/>
        <v>-1.51363527619473</v>
      </c>
      <c r="P31" s="6">
        <f t="shared" si="2"/>
        <v>-1.330120788512883</v>
      </c>
      <c r="Q31" s="6">
        <f t="shared" si="3"/>
        <v>-0.22582989108217399</v>
      </c>
      <c r="R31" s="6">
        <f t="shared" si="4"/>
        <v>-1.6206495464580424</v>
      </c>
      <c r="S31" s="6">
        <f t="shared" si="5"/>
        <v>3.7590130740129739</v>
      </c>
      <c r="T31" s="6">
        <f t="shared" si="6"/>
        <v>0.19768317964629956</v>
      </c>
      <c r="U31" s="6">
        <f t="shared" si="7"/>
        <v>-2.5279464351664394</v>
      </c>
      <c r="V31" s="6">
        <f t="shared" si="8"/>
        <v>-0.2342151313655351</v>
      </c>
      <c r="W31" s="6"/>
      <c r="X31" s="6">
        <f t="shared" si="9"/>
        <v>-1.7113184558410377</v>
      </c>
      <c r="Y31" s="6">
        <f t="shared" si="10"/>
        <v>-12197.258999999962</v>
      </c>
      <c r="Z31" s="6">
        <f t="shared" si="11"/>
        <v>-9480.3089999999502</v>
      </c>
      <c r="AA31" s="6">
        <f t="shared" si="12"/>
        <v>-1609.580999999991</v>
      </c>
      <c r="AB31" s="6">
        <f t="shared" si="13"/>
        <v>-11551.024999999994</v>
      </c>
      <c r="AC31" s="6">
        <f t="shared" si="14"/>
        <v>26792.006999999998</v>
      </c>
      <c r="AD31" s="6">
        <f t="shared" si="15"/>
        <v>1408.9680000000008</v>
      </c>
      <c r="AE31" s="6">
        <f t="shared" si="16"/>
        <v>-18017.696999999986</v>
      </c>
      <c r="AF31" s="6">
        <f t="shared" si="17"/>
        <v>-1669.3460000000196</v>
      </c>
    </row>
    <row r="32" spans="1:32" x14ac:dyDescent="0.25">
      <c r="A32" t="s">
        <v>295</v>
      </c>
      <c r="B32" t="s">
        <v>363</v>
      </c>
      <c r="C32" s="6">
        <v>668219.63100000005</v>
      </c>
      <c r="D32" s="6">
        <v>508286.74900000001</v>
      </c>
      <c r="E32" s="6">
        <v>93290.784</v>
      </c>
      <c r="F32" s="6">
        <v>107772.242</v>
      </c>
      <c r="G32" s="6">
        <v>-29378.771000000001</v>
      </c>
      <c r="H32" s="6">
        <v>4554.47</v>
      </c>
      <c r="I32" s="6">
        <v>147382.288</v>
      </c>
      <c r="J32" s="6">
        <v>163688.13099999999</v>
      </c>
      <c r="L32" s="6"/>
      <c r="M32" s="6"/>
      <c r="N32" s="6"/>
      <c r="O32" s="6">
        <f t="shared" si="18"/>
        <v>-7.4277539634132577</v>
      </c>
      <c r="P32" s="6">
        <f t="shared" si="2"/>
        <v>-3.9329009463635551</v>
      </c>
      <c r="Q32" s="6">
        <f t="shared" si="3"/>
        <v>-0.62621199172536268</v>
      </c>
      <c r="R32" s="6">
        <f t="shared" si="4"/>
        <v>-4.8271921680664214</v>
      </c>
      <c r="S32" s="6">
        <f t="shared" si="5"/>
        <v>-3.0294591318703734</v>
      </c>
      <c r="T32" s="6">
        <f t="shared" si="6"/>
        <v>-1.6971634462049188</v>
      </c>
      <c r="U32" s="6">
        <f t="shared" si="7"/>
        <v>2.9737530286099236</v>
      </c>
      <c r="V32" s="6">
        <f t="shared" si="8"/>
        <v>-3.7114206922074491</v>
      </c>
      <c r="W32" s="6"/>
      <c r="X32" s="6">
        <f t="shared" si="9"/>
        <v>-5.0836569164201091</v>
      </c>
      <c r="Y32" s="6">
        <f t="shared" si="10"/>
        <v>-35789.40399999998</v>
      </c>
      <c r="Z32" s="6">
        <f t="shared" si="11"/>
        <v>-27687.977999999945</v>
      </c>
      <c r="AA32" s="6">
        <f t="shared" si="12"/>
        <v>-4408.5890000000072</v>
      </c>
      <c r="AB32" s="6">
        <f t="shared" si="13"/>
        <v>-33983.869000000006</v>
      </c>
      <c r="AC32" s="6">
        <f t="shared" si="14"/>
        <v>-21327.666000000001</v>
      </c>
      <c r="AD32" s="6">
        <f t="shared" si="15"/>
        <v>-11948.183999999997</v>
      </c>
      <c r="AE32" s="6">
        <f t="shared" si="16"/>
        <v>20935.490000000005</v>
      </c>
      <c r="AF32" s="6">
        <f t="shared" si="17"/>
        <v>-26128.736999999994</v>
      </c>
    </row>
    <row r="33" spans="1:32" x14ac:dyDescent="0.25">
      <c r="A33" t="s">
        <v>296</v>
      </c>
      <c r="B33" t="s">
        <v>364</v>
      </c>
      <c r="C33" s="6">
        <v>729909.36899999995</v>
      </c>
      <c r="D33" s="6">
        <v>538393.96499999997</v>
      </c>
      <c r="E33" s="6">
        <v>98261.487999999998</v>
      </c>
      <c r="F33" s="6">
        <v>111250.67600000001</v>
      </c>
      <c r="G33" s="6">
        <v>-9485.3140000000003</v>
      </c>
      <c r="H33" s="6">
        <v>-8671.4110000000001</v>
      </c>
      <c r="I33" s="6">
        <v>164179.76300000001</v>
      </c>
      <c r="J33" s="6">
        <v>164019.79800000001</v>
      </c>
      <c r="L33" s="6"/>
      <c r="M33" s="6"/>
      <c r="N33" s="6"/>
      <c r="O33" s="6">
        <f t="shared" si="18"/>
        <v>0.46304991774662163</v>
      </c>
      <c r="P33" s="6">
        <f t="shared" si="2"/>
        <v>-6.7323065010702932</v>
      </c>
      <c r="Q33" s="6">
        <f t="shared" si="3"/>
        <v>-0.7793173808615228</v>
      </c>
      <c r="R33" s="6">
        <f t="shared" si="4"/>
        <v>-6.2776746307899289</v>
      </c>
      <c r="S33" s="6">
        <f t="shared" si="5"/>
        <v>3.5990675340635137</v>
      </c>
      <c r="T33" s="6">
        <f t="shared" si="6"/>
        <v>0.40176410443033184</v>
      </c>
      <c r="U33" s="6">
        <f t="shared" si="7"/>
        <v>3.6941387966706931</v>
      </c>
      <c r="V33" s="6">
        <f t="shared" si="8"/>
        <v>-6.5573779953038294</v>
      </c>
      <c r="W33" s="6"/>
      <c r="X33" s="6">
        <f t="shared" si="9"/>
        <v>-1.1134975808430148</v>
      </c>
      <c r="Y33" s="6">
        <f t="shared" si="10"/>
        <v>-8219.0420000000158</v>
      </c>
      <c r="Z33" s="6">
        <f t="shared" si="11"/>
        <v>-49693.067000000039</v>
      </c>
      <c r="AA33" s="6">
        <f t="shared" si="12"/>
        <v>-5752.3629999999976</v>
      </c>
      <c r="AB33" s="6">
        <f t="shared" si="13"/>
        <v>-46337.299999999988</v>
      </c>
      <c r="AC33" s="6">
        <f t="shared" si="14"/>
        <v>26565.739999999998</v>
      </c>
      <c r="AD33" s="6">
        <f t="shared" si="15"/>
        <v>2965.5349999999999</v>
      </c>
      <c r="AE33" s="6">
        <f t="shared" si="16"/>
        <v>27267.488000000012</v>
      </c>
      <c r="AF33" s="6">
        <f t="shared" si="17"/>
        <v>-48401.869999999995</v>
      </c>
    </row>
    <row r="34" spans="1:32" x14ac:dyDescent="0.25">
      <c r="A34" t="s">
        <v>297</v>
      </c>
      <c r="B34" t="s">
        <v>365</v>
      </c>
      <c r="C34" s="6">
        <v>714299.21799999999</v>
      </c>
      <c r="D34" s="6">
        <v>490119.30699999997</v>
      </c>
      <c r="E34" s="6">
        <v>95614.376000000004</v>
      </c>
      <c r="F34" s="6">
        <v>134999.677</v>
      </c>
      <c r="G34" s="6">
        <v>16624.835999999999</v>
      </c>
      <c r="H34" s="6">
        <v>-14763.566999999999</v>
      </c>
      <c r="I34" s="6">
        <v>172087.516</v>
      </c>
      <c r="J34" s="6">
        <v>180382.927</v>
      </c>
      <c r="L34" s="6"/>
      <c r="M34" s="6"/>
      <c r="N34" s="6"/>
      <c r="O34" s="6">
        <f t="shared" si="18"/>
        <v>-2.8483027345499758</v>
      </c>
      <c r="P34" s="6">
        <f t="shared" si="2"/>
        <v>-0.8584896687173128</v>
      </c>
      <c r="Q34" s="6">
        <f t="shared" si="3"/>
        <v>-0.53845236397653962</v>
      </c>
      <c r="R34" s="6">
        <f t="shared" si="4"/>
        <v>-3.7303825243048179</v>
      </c>
      <c r="S34" s="6">
        <f t="shared" si="5"/>
        <v>-2.0434069372635046</v>
      </c>
      <c r="T34" s="6">
        <f t="shared" si="6"/>
        <v>-2.9197507522473831</v>
      </c>
      <c r="U34" s="6">
        <f t="shared" si="7"/>
        <v>3.866807555497517</v>
      </c>
      <c r="V34" s="6">
        <f t="shared" si="8"/>
        <v>-3.3753719564620646</v>
      </c>
      <c r="W34" s="6"/>
      <c r="X34" s="6">
        <f t="shared" si="9"/>
        <v>-1.9550050642498484</v>
      </c>
      <c r="Y34" s="6">
        <f t="shared" si="10"/>
        <v>-14243.038000000059</v>
      </c>
      <c r="Z34" s="6">
        <f t="shared" si="11"/>
        <v>-6254.460000000021</v>
      </c>
      <c r="AA34" s="6">
        <f t="shared" si="12"/>
        <v>-3922.8530000000028</v>
      </c>
      <c r="AB34" s="6">
        <f t="shared" si="13"/>
        <v>-27177.413</v>
      </c>
      <c r="AC34" s="6">
        <f t="shared" si="14"/>
        <v>-14887.083000000002</v>
      </c>
      <c r="AD34" s="6">
        <f t="shared" si="15"/>
        <v>-21271.617999999999</v>
      </c>
      <c r="AE34" s="6">
        <f t="shared" si="16"/>
        <v>28171.32699999999</v>
      </c>
      <c r="AF34" s="6">
        <f t="shared" si="17"/>
        <v>-24591.010999999999</v>
      </c>
    </row>
    <row r="35" spans="1:32" x14ac:dyDescent="0.25">
      <c r="A35" t="s">
        <v>298</v>
      </c>
      <c r="B35" t="s">
        <v>366</v>
      </c>
      <c r="C35" s="6">
        <v>719523.321</v>
      </c>
      <c r="D35" s="6">
        <v>504095.16700000002</v>
      </c>
      <c r="E35" s="6">
        <v>101219.345</v>
      </c>
      <c r="F35" s="6">
        <v>139618.47500000001</v>
      </c>
      <c r="G35" s="6">
        <v>26848.363000000001</v>
      </c>
      <c r="H35" s="6">
        <v>-25287.855</v>
      </c>
      <c r="I35" s="6">
        <v>172594.55600000001</v>
      </c>
      <c r="J35" s="6">
        <v>199564.731</v>
      </c>
      <c r="L35" s="6"/>
      <c r="M35" s="6"/>
      <c r="N35" s="6"/>
      <c r="O35" s="6">
        <f t="shared" si="18"/>
        <v>4.4115350836487117</v>
      </c>
      <c r="P35" s="6">
        <f t="shared" si="2"/>
        <v>3.3413722427701411</v>
      </c>
      <c r="Q35" s="6">
        <f t="shared" si="3"/>
        <v>0.27787579734965057</v>
      </c>
      <c r="R35" s="6">
        <f t="shared" si="4"/>
        <v>0.3662001149482309</v>
      </c>
      <c r="S35" s="6">
        <f t="shared" si="5"/>
        <v>-0.47563447975176149</v>
      </c>
      <c r="T35" s="6">
        <f t="shared" si="6"/>
        <v>-1.9075578806668279</v>
      </c>
      <c r="U35" s="6">
        <f t="shared" si="7"/>
        <v>5.2069910966332866</v>
      </c>
      <c r="V35" s="6">
        <f t="shared" si="8"/>
        <v>2.3977118076340087</v>
      </c>
      <c r="W35" s="6"/>
      <c r="X35" s="6">
        <f t="shared" si="9"/>
        <v>2.7093435532731469</v>
      </c>
      <c r="Y35" s="6">
        <f t="shared" si="10"/>
        <v>18980.121999999974</v>
      </c>
      <c r="Z35" s="6">
        <f t="shared" si="11"/>
        <v>23407.755999999994</v>
      </c>
      <c r="AA35" s="6">
        <f t="shared" si="12"/>
        <v>1946.6399999999994</v>
      </c>
      <c r="AB35" s="6">
        <f t="shared" si="13"/>
        <v>2565.390000000014</v>
      </c>
      <c r="AC35" s="6">
        <f t="shared" si="14"/>
        <v>-3332.0249999999978</v>
      </c>
      <c r="AD35" s="6">
        <f t="shared" si="15"/>
        <v>-13363.267</v>
      </c>
      <c r="AE35" s="6">
        <f t="shared" si="16"/>
        <v>36477.222000000009</v>
      </c>
      <c r="AF35" s="6">
        <f t="shared" si="17"/>
        <v>16797.007000000012</v>
      </c>
    </row>
    <row r="36" spans="1:32" x14ac:dyDescent="0.25">
      <c r="A36" t="s">
        <v>299</v>
      </c>
      <c r="B36" t="s">
        <v>367</v>
      </c>
      <c r="C36" s="6">
        <v>709095.125</v>
      </c>
      <c r="D36" s="6">
        <v>566590.75800000003</v>
      </c>
      <c r="E36" s="6">
        <v>91687.793000000005</v>
      </c>
      <c r="F36" s="6">
        <v>141620.552</v>
      </c>
      <c r="G36" s="6">
        <v>-19277.670999999998</v>
      </c>
      <c r="H36" s="6">
        <v>1704.7550000000001</v>
      </c>
      <c r="I36" s="6">
        <v>156881.31400000001</v>
      </c>
      <c r="J36" s="6">
        <v>230112.37700000001</v>
      </c>
      <c r="L36" s="6"/>
      <c r="M36" s="6"/>
      <c r="N36" s="6"/>
      <c r="O36" s="6">
        <f t="shared" si="18"/>
        <v>6.1170745520943761</v>
      </c>
      <c r="P36" s="6">
        <f t="shared" si="2"/>
        <v>8.7252762856947434</v>
      </c>
      <c r="Q36" s="6">
        <f t="shared" si="3"/>
        <v>-0.23988983945309919</v>
      </c>
      <c r="R36" s="6">
        <f t="shared" si="4"/>
        <v>5.0654468126513246</v>
      </c>
      <c r="S36" s="6">
        <f t="shared" si="5"/>
        <v>1.5116437068578108</v>
      </c>
      <c r="T36" s="6">
        <f t="shared" si="6"/>
        <v>-0.42646382533469673</v>
      </c>
      <c r="U36" s="6">
        <f t="shared" si="7"/>
        <v>1.4215424928155092</v>
      </c>
      <c r="V36" s="6">
        <f t="shared" si="8"/>
        <v>9.9404810811372144</v>
      </c>
      <c r="W36" s="6"/>
      <c r="X36" s="6">
        <f t="shared" si="9"/>
        <v>6.1170747017457616</v>
      </c>
      <c r="Y36" s="6">
        <f t="shared" si="10"/>
        <v>40875.493999999948</v>
      </c>
      <c r="Z36" s="6">
        <f t="shared" si="11"/>
        <v>58304.00900000002</v>
      </c>
      <c r="AA36" s="6">
        <f t="shared" si="12"/>
        <v>-1602.9909999999945</v>
      </c>
      <c r="AB36" s="6">
        <f t="shared" si="13"/>
        <v>33848.31</v>
      </c>
      <c r="AC36" s="6">
        <f t="shared" si="14"/>
        <v>10101.100000000002</v>
      </c>
      <c r="AD36" s="6">
        <f t="shared" si="15"/>
        <v>-2849.7150000000001</v>
      </c>
      <c r="AE36" s="6">
        <f t="shared" si="16"/>
        <v>9499.0260000000126</v>
      </c>
      <c r="AF36" s="6">
        <f t="shared" si="17"/>
        <v>66424.246000000014</v>
      </c>
    </row>
    <row r="37" spans="1:32" x14ac:dyDescent="0.25">
      <c r="A37" t="s">
        <v>300</v>
      </c>
      <c r="B37" t="s">
        <v>368</v>
      </c>
      <c r="C37" s="6">
        <v>777482.55599999998</v>
      </c>
      <c r="D37" s="6">
        <v>601163.86699999997</v>
      </c>
      <c r="E37" s="6">
        <v>99731.983999999997</v>
      </c>
      <c r="F37" s="6">
        <v>147249.22700000001</v>
      </c>
      <c r="G37" s="6">
        <v>-1008.552</v>
      </c>
      <c r="H37" s="6">
        <v>-11455.468999999999</v>
      </c>
      <c r="I37" s="6">
        <v>169976.524</v>
      </c>
      <c r="J37" s="6">
        <v>228175.02499999999</v>
      </c>
      <c r="L37" s="6"/>
      <c r="M37" s="6"/>
      <c r="N37" s="6"/>
      <c r="O37" s="6">
        <f t="shared" si="18"/>
        <v>6.5176841153822718</v>
      </c>
      <c r="P37" s="6">
        <f t="shared" si="2"/>
        <v>8.5996843808152192</v>
      </c>
      <c r="Q37" s="6">
        <f t="shared" si="3"/>
        <v>0.20146282024227549</v>
      </c>
      <c r="R37" s="6">
        <f t="shared" si="4"/>
        <v>4.9319206642489286</v>
      </c>
      <c r="S37" s="6">
        <f t="shared" si="5"/>
        <v>1.161344457273296</v>
      </c>
      <c r="T37" s="6">
        <f t="shared" si="6"/>
        <v>-0.38142516293690643</v>
      </c>
      <c r="U37" s="6">
        <f t="shared" si="7"/>
        <v>0.79417544782878258</v>
      </c>
      <c r="V37" s="6">
        <f t="shared" si="8"/>
        <v>8.7894784920893247</v>
      </c>
      <c r="W37" s="6"/>
      <c r="X37" s="6">
        <f t="shared" si="9"/>
        <v>6.5176841153822718</v>
      </c>
      <c r="Y37" s="6">
        <f t="shared" si="10"/>
        <v>47573.187000000034</v>
      </c>
      <c r="Z37" s="6">
        <f t="shared" si="11"/>
        <v>62769.902000000002</v>
      </c>
      <c r="AA37" s="6">
        <f t="shared" si="12"/>
        <v>1470.4959999999992</v>
      </c>
      <c r="AB37" s="6">
        <f t="shared" si="13"/>
        <v>35998.551000000007</v>
      </c>
      <c r="AC37" s="6">
        <f t="shared" si="14"/>
        <v>8476.7620000000006</v>
      </c>
      <c r="AD37" s="6">
        <f t="shared" si="15"/>
        <v>-2784.0579999999991</v>
      </c>
      <c r="AE37" s="6">
        <f t="shared" si="16"/>
        <v>5796.7609999999986</v>
      </c>
      <c r="AF37" s="6">
        <f t="shared" si="17"/>
        <v>64155.226999999984</v>
      </c>
    </row>
    <row r="38" spans="1:32" x14ac:dyDescent="0.25">
      <c r="A38" t="s">
        <v>301</v>
      </c>
      <c r="B38" t="s">
        <v>369</v>
      </c>
      <c r="C38" s="6">
        <v>737135.06799999997</v>
      </c>
      <c r="D38" s="6">
        <v>522534.772</v>
      </c>
      <c r="E38" s="6">
        <v>96837.224000000002</v>
      </c>
      <c r="F38" s="6">
        <v>148829.50700000001</v>
      </c>
      <c r="G38" s="6">
        <v>19392.456999999999</v>
      </c>
      <c r="H38" s="6">
        <v>-14355.754000000001</v>
      </c>
      <c r="I38" s="6">
        <v>189756.073</v>
      </c>
      <c r="J38" s="6">
        <v>225859.21299999999</v>
      </c>
      <c r="L38" s="6"/>
      <c r="M38" s="6"/>
      <c r="N38" s="6"/>
      <c r="O38" s="6">
        <f t="shared" si="18"/>
        <v>3.1969582808643224</v>
      </c>
      <c r="P38" s="6">
        <f t="shared" si="2"/>
        <v>4.5380793067031053</v>
      </c>
      <c r="Q38" s="6">
        <f t="shared" si="3"/>
        <v>0.17119548351514521</v>
      </c>
      <c r="R38" s="6">
        <f t="shared" si="4"/>
        <v>1.9361395968937001</v>
      </c>
      <c r="S38" s="6">
        <f t="shared" si="5"/>
        <v>0.38745961499848736</v>
      </c>
      <c r="T38" s="6">
        <f t="shared" si="6"/>
        <v>5.7092740650319357E-2</v>
      </c>
      <c r="U38" s="6">
        <f t="shared" si="7"/>
        <v>2.4735512170195384</v>
      </c>
      <c r="V38" s="6">
        <f t="shared" si="8"/>
        <v>6.3665596789159729</v>
      </c>
      <c r="W38" s="6"/>
      <c r="X38" s="6">
        <f t="shared" si="9"/>
        <v>3.1969585608590201</v>
      </c>
      <c r="Y38" s="6">
        <f t="shared" si="10"/>
        <v>22835.849999999977</v>
      </c>
      <c r="Z38" s="6">
        <f t="shared" si="11"/>
        <v>32415.465000000026</v>
      </c>
      <c r="AA38" s="6">
        <f t="shared" si="12"/>
        <v>1222.8479999999981</v>
      </c>
      <c r="AB38" s="6">
        <f t="shared" si="13"/>
        <v>13829.830000000016</v>
      </c>
      <c r="AC38" s="6">
        <f t="shared" si="14"/>
        <v>2767.6209999999992</v>
      </c>
      <c r="AD38" s="6">
        <f t="shared" si="15"/>
        <v>407.81299999999828</v>
      </c>
      <c r="AE38" s="6">
        <f t="shared" si="16"/>
        <v>17668.557000000001</v>
      </c>
      <c r="AF38" s="6">
        <f t="shared" si="17"/>
        <v>45476.285999999993</v>
      </c>
    </row>
    <row r="39" spans="1:32" x14ac:dyDescent="0.25">
      <c r="A39" t="s">
        <v>302</v>
      </c>
      <c r="B39" t="s">
        <v>370</v>
      </c>
      <c r="C39" s="6">
        <v>735202.10600000003</v>
      </c>
      <c r="D39" s="6">
        <v>525445.78300000005</v>
      </c>
      <c r="E39" s="6">
        <v>101592.27499999999</v>
      </c>
      <c r="F39" s="6">
        <v>135974.00399999999</v>
      </c>
      <c r="G39" s="6">
        <v>17703.807000000001</v>
      </c>
      <c r="H39" s="6">
        <v>-16770.731</v>
      </c>
      <c r="I39" s="6">
        <v>192971.24100000001</v>
      </c>
      <c r="J39" s="6">
        <v>221714.274</v>
      </c>
      <c r="L39" s="6"/>
      <c r="M39" s="6"/>
      <c r="N39" s="6"/>
      <c r="O39" s="6">
        <f t="shared" si="18"/>
        <v>2.1790516780205897</v>
      </c>
      <c r="P39" s="6">
        <f t="shared" si="2"/>
        <v>2.9673278651102954</v>
      </c>
      <c r="Q39" s="6">
        <f t="shared" si="3"/>
        <v>5.1830147698575052E-2</v>
      </c>
      <c r="R39" s="6">
        <f t="shared" si="4"/>
        <v>-0.50651186606917675</v>
      </c>
      <c r="S39" s="6">
        <f t="shared" si="5"/>
        <v>-1.2709186392027985</v>
      </c>
      <c r="T39" s="6">
        <f t="shared" si="6"/>
        <v>1.1837175740409369</v>
      </c>
      <c r="U39" s="6">
        <f t="shared" si="7"/>
        <v>2.8319700564646411</v>
      </c>
      <c r="V39" s="6">
        <f t="shared" si="8"/>
        <v>3.0783634600218837</v>
      </c>
      <c r="W39" s="6"/>
      <c r="X39" s="6">
        <f t="shared" si="9"/>
        <v>2.1790516780205937</v>
      </c>
      <c r="Y39" s="6">
        <f t="shared" si="10"/>
        <v>15678.785000000033</v>
      </c>
      <c r="Z39" s="6">
        <f t="shared" si="11"/>
        <v>21350.616000000038</v>
      </c>
      <c r="AA39" s="6">
        <f t="shared" si="12"/>
        <v>372.92999999999302</v>
      </c>
      <c r="AB39" s="6">
        <f t="shared" si="13"/>
        <v>-3644.4710000000196</v>
      </c>
      <c r="AC39" s="6">
        <f t="shared" si="14"/>
        <v>-9144.5560000000005</v>
      </c>
      <c r="AD39" s="6">
        <f t="shared" si="15"/>
        <v>8517.1239999999998</v>
      </c>
      <c r="AE39" s="6">
        <f t="shared" si="16"/>
        <v>20376.684999999998</v>
      </c>
      <c r="AF39" s="6">
        <f t="shared" si="17"/>
        <v>22149.543000000005</v>
      </c>
    </row>
    <row r="40" spans="1:32" x14ac:dyDescent="0.25">
      <c r="A40" t="s">
        <v>303</v>
      </c>
      <c r="B40" t="s">
        <v>371</v>
      </c>
      <c r="C40" s="6">
        <v>725600.245</v>
      </c>
      <c r="D40" s="6">
        <v>582154.79599999997</v>
      </c>
      <c r="E40" s="6">
        <v>90857.061000000002</v>
      </c>
      <c r="F40" s="6">
        <v>125135.442</v>
      </c>
      <c r="G40" s="6">
        <v>-32028.81</v>
      </c>
      <c r="H40" s="6">
        <v>131.66200000000001</v>
      </c>
      <c r="I40" s="6">
        <v>172306.878</v>
      </c>
      <c r="J40" s="6">
        <v>212956.783</v>
      </c>
      <c r="L40" s="6"/>
      <c r="M40" s="6"/>
      <c r="N40" s="6"/>
      <c r="O40" s="6">
        <f>SUM(P40:U40)-V40</f>
        <v>2.3276315712930442</v>
      </c>
      <c r="P40" s="6">
        <f t="shared" si="2"/>
        <v>2.1949153859998529</v>
      </c>
      <c r="Q40" s="6">
        <f t="shared" si="3"/>
        <v>-0.11715381628099626</v>
      </c>
      <c r="R40" s="6">
        <f t="shared" si="4"/>
        <v>-2.3248093829442058</v>
      </c>
      <c r="S40" s="6">
        <f t="shared" si="5"/>
        <v>-1.7982268599011959</v>
      </c>
      <c r="T40" s="6">
        <f t="shared" si="6"/>
        <v>-0.22184512973488499</v>
      </c>
      <c r="U40" s="6">
        <f t="shared" si="7"/>
        <v>2.175387117490045</v>
      </c>
      <c r="V40" s="6">
        <f t="shared" si="8"/>
        <v>-2.4193642566644291</v>
      </c>
      <c r="W40" s="6"/>
      <c r="X40" s="6">
        <f t="shared" si="9"/>
        <v>2.3276312892434481</v>
      </c>
      <c r="Y40" s="6">
        <f t="shared" si="10"/>
        <v>16505.119999999995</v>
      </c>
      <c r="Z40" s="6">
        <f t="shared" si="11"/>
        <v>15564.037999999942</v>
      </c>
      <c r="AA40" s="6">
        <f t="shared" si="12"/>
        <v>-830.73200000000361</v>
      </c>
      <c r="AB40" s="6">
        <f t="shared" si="13"/>
        <v>-16485.11</v>
      </c>
      <c r="AC40" s="6">
        <f t="shared" si="14"/>
        <v>-12751.139000000003</v>
      </c>
      <c r="AD40" s="6">
        <f t="shared" si="15"/>
        <v>-1573.0930000000001</v>
      </c>
      <c r="AE40" s="6">
        <f t="shared" si="16"/>
        <v>15425.563999999984</v>
      </c>
      <c r="AF40" s="6">
        <f t="shared" si="17"/>
        <v>-17155.594000000012</v>
      </c>
    </row>
    <row r="41" spans="1:32" x14ac:dyDescent="0.25">
      <c r="P41" s="6"/>
      <c r="Q41" s="6"/>
      <c r="R41" s="6"/>
      <c r="S41" s="6"/>
      <c r="T41" s="6"/>
      <c r="U41" s="6"/>
      <c r="V41" s="6"/>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75560-C7EC-450F-82D7-14B67D07F09A}">
  <sheetPr>
    <tabColor rgb="FF10437C"/>
  </sheetPr>
  <dimension ref="A2:U52"/>
  <sheetViews>
    <sheetView zoomScaleNormal="100" workbookViewId="0" showGridLines="0" zoomScale="100">
      <pane ySplit="7" topLeftCell="A8" activePane="bottomLeft" state="frozen"/>
      <selection pane="bottomLeft" activeCell="A8" sqref="A8"/>
    </sheetView>
  </sheetViews>
  <sheetFormatPr defaultRowHeight="15" x14ac:dyDescent="0.25"/>
  <cols>
    <col min="1" max="2" width="9.140625" style="17"/>
    <col min="3" max="3" width="9.5703125" style="17" bestFit="1" customWidth="1"/>
    <col min="4" max="4" width="10.5703125" style="17" bestFit="1" customWidth="1"/>
    <col min="5" max="5" width="9.5703125" style="17" bestFit="1" customWidth="1"/>
    <col min="6" max="16384" width="9.140625" style="17"/>
  </cols>
  <sheetData>
    <row r="2" spans="1:21" x14ac:dyDescent="0.25">
      <c r="C2" s="17" t="s">
        <v>693</v>
      </c>
      <c r="D2" s="17" t="s">
        <v>694</v>
      </c>
      <c r="E2" s="17" t="s">
        <v>695</v>
      </c>
      <c r="F2" s="17" t="s">
        <v>696</v>
      </c>
      <c r="G2" s="17" t="s">
        <v>697</v>
      </c>
      <c r="H2" s="17" t="s">
        <v>698</v>
      </c>
      <c r="I2" s="17" t="s">
        <v>699</v>
      </c>
    </row>
    <row r="3" spans="1:21" x14ac:dyDescent="0.25">
      <c r="B3" s="75" t="s">
        <v>700</v>
      </c>
      <c r="C3" s="17" t="s">
        <v>701</v>
      </c>
      <c r="D3" s="17" t="s">
        <v>702</v>
      </c>
      <c r="E3" s="17" t="s">
        <v>703</v>
      </c>
      <c r="F3" s="17" t="s">
        <v>704</v>
      </c>
      <c r="G3" s="17" t="s">
        <v>705</v>
      </c>
      <c r="H3" s="17" t="s">
        <v>706</v>
      </c>
      <c r="I3" s="17" t="s">
        <v>707</v>
      </c>
    </row>
    <row r="4" spans="1:21" x14ac:dyDescent="0.25">
      <c r="B4" s="17" t="s">
        <v>9</v>
      </c>
      <c r="C4" s="17" t="s">
        <v>708</v>
      </c>
      <c r="D4" s="17" t="s">
        <v>709</v>
      </c>
      <c r="E4" s="17" t="s">
        <v>710</v>
      </c>
      <c r="F4" s="17" t="s">
        <v>711</v>
      </c>
      <c r="G4" s="17" t="s">
        <v>712</v>
      </c>
      <c r="H4" s="17" t="s">
        <v>713</v>
      </c>
      <c r="I4" s="17" t="s">
        <v>714</v>
      </c>
    </row>
    <row r="5" spans="1:21" x14ac:dyDescent="0.25">
      <c r="B5" s="17" t="s">
        <v>8</v>
      </c>
      <c r="C5" s="17" t="s">
        <v>420</v>
      </c>
      <c r="D5" s="17" t="s">
        <v>420</v>
      </c>
      <c r="E5" s="17" t="s">
        <v>420</v>
      </c>
      <c r="F5" s="17" t="s">
        <v>715</v>
      </c>
      <c r="G5" s="17" t="s">
        <v>715</v>
      </c>
      <c r="H5" s="17" t="s">
        <v>715</v>
      </c>
      <c r="I5" s="17" t="s">
        <v>715</v>
      </c>
    </row>
    <row r="6" spans="1:21" x14ac:dyDescent="0.25">
      <c r="B6" s="17" t="s">
        <v>7</v>
      </c>
      <c r="C6" s="17" t="s">
        <v>481</v>
      </c>
      <c r="D6" s="17" t="s">
        <v>481</v>
      </c>
      <c r="E6" s="17" t="s">
        <v>481</v>
      </c>
      <c r="F6" s="17" t="s">
        <v>716</v>
      </c>
      <c r="G6" s="17" t="s">
        <v>716</v>
      </c>
      <c r="H6" s="17" t="s">
        <v>716</v>
      </c>
      <c r="I6" s="17" t="s">
        <v>716</v>
      </c>
    </row>
    <row r="7" spans="1:21" x14ac:dyDescent="0.25">
      <c r="B7" s="17" t="s">
        <v>6</v>
      </c>
      <c r="C7" s="17" t="s">
        <v>145</v>
      </c>
      <c r="D7" s="17" t="s">
        <v>145</v>
      </c>
      <c r="E7" s="17" t="s">
        <v>145</v>
      </c>
      <c r="F7" s="17" t="s">
        <v>10</v>
      </c>
      <c r="G7" s="17" t="s">
        <v>10</v>
      </c>
      <c r="H7" s="17" t="s">
        <v>10</v>
      </c>
      <c r="I7" s="17" t="s">
        <v>10</v>
      </c>
      <c r="N7" s="17" t="s">
        <v>717</v>
      </c>
      <c r="O7" s="17" t="s">
        <v>694</v>
      </c>
      <c r="P7" s="17" t="s">
        <v>718</v>
      </c>
      <c r="Q7" s="17" t="s">
        <v>696</v>
      </c>
      <c r="R7" s="17" t="s">
        <v>719</v>
      </c>
      <c r="S7" s="17" t="s">
        <v>694</v>
      </c>
      <c r="T7" s="17" t="s">
        <v>718</v>
      </c>
    </row>
    <row r="8" spans="1:21" x14ac:dyDescent="0.25">
      <c r="A8" s="17" t="s">
        <v>720</v>
      </c>
      <c r="B8" s="17" t="s">
        <v>327</v>
      </c>
      <c r="C8" s="76">
        <v>23215.973000000002</v>
      </c>
      <c r="D8" s="76">
        <v>124590.724</v>
      </c>
      <c r="E8" s="76">
        <v>22044.416000000001</v>
      </c>
      <c r="F8" s="77">
        <v>6520873</v>
      </c>
      <c r="G8" s="77">
        <v>91361</v>
      </c>
      <c r="H8" s="77">
        <v>1281741</v>
      </c>
      <c r="I8" s="77">
        <v>447480</v>
      </c>
      <c r="J8" s="77"/>
      <c r="K8" s="78">
        <f>G8/$F8*100</f>
        <v>1.4010547360759824</v>
      </c>
      <c r="L8" s="78">
        <f>H8/$F8*100</f>
        <v>19.655972444180403</v>
      </c>
      <c r="M8" s="78"/>
      <c r="N8" s="17">
        <f>C8/C$8*100</f>
        <v>100</v>
      </c>
      <c r="O8" s="17">
        <f>D8/D$8*100</f>
        <v>100</v>
      </c>
      <c r="P8" s="17">
        <f>E8/E$8*100</f>
        <v>100</v>
      </c>
      <c r="Q8" s="17">
        <f>F8/F$8*100</f>
        <v>100</v>
      </c>
      <c r="R8" s="17">
        <f>G8/G$8*100</f>
        <v>100</v>
      </c>
      <c r="S8" s="17">
        <f>H8/H$8*100</f>
        <v>100</v>
      </c>
    </row>
    <row r="9" spans="1:21" x14ac:dyDescent="0.25">
      <c r="A9" s="17" t="s">
        <v>721</v>
      </c>
      <c r="B9" s="17" t="s">
        <v>328</v>
      </c>
      <c r="C9" s="76">
        <v>23409.550999999999</v>
      </c>
      <c r="D9" s="76">
        <v>126980.24</v>
      </c>
      <c r="E9" s="76">
        <v>22974.521000000001</v>
      </c>
      <c r="F9" s="77">
        <v>6587551</v>
      </c>
      <c r="G9" s="77">
        <v>91025</v>
      </c>
      <c r="H9" s="77">
        <v>1292445</v>
      </c>
      <c r="I9" s="77">
        <v>462210</v>
      </c>
      <c r="J9" s="77"/>
      <c r="K9" s="78">
        <f>G9/$F9*100</f>
        <v>1.3817729836171289</v>
      </c>
      <c r="L9" s="78">
        <f>H9/$F9*100</f>
        <v>19.619506551068827</v>
      </c>
      <c r="M9" s="77"/>
      <c r="N9" s="17">
        <f t="shared" ref="N9:P52" si="0">C9/C$8*100</f>
        <v>100.83381385738173</v>
      </c>
      <c r="O9" s="17">
        <f t="shared" si="0"/>
        <v>101.91789237856905</v>
      </c>
      <c r="P9" s="17">
        <f t="shared" si="0"/>
        <v>104.21923175465389</v>
      </c>
      <c r="Q9" s="17">
        <f>F9/F$8*100</f>
        <v>101.0225317990398</v>
      </c>
      <c r="R9" s="17">
        <f>G9/G$8*100</f>
        <v>99.632228193649368</v>
      </c>
      <c r="S9" s="17">
        <f>H9/H$8*100</f>
        <v>100.83511411431793</v>
      </c>
    </row>
    <row r="10" spans="1:21" x14ac:dyDescent="0.25">
      <c r="A10" s="17" t="s">
        <v>722</v>
      </c>
      <c r="B10" s="17" t="s">
        <v>329</v>
      </c>
      <c r="C10" s="76">
        <v>23147.52</v>
      </c>
      <c r="D10" s="76">
        <v>126173.963</v>
      </c>
      <c r="E10" s="76">
        <v>22898.78</v>
      </c>
      <c r="F10" s="77">
        <v>6620689</v>
      </c>
      <c r="G10" s="77">
        <v>90555</v>
      </c>
      <c r="H10" s="77">
        <v>1298801</v>
      </c>
      <c r="I10" s="77">
        <v>464593</v>
      </c>
      <c r="J10" s="77"/>
      <c r="K10" s="78">
        <f>G10/$F10*100</f>
        <v>1.3677579478510469</v>
      </c>
      <c r="L10" s="78">
        <f>H10/$F10*100</f>
        <v>19.617308712129507</v>
      </c>
      <c r="M10" s="77"/>
      <c r="N10" s="17">
        <f t="shared" si="0"/>
        <v>99.705146969287043</v>
      </c>
      <c r="O10" s="17">
        <f t="shared" si="0"/>
        <v>101.27075190605683</v>
      </c>
      <c r="P10" s="17">
        <f t="shared" si="0"/>
        <v>103.87564814599759</v>
      </c>
      <c r="Q10" s="17">
        <f>F10/F$8*100</f>
        <v>101.53071528919517</v>
      </c>
      <c r="R10" s="17">
        <f>G10/G$8*100</f>
        <v>99.117785488337475</v>
      </c>
      <c r="S10" s="17">
        <f>H10/H$8*100</f>
        <v>101.33100212913529</v>
      </c>
    </row>
    <row r="11" spans="1:21" x14ac:dyDescent="0.25">
      <c r="A11" s="17" t="s">
        <v>723</v>
      </c>
      <c r="B11" s="17" t="s">
        <v>330</v>
      </c>
      <c r="C11" s="76">
        <v>22762.510999999999</v>
      </c>
      <c r="D11" s="76">
        <v>123206.594</v>
      </c>
      <c r="E11" s="76">
        <v>22317.527999999998</v>
      </c>
      <c r="F11" s="77">
        <v>6606981</v>
      </c>
      <c r="G11" s="77">
        <v>89519</v>
      </c>
      <c r="H11" s="77">
        <v>1296330</v>
      </c>
      <c r="I11" s="77">
        <v>448344</v>
      </c>
      <c r="J11" s="77"/>
      <c r="K11" s="78">
        <f>G11/$F11*100</f>
        <v>1.3549153539263998</v>
      </c>
      <c r="L11" s="78">
        <f>H11/$F11*100</f>
        <v>19.620610381655403</v>
      </c>
      <c r="M11" s="77"/>
      <c r="N11" s="17">
        <f t="shared" si="0"/>
        <v>98.046767197739243</v>
      </c>
      <c r="O11" s="17">
        <f t="shared" si="0"/>
        <v>98.889058546605753</v>
      </c>
      <c r="P11" s="17">
        <f t="shared" si="0"/>
        <v>101.23891692118312</v>
      </c>
      <c r="Q11" s="17">
        <f>F11/F$11*100</f>
        <v>100</v>
      </c>
      <c r="R11" s="17">
        <f t="shared" ref="R11:T26" si="1">G11/G$11*100</f>
        <v>100</v>
      </c>
      <c r="S11" s="17">
        <f t="shared" si="1"/>
        <v>100</v>
      </c>
      <c r="T11" s="17">
        <f t="shared" si="1"/>
        <v>100</v>
      </c>
      <c r="U11" s="17">
        <v>100</v>
      </c>
    </row>
    <row r="12" spans="1:21" x14ac:dyDescent="0.25">
      <c r="A12" s="17" t="s">
        <v>490</v>
      </c>
      <c r="B12" s="17" t="s">
        <v>331</v>
      </c>
      <c r="C12" s="76">
        <v>22347.723999999998</v>
      </c>
      <c r="D12" s="76">
        <v>120741.641</v>
      </c>
      <c r="E12" s="76">
        <v>20751.031999999999</v>
      </c>
      <c r="F12" s="77">
        <v>6574288</v>
      </c>
      <c r="G12" s="77">
        <v>88239</v>
      </c>
      <c r="H12" s="77">
        <v>1286951</v>
      </c>
      <c r="I12" s="77">
        <v>422320</v>
      </c>
      <c r="J12" s="77"/>
      <c r="K12" s="78">
        <f>G12/$F12*100</f>
        <v>1.3421833664725367</v>
      </c>
      <c r="L12" s="78">
        <f>H12/$F12*100</f>
        <v>19.575519052405372</v>
      </c>
      <c r="M12" s="77"/>
      <c r="N12" s="17">
        <f t="shared" si="0"/>
        <v>96.260122287357916</v>
      </c>
      <c r="O12" s="17">
        <f t="shared" si="0"/>
        <v>96.910618321794161</v>
      </c>
      <c r="P12" s="17">
        <f t="shared" si="0"/>
        <v>94.132827106873677</v>
      </c>
      <c r="Q12" s="17">
        <f t="shared" ref="Q12:T51" si="2">F12/F$11*100</f>
        <v>99.505174905149573</v>
      </c>
      <c r="R12" s="17">
        <f t="shared" si="1"/>
        <v>98.570135948792995</v>
      </c>
      <c r="S12" s="17">
        <f t="shared" si="1"/>
        <v>99.276495953962339</v>
      </c>
      <c r="T12" s="17">
        <f t="shared" si="1"/>
        <v>94.19552843352426</v>
      </c>
      <c r="U12" s="17">
        <v>100</v>
      </c>
    </row>
    <row r="13" spans="1:21" x14ac:dyDescent="0.25">
      <c r="A13" s="17" t="s">
        <v>494</v>
      </c>
      <c r="B13" s="17" t="s">
        <v>332</v>
      </c>
      <c r="C13" s="76">
        <v>21976.417000000001</v>
      </c>
      <c r="D13" s="76">
        <v>117313.132</v>
      </c>
      <c r="E13" s="76">
        <v>19423.582999999999</v>
      </c>
      <c r="F13" s="77">
        <v>6542140</v>
      </c>
      <c r="G13" s="77">
        <v>85876</v>
      </c>
      <c r="H13" s="77">
        <v>1274411</v>
      </c>
      <c r="I13" s="77">
        <v>412404</v>
      </c>
      <c r="J13" s="77"/>
      <c r="K13" s="78">
        <f>G13/$F13*100</f>
        <v>1.3126591604581987</v>
      </c>
      <c r="L13" s="78">
        <f>H13/$F13*100</f>
        <v>19.480032527582715</v>
      </c>
      <c r="M13" s="77"/>
      <c r="N13" s="17">
        <f t="shared" si="0"/>
        <v>94.660762226075988</v>
      </c>
      <c r="O13" s="17">
        <f t="shared" si="0"/>
        <v>94.158801099831464</v>
      </c>
      <c r="P13" s="17">
        <f t="shared" si="0"/>
        <v>88.11112528451649</v>
      </c>
      <c r="Q13" s="17">
        <f t="shared" si="2"/>
        <v>99.018598661022338</v>
      </c>
      <c r="R13" s="17">
        <f t="shared" si="1"/>
        <v>95.930472860510065</v>
      </c>
      <c r="S13" s="17">
        <f t="shared" si="1"/>
        <v>98.309149676394128</v>
      </c>
      <c r="T13" s="17">
        <f t="shared" si="1"/>
        <v>91.983833841871416</v>
      </c>
      <c r="U13" s="17">
        <v>100</v>
      </c>
    </row>
    <row r="14" spans="1:21" x14ac:dyDescent="0.25">
      <c r="A14" s="17" t="s">
        <v>495</v>
      </c>
      <c r="B14" s="17" t="s">
        <v>333</v>
      </c>
      <c r="C14" s="76">
        <v>21864.973999999998</v>
      </c>
      <c r="D14" s="76">
        <v>116958.622</v>
      </c>
      <c r="E14" s="76">
        <v>19852.244999999999</v>
      </c>
      <c r="F14" s="77">
        <v>6531958</v>
      </c>
      <c r="G14" s="77">
        <v>84663</v>
      </c>
      <c r="H14" s="77">
        <v>1264627</v>
      </c>
      <c r="I14" s="77">
        <v>413700</v>
      </c>
      <c r="J14" s="77"/>
      <c r="K14" s="78">
        <f>G14/$F14*100</f>
        <v>1.2961350945612327</v>
      </c>
      <c r="L14" s="78">
        <f>H14/$F14*100</f>
        <v>19.360611320525944</v>
      </c>
      <c r="M14" s="77"/>
      <c r="N14" s="17">
        <f t="shared" si="0"/>
        <v>94.18073496208838</v>
      </c>
      <c r="O14" s="17">
        <f t="shared" si="0"/>
        <v>93.874261457859419</v>
      </c>
      <c r="P14" s="17">
        <f t="shared" si="0"/>
        <v>90.055663075855577</v>
      </c>
      <c r="Q14" s="17">
        <f t="shared" si="2"/>
        <v>98.86448893980473</v>
      </c>
      <c r="R14" s="17">
        <f t="shared" si="1"/>
        <v>94.575453255733422</v>
      </c>
      <c r="S14" s="17">
        <f t="shared" si="1"/>
        <v>97.554403585506776</v>
      </c>
      <c r="T14" s="17">
        <f t="shared" si="1"/>
        <v>92.272897596488406</v>
      </c>
      <c r="U14" s="17">
        <v>100</v>
      </c>
    </row>
    <row r="15" spans="1:21" x14ac:dyDescent="0.25">
      <c r="A15" s="17" t="s">
        <v>496</v>
      </c>
      <c r="B15" s="17" t="s">
        <v>334</v>
      </c>
      <c r="C15" s="76">
        <v>21268.255000000001</v>
      </c>
      <c r="D15" s="76">
        <v>118167.82799999999</v>
      </c>
      <c r="E15" s="76">
        <v>20120.128000000001</v>
      </c>
      <c r="F15" s="77">
        <v>6549573</v>
      </c>
      <c r="G15" s="77">
        <v>84066</v>
      </c>
      <c r="H15" s="77">
        <v>1258466</v>
      </c>
      <c r="I15" s="77">
        <v>422246</v>
      </c>
      <c r="J15" s="77"/>
      <c r="K15" s="78">
        <f>G15/$F15*100</f>
        <v>1.283534056342299</v>
      </c>
      <c r="L15" s="78">
        <f>H15/$F15*100</f>
        <v>19.214473981738962</v>
      </c>
      <c r="M15" s="77"/>
      <c r="N15" s="17">
        <f t="shared" si="0"/>
        <v>91.610439932885853</v>
      </c>
      <c r="O15" s="17">
        <f t="shared" si="0"/>
        <v>94.84480401606784</v>
      </c>
      <c r="P15" s="17">
        <f t="shared" si="0"/>
        <v>91.270859704335109</v>
      </c>
      <c r="Q15" s="17">
        <f t="shared" si="2"/>
        <v>99.131100876482009</v>
      </c>
      <c r="R15" s="17">
        <f t="shared" si="1"/>
        <v>93.908555725600152</v>
      </c>
      <c r="S15" s="17">
        <f t="shared" si="1"/>
        <v>97.079138799534064</v>
      </c>
      <c r="T15" s="17">
        <f t="shared" si="1"/>
        <v>94.179023250004462</v>
      </c>
      <c r="U15" s="17">
        <v>100</v>
      </c>
    </row>
    <row r="16" spans="1:21" x14ac:dyDescent="0.25">
      <c r="A16" s="17" t="s">
        <v>491</v>
      </c>
      <c r="B16" s="17" t="s">
        <v>335</v>
      </c>
      <c r="C16" s="76">
        <v>21189.88</v>
      </c>
      <c r="D16" s="76">
        <v>117978.66499999999</v>
      </c>
      <c r="E16" s="76">
        <v>21105.981</v>
      </c>
      <c r="F16" s="77">
        <v>6575488</v>
      </c>
      <c r="G16" s="77">
        <v>82622</v>
      </c>
      <c r="H16" s="77">
        <v>1252970</v>
      </c>
      <c r="I16" s="77">
        <v>436764</v>
      </c>
      <c r="J16" s="77"/>
      <c r="K16" s="78">
        <f>G16/$F16*100</f>
        <v>1.2565151057989916</v>
      </c>
      <c r="L16" s="78">
        <f>H16/$F16*100</f>
        <v>19.055163662377606</v>
      </c>
      <c r="M16" s="77"/>
      <c r="N16" s="17">
        <f t="shared" si="0"/>
        <v>91.272849085412005</v>
      </c>
      <c r="O16" s="17">
        <f t="shared" si="0"/>
        <v>94.692976501204058</v>
      </c>
      <c r="P16" s="17">
        <f t="shared" si="0"/>
        <v>95.742980898201154</v>
      </c>
      <c r="Q16" s="17">
        <f t="shared" si="2"/>
        <v>99.523337512246513</v>
      </c>
      <c r="R16" s="17">
        <f t="shared" si="1"/>
        <v>92.295490342832238</v>
      </c>
      <c r="S16" s="17">
        <f t="shared" si="1"/>
        <v>96.655172679796038</v>
      </c>
      <c r="T16" s="17">
        <f t="shared" si="1"/>
        <v>97.417161822172261</v>
      </c>
      <c r="U16" s="17">
        <v>100</v>
      </c>
    </row>
    <row r="17" spans="1:21" x14ac:dyDescent="0.25">
      <c r="A17" s="17" t="s">
        <v>497</v>
      </c>
      <c r="B17" s="17" t="s">
        <v>336</v>
      </c>
      <c r="C17" s="76">
        <v>20531.46</v>
      </c>
      <c r="D17" s="76">
        <v>120705.637</v>
      </c>
      <c r="E17" s="76">
        <v>21388.952000000001</v>
      </c>
      <c r="F17" s="77">
        <v>6592079</v>
      </c>
      <c r="G17" s="77">
        <v>81233</v>
      </c>
      <c r="H17" s="77">
        <v>1249407</v>
      </c>
      <c r="I17" s="77">
        <v>447612</v>
      </c>
      <c r="J17" s="77"/>
      <c r="K17" s="78">
        <f>G17/$F17*100</f>
        <v>1.2322819553588482</v>
      </c>
      <c r="L17" s="78">
        <f>H17/$F17*100</f>
        <v>18.953155749498755</v>
      </c>
      <c r="M17" s="77"/>
      <c r="N17" s="17">
        <f t="shared" si="0"/>
        <v>88.436784450085284</v>
      </c>
      <c r="O17" s="17">
        <f t="shared" si="0"/>
        <v>96.881720504329039</v>
      </c>
      <c r="P17" s="17">
        <f t="shared" si="0"/>
        <v>97.026621163382146</v>
      </c>
      <c r="Q17" s="17">
        <f t="shared" si="2"/>
        <v>99.774450690867738</v>
      </c>
      <c r="R17" s="17">
        <f t="shared" si="1"/>
        <v>90.743864431014643</v>
      </c>
      <c r="S17" s="17">
        <f t="shared" si="1"/>
        <v>96.380319825970247</v>
      </c>
      <c r="T17" s="17">
        <f t="shared" si="1"/>
        <v>99.836732508966335</v>
      </c>
      <c r="U17" s="17">
        <v>100</v>
      </c>
    </row>
    <row r="18" spans="1:21" x14ac:dyDescent="0.25">
      <c r="A18" s="17" t="s">
        <v>498</v>
      </c>
      <c r="B18" s="17" t="s">
        <v>337</v>
      </c>
      <c r="C18" s="76">
        <v>21110.328000000001</v>
      </c>
      <c r="D18" s="76">
        <v>122677.68799999999</v>
      </c>
      <c r="E18" s="76">
        <v>22041.381000000001</v>
      </c>
      <c r="F18" s="77">
        <v>6627129</v>
      </c>
      <c r="G18" s="77">
        <v>81159</v>
      </c>
      <c r="H18" s="77">
        <v>1243738</v>
      </c>
      <c r="I18" s="77">
        <v>460742</v>
      </c>
      <c r="J18" s="77"/>
      <c r="K18" s="78">
        <f>G18/$F18*100</f>
        <v>1.2246479584145713</v>
      </c>
      <c r="L18" s="78">
        <f>H18/$F18*100</f>
        <v>18.767372719016031</v>
      </c>
      <c r="M18" s="77"/>
      <c r="N18" s="17">
        <f t="shared" si="0"/>
        <v>90.930188452579614</v>
      </c>
      <c r="O18" s="17">
        <f t="shared" si="0"/>
        <v>98.464543797016532</v>
      </c>
      <c r="P18" s="17">
        <f t="shared" si="0"/>
        <v>99.986232341106245</v>
      </c>
      <c r="Q18" s="17">
        <f t="shared" si="2"/>
        <v>100.30495017315775</v>
      </c>
      <c r="R18" s="17">
        <f t="shared" si="1"/>
        <v>90.661200415554248</v>
      </c>
      <c r="S18" s="17">
        <f t="shared" si="1"/>
        <v>95.943008338926049</v>
      </c>
      <c r="T18" s="17">
        <f t="shared" si="1"/>
        <v>102.76528736862767</v>
      </c>
      <c r="U18" s="17">
        <v>100</v>
      </c>
    </row>
    <row r="19" spans="1:21" x14ac:dyDescent="0.25">
      <c r="A19" s="17" t="s">
        <v>499</v>
      </c>
      <c r="B19" s="17" t="s">
        <v>338</v>
      </c>
      <c r="C19" s="76">
        <v>21516.414000000001</v>
      </c>
      <c r="D19" s="76">
        <v>123220.213</v>
      </c>
      <c r="E19" s="76">
        <v>22999.850999999999</v>
      </c>
      <c r="F19" s="77">
        <v>6668757</v>
      </c>
      <c r="G19" s="77">
        <v>81315</v>
      </c>
      <c r="H19" s="77">
        <v>1245451</v>
      </c>
      <c r="I19" s="77">
        <v>472630</v>
      </c>
      <c r="J19" s="77"/>
      <c r="K19" s="78">
        <f>G19/$F19*100</f>
        <v>1.2193426751042211</v>
      </c>
      <c r="L19" s="78">
        <f>H19/$F19*100</f>
        <v>18.67590916868016</v>
      </c>
      <c r="M19" s="77"/>
      <c r="N19" s="17">
        <f t="shared" si="0"/>
        <v>92.679354856244885</v>
      </c>
      <c r="O19" s="17">
        <f t="shared" si="0"/>
        <v>98.899989536941774</v>
      </c>
      <c r="P19" s="17">
        <f t="shared" si="0"/>
        <v>104.33413613678854</v>
      </c>
      <c r="Q19" s="17">
        <f t="shared" si="2"/>
        <v>100.93501101335087</v>
      </c>
      <c r="R19" s="17">
        <f t="shared" si="1"/>
        <v>90.835465096795105</v>
      </c>
      <c r="S19" s="17">
        <f t="shared" si="1"/>
        <v>96.07515061751252</v>
      </c>
      <c r="T19" s="17">
        <f t="shared" si="1"/>
        <v>105.41682279678103</v>
      </c>
      <c r="U19" s="17">
        <v>100</v>
      </c>
    </row>
    <row r="20" spans="1:21" x14ac:dyDescent="0.25">
      <c r="A20" s="17" t="s">
        <v>492</v>
      </c>
      <c r="B20" s="17" t="s">
        <v>339</v>
      </c>
      <c r="C20" s="76">
        <v>21453.901000000002</v>
      </c>
      <c r="D20" s="76">
        <v>122224.64</v>
      </c>
      <c r="E20" s="76">
        <v>22839.63</v>
      </c>
      <c r="F20" s="77">
        <v>6682567</v>
      </c>
      <c r="G20" s="77">
        <v>81638</v>
      </c>
      <c r="H20" s="77">
        <v>1242180</v>
      </c>
      <c r="I20" s="77">
        <v>477195</v>
      </c>
      <c r="J20" s="77"/>
      <c r="K20" s="78">
        <f>G20/$F20*100</f>
        <v>1.2216562886687108</v>
      </c>
      <c r="L20" s="78">
        <f>H20/$F20*100</f>
        <v>18.588365818105526</v>
      </c>
      <c r="M20" s="77"/>
      <c r="N20" s="17">
        <f t="shared" si="0"/>
        <v>92.410087658182576</v>
      </c>
      <c r="O20" s="17">
        <f t="shared" si="0"/>
        <v>98.100914800045629</v>
      </c>
      <c r="P20" s="17">
        <f t="shared" si="0"/>
        <v>103.60732622719513</v>
      </c>
      <c r="Q20" s="17">
        <f t="shared" si="2"/>
        <v>101.14403235002491</v>
      </c>
      <c r="R20" s="17">
        <f t="shared" si="1"/>
        <v>91.196282353466856</v>
      </c>
      <c r="S20" s="17">
        <f t="shared" si="1"/>
        <v>95.822822892319081</v>
      </c>
      <c r="T20" s="17">
        <f t="shared" si="1"/>
        <v>106.43501418553612</v>
      </c>
      <c r="U20" s="17">
        <v>100</v>
      </c>
    </row>
    <row r="21" spans="1:21" x14ac:dyDescent="0.25">
      <c r="A21" s="17" t="s">
        <v>500</v>
      </c>
      <c r="B21" s="17" t="s">
        <v>340</v>
      </c>
      <c r="C21" s="76">
        <v>21455.313999999998</v>
      </c>
      <c r="D21" s="76">
        <v>118718.19500000001</v>
      </c>
      <c r="E21" s="76">
        <v>22593.067999999999</v>
      </c>
      <c r="F21" s="77">
        <v>6665029</v>
      </c>
      <c r="G21" s="77">
        <v>84975</v>
      </c>
      <c r="H21" s="77">
        <v>1229780</v>
      </c>
      <c r="I21" s="77">
        <v>475880</v>
      </c>
      <c r="J21" s="77"/>
      <c r="K21" s="78">
        <f>G21/$F21*100</f>
        <v>1.2749381885660211</v>
      </c>
      <c r="L21" s="78">
        <f>H21/$F21*100</f>
        <v>18.451232545274745</v>
      </c>
      <c r="M21" s="77"/>
      <c r="N21" s="17">
        <f t="shared" si="0"/>
        <v>92.416173985040373</v>
      </c>
      <c r="O21" s="17">
        <f t="shared" si="0"/>
        <v>95.286543964541053</v>
      </c>
      <c r="P21" s="17">
        <f t="shared" si="0"/>
        <v>102.48884796948123</v>
      </c>
      <c r="Q21" s="17">
        <f t="shared" si="2"/>
        <v>100.87858584730303</v>
      </c>
      <c r="R21" s="17">
        <f t="shared" si="1"/>
        <v>94.923982618215135</v>
      </c>
      <c r="S21" s="17">
        <f t="shared" si="1"/>
        <v>94.866276333958183</v>
      </c>
      <c r="T21" s="17">
        <f t="shared" si="1"/>
        <v>106.1417126135289</v>
      </c>
      <c r="U21" s="17">
        <v>100</v>
      </c>
    </row>
    <row r="22" spans="1:21" x14ac:dyDescent="0.25">
      <c r="A22" s="17" t="s">
        <v>501</v>
      </c>
      <c r="B22" s="17" t="s">
        <v>341</v>
      </c>
      <c r="C22" s="76">
        <v>21115.368999999999</v>
      </c>
      <c r="D22" s="76">
        <v>113588.17</v>
      </c>
      <c r="E22" s="76">
        <v>21894.815999999999</v>
      </c>
      <c r="F22" s="77">
        <v>6615816</v>
      </c>
      <c r="G22" s="77">
        <v>85361</v>
      </c>
      <c r="H22" s="77">
        <v>1212009</v>
      </c>
      <c r="I22" s="77">
        <v>467787</v>
      </c>
      <c r="J22" s="77"/>
      <c r="K22" s="78">
        <f>G22/$F22*100</f>
        <v>1.2902565609442584</v>
      </c>
      <c r="L22" s="78">
        <f>H22/$F22*100</f>
        <v>18.319871653020581</v>
      </c>
      <c r="M22" s="77"/>
      <c r="N22" s="17">
        <f t="shared" si="0"/>
        <v>90.95190195129878</v>
      </c>
      <c r="O22" s="17">
        <f t="shared" si="0"/>
        <v>91.169042408004628</v>
      </c>
      <c r="P22" s="17">
        <f t="shared" si="0"/>
        <v>99.321370092090433</v>
      </c>
      <c r="Q22" s="17">
        <f t="shared" si="2"/>
        <v>100.13372219475127</v>
      </c>
      <c r="R22" s="17">
        <f t="shared" si="1"/>
        <v>95.355175996157243</v>
      </c>
      <c r="S22" s="17">
        <f t="shared" si="1"/>
        <v>93.495406262294324</v>
      </c>
      <c r="T22" s="17">
        <f t="shared" si="1"/>
        <v>104.33662544831648</v>
      </c>
      <c r="U22" s="17">
        <v>100</v>
      </c>
    </row>
    <row r="23" spans="1:21" x14ac:dyDescent="0.25">
      <c r="A23" s="17" t="s">
        <v>502</v>
      </c>
      <c r="B23" s="17" t="s">
        <v>342</v>
      </c>
      <c r="C23" s="76">
        <v>21045.248</v>
      </c>
      <c r="D23" s="76">
        <v>108194.087</v>
      </c>
      <c r="E23" s="76">
        <v>21092.255000000001</v>
      </c>
      <c r="F23" s="77">
        <v>6564732</v>
      </c>
      <c r="G23" s="77">
        <v>86713</v>
      </c>
      <c r="H23" s="77">
        <v>1193988</v>
      </c>
      <c r="I23" s="77">
        <v>459734</v>
      </c>
      <c r="J23" s="77"/>
      <c r="K23" s="78">
        <f>G23/$F23*100</f>
        <v>1.320891698244498</v>
      </c>
      <c r="L23" s="78">
        <f>H23/$F23*100</f>
        <v>18.187916886782279</v>
      </c>
      <c r="M23" s="77"/>
      <c r="N23" s="17">
        <f t="shared" si="0"/>
        <v>90.649864212023317</v>
      </c>
      <c r="O23" s="17">
        <f t="shared" si="0"/>
        <v>86.839600514722108</v>
      </c>
      <c r="P23" s="17">
        <f t="shared" si="0"/>
        <v>95.680715696891212</v>
      </c>
      <c r="Q23" s="17">
        <f t="shared" si="2"/>
        <v>99.360540010634196</v>
      </c>
      <c r="R23" s="17">
        <f t="shared" si="1"/>
        <v>96.865469900244634</v>
      </c>
      <c r="S23" s="17">
        <f t="shared" si="1"/>
        <v>92.105250977760292</v>
      </c>
      <c r="T23" s="17">
        <f t="shared" si="1"/>
        <v>102.54046000392556</v>
      </c>
      <c r="U23" s="17">
        <v>100</v>
      </c>
    </row>
    <row r="24" spans="1:21" x14ac:dyDescent="0.25">
      <c r="A24" s="17" t="s">
        <v>493</v>
      </c>
      <c r="B24" s="17" t="s">
        <v>343</v>
      </c>
      <c r="C24" s="76">
        <v>21340.241000000002</v>
      </c>
      <c r="D24" s="76">
        <v>108889.734</v>
      </c>
      <c r="E24" s="76">
        <v>21420.637999999999</v>
      </c>
      <c r="F24" s="77">
        <v>6534336</v>
      </c>
      <c r="G24" s="77">
        <v>88223</v>
      </c>
      <c r="H24" s="77">
        <v>1181450</v>
      </c>
      <c r="I24" s="77">
        <v>470112</v>
      </c>
      <c r="J24" s="77"/>
      <c r="K24" s="78">
        <f>G24/$F24*100</f>
        <v>1.3501448349151315</v>
      </c>
      <c r="L24" s="78">
        <f>H24/$F24*100</f>
        <v>18.080643542052321</v>
      </c>
      <c r="M24" s="77"/>
      <c r="N24" s="17">
        <f t="shared" si="0"/>
        <v>91.92051093443294</v>
      </c>
      <c r="O24" s="17">
        <f t="shared" si="0"/>
        <v>87.39794625481106</v>
      </c>
      <c r="P24" s="17">
        <f t="shared" si="0"/>
        <v>97.170358244010629</v>
      </c>
      <c r="Q24" s="17">
        <f t="shared" si="2"/>
        <v>98.90048117286851</v>
      </c>
      <c r="R24" s="17">
        <f t="shared" si="1"/>
        <v>98.552262648152904</v>
      </c>
      <c r="S24" s="17">
        <f t="shared" si="1"/>
        <v>91.138058981895043</v>
      </c>
      <c r="T24" s="17">
        <f t="shared" si="1"/>
        <v>104.85520047106687</v>
      </c>
      <c r="U24" s="17">
        <v>100</v>
      </c>
    </row>
    <row r="25" spans="1:21" x14ac:dyDescent="0.25">
      <c r="A25" s="17" t="s">
        <v>503</v>
      </c>
      <c r="B25" s="17" t="s">
        <v>344</v>
      </c>
      <c r="C25" s="76">
        <v>21678.89</v>
      </c>
      <c r="D25" s="76">
        <v>110190.662</v>
      </c>
      <c r="E25" s="76">
        <v>21604.54</v>
      </c>
      <c r="F25" s="77">
        <v>6502306</v>
      </c>
      <c r="G25" s="77">
        <v>89441</v>
      </c>
      <c r="H25" s="77">
        <v>1172166</v>
      </c>
      <c r="I25" s="77">
        <v>465250</v>
      </c>
      <c r="J25" s="77"/>
      <c r="K25" s="78">
        <f>G25/$F25*100</f>
        <v>1.3755273898213956</v>
      </c>
      <c r="L25" s="78">
        <f>H25/$F25*100</f>
        <v>18.026927677657742</v>
      </c>
      <c r="M25" s="77"/>
      <c r="N25" s="17">
        <f t="shared" si="0"/>
        <v>93.379200604687114</v>
      </c>
      <c r="O25" s="17">
        <f t="shared" si="0"/>
        <v>88.442107455768536</v>
      </c>
      <c r="P25" s="17">
        <f t="shared" si="0"/>
        <v>98.004592183344755</v>
      </c>
      <c r="Q25" s="17">
        <f t="shared" si="2"/>
        <v>98.415690918439154</v>
      </c>
      <c r="R25" s="17">
        <f t="shared" si="1"/>
        <v>99.912867659379572</v>
      </c>
      <c r="S25" s="17">
        <f t="shared" si="1"/>
        <v>90.421883316748051</v>
      </c>
      <c r="T25" s="17">
        <f t="shared" si="1"/>
        <v>103.77076530521208</v>
      </c>
      <c r="U25" s="17">
        <v>100</v>
      </c>
    </row>
    <row r="26" spans="1:21" x14ac:dyDescent="0.25">
      <c r="A26" s="17" t="s">
        <v>504</v>
      </c>
      <c r="B26" s="17" t="s">
        <v>345</v>
      </c>
      <c r="C26" s="76">
        <v>21803.365000000002</v>
      </c>
      <c r="D26" s="76">
        <v>108635.898</v>
      </c>
      <c r="E26" s="76">
        <v>21383.628000000001</v>
      </c>
      <c r="F26" s="77">
        <v>6471256</v>
      </c>
      <c r="G26" s="77">
        <v>90442</v>
      </c>
      <c r="H26" s="77">
        <v>1162793</v>
      </c>
      <c r="I26" s="77">
        <v>452747</v>
      </c>
      <c r="J26" s="77"/>
      <c r="K26" s="78">
        <f>G26/$F26*100</f>
        <v>1.3975957681167304</v>
      </c>
      <c r="L26" s="78">
        <f>H26/$F26*100</f>
        <v>17.968582914970447</v>
      </c>
      <c r="M26" s="77"/>
      <c r="N26" s="17">
        <f t="shared" si="0"/>
        <v>93.915361634853724</v>
      </c>
      <c r="O26" s="17">
        <f t="shared" si="0"/>
        <v>87.194210381183751</v>
      </c>
      <c r="P26" s="17">
        <f t="shared" si="0"/>
        <v>97.002469922541835</v>
      </c>
      <c r="Q26" s="17">
        <f t="shared" si="2"/>
        <v>97.945733459805624</v>
      </c>
      <c r="R26" s="17">
        <f t="shared" si="1"/>
        <v>101.03106603067505</v>
      </c>
      <c r="S26" s="17">
        <f t="shared" si="1"/>
        <v>89.698842115819275</v>
      </c>
      <c r="T26" s="17">
        <f t="shared" si="1"/>
        <v>100.98205841942793</v>
      </c>
      <c r="U26" s="17">
        <v>100</v>
      </c>
    </row>
    <row r="27" spans="1:21" x14ac:dyDescent="0.25">
      <c r="A27" s="17" t="s">
        <v>505</v>
      </c>
      <c r="B27" s="17" t="s">
        <v>346</v>
      </c>
      <c r="C27" s="76">
        <v>21461.682000000001</v>
      </c>
      <c r="D27" s="76">
        <v>105698.034</v>
      </c>
      <c r="E27" s="76">
        <v>20257.115000000002</v>
      </c>
      <c r="F27" s="77">
        <v>6404473</v>
      </c>
      <c r="G27" s="77">
        <v>90161</v>
      </c>
      <c r="H27" s="77">
        <v>1148730</v>
      </c>
      <c r="I27" s="77">
        <v>421482</v>
      </c>
      <c r="J27" s="77"/>
      <c r="K27" s="78">
        <f>G27/$F27*100</f>
        <v>1.4077817175589624</v>
      </c>
      <c r="L27" s="78">
        <f>H27/$F27*100</f>
        <v>17.936370408619101</v>
      </c>
      <c r="M27" s="77"/>
      <c r="N27" s="17">
        <f t="shared" si="0"/>
        <v>92.443603376003239</v>
      </c>
      <c r="O27" s="17">
        <f t="shared" si="0"/>
        <v>84.836198560014793</v>
      </c>
      <c r="P27" s="17">
        <f t="shared" si="0"/>
        <v>91.892273308578467</v>
      </c>
      <c r="Q27" s="17">
        <f t="shared" si="2"/>
        <v>96.934938968342735</v>
      </c>
      <c r="R27" s="17">
        <f t="shared" si="2"/>
        <v>100.71716618818351</v>
      </c>
      <c r="S27" s="17">
        <f t="shared" si="2"/>
        <v>88.614010321445917</v>
      </c>
      <c r="T27" s="17">
        <f t="shared" si="2"/>
        <v>94.008618382313585</v>
      </c>
      <c r="U27" s="17">
        <v>100</v>
      </c>
    </row>
    <row r="28" spans="1:21" x14ac:dyDescent="0.25">
      <c r="A28" s="17" t="s">
        <v>506</v>
      </c>
      <c r="B28" s="17" t="s">
        <v>347</v>
      </c>
      <c r="C28" s="76">
        <v>21528.163</v>
      </c>
      <c r="D28" s="76">
        <v>101994.61199999999</v>
      </c>
      <c r="E28" s="76">
        <v>17208.508999999998</v>
      </c>
      <c r="F28" s="77">
        <v>6340309</v>
      </c>
      <c r="G28" s="77">
        <v>89353</v>
      </c>
      <c r="H28" s="77">
        <v>1139055</v>
      </c>
      <c r="I28" s="77">
        <v>393682</v>
      </c>
      <c r="J28" s="77"/>
      <c r="K28" s="78">
        <f>G28/$F28*100</f>
        <v>1.4092846263486527</v>
      </c>
      <c r="L28" s="78">
        <f>H28/$F28*100</f>
        <v>17.965291596986834</v>
      </c>
      <c r="M28" s="77"/>
      <c r="N28" s="17">
        <f t="shared" si="0"/>
        <v>92.729962254866507</v>
      </c>
      <c r="O28" s="17">
        <f t="shared" si="0"/>
        <v>81.863728474681622</v>
      </c>
      <c r="P28" s="17">
        <f t="shared" si="0"/>
        <v>78.0628935690562</v>
      </c>
      <c r="Q28" s="17">
        <f t="shared" si="2"/>
        <v>95.963784366868921</v>
      </c>
      <c r="R28" s="17">
        <f t="shared" si="2"/>
        <v>99.814564505859096</v>
      </c>
      <c r="S28" s="17">
        <f t="shared" si="2"/>
        <v>87.867672583369966</v>
      </c>
      <c r="T28" s="17">
        <f t="shared" si="2"/>
        <v>87.808022411362714</v>
      </c>
      <c r="U28" s="17">
        <v>100</v>
      </c>
    </row>
    <row r="29" spans="1:21" x14ac:dyDescent="0.25">
      <c r="A29" s="17" t="s">
        <v>507</v>
      </c>
      <c r="B29" s="17" t="s">
        <v>348</v>
      </c>
      <c r="C29" s="76">
        <v>17700.309000000001</v>
      </c>
      <c r="D29" s="76">
        <v>86862.259000000005</v>
      </c>
      <c r="E29" s="76">
        <v>10815.653</v>
      </c>
      <c r="F29" s="77">
        <v>6147035</v>
      </c>
      <c r="G29" s="77">
        <v>87034</v>
      </c>
      <c r="H29" s="77">
        <v>1132603</v>
      </c>
      <c r="I29" s="77">
        <v>335037</v>
      </c>
      <c r="J29" s="77"/>
      <c r="K29" s="78">
        <f>G29/$F29*100</f>
        <v>1.4158696021740562</v>
      </c>
      <c r="L29" s="78">
        <f>H29/$F29*100</f>
        <v>18.425191982801465</v>
      </c>
      <c r="M29" s="77"/>
      <c r="N29" s="17">
        <f t="shared" si="0"/>
        <v>76.241943424038269</v>
      </c>
      <c r="O29" s="17">
        <f t="shared" si="0"/>
        <v>69.718078690994687</v>
      </c>
      <c r="P29" s="17">
        <f t="shared" si="0"/>
        <v>49.063005343393989</v>
      </c>
      <c r="Q29" s="17">
        <f t="shared" si="2"/>
        <v>93.03848459682267</v>
      </c>
      <c r="R29" s="17">
        <f t="shared" si="2"/>
        <v>97.22405299433639</v>
      </c>
      <c r="S29" s="17">
        <f t="shared" si="2"/>
        <v>87.369959809616375</v>
      </c>
      <c r="T29" s="17">
        <f t="shared" si="2"/>
        <v>74.727664471923347</v>
      </c>
      <c r="U29" s="17">
        <v>100</v>
      </c>
    </row>
    <row r="30" spans="1:21" x14ac:dyDescent="0.25">
      <c r="A30" s="17" t="s">
        <v>508</v>
      </c>
      <c r="B30" s="17" t="s">
        <v>349</v>
      </c>
      <c r="C30" s="76">
        <v>19036.623</v>
      </c>
      <c r="D30" s="76">
        <v>103100.66099999999</v>
      </c>
      <c r="E30" s="76">
        <v>16725.918000000001</v>
      </c>
      <c r="F30" s="77">
        <v>6132700</v>
      </c>
      <c r="G30" s="77">
        <v>84338</v>
      </c>
      <c r="H30" s="77">
        <v>1140848</v>
      </c>
      <c r="I30" s="77">
        <v>330138</v>
      </c>
      <c r="J30" s="77"/>
      <c r="K30" s="78">
        <f>G30/$F30*100</f>
        <v>1.3752180931726647</v>
      </c>
      <c r="L30" s="78">
        <f>H30/$F30*100</f>
        <v>18.60270354003946</v>
      </c>
      <c r="M30" s="77"/>
      <c r="N30" s="17">
        <f t="shared" si="0"/>
        <v>81.997954597896879</v>
      </c>
      <c r="O30" s="17">
        <f t="shared" si="0"/>
        <v>82.751474339293509</v>
      </c>
      <c r="P30" s="17">
        <f t="shared" si="0"/>
        <v>75.873717861248863</v>
      </c>
      <c r="Q30" s="17">
        <f t="shared" si="2"/>
        <v>92.821517119543699</v>
      </c>
      <c r="R30" s="17">
        <f t="shared" si="2"/>
        <v>94.212401836481646</v>
      </c>
      <c r="S30" s="17">
        <f t="shared" si="2"/>
        <v>88.005986130074916</v>
      </c>
      <c r="T30" s="17">
        <f t="shared" si="2"/>
        <v>73.63497671430865</v>
      </c>
      <c r="U30" s="17">
        <v>100</v>
      </c>
    </row>
    <row r="31" spans="1:21" x14ac:dyDescent="0.25">
      <c r="A31" s="17" t="s">
        <v>509</v>
      </c>
      <c r="B31" s="17" t="s">
        <v>350</v>
      </c>
      <c r="C31" s="76">
        <v>19102.906999999999</v>
      </c>
      <c r="D31" s="76">
        <v>107892.94500000001</v>
      </c>
      <c r="E31" s="76">
        <v>21046.324000000001</v>
      </c>
      <c r="F31" s="77">
        <v>6158863</v>
      </c>
      <c r="G31" s="77">
        <v>82882</v>
      </c>
      <c r="H31" s="77">
        <v>1153763</v>
      </c>
      <c r="I31" s="77">
        <v>346263</v>
      </c>
      <c r="J31" s="77"/>
      <c r="K31" s="78">
        <f>G31/$F31*100</f>
        <v>1.3457354060319251</v>
      </c>
      <c r="L31" s="78">
        <f>H31/$F31*100</f>
        <v>18.733376598894957</v>
      </c>
      <c r="M31" s="77"/>
      <c r="N31" s="17">
        <f t="shared" si="0"/>
        <v>82.283464923051028</v>
      </c>
      <c r="O31" s="17">
        <f t="shared" si="0"/>
        <v>86.597895522302295</v>
      </c>
      <c r="P31" s="17">
        <f t="shared" si="0"/>
        <v>95.472359077237513</v>
      </c>
      <c r="Q31" s="17">
        <f t="shared" si="2"/>
        <v>93.217507360774903</v>
      </c>
      <c r="R31" s="17">
        <f t="shared" si="2"/>
        <v>92.585931478233675</v>
      </c>
      <c r="S31" s="17">
        <f t="shared" si="2"/>
        <v>89.00226022694838</v>
      </c>
      <c r="T31" s="17">
        <f t="shared" si="2"/>
        <v>77.231545420480714</v>
      </c>
      <c r="U31" s="17">
        <v>100</v>
      </c>
    </row>
    <row r="32" spans="1:21" x14ac:dyDescent="0.25">
      <c r="A32" s="17" t="s">
        <v>510</v>
      </c>
      <c r="B32" s="17" t="s">
        <v>351</v>
      </c>
      <c r="C32" s="76">
        <v>19853.627</v>
      </c>
      <c r="D32" s="76">
        <v>114141.879</v>
      </c>
      <c r="E32" s="76">
        <v>21447.927</v>
      </c>
      <c r="F32" s="77">
        <v>6205980</v>
      </c>
      <c r="G32" s="77">
        <v>84518</v>
      </c>
      <c r="H32" s="77">
        <v>1164195</v>
      </c>
      <c r="I32" s="77">
        <v>364439</v>
      </c>
      <c r="J32" s="77"/>
      <c r="K32" s="78">
        <f>G32/$F32*100</f>
        <v>1.36187999316788</v>
      </c>
      <c r="L32" s="78">
        <f>H32/$F32*100</f>
        <v>18.759245115195345</v>
      </c>
      <c r="M32" s="77"/>
      <c r="N32" s="17">
        <f t="shared" si="0"/>
        <v>85.517100661686669</v>
      </c>
      <c r="O32" s="17">
        <f t="shared" si="0"/>
        <v>91.613464739156669</v>
      </c>
      <c r="P32" s="17">
        <f t="shared" si="0"/>
        <v>97.294149230353838</v>
      </c>
      <c r="Q32" s="17">
        <f t="shared" si="2"/>
        <v>93.930646992930662</v>
      </c>
      <c r="R32" s="17">
        <f t="shared" si="2"/>
        <v>94.413476468682617</v>
      </c>
      <c r="S32" s="17">
        <f t="shared" si="2"/>
        <v>89.806993589595237</v>
      </c>
      <c r="T32" s="17">
        <f t="shared" si="2"/>
        <v>81.28557536177577</v>
      </c>
      <c r="U32" s="17">
        <v>100</v>
      </c>
    </row>
    <row r="33" spans="1:21" x14ac:dyDescent="0.25">
      <c r="A33" s="17" t="s">
        <v>511</v>
      </c>
      <c r="B33" s="17" t="s">
        <v>352</v>
      </c>
      <c r="C33" s="76">
        <v>20884.455000000002</v>
      </c>
      <c r="D33" s="76">
        <v>115488.21</v>
      </c>
      <c r="E33" s="76">
        <v>20168.064999999999</v>
      </c>
      <c r="F33" s="77">
        <v>6265492</v>
      </c>
      <c r="G33" s="77">
        <v>85189</v>
      </c>
      <c r="H33" s="77">
        <v>1175069</v>
      </c>
      <c r="I33" s="77">
        <v>377276</v>
      </c>
      <c r="J33" s="77"/>
      <c r="K33" s="78">
        <f>G33/$F33*100</f>
        <v>1.3596537989355026</v>
      </c>
      <c r="L33" s="78">
        <f>H33/$F33*100</f>
        <v>18.754616556848209</v>
      </c>
      <c r="M33" s="77"/>
      <c r="N33" s="17">
        <f t="shared" si="0"/>
        <v>89.957267782832105</v>
      </c>
      <c r="O33" s="17">
        <f t="shared" si="0"/>
        <v>92.694067657877966</v>
      </c>
      <c r="P33" s="17">
        <f t="shared" si="0"/>
        <v>91.488316134117582</v>
      </c>
      <c r="Q33" s="17">
        <f t="shared" si="2"/>
        <v>94.831391220891959</v>
      </c>
      <c r="R33" s="17">
        <f t="shared" si="2"/>
        <v>95.163038014276296</v>
      </c>
      <c r="S33" s="17">
        <f t="shared" si="2"/>
        <v>90.645823208596582</v>
      </c>
      <c r="T33" s="17">
        <f t="shared" si="2"/>
        <v>84.148778616419534</v>
      </c>
      <c r="U33" s="17">
        <v>100</v>
      </c>
    </row>
    <row r="34" spans="1:21" x14ac:dyDescent="0.25">
      <c r="A34" s="17" t="s">
        <v>512</v>
      </c>
      <c r="B34" s="17" t="s">
        <v>353</v>
      </c>
      <c r="C34" s="76">
        <v>21662.071</v>
      </c>
      <c r="D34" s="76">
        <v>115817.379</v>
      </c>
      <c r="E34" s="76">
        <v>21154.788</v>
      </c>
      <c r="F34" s="77">
        <v>6297337</v>
      </c>
      <c r="G34" s="77">
        <v>85880</v>
      </c>
      <c r="H34" s="77">
        <v>1179642</v>
      </c>
      <c r="I34" s="77">
        <v>392275</v>
      </c>
      <c r="J34" s="77"/>
      <c r="K34" s="78">
        <f>G34/$F34*100</f>
        <v>1.3637510585823818</v>
      </c>
      <c r="L34" s="78">
        <f>H34/$F34*100</f>
        <v>18.73239434383137</v>
      </c>
      <c r="M34" s="77"/>
      <c r="N34" s="17">
        <f t="shared" si="0"/>
        <v>93.306754793348517</v>
      </c>
      <c r="O34" s="17">
        <f t="shared" si="0"/>
        <v>92.958267904438856</v>
      </c>
      <c r="P34" s="17">
        <f t="shared" si="0"/>
        <v>95.964383905656646</v>
      </c>
      <c r="Q34" s="17">
        <f t="shared" si="2"/>
        <v>95.313381406727217</v>
      </c>
      <c r="R34" s="17">
        <f t="shared" si="2"/>
        <v>95.934941185670084</v>
      </c>
      <c r="S34" s="17">
        <f t="shared" si="2"/>
        <v>90.998588322417902</v>
      </c>
      <c r="T34" s="17">
        <f t="shared" si="2"/>
        <v>87.494200881466028</v>
      </c>
      <c r="U34" s="17">
        <v>100</v>
      </c>
    </row>
    <row r="35" spans="1:21" x14ac:dyDescent="0.25">
      <c r="A35" s="17" t="s">
        <v>513</v>
      </c>
      <c r="B35" s="17" t="s">
        <v>354</v>
      </c>
      <c r="C35" s="76">
        <v>22183.962</v>
      </c>
      <c r="D35" s="76">
        <v>117519.38499999999</v>
      </c>
      <c r="E35" s="76">
        <v>22057.66</v>
      </c>
      <c r="F35" s="77">
        <v>6380674</v>
      </c>
      <c r="G35" s="77">
        <v>86812</v>
      </c>
      <c r="H35" s="77">
        <v>1190691</v>
      </c>
      <c r="I35" s="77">
        <v>408801</v>
      </c>
      <c r="J35" s="77"/>
      <c r="K35" s="78">
        <f>G35/$F35*100</f>
        <v>1.3605459235184245</v>
      </c>
      <c r="L35" s="78">
        <f>H35/$F35*100</f>
        <v>18.660896952265542</v>
      </c>
      <c r="M35" s="77"/>
      <c r="N35" s="17">
        <f t="shared" si="0"/>
        <v>95.554737249220594</v>
      </c>
      <c r="O35" s="17">
        <f t="shared" si="0"/>
        <v>94.324345526718346</v>
      </c>
      <c r="P35" s="17">
        <f t="shared" si="0"/>
        <v>100.06007870655316</v>
      </c>
      <c r="Q35" s="17">
        <f t="shared" si="2"/>
        <v>96.574729063092519</v>
      </c>
      <c r="R35" s="17">
        <f t="shared" si="2"/>
        <v>96.976060947955176</v>
      </c>
      <c r="S35" s="17">
        <f t="shared" si="2"/>
        <v>91.850917590428367</v>
      </c>
      <c r="T35" s="17">
        <f t="shared" si="2"/>
        <v>91.180209838873722</v>
      </c>
      <c r="U35" s="17">
        <v>100</v>
      </c>
    </row>
    <row r="36" spans="1:21" x14ac:dyDescent="0.25">
      <c r="A36" s="17" t="s">
        <v>514</v>
      </c>
      <c r="B36" s="17" t="s">
        <v>355</v>
      </c>
      <c r="C36" s="76">
        <v>22644.096000000001</v>
      </c>
      <c r="D36" s="76">
        <v>119380.51</v>
      </c>
      <c r="E36" s="76">
        <v>22100.488000000001</v>
      </c>
      <c r="F36" s="77">
        <v>6472934</v>
      </c>
      <c r="G36" s="77">
        <v>88577</v>
      </c>
      <c r="H36" s="77">
        <v>1206871</v>
      </c>
      <c r="I36" s="77">
        <v>424854</v>
      </c>
      <c r="J36" s="77"/>
      <c r="K36" s="78">
        <f>G36/$F36*100</f>
        <v>1.368421182727956</v>
      </c>
      <c r="L36" s="78">
        <f>H36/$F36*100</f>
        <v>18.644883448525814</v>
      </c>
      <c r="M36" s="77"/>
      <c r="N36" s="17">
        <f t="shared" si="0"/>
        <v>97.536708885731386</v>
      </c>
      <c r="O36" s="17">
        <f t="shared" si="0"/>
        <v>95.818136509103198</v>
      </c>
      <c r="P36" s="17">
        <f t="shared" si="0"/>
        <v>100.25435919917317</v>
      </c>
      <c r="Q36" s="17">
        <f t="shared" si="2"/>
        <v>97.971130838729508</v>
      </c>
      <c r="R36" s="17">
        <f t="shared" si="2"/>
        <v>98.947709424814846</v>
      </c>
      <c r="S36" s="17">
        <f t="shared" si="2"/>
        <v>93.099056567386398</v>
      </c>
      <c r="T36" s="17">
        <f t="shared" si="2"/>
        <v>94.760719447567041</v>
      </c>
      <c r="U36" s="17">
        <v>100</v>
      </c>
    </row>
    <row r="37" spans="1:21" x14ac:dyDescent="0.25">
      <c r="A37" s="17" t="s">
        <v>515</v>
      </c>
      <c r="B37" s="17" t="s">
        <v>356</v>
      </c>
      <c r="C37" s="76">
        <v>23782.293000000001</v>
      </c>
      <c r="D37" s="76">
        <v>123831.47100000001</v>
      </c>
      <c r="E37" s="76">
        <v>22688.572</v>
      </c>
      <c r="F37" s="77">
        <v>6561756</v>
      </c>
      <c r="G37" s="77">
        <v>89763</v>
      </c>
      <c r="H37" s="77">
        <v>1225255</v>
      </c>
      <c r="I37" s="77">
        <v>441560</v>
      </c>
      <c r="J37" s="77"/>
      <c r="K37" s="78">
        <f>G37/$F37*100</f>
        <v>1.3679722318233107</v>
      </c>
      <c r="L37" s="78">
        <f>H37/$F37*100</f>
        <v>18.672669328149354</v>
      </c>
      <c r="M37" s="77"/>
      <c r="N37" s="17">
        <f t="shared" si="0"/>
        <v>102.43935500786463</v>
      </c>
      <c r="O37" s="17">
        <f t="shared" si="0"/>
        <v>99.390602305192473</v>
      </c>
      <c r="P37" s="17">
        <f t="shared" si="0"/>
        <v>102.92208239946115</v>
      </c>
      <c r="Q37" s="17">
        <f t="shared" si="2"/>
        <v>99.315496745033769</v>
      </c>
      <c r="R37" s="17">
        <f t="shared" si="2"/>
        <v>100.27256783476133</v>
      </c>
      <c r="S37" s="17">
        <f t="shared" si="2"/>
        <v>94.517213981007913</v>
      </c>
      <c r="T37" s="17">
        <f t="shared" si="2"/>
        <v>98.486876148671556</v>
      </c>
      <c r="U37" s="17">
        <v>100</v>
      </c>
    </row>
    <row r="38" spans="1:21" x14ac:dyDescent="0.25">
      <c r="A38" s="17" t="s">
        <v>516</v>
      </c>
      <c r="B38" s="17" t="s">
        <v>357</v>
      </c>
      <c r="C38" s="76">
        <v>24129.123</v>
      </c>
      <c r="D38" s="76">
        <v>122358.315</v>
      </c>
      <c r="E38" s="76">
        <v>22626.401000000002</v>
      </c>
      <c r="F38" s="77">
        <v>6630729</v>
      </c>
      <c r="G38" s="77">
        <v>91677</v>
      </c>
      <c r="H38" s="77">
        <v>1237455</v>
      </c>
      <c r="I38" s="77">
        <v>454330</v>
      </c>
      <c r="J38" s="77"/>
      <c r="K38" s="78">
        <f>G38/$F38*100</f>
        <v>1.3826081566596977</v>
      </c>
      <c r="L38" s="78">
        <f>H38/$F38*100</f>
        <v>18.662427615425091</v>
      </c>
      <c r="M38" s="77"/>
      <c r="N38" s="17">
        <f t="shared" si="0"/>
        <v>103.93328334763309</v>
      </c>
      <c r="O38" s="17">
        <f t="shared" si="0"/>
        <v>98.208206094058809</v>
      </c>
      <c r="P38" s="17">
        <f t="shared" si="0"/>
        <v>102.6400563299114</v>
      </c>
      <c r="Q38" s="17">
        <f t="shared" si="2"/>
        <v>100.3594379944486</v>
      </c>
      <c r="R38" s="17">
        <f t="shared" si="2"/>
        <v>102.41066142383181</v>
      </c>
      <c r="S38" s="17">
        <f t="shared" si="2"/>
        <v>95.458332369072679</v>
      </c>
      <c r="T38" s="17">
        <f t="shared" si="2"/>
        <v>101.33513552093928</v>
      </c>
      <c r="U38" s="17">
        <v>100</v>
      </c>
    </row>
    <row r="39" spans="1:21" x14ac:dyDescent="0.25">
      <c r="A39" s="17" t="s">
        <v>290</v>
      </c>
      <c r="B39" s="17" t="s">
        <v>358</v>
      </c>
      <c r="C39" s="76">
        <v>24441.196</v>
      </c>
      <c r="D39" s="76">
        <v>119344.516</v>
      </c>
      <c r="E39" s="76">
        <v>22424.556</v>
      </c>
      <c r="F39" s="77">
        <v>6688485</v>
      </c>
      <c r="G39" s="77">
        <v>93536</v>
      </c>
      <c r="H39" s="77">
        <v>1247322</v>
      </c>
      <c r="I39" s="77">
        <v>468325</v>
      </c>
      <c r="J39" s="77"/>
      <c r="K39" s="78">
        <f>G39/$F39*100</f>
        <v>1.3984631796288696</v>
      </c>
      <c r="L39" s="78">
        <f>H39/$F39*100</f>
        <v>18.648797149130182</v>
      </c>
      <c r="M39" s="77"/>
      <c r="N39" s="17">
        <f t="shared" si="0"/>
        <v>105.2775001073614</v>
      </c>
      <c r="O39" s="17">
        <f t="shared" si="0"/>
        <v>95.789246717917791</v>
      </c>
      <c r="P39" s="17">
        <f t="shared" si="0"/>
        <v>101.7244276282937</v>
      </c>
      <c r="Q39" s="17">
        <f t="shared" si="2"/>
        <v>101.2336042740247</v>
      </c>
      <c r="R39" s="17">
        <f t="shared" si="2"/>
        <v>104.48731554195199</v>
      </c>
      <c r="S39" s="17">
        <f t="shared" si="2"/>
        <v>96.219481150632944</v>
      </c>
      <c r="T39" s="17">
        <f t="shared" si="2"/>
        <v>104.45662259336581</v>
      </c>
      <c r="U39" s="17">
        <v>100</v>
      </c>
    </row>
    <row r="40" spans="1:21" x14ac:dyDescent="0.25">
      <c r="A40" s="17" t="s">
        <v>291</v>
      </c>
      <c r="B40" s="17" t="s">
        <v>359</v>
      </c>
      <c r="C40" s="76">
        <v>25077.233</v>
      </c>
      <c r="D40" s="76">
        <v>122927.948</v>
      </c>
      <c r="E40" s="76">
        <v>22868.62</v>
      </c>
      <c r="F40" s="77">
        <v>6751331</v>
      </c>
      <c r="G40" s="77">
        <v>95421</v>
      </c>
      <c r="H40" s="77">
        <v>1258699</v>
      </c>
      <c r="I40" s="77">
        <v>480871</v>
      </c>
      <c r="J40" s="77"/>
      <c r="K40" s="78">
        <f>G40/$F40*100</f>
        <v>1.4133657496573639</v>
      </c>
      <c r="L40" s="78">
        <f>H40/$F40*100</f>
        <v>18.643716327935927</v>
      </c>
      <c r="M40" s="77"/>
      <c r="N40" s="17">
        <f t="shared" si="0"/>
        <v>108.01715267329092</v>
      </c>
      <c r="O40" s="17">
        <f t="shared" si="0"/>
        <v>98.665409473019835</v>
      </c>
      <c r="P40" s="17">
        <f t="shared" si="0"/>
        <v>103.73883345333348</v>
      </c>
      <c r="Q40" s="17">
        <f t="shared" si="2"/>
        <v>102.18481027870369</v>
      </c>
      <c r="R40" s="17">
        <f t="shared" si="2"/>
        <v>106.5930137736123</v>
      </c>
      <c r="S40" s="17">
        <f t="shared" si="2"/>
        <v>97.097112617929085</v>
      </c>
      <c r="T40" s="17">
        <f t="shared" si="2"/>
        <v>107.25492032903306</v>
      </c>
      <c r="U40" s="17">
        <v>100</v>
      </c>
    </row>
    <row r="41" spans="1:21" x14ac:dyDescent="0.25">
      <c r="A41" s="17" t="s">
        <v>292</v>
      </c>
      <c r="B41" s="17" t="s">
        <v>360</v>
      </c>
      <c r="C41" s="76">
        <v>25591.172999999999</v>
      </c>
      <c r="D41" s="76">
        <v>122242.13099999999</v>
      </c>
      <c r="E41" s="76">
        <v>22902.725999999999</v>
      </c>
      <c r="F41" s="77">
        <v>6804986</v>
      </c>
      <c r="G41" s="77">
        <v>96647</v>
      </c>
      <c r="H41" s="77">
        <v>1269107</v>
      </c>
      <c r="I41" s="77">
        <v>489117</v>
      </c>
      <c r="J41" s="77"/>
      <c r="K41" s="78">
        <f>G41/$F41*100</f>
        <v>1.4202380431054524</v>
      </c>
      <c r="L41" s="78">
        <f>H41/$F41*100</f>
        <v>18.649663643687141</v>
      </c>
      <c r="M41" s="77"/>
      <c r="N41" s="17">
        <f t="shared" si="0"/>
        <v>110.23088715687254</v>
      </c>
      <c r="O41" s="17">
        <f t="shared" si="0"/>
        <v>98.114953565885045</v>
      </c>
      <c r="P41" s="17">
        <f t="shared" si="0"/>
        <v>103.89354837070756</v>
      </c>
      <c r="Q41" s="17">
        <f t="shared" si="2"/>
        <v>102.99690584852597</v>
      </c>
      <c r="R41" s="17">
        <f t="shared" si="2"/>
        <v>107.96255543515902</v>
      </c>
      <c r="S41" s="17">
        <f t="shared" si="2"/>
        <v>97.899994600140388</v>
      </c>
      <c r="T41" s="17">
        <f t="shared" si="2"/>
        <v>109.09413307638778</v>
      </c>
      <c r="U41" s="17">
        <v>100</v>
      </c>
    </row>
    <row r="42" spans="1:21" x14ac:dyDescent="0.25">
      <c r="A42" s="17" t="s">
        <v>293</v>
      </c>
      <c r="B42" s="17" t="s">
        <v>361</v>
      </c>
      <c r="C42" s="76">
        <v>25952.901000000002</v>
      </c>
      <c r="D42" s="76">
        <v>118429.65</v>
      </c>
      <c r="E42" s="76">
        <v>22728.718000000001</v>
      </c>
      <c r="F42" s="77">
        <v>6837273</v>
      </c>
      <c r="G42" s="77">
        <v>98144</v>
      </c>
      <c r="H42" s="77">
        <v>1276249</v>
      </c>
      <c r="I42" s="77">
        <v>482013</v>
      </c>
      <c r="J42" s="77"/>
      <c r="K42" s="78">
        <f>G42/$F42*100</f>
        <v>1.4354260828842142</v>
      </c>
      <c r="L42" s="78">
        <f>H42/$F42*100</f>
        <v>18.666052971703778</v>
      </c>
      <c r="M42" s="77"/>
      <c r="N42" s="17">
        <f t="shared" si="0"/>
        <v>111.7889868324709</v>
      </c>
      <c r="O42" s="17">
        <f t="shared" si="0"/>
        <v>95.054949676670958</v>
      </c>
      <c r="P42" s="17">
        <f t="shared" si="0"/>
        <v>103.10419654573748</v>
      </c>
      <c r="Q42" s="17">
        <f t="shared" si="2"/>
        <v>103.48558592797528</v>
      </c>
      <c r="R42" s="17">
        <f t="shared" si="2"/>
        <v>109.6348261262972</v>
      </c>
      <c r="S42" s="17">
        <f t="shared" si="2"/>
        <v>98.450934561415693</v>
      </c>
      <c r="T42" s="17">
        <f t="shared" si="2"/>
        <v>107.50963545848724</v>
      </c>
      <c r="U42" s="17">
        <v>100</v>
      </c>
    </row>
    <row r="43" spans="1:21" x14ac:dyDescent="0.25">
      <c r="A43" s="17" t="s">
        <v>294</v>
      </c>
      <c r="B43" s="17" t="s">
        <v>362</v>
      </c>
      <c r="C43" s="76">
        <v>26317.767</v>
      </c>
      <c r="D43" s="76">
        <v>111903.52499999999</v>
      </c>
      <c r="E43" s="76">
        <v>22146.413</v>
      </c>
      <c r="F43" s="77">
        <v>6802989</v>
      </c>
      <c r="G43" s="77">
        <v>99155</v>
      </c>
      <c r="H43" s="77">
        <v>1272138</v>
      </c>
      <c r="I43" s="77">
        <v>456459</v>
      </c>
      <c r="J43" s="77"/>
      <c r="K43" s="78">
        <f>G43/$F43*100</f>
        <v>1.4575210984465798</v>
      </c>
      <c r="L43" s="78">
        <f>H43/$F43*100</f>
        <v>18.699692150024056</v>
      </c>
      <c r="M43" s="77"/>
      <c r="N43" s="17">
        <f t="shared" si="0"/>
        <v>113.36060306410589</v>
      </c>
      <c r="O43" s="17">
        <f t="shared" si="0"/>
        <v>89.816899209928337</v>
      </c>
      <c r="P43" s="17">
        <f t="shared" si="0"/>
        <v>100.46268860104981</v>
      </c>
      <c r="Q43" s="17">
        <f t="shared" si="2"/>
        <v>102.96668024321546</v>
      </c>
      <c r="R43" s="17">
        <f t="shared" si="2"/>
        <v>110.76419531049275</v>
      </c>
      <c r="S43" s="17">
        <f t="shared" si="2"/>
        <v>98.133808520978448</v>
      </c>
      <c r="T43" s="17">
        <f t="shared" si="2"/>
        <v>101.80999411166425</v>
      </c>
      <c r="U43" s="17">
        <v>100</v>
      </c>
    </row>
    <row r="44" spans="1:21" x14ac:dyDescent="0.25">
      <c r="A44" s="17" t="s">
        <v>295</v>
      </c>
      <c r="B44" s="17" t="s">
        <v>363</v>
      </c>
      <c r="C44" s="76">
        <v>27097.914000000001</v>
      </c>
      <c r="D44" s="76">
        <v>106100.848</v>
      </c>
      <c r="E44" s="76">
        <v>18284.704000000002</v>
      </c>
      <c r="F44" s="77">
        <v>6727444</v>
      </c>
      <c r="G44" s="77">
        <v>100594</v>
      </c>
      <c r="H44" s="77">
        <v>1259836</v>
      </c>
      <c r="I44" s="77">
        <v>412044</v>
      </c>
      <c r="J44" s="77"/>
      <c r="K44" s="78">
        <f>G44/$F44*100</f>
        <v>1.495278147242846</v>
      </c>
      <c r="L44" s="78">
        <f>H44/$F44*100</f>
        <v>18.726815117301609</v>
      </c>
      <c r="M44" s="77"/>
      <c r="N44" s="17">
        <f t="shared" si="0"/>
        <v>116.72099205146387</v>
      </c>
      <c r="O44" s="17">
        <f t="shared" si="0"/>
        <v>85.159508343494323</v>
      </c>
      <c r="P44" s="17">
        <f t="shared" si="0"/>
        <v>82.944832832042366</v>
      </c>
      <c r="Q44" s="17">
        <f t="shared" si="2"/>
        <v>101.82326844893304</v>
      </c>
      <c r="R44" s="17">
        <f t="shared" si="2"/>
        <v>112.37167528681063</v>
      </c>
      <c r="S44" s="17">
        <f t="shared" si="2"/>
        <v>97.184821766062655</v>
      </c>
      <c r="T44" s="17">
        <f t="shared" si="2"/>
        <v>91.903538354477803</v>
      </c>
      <c r="U44" s="17">
        <v>100</v>
      </c>
    </row>
    <row r="45" spans="1:21" x14ac:dyDescent="0.25">
      <c r="A45" s="17" t="s">
        <v>296</v>
      </c>
      <c r="B45" s="17" t="s">
        <v>364</v>
      </c>
      <c r="C45" s="76">
        <v>27357.705000000002</v>
      </c>
      <c r="D45" s="76">
        <v>102108.556</v>
      </c>
      <c r="E45" s="76">
        <v>17639.810000000001</v>
      </c>
      <c r="F45" s="77">
        <v>6663106</v>
      </c>
      <c r="G45" s="77">
        <v>100282</v>
      </c>
      <c r="H45" s="77">
        <v>1244336</v>
      </c>
      <c r="I45" s="77">
        <v>389634</v>
      </c>
      <c r="J45" s="77"/>
      <c r="K45" s="78">
        <f>G45/$F45*100</f>
        <v>1.5050338385731821</v>
      </c>
      <c r="L45" s="78">
        <f>H45/$F45*100</f>
        <v>18.675014325151061</v>
      </c>
      <c r="M45" s="77"/>
      <c r="N45" s="17">
        <f t="shared" si="0"/>
        <v>117.84001041007413</v>
      </c>
      <c r="O45" s="17">
        <f t="shared" si="0"/>
        <v>81.95518311620053</v>
      </c>
      <c r="P45" s="17">
        <f t="shared" si="0"/>
        <v>80.019402646003414</v>
      </c>
      <c r="Q45" s="17">
        <f t="shared" si="2"/>
        <v>100.84948026943017</v>
      </c>
      <c r="R45" s="17">
        <f t="shared" si="2"/>
        <v>112.02314592432892</v>
      </c>
      <c r="S45" s="17">
        <f t="shared" si="2"/>
        <v>95.989138568111514</v>
      </c>
      <c r="T45" s="17">
        <f t="shared" si="2"/>
        <v>86.905144264225683</v>
      </c>
      <c r="U45" s="17">
        <v>100</v>
      </c>
    </row>
    <row r="46" spans="1:21" x14ac:dyDescent="0.25">
      <c r="A46" s="17" t="s">
        <v>297</v>
      </c>
      <c r="B46" s="17" t="s">
        <v>365</v>
      </c>
      <c r="C46" s="76">
        <v>27719.934000000001</v>
      </c>
      <c r="D46" s="76">
        <v>110994.823</v>
      </c>
      <c r="E46" s="76">
        <v>19296.54</v>
      </c>
      <c r="F46" s="77">
        <v>6654347</v>
      </c>
      <c r="G46" s="77">
        <v>100018</v>
      </c>
      <c r="H46" s="77">
        <v>1240207</v>
      </c>
      <c r="I46" s="77">
        <v>386973</v>
      </c>
      <c r="J46" s="77"/>
      <c r="K46" s="78">
        <f>G46/$F46*100</f>
        <v>1.5030475567324639</v>
      </c>
      <c r="L46" s="78">
        <f>H46/$F46*100</f>
        <v>18.637546253599339</v>
      </c>
      <c r="M46" s="77"/>
      <c r="N46" s="17">
        <f t="shared" si="0"/>
        <v>119.40026808266877</v>
      </c>
      <c r="O46" s="17">
        <f t="shared" si="0"/>
        <v>89.087549567494278</v>
      </c>
      <c r="P46" s="17">
        <f t="shared" si="0"/>
        <v>87.534820609445944</v>
      </c>
      <c r="Q46" s="17">
        <f t="shared" si="2"/>
        <v>100.71690837312836</v>
      </c>
      <c r="R46" s="17">
        <f t="shared" si="2"/>
        <v>111.72823646376746</v>
      </c>
      <c r="S46" s="17">
        <f t="shared" si="2"/>
        <v>95.670623992347629</v>
      </c>
      <c r="T46" s="17">
        <f t="shared" si="2"/>
        <v>86.311626786574593</v>
      </c>
      <c r="U46" s="17">
        <v>100</v>
      </c>
    </row>
    <row r="47" spans="1:21" x14ac:dyDescent="0.25">
      <c r="A47" s="17" t="s">
        <v>298</v>
      </c>
      <c r="B47" s="17" t="s">
        <v>366</v>
      </c>
      <c r="C47" s="76">
        <v>28424.925999999999</v>
      </c>
      <c r="D47" s="76">
        <v>112972.04</v>
      </c>
      <c r="E47" s="76">
        <v>19397.161</v>
      </c>
      <c r="F47" s="77">
        <v>6682625</v>
      </c>
      <c r="G47" s="77">
        <v>99348</v>
      </c>
      <c r="H47" s="77">
        <v>1245020</v>
      </c>
      <c r="I47" s="77">
        <v>390135</v>
      </c>
      <c r="J47" s="77"/>
      <c r="K47" s="78">
        <f>G47/$F47*100</f>
        <v>1.4866613045023476</v>
      </c>
      <c r="L47" s="78">
        <f>H47/$F47*100</f>
        <v>18.63070275527955</v>
      </c>
      <c r="M47" s="77"/>
      <c r="N47" s="17">
        <f t="shared" si="0"/>
        <v>122.43693598368675</v>
      </c>
      <c r="O47" s="17">
        <f t="shared" si="0"/>
        <v>90.674519236279565</v>
      </c>
      <c r="P47" s="17">
        <f t="shared" si="0"/>
        <v>87.991267266957763</v>
      </c>
      <c r="Q47" s="17">
        <f t="shared" si="2"/>
        <v>101.14491020936794</v>
      </c>
      <c r="R47" s="17">
        <f t="shared" si="2"/>
        <v>110.9797919994638</v>
      </c>
      <c r="S47" s="17">
        <f t="shared" si="2"/>
        <v>96.041902910524328</v>
      </c>
      <c r="T47" s="17">
        <f t="shared" si="2"/>
        <v>87.016888817515124</v>
      </c>
      <c r="U47" s="17">
        <v>100</v>
      </c>
    </row>
    <row r="48" spans="1:21" x14ac:dyDescent="0.25">
      <c r="A48" s="17" t="s">
        <v>299</v>
      </c>
      <c r="B48" s="17" t="s">
        <v>367</v>
      </c>
      <c r="C48" s="76">
        <v>28819.526000000002</v>
      </c>
      <c r="D48" s="76">
        <v>111534.96400000001</v>
      </c>
      <c r="E48" s="76">
        <v>19349.796999999999</v>
      </c>
      <c r="F48" s="77">
        <v>6689379</v>
      </c>
      <c r="G48" s="77">
        <v>97897</v>
      </c>
      <c r="H48" s="77">
        <v>1242233</v>
      </c>
      <c r="I48" s="77">
        <v>395861</v>
      </c>
      <c r="J48" s="77"/>
      <c r="K48" s="78">
        <f>G48/$F48*100</f>
        <v>1.4634691800240351</v>
      </c>
      <c r="L48" s="78">
        <f>H48/$F48*100</f>
        <v>18.570229015279295</v>
      </c>
      <c r="M48" s="77"/>
      <c r="N48" s="17">
        <f t="shared" si="0"/>
        <v>124.13662782946895</v>
      </c>
      <c r="O48" s="17">
        <f t="shared" si="0"/>
        <v>89.521081842336841</v>
      </c>
      <c r="P48" s="17">
        <f t="shared" si="0"/>
        <v>87.776410134884031</v>
      </c>
      <c r="Q48" s="17">
        <f t="shared" si="2"/>
        <v>101.24713541631192</v>
      </c>
      <c r="R48" s="17">
        <f t="shared" si="2"/>
        <v>109.35890704766587</v>
      </c>
      <c r="S48" s="17">
        <f t="shared" si="2"/>
        <v>95.826911357447557</v>
      </c>
      <c r="T48" s="17">
        <f t="shared" si="2"/>
        <v>88.294033153114569</v>
      </c>
      <c r="U48" s="17">
        <v>100</v>
      </c>
    </row>
    <row r="49" spans="1:21" x14ac:dyDescent="0.25">
      <c r="A49" s="17" t="s">
        <v>300</v>
      </c>
      <c r="B49" s="17" t="s">
        <v>368</v>
      </c>
      <c r="C49" s="76">
        <v>29320.2</v>
      </c>
      <c r="D49" s="76">
        <v>110048.73699999999</v>
      </c>
      <c r="E49" s="76">
        <v>19531.175999999999</v>
      </c>
      <c r="F49" s="77">
        <v>6688895</v>
      </c>
      <c r="G49" s="77">
        <v>94551</v>
      </c>
      <c r="H49" s="77">
        <v>1235777</v>
      </c>
      <c r="I49" s="77">
        <v>395467</v>
      </c>
      <c r="J49" s="77"/>
      <c r="K49" s="78">
        <f>G49/$F49*100</f>
        <v>1.4135518646951402</v>
      </c>
      <c r="L49" s="78">
        <f>H49/$F49*100</f>
        <v>18.475054549368767</v>
      </c>
      <c r="M49" s="77"/>
      <c r="N49" s="17">
        <f t="shared" si="0"/>
        <v>126.2932206201308</v>
      </c>
      <c r="O49" s="17">
        <f t="shared" si="0"/>
        <v>88.328194480995222</v>
      </c>
      <c r="P49" s="17">
        <f t="shared" si="0"/>
        <v>88.599198998966443</v>
      </c>
      <c r="Q49" s="17">
        <f t="shared" si="2"/>
        <v>101.23980983144949</v>
      </c>
      <c r="R49" s="17">
        <f t="shared" si="2"/>
        <v>105.62115305130754</v>
      </c>
      <c r="S49" s="17">
        <f t="shared" si="2"/>
        <v>95.328890020288043</v>
      </c>
      <c r="T49" s="17">
        <f t="shared" si="2"/>
        <v>88.206154203022678</v>
      </c>
      <c r="U49" s="17">
        <v>100</v>
      </c>
    </row>
    <row r="50" spans="1:21" x14ac:dyDescent="0.25">
      <c r="A50" s="17" t="s">
        <v>301</v>
      </c>
      <c r="B50" s="17" t="s">
        <v>369</v>
      </c>
      <c r="C50" s="76">
        <v>30540.050999999999</v>
      </c>
      <c r="D50" s="76">
        <v>108477.023</v>
      </c>
      <c r="E50" s="76">
        <v>19444.688999999998</v>
      </c>
      <c r="F50" s="77">
        <v>6654765</v>
      </c>
      <c r="G50" s="77">
        <v>92435</v>
      </c>
      <c r="H50" s="77">
        <v>1225445</v>
      </c>
      <c r="I50" s="77">
        <v>393359</v>
      </c>
      <c r="J50" s="77"/>
      <c r="K50" s="78">
        <f>G50/$F50*100</f>
        <v>1.3890047206775895</v>
      </c>
      <c r="L50" s="78">
        <f>H50/$F50*100</f>
        <v>18.414549574628104</v>
      </c>
      <c r="M50" s="77"/>
      <c r="N50" s="17">
        <f t="shared" si="0"/>
        <v>131.54758148624654</v>
      </c>
      <c r="O50" s="17">
        <f t="shared" si="0"/>
        <v>87.066692862303299</v>
      </c>
      <c r="P50" s="17">
        <f t="shared" si="0"/>
        <v>88.206868351604314</v>
      </c>
      <c r="Q50" s="17">
        <f t="shared" si="2"/>
        <v>100.72323501460048</v>
      </c>
      <c r="R50" s="17">
        <f t="shared" si="2"/>
        <v>103.25740904165596</v>
      </c>
      <c r="S50" s="17">
        <f t="shared" si="2"/>
        <v>94.531870742789266</v>
      </c>
      <c r="T50" s="17">
        <f t="shared" si="2"/>
        <v>87.735979515728985</v>
      </c>
      <c r="U50" s="17">
        <v>100</v>
      </c>
    </row>
    <row r="51" spans="1:21" x14ac:dyDescent="0.25">
      <c r="A51" s="17" t="s">
        <v>302</v>
      </c>
      <c r="B51" s="17" t="s">
        <v>370</v>
      </c>
      <c r="C51" s="76">
        <v>30792.208999999999</v>
      </c>
      <c r="D51" s="76">
        <v>107116.376</v>
      </c>
      <c r="E51" s="76">
        <v>19435.215</v>
      </c>
      <c r="F51" s="77">
        <v>6609142</v>
      </c>
      <c r="G51" s="77">
        <v>91132</v>
      </c>
      <c r="H51" s="77">
        <v>1208731</v>
      </c>
      <c r="I51" s="77">
        <v>393120</v>
      </c>
      <c r="J51" s="77"/>
      <c r="K51" s="78">
        <f>G51/$F51*100</f>
        <v>1.3788779239423212</v>
      </c>
      <c r="L51" s="78">
        <f>H51/$F51*100</f>
        <v>18.288773338505969</v>
      </c>
      <c r="M51" s="77"/>
      <c r="N51" s="17">
        <f t="shared" si="0"/>
        <v>132.63372161916277</v>
      </c>
      <c r="O51" s="17">
        <f t="shared" si="0"/>
        <v>85.97459952155026</v>
      </c>
      <c r="P51" s="17">
        <f t="shared" si="0"/>
        <v>88.163891481634167</v>
      </c>
      <c r="Q51" s="17">
        <f t="shared" si="2"/>
        <v>100.03270782828042</v>
      </c>
      <c r="R51" s="17">
        <f t="shared" si="2"/>
        <v>101.80185212077883</v>
      </c>
      <c r="S51" s="17">
        <f t="shared" si="2"/>
        <v>93.242538551140527</v>
      </c>
      <c r="T51" s="17">
        <f t="shared" si="2"/>
        <v>87.682672233820455</v>
      </c>
      <c r="U51" s="17">
        <v>100</v>
      </c>
    </row>
    <row r="52" spans="1:21" x14ac:dyDescent="0.25">
      <c r="A52" s="17" t="s">
        <v>303</v>
      </c>
      <c r="B52" s="17" t="s">
        <v>371</v>
      </c>
      <c r="C52" s="76">
        <v>32327.382000000001</v>
      </c>
      <c r="D52" s="76">
        <v>109532.34600000001</v>
      </c>
      <c r="E52" s="76">
        <v>19836.069</v>
      </c>
      <c r="K52" s="78"/>
      <c r="L52" s="78"/>
      <c r="N52" s="17">
        <f t="shared" si="0"/>
        <v>139.24629392013853</v>
      </c>
      <c r="O52" s="17">
        <f t="shared" si="0"/>
        <v>87.913724620462119</v>
      </c>
      <c r="P52" s="17">
        <f t="shared" si="0"/>
        <v>89.98228394891477</v>
      </c>
      <c r="T52" s="17">
        <f t="shared" ref="T52" si="3">I52/I$11*100</f>
        <v>0</v>
      </c>
      <c r="U52" s="17">
        <v>100</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B1C9C-351A-4B76-A81F-CE5E77E7D28B}">
  <sheetPr>
    <tabColor rgb="FF8C0A28"/>
  </sheetPr>
  <dimension ref="A1:G60"/>
  <sheetViews>
    <sheetView workbookViewId="0" showGridLines="0" zoomScale="100" zoomScaleNormal="100">
      <pane ySplit="6" topLeftCell="A7" activePane="bottomLeft" state="frozen"/>
      <selection pane="bottomLeft" activeCell="A7" sqref="A7"/>
    </sheetView>
  </sheetViews>
  <sheetFormatPr defaultRowHeight="15" x14ac:dyDescent="0.25"/>
  <cols>
    <col min="3" max="4" width="10.5703125" bestFit="1" customWidth="1"/>
  </cols>
  <sheetData>
    <row r="1" spans="1:7" x14ac:dyDescent="0.25">
      <c r="C1" t="s">
        <v>724</v>
      </c>
      <c r="D1" t="s">
        <v>725</v>
      </c>
    </row>
    <row r="2" spans="1:7" x14ac:dyDescent="0.25">
      <c r="B2" s="1" t="s">
        <v>728</v>
      </c>
      <c r="C2" t="s">
        <v>726</v>
      </c>
      <c r="D2" t="s">
        <v>727</v>
      </c>
    </row>
    <row r="3" spans="1:7" x14ac:dyDescent="0.25">
      <c r="B3" t="s">
        <v>9</v>
      </c>
      <c r="C3" t="s">
        <v>730</v>
      </c>
      <c r="D3" t="s">
        <v>731</v>
      </c>
    </row>
    <row r="4" spans="1:7" x14ac:dyDescent="0.25">
      <c r="B4" t="s">
        <v>8</v>
      </c>
      <c r="C4" t="s">
        <v>147</v>
      </c>
      <c r="D4" t="s">
        <v>147</v>
      </c>
    </row>
    <row r="5" spans="1:7" x14ac:dyDescent="0.25">
      <c r="B5" t="s">
        <v>7</v>
      </c>
      <c r="C5" t="s">
        <v>729</v>
      </c>
      <c r="D5" t="s">
        <v>729</v>
      </c>
    </row>
    <row r="6" spans="1:7" x14ac:dyDescent="0.25">
      <c r="B6" t="s">
        <v>6</v>
      </c>
      <c r="C6" t="s">
        <v>10</v>
      </c>
      <c r="D6" t="s">
        <v>10</v>
      </c>
    </row>
    <row r="7" spans="1:7" x14ac:dyDescent="0.25">
      <c r="A7" s="4">
        <v>44562</v>
      </c>
      <c r="B7" t="s">
        <v>81</v>
      </c>
      <c r="C7" s="15">
        <v>605.0317</v>
      </c>
      <c r="D7" s="15">
        <v>625.15940000000001</v>
      </c>
      <c r="E7" t="s">
        <v>724</v>
      </c>
      <c r="F7" t="s">
        <v>725</v>
      </c>
      <c r="G7" t="s">
        <v>732</v>
      </c>
    </row>
    <row r="8" spans="1:7" x14ac:dyDescent="0.25">
      <c r="A8" s="4">
        <v>44593</v>
      </c>
      <c r="B8" t="s">
        <v>82</v>
      </c>
      <c r="C8" s="15">
        <v>633.43409999999994</v>
      </c>
      <c r="D8" s="15">
        <v>652.98379999999997</v>
      </c>
      <c r="E8" s="2">
        <f>(C8/C7-1)*100</f>
        <v>4.6943656010089985</v>
      </c>
      <c r="F8" s="2">
        <f>(D8/D7-1)*100</f>
        <v>4.450768875905875</v>
      </c>
      <c r="G8">
        <v>2</v>
      </c>
    </row>
    <row r="9" spans="1:7" x14ac:dyDescent="0.25">
      <c r="A9" s="4">
        <v>44621</v>
      </c>
      <c r="B9" t="s">
        <v>83</v>
      </c>
      <c r="C9" s="15">
        <v>676.0566</v>
      </c>
      <c r="D9" s="15">
        <v>694.75149999999996</v>
      </c>
      <c r="E9" s="2">
        <f t="shared" ref="E9:E60" si="0">(C9/C8-1)*100</f>
        <v>6.7287978339025445</v>
      </c>
      <c r="F9" s="2">
        <f t="shared" ref="F9:F60" si="1">(D9/D8-1)*100</f>
        <v>6.3964374001315161</v>
      </c>
      <c r="G9">
        <v>2</v>
      </c>
    </row>
    <row r="10" spans="1:7" x14ac:dyDescent="0.25">
      <c r="A10" s="4">
        <v>44652</v>
      </c>
      <c r="B10" t="s">
        <v>84</v>
      </c>
      <c r="C10" s="15">
        <v>716.93989999999997</v>
      </c>
      <c r="D10" s="15">
        <v>741.36220000000003</v>
      </c>
      <c r="E10" s="2">
        <f t="shared" si="0"/>
        <v>6.0473191149971628</v>
      </c>
      <c r="F10" s="2">
        <f t="shared" si="1"/>
        <v>6.7089743598970353</v>
      </c>
      <c r="G10">
        <v>2</v>
      </c>
    </row>
    <row r="11" spans="1:7" x14ac:dyDescent="0.25">
      <c r="A11" s="4">
        <v>44682</v>
      </c>
      <c r="B11" t="s">
        <v>85</v>
      </c>
      <c r="C11" s="15">
        <v>753.14700000000005</v>
      </c>
      <c r="D11" s="15">
        <v>779.92669999999998</v>
      </c>
      <c r="E11" s="2">
        <f t="shared" si="0"/>
        <v>5.0502280595626114</v>
      </c>
      <c r="F11" s="2">
        <f t="shared" si="1"/>
        <v>5.2018433095186056</v>
      </c>
      <c r="G11">
        <v>2</v>
      </c>
    </row>
    <row r="12" spans="1:7" x14ac:dyDescent="0.25">
      <c r="A12" s="4">
        <v>44713</v>
      </c>
      <c r="B12" t="s">
        <v>86</v>
      </c>
      <c r="C12" s="15">
        <v>793.02779999999996</v>
      </c>
      <c r="D12" s="15">
        <v>819.57339999999999</v>
      </c>
      <c r="E12" s="2">
        <f t="shared" si="0"/>
        <v>5.2952212516281572</v>
      </c>
      <c r="F12" s="2">
        <f t="shared" si="1"/>
        <v>5.0833879645356461</v>
      </c>
      <c r="G12">
        <v>2</v>
      </c>
    </row>
    <row r="13" spans="1:7" x14ac:dyDescent="0.25">
      <c r="A13" s="4">
        <v>44743</v>
      </c>
      <c r="B13" t="s">
        <v>87</v>
      </c>
      <c r="C13" s="15">
        <v>851.76099999999997</v>
      </c>
      <c r="D13" s="15">
        <v>879.63829999999996</v>
      </c>
      <c r="E13" s="2">
        <f t="shared" si="0"/>
        <v>7.4061968571593528</v>
      </c>
      <c r="F13" s="2">
        <f t="shared" si="1"/>
        <v>7.3288005686861002</v>
      </c>
      <c r="G13">
        <v>2</v>
      </c>
    </row>
    <row r="14" spans="1:7" x14ac:dyDescent="0.25">
      <c r="A14" s="4">
        <v>44774</v>
      </c>
      <c r="B14" t="s">
        <v>88</v>
      </c>
      <c r="C14" s="15">
        <v>911.13160000000005</v>
      </c>
      <c r="D14" s="15">
        <v>939.46770000000004</v>
      </c>
      <c r="E14" s="2">
        <f t="shared" si="0"/>
        <v>6.9703355753550689</v>
      </c>
      <c r="F14" s="2">
        <f t="shared" si="1"/>
        <v>6.8015910630540022</v>
      </c>
      <c r="G14">
        <v>2</v>
      </c>
    </row>
    <row r="15" spans="1:7" x14ac:dyDescent="0.25">
      <c r="A15" s="4">
        <v>44805</v>
      </c>
      <c r="B15" t="s">
        <v>89</v>
      </c>
      <c r="C15" s="15">
        <v>967.30759999999998</v>
      </c>
      <c r="D15" s="15">
        <v>991.25850000000003</v>
      </c>
      <c r="E15" s="2">
        <f t="shared" si="0"/>
        <v>6.1655198875771644</v>
      </c>
      <c r="F15" s="2">
        <f t="shared" si="1"/>
        <v>5.5127813335147158</v>
      </c>
      <c r="G15">
        <v>2</v>
      </c>
    </row>
    <row r="16" spans="1:7" x14ac:dyDescent="0.25">
      <c r="A16" s="4">
        <v>44835</v>
      </c>
      <c r="B16" t="s">
        <v>90</v>
      </c>
      <c r="C16" s="15">
        <v>1028.7059999999999</v>
      </c>
      <c r="D16" s="15">
        <v>1046.2650000000001</v>
      </c>
      <c r="E16" s="2">
        <f t="shared" si="0"/>
        <v>6.3473501086934503</v>
      </c>
      <c r="F16" s="2">
        <f t="shared" si="1"/>
        <v>5.5491579643453415</v>
      </c>
      <c r="G16">
        <v>2</v>
      </c>
    </row>
    <row r="17" spans="1:7" x14ac:dyDescent="0.25">
      <c r="A17" s="4">
        <v>44866</v>
      </c>
      <c r="B17" t="s">
        <v>91</v>
      </c>
      <c r="C17" s="15">
        <v>1079.2787000000001</v>
      </c>
      <c r="D17" s="15">
        <v>1096.0239999999999</v>
      </c>
      <c r="E17" s="2">
        <f t="shared" si="0"/>
        <v>4.9161470818679165</v>
      </c>
      <c r="F17" s="2">
        <f t="shared" si="1"/>
        <v>4.7558696888455376</v>
      </c>
      <c r="G17">
        <v>2</v>
      </c>
    </row>
    <row r="18" spans="1:7" x14ac:dyDescent="0.25">
      <c r="A18" s="4">
        <v>44896</v>
      </c>
      <c r="B18" t="s">
        <v>92</v>
      </c>
      <c r="C18" s="15">
        <v>1134.5875000000001</v>
      </c>
      <c r="D18" s="15">
        <v>1153.5771</v>
      </c>
      <c r="E18" s="2">
        <f t="shared" si="0"/>
        <v>5.1246077588670946</v>
      </c>
      <c r="F18" s="2">
        <f t="shared" si="1"/>
        <v>5.2510802683153113</v>
      </c>
      <c r="G18">
        <v>2</v>
      </c>
    </row>
    <row r="19" spans="1:7" x14ac:dyDescent="0.25">
      <c r="A19" s="4">
        <v>44927</v>
      </c>
      <c r="B19" t="s">
        <v>93</v>
      </c>
      <c r="C19" s="15">
        <v>1202.979</v>
      </c>
      <c r="D19" s="15">
        <v>1215.3181999999999</v>
      </c>
      <c r="E19" s="2">
        <f t="shared" si="0"/>
        <v>6.0278735663842564</v>
      </c>
      <c r="F19" s="2">
        <f t="shared" si="1"/>
        <v>5.3521433461187762</v>
      </c>
      <c r="G19">
        <v>2</v>
      </c>
    </row>
    <row r="20" spans="1:7" x14ac:dyDescent="0.25">
      <c r="A20" s="4">
        <v>44958</v>
      </c>
      <c r="B20" t="s">
        <v>94</v>
      </c>
      <c r="C20" s="15">
        <v>1282.7091</v>
      </c>
      <c r="D20" s="15">
        <v>1308.7788</v>
      </c>
      <c r="E20" s="2">
        <f t="shared" si="0"/>
        <v>6.62772168092709</v>
      </c>
      <c r="F20" s="2">
        <f t="shared" si="1"/>
        <v>7.6902164387894656</v>
      </c>
      <c r="G20">
        <v>2</v>
      </c>
    </row>
    <row r="21" spans="1:7" x14ac:dyDescent="0.25">
      <c r="A21" s="4">
        <v>44986</v>
      </c>
      <c r="B21" t="s">
        <v>95</v>
      </c>
      <c r="C21" s="15">
        <v>1381.1601000000001</v>
      </c>
      <c r="D21" s="15">
        <v>1403.1433999999999</v>
      </c>
      <c r="E21" s="2">
        <f t="shared" si="0"/>
        <v>7.675239849783555</v>
      </c>
      <c r="F21" s="2">
        <f t="shared" si="1"/>
        <v>7.2101259586417443</v>
      </c>
      <c r="G21">
        <v>2</v>
      </c>
    </row>
    <row r="22" spans="1:7" x14ac:dyDescent="0.25">
      <c r="A22" s="4">
        <v>45017</v>
      </c>
      <c r="B22" t="s">
        <v>96</v>
      </c>
      <c r="C22" s="15">
        <v>1497.2147</v>
      </c>
      <c r="D22" s="15">
        <v>1521.0163</v>
      </c>
      <c r="E22" s="2">
        <f t="shared" si="0"/>
        <v>8.4026898836709663</v>
      </c>
      <c r="F22" s="2">
        <f t="shared" si="1"/>
        <v>8.4006310402771511</v>
      </c>
      <c r="G22">
        <v>2</v>
      </c>
    </row>
    <row r="23" spans="1:7" x14ac:dyDescent="0.25">
      <c r="A23" s="4">
        <v>45047</v>
      </c>
      <c r="B23" t="s">
        <v>97</v>
      </c>
      <c r="C23" s="15">
        <v>1613.5895</v>
      </c>
      <c r="D23" s="15">
        <v>1640.2911999999999</v>
      </c>
      <c r="E23" s="2">
        <f t="shared" si="0"/>
        <v>7.7727529658905947</v>
      </c>
      <c r="F23" s="2">
        <f t="shared" si="1"/>
        <v>7.8417897296695571</v>
      </c>
      <c r="G23">
        <v>2</v>
      </c>
    </row>
    <row r="24" spans="1:7" x14ac:dyDescent="0.25">
      <c r="A24" s="4">
        <v>45078</v>
      </c>
      <c r="B24" t="s">
        <v>98</v>
      </c>
      <c r="C24" s="15">
        <v>1709.6115</v>
      </c>
      <c r="D24" s="15">
        <v>1746.7824000000001</v>
      </c>
      <c r="E24" s="2">
        <f t="shared" si="0"/>
        <v>5.9508319805006149</v>
      </c>
      <c r="F24" s="2">
        <f t="shared" si="1"/>
        <v>6.4922130899684349</v>
      </c>
      <c r="G24">
        <v>2</v>
      </c>
    </row>
    <row r="25" spans="1:7" x14ac:dyDescent="0.25">
      <c r="A25" s="4">
        <v>45108</v>
      </c>
      <c r="B25" t="s">
        <v>99</v>
      </c>
      <c r="C25" s="15">
        <v>1818.0838000000001</v>
      </c>
      <c r="D25" s="15">
        <v>1860.2800999999999</v>
      </c>
      <c r="E25" s="2">
        <f t="shared" si="0"/>
        <v>6.3448508623157984</v>
      </c>
      <c r="F25" s="2">
        <f t="shared" si="1"/>
        <v>6.4975294003420059</v>
      </c>
      <c r="G25">
        <v>2</v>
      </c>
    </row>
    <row r="26" spans="1:7" x14ac:dyDescent="0.25">
      <c r="A26" s="4">
        <v>45139</v>
      </c>
      <c r="B26" t="s">
        <v>100</v>
      </c>
      <c r="C26" s="15">
        <v>2044.2832000000001</v>
      </c>
      <c r="D26" s="15">
        <v>2116.7510000000002</v>
      </c>
      <c r="E26" s="2">
        <f t="shared" si="0"/>
        <v>12.441637728689958</v>
      </c>
      <c r="F26" s="2">
        <f t="shared" si="1"/>
        <v>13.78668190881578</v>
      </c>
      <c r="G26">
        <v>2</v>
      </c>
    </row>
    <row r="27" spans="1:7" x14ac:dyDescent="0.25">
      <c r="A27" s="4">
        <v>45170</v>
      </c>
      <c r="B27" t="s">
        <v>101</v>
      </c>
      <c r="C27" s="15">
        <v>2304.9241999999999</v>
      </c>
      <c r="D27" s="15">
        <v>2400.9928</v>
      </c>
      <c r="E27" s="2">
        <f t="shared" si="0"/>
        <v>12.749750132466954</v>
      </c>
      <c r="F27" s="2">
        <f t="shared" si="1"/>
        <v>13.428211442914151</v>
      </c>
      <c r="G27">
        <v>2</v>
      </c>
    </row>
    <row r="28" spans="1:7" x14ac:dyDescent="0.25">
      <c r="A28" s="4">
        <v>45200</v>
      </c>
      <c r="B28" t="s">
        <v>102</v>
      </c>
      <c r="C28" s="15">
        <v>2496.2730000000001</v>
      </c>
      <c r="D28" s="15">
        <v>2612.5450999999998</v>
      </c>
      <c r="E28" s="2">
        <f t="shared" si="0"/>
        <v>8.3017393804100124</v>
      </c>
      <c r="F28" s="2">
        <f t="shared" si="1"/>
        <v>8.8110343354632192</v>
      </c>
      <c r="G28">
        <v>2</v>
      </c>
    </row>
    <row r="29" spans="1:7" x14ac:dyDescent="0.25">
      <c r="A29" s="4">
        <v>45231</v>
      </c>
      <c r="B29" t="s">
        <v>103</v>
      </c>
      <c r="C29" s="15">
        <v>2816.0628000000002</v>
      </c>
      <c r="D29" s="15">
        <v>2962.7206000000001</v>
      </c>
      <c r="E29" s="2">
        <f t="shared" si="0"/>
        <v>12.81069017691574</v>
      </c>
      <c r="F29" s="2">
        <f t="shared" si="1"/>
        <v>13.403615501221399</v>
      </c>
      <c r="G29">
        <v>2</v>
      </c>
    </row>
    <row r="30" spans="1:7" x14ac:dyDescent="0.25">
      <c r="A30" s="4">
        <v>45261</v>
      </c>
      <c r="B30" t="s">
        <v>104</v>
      </c>
      <c r="C30" s="15">
        <v>3533.1922</v>
      </c>
      <c r="D30" s="15">
        <v>3799.9486999999999</v>
      </c>
      <c r="E30" s="2">
        <f t="shared" si="0"/>
        <v>25.465674984236841</v>
      </c>
      <c r="F30" s="2">
        <f t="shared" si="1"/>
        <v>28.258759870910531</v>
      </c>
      <c r="G30">
        <v>2</v>
      </c>
    </row>
    <row r="31" spans="1:7" x14ac:dyDescent="0.25">
      <c r="A31" s="4">
        <v>45292</v>
      </c>
      <c r="B31" t="s">
        <v>105</v>
      </c>
      <c r="C31" s="15">
        <v>4261.5324000000001</v>
      </c>
      <c r="D31" s="15">
        <v>4568.1648999999998</v>
      </c>
      <c r="E31" s="2">
        <f t="shared" si="0"/>
        <v>20.614225288961062</v>
      </c>
      <c r="F31" s="2">
        <f t="shared" si="1"/>
        <v>20.216488712071289</v>
      </c>
      <c r="G31">
        <v>2</v>
      </c>
    </row>
    <row r="32" spans="1:7" x14ac:dyDescent="0.25">
      <c r="A32" s="4">
        <v>45323</v>
      </c>
      <c r="B32" t="s">
        <v>106</v>
      </c>
      <c r="C32" s="15">
        <v>4825.7880999999998</v>
      </c>
      <c r="D32" s="15">
        <v>5129.5987999999998</v>
      </c>
      <c r="E32" s="2">
        <f t="shared" si="0"/>
        <v>13.240676053524769</v>
      </c>
      <c r="F32" s="2">
        <f t="shared" si="1"/>
        <v>12.290140839705677</v>
      </c>
      <c r="G32">
        <v>2</v>
      </c>
    </row>
    <row r="33" spans="1:7" x14ac:dyDescent="0.25">
      <c r="A33" s="4">
        <v>45352</v>
      </c>
      <c r="B33" t="s">
        <v>107</v>
      </c>
      <c r="C33" s="15">
        <v>5357.0928999999996</v>
      </c>
      <c r="D33" s="15">
        <v>5612.3990999999996</v>
      </c>
      <c r="E33" s="2">
        <f t="shared" si="0"/>
        <v>11.009700156540237</v>
      </c>
      <c r="F33" s="2">
        <f t="shared" si="1"/>
        <v>9.4120479753699193</v>
      </c>
      <c r="G33">
        <v>2</v>
      </c>
    </row>
    <row r="34" spans="1:7" x14ac:dyDescent="0.25">
      <c r="A34" s="4">
        <v>45383</v>
      </c>
      <c r="B34" t="s">
        <v>108</v>
      </c>
      <c r="C34" s="15">
        <v>5830.2271000000001</v>
      </c>
      <c r="D34" s="15">
        <v>5965.8926000000001</v>
      </c>
      <c r="E34" s="2">
        <f t="shared" si="0"/>
        <v>8.8319207606050831</v>
      </c>
      <c r="F34" s="2">
        <f t="shared" si="1"/>
        <v>6.2984383986520287</v>
      </c>
      <c r="G34">
        <v>2</v>
      </c>
    </row>
    <row r="35" spans="1:7" x14ac:dyDescent="0.25">
      <c r="A35" s="4">
        <v>45413</v>
      </c>
      <c r="B35" t="s">
        <v>109</v>
      </c>
      <c r="C35" s="15">
        <v>6073.7165000000005</v>
      </c>
      <c r="D35" s="15">
        <v>6188.6725999999999</v>
      </c>
      <c r="E35" s="2">
        <f t="shared" si="0"/>
        <v>4.176327882665154</v>
      </c>
      <c r="F35" s="2">
        <f t="shared" si="1"/>
        <v>3.7342274649731388</v>
      </c>
      <c r="G35">
        <v>2</v>
      </c>
    </row>
    <row r="36" spans="1:7" x14ac:dyDescent="0.25">
      <c r="A36" s="4">
        <v>45444</v>
      </c>
      <c r="B36" t="s">
        <v>110</v>
      </c>
      <c r="C36" s="15">
        <v>6351.7145</v>
      </c>
      <c r="D36" s="15">
        <v>6414.6575000000003</v>
      </c>
      <c r="E36" s="2">
        <f t="shared" si="0"/>
        <v>4.5770657883027477</v>
      </c>
      <c r="F36" s="2">
        <f t="shared" si="1"/>
        <v>3.6515891953954771</v>
      </c>
      <c r="G36">
        <v>2</v>
      </c>
    </row>
    <row r="37" spans="1:7" x14ac:dyDescent="0.25">
      <c r="A37" s="4">
        <v>45474</v>
      </c>
      <c r="B37" t="s">
        <v>111</v>
      </c>
      <c r="C37" s="15">
        <v>6607.7479000000003</v>
      </c>
      <c r="D37" s="15">
        <v>6657.49</v>
      </c>
      <c r="E37" s="2">
        <f t="shared" si="0"/>
        <v>4.0309336951463992</v>
      </c>
      <c r="F37" s="2">
        <f t="shared" si="1"/>
        <v>3.7855879288956507</v>
      </c>
      <c r="G37">
        <v>2</v>
      </c>
    </row>
    <row r="38" spans="1:7" x14ac:dyDescent="0.25">
      <c r="A38" s="4">
        <v>45505</v>
      </c>
      <c r="B38" t="s">
        <v>112</v>
      </c>
      <c r="C38" s="15">
        <v>6883.4412000000002</v>
      </c>
      <c r="D38" s="15">
        <v>6931.7975999999999</v>
      </c>
      <c r="E38" s="2">
        <f t="shared" si="0"/>
        <v>4.1722732793725292</v>
      </c>
      <c r="F38" s="2">
        <f t="shared" si="1"/>
        <v>4.1202855730913646</v>
      </c>
      <c r="G38">
        <v>2</v>
      </c>
    </row>
    <row r="39" spans="1:7" x14ac:dyDescent="0.25">
      <c r="A39" s="4">
        <v>45536</v>
      </c>
      <c r="B39" t="s">
        <v>113</v>
      </c>
      <c r="C39" s="15">
        <v>7122.2421000000004</v>
      </c>
      <c r="D39" s="15">
        <v>7157.9270999999999</v>
      </c>
      <c r="E39" s="2">
        <f t="shared" si="0"/>
        <v>3.4692081048066425</v>
      </c>
      <c r="F39" s="2">
        <f t="shared" si="1"/>
        <v>3.262205751650904</v>
      </c>
      <c r="G39">
        <v>2</v>
      </c>
    </row>
    <row r="40" spans="1:7" x14ac:dyDescent="0.25">
      <c r="A40" s="4">
        <v>45566</v>
      </c>
      <c r="B40" t="s">
        <v>114</v>
      </c>
      <c r="C40" s="15">
        <v>7313.9542000000001</v>
      </c>
      <c r="D40" s="15">
        <v>7366.7822999999999</v>
      </c>
      <c r="E40" s="2">
        <f t="shared" si="0"/>
        <v>2.6917380413114644</v>
      </c>
      <c r="F40" s="2">
        <f t="shared" si="1"/>
        <v>2.9178168076062105</v>
      </c>
      <c r="G40">
        <v>2</v>
      </c>
    </row>
    <row r="41" spans="1:7" x14ac:dyDescent="0.25">
      <c r="A41" s="4">
        <v>45597</v>
      </c>
      <c r="B41" t="s">
        <v>115</v>
      </c>
      <c r="C41" s="15">
        <v>7491.4314000000004</v>
      </c>
      <c r="D41" s="15">
        <v>7566.7781999999997</v>
      </c>
      <c r="E41" s="2">
        <f t="shared" si="0"/>
        <v>2.4265560755083682</v>
      </c>
      <c r="F41" s="2">
        <f t="shared" si="1"/>
        <v>2.7148338562957175</v>
      </c>
      <c r="G41">
        <v>2</v>
      </c>
    </row>
    <row r="42" spans="1:7" x14ac:dyDescent="0.25">
      <c r="A42" s="4">
        <v>45627</v>
      </c>
      <c r="B42" t="s">
        <v>116</v>
      </c>
      <c r="C42" s="15">
        <v>7694.0074999999997</v>
      </c>
      <c r="D42" s="15">
        <v>7808.7093999999997</v>
      </c>
      <c r="E42" s="2">
        <f t="shared" si="0"/>
        <v>2.7041040514633741</v>
      </c>
      <c r="F42" s="2">
        <f t="shared" si="1"/>
        <v>3.1972815061501292</v>
      </c>
      <c r="G42">
        <v>2</v>
      </c>
    </row>
    <row r="43" spans="1:7" x14ac:dyDescent="0.25">
      <c r="A43" s="4">
        <v>45658</v>
      </c>
      <c r="B43" t="s">
        <v>117</v>
      </c>
      <c r="C43" s="15">
        <v>7864.1256999999996</v>
      </c>
      <c r="D43" s="15">
        <v>7995.9380000000001</v>
      </c>
      <c r="E43" s="2">
        <f t="shared" si="0"/>
        <v>2.2110480136651844</v>
      </c>
      <c r="F43" s="2">
        <f t="shared" si="1"/>
        <v>2.3976894312394359</v>
      </c>
      <c r="G43">
        <v>2</v>
      </c>
    </row>
    <row r="44" spans="1:7" x14ac:dyDescent="0.25">
      <c r="A44" s="4">
        <v>45689</v>
      </c>
      <c r="B44" t="s">
        <v>118</v>
      </c>
      <c r="C44" s="15">
        <v>8052.9926999999998</v>
      </c>
      <c r="D44" s="15">
        <v>8229.4475999999995</v>
      </c>
      <c r="E44" s="2">
        <f t="shared" si="0"/>
        <v>2.4016274307517849</v>
      </c>
      <c r="F44" s="2">
        <f t="shared" si="1"/>
        <v>2.9203528091388264</v>
      </c>
      <c r="G44">
        <v>2</v>
      </c>
    </row>
    <row r="45" spans="1:7" x14ac:dyDescent="0.25">
      <c r="A45" s="4">
        <v>45717</v>
      </c>
      <c r="B45" t="s">
        <v>119</v>
      </c>
      <c r="C45" s="15">
        <v>8353.3158000000003</v>
      </c>
      <c r="D45" s="15">
        <v>8492.1965999999993</v>
      </c>
      <c r="E45" s="2">
        <f t="shared" si="0"/>
        <v>3.7293353066121693</v>
      </c>
      <c r="F45" s="2">
        <f t="shared" si="1"/>
        <v>3.1927902426889476</v>
      </c>
      <c r="G45">
        <v>2</v>
      </c>
    </row>
    <row r="46" spans="1:7" x14ac:dyDescent="0.25">
      <c r="A46" s="4">
        <v>45748</v>
      </c>
      <c r="B46" t="s">
        <v>120</v>
      </c>
      <c r="C46" s="15">
        <v>8585.6077999999998</v>
      </c>
      <c r="D46" s="15">
        <v>8765.1965999999993</v>
      </c>
      <c r="E46" s="2">
        <f t="shared" si="0"/>
        <v>2.7808358448509596</v>
      </c>
      <c r="F46" s="2">
        <f t="shared" si="1"/>
        <v>3.2147159664202674</v>
      </c>
      <c r="G46">
        <v>2</v>
      </c>
    </row>
    <row r="47" spans="1:7" x14ac:dyDescent="0.25">
      <c r="A47" s="4">
        <v>45778</v>
      </c>
      <c r="B47" t="s">
        <v>121</v>
      </c>
      <c r="C47" s="15">
        <v>8714.4871000000003</v>
      </c>
      <c r="D47" s="15">
        <v>8957.7911999999997</v>
      </c>
      <c r="E47" s="2">
        <f t="shared" si="0"/>
        <v>1.5011086343823088</v>
      </c>
      <c r="F47" s="2">
        <f t="shared" si="1"/>
        <v>2.1972650333935473</v>
      </c>
      <c r="G47">
        <v>2</v>
      </c>
    </row>
    <row r="48" spans="1:7" x14ac:dyDescent="0.25">
      <c r="A48" s="4">
        <v>45809</v>
      </c>
      <c r="B48" t="s">
        <v>122</v>
      </c>
      <c r="C48" s="15">
        <v>8855.5681000000004</v>
      </c>
      <c r="D48" s="15">
        <v>9111.3040000000001</v>
      </c>
      <c r="E48" s="2">
        <f t="shared" si="0"/>
        <v>1.6189248819933333</v>
      </c>
      <c r="F48" s="2">
        <f t="shared" si="1"/>
        <v>1.7137349662716073</v>
      </c>
      <c r="G48">
        <v>2</v>
      </c>
    </row>
    <row r="49" spans="1:7" x14ac:dyDescent="0.25">
      <c r="A49" s="4">
        <v>45839</v>
      </c>
      <c r="B49" t="s">
        <v>123</v>
      </c>
      <c r="C49" s="15">
        <v>9023.973</v>
      </c>
      <c r="D49" s="15">
        <v>9246.0737000000008</v>
      </c>
      <c r="E49" s="2">
        <f t="shared" si="0"/>
        <v>1.9016837553312849</v>
      </c>
      <c r="F49" s="2">
        <f t="shared" si="1"/>
        <v>1.4791483194941168</v>
      </c>
      <c r="G49">
        <v>2</v>
      </c>
    </row>
    <row r="50" spans="1:7" x14ac:dyDescent="0.25">
      <c r="A50" s="4">
        <v>45870</v>
      </c>
      <c r="B50" t="s">
        <v>124</v>
      </c>
      <c r="C50" s="15">
        <v>9193.2440999999999</v>
      </c>
      <c r="D50" s="15">
        <v>9435.1466999999993</v>
      </c>
      <c r="E50" s="2">
        <f t="shared" si="0"/>
        <v>1.8757935113502766</v>
      </c>
      <c r="F50" s="2">
        <f t="shared" si="1"/>
        <v>2.0449004208132004</v>
      </c>
      <c r="G50">
        <v>2</v>
      </c>
    </row>
    <row r="51" spans="1:7" x14ac:dyDescent="0.25">
      <c r="A51" s="4">
        <v>45901</v>
      </c>
      <c r="B51" t="s">
        <v>125</v>
      </c>
      <c r="C51" s="15">
        <v>9384.0921999999991</v>
      </c>
      <c r="D51" s="15">
        <v>9614.0254000000004</v>
      </c>
      <c r="E51" s="2">
        <f t="shared" si="0"/>
        <v>2.0759603239513646</v>
      </c>
      <c r="F51" s="2">
        <f t="shared" si="1"/>
        <v>1.895876192364887</v>
      </c>
      <c r="G51">
        <v>2</v>
      </c>
    </row>
    <row r="52" spans="1:7" x14ac:dyDescent="0.25">
      <c r="A52" s="4">
        <v>45931</v>
      </c>
      <c r="B52" t="s">
        <v>126</v>
      </c>
      <c r="C52" s="15">
        <v>9603.8623000000007</v>
      </c>
      <c r="D52" s="15">
        <v>9827.1412999999993</v>
      </c>
      <c r="E52" s="2">
        <f t="shared" si="0"/>
        <v>2.3419431023919524</v>
      </c>
      <c r="F52" s="2">
        <f t="shared" si="1"/>
        <v>2.2167187118103504</v>
      </c>
      <c r="G52">
        <v>2</v>
      </c>
    </row>
    <row r="53" spans="1:7" x14ac:dyDescent="0.25">
      <c r="A53" s="4">
        <v>45962</v>
      </c>
      <c r="B53" t="s">
        <v>127</v>
      </c>
      <c r="C53" s="15">
        <v>9841.3580999999995</v>
      </c>
      <c r="D53" s="15">
        <v>10086.479300000001</v>
      </c>
      <c r="E53" s="2">
        <f t="shared" si="0"/>
        <v>2.4729196710785661</v>
      </c>
      <c r="F53" s="2">
        <f t="shared" si="1"/>
        <v>2.6389973653884624</v>
      </c>
      <c r="G53">
        <v>2</v>
      </c>
    </row>
    <row r="54" spans="1:7" x14ac:dyDescent="0.25">
      <c r="A54" s="4">
        <v>45992</v>
      </c>
      <c r="B54" t="s">
        <v>128</v>
      </c>
      <c r="C54" s="15">
        <v>10121.371499999999</v>
      </c>
      <c r="D54" s="15">
        <v>10392.492200000001</v>
      </c>
      <c r="E54" s="2">
        <f t="shared" si="0"/>
        <v>2.8452719345717137</v>
      </c>
      <c r="F54" s="2">
        <f t="shared" si="1"/>
        <v>3.0338921133759689</v>
      </c>
      <c r="G54">
        <v>2</v>
      </c>
    </row>
    <row r="55" spans="1:7" x14ac:dyDescent="0.25">
      <c r="A55" s="4">
        <v>46023</v>
      </c>
      <c r="B55" t="s">
        <v>129</v>
      </c>
      <c r="C55" s="15">
        <v>10413.0309</v>
      </c>
      <c r="D55" s="15">
        <v>10665.8531</v>
      </c>
      <c r="E55" s="2">
        <f t="shared" si="0"/>
        <v>2.881619353661713</v>
      </c>
      <c r="F55" s="2">
        <f t="shared" si="1"/>
        <v>2.630369065853122</v>
      </c>
      <c r="G55">
        <v>2</v>
      </c>
    </row>
    <row r="56" spans="1:7" x14ac:dyDescent="0.25">
      <c r="A56" s="4">
        <v>46054</v>
      </c>
      <c r="B56" t="s">
        <v>130</v>
      </c>
      <c r="C56" s="15">
        <v>10714.6255</v>
      </c>
      <c r="D56" s="15">
        <v>10993.8681</v>
      </c>
      <c r="E56" s="2">
        <f t="shared" si="0"/>
        <v>2.8963190726726928</v>
      </c>
      <c r="F56" s="2">
        <f t="shared" si="1"/>
        <v>3.0753751896320347</v>
      </c>
      <c r="G56">
        <v>2</v>
      </c>
    </row>
    <row r="57" spans="1:7" x14ac:dyDescent="0.25">
      <c r="A57" s="4">
        <v>46082</v>
      </c>
      <c r="B57" t="s">
        <v>131</v>
      </c>
      <c r="C57" s="15">
        <v>11077.060799999999</v>
      </c>
      <c r="D57" s="15">
        <v>11344.4566</v>
      </c>
      <c r="E57" s="2">
        <f t="shared" si="0"/>
        <v>3.3826221924415201</v>
      </c>
      <c r="F57" s="2">
        <f t="shared" si="1"/>
        <v>3.1889458451843655</v>
      </c>
      <c r="G57">
        <v>2</v>
      </c>
    </row>
    <row r="58" spans="1:7" x14ac:dyDescent="0.25">
      <c r="A58" s="4">
        <v>46113</v>
      </c>
      <c r="B58" t="s">
        <v>132</v>
      </c>
      <c r="C58" s="15">
        <v>11363.090399999999</v>
      </c>
      <c r="D58" s="15">
        <v>11603.8447</v>
      </c>
      <c r="E58" s="2">
        <f t="shared" si="0"/>
        <v>2.5821795615674548</v>
      </c>
      <c r="F58" s="2">
        <f t="shared" si="1"/>
        <v>2.286474435452468</v>
      </c>
      <c r="G58">
        <v>2</v>
      </c>
    </row>
    <row r="59" spans="1:7" x14ac:dyDescent="0.25">
      <c r="A59" s="4">
        <v>46143</v>
      </c>
      <c r="B59" t="s">
        <v>133</v>
      </c>
      <c r="C59" s="15">
        <v>11607.393700000001</v>
      </c>
      <c r="D59" s="15">
        <v>11824.721299999999</v>
      </c>
      <c r="E59" s="2">
        <f t="shared" si="0"/>
        <v>2.1499723349908573</v>
      </c>
      <c r="F59" s="2">
        <f t="shared" si="1"/>
        <v>1.9034777326863095</v>
      </c>
      <c r="G59">
        <v>2</v>
      </c>
    </row>
    <row r="60" spans="1:7" x14ac:dyDescent="0.25">
      <c r="A60" s="4">
        <v>46174</v>
      </c>
      <c r="B60" t="s">
        <v>134</v>
      </c>
      <c r="C60" s="15">
        <v>11826.4103</v>
      </c>
      <c r="D60" s="15">
        <v>12010.3199</v>
      </c>
      <c r="E60" s="2">
        <f t="shared" si="0"/>
        <v>1.8868714688293764</v>
      </c>
      <c r="F60" s="2">
        <f t="shared" si="1"/>
        <v>1.5695811790507053</v>
      </c>
      <c r="G60">
        <v>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15</vt:i4>
      </vt:variant>
      <vt:variant>
        <vt:lpstr>Named Ranges</vt:lpstr>
      </vt:variant>
      <vt:variant>
        <vt:i4>9</vt:i4>
      </vt:variant>
    </vt:vector>
  </HeadingPairs>
  <TitlesOfParts>
    <vt:vector size="24" baseType="lpstr">
      <vt:lpstr>Inflation expectations</vt:lpstr>
      <vt:lpstr>Trade balance</vt:lpstr>
      <vt:lpstr>CaB</vt:lpstr>
      <vt:lpstr>Net reserves</vt:lpstr>
      <vt:lpstr>Contributions</vt:lpstr>
      <vt:lpstr>12 month rolling fiscal</vt:lpstr>
      <vt:lpstr>Stabilising PB</vt:lpstr>
      <vt:lpstr>Buenos Aires</vt:lpstr>
      <vt:lpstr>Bonds</vt:lpstr>
      <vt:lpstr>Sources</vt:lpstr>
      <vt:lpstr>1 Bond inputs</vt:lpstr>
      <vt:lpstr>2 Carry cushion</vt:lpstr>
      <vt:lpstr>GDP contribution</vt:lpstr>
      <vt:lpstr>Employment</vt:lpstr>
      <vt:lpstr>CPI MoM</vt:lpstr>
      <vt:lpstr>Employment!_DLX1</vt:lpstr>
      <vt:lpstr>_DLX1</vt:lpstr>
      <vt:lpstr>_DLX1.USE</vt:lpstr>
      <vt:lpstr>_DLX10.USE</vt:lpstr>
      <vt:lpstr>_DLX2</vt:lpstr>
      <vt:lpstr>_DLX4</vt:lpstr>
      <vt:lpstr>_DLX5</vt:lpstr>
      <vt:lpstr>_DLX6</vt:lpstr>
      <vt:lpstr>_DLX8</vt:lpstr>
    </vt:vector>
  </TitlesOfParts>
  <Company>UBS AG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Rojas, Alberto</dc:creator>
  <cp:lastModifiedBy>Rojas, Alberto</cp:lastModifiedBy>
  <dcterms:created xsi:type="dcterms:W3CDTF">2026-08-10T19:40:18Z</dcterms:created>
  <dcterms:modified xsi:type="dcterms:W3CDTF">2026-08-11T19:35:57Z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1e85bf-ac82-4d95-8ebe-b1488d74b05a_Enabled">
    <vt:lpwstr>true</vt:lpwstr>
  </property>
  <property fmtid="{D5CDD505-2E9C-101B-9397-08002B2CF9AE}" pid="3" name="MSIP_Label_0c1e85bf-ac82-4d95-8ebe-b1488d74b05a_SetDate">
    <vt:lpwstr>2026-08-10T19:54:30Z</vt:lpwstr>
  </property>
  <property fmtid="{D5CDD505-2E9C-101B-9397-08002B2CF9AE}" pid="4" name="MSIP_Label_0c1e85bf-ac82-4d95-8ebe-b1488d74b05a_Method">
    <vt:lpwstr>Privileged</vt:lpwstr>
  </property>
  <property fmtid="{D5CDD505-2E9C-101B-9397-08002B2CF9AE}" pid="5" name="MSIP_Label_0c1e85bf-ac82-4d95-8ebe-b1488d74b05a_Name">
    <vt:lpwstr>0c1e85bf-ac82-4d95-8ebe-b1488d74b05a</vt:lpwstr>
  </property>
  <property fmtid="{D5CDD505-2E9C-101B-9397-08002B2CF9AE}" pid="6" name="MSIP_Label_0c1e85bf-ac82-4d95-8ebe-b1488d74b05a_SiteId">
    <vt:lpwstr>fb6ea403-7cf1-4905-810a-fe5547e98204</vt:lpwstr>
  </property>
  <property fmtid="{D5CDD505-2E9C-101B-9397-08002B2CF9AE}" pid="7" name="MSIP_Label_0c1e85bf-ac82-4d95-8ebe-b1488d74b05a_ActionId">
    <vt:lpwstr>62a5f98d-815e-4261-abb6-85606eb777d5</vt:lpwstr>
  </property>
  <property fmtid="{D5CDD505-2E9C-101B-9397-08002B2CF9AE}" pid="8" name="MSIP_Label_0c1e85bf-ac82-4d95-8ebe-b1488d74b05a_ContentBits">
    <vt:lpwstr>0</vt:lpwstr>
  </property>
  <property fmtid="{D5CDD505-2E9C-101B-9397-08002B2CF9AE}" pid="9" name="MSIP_Label_0c1e85bf-ac82-4d95-8ebe-b1488d74b05a_Tag">
    <vt:lpwstr>10, 0, 1, 1</vt:lpwstr>
  </property>
</Properties>
</file>