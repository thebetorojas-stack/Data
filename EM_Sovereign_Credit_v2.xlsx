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nitor" sheetId="1" state="visible" r:id="rId3"/>
    <sheet name="Model" sheetId="2" state="visible" r:id="rId4"/>
    <sheet name="Methodology" sheetId="3" state="visible" r:id="rId5"/>
    <sheet name="Ratings" sheetId="4" state="visible" r:id="rId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Build</author>
  </authors>
  <commentList>
    <comment ref="E15" authorId="0">
      <text>
        <r>
          <rPr>
            <sz val="10"/>
            <rFont val="Arial"/>
            <family val="2"/>
          </rPr>
          <t xml:space="preserve">Live Bloomberg Z-spread (JPM EMBI).  Replace this number with:
=IFERROR(BDP(D15,"PX_LAST"),NA())
when opening with the Bloomberg add-in loaded.</t>
        </r>
      </text>
    </comment>
    <comment ref="E16" authorId="0">
      <text>
        <r>
          <rPr>
            <sz val="10"/>
            <rFont val="Arial"/>
            <family val="2"/>
          </rPr>
          <t xml:space="preserve">Live Bloomberg Z-spread (JPM EMBI).  Replace this number with:
=IFERROR(BDP(D16,"PX_LAST"),NA())
when opening with the Bloomberg add-in loaded.</t>
        </r>
      </text>
    </comment>
    <comment ref="E17" authorId="0">
      <text>
        <r>
          <rPr>
            <sz val="10"/>
            <rFont val="Arial"/>
            <family val="2"/>
          </rPr>
          <t xml:space="preserve">Live Bloomberg Z-spread (JPM EMBI).  Replace this number with:
=IFERROR(BDP(D17,"PX_LAST"),NA())
when opening with the Bloomberg add-in loaded.</t>
        </r>
      </text>
    </comment>
    <comment ref="E18" authorId="0">
      <text>
        <r>
          <rPr>
            <sz val="10"/>
            <rFont val="Arial"/>
            <family val="2"/>
          </rPr>
          <t xml:space="preserve">Live Bloomberg Z-spread (JPM EMBI).  Replace this number with:
=IFERROR(BDP(D18,"PX_LAST"),NA())
when opening with the Bloomberg add-in loaded.</t>
        </r>
      </text>
    </comment>
    <comment ref="E19" authorId="0">
      <text>
        <r>
          <rPr>
            <sz val="10"/>
            <rFont val="Arial"/>
            <family val="2"/>
          </rPr>
          <t xml:space="preserve">Live Bloomberg Z-spread (JPM EMBI).  Replace this number with:
=IFERROR(BDP(D19,"PX_LAST"),NA())
when opening with the Bloomberg add-in loaded.</t>
        </r>
      </text>
    </comment>
    <comment ref="E20" authorId="0">
      <text>
        <r>
          <rPr>
            <sz val="10"/>
            <rFont val="Arial"/>
            <family val="2"/>
          </rPr>
          <t xml:space="preserve">Live Bloomberg Z-spread (JPM EMBI).  Replace this number with:
=IFERROR(BDP(D20,"PX_LAST"),NA())
when opening with the Bloomberg add-in loaded.</t>
        </r>
      </text>
    </comment>
    <comment ref="E21" authorId="0">
      <text>
        <r>
          <rPr>
            <sz val="10"/>
            <rFont val="Arial"/>
            <family val="2"/>
          </rPr>
          <t xml:space="preserve">Live Bloomberg Z-spread (JPM EMBI).  Replace this number with:
=IFERROR(BDP(D21,"PX_LAST"),NA())
when opening with the Bloomberg add-in loaded.</t>
        </r>
      </text>
    </comment>
    <comment ref="E22" authorId="0">
      <text>
        <r>
          <rPr>
            <sz val="10"/>
            <rFont val="Arial"/>
            <family val="2"/>
          </rPr>
          <t xml:space="preserve">Live Bloomberg Z-spread (JPM EMBI).  Replace this number with:
=IFERROR(BDP(D22,"PX_LAST"),NA())
when opening with the Bloomberg add-in loaded.</t>
        </r>
      </text>
    </comment>
    <comment ref="E23" authorId="0">
      <text>
        <r>
          <rPr>
            <sz val="10"/>
            <rFont val="Arial"/>
            <family val="2"/>
          </rPr>
          <t xml:space="preserve">Live Bloomberg Z-spread (JPM EMBI).  Replace this number with:
=IFERROR(BDP(D23,"PX_LAST"),NA())
when opening with the Bloomberg add-in loaded.</t>
        </r>
      </text>
    </comment>
    <comment ref="E24" authorId="0">
      <text>
        <r>
          <rPr>
            <sz val="10"/>
            <rFont val="Arial"/>
            <family val="2"/>
          </rPr>
          <t xml:space="preserve">Live Bloomberg Z-spread (JPM EMBI).  Replace this number with:
=IFERROR(BDP(D24,"PX_LAST"),NA())
when opening with the Bloomberg add-in loaded.</t>
        </r>
      </text>
    </comment>
    <comment ref="E25" authorId="0">
      <text>
        <r>
          <rPr>
            <sz val="10"/>
            <rFont val="Arial"/>
            <family val="2"/>
          </rPr>
          <t xml:space="preserve">Live Bloomberg Z-spread (JPM EMBI).  Replace this number with:
=IFERROR(BDP(D25,"PX_LAST"),NA())
when opening with the Bloomberg add-in loaded.</t>
        </r>
      </text>
    </comment>
    <comment ref="E26" authorId="0">
      <text>
        <r>
          <rPr>
            <sz val="10"/>
            <rFont val="Arial"/>
            <family val="2"/>
          </rPr>
          <t xml:space="preserve">Live Bloomberg Z-spread (JPM EMBI).  Replace this number with:
=IFERROR(BDP(D26,"PX_LAST"),NA())
when opening with the Bloomberg add-in loaded.</t>
        </r>
      </text>
    </comment>
    <comment ref="E27" authorId="0">
      <text>
        <r>
          <rPr>
            <sz val="10"/>
            <rFont val="Arial"/>
            <family val="2"/>
          </rPr>
          <t xml:space="preserve">Live Bloomberg Z-spread (JPM EMBI).  Replace this number with:
=IFERROR(BDP(D27,"PX_LAST"),NA())
when opening with the Bloomberg add-in loaded.</t>
        </r>
      </text>
    </comment>
    <comment ref="E28" authorId="0">
      <text>
        <r>
          <rPr>
            <sz val="10"/>
            <rFont val="Arial"/>
            <family val="2"/>
          </rPr>
          <t xml:space="preserve">Live Bloomberg Z-spread (JPM EMBI).  Replace this number with:
=IFERROR(BDP(D28,"PX_LAST"),NA())
when opening with the Bloomberg add-in loaded.</t>
        </r>
      </text>
    </comment>
    <comment ref="E29" authorId="0">
      <text>
        <r>
          <rPr>
            <sz val="10"/>
            <rFont val="Arial"/>
            <family val="2"/>
          </rPr>
          <t xml:space="preserve">Live Bloomberg Z-spread (JPM EMBI).  Replace this number with:
=IFERROR(BDP(D29,"PX_LAST"),NA())
when opening with the Bloomberg add-in loaded.</t>
        </r>
      </text>
    </comment>
    <comment ref="E30" authorId="0">
      <text>
        <r>
          <rPr>
            <sz val="10"/>
            <rFont val="Arial"/>
            <family val="2"/>
          </rPr>
          <t xml:space="preserve">Live Bloomberg Z-spread (JPM EMBI).  Replace this number with:
=IFERROR(BDP(D30,"PX_LAST"),NA())
when opening with the Bloomberg add-in loaded.</t>
        </r>
      </text>
    </comment>
    <comment ref="E31" authorId="0">
      <text>
        <r>
          <rPr>
            <sz val="10"/>
            <rFont val="Arial"/>
            <family val="2"/>
          </rPr>
          <t xml:space="preserve">Live Bloomberg Z-spread (JPM EMBI).  Replace this number with:
=IFERROR(BDP(D31,"PX_LAST"),NA())
when opening with the Bloomberg add-in loaded.</t>
        </r>
      </text>
    </comment>
    <comment ref="E32" authorId="0">
      <text>
        <r>
          <rPr>
            <sz val="10"/>
            <rFont val="Arial"/>
            <family val="2"/>
          </rPr>
          <t xml:space="preserve">Live Bloomberg Z-spread (JPM EMBI).  Replace this number with:
=IFERROR(BDP(D32,"PX_LAST"),NA())
when opening with the Bloomberg add-in loaded.</t>
        </r>
      </text>
    </comment>
    <comment ref="E33" authorId="0">
      <text>
        <r>
          <rPr>
            <sz val="10"/>
            <rFont val="Arial"/>
            <family val="2"/>
          </rPr>
          <t xml:space="preserve">Live Bloomberg Z-spread (JPM EMBI).  Replace this number with:
=IFERROR(BDP(D33,"PX_LAST"),NA())
when opening with the Bloomberg add-in loaded.</t>
        </r>
      </text>
    </comment>
    <comment ref="E34" authorId="0">
      <text>
        <r>
          <rPr>
            <sz val="10"/>
            <rFont val="Arial"/>
            <family val="2"/>
          </rPr>
          <t xml:space="preserve">Live Bloomberg Z-spread (JPM EMBI).  Replace this number with:
=IFERROR(BDP(D34,"PX_LAST"),NA())
when opening with the Bloomberg add-in loaded.</t>
        </r>
      </text>
    </comment>
    <comment ref="E35" authorId="0">
      <text>
        <r>
          <rPr>
            <sz val="10"/>
            <rFont val="Arial"/>
            <family val="2"/>
          </rPr>
          <t xml:space="preserve">Live Bloomberg Z-spread (JPM EMBI).  Replace this number with:
=IFERROR(BDP(D35,"PX_LAST"),NA())
when opening with the Bloomberg add-in loaded.</t>
        </r>
      </text>
    </comment>
    <comment ref="E36" authorId="0">
      <text>
        <r>
          <rPr>
            <sz val="10"/>
            <rFont val="Arial"/>
            <family val="2"/>
          </rPr>
          <t xml:space="preserve">Live Bloomberg Z-spread (JPM EMBI).  Replace this number with:
=IFERROR(BDP(D36,"PX_LAST"),NA())
when opening with the Bloomberg add-in loaded.</t>
        </r>
      </text>
    </comment>
    <comment ref="E37" authorId="0">
      <text>
        <r>
          <rPr>
            <sz val="10"/>
            <rFont val="Arial"/>
            <family val="2"/>
          </rPr>
          <t xml:space="preserve">Live Bloomberg Z-spread (JPM EMBI).  Replace this number with:
=IFERROR(BDP(D37,"PX_LAST"),NA())
when opening with the Bloomberg add-in loaded.</t>
        </r>
      </text>
    </comment>
    <comment ref="E38" authorId="0">
      <text>
        <r>
          <rPr>
            <sz val="10"/>
            <rFont val="Arial"/>
            <family val="2"/>
          </rPr>
          <t xml:space="preserve">Live Bloomberg Z-spread (JPM EMBI).  Replace this number with:
=IFERROR(BDP(D38,"PX_LAST"),NA())
when opening with the Bloomberg add-in loaded.</t>
        </r>
      </text>
    </comment>
    <comment ref="E39" authorId="0">
      <text>
        <r>
          <rPr>
            <sz val="10"/>
            <rFont val="Arial"/>
            <family val="2"/>
          </rPr>
          <t xml:space="preserve">Live Bloomberg Z-spread (JPM EMBI).  Replace this number with:
=IFERROR(BDP(D39,"PX_LAST"),NA())
when opening with the Bloomberg add-in loaded.</t>
        </r>
      </text>
    </comment>
    <comment ref="E40" authorId="0">
      <text>
        <r>
          <rPr>
            <sz val="10"/>
            <rFont val="Arial"/>
            <family val="2"/>
          </rPr>
          <t xml:space="preserve">Live Bloomberg Z-spread (JPM EMBI).  Replace this number with:
=IFERROR(BDP(D40,"PX_LAST"),NA())
when opening with the Bloomberg add-in loaded.</t>
        </r>
      </text>
    </comment>
    <comment ref="E41" authorId="0">
      <text>
        <r>
          <rPr>
            <sz val="10"/>
            <rFont val="Arial"/>
            <family val="2"/>
          </rPr>
          <t xml:space="preserve">Live Bloomberg Z-spread (JPM EMBI).  Replace this number with:
=IFERROR(BDP(D41,"PX_LAST"),NA())
when opening with the Bloomberg add-in loaded.</t>
        </r>
      </text>
    </comment>
    <comment ref="E42" authorId="0">
      <text>
        <r>
          <rPr>
            <sz val="10"/>
            <rFont val="Arial"/>
            <family val="2"/>
          </rPr>
          <t xml:space="preserve">Live Bloomberg Z-spread (JPM EMBI).  Replace this number with:
=IFERROR(BDP(D42,"PX_LAST"),NA())
when opening with the Bloomberg add-in loaded.</t>
        </r>
      </text>
    </comment>
    <comment ref="E43" authorId="0">
      <text>
        <r>
          <rPr>
            <sz val="10"/>
            <rFont val="Arial"/>
            <family val="2"/>
          </rPr>
          <t xml:space="preserve">Live Bloomberg Z-spread (JPM EMBI).  Replace this number with:
=IFERROR(BDP(D43,"PX_LAST"),NA())
when opening with the Bloomberg add-in loaded.</t>
        </r>
      </text>
    </comment>
    <comment ref="E44" authorId="0">
      <text>
        <r>
          <rPr>
            <sz val="10"/>
            <rFont val="Arial"/>
            <family val="2"/>
          </rPr>
          <t xml:space="preserve">Live Bloomberg Z-spread (JPM EMBI).  Replace this number with:
=IFERROR(BDP(D44,"PX_LAST"),NA())
when opening with the Bloomberg add-in loaded.</t>
        </r>
      </text>
    </comment>
    <comment ref="E45" authorId="0">
      <text>
        <r>
          <rPr>
            <sz val="10"/>
            <rFont val="Arial"/>
            <family val="2"/>
          </rPr>
          <t xml:space="preserve">Live Bloomberg Z-spread (JPM EMBI).  Replace this number with:
=IFERROR(BDP(D45,"PX_LAST"),NA())
when opening with the Bloomberg add-in loaded.</t>
        </r>
      </text>
    </comment>
    <comment ref="E46" authorId="0">
      <text>
        <r>
          <rPr>
            <sz val="10"/>
            <rFont val="Arial"/>
            <family val="2"/>
          </rPr>
          <t xml:space="preserve">Live Bloomberg Z-spread (JPM EMBI).  Replace this number with:
=IFERROR(BDP(D46,"PX_LAST"),NA())
when opening with the Bloomberg add-in loaded.</t>
        </r>
      </text>
    </comment>
    <comment ref="E47" authorId="0">
      <text>
        <r>
          <rPr>
            <sz val="10"/>
            <rFont val="Arial"/>
            <family val="2"/>
          </rPr>
          <t xml:space="preserve">Live Bloomberg Z-spread (JPM EMBI).  Replace this number with:
=IFERROR(BDP(D47,"PX_LAST"),NA())
when opening with the Bloomberg add-in loaded.</t>
        </r>
      </text>
    </comment>
    <comment ref="E48" authorId="0">
      <text>
        <r>
          <rPr>
            <sz val="10"/>
            <rFont val="Arial"/>
            <family val="2"/>
          </rPr>
          <t xml:space="preserve">Live Bloomberg Z-spread (JPM EMBI).  Replace this number with:
=IFERROR(BDP(D48,"PX_LAST"),NA())
when opening with the Bloomberg add-in loaded.</t>
        </r>
      </text>
    </comment>
    <comment ref="E49" authorId="0">
      <text>
        <r>
          <rPr>
            <sz val="10"/>
            <rFont val="Arial"/>
            <family val="2"/>
          </rPr>
          <t xml:space="preserve">Live Bloomberg Z-spread (JPM EMBI).  Replace this number with:
=IFERROR(BDP(D49,"PX_LAST"),NA())
when opening with the Bloomberg add-in loaded.</t>
        </r>
      </text>
    </comment>
    <comment ref="E50" authorId="0">
      <text>
        <r>
          <rPr>
            <sz val="10"/>
            <rFont val="Arial"/>
            <family val="2"/>
          </rPr>
          <t xml:space="preserve">Live Bloomberg Z-spread (JPM EMBI).  Replace this number with:
=IFERROR(BDP(D50,"PX_LAST"),NA())
when opening with the Bloomberg add-in loaded.</t>
        </r>
      </text>
    </comment>
    <comment ref="E51" authorId="0">
      <text>
        <r>
          <rPr>
            <sz val="10"/>
            <rFont val="Arial"/>
            <family val="2"/>
          </rPr>
          <t xml:space="preserve">Live Bloomberg Z-spread (JPM EMBI).  Replace this number with:
=IFERROR(BDP(D51,"PX_LAST"),NA())
when opening with the Bloomberg add-in loaded.</t>
        </r>
      </text>
    </comment>
    <comment ref="E52" authorId="0">
      <text>
        <r>
          <rPr>
            <sz val="10"/>
            <rFont val="Arial"/>
            <family val="2"/>
          </rPr>
          <t xml:space="preserve">Live Bloomberg Z-spread (JPM EMBI).  Replace this number with:
=IFERROR(BDP(D52,"PX_LAST"),NA())
when opening with the Bloomberg add-in loaded.</t>
        </r>
      </text>
    </comment>
    <comment ref="E53" authorId="0">
      <text>
        <r>
          <rPr>
            <sz val="10"/>
            <rFont val="Arial"/>
            <family val="2"/>
          </rPr>
          <t xml:space="preserve">Live Bloomberg Z-spread (JPM EMBI).  Replace this number with:
=IFERROR(BDP(D53,"PX_LAST"),NA())
when opening with the Bloomberg add-in loaded.</t>
        </r>
      </text>
    </comment>
    <comment ref="E54" authorId="0">
      <text>
        <r>
          <rPr>
            <sz val="10"/>
            <rFont val="Arial"/>
            <family val="2"/>
          </rPr>
          <t xml:space="preserve">Live Bloomberg Z-spread (JPM EMBI).  Replace this number with:
=IFERROR(BDP(D54,"PX_LAST"),NA())
when opening with the Bloomberg add-in loaded.</t>
        </r>
      </text>
    </comment>
    <comment ref="E55" authorId="0">
      <text>
        <r>
          <rPr>
            <sz val="10"/>
            <rFont val="Arial"/>
            <family val="2"/>
          </rPr>
          <t xml:space="preserve">Live Bloomberg Z-spread (JPM EMBI).  Replace this number with:
=IFERROR(BDP(D55,"PX_LAST"),NA())
when opening with the Bloomberg add-in loaded.</t>
        </r>
      </text>
    </comment>
    <comment ref="E56" authorId="0">
      <text>
        <r>
          <rPr>
            <sz val="10"/>
            <rFont val="Arial"/>
            <family val="2"/>
          </rPr>
          <t xml:space="preserve">Live Bloomberg Z-spread (JPM EMBI).  Replace this number with:
=IFERROR(BDP(D56,"PX_LAST"),NA())
when opening with the Bloomberg add-in loaded.</t>
        </r>
      </text>
    </comment>
    <comment ref="E57" authorId="0">
      <text>
        <r>
          <rPr>
            <sz val="10"/>
            <rFont val="Arial"/>
            <family val="2"/>
          </rPr>
          <t xml:space="preserve">Live Bloomberg Z-spread (JPM EMBI).  Replace this number with:
=IFERROR(BDP(D57,"PX_LAST"),NA())
when opening with the Bloomberg add-in loaded.</t>
        </r>
      </text>
    </comment>
    <comment ref="E58" authorId="0">
      <text>
        <r>
          <rPr>
            <sz val="10"/>
            <rFont val="Arial"/>
            <family val="2"/>
          </rPr>
          <t xml:space="preserve">Live Bloomberg Z-spread (JPM EMBI).  Replace this number with:
=IFERROR(BDP(D58,"PX_LAST"),NA())
when opening with the Bloomberg add-in loaded.</t>
        </r>
      </text>
    </comment>
    <comment ref="E59" authorId="0">
      <text>
        <r>
          <rPr>
            <sz val="10"/>
            <rFont val="Arial"/>
            <family val="2"/>
          </rPr>
          <t xml:space="preserve">Live Bloomberg Z-spread (JPM EMBI).  Replace this number with:
=IFERROR(BDP(D59,"PX_LAST"),NA())
when opening with the Bloomberg add-in loaded.</t>
        </r>
      </text>
    </comment>
    <comment ref="E60" authorId="0">
      <text>
        <r>
          <rPr>
            <sz val="10"/>
            <rFont val="Arial"/>
            <family val="2"/>
          </rPr>
          <t xml:space="preserve">Live Bloomberg Z-spread (JPM EMBI).  Replace this number with:
=IFERROR(BDP(D60,"PX_LAST"),NA())
when opening with the Bloomberg add-in loaded.</t>
        </r>
      </text>
    </comment>
    <comment ref="E61" authorId="0">
      <text>
        <r>
          <rPr>
            <sz val="10"/>
            <rFont val="Arial"/>
            <family val="2"/>
          </rPr>
          <t xml:space="preserve">Live Bloomberg Z-spread (JPM EMBI).  Replace this number with:
=IFERROR(BDP(D61,"PX_LAST"),NA())
when opening with the Bloomberg add-in loaded.</t>
        </r>
      </text>
    </comment>
    <comment ref="E62" authorId="0">
      <text>
        <r>
          <rPr>
            <sz val="10"/>
            <rFont val="Arial"/>
            <family val="2"/>
          </rPr>
          <t xml:space="preserve">Live Bloomberg Z-spread (JPM EMBI).  Replace this number with:
=IFERROR(BDP(D62,"PX_LAST"),NA())
when opening with the Bloomberg add-in loaded.</t>
        </r>
      </text>
    </comment>
    <comment ref="E63" authorId="0">
      <text>
        <r>
          <rPr>
            <sz val="10"/>
            <rFont val="Arial"/>
            <family val="2"/>
          </rPr>
          <t xml:space="preserve">Live Bloomberg Z-spread (JPM EMBI).  Replace this number with:
=IFERROR(BDP(D63,"PX_LAST"),NA())
when opening with the Bloomberg add-in loaded.</t>
        </r>
      </text>
    </comment>
    <comment ref="E64" authorId="0">
      <text>
        <r>
          <rPr>
            <sz val="10"/>
            <rFont val="Arial"/>
            <family val="2"/>
          </rPr>
          <t xml:space="preserve">Live Bloomberg Z-spread (JPM EMBI).  Replace this number with:
=IFERROR(BDP(D64,"PX_LAST"),NA())
when opening with the Bloomberg add-in loaded.</t>
        </r>
      </text>
    </comment>
    <comment ref="E65" authorId="0">
      <text>
        <r>
          <rPr>
            <sz val="10"/>
            <rFont val="Arial"/>
            <family val="2"/>
          </rPr>
          <t xml:space="preserve">Live Bloomberg Z-spread (JPM EMBI).  Replace this number with:
=IFERROR(BDP(D65,"PX_LAST"),NA())
when opening with the Bloomberg add-in loaded.</t>
        </r>
      </text>
    </comment>
    <comment ref="E66" authorId="0">
      <text>
        <r>
          <rPr>
            <sz val="10"/>
            <rFont val="Arial"/>
            <family val="2"/>
          </rPr>
          <t xml:space="preserve">Live Bloomberg Z-spread (JPM EMBI).  Replace this number with:
=IFERROR(BDP(D66,"PX_LAST"),NA())
when opening with the Bloomberg add-in loaded.</t>
        </r>
      </text>
    </comment>
    <comment ref="E67" authorId="0">
      <text>
        <r>
          <rPr>
            <sz val="10"/>
            <rFont val="Arial"/>
            <family val="2"/>
          </rPr>
          <t xml:space="preserve">Live Bloomberg Z-spread (JPM EMBI).  Replace this number with:
=IFERROR(BDP(D67,"PX_LAST"),NA())
when opening with the Bloomberg add-in loaded.</t>
        </r>
      </text>
    </comment>
    <comment ref="E68" authorId="0">
      <text>
        <r>
          <rPr>
            <sz val="10"/>
            <rFont val="Arial"/>
            <family val="2"/>
          </rPr>
          <t xml:space="preserve">Live Bloomberg Z-spread (JPM EMBI).  Replace this number with:
=IFERROR(BDP(D68,"PX_LAST"),NA())
when opening with the Bloomberg add-in loaded.</t>
        </r>
      </text>
    </comment>
    <comment ref="E69" authorId="0">
      <text>
        <r>
          <rPr>
            <sz val="10"/>
            <rFont val="Arial"/>
            <family val="2"/>
          </rPr>
          <t xml:space="preserve">Live Bloomberg Z-spread (JPM EMBI).  Replace this number with:
=IFERROR(BDP(D69,"PX_LAST"),NA())
when opening with the Bloomberg add-in loaded.</t>
        </r>
      </text>
    </comment>
    <comment ref="E70" authorId="0">
      <text>
        <r>
          <rPr>
            <sz val="10"/>
            <rFont val="Arial"/>
            <family val="2"/>
          </rPr>
          <t xml:space="preserve">Live Bloomberg Z-spread (JPM EMBI).  Replace this number with:
=IFERROR(BDP(D70,"PX_LAST"),NA())
when opening with the Bloomberg add-in loaded.</t>
        </r>
      </text>
    </comment>
    <comment ref="E71" authorId="0">
      <text>
        <r>
          <rPr>
            <sz val="10"/>
            <rFont val="Arial"/>
            <family val="2"/>
          </rPr>
          <t xml:space="preserve">Live Bloomberg Z-spread (JPM EMBI).  Replace this number with:
=IFERROR(BDP(D71,"PX_LAST"),NA())
when opening with the Bloomberg add-in loaded.</t>
        </r>
      </text>
    </comment>
    <comment ref="E72" authorId="0">
      <text>
        <r>
          <rPr>
            <sz val="10"/>
            <rFont val="Arial"/>
            <family val="2"/>
          </rPr>
          <t xml:space="preserve">Live Bloomberg Z-spread (JPM EMBI).  Replace this number with:
=IFERROR(BDP(D72,"PX_LAST"),NA())
when opening with the Bloomberg add-in loaded.</t>
        </r>
      </text>
    </comment>
    <comment ref="E73" authorId="0">
      <text>
        <r>
          <rPr>
            <sz val="10"/>
            <rFont val="Arial"/>
            <family val="2"/>
          </rPr>
          <t xml:space="preserve">Live Bloomberg Z-spread (JPM EMBI).  Replace this number with:
=IFERROR(BDP(D73,"PX_LAST"),NA())
when opening with the Bloomberg add-in loaded.</t>
        </r>
      </text>
    </comment>
    <comment ref="E74" authorId="0">
      <text>
        <r>
          <rPr>
            <sz val="10"/>
            <rFont val="Arial"/>
            <family val="2"/>
          </rPr>
          <t xml:space="preserve">Live Bloomberg Z-spread (JPM EMBI).  Replace this number with:
=IFERROR(BDP(D74,"PX_LAST"),NA())
when opening with the Bloomberg add-in loaded.</t>
        </r>
      </text>
    </comment>
    <comment ref="E75" authorId="0">
      <text>
        <r>
          <rPr>
            <sz val="10"/>
            <rFont val="Arial"/>
            <family val="2"/>
          </rPr>
          <t xml:space="preserve">Live Bloomberg Z-spread (JPM EMBI).  Replace this number with:
=IFERROR(BDP(D75,"PX_LAST"),NA())
when opening with the Bloomberg add-in loaded.</t>
        </r>
      </text>
    </comment>
    <comment ref="E76" authorId="0">
      <text>
        <r>
          <rPr>
            <sz val="10"/>
            <rFont val="Arial"/>
            <family val="2"/>
          </rPr>
          <t xml:space="preserve">Live Bloomberg Z-spread (JPM EMBI).  Replace this number with:
=IFERROR(BDP(D76,"PX_LAST"),NA())
when opening with the Bloomberg add-in loaded.</t>
        </r>
      </text>
    </comment>
    <comment ref="E77" authorId="0">
      <text>
        <r>
          <rPr>
            <sz val="10"/>
            <rFont val="Arial"/>
            <family val="2"/>
          </rPr>
          <t xml:space="preserve">Live Bloomberg Z-spread (JPM EMBI).  Replace this number with:
=IFERROR(BDP(D77,"PX_LAST"),NA())
when opening with the Bloomberg add-in loaded.</t>
        </r>
      </text>
    </comment>
    <comment ref="E78" authorId="0">
      <text>
        <r>
          <rPr>
            <sz val="10"/>
            <rFont val="Arial"/>
            <family val="2"/>
          </rPr>
          <t xml:space="preserve">Live Bloomberg Z-spread (JPM EMBI).  Replace this number with:
=IFERROR(BDP(D78,"PX_LAST"),NA())
when opening with the Bloomberg add-in loaded.</t>
        </r>
      </text>
    </comment>
    <comment ref="E79" authorId="0">
      <text>
        <r>
          <rPr>
            <sz val="10"/>
            <rFont val="Arial"/>
            <family val="2"/>
          </rPr>
          <t xml:space="preserve">Live Bloomberg Z-spread (JPM EMBI).  Replace this number with:
=IFERROR(BDP(D79,"PX_LAST"),NA())
when opening with the Bloomberg add-in loaded.</t>
        </r>
      </text>
    </comment>
    <comment ref="E80" authorId="0">
      <text>
        <r>
          <rPr>
            <sz val="10"/>
            <rFont val="Arial"/>
            <family val="2"/>
          </rPr>
          <t xml:space="preserve">Live Bloomberg Z-spread (JPM EMBI).  Replace this number with:
=IFERROR(BDP(D80,"PX_LAST"),NA())
when opening with the Bloomberg add-in loaded.</t>
        </r>
      </text>
    </comment>
    <comment ref="E81" authorId="0">
      <text>
        <r>
          <rPr>
            <sz val="10"/>
            <rFont val="Arial"/>
            <family val="2"/>
          </rPr>
          <t xml:space="preserve">Live Bloomberg Z-spread (JPM EMBI).  Replace this number with:
=IFERROR(BDP(D81,"PX_LAST"),NA())
when opening with the Bloomberg add-in loaded.</t>
        </r>
      </text>
    </comment>
    <comment ref="E82" authorId="0">
      <text>
        <r>
          <rPr>
            <sz val="10"/>
            <rFont val="Arial"/>
            <family val="2"/>
          </rPr>
          <t xml:space="preserve">Live Bloomberg Z-spread (JPM EMBI).  Replace this number with:
=IFERROR(BDP(D82,"PX_LAST"),NA())
when opening with the Bloomberg add-in loaded.</t>
        </r>
      </text>
    </comment>
  </commentList>
</comments>
</file>

<file path=xl/sharedStrings.xml><?xml version="1.0" encoding="utf-8"?>
<sst xmlns="http://schemas.openxmlformats.org/spreadsheetml/2006/main" count="485" uniqueCount="385">
  <si>
    <t xml:space="preserve">EM Sovereign Credit  ·  Cheap / Rich Monitor</t>
  </si>
  <si>
    <t xml:space="preserve">Cross-section fair value across the EMBI universe.  Macro fundamentals are static (IMF WEO / rating agencies, locked once a year).  Z-spreads refresh live from Bloomberg — the regression and signal re-fit every refresh.</t>
  </si>
  <si>
    <t xml:space="preserve">Snapshot date</t>
  </si>
  <si>
    <t xml:space="preserve">N countries</t>
  </si>
  <si>
    <t xml:space="preserve">Median spread</t>
  </si>
  <si>
    <t xml:space="preserve">Live R²</t>
  </si>
  <si>
    <t xml:space="preserve">Live β</t>
  </si>
  <si>
    <t xml:space="preserve">Live α</t>
  </si>
  <si>
    <t xml:space="preserve">Top 5 CHEAP</t>
  </si>
  <si>
    <t xml:space="preserve">Top 5 RICH</t>
  </si>
  <si>
    <t xml:space="preserve">Signal distribution</t>
  </si>
  <si>
    <t xml:space="preserve">CHEAP</t>
  </si>
  <si>
    <t xml:space="preserve">slightly cheap</t>
  </si>
  <si>
    <t xml:space="preserve">fair</t>
  </si>
  <si>
    <t xml:space="preserve">slightly rich</t>
  </si>
  <si>
    <t xml:space="preserve">RICH</t>
  </si>
  <si>
    <t xml:space="preserve">Universe  ·  sorted cheap → rich</t>
  </si>
  <si>
    <t xml:space="preserve">Rank</t>
  </si>
  <si>
    <t xml:space="preserve">Country</t>
  </si>
  <si>
    <t xml:space="preserve">ISO</t>
  </si>
  <si>
    <t xml:space="preserve">Spread (bps)</t>
  </si>
  <si>
    <t xml:space="preserve">Fair Value (bps)</t>
  </si>
  <si>
    <t xml:space="preserve">Basis (bps)</t>
  </si>
  <si>
    <t xml:space="preserve">Z-resid</t>
  </si>
  <si>
    <t xml:space="preserve">Signal</t>
  </si>
  <si>
    <t xml:space="preserve">Conf</t>
  </si>
  <si>
    <t xml:space="preserve">Model  ·  Cross-section fair value engine</t>
  </si>
  <si>
    <t xml:space="preserve">log(EMBI Z-spread) = α + β · Composite Fundamental Score.  α and β are re-estimated cross-sectionally every Bloomberg refresh.</t>
  </si>
  <si>
    <t xml:space="preserve">Factor weights  (editable, yellow cells)</t>
  </si>
  <si>
    <t xml:space="preserve">Live regression</t>
  </si>
  <si>
    <t xml:space="preserve">Quality gates</t>
  </si>
  <si>
    <t xml:space="preserve">Static macro vintage</t>
  </si>
  <si>
    <t xml:space="preserve">Rating</t>
  </si>
  <si>
    <t xml:space="preserve">w_R</t>
  </si>
  <si>
    <t xml:space="preserve">Intercept α</t>
  </si>
  <si>
    <t xml:space="preserve">Min vars to enter regression</t>
  </si>
  <si>
    <t xml:space="preserve">Macro values (columns F–K) are hardcoded from IMF WEO Apr 2025 + S&amp;P/Moody's/Fitch composite ratings as of Q1 2026.  Refresh once a year with Claude.</t>
  </si>
  <si>
    <t xml:space="preserve">Govt debt</t>
  </si>
  <si>
    <t xml:space="preserve">w_D</t>
  </si>
  <si>
    <t xml:space="preserve">Slope β</t>
  </si>
  <si>
    <t xml:space="preserve">Cheap threshold (Z-resid ≥)</t>
  </si>
  <si>
    <t xml:space="preserve">Current acct</t>
  </si>
  <si>
    <t xml:space="preserve">w_C</t>
  </si>
  <si>
    <t xml:space="preserve">R²</t>
  </si>
  <si>
    <t xml:space="preserve">Rich threshold (Z-resid ≤)</t>
  </si>
  <si>
    <t xml:space="preserve">FX reserves</t>
  </si>
  <si>
    <t xml:space="preserve">w_X</t>
  </si>
  <si>
    <t xml:space="preserve">N (full data)</t>
  </si>
  <si>
    <t xml:space="preserve">GDP growth</t>
  </si>
  <si>
    <t xml:space="preserve">w_G</t>
  </si>
  <si>
    <t xml:space="preserve">Median spread bps</t>
  </si>
  <si>
    <t xml:space="preserve">Inflation</t>
  </si>
  <si>
    <t xml:space="preserve">w_P</t>
  </si>
  <si>
    <t xml:space="preserve">Snapshot</t>
  </si>
  <si>
    <t xml:space="preserve">Sum</t>
  </si>
  <si>
    <t xml:space="preserve">EMBI ticker</t>
  </si>
  <si>
    <t xml:space="preserve">Z bps</t>
  </si>
  <si>
    <t xml:space="preserve">Rating#</t>
  </si>
  <si>
    <t xml:space="preserve">GDP %</t>
  </si>
  <si>
    <t xml:space="preserve">CPI %</t>
  </si>
  <si>
    <t xml:space="preserve">Debt/GDP</t>
  </si>
  <si>
    <t xml:space="preserve">CA/GDP</t>
  </si>
  <si>
    <t xml:space="preserve">Res/GDP</t>
  </si>
  <si>
    <t xml:space="preserve">zR</t>
  </si>
  <si>
    <t xml:space="preserve">zD</t>
  </si>
  <si>
    <t xml:space="preserve">zC</t>
  </si>
  <si>
    <t xml:space="preserve">zX</t>
  </si>
  <si>
    <t xml:space="preserve">zG</t>
  </si>
  <si>
    <t xml:space="preserve">zP</t>
  </si>
  <si>
    <t xml:space="preserve">F score</t>
  </si>
  <si>
    <t xml:space="preserve">log(S)</t>
  </si>
  <si>
    <t xml:space="preserve">fitted</t>
  </si>
  <si>
    <t xml:space="preserve">resid</t>
  </si>
  <si>
    <t xml:space="preserve">Cov</t>
  </si>
  <si>
    <t xml:space="preserve">Refresh</t>
  </si>
  <si>
    <t xml:space="preserve">As-of</t>
  </si>
  <si>
    <t xml:space="preserve">flt_logS</t>
  </si>
  <si>
    <t xml:space="preserve">flt_F</t>
  </si>
  <si>
    <t xml:space="preserve">ARGENTINA</t>
  </si>
  <si>
    <t xml:space="preserve">ARG</t>
  </si>
  <si>
    <t xml:space="preserve">JPSYARZW Index</t>
  </si>
  <si>
    <t xml:space="preserve">2025 (IMF WEO Apr 2025)</t>
  </si>
  <si>
    <t xml:space="preserve">BOLIVIA</t>
  </si>
  <si>
    <t xml:space="preserve">BOL</t>
  </si>
  <si>
    <t xml:space="preserve">JPSYBVZW Index</t>
  </si>
  <si>
    <t xml:space="preserve">BRAZIL</t>
  </si>
  <si>
    <t xml:space="preserve">BRA</t>
  </si>
  <si>
    <t xml:space="preserve">JPSYBRZW Index</t>
  </si>
  <si>
    <t xml:space="preserve">CHILE</t>
  </si>
  <si>
    <t xml:space="preserve">CHL</t>
  </si>
  <si>
    <t xml:space="preserve">JPSYCHZW Index</t>
  </si>
  <si>
    <t xml:space="preserve">COLOMBIA</t>
  </si>
  <si>
    <t xml:space="preserve">COL</t>
  </si>
  <si>
    <t xml:space="preserve">JPSYCLZW Index</t>
  </si>
  <si>
    <t xml:space="preserve">COSTA RICA</t>
  </si>
  <si>
    <t xml:space="preserve">CRI</t>
  </si>
  <si>
    <t xml:space="preserve">JPSYCRZW Index</t>
  </si>
  <si>
    <t xml:space="preserve">DOMINICAN REPUBLIC</t>
  </si>
  <si>
    <t xml:space="preserve">DOM</t>
  </si>
  <si>
    <t xml:space="preserve">JPSYDRZW Index</t>
  </si>
  <si>
    <t xml:space="preserve">ECUADOR</t>
  </si>
  <si>
    <t xml:space="preserve">ECU</t>
  </si>
  <si>
    <t xml:space="preserve">JPSYECZW Index</t>
  </si>
  <si>
    <t xml:space="preserve">EL SALVADOR</t>
  </si>
  <si>
    <t xml:space="preserve">SLV</t>
  </si>
  <si>
    <t xml:space="preserve">JPSYESZW Index</t>
  </si>
  <si>
    <t xml:space="preserve">GUATEMALA</t>
  </si>
  <si>
    <t xml:space="preserve">GTM</t>
  </si>
  <si>
    <t xml:space="preserve">JPSYGTZW Index</t>
  </si>
  <si>
    <t xml:space="preserve">JAMAICA</t>
  </si>
  <si>
    <t xml:space="preserve">JAM</t>
  </si>
  <si>
    <t xml:space="preserve">JPSYJMZW Index</t>
  </si>
  <si>
    <t xml:space="preserve">MEXICO</t>
  </si>
  <si>
    <t xml:space="preserve">MEX</t>
  </si>
  <si>
    <t xml:space="preserve">JPSYMXZW Index</t>
  </si>
  <si>
    <t xml:space="preserve">PANAMA</t>
  </si>
  <si>
    <t xml:space="preserve">PAN</t>
  </si>
  <si>
    <t xml:space="preserve">JPSYPNZW Index</t>
  </si>
  <si>
    <t xml:space="preserve">PARAGUAY</t>
  </si>
  <si>
    <t xml:space="preserve">PRY</t>
  </si>
  <si>
    <t xml:space="preserve">JPSYPGZW Index</t>
  </si>
  <si>
    <t xml:space="preserve">PERU</t>
  </si>
  <si>
    <t xml:space="preserve">PER</t>
  </si>
  <si>
    <t xml:space="preserve">JPSYPEZW Index</t>
  </si>
  <si>
    <t xml:space="preserve">URUGUAY</t>
  </si>
  <si>
    <t xml:space="preserve">URY</t>
  </si>
  <si>
    <t xml:space="preserve">JPSYUYZW Index</t>
  </si>
  <si>
    <t xml:space="preserve">TRINIDAD &amp; TOBAGO</t>
  </si>
  <si>
    <t xml:space="preserve">TTO</t>
  </si>
  <si>
    <t xml:space="preserve">JPSYTTZW Index</t>
  </si>
  <si>
    <t xml:space="preserve">ARMENIA</t>
  </si>
  <si>
    <t xml:space="preserve">ARM</t>
  </si>
  <si>
    <t xml:space="preserve">JPSYAMZW Index</t>
  </si>
  <si>
    <t xml:space="preserve">AZERBAIJAN</t>
  </si>
  <si>
    <t xml:space="preserve">AZE</t>
  </si>
  <si>
    <t xml:space="preserve">JPSYAZZW Index</t>
  </si>
  <si>
    <t xml:space="preserve">CROATIA</t>
  </si>
  <si>
    <t xml:space="preserve">HRV</t>
  </si>
  <si>
    <t xml:space="preserve">JPSYCRSW Index</t>
  </si>
  <si>
    <t xml:space="preserve">GEORGIA</t>
  </si>
  <si>
    <t xml:space="preserve">GEO</t>
  </si>
  <si>
    <t xml:space="preserve">JPSYGEZW Index</t>
  </si>
  <si>
    <t xml:space="preserve">HUNGARY</t>
  </si>
  <si>
    <t xml:space="preserve">HUN</t>
  </si>
  <si>
    <t xml:space="preserve">JPSYHNZW Index</t>
  </si>
  <si>
    <t xml:space="preserve">KAZAKHSTAN</t>
  </si>
  <si>
    <t xml:space="preserve">KAZ</t>
  </si>
  <si>
    <t xml:space="preserve">JPSYKZZW Index</t>
  </si>
  <si>
    <t xml:space="preserve">LATVIA</t>
  </si>
  <si>
    <t xml:space="preserve">LVA</t>
  </si>
  <si>
    <t xml:space="preserve">JPSYLVZW Index</t>
  </si>
  <si>
    <t xml:space="preserve">LITHUANIA</t>
  </si>
  <si>
    <t xml:space="preserve">LTU</t>
  </si>
  <si>
    <t xml:space="preserve">JPSYLIZW Index</t>
  </si>
  <si>
    <t xml:space="preserve">NORTH MACEDONIA</t>
  </si>
  <si>
    <t xml:space="preserve">MKD</t>
  </si>
  <si>
    <t xml:space="preserve">JPSYMKZW Index</t>
  </si>
  <si>
    <t xml:space="preserve">POLAND</t>
  </si>
  <si>
    <t xml:space="preserve">POL</t>
  </si>
  <si>
    <t xml:space="preserve">JPSYPOSW Index</t>
  </si>
  <si>
    <t xml:space="preserve">ROMANIA</t>
  </si>
  <si>
    <t xml:space="preserve">ROU</t>
  </si>
  <si>
    <t xml:space="preserve">JPSYROZW Index</t>
  </si>
  <si>
    <t xml:space="preserve">SERBIA</t>
  </si>
  <si>
    <t xml:space="preserve">SRB</t>
  </si>
  <si>
    <t xml:space="preserve">JPSYCSZW Index</t>
  </si>
  <si>
    <t xml:space="preserve">SLOVAKIA</t>
  </si>
  <si>
    <t xml:space="preserve">SVK</t>
  </si>
  <si>
    <t xml:space="preserve">JPSYSKZW Index</t>
  </si>
  <si>
    <t xml:space="preserve">SLOVENIA</t>
  </si>
  <si>
    <t xml:space="preserve">SVN</t>
  </si>
  <si>
    <t xml:space="preserve">JPSYSJZW Index</t>
  </si>
  <si>
    <t xml:space="preserve">TURKEY</t>
  </si>
  <si>
    <t xml:space="preserve">TUR</t>
  </si>
  <si>
    <t xml:space="preserve">JPSYTRZW Index</t>
  </si>
  <si>
    <t xml:space="preserve">UKRAINE</t>
  </si>
  <si>
    <t xml:space="preserve">UKR</t>
  </si>
  <si>
    <t xml:space="preserve">JPSYUKZW Index</t>
  </si>
  <si>
    <t xml:space="preserve">UZBEKISTAN</t>
  </si>
  <si>
    <t xml:space="preserve">UZB</t>
  </si>
  <si>
    <t xml:space="preserve">JPSYUZZW Index</t>
  </si>
  <si>
    <t xml:space="preserve">BAHRAIN</t>
  </si>
  <si>
    <t xml:space="preserve">BHR</t>
  </si>
  <si>
    <t xml:space="preserve">JPEGBHZW Index</t>
  </si>
  <si>
    <t xml:space="preserve">EGYPT</t>
  </si>
  <si>
    <t xml:space="preserve">EGY</t>
  </si>
  <si>
    <t xml:space="preserve">JPSYEGZW Index</t>
  </si>
  <si>
    <t xml:space="preserve">IRAQ</t>
  </si>
  <si>
    <t xml:space="preserve">IRQ</t>
  </si>
  <si>
    <t xml:space="preserve">JPSYIQZW Index</t>
  </si>
  <si>
    <t xml:space="preserve">ISRAEL</t>
  </si>
  <si>
    <t xml:space="preserve">ISR</t>
  </si>
  <si>
    <t xml:space="preserve">JPSYISZW Index</t>
  </si>
  <si>
    <t xml:space="preserve">JORDAN</t>
  </si>
  <si>
    <t xml:space="preserve">JOR</t>
  </si>
  <si>
    <t xml:space="preserve">JPSYJOZW Index</t>
  </si>
  <si>
    <t xml:space="preserve">KUWAIT</t>
  </si>
  <si>
    <t xml:space="preserve">KWT</t>
  </si>
  <si>
    <t xml:space="preserve">JPSYKWZW Index</t>
  </si>
  <si>
    <t xml:space="preserve">MOROCCO</t>
  </si>
  <si>
    <t xml:space="preserve">MAR</t>
  </si>
  <si>
    <t xml:space="preserve">JPSYMOZW Index</t>
  </si>
  <si>
    <t xml:space="preserve">OMAN</t>
  </si>
  <si>
    <t xml:space="preserve">OMN</t>
  </si>
  <si>
    <t xml:space="preserve">JPSYOMZW Index</t>
  </si>
  <si>
    <t xml:space="preserve">QATAR</t>
  </si>
  <si>
    <t xml:space="preserve">QAT</t>
  </si>
  <si>
    <t xml:space="preserve">JPSYQAZW Index</t>
  </si>
  <si>
    <t xml:space="preserve">SAUDI ARABIA</t>
  </si>
  <si>
    <t xml:space="preserve">SAU</t>
  </si>
  <si>
    <t xml:space="preserve">JPSYSAZW Index</t>
  </si>
  <si>
    <t xml:space="preserve">TUNISIA</t>
  </si>
  <si>
    <t xml:space="preserve">TUN</t>
  </si>
  <si>
    <t xml:space="preserve">JPEGTNZW Index</t>
  </si>
  <si>
    <t xml:space="preserve">UNITED ARAB EMIRATES</t>
  </si>
  <si>
    <t xml:space="preserve">ARE</t>
  </si>
  <si>
    <t xml:space="preserve">JPSYAEZW Index</t>
  </si>
  <si>
    <t xml:space="preserve">ANGOLA</t>
  </si>
  <si>
    <t xml:space="preserve">AGO</t>
  </si>
  <si>
    <t xml:space="preserve">JPSYAOZW Index</t>
  </si>
  <si>
    <t xml:space="preserve">CAMEROON</t>
  </si>
  <si>
    <t xml:space="preserve">CMR</t>
  </si>
  <si>
    <t xml:space="preserve">JPEGCMZW Index</t>
  </si>
  <si>
    <t xml:space="preserve">COTE D'IVOIRE</t>
  </si>
  <si>
    <t xml:space="preserve">CIV</t>
  </si>
  <si>
    <t xml:space="preserve">JPSYCDZW Index</t>
  </si>
  <si>
    <t xml:space="preserve">ETHIOPIA</t>
  </si>
  <si>
    <t xml:space="preserve">ETH</t>
  </si>
  <si>
    <t xml:space="preserve">JPEGETZW Index</t>
  </si>
  <si>
    <t xml:space="preserve">GABON</t>
  </si>
  <si>
    <t xml:space="preserve">GAB</t>
  </si>
  <si>
    <t xml:space="preserve">JPSYGAZW Index</t>
  </si>
  <si>
    <t xml:space="preserve">GHANA</t>
  </si>
  <si>
    <t xml:space="preserve">GHA</t>
  </si>
  <si>
    <t xml:space="preserve">JPSYGHZW Index</t>
  </si>
  <si>
    <t xml:space="preserve">KENYA</t>
  </si>
  <si>
    <t xml:space="preserve">KEN</t>
  </si>
  <si>
    <t xml:space="preserve">JPEGKEZW Index</t>
  </si>
  <si>
    <t xml:space="preserve">MOZAMBIQUE</t>
  </si>
  <si>
    <t xml:space="preserve">MOZ</t>
  </si>
  <si>
    <t xml:space="preserve">JPSYMZZW Index</t>
  </si>
  <si>
    <t xml:space="preserve">NAMIBIA</t>
  </si>
  <si>
    <t xml:space="preserve">NAM</t>
  </si>
  <si>
    <t xml:space="preserve">JPSYNBZW Index</t>
  </si>
  <si>
    <t xml:space="preserve">NIGERIA</t>
  </si>
  <si>
    <t xml:space="preserve">NGA</t>
  </si>
  <si>
    <t xml:space="preserve">JPSYNIZW Index</t>
  </si>
  <si>
    <t xml:space="preserve">RWANDA</t>
  </si>
  <si>
    <t xml:space="preserve">RWA</t>
  </si>
  <si>
    <t xml:space="preserve">JPSYRWZW Index</t>
  </si>
  <si>
    <t xml:space="preserve">SENEGAL</t>
  </si>
  <si>
    <t xml:space="preserve">SEN</t>
  </si>
  <si>
    <t xml:space="preserve">JPSYSNZW Index</t>
  </si>
  <si>
    <t xml:space="preserve">SOUTH AFRICA</t>
  </si>
  <si>
    <t xml:space="preserve">ZAF</t>
  </si>
  <si>
    <t xml:space="preserve">ZAMBIA</t>
  </si>
  <si>
    <t xml:space="preserve">ZMB</t>
  </si>
  <si>
    <t xml:space="preserve">JPSYZMZW Index</t>
  </si>
  <si>
    <t xml:space="preserve">CHINA</t>
  </si>
  <si>
    <t xml:space="preserve">CHN</t>
  </si>
  <si>
    <t xml:space="preserve">JPSYCNZW Index</t>
  </si>
  <si>
    <t xml:space="preserve">INDONESIA</t>
  </si>
  <si>
    <t xml:space="preserve">IDN</t>
  </si>
  <si>
    <t xml:space="preserve">JPSYIDZW Index</t>
  </si>
  <si>
    <t xml:space="preserve">KOREA</t>
  </si>
  <si>
    <t xml:space="preserve">KOR</t>
  </si>
  <si>
    <t xml:space="preserve">JPSYKOZW Index</t>
  </si>
  <si>
    <t xml:space="preserve">MONGOLIA</t>
  </si>
  <si>
    <t xml:space="preserve">MNG</t>
  </si>
  <si>
    <t xml:space="preserve">JPSYMNZW Index</t>
  </si>
  <si>
    <t xml:space="preserve">PAKISTAN</t>
  </si>
  <si>
    <t xml:space="preserve">PAK</t>
  </si>
  <si>
    <t xml:space="preserve">JPSYPKZW Index</t>
  </si>
  <si>
    <t xml:space="preserve">PHILIPPINES</t>
  </si>
  <si>
    <t xml:space="preserve">PHL</t>
  </si>
  <si>
    <t xml:space="preserve">JPSYPHZW Index</t>
  </si>
  <si>
    <t xml:space="preserve">SRI LANKA</t>
  </si>
  <si>
    <t xml:space="preserve">LKA</t>
  </si>
  <si>
    <t xml:space="preserve">JPSYLKZW Index</t>
  </si>
  <si>
    <t xml:space="preserve">VIETNAM</t>
  </si>
  <si>
    <t xml:space="preserve">VNM</t>
  </si>
  <si>
    <t xml:space="preserve">JPSYVNZW Index</t>
  </si>
  <si>
    <t xml:space="preserve">Methodology</t>
  </si>
  <si>
    <t xml:space="preserve">The idea in one paragraph</t>
  </si>
  <si>
    <t xml:space="preserve">Every sovereign gets a Fundamental Score F built from six macro variables: rating, government debt, current account, FX reserves, GDP growth, and inflation. F is cross-sectionally z-scored — so it measures each country's macro risk relative to the rest of the EMBI universe. We then regress log(EMBI Z-spread) on F across all countries to get a fair-value spread curve. The residual is the cheap/rich signal.</t>
  </si>
  <si>
    <t xml:space="preserve">Why static macro?</t>
  </si>
  <si>
    <t xml:space="preserve">Macro fundamentals barely move from week to week. Pulling them live from Bloomberg tickers (some of which Bloomberg cannot resolve for frontier names) was the main source of friction in the old file. We freeze the macro panel and only refresh it once a year. The signal still moves daily because the LIVE input — the Z-spread — is what drives the regression residual.</t>
  </si>
  <si>
    <t xml:space="preserve">The math</t>
  </si>
  <si>
    <t xml:space="preserve">1. Inputs (static)</t>
  </si>
  <si>
    <t xml:space="preserve">For each country, hardcoded values for rating (numeric 1–22 composite of S&amp;P / Moody's / Fitch), GDP growth %, CPI %, debt %GDP, current account %GDP, FX reserves %GDP.</t>
  </si>
  <si>
    <t xml:space="preserve">2. Cross-section z-scores</t>
  </si>
  <si>
    <t xml:space="preserve">For each macro variable v across all N countries:  z(vᵢ) = (vᵢ − mean) / stdev. We invert the sign so 'higher z = riskier' for all six variables.</t>
  </si>
  <si>
    <t xml:space="preserve">3. Composite Fundamental Score</t>
  </si>
  <si>
    <t xml:space="preserve">Fᵢ = Σ w_k · z_k(i).  Weights are editable on the Model tab (default: rating 0.35, debt 0.20, CA 0.15, reserves 0.10, growth 0.12, inflation 0.08).  These sum to 1.0.</t>
  </si>
  <si>
    <t xml:space="preserve">4. LIVE cross-sectional regression</t>
  </si>
  <si>
    <t xml:space="preserve">log(Sᵢ) = α + β · Fᵢ  estimated via Excel INTERCEPT / SLOPE every Bloomberg refresh.  β should be positive — riskier macro → wider spread.</t>
  </si>
  <si>
    <t xml:space="preserve">5. Residual</t>
  </si>
  <si>
    <t xml:space="preserve">rᵢ = log(Sᵢ) − (α + β · Fᵢ).  Z-score the residuals across the universe: Zᵢ = (rᵢ − mean) / stdev.  Positive Z = trading wider than fair = CHEAP.</t>
  </si>
  <si>
    <t xml:space="preserve">6. Signal buckets</t>
  </si>
  <si>
    <t xml:space="preserve">Z ≥ +1.5  →  CHEAP    |    +0.5 ≤ Z &lt; +1.5  →  slightly cheap    |    −0.5 &lt; Z &lt; +0.5  →  fair    |    −1.5 &lt; Z ≤ −0.5  →  slightly rich    |    Z ≤ −1.5  →  RICH.  Cut-offs are editable on Model tab (cells R7, R8).</t>
  </si>
  <si>
    <t xml:space="preserve">Coverage tiers</t>
  </si>
  <si>
    <t xml:space="preserve">HIGH (5–6 vars)</t>
  </si>
  <si>
    <t xml:space="preserve">All six macro inputs populated.  Treat as full-confidence signal.</t>
  </si>
  <si>
    <t xml:space="preserve">MED  (3–4 vars)</t>
  </si>
  <si>
    <t xml:space="preserve">Some inputs missing.  Use signal as supporting evidence only.</t>
  </si>
  <si>
    <t xml:space="preserve">LOW  (0–2 vars)</t>
  </si>
  <si>
    <t xml:space="preserve">Excluded from regression — F score not reliable.</t>
  </si>
  <si>
    <t xml:space="preserve">Daily workflow (with Bloomberg)</t>
  </si>
  <si>
    <t xml:space="preserve">1.</t>
  </si>
  <si>
    <t xml:space="preserve">Open EM_Sovereign_Credit_v2.xlsx in Excel with the Bloomberg add-in loaded.</t>
  </si>
  <si>
    <t xml:space="preserve">2.</t>
  </si>
  <si>
    <t xml:space="preserve">Replace the Z bps column (Model!E15:E84) with =BDP(D15,"PX_LAST") down the column. The build comment on each cell shows the exact formula.</t>
  </si>
  <si>
    <t xml:space="preserve">3.</t>
  </si>
  <si>
    <t xml:space="preserve">Press Ctrl+Alt+F9 to refresh.  α, β, R², residuals, signals all update.</t>
  </si>
  <si>
    <t xml:space="preserve">4.</t>
  </si>
  <si>
    <t xml:space="preserve">The Monitor tab is your read.  Top of the list = cheapest.  Bottom = richest.</t>
  </si>
  <si>
    <t xml:space="preserve">Yearly refresh (with Claude)</t>
  </si>
  <si>
    <t xml:space="preserve">Once a year (or after a rating action) the macro panel needs updating.  Send Luis's Claude session: 'refresh the EM Sovereign Credit macro inputs to latest IMF WEO + current ratings.'  Claude updates the blue cells in Model!F15:K84 and the As-of column.  No code or Bloomberg work required.</t>
  </si>
  <si>
    <t xml:space="preserve">Caveats</t>
  </si>
  <si>
    <t xml:space="preserve">•</t>
  </si>
  <si>
    <t xml:space="preserve">Cross-section z-scores are sensitive to the universe.  Distressed names (Ukraine, Lebanon, defaulted issuers) can drag the mean — consider excluding them from regression by lowering their Coverage to &lt;4.</t>
  </si>
  <si>
    <t xml:space="preserve">Single-equation regression on one composite is intentionally simple.  A multi-factor regression has slightly better fit but worse interpretability and more overfit.</t>
  </si>
  <si>
    <t xml:space="preserve">log(spread) breaks down for very tight (&lt;1bp) names.  None of the universe should be near zero, but watch out for stale Bloomberg ticks.</t>
  </si>
  <si>
    <t xml:space="preserve">Composite numerical ratings are MANUAL.  Update them on the Model tab after rating actions — they don't pull live.</t>
  </si>
  <si>
    <t xml:space="preserve">Literature anchors</t>
  </si>
  <si>
    <t xml:space="preserve">Cantor &amp; Packer (1996)</t>
  </si>
  <si>
    <t xml:space="preserve">FRBNY Economic Policy Review.  'Determinants and Impact of Sovereign Credit Ratings.'</t>
  </si>
  <si>
    <t xml:space="preserve">Eichengreen &amp; Mody (1998)</t>
  </si>
  <si>
    <t xml:space="preserve">NBER WP 6408.  'What Explains Changing Spreads on Emerging Market Debt: Fundamentals or Market Sentiment?'</t>
  </si>
  <si>
    <t xml:space="preserve">Hilscher &amp; Nosbusch (2010)</t>
  </si>
  <si>
    <t xml:space="preserve">Review of Finance 14(2).  'Determinants and Implications of Sovereign Default Risk in the Cross-Section.'</t>
  </si>
  <si>
    <t xml:space="preserve">Csonto &amp; Ivaschenko (2013)</t>
  </si>
  <si>
    <t xml:space="preserve">IMF WP 13/164.  'Determinants of Sovereign Bond Spreads in Emerging Markets.'</t>
  </si>
  <si>
    <t xml:space="preserve">Comelli (2012)</t>
  </si>
  <si>
    <t xml:space="preserve">IMF WP 12/212.  'Emerging Market Sovereign Bond Spreads: Estimation and Back-testing.'</t>
  </si>
  <si>
    <t xml:space="preserve">Rating → numeric scale (reference)</t>
  </si>
  <si>
    <t xml:space="preserve">S&amp;P</t>
  </si>
  <si>
    <t xml:space="preserve">score</t>
  </si>
  <si>
    <t xml:space="preserve">Moody's</t>
  </si>
  <si>
    <t xml:space="preserve">Fitch</t>
  </si>
  <si>
    <t xml:space="preserve">AAA</t>
  </si>
  <si>
    <t xml:space="preserve">Aaa</t>
  </si>
  <si>
    <t xml:space="preserve">AA+</t>
  </si>
  <si>
    <t xml:space="preserve">Aa1</t>
  </si>
  <si>
    <t xml:space="preserve">AA</t>
  </si>
  <si>
    <t xml:space="preserve">Aa2</t>
  </si>
  <si>
    <t xml:space="preserve">AA-</t>
  </si>
  <si>
    <t xml:space="preserve">Aa3</t>
  </si>
  <si>
    <t xml:space="preserve">A+</t>
  </si>
  <si>
    <t xml:space="preserve">A1</t>
  </si>
  <si>
    <t xml:space="preserve">A</t>
  </si>
  <si>
    <t xml:space="preserve">A2</t>
  </si>
  <si>
    <t xml:space="preserve">A-</t>
  </si>
  <si>
    <t xml:space="preserve">A3</t>
  </si>
  <si>
    <t xml:space="preserve">BBB+</t>
  </si>
  <si>
    <t xml:space="preserve">Baa1</t>
  </si>
  <si>
    <t xml:space="preserve">BBB</t>
  </si>
  <si>
    <t xml:space="preserve">Baa2</t>
  </si>
  <si>
    <t xml:space="preserve">BBB-</t>
  </si>
  <si>
    <t xml:space="preserve">Baa3</t>
  </si>
  <si>
    <t xml:space="preserve">BB+</t>
  </si>
  <si>
    <t xml:space="preserve">Ba1</t>
  </si>
  <si>
    <t xml:space="preserve">BB</t>
  </si>
  <si>
    <t xml:space="preserve">Ba2</t>
  </si>
  <si>
    <t xml:space="preserve">BB-</t>
  </si>
  <si>
    <t xml:space="preserve">Ba3</t>
  </si>
  <si>
    <t xml:space="preserve">B+</t>
  </si>
  <si>
    <t xml:space="preserve">B1</t>
  </si>
  <si>
    <t xml:space="preserve">B</t>
  </si>
  <si>
    <t xml:space="preserve">B2</t>
  </si>
  <si>
    <t xml:space="preserve">B-</t>
  </si>
  <si>
    <t xml:space="preserve">B3</t>
  </si>
  <si>
    <t xml:space="preserve">CCC+</t>
  </si>
  <si>
    <t xml:space="preserve">Caa1</t>
  </si>
  <si>
    <t xml:space="preserve">CCC</t>
  </si>
  <si>
    <t xml:space="preserve">Caa2</t>
  </si>
  <si>
    <t xml:space="preserve">CCC-</t>
  </si>
  <si>
    <t xml:space="preserve">Caa3</t>
  </si>
  <si>
    <t xml:space="preserve">CC</t>
  </si>
  <si>
    <t xml:space="preserve">Ca</t>
  </si>
  <si>
    <t xml:space="preserve">C</t>
  </si>
  <si>
    <t xml:space="preserve">D</t>
  </si>
  <si>
    <t xml:space="preserve">-</t>
  </si>
  <si>
    <t xml:space="preserve">D/RD</t>
  </si>
  <si>
    <t xml:space="preserve">Investment grade = score ≤ 10.  Speculative = 11+.  Distressed/Default = 17+.</t>
  </si>
</sst>
</file>

<file path=xl/styles.xml><?xml version="1.0" encoding="utf-8"?>
<styleSheet xmlns="http://schemas.openxmlformats.org/spreadsheetml/2006/main">
  <numFmts count="10">
    <numFmt numFmtId="164" formatCode="General"/>
    <numFmt numFmtId="165" formatCode="#,##0"/>
    <numFmt numFmtId="166" formatCode="0.00"/>
    <numFmt numFmtId="167" formatCode="\+0.00;\-0.00;\-"/>
    <numFmt numFmtId="168" formatCode="#,##0;\(#,##0\);\-"/>
    <numFmt numFmtId="169" formatCode="0.00;\(0.00\);\-"/>
    <numFmt numFmtId="170" formatCode="0.0"/>
    <numFmt numFmtId="171" formatCode="0"/>
    <numFmt numFmtId="172" formatCode="yyyy\-mm\-dd"/>
    <numFmt numFmtId="173" formatCode="\+0.0;\-0.0;\-"/>
  </numFmts>
  <fonts count="25">
    <font>
      <sz val="11"/>
      <color theme="1"/>
      <name val="Calibri"/>
      <family val="2"/>
      <charset val="1"/>
    </font>
    <font>
      <sz val="10"/>
      <name val="Arial"/>
      <family val="0"/>
    </font>
    <font>
      <sz val="10"/>
      <name val="Arial"/>
      <family val="0"/>
    </font>
    <font>
      <sz val="10"/>
      <name val="Arial"/>
      <family val="0"/>
    </font>
    <font>
      <b val="true"/>
      <sz val="18"/>
      <color rgb="FFFFFFFF"/>
      <name val="Calibri"/>
      <family val="0"/>
      <charset val="1"/>
    </font>
    <font>
      <i val="true"/>
      <sz val="9"/>
      <color rgb="FF595959"/>
      <name val="Calibri"/>
      <family val="0"/>
      <charset val="1"/>
    </font>
    <font>
      <b val="true"/>
      <sz val="9"/>
      <color rgb="FFFFFFFF"/>
      <name val="Calibri"/>
      <family val="0"/>
      <charset val="1"/>
    </font>
    <font>
      <b val="true"/>
      <sz val="10"/>
      <color rgb="FFFFFFFF"/>
      <name val="Calibri"/>
      <family val="0"/>
      <charset val="1"/>
    </font>
    <font>
      <b val="true"/>
      <sz val="10"/>
      <name val="Calibri"/>
      <family val="0"/>
      <charset val="1"/>
    </font>
    <font>
      <sz val="10"/>
      <name val="Calibri"/>
      <family val="0"/>
      <charset val="1"/>
    </font>
    <font>
      <b val="true"/>
      <sz val="11"/>
      <color rgb="FF1F3864"/>
      <name val="Calibri"/>
      <family val="0"/>
      <charset val="1"/>
    </font>
    <font>
      <b val="true"/>
      <sz val="9"/>
      <name val="Calibri"/>
      <family val="0"/>
      <charset val="1"/>
    </font>
    <font>
      <b val="true"/>
      <sz val="14"/>
      <name val="Calibri"/>
      <family val="0"/>
      <charset val="1"/>
    </font>
    <font>
      <sz val="10"/>
      <color theme="1"/>
      <name val="Calibri"/>
      <family val="0"/>
      <charset val="1"/>
    </font>
    <font>
      <sz val="10"/>
      <color rgb="FF595959"/>
      <name val="Calibri"/>
      <family val="0"/>
      <charset val="1"/>
    </font>
    <font>
      <b val="true"/>
      <sz val="16"/>
      <color rgb="FFFFFFFF"/>
      <name val="Calibri"/>
      <family val="0"/>
      <charset val="1"/>
    </font>
    <font>
      <b val="true"/>
      <sz val="10"/>
      <color rgb="FF1F3864"/>
      <name val="Calibri"/>
      <family val="0"/>
      <charset val="1"/>
    </font>
    <font>
      <b val="true"/>
      <sz val="10"/>
      <color rgb="FF0000FF"/>
      <name val="Calibri"/>
      <family val="0"/>
      <charset val="1"/>
    </font>
    <font>
      <sz val="9"/>
      <name val="Calibri"/>
      <family val="0"/>
      <charset val="1"/>
    </font>
    <font>
      <sz val="9"/>
      <color rgb="FF595959"/>
      <name val="Calibri"/>
      <family val="0"/>
      <charset val="1"/>
    </font>
    <font>
      <sz val="10"/>
      <color rgb="FF0000FF"/>
      <name val="Calibri"/>
      <family val="0"/>
      <charset val="1"/>
    </font>
    <font>
      <i val="true"/>
      <sz val="8"/>
      <color rgb="FFA6A6A6"/>
      <name val="Calibri"/>
      <family val="0"/>
      <charset val="1"/>
    </font>
    <font>
      <sz val="9"/>
      <color rgb="FFA6A6A6"/>
      <name val="Calibri"/>
      <family val="0"/>
      <charset val="1"/>
    </font>
    <font>
      <sz val="10"/>
      <name val="Arial"/>
      <family val="2"/>
    </font>
    <font>
      <b val="true"/>
      <sz val="14"/>
      <color rgb="FFFFFFFF"/>
      <name val="Calibri"/>
      <family val="0"/>
      <charset val="1"/>
    </font>
  </fonts>
  <fills count="14">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375623"/>
        <bgColor rgb="FF595959"/>
      </patternFill>
    </fill>
    <fill>
      <patternFill patternType="solid">
        <fgColor rgb="FF843C0C"/>
        <bgColor rgb="FF993366"/>
      </patternFill>
    </fill>
    <fill>
      <patternFill patternType="solid">
        <fgColor rgb="FFF2F2F2"/>
        <bgColor rgb="FFEDEDED"/>
      </patternFill>
    </fill>
    <fill>
      <patternFill patternType="solid">
        <fgColor rgb="FFC6EFCE"/>
        <bgColor rgb="FFE2EFDA"/>
      </patternFill>
    </fill>
    <fill>
      <patternFill patternType="solid">
        <fgColor rgb="FFE2EFDA"/>
        <bgColor rgb="FFEDEDED"/>
      </patternFill>
    </fill>
    <fill>
      <patternFill patternType="solid">
        <fgColor rgb="FFEDEDED"/>
        <bgColor rgb="FFF2F2F2"/>
      </patternFill>
    </fill>
    <fill>
      <patternFill patternType="solid">
        <fgColor rgb="FFFCE4D6"/>
        <bgColor rgb="FFFFF2CC"/>
      </patternFill>
    </fill>
    <fill>
      <patternFill patternType="solid">
        <fgColor rgb="FFF8CBAD"/>
        <bgColor rgb="FFFCE4D6"/>
      </patternFill>
    </fill>
    <fill>
      <patternFill patternType="solid">
        <fgColor rgb="FFFFF2CC"/>
        <bgColor rgb="FFFCE4D6"/>
      </patternFill>
    </fill>
    <fill>
      <patternFill patternType="solid">
        <fgColor rgb="FFFAFAFA"/>
        <bgColor rgb="FFFFFFFF"/>
      </patternFill>
    </fill>
  </fills>
  <borders count="2">
    <border diagonalUp="false" diagonalDown="false">
      <left/>
      <right/>
      <top/>
      <bottom/>
      <diagonal/>
    </border>
    <border diagonalUp="false" diagonalDown="false">
      <left/>
      <right/>
      <top/>
      <bottom style="thin">
        <color rgb="FFFFFF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true" indent="1" shrinkToFit="false"/>
      <protection locked="true" hidden="false"/>
    </xf>
    <xf numFmtId="164" fontId="6" fillId="3" borderId="0"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7" fillId="4" borderId="0" xfId="0" applyFont="true" applyBorder="false" applyAlignment="true" applyProtection="false">
      <alignment horizontal="center"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true" applyProtection="false">
      <alignment horizontal="center"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1" shrinkToFit="false"/>
      <protection locked="true" hidden="false"/>
    </xf>
    <xf numFmtId="167" fontId="9" fillId="0" borderId="0" xfId="0" applyFont="true" applyBorder="false" applyAlignment="true" applyProtection="false">
      <alignment horizontal="center" vertical="bottom" textRotation="0" wrapText="false" indent="0" shrinkToFit="false"/>
      <protection locked="true" hidden="false"/>
    </xf>
    <xf numFmtId="164" fontId="9" fillId="6" borderId="0" xfId="0" applyFont="true" applyBorder="false" applyAlignment="true" applyProtection="false">
      <alignment horizontal="left" vertical="bottom" textRotation="0" wrapText="false" indent="1" shrinkToFit="false"/>
      <protection locked="true" hidden="false"/>
    </xf>
    <xf numFmtId="167" fontId="9" fillId="6"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7" borderId="0" xfId="0" applyFont="true" applyBorder="false" applyAlignment="true" applyProtection="false">
      <alignment horizontal="center" vertical="bottom" textRotation="0" wrapText="false" indent="0" shrinkToFit="false"/>
      <protection locked="true" hidden="false"/>
    </xf>
    <xf numFmtId="164" fontId="11" fillId="8" borderId="0" xfId="0" applyFont="true" applyBorder="false" applyAlignment="true" applyProtection="false">
      <alignment horizontal="center" vertical="bottom" textRotation="0" wrapText="false" indent="0" shrinkToFit="false"/>
      <protection locked="true" hidden="false"/>
    </xf>
    <xf numFmtId="164" fontId="11" fillId="9" borderId="0" xfId="0" applyFont="true" applyBorder="false" applyAlignment="true" applyProtection="false">
      <alignment horizontal="center" vertical="bottom" textRotation="0" wrapText="false" indent="0" shrinkToFit="false"/>
      <protection locked="true" hidden="false"/>
    </xf>
    <xf numFmtId="164" fontId="11" fillId="10" borderId="0" xfId="0" applyFont="true" applyBorder="false" applyAlignment="true" applyProtection="false">
      <alignment horizontal="center" vertical="bottom" textRotation="0" wrapText="false" indent="0" shrinkToFit="false"/>
      <protection locked="true" hidden="false"/>
    </xf>
    <xf numFmtId="164" fontId="11" fillId="11"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1"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4" fontId="13" fillId="6" borderId="0" xfId="0" applyFont="true" applyBorder="false" applyAlignment="true" applyProtection="false">
      <alignment horizontal="center" vertical="bottom" textRotation="0" wrapText="false" indent="0" shrinkToFit="false"/>
      <protection locked="true" hidden="false"/>
    </xf>
    <xf numFmtId="164" fontId="13" fillId="6" borderId="0" xfId="0" applyFont="true" applyBorder="false" applyAlignment="true" applyProtection="false">
      <alignment horizontal="left" vertical="bottom" textRotation="0" wrapText="false" indent="1" shrinkToFit="false"/>
      <protection locked="true" hidden="false"/>
    </xf>
    <xf numFmtId="168" fontId="13" fillId="6" borderId="0" xfId="0" applyFont="true" applyBorder="false" applyAlignment="false" applyProtection="false">
      <alignment horizontal="general" vertical="bottom" textRotation="0" wrapText="false" indent="0" shrinkToFit="false"/>
      <protection locked="true" hidden="false"/>
    </xf>
    <xf numFmtId="169" fontId="13" fillId="6" borderId="0" xfId="0" applyFont="true" applyBorder="false" applyAlignment="true" applyProtection="false">
      <alignment horizontal="center" vertical="bottom" textRotation="0" wrapText="false" indent="0" shrinkToFit="false"/>
      <protection locked="true" hidden="false"/>
    </xf>
    <xf numFmtId="164" fontId="8" fillId="6" borderId="0" xfId="0" applyFont="true" applyBorder="false" applyAlignment="true" applyProtection="false">
      <alignment horizontal="center" vertical="bottom" textRotation="0" wrapText="false" indent="0" shrinkToFit="false"/>
      <protection locked="true" hidden="false"/>
    </xf>
    <xf numFmtId="164" fontId="14" fillId="6" borderId="0" xfId="0" applyFont="true" applyBorder="false" applyAlignment="true" applyProtection="false">
      <alignment horizontal="center" vertical="bottom" textRotation="0" wrapText="false" indent="0" shrinkToFit="false"/>
      <protection locked="true" hidden="false"/>
    </xf>
    <xf numFmtId="164" fontId="15"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17" fillId="12"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17" fillId="12"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70" fontId="17" fillId="12" borderId="0" xfId="0" applyFont="true" applyBorder="false" applyAlignment="true" applyProtection="false">
      <alignment horizontal="center" vertical="bottom" textRotation="0" wrapText="false" indent="0" shrinkToFit="false"/>
      <protection locked="true" hidden="false"/>
    </xf>
    <xf numFmtId="171" fontId="8" fillId="0" borderId="0" xfId="0" applyFont="true" applyBorder="false" applyAlignment="true" applyProtection="false">
      <alignment horizontal="center" vertical="bottom" textRotation="0" wrapText="false" indent="0" shrinkToFit="false"/>
      <protection locked="true" hidden="false"/>
    </xf>
    <xf numFmtId="172"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left" vertical="bottom" textRotation="0" wrapText="false" indent="1" shrinkToFit="false"/>
      <protection locked="true" hidden="false"/>
    </xf>
    <xf numFmtId="168" fontId="17" fillId="12" borderId="0" xfId="0" applyFont="true" applyBorder="false" applyAlignment="true" applyProtection="false">
      <alignment horizontal="center" vertical="bottom" textRotation="0" wrapText="false" indent="0" shrinkToFit="false"/>
      <protection locked="true" hidden="false"/>
    </xf>
    <xf numFmtId="171" fontId="20" fillId="0" borderId="0" xfId="0" applyFont="true" applyBorder="false" applyAlignment="true" applyProtection="false">
      <alignment horizontal="center" vertical="bottom" textRotation="0" wrapText="false" indent="0" shrinkToFit="false"/>
      <protection locked="true" hidden="false"/>
    </xf>
    <xf numFmtId="170" fontId="20" fillId="0" borderId="0" xfId="0" applyFont="true" applyBorder="false" applyAlignment="true" applyProtection="false">
      <alignment horizontal="center" vertical="bottom" textRotation="0" wrapText="false" indent="0" shrinkToFit="false"/>
      <protection locked="true" hidden="false"/>
    </xf>
    <xf numFmtId="173" fontId="20" fillId="0"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1" fillId="0" borderId="0" xfId="0" applyFont="true" applyBorder="false" applyAlignment="true" applyProtection="false">
      <alignment horizontal="center" vertical="bottom" textRotation="0" wrapText="false" indent="0" shrinkToFit="false"/>
      <protection locked="true" hidden="false"/>
    </xf>
    <xf numFmtId="166" fontId="22" fillId="0" borderId="0" xfId="0" applyFont="true" applyBorder="false" applyAlignment="false" applyProtection="false">
      <alignment horizontal="general" vertical="bottom" textRotation="0" wrapText="false" indent="0" shrinkToFit="false"/>
      <protection locked="true" hidden="false"/>
    </xf>
    <xf numFmtId="167" fontId="22" fillId="0" borderId="0" xfId="0" applyFont="true" applyBorder="false" applyAlignment="false" applyProtection="false">
      <alignment horizontal="general" vertical="bottom" textRotation="0" wrapText="false" indent="0" shrinkToFit="false"/>
      <protection locked="true" hidden="false"/>
    </xf>
    <xf numFmtId="164" fontId="9" fillId="13" borderId="0" xfId="0" applyFont="true" applyBorder="false" applyAlignment="true" applyProtection="false">
      <alignment horizontal="left" vertical="bottom" textRotation="0" wrapText="false" indent="1" shrinkToFit="false"/>
      <protection locked="true" hidden="false"/>
    </xf>
    <xf numFmtId="164" fontId="14" fillId="13" borderId="0" xfId="0" applyFont="true" applyBorder="false" applyAlignment="true" applyProtection="false">
      <alignment horizontal="center" vertical="bottom" textRotation="0" wrapText="false" indent="0" shrinkToFit="false"/>
      <protection locked="true" hidden="false"/>
    </xf>
    <xf numFmtId="164" fontId="19" fillId="13" borderId="0" xfId="0" applyFont="true" applyBorder="false" applyAlignment="true" applyProtection="false">
      <alignment horizontal="left" vertical="bottom" textRotation="0" wrapText="false" indent="1" shrinkToFit="false"/>
      <protection locked="true" hidden="false"/>
    </xf>
    <xf numFmtId="171" fontId="20" fillId="13" borderId="0" xfId="0" applyFont="true" applyBorder="false" applyAlignment="true" applyProtection="false">
      <alignment horizontal="center" vertical="bottom" textRotation="0" wrapText="false" indent="0" shrinkToFit="false"/>
      <protection locked="true" hidden="false"/>
    </xf>
    <xf numFmtId="170" fontId="20" fillId="13" borderId="0" xfId="0" applyFont="true" applyBorder="false" applyAlignment="true" applyProtection="false">
      <alignment horizontal="center" vertical="bottom" textRotation="0" wrapText="false" indent="0" shrinkToFit="false"/>
      <protection locked="true" hidden="false"/>
    </xf>
    <xf numFmtId="173" fontId="20" fillId="13" borderId="0" xfId="0" applyFont="true" applyBorder="false" applyAlignment="true" applyProtection="false">
      <alignment horizontal="center" vertical="bottom" textRotation="0" wrapText="false" indent="0" shrinkToFit="false"/>
      <protection locked="true" hidden="false"/>
    </xf>
    <xf numFmtId="166" fontId="0" fillId="13" borderId="0" xfId="0" applyFont="false" applyBorder="false" applyAlignment="false" applyProtection="false">
      <alignment horizontal="general" vertical="bottom" textRotation="0" wrapText="false" indent="0" shrinkToFit="false"/>
      <protection locked="true" hidden="false"/>
    </xf>
    <xf numFmtId="167" fontId="0" fillId="13" borderId="0" xfId="0" applyFont="false" applyBorder="false" applyAlignment="false" applyProtection="false">
      <alignment horizontal="general" vertical="bottom" textRotation="0" wrapText="false" indent="0" shrinkToFit="false"/>
      <protection locked="true" hidden="false"/>
    </xf>
    <xf numFmtId="164" fontId="8" fillId="13" borderId="0" xfId="0" applyFont="true" applyBorder="false" applyAlignment="true" applyProtection="false">
      <alignment horizontal="center" vertical="bottom" textRotation="0" wrapText="false" indent="0" shrinkToFit="false"/>
      <protection locked="true" hidden="false"/>
    </xf>
    <xf numFmtId="164" fontId="0" fillId="13" borderId="0" xfId="0" applyFont="false" applyBorder="false" applyAlignment="true" applyProtection="false">
      <alignment horizontal="center" vertical="bottom" textRotation="0" wrapText="false" indent="0" shrinkToFit="false"/>
      <protection locked="true" hidden="false"/>
    </xf>
    <xf numFmtId="164" fontId="19" fillId="13"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24" fillId="2" borderId="0" xfId="0" applyFont="true" applyBorder="true" applyAlignment="true" applyProtection="false">
      <alignment horizontal="left" vertical="bottom" textRotation="0" wrapText="false" indent="1" shrinkToFit="false"/>
      <protection locked="true" hidden="false"/>
    </xf>
    <xf numFmtId="164" fontId="7" fillId="3" borderId="0" xfId="0" applyFont="true" applyBorder="false" applyAlignment="true" applyProtection="false">
      <alignment horizontal="center" vertical="bottom" textRotation="0" wrapText="false" indent="0" shrinkToFit="false"/>
      <protection locked="true" hidden="false"/>
    </xf>
    <xf numFmtId="164" fontId="9" fillId="8"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4" fontId="9" fillId="1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ont>
        <b val="1"/>
        <color rgb="FF375623"/>
      </font>
      <fill>
        <patternFill>
          <bgColor rgb="FFC6EFCE"/>
        </patternFill>
      </fill>
    </dxf>
    <dxf>
      <font>
        <color rgb="FF375623"/>
      </font>
      <fill>
        <patternFill>
          <bgColor rgb="FFE2EFDA"/>
        </patternFill>
      </fill>
    </dxf>
    <dxf>
      <font>
        <color rgb="FF595959"/>
      </font>
      <fill>
        <patternFill>
          <bgColor rgb="FFEDEDED"/>
        </patternFill>
      </fill>
    </dxf>
    <dxf>
      <font>
        <color rgb="FF843C0C"/>
      </font>
      <fill>
        <patternFill>
          <bgColor rgb="FFFCE4D6"/>
        </patternFill>
      </fill>
    </dxf>
    <dxf>
      <font>
        <b val="1"/>
        <color rgb="FF843C0C"/>
      </font>
      <fill>
        <patternFill>
          <bgColor rgb="FFF8CBAD"/>
        </patternFill>
      </fill>
    </dxf>
    <dxf>
      <fill>
        <patternFill>
          <bgColor rgb="FFE2EFDA"/>
        </patternFill>
      </fill>
    </dxf>
    <dxf>
      <fill>
        <patternFill>
          <bgColor rgb="FFFCE4D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AFAFA"/>
      <rgbColor rgb="FF808080"/>
      <rgbColor rgb="FF9999FF"/>
      <rgbColor rgb="FF993366"/>
      <rgbColor rgb="FFFFF2CC"/>
      <rgbColor rgb="FFE2EFDA"/>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F2F2F2"/>
      <rgbColor rgb="FFC6EFCE"/>
      <rgbColor rgb="FFFCE4D6"/>
      <rgbColor rgb="FF99CCFF"/>
      <rgbColor rgb="FFFF99CC"/>
      <rgbColor rgb="FFCC99FF"/>
      <rgbColor rgb="FFF8CBAD"/>
      <rgbColor rgb="FF2E75B6"/>
      <rgbColor rgb="FF33CCCC"/>
      <rgbColor rgb="FF99CC00"/>
      <rgbColor rgb="FFFFCC00"/>
      <rgbColor rgb="FFFF9900"/>
      <rgbColor rgb="FFFF6600"/>
      <rgbColor rgb="FF595959"/>
      <rgbColor rgb="FFA6A6A6"/>
      <rgbColor rgb="FF1F3864"/>
      <rgbColor rgb="FF339966"/>
      <rgbColor rgb="FF003300"/>
      <rgbColor rgb="FF333300"/>
      <rgbColor rgb="FF843C0C"/>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O9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25"/>
    <col collapsed="false" customWidth="true" hidden="false" outlineLevel="0" max="4" min="4" style="0" width="5"/>
    <col collapsed="false" customWidth="true" hidden="false" outlineLevel="0" max="5" min="5" style="0" width="11"/>
    <col collapsed="false" customWidth="true" hidden="false" outlineLevel="0" max="6" min="6" style="0" width="13"/>
    <col collapsed="false" customWidth="true" hidden="false" outlineLevel="0" max="7" min="7" style="0" width="11"/>
    <col collapsed="false" customWidth="true" hidden="false" outlineLevel="0" max="8" min="8" style="0" width="10"/>
    <col collapsed="false" customWidth="true" hidden="false" outlineLevel="0" max="9" min="9" style="0" width="14"/>
    <col collapsed="false" customWidth="true" hidden="false" outlineLevel="0" max="10" min="10" style="0" width="7"/>
    <col collapsed="false" customWidth="true" hidden="false" outlineLevel="0" max="11" min="11" style="0" width="2"/>
    <col collapsed="false" customWidth="true" hidden="false" outlineLevel="0" max="12" min="12" style="0" width="13"/>
    <col collapsed="false" customWidth="true" hidden="false" outlineLevel="0" max="13" min="13" style="0" width="9"/>
    <col collapsed="false" customWidth="true" hidden="false" outlineLevel="0" max="14" min="14" style="0" width="13"/>
    <col collapsed="false" customWidth="true" hidden="false" outlineLevel="0" max="15" min="15" style="0" width="9"/>
  </cols>
  <sheetData>
    <row r="2" customFormat="false" ht="30" hidden="false" customHeight="true" outlineLevel="0" collapsed="false">
      <c r="B2" s="1" t="s">
        <v>0</v>
      </c>
      <c r="C2" s="1"/>
      <c r="D2" s="1"/>
      <c r="E2" s="1"/>
      <c r="F2" s="1"/>
      <c r="G2" s="1"/>
      <c r="H2" s="1"/>
      <c r="I2" s="1"/>
      <c r="J2" s="1"/>
      <c r="K2" s="1"/>
      <c r="L2" s="1"/>
      <c r="M2" s="1"/>
      <c r="N2" s="1"/>
      <c r="O2" s="1"/>
    </row>
    <row r="3" customFormat="false" ht="27.75" hidden="false" customHeight="true" outlineLevel="0" collapsed="false">
      <c r="B3" s="2" t="s">
        <v>1</v>
      </c>
      <c r="C3" s="2"/>
      <c r="D3" s="2"/>
      <c r="E3" s="2"/>
      <c r="F3" s="2"/>
      <c r="G3" s="2"/>
      <c r="H3" s="2"/>
      <c r="I3" s="2"/>
      <c r="J3" s="2"/>
      <c r="K3" s="2"/>
      <c r="L3" s="2"/>
      <c r="M3" s="2"/>
      <c r="N3" s="2"/>
      <c r="O3" s="2"/>
    </row>
    <row r="5" customFormat="false" ht="15" hidden="false" customHeight="false" outlineLevel="0" collapsed="false">
      <c r="B5" s="3" t="s">
        <v>2</v>
      </c>
      <c r="C5" s="3"/>
      <c r="D5" s="4" t="s">
        <v>3</v>
      </c>
      <c r="E5" s="4" t="s">
        <v>4</v>
      </c>
      <c r="F5" s="4" t="s">
        <v>5</v>
      </c>
      <c r="G5" s="4" t="s">
        <v>6</v>
      </c>
      <c r="H5" s="4" t="s">
        <v>7</v>
      </c>
      <c r="L5" s="5" t="s">
        <v>8</v>
      </c>
      <c r="M5" s="6"/>
      <c r="N5" s="7" t="s">
        <v>9</v>
      </c>
      <c r="O5" s="8"/>
    </row>
    <row r="6" customFormat="false" ht="15" hidden="false" customHeight="false" outlineLevel="0" collapsed="false">
      <c r="B6" s="9" t="str">
        <f aca="true">TEXT(TODAY(),"yyyy-mm-dd")</f>
        <v>2026-05-11</v>
      </c>
      <c r="C6" s="9"/>
      <c r="D6" s="10" t="n">
        <f aca="false">COUNT(Model!E15:E120)</f>
        <v>68</v>
      </c>
      <c r="E6" s="11" t="n">
        <f aca="false">IFERROR(ROUND(MEDIAN(Model!E15:E120),0),NA())</f>
        <v>290</v>
      </c>
      <c r="F6" s="12" t="n">
        <f aca="false">IFERROR(RSQ(Model!AB15:AB120,Model!AC15:AC120),NA())</f>
        <v>0.751648379211999</v>
      </c>
      <c r="G6" s="12" t="n">
        <f aca="false">IFERROR(SLOPE(Model!AB15:AB120,Model!AC15:AC120),NA())</f>
        <v>1.11444747518735</v>
      </c>
      <c r="H6" s="12" t="n">
        <f aca="false">IFERROR(INTERCEPT(Model!AB15:AB120,Model!AC15:AC120),NA())</f>
        <v>5.66264470723064</v>
      </c>
      <c r="L6" s="13" t="str">
        <f aca="false">IFERROR(INDEX(Model!$B$15:$B$120,MATCH(LARGE(Model!$V$15:$V$120,1),Model!$V$15:$V$120,0)),"")</f>
        <v>ETHIOPIA</v>
      </c>
      <c r="M6" s="14" t="n">
        <f aca="false">IFERROR(LARGE(Model!$V$15:$V$120,1),"")</f>
        <v>2.04510476338072</v>
      </c>
      <c r="N6" s="13" t="str">
        <f aca="false">IFERROR(INDEX(Model!$B$15:$B$120,MATCH(SMALL(Model!$V$15:$V$120,1),Model!$V$15:$V$120,0)),"")</f>
        <v>KOREA</v>
      </c>
      <c r="O6" s="14" t="n">
        <f aca="false">IFERROR(SMALL(Model!$V$15:$V$120,1),"")</f>
        <v>-2.01532627946959</v>
      </c>
    </row>
    <row r="7" customFormat="false" ht="15" hidden="false" customHeight="false" outlineLevel="0" collapsed="false">
      <c r="L7" s="15" t="str">
        <f aca="false">IFERROR(INDEX(Model!$B$15:$B$120,MATCH(LARGE(Model!$V$15:$V$120,2),Model!$V$15:$V$120,0)),"")</f>
        <v>ECUADOR</v>
      </c>
      <c r="M7" s="16" t="n">
        <f aca="false">IFERROR(LARGE(Model!$V$15:$V$120,2),"")</f>
        <v>2.01858389756008</v>
      </c>
      <c r="N7" s="15" t="str">
        <f aca="false">IFERROR(INDEX(Model!$B$15:$B$120,MATCH(SMALL(Model!$V$15:$V$120,2),Model!$V$15:$V$120,0)),"")</f>
        <v>SLOVENIA</v>
      </c>
      <c r="O7" s="16" t="n">
        <f aca="false">IFERROR(SMALL(Model!$V$15:$V$120,2),"")</f>
        <v>-2.00542885681164</v>
      </c>
    </row>
    <row r="8" customFormat="false" ht="15" hidden="false" customHeight="false" outlineLevel="0" collapsed="false">
      <c r="B8" s="17" t="s">
        <v>10</v>
      </c>
      <c r="C8" s="17"/>
      <c r="D8" s="17"/>
      <c r="E8" s="17"/>
      <c r="F8" s="17"/>
      <c r="G8" s="17"/>
      <c r="H8" s="17"/>
      <c r="I8" s="17"/>
      <c r="J8" s="17"/>
      <c r="L8" s="13" t="str">
        <f aca="false">IFERROR(INDEX(Model!$B$15:$B$120,MATCH(LARGE(Model!$V$15:$V$120,3),Model!$V$15:$V$120,0)),"")</f>
        <v>CAMEROON</v>
      </c>
      <c r="M8" s="14" t="n">
        <f aca="false">IFERROR(LARGE(Model!$V$15:$V$120,3),"")</f>
        <v>1.87036104600295</v>
      </c>
      <c r="N8" s="13" t="str">
        <f aca="false">IFERROR(INDEX(Model!$B$15:$B$120,MATCH(SMALL(Model!$V$15:$V$120,3),Model!$V$15:$V$120,0)),"")</f>
        <v>CHINA</v>
      </c>
      <c r="O8" s="14" t="n">
        <f aca="false">IFERROR(SMALL(Model!$V$15:$V$120,3),"")</f>
        <v>-1.92157985491171</v>
      </c>
    </row>
    <row r="9" customFormat="false" ht="15" hidden="false" customHeight="false" outlineLevel="0" collapsed="false">
      <c r="B9" s="18" t="s">
        <v>11</v>
      </c>
      <c r="D9" s="19" t="s">
        <v>12</v>
      </c>
      <c r="F9" s="20" t="s">
        <v>13</v>
      </c>
      <c r="H9" s="21" t="s">
        <v>14</v>
      </c>
      <c r="J9" s="22" t="s">
        <v>15</v>
      </c>
      <c r="L9" s="15" t="str">
        <f aca="false">IFERROR(INDEX(Model!$B$15:$B$120,MATCH(LARGE(Model!$V$15:$V$120,4),Model!$V$15:$V$120,0)),"")</f>
        <v>BOLIVIA</v>
      </c>
      <c r="M9" s="16" t="n">
        <f aca="false">IFERROR(LARGE(Model!$V$15:$V$120,4),"")</f>
        <v>1.68823879686024</v>
      </c>
      <c r="N9" s="15" t="str">
        <f aca="false">IFERROR(INDEX(Model!$B$15:$B$120,MATCH(SMALL(Model!$V$15:$V$120,4),Model!$V$15:$V$120,0)),"")</f>
        <v>URUGUAY</v>
      </c>
      <c r="O9" s="16" t="n">
        <f aca="false">IFERROR(SMALL(Model!$V$15:$V$120,4),"")</f>
        <v>-1.91725469852461</v>
      </c>
    </row>
    <row r="10" customFormat="false" ht="17.35" hidden="false" customHeight="false" outlineLevel="0" collapsed="false">
      <c r="B10" s="23" t="n">
        <f aca="false">COUNTIF(Model!W15:W120,"CHEAP")</f>
        <v>5</v>
      </c>
      <c r="D10" s="23" t="n">
        <f aca="false">COUNTIF(Model!W15:W120,"slightly cheap")</f>
        <v>16</v>
      </c>
      <c r="F10" s="23" t="n">
        <f aca="false">COUNTIF(Model!W15:W120,"fair")</f>
        <v>24</v>
      </c>
      <c r="H10" s="23" t="n">
        <f aca="false">COUNTIF(Model!W15:W120,"slightly rich")</f>
        <v>18</v>
      </c>
      <c r="J10" s="23" t="n">
        <f aca="false">COUNTIF(Model!W15:W120,"RICH")</f>
        <v>5</v>
      </c>
      <c r="L10" s="13" t="str">
        <f aca="false">IFERROR(INDEX(Model!$B$15:$B$120,MATCH(LARGE(Model!$V$15:$V$120,5),Model!$V$15:$V$120,0)),"")</f>
        <v>COTE D'IVOIRE</v>
      </c>
      <c r="M10" s="14" t="n">
        <f aca="false">IFERROR(LARGE(Model!$V$15:$V$120,5),"")</f>
        <v>1.59971365340093</v>
      </c>
      <c r="N10" s="13" t="str">
        <f aca="false">IFERROR(INDEX(Model!$B$15:$B$120,MATCH(SMALL(Model!$V$15:$V$120,5),Model!$V$15:$V$120,0)),"")</f>
        <v>SLOVAKIA</v>
      </c>
      <c r="O10" s="14" t="n">
        <f aca="false">IFERROR(SMALL(Model!$V$15:$V$120,5),"")</f>
        <v>-1.5357846286459</v>
      </c>
    </row>
    <row r="11" customFormat="false" ht="15" hidden="false" customHeight="false" outlineLevel="0" collapsed="false">
      <c r="B11" s="17" t="s">
        <v>16</v>
      </c>
      <c r="C11" s="17"/>
      <c r="D11" s="17"/>
      <c r="E11" s="17"/>
      <c r="F11" s="17"/>
      <c r="G11" s="17"/>
      <c r="H11" s="17"/>
      <c r="I11" s="17"/>
      <c r="J11" s="17"/>
    </row>
    <row r="12" customFormat="false" ht="21.75" hidden="false" customHeight="true" outlineLevel="0" collapsed="false">
      <c r="B12" s="24" t="s">
        <v>17</v>
      </c>
      <c r="C12" s="24" t="s">
        <v>18</v>
      </c>
      <c r="D12" s="24" t="s">
        <v>19</v>
      </c>
      <c r="E12" s="24" t="s">
        <v>20</v>
      </c>
      <c r="F12" s="24" t="s">
        <v>21</v>
      </c>
      <c r="G12" s="24" t="s">
        <v>22</v>
      </c>
      <c r="H12" s="24" t="s">
        <v>23</v>
      </c>
      <c r="I12" s="24" t="s">
        <v>24</v>
      </c>
      <c r="J12" s="24" t="s">
        <v>25</v>
      </c>
    </row>
    <row r="13" customFormat="false" ht="15.75" hidden="false" customHeight="true" outlineLevel="0" collapsed="false">
      <c r="B13" s="25" t="n">
        <v>1</v>
      </c>
      <c r="C13" s="26" t="str">
        <f aca="false">IFERROR(INDEX(Model!$B$15:$B$120,MATCH(LARGE(Model!$V$15:$V$120,1),Model!$V$15:$V$120,0)),"")</f>
        <v>ETHIOPIA</v>
      </c>
      <c r="D13" s="25" t="str">
        <f aca="false">IFERROR(INDEX(Model!$C$15:$C$120,MATCH(LARGE(Model!$V$15:$V$120,1),Model!$V$15:$V$120,0)),"")</f>
        <v>ETH</v>
      </c>
      <c r="E13" s="27" t="n">
        <f aca="false">IFERROR(INDEX(Model!$E$15:$E$120,MATCH(LARGE(Model!$V$15:$V$120,1),Model!$V$15:$V$120,0)),"")</f>
        <v>1200</v>
      </c>
      <c r="F13" s="27" t="n">
        <f aca="false">IFERROR(EXP(INDEX(Model!$T$15:$T$120,MATCH(LARGE(Model!$V$15:$V$120,1),Model!$V$15:$V$120,0))),"")</f>
        <v>526.719157754954</v>
      </c>
      <c r="G13" s="27" t="n">
        <f aca="false">IFERROR(E13-F13,"")</f>
        <v>673.280842245046</v>
      </c>
      <c r="H13" s="28" t="n">
        <f aca="false">IFERROR(LARGE(Model!$V$15:$V$120,1),"")</f>
        <v>2.04510476338072</v>
      </c>
      <c r="I13" s="10" t="str">
        <f aca="false">IFERROR(INDEX(Model!$W$15:$W$120,MATCH(LARGE(Model!$V$15:$V$120,1),Model!$V$15:$V$120,0)),"")</f>
        <v>CHEAP</v>
      </c>
      <c r="J13" s="29" t="str">
        <f aca="false">IFERROR(INDEX(Model!$Y$15:$Y$120,MATCH(LARGE(Model!$V$15:$V$120,1),Model!$V$15:$V$120,0)),"")</f>
        <v>HIGH</v>
      </c>
    </row>
    <row r="14" customFormat="false" ht="15.75" hidden="false" customHeight="true" outlineLevel="0" collapsed="false">
      <c r="B14" s="30" t="n">
        <v>2</v>
      </c>
      <c r="C14" s="31" t="str">
        <f aca="false">IFERROR(INDEX(Model!$B$15:$B$120,MATCH(LARGE(Model!$V$15:$V$120,2),Model!$V$15:$V$120,0)),"")</f>
        <v>ECUADOR</v>
      </c>
      <c r="D14" s="30" t="str">
        <f aca="false">IFERROR(INDEX(Model!$C$15:$C$120,MATCH(LARGE(Model!$V$15:$V$120,2),Model!$V$15:$V$120,0)),"")</f>
        <v>ECU</v>
      </c>
      <c r="E14" s="32" t="n">
        <f aca="false">IFERROR(INDEX(Model!$E$15:$E$120,MATCH(LARGE(Model!$V$15:$V$120,2),Model!$V$15:$V$120,0)),"")</f>
        <v>1300</v>
      </c>
      <c r="F14" s="32" t="n">
        <f aca="false">IFERROR(EXP(INDEX(Model!$T$15:$T$120,MATCH(LARGE(Model!$V$15:$V$120,2),Model!$V$15:$V$120,0))),"")</f>
        <v>576.738038715403</v>
      </c>
      <c r="G14" s="32" t="n">
        <f aca="false">IFERROR(E14-F14,"")</f>
        <v>723.261961284597</v>
      </c>
      <c r="H14" s="33" t="n">
        <f aca="false">IFERROR(LARGE(Model!$V$15:$V$120,2),"")</f>
        <v>2.01858389756008</v>
      </c>
      <c r="I14" s="34" t="str">
        <f aca="false">IFERROR(INDEX(Model!$W$15:$W$120,MATCH(LARGE(Model!$V$15:$V$120,2),Model!$V$15:$V$120,0)),"")</f>
        <v>CHEAP</v>
      </c>
      <c r="J14" s="35" t="str">
        <f aca="false">IFERROR(INDEX(Model!$Y$15:$Y$120,MATCH(LARGE(Model!$V$15:$V$120,2),Model!$V$15:$V$120,0)),"")</f>
        <v>HIGH</v>
      </c>
    </row>
    <row r="15" customFormat="false" ht="15.75" hidden="false" customHeight="true" outlineLevel="0" collapsed="false">
      <c r="B15" s="25" t="n">
        <v>3</v>
      </c>
      <c r="C15" s="26" t="str">
        <f aca="false">IFERROR(INDEX(Model!$B$15:$B$120,MATCH(LARGE(Model!$V$15:$V$120,3),Model!$V$15:$V$120,0)),"")</f>
        <v>CAMEROON</v>
      </c>
      <c r="D15" s="25" t="str">
        <f aca="false">IFERROR(INDEX(Model!$C$15:$C$120,MATCH(LARGE(Model!$V$15:$V$120,3),Model!$V$15:$V$120,0)),"")</f>
        <v>CMR</v>
      </c>
      <c r="E15" s="27" t="n">
        <f aca="false">IFERROR(INDEX(Model!$E$15:$E$120,MATCH(LARGE(Model!$V$15:$V$120,3),Model!$V$15:$V$120,0)),"")</f>
        <v>760</v>
      </c>
      <c r="F15" s="27" t="n">
        <f aca="false">IFERROR(EXP(INDEX(Model!$T$15:$T$120,MATCH(LARGE(Model!$V$15:$V$120,3),Model!$V$15:$V$120,0))),"")</f>
        <v>357.904146363639</v>
      </c>
      <c r="G15" s="27" t="n">
        <f aca="false">IFERROR(E15-F15,"")</f>
        <v>402.095853636361</v>
      </c>
      <c r="H15" s="28" t="n">
        <f aca="false">IFERROR(LARGE(Model!$V$15:$V$120,3),"")</f>
        <v>1.87036104600295</v>
      </c>
      <c r="I15" s="10" t="str">
        <f aca="false">IFERROR(INDEX(Model!$W$15:$W$120,MATCH(LARGE(Model!$V$15:$V$120,3),Model!$V$15:$V$120,0)),"")</f>
        <v>CHEAP</v>
      </c>
      <c r="J15" s="29" t="str">
        <f aca="false">IFERROR(INDEX(Model!$Y$15:$Y$120,MATCH(LARGE(Model!$V$15:$V$120,3),Model!$V$15:$V$120,0)),"")</f>
        <v>HIGH</v>
      </c>
    </row>
    <row r="16" customFormat="false" ht="15.75" hidden="false" customHeight="true" outlineLevel="0" collapsed="false">
      <c r="B16" s="30" t="n">
        <v>4</v>
      </c>
      <c r="C16" s="31" t="str">
        <f aca="false">IFERROR(INDEX(Model!$B$15:$B$120,MATCH(LARGE(Model!$V$15:$V$120,4),Model!$V$15:$V$120,0)),"")</f>
        <v>BOLIVIA</v>
      </c>
      <c r="D16" s="30" t="str">
        <f aca="false">IFERROR(INDEX(Model!$C$15:$C$120,MATCH(LARGE(Model!$V$15:$V$120,4),Model!$V$15:$V$120,0)),"")</f>
        <v>BOL</v>
      </c>
      <c r="E16" s="32" t="n">
        <f aca="false">IFERROR(INDEX(Model!$E$15:$E$120,MATCH(LARGE(Model!$V$15:$V$120,4),Model!$V$15:$V$120,0)),"")</f>
        <v>1700</v>
      </c>
      <c r="F16" s="32" t="n">
        <f aca="false">IFERROR(EXP(INDEX(Model!$T$15:$T$120,MATCH(LARGE(Model!$V$15:$V$120,4),Model!$V$15:$V$120,0))),"")</f>
        <v>861.484603464483</v>
      </c>
      <c r="G16" s="32" t="n">
        <f aca="false">IFERROR(E16-F16,"")</f>
        <v>838.515396535518</v>
      </c>
      <c r="H16" s="33" t="n">
        <f aca="false">IFERROR(LARGE(Model!$V$15:$V$120,4),"")</f>
        <v>1.68823879686024</v>
      </c>
      <c r="I16" s="34" t="str">
        <f aca="false">IFERROR(INDEX(Model!$W$15:$W$120,MATCH(LARGE(Model!$V$15:$V$120,4),Model!$V$15:$V$120,0)),"")</f>
        <v>CHEAP</v>
      </c>
      <c r="J16" s="35" t="str">
        <f aca="false">IFERROR(INDEX(Model!$Y$15:$Y$120,MATCH(LARGE(Model!$V$15:$V$120,4),Model!$V$15:$V$120,0)),"")</f>
        <v>HIGH</v>
      </c>
    </row>
    <row r="17" customFormat="false" ht="15.75" hidden="false" customHeight="true" outlineLevel="0" collapsed="false">
      <c r="B17" s="25" t="n">
        <v>5</v>
      </c>
      <c r="C17" s="26" t="str">
        <f aca="false">IFERROR(INDEX(Model!$B$15:$B$120,MATCH(LARGE(Model!$V$15:$V$120,5),Model!$V$15:$V$120,0)),"")</f>
        <v>COTE D'IVOIRE</v>
      </c>
      <c r="D17" s="25" t="str">
        <f aca="false">IFERROR(INDEX(Model!$C$15:$C$120,MATCH(LARGE(Model!$V$15:$V$120,5),Model!$V$15:$V$120,0)),"")</f>
        <v>CIV</v>
      </c>
      <c r="E17" s="27" t="n">
        <f aca="false">IFERROR(INDEX(Model!$E$15:$E$120,MATCH(LARGE(Model!$V$15:$V$120,5),Model!$V$15:$V$120,0)),"")</f>
        <v>480</v>
      </c>
      <c r="F17" s="27" t="n">
        <f aca="false">IFERROR(EXP(INDEX(Model!$T$15:$T$120,MATCH(LARGE(Model!$V$15:$V$120,5),Model!$V$15:$V$120,0))),"")</f>
        <v>252.068821608731</v>
      </c>
      <c r="G17" s="27" t="n">
        <f aca="false">IFERROR(E17-F17,"")</f>
        <v>227.931178391269</v>
      </c>
      <c r="H17" s="28" t="n">
        <f aca="false">IFERROR(LARGE(Model!$V$15:$V$120,5),"")</f>
        <v>1.59971365340093</v>
      </c>
      <c r="I17" s="10" t="str">
        <f aca="false">IFERROR(INDEX(Model!$W$15:$W$120,MATCH(LARGE(Model!$V$15:$V$120,5),Model!$V$15:$V$120,0)),"")</f>
        <v>CHEAP</v>
      </c>
      <c r="J17" s="29" t="str">
        <f aca="false">IFERROR(INDEX(Model!$Y$15:$Y$120,MATCH(LARGE(Model!$V$15:$V$120,5),Model!$V$15:$V$120,0)),"")</f>
        <v>HIGH</v>
      </c>
    </row>
    <row r="18" customFormat="false" ht="15.75" hidden="false" customHeight="true" outlineLevel="0" collapsed="false">
      <c r="B18" s="30" t="n">
        <v>6</v>
      </c>
      <c r="C18" s="31" t="str">
        <f aca="false">IFERROR(INDEX(Model!$B$15:$B$120,MATCH(LARGE(Model!$V$15:$V$120,6),Model!$V$15:$V$120,0)),"")</f>
        <v>GABON</v>
      </c>
      <c r="D18" s="30" t="str">
        <f aca="false">IFERROR(INDEX(Model!$C$15:$C$120,MATCH(LARGE(Model!$V$15:$V$120,6),Model!$V$15:$V$120,0)),"")</f>
        <v>GAB</v>
      </c>
      <c r="E18" s="32" t="n">
        <f aca="false">IFERROR(INDEX(Model!$E$15:$E$120,MATCH(LARGE(Model!$V$15:$V$120,6),Model!$V$15:$V$120,0)),"")</f>
        <v>1100</v>
      </c>
      <c r="F18" s="32" t="n">
        <f aca="false">IFERROR(EXP(INDEX(Model!$T$15:$T$120,MATCH(LARGE(Model!$V$15:$V$120,6),Model!$V$15:$V$120,0))),"")</f>
        <v>611.71454577368</v>
      </c>
      <c r="G18" s="32" t="n">
        <f aca="false">IFERROR(E18-F18,"")</f>
        <v>488.28545422632</v>
      </c>
      <c r="H18" s="33" t="n">
        <f aca="false">IFERROR(LARGE(Model!$V$15:$V$120,6),"")</f>
        <v>1.45743658198633</v>
      </c>
      <c r="I18" s="34" t="str">
        <f aca="false">IFERROR(INDEX(Model!$W$15:$W$120,MATCH(LARGE(Model!$V$15:$V$120,6),Model!$V$15:$V$120,0)),"")</f>
        <v>slightly cheap</v>
      </c>
      <c r="J18" s="35" t="str">
        <f aca="false">IFERROR(INDEX(Model!$Y$15:$Y$120,MATCH(LARGE(Model!$V$15:$V$120,6),Model!$V$15:$V$120,0)),"")</f>
        <v>HIGH</v>
      </c>
    </row>
    <row r="19" customFormat="false" ht="15.75" hidden="false" customHeight="true" outlineLevel="0" collapsed="false">
      <c r="B19" s="25" t="n">
        <v>7</v>
      </c>
      <c r="C19" s="26" t="str">
        <f aca="false">IFERROR(INDEX(Model!$B$15:$B$120,MATCH(LARGE(Model!$V$15:$V$120,7),Model!$V$15:$V$120,0)),"")</f>
        <v>KUWAIT</v>
      </c>
      <c r="D19" s="25" t="str">
        <f aca="false">IFERROR(INDEX(Model!$C$15:$C$120,MATCH(LARGE(Model!$V$15:$V$120,7),Model!$V$15:$V$120,0)),"")</f>
        <v>KWT</v>
      </c>
      <c r="E19" s="27" t="n">
        <f aca="false">IFERROR(INDEX(Model!$E$15:$E$120,MATCH(LARGE(Model!$V$15:$V$120,7),Model!$V$15:$V$120,0)),"")</f>
        <v>70</v>
      </c>
      <c r="F19" s="27" t="n">
        <f aca="false">IFERROR(EXP(INDEX(Model!$T$15:$T$120,MATCH(LARGE(Model!$V$15:$V$120,7),Model!$V$15:$V$120,0))),"")</f>
        <v>41.2725604165827</v>
      </c>
      <c r="G19" s="27" t="n">
        <f aca="false">IFERROR(E19-F19,"")</f>
        <v>28.7274395834173</v>
      </c>
      <c r="H19" s="28" t="n">
        <f aca="false">IFERROR(LARGE(Model!$V$15:$V$120,7),"")</f>
        <v>1.31213407272135</v>
      </c>
      <c r="I19" s="10" t="str">
        <f aca="false">IFERROR(INDEX(Model!$W$15:$W$120,MATCH(LARGE(Model!$V$15:$V$120,7),Model!$V$15:$V$120,0)),"")</f>
        <v>slightly cheap</v>
      </c>
      <c r="J19" s="29" t="str">
        <f aca="false">IFERROR(INDEX(Model!$Y$15:$Y$120,MATCH(LARGE(Model!$V$15:$V$120,7),Model!$V$15:$V$120,0)),"")</f>
        <v>HIGH</v>
      </c>
    </row>
    <row r="20" customFormat="false" ht="15.75" hidden="false" customHeight="true" outlineLevel="0" collapsed="false">
      <c r="B20" s="30" t="n">
        <v>8</v>
      </c>
      <c r="C20" s="31" t="str">
        <f aca="false">IFERROR(INDEX(Model!$B$15:$B$120,MATCH(LARGE(Model!$V$15:$V$120,8),Model!$V$15:$V$120,0)),"")</f>
        <v>AZERBAIJAN</v>
      </c>
      <c r="D20" s="30" t="str">
        <f aca="false">IFERROR(INDEX(Model!$C$15:$C$120,MATCH(LARGE(Model!$V$15:$V$120,8),Model!$V$15:$V$120,0)),"")</f>
        <v>AZE</v>
      </c>
      <c r="E20" s="32" t="n">
        <f aca="false">IFERROR(INDEX(Model!$E$15:$E$120,MATCH(LARGE(Model!$V$15:$V$120,8),Model!$V$15:$V$120,0)),"")</f>
        <v>250</v>
      </c>
      <c r="F20" s="32" t="n">
        <f aca="false">IFERROR(EXP(INDEX(Model!$T$15:$T$120,MATCH(LARGE(Model!$V$15:$V$120,8),Model!$V$15:$V$120,0))),"")</f>
        <v>153.236078030863</v>
      </c>
      <c r="G20" s="32" t="n">
        <f aca="false">IFERROR(E20-F20,"")</f>
        <v>96.7639219691369</v>
      </c>
      <c r="H20" s="33" t="n">
        <f aca="false">IFERROR(LARGE(Model!$V$15:$V$120,8),"")</f>
        <v>1.21572621615748</v>
      </c>
      <c r="I20" s="34" t="str">
        <f aca="false">IFERROR(INDEX(Model!$W$15:$W$120,MATCH(LARGE(Model!$V$15:$V$120,8),Model!$V$15:$V$120,0)),"")</f>
        <v>slightly cheap</v>
      </c>
      <c r="J20" s="35" t="str">
        <f aca="false">IFERROR(INDEX(Model!$Y$15:$Y$120,MATCH(LARGE(Model!$V$15:$V$120,8),Model!$V$15:$V$120,0)),"")</f>
        <v>HIGH</v>
      </c>
    </row>
    <row r="21" customFormat="false" ht="15.75" hidden="false" customHeight="true" outlineLevel="0" collapsed="false">
      <c r="B21" s="25" t="n">
        <v>9</v>
      </c>
      <c r="C21" s="26" t="str">
        <f aca="false">IFERROR(INDEX(Model!$B$15:$B$120,MATCH(LARGE(Model!$V$15:$V$120,9),Model!$V$15:$V$120,0)),"")</f>
        <v>UZBEKISTAN</v>
      </c>
      <c r="D21" s="25" t="str">
        <f aca="false">IFERROR(INDEX(Model!$C$15:$C$120,MATCH(LARGE(Model!$V$15:$V$120,9),Model!$V$15:$V$120,0)),"")</f>
        <v>UZB</v>
      </c>
      <c r="E21" s="27" t="n">
        <f aca="false">IFERROR(INDEX(Model!$E$15:$E$120,MATCH(LARGE(Model!$V$15:$V$120,9),Model!$V$15:$V$120,0)),"")</f>
        <v>320</v>
      </c>
      <c r="F21" s="27" t="n">
        <f aca="false">IFERROR(EXP(INDEX(Model!$T$15:$T$120,MATCH(LARGE(Model!$V$15:$V$120,9),Model!$V$15:$V$120,0))),"")</f>
        <v>197.295523440739</v>
      </c>
      <c r="G21" s="27" t="n">
        <f aca="false">IFERROR(E21-F21,"")</f>
        <v>122.704476559262</v>
      </c>
      <c r="H21" s="28" t="n">
        <f aca="false">IFERROR(LARGE(Model!$V$15:$V$120,9),"")</f>
        <v>1.20116446075097</v>
      </c>
      <c r="I21" s="10" t="str">
        <f aca="false">IFERROR(INDEX(Model!$W$15:$W$120,MATCH(LARGE(Model!$V$15:$V$120,9),Model!$V$15:$V$120,0)),"")</f>
        <v>slightly cheap</v>
      </c>
      <c r="J21" s="29" t="str">
        <f aca="false">IFERROR(INDEX(Model!$Y$15:$Y$120,MATCH(LARGE(Model!$V$15:$V$120,9),Model!$V$15:$V$120,0)),"")</f>
        <v>HIGH</v>
      </c>
    </row>
    <row r="22" customFormat="false" ht="15.75" hidden="false" customHeight="true" outlineLevel="0" collapsed="false">
      <c r="B22" s="30" t="n">
        <v>10</v>
      </c>
      <c r="C22" s="31" t="str">
        <f aca="false">IFERROR(INDEX(Model!$B$15:$B$120,MATCH(LARGE(Model!$V$15:$V$120,10),Model!$V$15:$V$120,0)),"")</f>
        <v>ARMENIA</v>
      </c>
      <c r="D22" s="30" t="str">
        <f aca="false">IFERROR(INDEX(Model!$C$15:$C$120,MATCH(LARGE(Model!$V$15:$V$120,10),Model!$V$15:$V$120,0)),"")</f>
        <v>ARM</v>
      </c>
      <c r="E22" s="32" t="n">
        <f aca="false">IFERROR(INDEX(Model!$E$15:$E$120,MATCH(LARGE(Model!$V$15:$V$120,10),Model!$V$15:$V$120,0)),"")</f>
        <v>380</v>
      </c>
      <c r="F22" s="32" t="n">
        <f aca="false">IFERROR(EXP(INDEX(Model!$T$15:$T$120,MATCH(LARGE(Model!$V$15:$V$120,10),Model!$V$15:$V$120,0))),"")</f>
        <v>244.33334294205</v>
      </c>
      <c r="G22" s="32" t="n">
        <f aca="false">IFERROR(E22-F22,"")</f>
        <v>135.66665705795</v>
      </c>
      <c r="H22" s="33" t="n">
        <f aca="false">IFERROR(LARGE(Model!$V$15:$V$120,10),"")</f>
        <v>1.09689740995075</v>
      </c>
      <c r="I22" s="34" t="str">
        <f aca="false">IFERROR(INDEX(Model!$W$15:$W$120,MATCH(LARGE(Model!$V$15:$V$120,10),Model!$V$15:$V$120,0)),"")</f>
        <v>slightly cheap</v>
      </c>
      <c r="J22" s="35" t="str">
        <f aca="false">IFERROR(INDEX(Model!$Y$15:$Y$120,MATCH(LARGE(Model!$V$15:$V$120,10),Model!$V$15:$V$120,0)),"")</f>
        <v>HIGH</v>
      </c>
    </row>
    <row r="23" customFormat="false" ht="15.75" hidden="false" customHeight="true" outlineLevel="0" collapsed="false">
      <c r="B23" s="25" t="n">
        <v>11</v>
      </c>
      <c r="C23" s="26" t="str">
        <f aca="false">IFERROR(INDEX(Model!$B$15:$B$120,MATCH(LARGE(Model!$V$15:$V$120,11),Model!$V$15:$V$120,0)),"")</f>
        <v>GEORGIA</v>
      </c>
      <c r="D23" s="25" t="str">
        <f aca="false">IFERROR(INDEX(Model!$C$15:$C$120,MATCH(LARGE(Model!$V$15:$V$120,11),Model!$V$15:$V$120,0)),"")</f>
        <v>GEO</v>
      </c>
      <c r="E23" s="27" t="n">
        <f aca="false">IFERROR(INDEX(Model!$E$15:$E$120,MATCH(LARGE(Model!$V$15:$V$120,11),Model!$V$15:$V$120,0)),"")</f>
        <v>320</v>
      </c>
      <c r="F23" s="27" t="n">
        <f aca="false">IFERROR(EXP(INDEX(Model!$T$15:$T$120,MATCH(LARGE(Model!$V$15:$V$120,11),Model!$V$15:$V$120,0))),"")</f>
        <v>209.734066400613</v>
      </c>
      <c r="G23" s="27" t="n">
        <f aca="false">IFERROR(E23-F23,"")</f>
        <v>110.265933599387</v>
      </c>
      <c r="H23" s="28" t="n">
        <f aca="false">IFERROR(LARGE(Model!$V$15:$V$120,11),"")</f>
        <v>1.04931664705319</v>
      </c>
      <c r="I23" s="10" t="str">
        <f aca="false">IFERROR(INDEX(Model!$W$15:$W$120,MATCH(LARGE(Model!$V$15:$V$120,11),Model!$V$15:$V$120,0)),"")</f>
        <v>slightly cheap</v>
      </c>
      <c r="J23" s="29" t="str">
        <f aca="false">IFERROR(INDEX(Model!$Y$15:$Y$120,MATCH(LARGE(Model!$V$15:$V$120,11),Model!$V$15:$V$120,0)),"")</f>
        <v>HIGH</v>
      </c>
    </row>
    <row r="24" customFormat="false" ht="15.75" hidden="false" customHeight="true" outlineLevel="0" collapsed="false">
      <c r="B24" s="30" t="n">
        <v>12</v>
      </c>
      <c r="C24" s="31" t="str">
        <f aca="false">IFERROR(INDEX(Model!$B$15:$B$120,MATCH(LARGE(Model!$V$15:$V$120,12),Model!$V$15:$V$120,0)),"")</f>
        <v>UNITED ARAB EMIRATES</v>
      </c>
      <c r="D24" s="30" t="str">
        <f aca="false">IFERROR(INDEX(Model!$C$15:$C$120,MATCH(LARGE(Model!$V$15:$V$120,12),Model!$V$15:$V$120,0)),"")</f>
        <v>ARE</v>
      </c>
      <c r="E24" s="32" t="n">
        <f aca="false">IFERROR(INDEX(Model!$E$15:$E$120,MATCH(LARGE(Model!$V$15:$V$120,12),Model!$V$15:$V$120,0)),"")</f>
        <v>80</v>
      </c>
      <c r="F24" s="32" t="n">
        <f aca="false">IFERROR(EXP(INDEX(Model!$T$15:$T$120,MATCH(LARGE(Model!$V$15:$V$120,12),Model!$V$15:$V$120,0))),"")</f>
        <v>53.2915245538145</v>
      </c>
      <c r="G24" s="32" t="n">
        <f aca="false">IFERROR(E24-F24,"")</f>
        <v>26.7084754461855</v>
      </c>
      <c r="H24" s="33" t="n">
        <f aca="false">IFERROR(LARGE(Model!$V$15:$V$120,12),"")</f>
        <v>1.00900293827664</v>
      </c>
      <c r="I24" s="34" t="str">
        <f aca="false">IFERROR(INDEX(Model!$W$15:$W$120,MATCH(LARGE(Model!$V$15:$V$120,12),Model!$V$15:$V$120,0)),"")</f>
        <v>slightly cheap</v>
      </c>
      <c r="J24" s="35" t="str">
        <f aca="false">IFERROR(INDEX(Model!$Y$15:$Y$120,MATCH(LARGE(Model!$V$15:$V$120,12),Model!$V$15:$V$120,0)),"")</f>
        <v>HIGH</v>
      </c>
    </row>
    <row r="25" customFormat="false" ht="15.75" hidden="false" customHeight="true" outlineLevel="0" collapsed="false">
      <c r="B25" s="25" t="n">
        <v>13</v>
      </c>
      <c r="C25" s="26" t="str">
        <f aca="false">IFERROR(INDEX(Model!$B$15:$B$120,MATCH(LARGE(Model!$V$15:$V$120,13),Model!$V$15:$V$120,0)),"")</f>
        <v>ZAMBIA</v>
      </c>
      <c r="D25" s="25" t="str">
        <f aca="false">IFERROR(INDEX(Model!$C$15:$C$120,MATCH(LARGE(Model!$V$15:$V$120,13),Model!$V$15:$V$120,0)),"")</f>
        <v>ZMB</v>
      </c>
      <c r="E25" s="27" t="n">
        <f aca="false">IFERROR(INDEX(Model!$E$15:$E$120,MATCH(LARGE(Model!$V$15:$V$120,13),Model!$V$15:$V$120,0)),"")</f>
        <v>800</v>
      </c>
      <c r="F25" s="27" t="n">
        <f aca="false">IFERROR(EXP(INDEX(Model!$T$15:$T$120,MATCH(LARGE(Model!$V$15:$V$120,13),Model!$V$15:$V$120,0))),"")</f>
        <v>557.551193193244</v>
      </c>
      <c r="G25" s="27" t="n">
        <f aca="false">IFERROR(E25-F25,"")</f>
        <v>242.448806806756</v>
      </c>
      <c r="H25" s="28" t="n">
        <f aca="false">IFERROR(LARGE(Model!$V$15:$V$120,13),"")</f>
        <v>0.896759582518693</v>
      </c>
      <c r="I25" s="10" t="str">
        <f aca="false">IFERROR(INDEX(Model!$W$15:$W$120,MATCH(LARGE(Model!$V$15:$V$120,13),Model!$V$15:$V$120,0)),"")</f>
        <v>slightly cheap</v>
      </c>
      <c r="J25" s="29" t="str">
        <f aca="false">IFERROR(INDEX(Model!$Y$15:$Y$120,MATCH(LARGE(Model!$V$15:$V$120,13),Model!$V$15:$V$120,0)),"")</f>
        <v>HIGH</v>
      </c>
    </row>
    <row r="26" customFormat="false" ht="15.75" hidden="false" customHeight="true" outlineLevel="0" collapsed="false">
      <c r="B26" s="30" t="n">
        <v>14</v>
      </c>
      <c r="C26" s="31" t="str">
        <f aca="false">IFERROR(INDEX(Model!$B$15:$B$120,MATCH(LARGE(Model!$V$15:$V$120,14),Model!$V$15:$V$120,0)),"")</f>
        <v>ANGOLA</v>
      </c>
      <c r="D26" s="30" t="str">
        <f aca="false">IFERROR(INDEX(Model!$C$15:$C$120,MATCH(LARGE(Model!$V$15:$V$120,14),Model!$V$15:$V$120,0)),"")</f>
        <v>AGO</v>
      </c>
      <c r="E26" s="32" t="n">
        <f aca="false">IFERROR(INDEX(Model!$E$15:$E$120,MATCH(LARGE(Model!$V$15:$V$120,14),Model!$V$15:$V$120,0)),"")</f>
        <v>700</v>
      </c>
      <c r="F26" s="32" t="n">
        <f aca="false">IFERROR(EXP(INDEX(Model!$T$15:$T$120,MATCH(LARGE(Model!$V$15:$V$120,14),Model!$V$15:$V$120,0))),"")</f>
        <v>488.666859578129</v>
      </c>
      <c r="G26" s="32" t="n">
        <f aca="false">IFERROR(E26-F26,"")</f>
        <v>211.333140421871</v>
      </c>
      <c r="H26" s="33" t="n">
        <f aca="false">IFERROR(LARGE(Model!$V$15:$V$120,14),"")</f>
        <v>0.892641463548652</v>
      </c>
      <c r="I26" s="34" t="str">
        <f aca="false">IFERROR(INDEX(Model!$W$15:$W$120,MATCH(LARGE(Model!$V$15:$V$120,14),Model!$V$15:$V$120,0)),"")</f>
        <v>slightly cheap</v>
      </c>
      <c r="J26" s="35" t="str">
        <f aca="false">IFERROR(INDEX(Model!$Y$15:$Y$120,MATCH(LARGE(Model!$V$15:$V$120,14),Model!$V$15:$V$120,0)),"")</f>
        <v>HIGH</v>
      </c>
    </row>
    <row r="27" customFormat="false" ht="15.75" hidden="false" customHeight="true" outlineLevel="0" collapsed="false">
      <c r="B27" s="25" t="n">
        <v>15</v>
      </c>
      <c r="C27" s="26" t="str">
        <f aca="false">IFERROR(INDEX(Model!$B$15:$B$120,MATCH(LARGE(Model!$V$15:$V$120,15),Model!$V$15:$V$120,0)),"")</f>
        <v>GUATEMALA</v>
      </c>
      <c r="D27" s="25" t="str">
        <f aca="false">IFERROR(INDEX(Model!$C$15:$C$120,MATCH(LARGE(Model!$V$15:$V$120,15),Model!$V$15:$V$120,0)),"")</f>
        <v>GTM</v>
      </c>
      <c r="E27" s="27" t="n">
        <f aca="false">IFERROR(INDEX(Model!$E$15:$E$120,MATCH(LARGE(Model!$V$15:$V$120,15),Model!$V$15:$V$120,0)),"")</f>
        <v>230</v>
      </c>
      <c r="F27" s="27" t="n">
        <f aca="false">IFERROR(EXP(INDEX(Model!$T$15:$T$120,MATCH(LARGE(Model!$V$15:$V$120,15),Model!$V$15:$V$120,0))),"")</f>
        <v>161.58693941097</v>
      </c>
      <c r="G27" s="27" t="n">
        <f aca="false">IFERROR(E27-F27,"")</f>
        <v>68.4130605890296</v>
      </c>
      <c r="H27" s="28" t="n">
        <f aca="false">IFERROR(LARGE(Model!$V$15:$V$120,15),"")</f>
        <v>0.876836763392847</v>
      </c>
      <c r="I27" s="10" t="str">
        <f aca="false">IFERROR(INDEX(Model!$W$15:$W$120,MATCH(LARGE(Model!$V$15:$V$120,15),Model!$V$15:$V$120,0)),"")</f>
        <v>slightly cheap</v>
      </c>
      <c r="J27" s="29" t="str">
        <f aca="false">IFERROR(INDEX(Model!$Y$15:$Y$120,MATCH(LARGE(Model!$V$15:$V$120,15),Model!$V$15:$V$120,0)),"")</f>
        <v>HIGH</v>
      </c>
    </row>
    <row r="28" customFormat="false" ht="15.75" hidden="false" customHeight="true" outlineLevel="0" collapsed="false">
      <c r="B28" s="30" t="n">
        <v>16</v>
      </c>
      <c r="C28" s="31" t="str">
        <f aca="false">IFERROR(INDEX(Model!$B$15:$B$120,MATCH(LARGE(Model!$V$15:$V$120,16),Model!$V$15:$V$120,0)),"")</f>
        <v>PARAGUAY</v>
      </c>
      <c r="D28" s="30" t="str">
        <f aca="false">IFERROR(INDEX(Model!$C$15:$C$120,MATCH(LARGE(Model!$V$15:$V$120,16),Model!$V$15:$V$120,0)),"")</f>
        <v>PRY</v>
      </c>
      <c r="E28" s="32" t="n">
        <f aca="false">IFERROR(INDEX(Model!$E$15:$E$120,MATCH(LARGE(Model!$V$15:$V$120,16),Model!$V$15:$V$120,0)),"")</f>
        <v>220</v>
      </c>
      <c r="F28" s="32" t="n">
        <f aca="false">IFERROR(EXP(INDEX(Model!$T$15:$T$120,MATCH(LARGE(Model!$V$15:$V$120,16),Model!$V$15:$V$120,0))),"")</f>
        <v>160.753035678343</v>
      </c>
      <c r="G28" s="32" t="n">
        <f aca="false">IFERROR(E28-F28,"")</f>
        <v>59.2469643216569</v>
      </c>
      <c r="H28" s="33" t="n">
        <f aca="false">IFERROR(LARGE(Model!$V$15:$V$120,16),"")</f>
        <v>0.779282627813181</v>
      </c>
      <c r="I28" s="34" t="str">
        <f aca="false">IFERROR(INDEX(Model!$W$15:$W$120,MATCH(LARGE(Model!$V$15:$V$120,16),Model!$V$15:$V$120,0)),"")</f>
        <v>slightly cheap</v>
      </c>
      <c r="J28" s="35" t="str">
        <f aca="false">IFERROR(INDEX(Model!$Y$15:$Y$120,MATCH(LARGE(Model!$V$15:$V$120,16),Model!$V$15:$V$120,0)),"")</f>
        <v>HIGH</v>
      </c>
    </row>
    <row r="29" customFormat="false" ht="15.75" hidden="false" customHeight="true" outlineLevel="0" collapsed="false">
      <c r="B29" s="25" t="n">
        <v>17</v>
      </c>
      <c r="C29" s="26" t="str">
        <f aca="false">IFERROR(INDEX(Model!$B$15:$B$120,MATCH(LARGE(Model!$V$15:$V$120,17),Model!$V$15:$V$120,0)),"")</f>
        <v>SAUDI ARABIA</v>
      </c>
      <c r="D29" s="25" t="str">
        <f aca="false">IFERROR(INDEX(Model!$C$15:$C$120,MATCH(LARGE(Model!$V$15:$V$120,17),Model!$V$15:$V$120,0)),"")</f>
        <v>SAU</v>
      </c>
      <c r="E29" s="27" t="n">
        <f aca="false">IFERROR(INDEX(Model!$E$15:$E$120,MATCH(LARGE(Model!$V$15:$V$120,17),Model!$V$15:$V$120,0)),"")</f>
        <v>100</v>
      </c>
      <c r="F29" s="27" t="n">
        <f aca="false">IFERROR(EXP(INDEX(Model!$T$15:$T$120,MATCH(LARGE(Model!$V$15:$V$120,17),Model!$V$15:$V$120,0))),"")</f>
        <v>76.1621704494667</v>
      </c>
      <c r="G29" s="27" t="n">
        <f aca="false">IFERROR(E29-F29,"")</f>
        <v>23.8378295505333</v>
      </c>
      <c r="H29" s="28" t="n">
        <f aca="false">IFERROR(LARGE(Model!$V$15:$V$120,17),"")</f>
        <v>0.676325657074394</v>
      </c>
      <c r="I29" s="10" t="str">
        <f aca="false">IFERROR(INDEX(Model!$W$15:$W$120,MATCH(LARGE(Model!$V$15:$V$120,17),Model!$V$15:$V$120,0)),"")</f>
        <v>slightly cheap</v>
      </c>
      <c r="J29" s="29" t="str">
        <f aca="false">IFERROR(INDEX(Model!$Y$15:$Y$120,MATCH(LARGE(Model!$V$15:$V$120,17),Model!$V$15:$V$120,0)),"")</f>
        <v>HIGH</v>
      </c>
    </row>
    <row r="30" customFormat="false" ht="15.75" hidden="false" customHeight="true" outlineLevel="0" collapsed="false">
      <c r="B30" s="30" t="n">
        <v>18</v>
      </c>
      <c r="C30" s="31" t="str">
        <f aca="false">IFERROR(INDEX(Model!$B$15:$B$120,MATCH(LARGE(Model!$V$15:$V$120,18),Model!$V$15:$V$120,0)),"")</f>
        <v>UKRAINE</v>
      </c>
      <c r="D30" s="30" t="str">
        <f aca="false">IFERROR(INDEX(Model!$C$15:$C$120,MATCH(LARGE(Model!$V$15:$V$120,18),Model!$V$15:$V$120,0)),"")</f>
        <v>UKR</v>
      </c>
      <c r="E30" s="32" t="n">
        <f aca="false">IFERROR(INDEX(Model!$E$15:$E$120,MATCH(LARGE(Model!$V$15:$V$120,18),Model!$V$15:$V$120,0)),"")</f>
        <v>1100</v>
      </c>
      <c r="F30" s="32" t="n">
        <f aca="false">IFERROR(EXP(INDEX(Model!$T$15:$T$120,MATCH(LARGE(Model!$V$15:$V$120,18),Model!$V$15:$V$120,0))),"")</f>
        <v>841.761528592982</v>
      </c>
      <c r="G30" s="32" t="n">
        <f aca="false">IFERROR(E30-F30,"")</f>
        <v>258.238471407018</v>
      </c>
      <c r="H30" s="33" t="n">
        <f aca="false">IFERROR(LARGE(Model!$V$15:$V$120,18),"")</f>
        <v>0.664561365047793</v>
      </c>
      <c r="I30" s="34" t="str">
        <f aca="false">IFERROR(INDEX(Model!$W$15:$W$120,MATCH(LARGE(Model!$V$15:$V$120,18),Model!$V$15:$V$120,0)),"")</f>
        <v>slightly cheap</v>
      </c>
      <c r="J30" s="35" t="str">
        <f aca="false">IFERROR(INDEX(Model!$Y$15:$Y$120,MATCH(LARGE(Model!$V$15:$V$120,18),Model!$V$15:$V$120,0)),"")</f>
        <v>HIGH</v>
      </c>
    </row>
    <row r="31" customFormat="false" ht="15.75" hidden="false" customHeight="true" outlineLevel="0" collapsed="false">
      <c r="B31" s="25" t="n">
        <v>19</v>
      </c>
      <c r="C31" s="26" t="str">
        <f aca="false">IFERROR(INDEX(Model!$B$15:$B$120,MATCH(LARGE(Model!$V$15:$V$120,19),Model!$V$15:$V$120,0)),"")</f>
        <v>NIGERIA</v>
      </c>
      <c r="D31" s="25" t="str">
        <f aca="false">IFERROR(INDEX(Model!$C$15:$C$120,MATCH(LARGE(Model!$V$15:$V$120,19),Model!$V$15:$V$120,0)),"")</f>
        <v>NGA</v>
      </c>
      <c r="E31" s="27" t="n">
        <f aca="false">IFERROR(INDEX(Model!$E$15:$E$120,MATCH(LARGE(Model!$V$15:$V$120,19),Model!$V$15:$V$120,0)),"")</f>
        <v>620</v>
      </c>
      <c r="F31" s="27" t="n">
        <f aca="false">IFERROR(EXP(INDEX(Model!$T$15:$T$120,MATCH(LARGE(Model!$V$15:$V$120,19),Model!$V$15:$V$120,0))),"")</f>
        <v>495.263247499955</v>
      </c>
      <c r="G31" s="27" t="n">
        <f aca="false">IFERROR(E31-F31,"")</f>
        <v>124.736752500045</v>
      </c>
      <c r="H31" s="28" t="n">
        <f aca="false">IFERROR(LARGE(Model!$V$15:$V$120,19),"")</f>
        <v>0.557914456225319</v>
      </c>
      <c r="I31" s="10" t="str">
        <f aca="false">IFERROR(INDEX(Model!$W$15:$W$120,MATCH(LARGE(Model!$V$15:$V$120,19),Model!$V$15:$V$120,0)),"")</f>
        <v>slightly cheap</v>
      </c>
      <c r="J31" s="29" t="str">
        <f aca="false">IFERROR(INDEX(Model!$Y$15:$Y$120,MATCH(LARGE(Model!$V$15:$V$120,19),Model!$V$15:$V$120,0)),"")</f>
        <v>HIGH</v>
      </c>
    </row>
    <row r="32" customFormat="false" ht="15.75" hidden="false" customHeight="true" outlineLevel="0" collapsed="false">
      <c r="B32" s="30" t="n">
        <v>20</v>
      </c>
      <c r="C32" s="31" t="str">
        <f aca="false">IFERROR(INDEX(Model!$B$15:$B$120,MATCH(LARGE(Model!$V$15:$V$120,20),Model!$V$15:$V$120,0)),"")</f>
        <v>SERBIA</v>
      </c>
      <c r="D32" s="30" t="str">
        <f aca="false">IFERROR(INDEX(Model!$C$15:$C$120,MATCH(LARGE(Model!$V$15:$V$120,20),Model!$V$15:$V$120,0)),"")</f>
        <v>SRB</v>
      </c>
      <c r="E32" s="32" t="n">
        <f aca="false">IFERROR(INDEX(Model!$E$15:$E$120,MATCH(LARGE(Model!$V$15:$V$120,20),Model!$V$15:$V$120,0)),"")</f>
        <v>260</v>
      </c>
      <c r="F32" s="32" t="n">
        <f aca="false">IFERROR(EXP(INDEX(Model!$T$15:$T$120,MATCH(LARGE(Model!$V$15:$V$120,20),Model!$V$15:$V$120,0))),"")</f>
        <v>207.77598262161</v>
      </c>
      <c r="G32" s="32" t="n">
        <f aca="false">IFERROR(E32-F32,"")</f>
        <v>52.2240173783905</v>
      </c>
      <c r="H32" s="33" t="n">
        <f aca="false">IFERROR(LARGE(Model!$V$15:$V$120,20),"")</f>
        <v>0.556898856465664</v>
      </c>
      <c r="I32" s="34" t="str">
        <f aca="false">IFERROR(INDEX(Model!$W$15:$W$120,MATCH(LARGE(Model!$V$15:$V$120,20),Model!$V$15:$V$120,0)),"")</f>
        <v>slightly cheap</v>
      </c>
      <c r="J32" s="35" t="str">
        <f aca="false">IFERROR(INDEX(Model!$Y$15:$Y$120,MATCH(LARGE(Model!$V$15:$V$120,20),Model!$V$15:$V$120,0)),"")</f>
        <v>HIGH</v>
      </c>
    </row>
    <row r="33" customFormat="false" ht="15.75" hidden="false" customHeight="true" outlineLevel="0" collapsed="false">
      <c r="B33" s="25" t="n">
        <v>21</v>
      </c>
      <c r="C33" s="26" t="str">
        <f aca="false">IFERROR(INDEX(Model!$B$15:$B$120,MATCH(LARGE(Model!$V$15:$V$120,21),Model!$V$15:$V$120,0)),"")</f>
        <v>KAZAKHSTAN</v>
      </c>
      <c r="D33" s="25" t="str">
        <f aca="false">IFERROR(INDEX(Model!$C$15:$C$120,MATCH(LARGE(Model!$V$15:$V$120,21),Model!$V$15:$V$120,0)),"")</f>
        <v>KAZ</v>
      </c>
      <c r="E33" s="27" t="n">
        <f aca="false">IFERROR(INDEX(Model!$E$15:$E$120,MATCH(LARGE(Model!$V$15:$V$120,21),Model!$V$15:$V$120,0)),"")</f>
        <v>220</v>
      </c>
      <c r="F33" s="27" t="n">
        <f aca="false">IFERROR(EXP(INDEX(Model!$T$15:$T$120,MATCH(LARGE(Model!$V$15:$V$120,21),Model!$V$15:$V$120,0))),"")</f>
        <v>179.304313673843</v>
      </c>
      <c r="G33" s="27" t="n">
        <f aca="false">IFERROR(E33-F33,"")</f>
        <v>40.6956863261569</v>
      </c>
      <c r="H33" s="28" t="n">
        <f aca="false">IFERROR(LARGE(Model!$V$15:$V$120,21),"")</f>
        <v>0.508024460038251</v>
      </c>
      <c r="I33" s="10" t="str">
        <f aca="false">IFERROR(INDEX(Model!$W$15:$W$120,MATCH(LARGE(Model!$V$15:$V$120,21),Model!$V$15:$V$120,0)),"")</f>
        <v>slightly cheap</v>
      </c>
      <c r="J33" s="29" t="str">
        <f aca="false">IFERROR(INDEX(Model!$Y$15:$Y$120,MATCH(LARGE(Model!$V$15:$V$120,21),Model!$V$15:$V$120,0)),"")</f>
        <v>HIGH</v>
      </c>
    </row>
    <row r="34" customFormat="false" ht="15.75" hidden="false" customHeight="true" outlineLevel="0" collapsed="false">
      <c r="B34" s="30" t="n">
        <v>22</v>
      </c>
      <c r="C34" s="31" t="str">
        <f aca="false">IFERROR(INDEX(Model!$B$15:$B$120,MATCH(LARGE(Model!$V$15:$V$120,22),Model!$V$15:$V$120,0)),"")</f>
        <v>RWANDA</v>
      </c>
      <c r="D34" s="30" t="str">
        <f aca="false">IFERROR(INDEX(Model!$C$15:$C$120,MATCH(LARGE(Model!$V$15:$V$120,22),Model!$V$15:$V$120,0)),"")</f>
        <v>RWA</v>
      </c>
      <c r="E34" s="32" t="n">
        <f aca="false">IFERROR(INDEX(Model!$E$15:$E$120,MATCH(LARGE(Model!$V$15:$V$120,22),Model!$V$15:$V$120,0)),"")</f>
        <v>480</v>
      </c>
      <c r="F34" s="32" t="n">
        <f aca="false">IFERROR(EXP(INDEX(Model!$T$15:$T$120,MATCH(LARGE(Model!$V$15:$V$120,22),Model!$V$15:$V$120,0))),"")</f>
        <v>403.325864972553</v>
      </c>
      <c r="G34" s="32" t="n">
        <f aca="false">IFERROR(E34-F34,"")</f>
        <v>76.6741350274472</v>
      </c>
      <c r="H34" s="33" t="n">
        <f aca="false">IFERROR(LARGE(Model!$V$15:$V$120,22),"")</f>
        <v>0.432266936914681</v>
      </c>
      <c r="I34" s="34" t="str">
        <f aca="false">IFERROR(INDEX(Model!$W$15:$W$120,MATCH(LARGE(Model!$V$15:$V$120,22),Model!$V$15:$V$120,0)),"")</f>
        <v>fair</v>
      </c>
      <c r="J34" s="35" t="str">
        <f aca="false">IFERROR(INDEX(Model!$Y$15:$Y$120,MATCH(LARGE(Model!$V$15:$V$120,22),Model!$V$15:$V$120,0)),"")</f>
        <v>HIGH</v>
      </c>
    </row>
    <row r="35" customFormat="false" ht="15.75" hidden="false" customHeight="true" outlineLevel="0" collapsed="false">
      <c r="B35" s="25" t="n">
        <v>23</v>
      </c>
      <c r="C35" s="26" t="str">
        <f aca="false">IFERROR(INDEX(Model!$B$15:$B$120,MATCH(LARGE(Model!$V$15:$V$120,23),Model!$V$15:$V$120,0)),"")</f>
        <v>SENEGAL</v>
      </c>
      <c r="D35" s="25" t="str">
        <f aca="false">IFERROR(INDEX(Model!$C$15:$C$120,MATCH(LARGE(Model!$V$15:$V$120,23),Model!$V$15:$V$120,0)),"")</f>
        <v>SEN</v>
      </c>
      <c r="E35" s="27" t="n">
        <f aca="false">IFERROR(INDEX(Model!$E$15:$E$120,MATCH(LARGE(Model!$V$15:$V$120,23),Model!$V$15:$V$120,0)),"")</f>
        <v>520</v>
      </c>
      <c r="F35" s="27" t="n">
        <f aca="false">IFERROR(EXP(INDEX(Model!$T$15:$T$120,MATCH(LARGE(Model!$V$15:$V$120,23),Model!$V$15:$V$120,0))),"")</f>
        <v>437.15788912393</v>
      </c>
      <c r="G35" s="27" t="n">
        <f aca="false">IFERROR(E35-F35,"")</f>
        <v>82.8421108760699</v>
      </c>
      <c r="H35" s="28" t="n">
        <f aca="false">IFERROR(LARGE(Model!$V$15:$V$120,23),"")</f>
        <v>0.431007969008646</v>
      </c>
      <c r="I35" s="10" t="str">
        <f aca="false">IFERROR(INDEX(Model!$W$15:$W$120,MATCH(LARGE(Model!$V$15:$V$120,23),Model!$V$15:$V$120,0)),"")</f>
        <v>fair</v>
      </c>
      <c r="J35" s="29" t="str">
        <f aca="false">IFERROR(INDEX(Model!$Y$15:$Y$120,MATCH(LARGE(Model!$V$15:$V$120,23),Model!$V$15:$V$120,0)),"")</f>
        <v>HIGH</v>
      </c>
    </row>
    <row r="36" customFormat="false" ht="15.75" hidden="false" customHeight="true" outlineLevel="0" collapsed="false">
      <c r="B36" s="30" t="n">
        <v>24</v>
      </c>
      <c r="C36" s="31" t="str">
        <f aca="false">IFERROR(INDEX(Model!$B$15:$B$120,MATCH(LARGE(Model!$V$15:$V$120,24),Model!$V$15:$V$120,0)),"")</f>
        <v>COLOMBIA</v>
      </c>
      <c r="D36" s="30" t="str">
        <f aca="false">IFERROR(INDEX(Model!$C$15:$C$120,MATCH(LARGE(Model!$V$15:$V$120,24),Model!$V$15:$V$120,0)),"")</f>
        <v>COL</v>
      </c>
      <c r="E36" s="32" t="n">
        <f aca="false">IFERROR(INDEX(Model!$E$15:$E$120,MATCH(LARGE(Model!$V$15:$V$120,24),Model!$V$15:$V$120,0)),"")</f>
        <v>350</v>
      </c>
      <c r="F36" s="32" t="n">
        <f aca="false">IFERROR(EXP(INDEX(Model!$T$15:$T$120,MATCH(LARGE(Model!$V$15:$V$120,24),Model!$V$15:$V$120,0))),"")</f>
        <v>295.968061680564</v>
      </c>
      <c r="G36" s="32" t="n">
        <f aca="false">IFERROR(E36-F36,"")</f>
        <v>54.0319383194363</v>
      </c>
      <c r="H36" s="33" t="n">
        <f aca="false">IFERROR(LARGE(Model!$V$15:$V$120,24),"")</f>
        <v>0.416471413735965</v>
      </c>
      <c r="I36" s="34" t="str">
        <f aca="false">IFERROR(INDEX(Model!$W$15:$W$120,MATCH(LARGE(Model!$V$15:$V$120,24),Model!$V$15:$V$120,0)),"")</f>
        <v>fair</v>
      </c>
      <c r="J36" s="35" t="str">
        <f aca="false">IFERROR(INDEX(Model!$Y$15:$Y$120,MATCH(LARGE(Model!$V$15:$V$120,24),Model!$V$15:$V$120,0)),"")</f>
        <v>HIGH</v>
      </c>
    </row>
    <row r="37" customFormat="false" ht="15.75" hidden="false" customHeight="true" outlineLevel="0" collapsed="false">
      <c r="B37" s="25" t="n">
        <v>25</v>
      </c>
      <c r="C37" s="26" t="str">
        <f aca="false">IFERROR(INDEX(Model!$B$15:$B$120,MATCH(LARGE(Model!$V$15:$V$120,25),Model!$V$15:$V$120,0)),"")</f>
        <v>PANAMA</v>
      </c>
      <c r="D37" s="25" t="str">
        <f aca="false">IFERROR(INDEX(Model!$C$15:$C$120,MATCH(LARGE(Model!$V$15:$V$120,25),Model!$V$15:$V$120,0)),"")</f>
        <v>PAN</v>
      </c>
      <c r="E37" s="27" t="n">
        <f aca="false">IFERROR(INDEX(Model!$E$15:$E$120,MATCH(LARGE(Model!$V$15:$V$120,25),Model!$V$15:$V$120,0)),"")</f>
        <v>360</v>
      </c>
      <c r="F37" s="27" t="n">
        <f aca="false">IFERROR(EXP(INDEX(Model!$T$15:$T$120,MATCH(LARGE(Model!$V$15:$V$120,25),Model!$V$15:$V$120,0))),"")</f>
        <v>311.48840585753</v>
      </c>
      <c r="G37" s="27" t="n">
        <f aca="false">IFERROR(E37-F37,"")</f>
        <v>48.5115941424705</v>
      </c>
      <c r="H37" s="28" t="n">
        <f aca="false">IFERROR(LARGE(Model!$V$15:$V$120,25),"")</f>
        <v>0.359496018723857</v>
      </c>
      <c r="I37" s="10" t="str">
        <f aca="false">IFERROR(INDEX(Model!$W$15:$W$120,MATCH(LARGE(Model!$V$15:$V$120,25),Model!$V$15:$V$120,0)),"")</f>
        <v>fair</v>
      </c>
      <c r="J37" s="29" t="str">
        <f aca="false">IFERROR(INDEX(Model!$Y$15:$Y$120,MATCH(LARGE(Model!$V$15:$V$120,25),Model!$V$15:$V$120,0)),"")</f>
        <v>HIGH</v>
      </c>
    </row>
    <row r="38" customFormat="false" ht="15.75" hidden="false" customHeight="true" outlineLevel="0" collapsed="false">
      <c r="B38" s="30" t="n">
        <v>26</v>
      </c>
      <c r="C38" s="31" t="str">
        <f aca="false">IFERROR(INDEX(Model!$B$15:$B$120,MATCH(LARGE(Model!$V$15:$V$120,26),Model!$V$15:$V$120,0)),"")</f>
        <v>IRAQ</v>
      </c>
      <c r="D38" s="30" t="str">
        <f aca="false">IFERROR(INDEX(Model!$C$15:$C$120,MATCH(LARGE(Model!$V$15:$V$120,26),Model!$V$15:$V$120,0)),"")</f>
        <v>IRQ</v>
      </c>
      <c r="E38" s="32" t="n">
        <f aca="false">IFERROR(INDEX(Model!$E$15:$E$120,MATCH(LARGE(Model!$V$15:$V$120,26),Model!$V$15:$V$120,0)),"")</f>
        <v>360</v>
      </c>
      <c r="F38" s="32" t="n">
        <f aca="false">IFERROR(EXP(INDEX(Model!$T$15:$T$120,MATCH(LARGE(Model!$V$15:$V$120,26),Model!$V$15:$V$120,0))),"")</f>
        <v>313.108096218106</v>
      </c>
      <c r="G38" s="32" t="n">
        <f aca="false">IFERROR(E38-F38,"")</f>
        <v>46.891903781894</v>
      </c>
      <c r="H38" s="33" t="n">
        <f aca="false">IFERROR(LARGE(Model!$V$15:$V$120,26),"")</f>
        <v>0.346614614997811</v>
      </c>
      <c r="I38" s="34" t="str">
        <f aca="false">IFERROR(INDEX(Model!$W$15:$W$120,MATCH(LARGE(Model!$V$15:$V$120,26),Model!$V$15:$V$120,0)),"")</f>
        <v>fair</v>
      </c>
      <c r="J38" s="35" t="str">
        <f aca="false">IFERROR(INDEX(Model!$Y$15:$Y$120,MATCH(LARGE(Model!$V$15:$V$120,26),Model!$V$15:$V$120,0)),"")</f>
        <v>HIGH</v>
      </c>
    </row>
    <row r="39" customFormat="false" ht="15.75" hidden="false" customHeight="true" outlineLevel="0" collapsed="false">
      <c r="B39" s="25" t="n">
        <v>27</v>
      </c>
      <c r="C39" s="26" t="str">
        <f aca="false">IFERROR(INDEX(Model!$B$15:$B$120,MATCH(LARGE(Model!$V$15:$V$120,27),Model!$V$15:$V$120,0)),"")</f>
        <v>GHANA</v>
      </c>
      <c r="D39" s="25" t="str">
        <f aca="false">IFERROR(INDEX(Model!$C$15:$C$120,MATCH(LARGE(Model!$V$15:$V$120,27),Model!$V$15:$V$120,0)),"")</f>
        <v>GHA</v>
      </c>
      <c r="E39" s="27" t="n">
        <f aca="false">IFERROR(INDEX(Model!$E$15:$E$120,MATCH(LARGE(Model!$V$15:$V$120,27),Model!$V$15:$V$120,0)),"")</f>
        <v>950</v>
      </c>
      <c r="F39" s="27" t="n">
        <f aca="false">IFERROR(EXP(INDEX(Model!$T$15:$T$120,MATCH(LARGE(Model!$V$15:$V$120,27),Model!$V$15:$V$120,0))),"")</f>
        <v>829.362103798486</v>
      </c>
      <c r="G39" s="27" t="n">
        <f aca="false">IFERROR(E39-F39,"")</f>
        <v>120.637896201514</v>
      </c>
      <c r="H39" s="28" t="n">
        <f aca="false">IFERROR(LARGE(Model!$V$15:$V$120,27),"")</f>
        <v>0.337299692467693</v>
      </c>
      <c r="I39" s="10" t="str">
        <f aca="false">IFERROR(INDEX(Model!$W$15:$W$120,MATCH(LARGE(Model!$V$15:$V$120,27),Model!$V$15:$V$120,0)),"")</f>
        <v>fair</v>
      </c>
      <c r="J39" s="29" t="str">
        <f aca="false">IFERROR(INDEX(Model!$Y$15:$Y$120,MATCH(LARGE(Model!$V$15:$V$120,27),Model!$V$15:$V$120,0)),"")</f>
        <v>HIGH</v>
      </c>
    </row>
    <row r="40" customFormat="false" ht="15.75" hidden="false" customHeight="true" outlineLevel="0" collapsed="false">
      <c r="B40" s="30" t="n">
        <v>28</v>
      </c>
      <c r="C40" s="31" t="str">
        <f aca="false">IFERROR(INDEX(Model!$B$15:$B$120,MATCH(LARGE(Model!$V$15:$V$120,28),Model!$V$15:$V$120,0)),"")</f>
        <v>QATAR</v>
      </c>
      <c r="D40" s="30" t="str">
        <f aca="false">IFERROR(INDEX(Model!$C$15:$C$120,MATCH(LARGE(Model!$V$15:$V$120,28),Model!$V$15:$V$120,0)),"")</f>
        <v>QAT</v>
      </c>
      <c r="E40" s="32" t="n">
        <f aca="false">IFERROR(INDEX(Model!$E$15:$E$120,MATCH(LARGE(Model!$V$15:$V$120,28),Model!$V$15:$V$120,0)),"")</f>
        <v>70</v>
      </c>
      <c r="F40" s="32" t="n">
        <f aca="false">IFERROR(EXP(INDEX(Model!$T$15:$T$120,MATCH(LARGE(Model!$V$15:$V$120,28),Model!$V$15:$V$120,0))),"")</f>
        <v>63.6793584830996</v>
      </c>
      <c r="G40" s="32" t="n">
        <f aca="false">IFERROR(E40-F40,"")</f>
        <v>6.3206415169004</v>
      </c>
      <c r="H40" s="33" t="n">
        <f aca="false">IFERROR(LARGE(Model!$V$15:$V$120,28),"")</f>
        <v>0.235044733825128</v>
      </c>
      <c r="I40" s="34" t="str">
        <f aca="false">IFERROR(INDEX(Model!$W$15:$W$120,MATCH(LARGE(Model!$V$15:$V$120,28),Model!$V$15:$V$120,0)),"")</f>
        <v>fair</v>
      </c>
      <c r="J40" s="35" t="str">
        <f aca="false">IFERROR(INDEX(Model!$Y$15:$Y$120,MATCH(LARGE(Model!$V$15:$V$120,28),Model!$V$15:$V$120,0)),"")</f>
        <v>HIGH</v>
      </c>
    </row>
    <row r="41" customFormat="false" ht="15.75" hidden="false" customHeight="true" outlineLevel="0" collapsed="false">
      <c r="B41" s="25" t="n">
        <v>29</v>
      </c>
      <c r="C41" s="26" t="str">
        <f aca="false">IFERROR(INDEX(Model!$B$15:$B$120,MATCH(LARGE(Model!$V$15:$V$120,29),Model!$V$15:$V$120,0)),"")</f>
        <v>VIETNAM</v>
      </c>
      <c r="D41" s="25" t="str">
        <f aca="false">IFERROR(INDEX(Model!$C$15:$C$120,MATCH(LARGE(Model!$V$15:$V$120,29),Model!$V$15:$V$120,0)),"")</f>
        <v>VNM</v>
      </c>
      <c r="E41" s="27" t="n">
        <f aca="false">IFERROR(INDEX(Model!$E$15:$E$120,MATCH(LARGE(Model!$V$15:$V$120,29),Model!$V$15:$V$120,0)),"")</f>
        <v>130</v>
      </c>
      <c r="F41" s="27" t="n">
        <f aca="false">IFERROR(EXP(INDEX(Model!$T$15:$T$120,MATCH(LARGE(Model!$V$15:$V$120,29),Model!$V$15:$V$120,0))),"")</f>
        <v>120.116079208163</v>
      </c>
      <c r="G41" s="27" t="n">
        <f aca="false">IFERROR(E41-F41,"")</f>
        <v>9.88392079183655</v>
      </c>
      <c r="H41" s="28" t="n">
        <f aca="false">IFERROR(LARGE(Model!$V$15:$V$120,29),"")</f>
        <v>0.196400972408736</v>
      </c>
      <c r="I41" s="10" t="str">
        <f aca="false">IFERROR(INDEX(Model!$W$15:$W$120,MATCH(LARGE(Model!$V$15:$V$120,29),Model!$V$15:$V$120,0)),"")</f>
        <v>fair</v>
      </c>
      <c r="J41" s="29" t="str">
        <f aca="false">IFERROR(INDEX(Model!$Y$15:$Y$120,MATCH(LARGE(Model!$V$15:$V$120,29),Model!$V$15:$V$120,0)),"")</f>
        <v>HIGH</v>
      </c>
    </row>
    <row r="42" customFormat="false" ht="15.75" hidden="false" customHeight="true" outlineLevel="0" collapsed="false">
      <c r="B42" s="30" t="n">
        <v>30</v>
      </c>
      <c r="C42" s="31" t="str">
        <f aca="false">IFERROR(INDEX(Model!$B$15:$B$120,MATCH(LARGE(Model!$V$15:$V$120,30),Model!$V$15:$V$120,0)),"")</f>
        <v>KENYA</v>
      </c>
      <c r="D42" s="30" t="str">
        <f aca="false">IFERROR(INDEX(Model!$C$15:$C$120,MATCH(LARGE(Model!$V$15:$V$120,30),Model!$V$15:$V$120,0)),"")</f>
        <v>KEN</v>
      </c>
      <c r="E42" s="32" t="n">
        <f aca="false">IFERROR(INDEX(Model!$E$15:$E$120,MATCH(LARGE(Model!$V$15:$V$120,30),Model!$V$15:$V$120,0)),"")</f>
        <v>480</v>
      </c>
      <c r="F42" s="32" t="n">
        <f aca="false">IFERROR(EXP(INDEX(Model!$T$15:$T$120,MATCH(LARGE(Model!$V$15:$V$120,30),Model!$V$15:$V$120,0))),"")</f>
        <v>454.148836819037</v>
      </c>
      <c r="G42" s="32" t="n">
        <f aca="false">IFERROR(E42-F42,"")</f>
        <v>25.8511631809627</v>
      </c>
      <c r="H42" s="33" t="n">
        <f aca="false">IFERROR(LARGE(Model!$V$15:$V$120,30),"")</f>
        <v>0.137500627893396</v>
      </c>
      <c r="I42" s="34" t="str">
        <f aca="false">IFERROR(INDEX(Model!$W$15:$W$120,MATCH(LARGE(Model!$V$15:$V$120,30),Model!$V$15:$V$120,0)),"")</f>
        <v>fair</v>
      </c>
      <c r="J42" s="35" t="str">
        <f aca="false">IFERROR(INDEX(Model!$Y$15:$Y$120,MATCH(LARGE(Model!$V$15:$V$120,30),Model!$V$15:$V$120,0)),"")</f>
        <v>HIGH</v>
      </c>
    </row>
    <row r="43" customFormat="false" ht="15.75" hidden="false" customHeight="true" outlineLevel="0" collapsed="false">
      <c r="B43" s="25" t="n">
        <v>31</v>
      </c>
      <c r="C43" s="26" t="str">
        <f aca="false">IFERROR(INDEX(Model!$B$15:$B$120,MATCH(LARGE(Model!$V$15:$V$120,31),Model!$V$15:$V$120,0)),"")</f>
        <v>PERU</v>
      </c>
      <c r="D43" s="25" t="str">
        <f aca="false">IFERROR(INDEX(Model!$C$15:$C$120,MATCH(LARGE(Model!$V$15:$V$120,31),Model!$V$15:$V$120,0)),"")</f>
        <v>PER</v>
      </c>
      <c r="E43" s="27" t="n">
        <f aca="false">IFERROR(INDEX(Model!$E$15:$E$120,MATCH(LARGE(Model!$V$15:$V$120,31),Model!$V$15:$V$120,0)),"")</f>
        <v>165</v>
      </c>
      <c r="F43" s="27" t="n">
        <f aca="false">IFERROR(EXP(INDEX(Model!$T$15:$T$120,MATCH(LARGE(Model!$V$15:$V$120,31),Model!$V$15:$V$120,0))),"")</f>
        <v>156.529511444191</v>
      </c>
      <c r="G43" s="27" t="n">
        <f aca="false">IFERROR(E43-F43,"")</f>
        <v>8.4704885558088</v>
      </c>
      <c r="H43" s="28" t="n">
        <f aca="false">IFERROR(LARGE(Model!$V$15:$V$120,31),"")</f>
        <v>0.130893442191407</v>
      </c>
      <c r="I43" s="10" t="str">
        <f aca="false">IFERROR(INDEX(Model!$W$15:$W$120,MATCH(LARGE(Model!$V$15:$V$120,31),Model!$V$15:$V$120,0)),"")</f>
        <v>fair</v>
      </c>
      <c r="J43" s="29" t="str">
        <f aca="false">IFERROR(INDEX(Model!$Y$15:$Y$120,MATCH(LARGE(Model!$V$15:$V$120,31),Model!$V$15:$V$120,0)),"")</f>
        <v>HIGH</v>
      </c>
    </row>
    <row r="44" customFormat="false" ht="15.75" hidden="false" customHeight="true" outlineLevel="0" collapsed="false">
      <c r="B44" s="30" t="n">
        <v>32</v>
      </c>
      <c r="C44" s="31" t="str">
        <f aca="false">IFERROR(INDEX(Model!$B$15:$B$120,MATCH(LARGE(Model!$V$15:$V$120,32),Model!$V$15:$V$120,0)),"")</f>
        <v>MONGOLIA</v>
      </c>
      <c r="D44" s="30" t="str">
        <f aca="false">IFERROR(INDEX(Model!$C$15:$C$120,MATCH(LARGE(Model!$V$15:$V$120,32),Model!$V$15:$V$120,0)),"")</f>
        <v>MNG</v>
      </c>
      <c r="E44" s="32" t="n">
        <f aca="false">IFERROR(INDEX(Model!$E$15:$E$120,MATCH(LARGE(Model!$V$15:$V$120,32),Model!$V$15:$V$120,0)),"")</f>
        <v>360</v>
      </c>
      <c r="F44" s="32" t="n">
        <f aca="false">IFERROR(EXP(INDEX(Model!$T$15:$T$120,MATCH(LARGE(Model!$V$15:$V$120,32),Model!$V$15:$V$120,0))),"")</f>
        <v>344.898176163876</v>
      </c>
      <c r="G44" s="32" t="n">
        <f aca="false">IFERROR(E44-F44,"")</f>
        <v>15.1018238361244</v>
      </c>
      <c r="H44" s="33" t="n">
        <f aca="false">IFERROR(LARGE(Model!$V$15:$V$120,32),"")</f>
        <v>0.106438621413036</v>
      </c>
      <c r="I44" s="34" t="str">
        <f aca="false">IFERROR(INDEX(Model!$W$15:$W$120,MATCH(LARGE(Model!$V$15:$V$120,32),Model!$V$15:$V$120,0)),"")</f>
        <v>fair</v>
      </c>
      <c r="J44" s="35" t="str">
        <f aca="false">IFERROR(INDEX(Model!$Y$15:$Y$120,MATCH(LARGE(Model!$V$15:$V$120,32),Model!$V$15:$V$120,0)),"")</f>
        <v>HIGH</v>
      </c>
    </row>
    <row r="45" customFormat="false" ht="15.75" hidden="false" customHeight="true" outlineLevel="0" collapsed="false">
      <c r="B45" s="25" t="n">
        <v>33</v>
      </c>
      <c r="C45" s="26" t="str">
        <f aca="false">IFERROR(INDEX(Model!$B$15:$B$120,MATCH(LARGE(Model!$V$15:$V$120,33),Model!$V$15:$V$120,0)),"")</f>
        <v>ROMANIA</v>
      </c>
      <c r="D45" s="25" t="str">
        <f aca="false">IFERROR(INDEX(Model!$C$15:$C$120,MATCH(LARGE(Model!$V$15:$V$120,33),Model!$V$15:$V$120,0)),"")</f>
        <v>ROU</v>
      </c>
      <c r="E45" s="27" t="n">
        <f aca="false">IFERROR(INDEX(Model!$E$15:$E$120,MATCH(LARGE(Model!$V$15:$V$120,33),Model!$V$15:$V$120,0)),"")</f>
        <v>290</v>
      </c>
      <c r="F45" s="27" t="n">
        <f aca="false">IFERROR(EXP(INDEX(Model!$T$15:$T$120,MATCH(LARGE(Model!$V$15:$V$120,33),Model!$V$15:$V$120,0))),"")</f>
        <v>278.056710466481</v>
      </c>
      <c r="G45" s="27" t="n">
        <f aca="false">IFERROR(E45-F45,"")</f>
        <v>11.9432895335194</v>
      </c>
      <c r="H45" s="28" t="n">
        <f aca="false">IFERROR(LARGE(Model!$V$15:$V$120,33),"")</f>
        <v>0.104454231806655</v>
      </c>
      <c r="I45" s="10" t="str">
        <f aca="false">IFERROR(INDEX(Model!$W$15:$W$120,MATCH(LARGE(Model!$V$15:$V$120,33),Model!$V$15:$V$120,0)),"")</f>
        <v>fair</v>
      </c>
      <c r="J45" s="29" t="str">
        <f aca="false">IFERROR(INDEX(Model!$Y$15:$Y$120,MATCH(LARGE(Model!$V$15:$V$120,33),Model!$V$15:$V$120,0)),"")</f>
        <v>HIGH</v>
      </c>
    </row>
    <row r="46" customFormat="false" ht="15.75" hidden="false" customHeight="true" outlineLevel="0" collapsed="false">
      <c r="B46" s="30" t="n">
        <v>34</v>
      </c>
      <c r="C46" s="31" t="str">
        <f aca="false">IFERROR(INDEX(Model!$B$15:$B$120,MATCH(LARGE(Model!$V$15:$V$120,34),Model!$V$15:$V$120,0)),"")</f>
        <v>MEXICO</v>
      </c>
      <c r="D46" s="30" t="str">
        <f aca="false">IFERROR(INDEX(Model!$C$15:$C$120,MATCH(LARGE(Model!$V$15:$V$120,34),Model!$V$15:$V$120,0)),"")</f>
        <v>MEX</v>
      </c>
      <c r="E46" s="32" t="n">
        <f aca="false">IFERROR(INDEX(Model!$E$15:$E$120,MATCH(LARGE(Model!$V$15:$V$120,34),Model!$V$15:$V$120,0)),"")</f>
        <v>290</v>
      </c>
      <c r="F46" s="32" t="n">
        <f aca="false">IFERROR(EXP(INDEX(Model!$T$15:$T$120,MATCH(LARGE(Model!$V$15:$V$120,34),Model!$V$15:$V$120,0))),"")</f>
        <v>278.36660157132</v>
      </c>
      <c r="G46" s="32" t="n">
        <f aca="false">IFERROR(E46-F46,"")</f>
        <v>11.63339842868</v>
      </c>
      <c r="H46" s="33" t="n">
        <f aca="false">IFERROR(LARGE(Model!$V$15:$V$120,34),"")</f>
        <v>0.101687713126786</v>
      </c>
      <c r="I46" s="34" t="str">
        <f aca="false">IFERROR(INDEX(Model!$W$15:$W$120,MATCH(LARGE(Model!$V$15:$V$120,34),Model!$V$15:$V$120,0)),"")</f>
        <v>fair</v>
      </c>
      <c r="J46" s="35" t="str">
        <f aca="false">IFERROR(INDEX(Model!$Y$15:$Y$120,MATCH(LARGE(Model!$V$15:$V$120,34),Model!$V$15:$V$120,0)),"")</f>
        <v>HIGH</v>
      </c>
    </row>
    <row r="47" customFormat="false" ht="15.75" hidden="false" customHeight="true" outlineLevel="0" collapsed="false">
      <c r="B47" s="25" t="n">
        <v>35</v>
      </c>
      <c r="C47" s="26" t="str">
        <f aca="false">IFERROR(INDEX(Model!$B$15:$B$120,MATCH(LARGE(Model!$V$15:$V$120,35),Model!$V$15:$V$120,0)),"")</f>
        <v>PAKISTAN</v>
      </c>
      <c r="D47" s="25" t="str">
        <f aca="false">IFERROR(INDEX(Model!$C$15:$C$120,MATCH(LARGE(Model!$V$15:$V$120,35),Model!$V$15:$V$120,0)),"")</f>
        <v>PAK</v>
      </c>
      <c r="E47" s="27" t="n">
        <f aca="false">IFERROR(INDEX(Model!$E$15:$E$120,MATCH(LARGE(Model!$V$15:$V$120,35),Model!$V$15:$V$120,0)),"")</f>
        <v>700</v>
      </c>
      <c r="F47" s="27" t="n">
        <f aca="false">IFERROR(EXP(INDEX(Model!$T$15:$T$120,MATCH(LARGE(Model!$V$15:$V$120,35),Model!$V$15:$V$120,0))),"")</f>
        <v>680.257973398876</v>
      </c>
      <c r="G47" s="27" t="n">
        <f aca="false">IFERROR(E47-F47,"")</f>
        <v>19.7420266011241</v>
      </c>
      <c r="H47" s="28" t="n">
        <f aca="false">IFERROR(LARGE(Model!$V$15:$V$120,35),"")</f>
        <v>0.0710543801894829</v>
      </c>
      <c r="I47" s="10" t="str">
        <f aca="false">IFERROR(INDEX(Model!$W$15:$W$120,MATCH(LARGE(Model!$V$15:$V$120,35),Model!$V$15:$V$120,0)),"")</f>
        <v>fair</v>
      </c>
      <c r="J47" s="29" t="str">
        <f aca="false">IFERROR(INDEX(Model!$Y$15:$Y$120,MATCH(LARGE(Model!$V$15:$V$120,35),Model!$V$15:$V$120,0)),"")</f>
        <v>HIGH</v>
      </c>
    </row>
    <row r="48" customFormat="false" ht="15.75" hidden="false" customHeight="true" outlineLevel="0" collapsed="false">
      <c r="B48" s="30" t="n">
        <v>36</v>
      </c>
      <c r="C48" s="31" t="str">
        <f aca="false">IFERROR(INDEX(Model!$B$15:$B$120,MATCH(LARGE(Model!$V$15:$V$120,36),Model!$V$15:$V$120,0)),"")</f>
        <v>ISRAEL</v>
      </c>
      <c r="D48" s="30" t="str">
        <f aca="false">IFERROR(INDEX(Model!$C$15:$C$120,MATCH(LARGE(Model!$V$15:$V$120,36),Model!$V$15:$V$120,0)),"")</f>
        <v>ISR</v>
      </c>
      <c r="E48" s="32" t="n">
        <f aca="false">IFERROR(INDEX(Model!$E$15:$E$120,MATCH(LARGE(Model!$V$15:$V$120,36),Model!$V$15:$V$120,0)),"")</f>
        <v>150</v>
      </c>
      <c r="F48" s="32" t="n">
        <f aca="false">IFERROR(EXP(INDEX(Model!$T$15:$T$120,MATCH(LARGE(Model!$V$15:$V$120,36),Model!$V$15:$V$120,0))),"")</f>
        <v>145.914752398289</v>
      </c>
      <c r="G48" s="32" t="n">
        <f aca="false">IFERROR(E48-F48,"")</f>
        <v>4.08524760171102</v>
      </c>
      <c r="H48" s="33" t="n">
        <f aca="false">IFERROR(LARGE(Model!$V$15:$V$120,36),"")</f>
        <v>0.0685818393814969</v>
      </c>
      <c r="I48" s="34" t="str">
        <f aca="false">IFERROR(INDEX(Model!$W$15:$W$120,MATCH(LARGE(Model!$V$15:$V$120,36),Model!$V$15:$V$120,0)),"")</f>
        <v>fair</v>
      </c>
      <c r="J48" s="35" t="str">
        <f aca="false">IFERROR(INDEX(Model!$Y$15:$Y$120,MATCH(LARGE(Model!$V$15:$V$120,36),Model!$V$15:$V$120,0)),"")</f>
        <v>HIGH</v>
      </c>
    </row>
    <row r="49" customFormat="false" ht="15.75" hidden="false" customHeight="true" outlineLevel="0" collapsed="false">
      <c r="B49" s="25" t="n">
        <v>37</v>
      </c>
      <c r="C49" s="26" t="str">
        <f aca="false">IFERROR(INDEX(Model!$B$15:$B$120,MATCH(LARGE(Model!$V$15:$V$120,37),Model!$V$15:$V$120,0)),"")</f>
        <v>OMAN</v>
      </c>
      <c r="D49" s="25" t="str">
        <f aca="false">IFERROR(INDEX(Model!$C$15:$C$120,MATCH(LARGE(Model!$V$15:$V$120,37),Model!$V$15:$V$120,0)),"")</f>
        <v>OMN</v>
      </c>
      <c r="E49" s="27" t="n">
        <f aca="false">IFERROR(INDEX(Model!$E$15:$E$120,MATCH(LARGE(Model!$V$15:$V$120,37),Model!$V$15:$V$120,0)),"")</f>
        <v>200</v>
      </c>
      <c r="F49" s="27" t="n">
        <f aca="false">IFERROR(EXP(INDEX(Model!$T$15:$T$120,MATCH(LARGE(Model!$V$15:$V$120,37),Model!$V$15:$V$120,0))),"")</f>
        <v>198.102416197052</v>
      </c>
      <c r="G49" s="27" t="n">
        <f aca="false">IFERROR(E49-F49,"")</f>
        <v>1.89758380294791</v>
      </c>
      <c r="H49" s="28" t="n">
        <f aca="false">IFERROR(LARGE(Model!$V$15:$V$120,37),"")</f>
        <v>0.0236776833942341</v>
      </c>
      <c r="I49" s="10" t="str">
        <f aca="false">IFERROR(INDEX(Model!$W$15:$W$120,MATCH(LARGE(Model!$V$15:$V$120,37),Model!$V$15:$V$120,0)),"")</f>
        <v>fair</v>
      </c>
      <c r="J49" s="29" t="str">
        <f aca="false">IFERROR(INDEX(Model!$Y$15:$Y$120,MATCH(LARGE(Model!$V$15:$V$120,37),Model!$V$15:$V$120,0)),"")</f>
        <v>HIGH</v>
      </c>
    </row>
    <row r="50" customFormat="false" ht="15.75" hidden="false" customHeight="true" outlineLevel="0" collapsed="false">
      <c r="B50" s="30" t="n">
        <v>38</v>
      </c>
      <c r="C50" s="31" t="str">
        <f aca="false">IFERROR(INDEX(Model!$B$15:$B$120,MATCH(LARGE(Model!$V$15:$V$120,38),Model!$V$15:$V$120,0)),"")</f>
        <v>DOMINICAN REPUBLIC</v>
      </c>
      <c r="D50" s="30" t="str">
        <f aca="false">IFERROR(INDEX(Model!$C$15:$C$120,MATCH(LARGE(Model!$V$15:$V$120,38),Model!$V$15:$V$120,0)),"")</f>
        <v>DOM</v>
      </c>
      <c r="E50" s="32" t="n">
        <f aca="false">IFERROR(INDEX(Model!$E$15:$E$120,MATCH(LARGE(Model!$V$15:$V$120,38),Model!$V$15:$V$120,0)),"")</f>
        <v>290</v>
      </c>
      <c r="F50" s="32" t="n">
        <f aca="false">IFERROR(EXP(INDEX(Model!$T$15:$T$120,MATCH(LARGE(Model!$V$15:$V$120,38),Model!$V$15:$V$120,0))),"")</f>
        <v>302.447139042113</v>
      </c>
      <c r="G50" s="32" t="n">
        <f aca="false">IFERROR(E50-F50,"")</f>
        <v>-12.447139042113</v>
      </c>
      <c r="H50" s="33" t="n">
        <f aca="false">IFERROR(LARGE(Model!$V$15:$V$120,38),"")</f>
        <v>-0.104379116268287</v>
      </c>
      <c r="I50" s="34" t="str">
        <f aca="false">IFERROR(INDEX(Model!$W$15:$W$120,MATCH(LARGE(Model!$V$15:$V$120,38),Model!$V$15:$V$120,0)),"")</f>
        <v>fair</v>
      </c>
      <c r="J50" s="35" t="str">
        <f aca="false">IFERROR(INDEX(Model!$Y$15:$Y$120,MATCH(LARGE(Model!$V$15:$V$120,38),Model!$V$15:$V$120,0)),"")</f>
        <v>HIGH</v>
      </c>
    </row>
    <row r="51" customFormat="false" ht="15.75" hidden="false" customHeight="true" outlineLevel="0" collapsed="false">
      <c r="B51" s="25" t="n">
        <v>39</v>
      </c>
      <c r="C51" s="26" t="str">
        <f aca="false">IFERROR(INDEX(Model!$B$15:$B$120,MATCH(LARGE(Model!$V$15:$V$120,39),Model!$V$15:$V$120,0)),"")</f>
        <v>NORTH MACEDONIA</v>
      </c>
      <c r="D51" s="25" t="str">
        <f aca="false">IFERROR(INDEX(Model!$C$15:$C$120,MATCH(LARGE(Model!$V$15:$V$120,39),Model!$V$15:$V$120,0)),"")</f>
        <v>MKD</v>
      </c>
      <c r="E51" s="27" t="n">
        <f aca="false">IFERROR(INDEX(Model!$E$15:$E$120,MATCH(LARGE(Model!$V$15:$V$120,39),Model!$V$15:$V$120,0)),"")</f>
        <v>270</v>
      </c>
      <c r="F51" s="27" t="n">
        <f aca="false">IFERROR(EXP(INDEX(Model!$T$15:$T$120,MATCH(LARGE(Model!$V$15:$V$120,39),Model!$V$15:$V$120,0))),"")</f>
        <v>286.175352183936</v>
      </c>
      <c r="G51" s="27" t="n">
        <f aca="false">IFERROR(E51-F51,"")</f>
        <v>-16.1753521839358</v>
      </c>
      <c r="H51" s="28" t="n">
        <f aca="false">IFERROR(LARGE(Model!$V$15:$V$120,39),"")</f>
        <v>-0.14450879082548</v>
      </c>
      <c r="I51" s="10" t="str">
        <f aca="false">IFERROR(INDEX(Model!$W$15:$W$120,MATCH(LARGE(Model!$V$15:$V$120,39),Model!$V$15:$V$120,0)),"")</f>
        <v>fair</v>
      </c>
      <c r="J51" s="29" t="str">
        <f aca="false">IFERROR(INDEX(Model!$Y$15:$Y$120,MATCH(LARGE(Model!$V$15:$V$120,39),Model!$V$15:$V$120,0)),"")</f>
        <v>HIGH</v>
      </c>
    </row>
    <row r="52" customFormat="false" ht="15.75" hidden="false" customHeight="true" outlineLevel="0" collapsed="false">
      <c r="B52" s="30" t="n">
        <v>40</v>
      </c>
      <c r="C52" s="31" t="str">
        <f aca="false">IFERROR(INDEX(Model!$B$15:$B$120,MATCH(LARGE(Model!$V$15:$V$120,40),Model!$V$15:$V$120,0)),"")</f>
        <v>NAMIBIA</v>
      </c>
      <c r="D52" s="30" t="str">
        <f aca="false">IFERROR(INDEX(Model!$C$15:$C$120,MATCH(LARGE(Model!$V$15:$V$120,40),Model!$V$15:$V$120,0)),"")</f>
        <v>NAM</v>
      </c>
      <c r="E52" s="32" t="n">
        <f aca="false">IFERROR(INDEX(Model!$E$15:$E$120,MATCH(LARGE(Model!$V$15:$V$120,40),Model!$V$15:$V$120,0)),"")</f>
        <v>310</v>
      </c>
      <c r="F52" s="32" t="n">
        <f aca="false">IFERROR(EXP(INDEX(Model!$T$15:$T$120,MATCH(LARGE(Model!$V$15:$V$120,40),Model!$V$15:$V$120,0))),"")</f>
        <v>328.637430401842</v>
      </c>
      <c r="G52" s="32" t="n">
        <f aca="false">IFERROR(E52-F52,"")</f>
        <v>-18.6374304018419</v>
      </c>
      <c r="H52" s="33" t="n">
        <f aca="false">IFERROR(LARGE(Model!$V$15:$V$120,40),"")</f>
        <v>-0.145005598317854</v>
      </c>
      <c r="I52" s="34" t="str">
        <f aca="false">IFERROR(INDEX(Model!$W$15:$W$120,MATCH(LARGE(Model!$V$15:$V$120,40),Model!$V$15:$V$120,0)),"")</f>
        <v>fair</v>
      </c>
      <c r="J52" s="35" t="str">
        <f aca="false">IFERROR(INDEX(Model!$Y$15:$Y$120,MATCH(LARGE(Model!$V$15:$V$120,40),Model!$V$15:$V$120,0)),"")</f>
        <v>HIGH</v>
      </c>
    </row>
    <row r="53" customFormat="false" ht="15.75" hidden="false" customHeight="true" outlineLevel="0" collapsed="false">
      <c r="B53" s="25" t="n">
        <v>41</v>
      </c>
      <c r="C53" s="26" t="str">
        <f aca="false">IFERROR(INDEX(Model!$B$15:$B$120,MATCH(LARGE(Model!$V$15:$V$120,41),Model!$V$15:$V$120,0)),"")</f>
        <v>COSTA RICA</v>
      </c>
      <c r="D53" s="25" t="str">
        <f aca="false">IFERROR(INDEX(Model!$C$15:$C$120,MATCH(LARGE(Model!$V$15:$V$120,41),Model!$V$15:$V$120,0)),"")</f>
        <v>CRI</v>
      </c>
      <c r="E53" s="27" t="n">
        <f aca="false">IFERROR(INDEX(Model!$E$15:$E$120,MATCH(LARGE(Model!$V$15:$V$120,41),Model!$V$15:$V$120,0)),"")</f>
        <v>280</v>
      </c>
      <c r="F53" s="27" t="n">
        <f aca="false">IFERROR(EXP(INDEX(Model!$T$15:$T$120,MATCH(LARGE(Model!$V$15:$V$120,41),Model!$V$15:$V$120,0))),"")</f>
        <v>297.598833311579</v>
      </c>
      <c r="G53" s="27" t="n">
        <f aca="false">IFERROR(E53-F53,"")</f>
        <v>-17.5988333115794</v>
      </c>
      <c r="H53" s="28" t="n">
        <f aca="false">IFERROR(LARGE(Model!$V$15:$V$120,41),"")</f>
        <v>-0.151398574759317</v>
      </c>
      <c r="I53" s="10" t="str">
        <f aca="false">IFERROR(INDEX(Model!$W$15:$W$120,MATCH(LARGE(Model!$V$15:$V$120,41),Model!$V$15:$V$120,0)),"")</f>
        <v>fair</v>
      </c>
      <c r="J53" s="29" t="str">
        <f aca="false">IFERROR(INDEX(Model!$Y$15:$Y$120,MATCH(LARGE(Model!$V$15:$V$120,41),Model!$V$15:$V$120,0)),"")</f>
        <v>HIGH</v>
      </c>
    </row>
    <row r="54" customFormat="false" ht="15.75" hidden="false" customHeight="true" outlineLevel="0" collapsed="false">
      <c r="B54" s="30" t="n">
        <v>42</v>
      </c>
      <c r="C54" s="31" t="str">
        <f aca="false">IFERROR(INDEX(Model!$B$15:$B$120,MATCH(LARGE(Model!$V$15:$V$120,42),Model!$V$15:$V$120,0)),"")</f>
        <v>MOROCCO</v>
      </c>
      <c r="D54" s="30" t="str">
        <f aca="false">IFERROR(INDEX(Model!$C$15:$C$120,MATCH(LARGE(Model!$V$15:$V$120,42),Model!$V$15:$V$120,0)),"")</f>
        <v>MAR</v>
      </c>
      <c r="E54" s="32" t="n">
        <f aca="false">IFERROR(INDEX(Model!$E$15:$E$120,MATCH(LARGE(Model!$V$15:$V$120,42),Model!$V$15:$V$120,0)),"")</f>
        <v>230</v>
      </c>
      <c r="F54" s="32" t="n">
        <f aca="false">IFERROR(EXP(INDEX(Model!$T$15:$T$120,MATCH(LARGE(Model!$V$15:$V$120,42),Model!$V$15:$V$120,0))),"")</f>
        <v>260.476780605201</v>
      </c>
      <c r="G54" s="32" t="n">
        <f aca="false">IFERROR(E54-F54,"")</f>
        <v>-30.4767806052005</v>
      </c>
      <c r="H54" s="33" t="n">
        <f aca="false">IFERROR(LARGE(Model!$V$15:$V$120,42),"")</f>
        <v>-0.309058207311118</v>
      </c>
      <c r="I54" s="34" t="str">
        <f aca="false">IFERROR(INDEX(Model!$W$15:$W$120,MATCH(LARGE(Model!$V$15:$V$120,42),Model!$V$15:$V$120,0)),"")</f>
        <v>fair</v>
      </c>
      <c r="J54" s="35" t="str">
        <f aca="false">IFERROR(INDEX(Model!$Y$15:$Y$120,MATCH(LARGE(Model!$V$15:$V$120,42),Model!$V$15:$V$120,0)),"")</f>
        <v>HIGH</v>
      </c>
    </row>
    <row r="55" customFormat="false" ht="15.75" hidden="false" customHeight="true" outlineLevel="0" collapsed="false">
      <c r="B55" s="25" t="n">
        <v>43</v>
      </c>
      <c r="C55" s="26" t="str">
        <f aca="false">IFERROR(INDEX(Model!$B$15:$B$120,MATCH(LARGE(Model!$V$15:$V$120,43),Model!$V$15:$V$120,0)),"")</f>
        <v>SRI LANKA</v>
      </c>
      <c r="D55" s="25" t="str">
        <f aca="false">IFERROR(INDEX(Model!$C$15:$C$120,MATCH(LARGE(Model!$V$15:$V$120,43),Model!$V$15:$V$120,0)),"")</f>
        <v>LKA</v>
      </c>
      <c r="E55" s="27" t="n">
        <f aca="false">IFERROR(INDEX(Model!$E$15:$E$120,MATCH(LARGE(Model!$V$15:$V$120,43),Model!$V$15:$V$120,0)),"")</f>
        <v>700</v>
      </c>
      <c r="F55" s="27" t="n">
        <f aca="false">IFERROR(EXP(INDEX(Model!$T$15:$T$120,MATCH(LARGE(Model!$V$15:$V$120,43),Model!$V$15:$V$120,0))),"")</f>
        <v>796.876751296514</v>
      </c>
      <c r="G55" s="27" t="n">
        <f aca="false">IFERROR(E55-F55,"")</f>
        <v>-96.8767512965143</v>
      </c>
      <c r="H55" s="28" t="n">
        <f aca="false">IFERROR(LARGE(Model!$V$15:$V$120,43),"")</f>
        <v>-0.321936897808561</v>
      </c>
      <c r="I55" s="10" t="str">
        <f aca="false">IFERROR(INDEX(Model!$W$15:$W$120,MATCH(LARGE(Model!$V$15:$V$120,43),Model!$V$15:$V$120,0)),"")</f>
        <v>fair</v>
      </c>
      <c r="J55" s="29" t="str">
        <f aca="false">IFERROR(INDEX(Model!$Y$15:$Y$120,MATCH(LARGE(Model!$V$15:$V$120,43),Model!$V$15:$V$120,0)),"")</f>
        <v>HIGH</v>
      </c>
    </row>
    <row r="56" customFormat="false" ht="15.75" hidden="false" customHeight="true" outlineLevel="0" collapsed="false">
      <c r="B56" s="30" t="n">
        <v>44</v>
      </c>
      <c r="C56" s="31" t="str">
        <f aca="false">IFERROR(INDEX(Model!$B$15:$B$120,MATCH(LARGE(Model!$V$15:$V$120,44),Model!$V$15:$V$120,0)),"")</f>
        <v>POLAND</v>
      </c>
      <c r="D56" s="30" t="str">
        <f aca="false">IFERROR(INDEX(Model!$C$15:$C$120,MATCH(LARGE(Model!$V$15:$V$120,44),Model!$V$15:$V$120,0)),"")</f>
        <v>POL</v>
      </c>
      <c r="E56" s="32" t="n">
        <f aca="false">IFERROR(INDEX(Model!$E$15:$E$120,MATCH(LARGE(Model!$V$15:$V$120,44),Model!$V$15:$V$120,0)),"")</f>
        <v>140</v>
      </c>
      <c r="F56" s="32" t="n">
        <f aca="false">IFERROR(EXP(INDEX(Model!$T$15:$T$120,MATCH(LARGE(Model!$V$15:$V$120,44),Model!$V$15:$V$120,0))),"")</f>
        <v>161.947400154287</v>
      </c>
      <c r="G56" s="32" t="n">
        <f aca="false">IFERROR(E56-F56,"")</f>
        <v>-21.9474001542867</v>
      </c>
      <c r="H56" s="33" t="n">
        <f aca="false">IFERROR(LARGE(Model!$V$15:$V$120,44),"")</f>
        <v>-0.361699697733829</v>
      </c>
      <c r="I56" s="34" t="str">
        <f aca="false">IFERROR(INDEX(Model!$W$15:$W$120,MATCH(LARGE(Model!$V$15:$V$120,44),Model!$V$15:$V$120,0)),"")</f>
        <v>fair</v>
      </c>
      <c r="J56" s="35" t="str">
        <f aca="false">IFERROR(INDEX(Model!$Y$15:$Y$120,MATCH(LARGE(Model!$V$15:$V$120,44),Model!$V$15:$V$120,0)),"")</f>
        <v>HIGH</v>
      </c>
    </row>
    <row r="57" customFormat="false" ht="15.75" hidden="false" customHeight="true" outlineLevel="0" collapsed="false">
      <c r="B57" s="25" t="n">
        <v>45</v>
      </c>
      <c r="C57" s="26" t="str">
        <f aca="false">IFERROR(INDEX(Model!$B$15:$B$120,MATCH(LARGE(Model!$V$15:$V$120,45),Model!$V$15:$V$120,0)),"")</f>
        <v>TRINIDAD &amp; TOBAGO</v>
      </c>
      <c r="D57" s="25" t="str">
        <f aca="false">IFERROR(INDEX(Model!$C$15:$C$120,MATCH(LARGE(Model!$V$15:$V$120,45),Model!$V$15:$V$120,0)),"")</f>
        <v>TTO</v>
      </c>
      <c r="E57" s="27" t="n">
        <f aca="false">IFERROR(INDEX(Model!$E$15:$E$120,MATCH(LARGE(Model!$V$15:$V$120,45),Model!$V$15:$V$120,0)),"")</f>
        <v>210</v>
      </c>
      <c r="F57" s="27" t="n">
        <f aca="false">IFERROR(EXP(INDEX(Model!$T$15:$T$120,MATCH(LARGE(Model!$V$15:$V$120,45),Model!$V$15:$V$120,0))),"")</f>
        <v>251.366257199657</v>
      </c>
      <c r="G57" s="27" t="n">
        <f aca="false">IFERROR(E57-F57,"")</f>
        <v>-41.3662571996568</v>
      </c>
      <c r="H57" s="28" t="n">
        <f aca="false">IFERROR(LARGE(Model!$V$15:$V$120,45),"")</f>
        <v>-0.446578698204302</v>
      </c>
      <c r="I57" s="10" t="str">
        <f aca="false">IFERROR(INDEX(Model!$W$15:$W$120,MATCH(LARGE(Model!$V$15:$V$120,45),Model!$V$15:$V$120,0)),"")</f>
        <v>fair</v>
      </c>
      <c r="J57" s="29" t="str">
        <f aca="false">IFERROR(INDEX(Model!$Y$15:$Y$120,MATCH(LARGE(Model!$V$15:$V$120,45),Model!$V$15:$V$120,0)),"")</f>
        <v>HIGH</v>
      </c>
    </row>
    <row r="58" customFormat="false" ht="15.75" hidden="false" customHeight="true" outlineLevel="0" collapsed="false">
      <c r="B58" s="30" t="n">
        <v>46</v>
      </c>
      <c r="C58" s="31" t="str">
        <f aca="false">IFERROR(INDEX(Model!$B$15:$B$120,MATCH(LARGE(Model!$V$15:$V$120,46),Model!$V$15:$V$120,0)),"")</f>
        <v>JAMAICA</v>
      </c>
      <c r="D58" s="30" t="str">
        <f aca="false">IFERROR(INDEX(Model!$C$15:$C$120,MATCH(LARGE(Model!$V$15:$V$120,46),Model!$V$15:$V$120,0)),"")</f>
        <v>JAM</v>
      </c>
      <c r="E58" s="32" t="n">
        <f aca="false">IFERROR(INDEX(Model!$E$15:$E$120,MATCH(LARGE(Model!$V$15:$V$120,46),Model!$V$15:$V$120,0)),"")</f>
        <v>320</v>
      </c>
      <c r="F58" s="32" t="n">
        <f aca="false">IFERROR(EXP(INDEX(Model!$T$15:$T$120,MATCH(LARGE(Model!$V$15:$V$120,46),Model!$V$15:$V$120,0))),"")</f>
        <v>393.589324036087</v>
      </c>
      <c r="G58" s="32" t="n">
        <f aca="false">IFERROR(E58-F58,"")</f>
        <v>-73.5893240360867</v>
      </c>
      <c r="H58" s="33" t="n">
        <f aca="false">IFERROR(LARGE(Model!$V$15:$V$120,46),"")</f>
        <v>-0.514094476514548</v>
      </c>
      <c r="I58" s="34" t="str">
        <f aca="false">IFERROR(INDEX(Model!$W$15:$W$120,MATCH(LARGE(Model!$V$15:$V$120,46),Model!$V$15:$V$120,0)),"")</f>
        <v>slightly rich</v>
      </c>
      <c r="J58" s="35" t="str">
        <f aca="false">IFERROR(INDEX(Model!$Y$15:$Y$120,MATCH(LARGE(Model!$V$15:$V$120,46),Model!$V$15:$V$120,0)),"")</f>
        <v>HIGH</v>
      </c>
    </row>
    <row r="59" customFormat="false" ht="15.75" hidden="false" customHeight="true" outlineLevel="0" collapsed="false">
      <c r="B59" s="25" t="n">
        <v>47</v>
      </c>
      <c r="C59" s="26" t="str">
        <f aca="false">IFERROR(INDEX(Model!$B$15:$B$120,MATCH(LARGE(Model!$V$15:$V$120,47),Model!$V$15:$V$120,0)),"")</f>
        <v>EGYPT</v>
      </c>
      <c r="D59" s="25" t="str">
        <f aca="false">IFERROR(INDEX(Model!$C$15:$C$120,MATCH(LARGE(Model!$V$15:$V$120,47),Model!$V$15:$V$120,0)),"")</f>
        <v>EGY</v>
      </c>
      <c r="E59" s="27" t="n">
        <f aca="false">IFERROR(INDEX(Model!$E$15:$E$120,MATCH(LARGE(Model!$V$15:$V$120,47),Model!$V$15:$V$120,0)),"")</f>
        <v>580</v>
      </c>
      <c r="F59" s="27" t="n">
        <f aca="false">IFERROR(EXP(INDEX(Model!$T$15:$T$120,MATCH(LARGE(Model!$V$15:$V$120,47),Model!$V$15:$V$120,0))),"")</f>
        <v>731.077580841464</v>
      </c>
      <c r="G59" s="27" t="n">
        <f aca="false">IFERROR(E59-F59,"")</f>
        <v>-151.077580841464</v>
      </c>
      <c r="H59" s="28" t="n">
        <f aca="false">IFERROR(LARGE(Model!$V$15:$V$120,47),"")</f>
        <v>-0.574956231300252</v>
      </c>
      <c r="I59" s="10" t="str">
        <f aca="false">IFERROR(INDEX(Model!$W$15:$W$120,MATCH(LARGE(Model!$V$15:$V$120,47),Model!$V$15:$V$120,0)),"")</f>
        <v>slightly rich</v>
      </c>
      <c r="J59" s="29" t="str">
        <f aca="false">IFERROR(INDEX(Model!$Y$15:$Y$120,MATCH(LARGE(Model!$V$15:$V$120,47),Model!$V$15:$V$120,0)),"")</f>
        <v>HIGH</v>
      </c>
    </row>
    <row r="60" customFormat="false" ht="15.75" hidden="false" customHeight="true" outlineLevel="0" collapsed="false">
      <c r="B60" s="30" t="n">
        <v>48</v>
      </c>
      <c r="C60" s="31" t="str">
        <f aca="false">IFERROR(INDEX(Model!$B$15:$B$120,MATCH(LARGE(Model!$V$15:$V$120,48),Model!$V$15:$V$120,0)),"")</f>
        <v>TUNISIA</v>
      </c>
      <c r="D60" s="30" t="str">
        <f aca="false">IFERROR(INDEX(Model!$C$15:$C$120,MATCH(LARGE(Model!$V$15:$V$120,48),Model!$V$15:$V$120,0)),"")</f>
        <v>TUN</v>
      </c>
      <c r="E60" s="32" t="n">
        <f aca="false">IFERROR(INDEX(Model!$E$15:$E$120,MATCH(LARGE(Model!$V$15:$V$120,48),Model!$V$15:$V$120,0)),"")</f>
        <v>580</v>
      </c>
      <c r="F60" s="32" t="n">
        <f aca="false">IFERROR(EXP(INDEX(Model!$T$15:$T$120,MATCH(LARGE(Model!$V$15:$V$120,48),Model!$V$15:$V$120,0))),"")</f>
        <v>746.840727771014</v>
      </c>
      <c r="G60" s="32" t="n">
        <f aca="false">IFERROR(E60-F60,"")</f>
        <v>-166.840727771014</v>
      </c>
      <c r="H60" s="33" t="n">
        <f aca="false">IFERROR(LARGE(Model!$V$15:$V$120,48),"")</f>
        <v>-0.62793949810404</v>
      </c>
      <c r="I60" s="34" t="str">
        <f aca="false">IFERROR(INDEX(Model!$W$15:$W$120,MATCH(LARGE(Model!$V$15:$V$120,48),Model!$V$15:$V$120,0)),"")</f>
        <v>slightly rich</v>
      </c>
      <c r="J60" s="35" t="str">
        <f aca="false">IFERROR(INDEX(Model!$Y$15:$Y$120,MATCH(LARGE(Model!$V$15:$V$120,48),Model!$V$15:$V$120,0)),"")</f>
        <v>HIGH</v>
      </c>
    </row>
    <row r="61" customFormat="false" ht="15.75" hidden="false" customHeight="true" outlineLevel="0" collapsed="false">
      <c r="B61" s="25" t="n">
        <v>49</v>
      </c>
      <c r="C61" s="26" t="str">
        <f aca="false">IFERROR(INDEX(Model!$B$15:$B$120,MATCH(LARGE(Model!$V$15:$V$120,49),Model!$V$15:$V$120,0)),"")</f>
        <v>CHILE</v>
      </c>
      <c r="D61" s="25" t="str">
        <f aca="false">IFERROR(INDEX(Model!$C$15:$C$120,MATCH(LARGE(Model!$V$15:$V$120,49),Model!$V$15:$V$120,0)),"")</f>
        <v>CHL</v>
      </c>
      <c r="E61" s="27" t="n">
        <f aca="false">IFERROR(INDEX(Model!$E$15:$E$120,MATCH(LARGE(Model!$V$15:$V$120,49),Model!$V$15:$V$120,0)),"")</f>
        <v>130</v>
      </c>
      <c r="F61" s="27" t="n">
        <f aca="false">IFERROR(EXP(INDEX(Model!$T$15:$T$120,MATCH(LARGE(Model!$V$15:$V$120,49),Model!$V$15:$V$120,0))),"")</f>
        <v>170.000241116535</v>
      </c>
      <c r="G61" s="27" t="n">
        <f aca="false">IFERROR(E61-F61,"")</f>
        <v>-40.0002411165353</v>
      </c>
      <c r="H61" s="28" t="n">
        <f aca="false">IFERROR(LARGE(Model!$V$15:$V$120,49),"")</f>
        <v>-0.666291761542959</v>
      </c>
      <c r="I61" s="10" t="str">
        <f aca="false">IFERROR(INDEX(Model!$W$15:$W$120,MATCH(LARGE(Model!$V$15:$V$120,49),Model!$V$15:$V$120,0)),"")</f>
        <v>slightly rich</v>
      </c>
      <c r="J61" s="29" t="str">
        <f aca="false">IFERROR(INDEX(Model!$Y$15:$Y$120,MATCH(LARGE(Model!$V$15:$V$120,49),Model!$V$15:$V$120,0)),"")</f>
        <v>HIGH</v>
      </c>
    </row>
    <row r="62" customFormat="false" ht="15.75" hidden="false" customHeight="true" outlineLevel="0" collapsed="false">
      <c r="B62" s="30" t="n">
        <v>50</v>
      </c>
      <c r="C62" s="31" t="str">
        <f aca="false">IFERROR(INDEX(Model!$B$15:$B$120,MATCH(LARGE(Model!$V$15:$V$120,50),Model!$V$15:$V$120,0)),"")</f>
        <v>LATVIA</v>
      </c>
      <c r="D62" s="30" t="str">
        <f aca="false">IFERROR(INDEX(Model!$C$15:$C$120,MATCH(LARGE(Model!$V$15:$V$120,50),Model!$V$15:$V$120,0)),"")</f>
        <v>LVA</v>
      </c>
      <c r="E62" s="32" t="n">
        <f aca="false">IFERROR(INDEX(Model!$E$15:$E$120,MATCH(LARGE(Model!$V$15:$V$120,50),Model!$V$15:$V$120,0)),"")</f>
        <v>140</v>
      </c>
      <c r="F62" s="32" t="n">
        <f aca="false">IFERROR(EXP(INDEX(Model!$T$15:$T$120,MATCH(LARGE(Model!$V$15:$V$120,50),Model!$V$15:$V$120,0))),"")</f>
        <v>187.118418633227</v>
      </c>
      <c r="G62" s="32" t="n">
        <f aca="false">IFERROR(E62-F62,"")</f>
        <v>-47.1184186332274</v>
      </c>
      <c r="H62" s="33" t="n">
        <f aca="false">IFERROR(LARGE(Model!$V$15:$V$120,50),"")</f>
        <v>-0.720520558325408</v>
      </c>
      <c r="I62" s="34" t="str">
        <f aca="false">IFERROR(INDEX(Model!$W$15:$W$120,MATCH(LARGE(Model!$V$15:$V$120,50),Model!$V$15:$V$120,0)),"")</f>
        <v>slightly rich</v>
      </c>
      <c r="J62" s="35" t="str">
        <f aca="false">IFERROR(INDEX(Model!$Y$15:$Y$120,MATCH(LARGE(Model!$V$15:$V$120,50),Model!$V$15:$V$120,0)),"")</f>
        <v>HIGH</v>
      </c>
    </row>
    <row r="63" customFormat="false" ht="15.75" hidden="false" customHeight="true" outlineLevel="0" collapsed="false">
      <c r="B63" s="25" t="n">
        <v>51</v>
      </c>
      <c r="C63" s="26" t="str">
        <f aca="false">IFERROR(INDEX(Model!$B$15:$B$120,MATCH(LARGE(Model!$V$15:$V$120,51),Model!$V$15:$V$120,0)),"")</f>
        <v>INDONESIA</v>
      </c>
      <c r="D63" s="25" t="str">
        <f aca="false">IFERROR(INDEX(Model!$C$15:$C$120,MATCH(LARGE(Model!$V$15:$V$120,51),Model!$V$15:$V$120,0)),"")</f>
        <v>IDN</v>
      </c>
      <c r="E63" s="27" t="n">
        <f aca="false">IFERROR(INDEX(Model!$E$15:$E$120,MATCH(LARGE(Model!$V$15:$V$120,51),Model!$V$15:$V$120,0)),"")</f>
        <v>130</v>
      </c>
      <c r="F63" s="27" t="n">
        <f aca="false">IFERROR(EXP(INDEX(Model!$T$15:$T$120,MATCH(LARGE(Model!$V$15:$V$120,51),Model!$V$15:$V$120,0))),"")</f>
        <v>174.30266956617</v>
      </c>
      <c r="G63" s="27" t="n">
        <f aca="false">IFERROR(E63-F63,"")</f>
        <v>-44.30266956617</v>
      </c>
      <c r="H63" s="28" t="n">
        <f aca="false">IFERROR(LARGE(Model!$V$15:$V$120,51),"")</f>
        <v>-0.728367992165925</v>
      </c>
      <c r="I63" s="10" t="str">
        <f aca="false">IFERROR(INDEX(Model!$W$15:$W$120,MATCH(LARGE(Model!$V$15:$V$120,51),Model!$V$15:$V$120,0)),"")</f>
        <v>slightly rich</v>
      </c>
      <c r="J63" s="29" t="str">
        <f aca="false">IFERROR(INDEX(Model!$Y$15:$Y$120,MATCH(LARGE(Model!$V$15:$V$120,51),Model!$V$15:$V$120,0)),"")</f>
        <v>HIGH</v>
      </c>
    </row>
    <row r="64" customFormat="false" ht="15.75" hidden="false" customHeight="true" outlineLevel="0" collapsed="false">
      <c r="B64" s="30" t="n">
        <v>52</v>
      </c>
      <c r="C64" s="31" t="str">
        <f aca="false">IFERROR(INDEX(Model!$B$15:$B$120,MATCH(LARGE(Model!$V$15:$V$120,52),Model!$V$15:$V$120,0)),"")</f>
        <v>JORDAN</v>
      </c>
      <c r="D64" s="30" t="str">
        <f aca="false">IFERROR(INDEX(Model!$C$15:$C$120,MATCH(LARGE(Model!$V$15:$V$120,52),Model!$V$15:$V$120,0)),"")</f>
        <v>JOR</v>
      </c>
      <c r="E64" s="32" t="n">
        <f aca="false">IFERROR(INDEX(Model!$E$15:$E$120,MATCH(LARGE(Model!$V$15:$V$120,52),Model!$V$15:$V$120,0)),"")</f>
        <v>320</v>
      </c>
      <c r="F64" s="32" t="n">
        <f aca="false">IFERROR(EXP(INDEX(Model!$T$15:$T$120,MATCH(LARGE(Model!$V$15:$V$120,52),Model!$V$15:$V$120,0))),"")</f>
        <v>432.240334907151</v>
      </c>
      <c r="G64" s="32" t="n">
        <f aca="false">IFERROR(E64-F64,"")</f>
        <v>-112.240334907151</v>
      </c>
      <c r="H64" s="33" t="n">
        <f aca="false">IFERROR(LARGE(Model!$V$15:$V$120,52),"")</f>
        <v>-0.746752243977686</v>
      </c>
      <c r="I64" s="34" t="str">
        <f aca="false">IFERROR(INDEX(Model!$W$15:$W$120,MATCH(LARGE(Model!$V$15:$V$120,52),Model!$V$15:$V$120,0)),"")</f>
        <v>slightly rich</v>
      </c>
      <c r="J64" s="35" t="str">
        <f aca="false">IFERROR(INDEX(Model!$Y$15:$Y$120,MATCH(LARGE(Model!$V$15:$V$120,52),Model!$V$15:$V$120,0)),"")</f>
        <v>HIGH</v>
      </c>
    </row>
    <row r="65" customFormat="false" ht="15.75" hidden="false" customHeight="true" outlineLevel="0" collapsed="false">
      <c r="B65" s="25" t="n">
        <v>53</v>
      </c>
      <c r="C65" s="26" t="str">
        <f aca="false">IFERROR(INDEX(Model!$B$15:$B$120,MATCH(LARGE(Model!$V$15:$V$120,53),Model!$V$15:$V$120,0)),"")</f>
        <v>LITHUANIA</v>
      </c>
      <c r="D65" s="25" t="str">
        <f aca="false">IFERROR(INDEX(Model!$C$15:$C$120,MATCH(LARGE(Model!$V$15:$V$120,53),Model!$V$15:$V$120,0)),"")</f>
        <v>LTU</v>
      </c>
      <c r="E65" s="27" t="n">
        <f aca="false">IFERROR(INDEX(Model!$E$15:$E$120,MATCH(LARGE(Model!$V$15:$V$120,53),Model!$V$15:$V$120,0)),"")</f>
        <v>110</v>
      </c>
      <c r="F65" s="27" t="n">
        <f aca="false">IFERROR(EXP(INDEX(Model!$T$15:$T$120,MATCH(LARGE(Model!$V$15:$V$120,53),Model!$V$15:$V$120,0))),"")</f>
        <v>150.552002460626</v>
      </c>
      <c r="G65" s="27" t="n">
        <f aca="false">IFERROR(E65-F65,"")</f>
        <v>-40.5520024606263</v>
      </c>
      <c r="H65" s="28" t="n">
        <f aca="false">IFERROR(LARGE(Model!$V$15:$V$120,53),"")</f>
        <v>-0.779456216517643</v>
      </c>
      <c r="I65" s="10" t="str">
        <f aca="false">IFERROR(INDEX(Model!$W$15:$W$120,MATCH(LARGE(Model!$V$15:$V$120,53),Model!$V$15:$V$120,0)),"")</f>
        <v>slightly rich</v>
      </c>
      <c r="J65" s="29" t="str">
        <f aca="false">IFERROR(INDEX(Model!$Y$15:$Y$120,MATCH(LARGE(Model!$V$15:$V$120,53),Model!$V$15:$V$120,0)),"")</f>
        <v>HIGH</v>
      </c>
    </row>
    <row r="66" customFormat="false" ht="15.75" hidden="false" customHeight="true" outlineLevel="0" collapsed="false">
      <c r="B66" s="30" t="n">
        <v>54</v>
      </c>
      <c r="C66" s="31" t="str">
        <f aca="false">IFERROR(INDEX(Model!$B$15:$B$120,MATCH(LARGE(Model!$V$15:$V$120,54),Model!$V$15:$V$120,0)),"")</f>
        <v>EL SALVADOR</v>
      </c>
      <c r="D66" s="30" t="str">
        <f aca="false">IFERROR(INDEX(Model!$C$15:$C$120,MATCH(LARGE(Model!$V$15:$V$120,54),Model!$V$15:$V$120,0)),"")</f>
        <v>SLV</v>
      </c>
      <c r="E66" s="32" t="n">
        <f aca="false">IFERROR(INDEX(Model!$E$15:$E$120,MATCH(LARGE(Model!$V$15:$V$120,54),Model!$V$15:$V$120,0)),"")</f>
        <v>480</v>
      </c>
      <c r="F66" s="32" t="n">
        <f aca="false">IFERROR(EXP(INDEX(Model!$T$15:$T$120,MATCH(LARGE(Model!$V$15:$V$120,54),Model!$V$15:$V$120,0))),"")</f>
        <v>674.430595842181</v>
      </c>
      <c r="G66" s="32" t="n">
        <f aca="false">IFERROR(E66-F66,"")</f>
        <v>-194.430595842181</v>
      </c>
      <c r="H66" s="33" t="n">
        <f aca="false">IFERROR(LARGE(Model!$V$15:$V$120,54),"")</f>
        <v>-0.84466456206577</v>
      </c>
      <c r="I66" s="34" t="str">
        <f aca="false">IFERROR(INDEX(Model!$W$15:$W$120,MATCH(LARGE(Model!$V$15:$V$120,54),Model!$V$15:$V$120,0)),"")</f>
        <v>slightly rich</v>
      </c>
      <c r="J66" s="35" t="str">
        <f aca="false">IFERROR(INDEX(Model!$Y$15:$Y$120,MATCH(LARGE(Model!$V$15:$V$120,54),Model!$V$15:$V$120,0)),"")</f>
        <v>HIGH</v>
      </c>
    </row>
    <row r="67" customFormat="false" ht="15.75" hidden="false" customHeight="true" outlineLevel="0" collapsed="false">
      <c r="B67" s="25" t="n">
        <v>55</v>
      </c>
      <c r="C67" s="26" t="str">
        <f aca="false">IFERROR(INDEX(Model!$B$15:$B$120,MATCH(LARGE(Model!$V$15:$V$120,55),Model!$V$15:$V$120,0)),"")</f>
        <v>ARGENTINA</v>
      </c>
      <c r="D67" s="25" t="str">
        <f aca="false">IFERROR(INDEX(Model!$C$15:$C$120,MATCH(LARGE(Model!$V$15:$V$120,55),Model!$V$15:$V$120,0)),"")</f>
        <v>ARG</v>
      </c>
      <c r="E67" s="27" t="n">
        <f aca="false">IFERROR(INDEX(Model!$E$15:$E$120,MATCH(LARGE(Model!$V$15:$V$120,55),Model!$V$15:$V$120,0)),"")</f>
        <v>600</v>
      </c>
      <c r="F67" s="27" t="n">
        <f aca="false">IFERROR(EXP(INDEX(Model!$T$15:$T$120,MATCH(LARGE(Model!$V$15:$V$120,55),Model!$V$15:$V$120,0))),"")</f>
        <v>860.300971651836</v>
      </c>
      <c r="G67" s="27" t="n">
        <f aca="false">IFERROR(E67-F67,"")</f>
        <v>-260.300971651836</v>
      </c>
      <c r="H67" s="28" t="n">
        <f aca="false">IFERROR(LARGE(Model!$V$15:$V$120,55),"")</f>
        <v>-0.895009161708716</v>
      </c>
      <c r="I67" s="10" t="str">
        <f aca="false">IFERROR(INDEX(Model!$W$15:$W$120,MATCH(LARGE(Model!$V$15:$V$120,55),Model!$V$15:$V$120,0)),"")</f>
        <v>slightly rich</v>
      </c>
      <c r="J67" s="29" t="str">
        <f aca="false">IFERROR(INDEX(Model!$Y$15:$Y$120,MATCH(LARGE(Model!$V$15:$V$120,55),Model!$V$15:$V$120,0)),"")</f>
        <v>HIGH</v>
      </c>
    </row>
    <row r="68" customFormat="false" ht="15.75" hidden="false" customHeight="true" outlineLevel="0" collapsed="false">
      <c r="B68" s="30" t="n">
        <v>56</v>
      </c>
      <c r="C68" s="31" t="str">
        <f aca="false">IFERROR(INDEX(Model!$B$15:$B$120,MATCH(LARGE(Model!$V$15:$V$120,56),Model!$V$15:$V$120,0)),"")</f>
        <v>HUNGARY</v>
      </c>
      <c r="D68" s="30" t="str">
        <f aca="false">IFERROR(INDEX(Model!$C$15:$C$120,MATCH(LARGE(Model!$V$15:$V$120,56),Model!$V$15:$V$120,0)),"")</f>
        <v>HUN</v>
      </c>
      <c r="E68" s="32" t="n">
        <f aca="false">IFERROR(INDEX(Model!$E$15:$E$120,MATCH(LARGE(Model!$V$15:$V$120,56),Model!$V$15:$V$120,0)),"")</f>
        <v>200</v>
      </c>
      <c r="F68" s="32" t="n">
        <f aca="false">IFERROR(EXP(INDEX(Model!$T$15:$T$120,MATCH(LARGE(Model!$V$15:$V$120,56),Model!$V$15:$V$120,0))),"")</f>
        <v>289.043815202984</v>
      </c>
      <c r="G68" s="32" t="n">
        <f aca="false">IFERROR(E68-F68,"")</f>
        <v>-89.0438152029844</v>
      </c>
      <c r="H68" s="33" t="n">
        <f aca="false">IFERROR(LARGE(Model!$V$15:$V$120,56),"")</f>
        <v>-0.914650985316561</v>
      </c>
      <c r="I68" s="34" t="str">
        <f aca="false">IFERROR(INDEX(Model!$W$15:$W$120,MATCH(LARGE(Model!$V$15:$V$120,56),Model!$V$15:$V$120,0)),"")</f>
        <v>slightly rich</v>
      </c>
      <c r="J68" s="35" t="str">
        <f aca="false">IFERROR(INDEX(Model!$Y$15:$Y$120,MATCH(LARGE(Model!$V$15:$V$120,56),Model!$V$15:$V$120,0)),"")</f>
        <v>HIGH</v>
      </c>
    </row>
    <row r="69" customFormat="false" ht="15.75" hidden="false" customHeight="true" outlineLevel="0" collapsed="false">
      <c r="B69" s="25" t="n">
        <v>57</v>
      </c>
      <c r="C69" s="26" t="str">
        <f aca="false">IFERROR(INDEX(Model!$B$15:$B$120,MATCH(LARGE(Model!$V$15:$V$120,57),Model!$V$15:$V$120,0)),"")</f>
        <v>MOZAMBIQUE</v>
      </c>
      <c r="D69" s="25" t="str">
        <f aca="false">IFERROR(INDEX(Model!$C$15:$C$120,MATCH(LARGE(Model!$V$15:$V$120,57),Model!$V$15:$V$120,0)),"")</f>
        <v>MOZ</v>
      </c>
      <c r="E69" s="27" t="n">
        <f aca="false">IFERROR(INDEX(Model!$E$15:$E$120,MATCH(LARGE(Model!$V$15:$V$120,57),Model!$V$15:$V$120,0)),"")</f>
        <v>850</v>
      </c>
      <c r="F69" s="27" t="n">
        <f aca="false">IFERROR(EXP(INDEX(Model!$T$15:$T$120,MATCH(LARGE(Model!$V$15:$V$120,57),Model!$V$15:$V$120,0))),"")</f>
        <v>1232.27322107418</v>
      </c>
      <c r="G69" s="27" t="n">
        <f aca="false">IFERROR(E69-F69,"")</f>
        <v>-382.273221074176</v>
      </c>
      <c r="H69" s="28" t="n">
        <f aca="false">IFERROR(LARGE(Model!$V$15:$V$120,57),"")</f>
        <v>-0.922396714645037</v>
      </c>
      <c r="I69" s="10" t="str">
        <f aca="false">IFERROR(INDEX(Model!$W$15:$W$120,MATCH(LARGE(Model!$V$15:$V$120,57),Model!$V$15:$V$120,0)),"")</f>
        <v>slightly rich</v>
      </c>
      <c r="J69" s="29" t="str">
        <f aca="false">IFERROR(INDEX(Model!$Y$15:$Y$120,MATCH(LARGE(Model!$V$15:$V$120,57),Model!$V$15:$V$120,0)),"")</f>
        <v>HIGH</v>
      </c>
    </row>
    <row r="70" customFormat="false" ht="15.75" hidden="false" customHeight="true" outlineLevel="0" collapsed="false">
      <c r="B70" s="30" t="n">
        <v>58</v>
      </c>
      <c r="C70" s="31" t="str">
        <f aca="false">IFERROR(INDEX(Model!$B$15:$B$120,MATCH(LARGE(Model!$V$15:$V$120,58),Model!$V$15:$V$120,0)),"")</f>
        <v>BAHRAIN</v>
      </c>
      <c r="D70" s="30" t="str">
        <f aca="false">IFERROR(INDEX(Model!$C$15:$C$120,MATCH(LARGE(Model!$V$15:$V$120,58),Model!$V$15:$V$120,0)),"")</f>
        <v>BHR</v>
      </c>
      <c r="E70" s="32" t="n">
        <f aca="false">IFERROR(INDEX(Model!$E$15:$E$120,MATCH(LARGE(Model!$V$15:$V$120,58),Model!$V$15:$V$120,0)),"")</f>
        <v>360</v>
      </c>
      <c r="F70" s="32" t="n">
        <f aca="false">IFERROR(EXP(INDEX(Model!$T$15:$T$120,MATCH(LARGE(Model!$V$15:$V$120,58),Model!$V$15:$V$120,0))),"")</f>
        <v>546.79408879083</v>
      </c>
      <c r="G70" s="32" t="n">
        <f aca="false">IFERROR(E70-F70,"")</f>
        <v>-186.79408879083</v>
      </c>
      <c r="H70" s="33" t="n">
        <f aca="false">IFERROR(LARGE(Model!$V$15:$V$120,58),"")</f>
        <v>-1.0381092938922</v>
      </c>
      <c r="I70" s="34" t="str">
        <f aca="false">IFERROR(INDEX(Model!$W$15:$W$120,MATCH(LARGE(Model!$V$15:$V$120,58),Model!$V$15:$V$120,0)),"")</f>
        <v>slightly rich</v>
      </c>
      <c r="J70" s="35" t="str">
        <f aca="false">IFERROR(INDEX(Model!$Y$15:$Y$120,MATCH(LARGE(Model!$V$15:$V$120,58),Model!$V$15:$V$120,0)),"")</f>
        <v>HIGH</v>
      </c>
    </row>
    <row r="71" customFormat="false" ht="15.75" hidden="false" customHeight="true" outlineLevel="0" collapsed="false">
      <c r="B71" s="25" t="n">
        <v>59</v>
      </c>
      <c r="C71" s="26" t="str">
        <f aca="false">IFERROR(INDEX(Model!$B$15:$B$120,MATCH(LARGE(Model!$V$15:$V$120,59),Model!$V$15:$V$120,0)),"")</f>
        <v>PHILIPPINES</v>
      </c>
      <c r="D71" s="25" t="str">
        <f aca="false">IFERROR(INDEX(Model!$C$15:$C$120,MATCH(LARGE(Model!$V$15:$V$120,59),Model!$V$15:$V$120,0)),"")</f>
        <v>PHL</v>
      </c>
      <c r="E71" s="27" t="n">
        <f aca="false">IFERROR(INDEX(Model!$E$15:$E$120,MATCH(LARGE(Model!$V$15:$V$120,59),Model!$V$15:$V$120,0)),"")</f>
        <v>100</v>
      </c>
      <c r="F71" s="27" t="n">
        <f aca="false">IFERROR(EXP(INDEX(Model!$T$15:$T$120,MATCH(LARGE(Model!$V$15:$V$120,59),Model!$V$15:$V$120,0))),"")</f>
        <v>155.781812551675</v>
      </c>
      <c r="G71" s="27" t="n">
        <f aca="false">IFERROR(E71-F71,"")</f>
        <v>-55.7818125516753</v>
      </c>
      <c r="H71" s="28" t="n">
        <f aca="false">IFERROR(LARGE(Model!$V$15:$V$120,59),"")</f>
        <v>-1.10099155842447</v>
      </c>
      <c r="I71" s="10" t="str">
        <f aca="false">IFERROR(INDEX(Model!$W$15:$W$120,MATCH(LARGE(Model!$V$15:$V$120,59),Model!$V$15:$V$120,0)),"")</f>
        <v>slightly rich</v>
      </c>
      <c r="J71" s="29" t="str">
        <f aca="false">IFERROR(INDEX(Model!$Y$15:$Y$120,MATCH(LARGE(Model!$V$15:$V$120,59),Model!$V$15:$V$120,0)),"")</f>
        <v>HIGH</v>
      </c>
    </row>
    <row r="72" customFormat="false" ht="15.75" hidden="false" customHeight="true" outlineLevel="0" collapsed="false">
      <c r="B72" s="30" t="n">
        <v>60</v>
      </c>
      <c r="C72" s="31" t="str">
        <f aca="false">IFERROR(INDEX(Model!$B$15:$B$120,MATCH(LARGE(Model!$V$15:$V$120,60),Model!$V$15:$V$120,0)),"")</f>
        <v>SOUTH AFRICA</v>
      </c>
      <c r="D72" s="30" t="str">
        <f aca="false">IFERROR(INDEX(Model!$C$15:$C$120,MATCH(LARGE(Model!$V$15:$V$120,60),Model!$V$15:$V$120,0)),"")</f>
        <v>ZAF</v>
      </c>
      <c r="E72" s="32" t="n">
        <f aca="false">IFERROR(INDEX(Model!$E$15:$E$120,MATCH(LARGE(Model!$V$15:$V$120,60),Model!$V$15:$V$120,0)),"")</f>
        <v>280</v>
      </c>
      <c r="F72" s="32" t="n">
        <f aca="false">IFERROR(EXP(INDEX(Model!$T$15:$T$120,MATCH(LARGE(Model!$V$15:$V$120,60),Model!$V$15:$V$120,0))),"")</f>
        <v>440.301068030961</v>
      </c>
      <c r="G72" s="32" t="n">
        <f aca="false">IFERROR(E72-F72,"")</f>
        <v>-160.301068030961</v>
      </c>
      <c r="H72" s="33" t="n">
        <f aca="false">IFERROR(LARGE(Model!$V$15:$V$120,60),"")</f>
        <v>-1.12429597705276</v>
      </c>
      <c r="I72" s="34" t="str">
        <f aca="false">IFERROR(INDEX(Model!$W$15:$W$120,MATCH(LARGE(Model!$V$15:$V$120,60),Model!$V$15:$V$120,0)),"")</f>
        <v>slightly rich</v>
      </c>
      <c r="J72" s="35" t="str">
        <f aca="false">IFERROR(INDEX(Model!$Y$15:$Y$120,MATCH(LARGE(Model!$V$15:$V$120,60),Model!$V$15:$V$120,0)),"")</f>
        <v>HIGH</v>
      </c>
    </row>
    <row r="73" customFormat="false" ht="15.75" hidden="false" customHeight="true" outlineLevel="0" collapsed="false">
      <c r="B73" s="25" t="n">
        <v>61</v>
      </c>
      <c r="C73" s="26" t="str">
        <f aca="false">IFERROR(INDEX(Model!$B$15:$B$120,MATCH(LARGE(Model!$V$15:$V$120,61),Model!$V$15:$V$120,0)),"")</f>
        <v>TURKEY</v>
      </c>
      <c r="D73" s="25" t="str">
        <f aca="false">IFERROR(INDEX(Model!$C$15:$C$120,MATCH(LARGE(Model!$V$15:$V$120,61),Model!$V$15:$V$120,0)),"")</f>
        <v>TUR</v>
      </c>
      <c r="E73" s="27" t="n">
        <f aca="false">IFERROR(INDEX(Model!$E$15:$E$120,MATCH(LARGE(Model!$V$15:$V$120,61),Model!$V$15:$V$120,0)),"")</f>
        <v>290</v>
      </c>
      <c r="F73" s="27" t="n">
        <f aca="false">IFERROR(EXP(INDEX(Model!$T$15:$T$120,MATCH(LARGE(Model!$V$15:$V$120,61),Model!$V$15:$V$120,0))),"")</f>
        <v>459.410023583507</v>
      </c>
      <c r="G73" s="27" t="n">
        <f aca="false">IFERROR(E73-F73,"")</f>
        <v>-169.410023583507</v>
      </c>
      <c r="H73" s="28" t="n">
        <f aca="false">IFERROR(LARGE(Model!$V$15:$V$120,61),"")</f>
        <v>-1.14265812374656</v>
      </c>
      <c r="I73" s="10" t="str">
        <f aca="false">IFERROR(INDEX(Model!$W$15:$W$120,MATCH(LARGE(Model!$V$15:$V$120,61),Model!$V$15:$V$120,0)),"")</f>
        <v>slightly rich</v>
      </c>
      <c r="J73" s="29" t="str">
        <f aca="false">IFERROR(INDEX(Model!$Y$15:$Y$120,MATCH(LARGE(Model!$V$15:$V$120,61),Model!$V$15:$V$120,0)),"")</f>
        <v>HIGH</v>
      </c>
    </row>
    <row r="74" customFormat="false" ht="15.75" hidden="false" customHeight="true" outlineLevel="0" collapsed="false">
      <c r="B74" s="30" t="n">
        <v>62</v>
      </c>
      <c r="C74" s="31" t="str">
        <f aca="false">IFERROR(INDEX(Model!$B$15:$B$120,MATCH(LARGE(Model!$V$15:$V$120,62),Model!$V$15:$V$120,0)),"")</f>
        <v>CROATIA</v>
      </c>
      <c r="D74" s="30" t="str">
        <f aca="false">IFERROR(INDEX(Model!$C$15:$C$120,MATCH(LARGE(Model!$V$15:$V$120,62),Model!$V$15:$V$120,0)),"")</f>
        <v>HRV</v>
      </c>
      <c r="E74" s="32" t="n">
        <f aca="false">IFERROR(INDEX(Model!$E$15:$E$120,MATCH(LARGE(Model!$V$15:$V$120,62),Model!$V$15:$V$120,0)),"")</f>
        <v>110</v>
      </c>
      <c r="F74" s="32" t="n">
        <f aca="false">IFERROR(EXP(INDEX(Model!$T$15:$T$120,MATCH(LARGE(Model!$V$15:$V$120,62),Model!$V$15:$V$120,0))),"")</f>
        <v>189.91174307008</v>
      </c>
      <c r="G74" s="32" t="n">
        <f aca="false">IFERROR(E74-F74,"")</f>
        <v>-79.9117430700801</v>
      </c>
      <c r="H74" s="33" t="n">
        <f aca="false">IFERROR(LARGE(Model!$V$15:$V$120,62),"")</f>
        <v>-1.35629861696151</v>
      </c>
      <c r="I74" s="34" t="str">
        <f aca="false">IFERROR(INDEX(Model!$W$15:$W$120,MATCH(LARGE(Model!$V$15:$V$120,62),Model!$V$15:$V$120,0)),"")</f>
        <v>slightly rich</v>
      </c>
      <c r="J74" s="35" t="str">
        <f aca="false">IFERROR(INDEX(Model!$Y$15:$Y$120,MATCH(LARGE(Model!$V$15:$V$120,62),Model!$V$15:$V$120,0)),"")</f>
        <v>HIGH</v>
      </c>
    </row>
    <row r="75" customFormat="false" ht="15.75" hidden="false" customHeight="true" outlineLevel="0" collapsed="false">
      <c r="B75" s="25" t="n">
        <v>63</v>
      </c>
      <c r="C75" s="26" t="str">
        <f aca="false">IFERROR(INDEX(Model!$B$15:$B$120,MATCH(LARGE(Model!$V$15:$V$120,63),Model!$V$15:$V$120,0)),"")</f>
        <v>BRAZIL</v>
      </c>
      <c r="D75" s="25" t="str">
        <f aca="false">IFERROR(INDEX(Model!$C$15:$C$120,MATCH(LARGE(Model!$V$15:$V$120,63),Model!$V$15:$V$120,0)),"")</f>
        <v>BRA</v>
      </c>
      <c r="E75" s="27" t="n">
        <f aca="false">IFERROR(INDEX(Model!$E$15:$E$120,MATCH(LARGE(Model!$V$15:$V$120,63),Model!$V$15:$V$120,0)),"")</f>
        <v>245</v>
      </c>
      <c r="F75" s="27" t="n">
        <f aca="false">IFERROR(EXP(INDEX(Model!$T$15:$T$120,MATCH(LARGE(Model!$V$15:$V$120,63),Model!$V$15:$V$120,0))),"")</f>
        <v>429.528031254905</v>
      </c>
      <c r="G75" s="27" t="n">
        <f aca="false">IFERROR(E75-F75,"")</f>
        <v>-184.528031254905</v>
      </c>
      <c r="H75" s="28" t="n">
        <f aca="false">IFERROR(LARGE(Model!$V$15:$V$120,63),"")</f>
        <v>-1.3944227358512</v>
      </c>
      <c r="I75" s="10" t="str">
        <f aca="false">IFERROR(INDEX(Model!$W$15:$W$120,MATCH(LARGE(Model!$V$15:$V$120,63),Model!$V$15:$V$120,0)),"")</f>
        <v>slightly rich</v>
      </c>
      <c r="J75" s="29" t="str">
        <f aca="false">IFERROR(INDEX(Model!$Y$15:$Y$120,MATCH(LARGE(Model!$V$15:$V$120,63),Model!$V$15:$V$120,0)),"")</f>
        <v>HIGH</v>
      </c>
    </row>
    <row r="76" customFormat="false" ht="15.75" hidden="false" customHeight="true" outlineLevel="0" collapsed="false">
      <c r="B76" s="30" t="n">
        <v>64</v>
      </c>
      <c r="C76" s="31" t="str">
        <f aca="false">IFERROR(INDEX(Model!$B$15:$B$120,MATCH(LARGE(Model!$V$15:$V$120,64),Model!$V$15:$V$120,0)),"")</f>
        <v>SLOVAKIA</v>
      </c>
      <c r="D76" s="30" t="str">
        <f aca="false">IFERROR(INDEX(Model!$C$15:$C$120,MATCH(LARGE(Model!$V$15:$V$120,64),Model!$V$15:$V$120,0)),"")</f>
        <v>SVK</v>
      </c>
      <c r="E76" s="32" t="n">
        <f aca="false">IFERROR(INDEX(Model!$E$15:$E$120,MATCH(LARGE(Model!$V$15:$V$120,64),Model!$V$15:$V$120,0)),"")</f>
        <v>130</v>
      </c>
      <c r="F76" s="32" t="n">
        <f aca="false">IFERROR(EXP(INDEX(Model!$T$15:$T$120,MATCH(LARGE(Model!$V$15:$V$120,64),Model!$V$15:$V$120,0))),"")</f>
        <v>241.260921387704</v>
      </c>
      <c r="G76" s="32" t="n">
        <f aca="false">IFERROR(E76-F76,"")</f>
        <v>-111.260921387704</v>
      </c>
      <c r="H76" s="33" t="n">
        <f aca="false">IFERROR(LARGE(Model!$V$15:$V$120,64),"")</f>
        <v>-1.5357846286459</v>
      </c>
      <c r="I76" s="34" t="str">
        <f aca="false">IFERROR(INDEX(Model!$W$15:$W$120,MATCH(LARGE(Model!$V$15:$V$120,64),Model!$V$15:$V$120,0)),"")</f>
        <v>RICH</v>
      </c>
      <c r="J76" s="35" t="str">
        <f aca="false">IFERROR(INDEX(Model!$Y$15:$Y$120,MATCH(LARGE(Model!$V$15:$V$120,64),Model!$V$15:$V$120,0)),"")</f>
        <v>HIGH</v>
      </c>
    </row>
    <row r="77" customFormat="false" ht="15.75" hidden="false" customHeight="true" outlineLevel="0" collapsed="false">
      <c r="B77" s="25" t="n">
        <v>65</v>
      </c>
      <c r="C77" s="26" t="str">
        <f aca="false">IFERROR(INDEX(Model!$B$15:$B$120,MATCH(LARGE(Model!$V$15:$V$120,65),Model!$V$15:$V$120,0)),"")</f>
        <v>URUGUAY</v>
      </c>
      <c r="D77" s="25" t="str">
        <f aca="false">IFERROR(INDEX(Model!$C$15:$C$120,MATCH(LARGE(Model!$V$15:$V$120,65),Model!$V$15:$V$120,0)),"")</f>
        <v>URY</v>
      </c>
      <c r="E77" s="27" t="n">
        <f aca="false">IFERROR(INDEX(Model!$E$15:$E$120,MATCH(LARGE(Model!$V$15:$V$120,65),Model!$V$15:$V$120,0)),"")</f>
        <v>110</v>
      </c>
      <c r="F77" s="27" t="n">
        <f aca="false">IFERROR(EXP(INDEX(Model!$T$15:$T$120,MATCH(LARGE(Model!$V$15:$V$120,65),Model!$V$15:$V$120,0))),"")</f>
        <v>238.03414523323</v>
      </c>
      <c r="G77" s="27" t="n">
        <f aca="false">IFERROR(E77-F77,"")</f>
        <v>-128.03414523323</v>
      </c>
      <c r="H77" s="28" t="n">
        <f aca="false">IFERROR(LARGE(Model!$V$15:$V$120,65),"")</f>
        <v>-1.91725469852461</v>
      </c>
      <c r="I77" s="10" t="str">
        <f aca="false">IFERROR(INDEX(Model!$W$15:$W$120,MATCH(LARGE(Model!$V$15:$V$120,65),Model!$V$15:$V$120,0)),"")</f>
        <v>RICH</v>
      </c>
      <c r="J77" s="29" t="str">
        <f aca="false">IFERROR(INDEX(Model!$Y$15:$Y$120,MATCH(LARGE(Model!$V$15:$V$120,65),Model!$V$15:$V$120,0)),"")</f>
        <v>HIGH</v>
      </c>
    </row>
    <row r="78" customFormat="false" ht="15.75" hidden="false" customHeight="true" outlineLevel="0" collapsed="false">
      <c r="B78" s="30" t="n">
        <v>66</v>
      </c>
      <c r="C78" s="31" t="str">
        <f aca="false">IFERROR(INDEX(Model!$B$15:$B$120,MATCH(LARGE(Model!$V$15:$V$120,66),Model!$V$15:$V$120,0)),"")</f>
        <v>CHINA</v>
      </c>
      <c r="D78" s="30" t="str">
        <f aca="false">IFERROR(INDEX(Model!$C$15:$C$120,MATCH(LARGE(Model!$V$15:$V$120,66),Model!$V$15:$V$120,0)),"")</f>
        <v>CHN</v>
      </c>
      <c r="E78" s="32" t="n">
        <f aca="false">IFERROR(INDEX(Model!$E$15:$E$120,MATCH(LARGE(Model!$V$15:$V$120,66),Model!$V$15:$V$120,0)),"")</f>
        <v>75</v>
      </c>
      <c r="F78" s="32" t="n">
        <f aca="false">IFERROR(EXP(INDEX(Model!$T$15:$T$120,MATCH(LARGE(Model!$V$15:$V$120,66),Model!$V$15:$V$120,0))),"")</f>
        <v>162.578878887123</v>
      </c>
      <c r="G78" s="32" t="n">
        <f aca="false">IFERROR(E78-F78,"")</f>
        <v>-87.5788788871234</v>
      </c>
      <c r="H78" s="33" t="n">
        <f aca="false">IFERROR(LARGE(Model!$V$15:$V$120,66),"")</f>
        <v>-1.92157985491171</v>
      </c>
      <c r="I78" s="34" t="str">
        <f aca="false">IFERROR(INDEX(Model!$W$15:$W$120,MATCH(LARGE(Model!$V$15:$V$120,66),Model!$V$15:$V$120,0)),"")</f>
        <v>RICH</v>
      </c>
      <c r="J78" s="35" t="str">
        <f aca="false">IFERROR(INDEX(Model!$Y$15:$Y$120,MATCH(LARGE(Model!$V$15:$V$120,66),Model!$V$15:$V$120,0)),"")</f>
        <v>HIGH</v>
      </c>
    </row>
    <row r="79" customFormat="false" ht="15.75" hidden="false" customHeight="true" outlineLevel="0" collapsed="false">
      <c r="B79" s="25" t="n">
        <v>67</v>
      </c>
      <c r="C79" s="26" t="str">
        <f aca="false">IFERROR(INDEX(Model!$B$15:$B$120,MATCH(LARGE(Model!$V$15:$V$120,67),Model!$V$15:$V$120,0)),"")</f>
        <v>SLOVENIA</v>
      </c>
      <c r="D79" s="25" t="str">
        <f aca="false">IFERROR(INDEX(Model!$C$15:$C$120,MATCH(LARGE(Model!$V$15:$V$120,67),Model!$V$15:$V$120,0)),"")</f>
        <v>SVN</v>
      </c>
      <c r="E79" s="27" t="n">
        <f aca="false">IFERROR(INDEX(Model!$E$15:$E$120,MATCH(LARGE(Model!$V$15:$V$120,67),Model!$V$15:$V$120,0)),"")</f>
        <v>90</v>
      </c>
      <c r="F79" s="27" t="n">
        <f aca="false">IFERROR(EXP(INDEX(Model!$T$15:$T$120,MATCH(LARGE(Model!$V$15:$V$120,67),Model!$V$15:$V$120,0))),"")</f>
        <v>201.793422655282</v>
      </c>
      <c r="G79" s="27" t="n">
        <f aca="false">IFERROR(E79-F79,"")</f>
        <v>-111.793422655282</v>
      </c>
      <c r="H79" s="28" t="n">
        <f aca="false">IFERROR(LARGE(Model!$V$15:$V$120,67),"")</f>
        <v>-2.00542885681164</v>
      </c>
      <c r="I79" s="10" t="str">
        <f aca="false">IFERROR(INDEX(Model!$W$15:$W$120,MATCH(LARGE(Model!$V$15:$V$120,67),Model!$V$15:$V$120,0)),"")</f>
        <v>RICH</v>
      </c>
      <c r="J79" s="29" t="str">
        <f aca="false">IFERROR(INDEX(Model!$Y$15:$Y$120,MATCH(LARGE(Model!$V$15:$V$120,67),Model!$V$15:$V$120,0)),"")</f>
        <v>HIGH</v>
      </c>
    </row>
    <row r="80" customFormat="false" ht="15.75" hidden="false" customHeight="true" outlineLevel="0" collapsed="false">
      <c r="B80" s="30" t="n">
        <v>68</v>
      </c>
      <c r="C80" s="31" t="str">
        <f aca="false">IFERROR(INDEX(Model!$B$15:$B$120,MATCH(LARGE(Model!$V$15:$V$120,68),Model!$V$15:$V$120,0)),"")</f>
        <v>KOREA</v>
      </c>
      <c r="D80" s="30" t="str">
        <f aca="false">IFERROR(INDEX(Model!$C$15:$C$120,MATCH(LARGE(Model!$V$15:$V$120,68),Model!$V$15:$V$120,0)),"")</f>
        <v>KOR</v>
      </c>
      <c r="E80" s="32" t="n">
        <f aca="false">IFERROR(INDEX(Model!$E$15:$E$120,MATCH(LARGE(Model!$V$15:$V$120,68),Model!$V$15:$V$120,0)),"")</f>
        <v>50</v>
      </c>
      <c r="F80" s="32" t="n">
        <f aca="false">IFERROR(EXP(INDEX(Model!$T$15:$T$120,MATCH(LARGE(Model!$V$15:$V$120,68),Model!$V$15:$V$120,0))),"")</f>
        <v>112.555090398252</v>
      </c>
      <c r="G80" s="32" t="n">
        <f aca="false">IFERROR(E80-F80,"")</f>
        <v>-62.5550903982522</v>
      </c>
      <c r="H80" s="33" t="n">
        <f aca="false">IFERROR(LARGE(Model!$V$15:$V$120,68),"")</f>
        <v>-2.01532627946959</v>
      </c>
      <c r="I80" s="34" t="str">
        <f aca="false">IFERROR(INDEX(Model!$W$15:$W$120,MATCH(LARGE(Model!$V$15:$V$120,68),Model!$V$15:$V$120,0)),"")</f>
        <v>RICH</v>
      </c>
      <c r="J80" s="35" t="str">
        <f aca="false">IFERROR(INDEX(Model!$Y$15:$Y$120,MATCH(LARGE(Model!$V$15:$V$120,68),Model!$V$15:$V$120,0)),"")</f>
        <v>HIGH</v>
      </c>
    </row>
    <row r="81" customFormat="false" ht="15.75" hidden="false" customHeight="true" outlineLevel="0" collapsed="false">
      <c r="B81" s="25" t="n">
        <v>69</v>
      </c>
      <c r="C81" s="26" t="str">
        <f aca="false">IFERROR(INDEX(Model!$B$15:$B$120,MATCH(LARGE(Model!$V$15:$V$120,69),Model!$V$15:$V$120,0)),"")</f>
        <v/>
      </c>
      <c r="D81" s="25" t="str">
        <f aca="false">IFERROR(INDEX(Model!$C$15:$C$120,MATCH(LARGE(Model!$V$15:$V$120,69),Model!$V$15:$V$120,0)),"")</f>
        <v/>
      </c>
      <c r="E81" s="27" t="str">
        <f aca="false">IFERROR(INDEX(Model!$E$15:$E$120,MATCH(LARGE(Model!$V$15:$V$120,69),Model!$V$15:$V$120,0)),"")</f>
        <v/>
      </c>
      <c r="F81" s="27" t="str">
        <f aca="false">IFERROR(EXP(INDEX(Model!$T$15:$T$120,MATCH(LARGE(Model!$V$15:$V$120,69),Model!$V$15:$V$120,0))),"")</f>
        <v/>
      </c>
      <c r="G81" s="27" t="str">
        <f aca="false">IFERROR(E81-F81,"")</f>
        <v/>
      </c>
      <c r="H81" s="28" t="str">
        <f aca="false">IFERROR(LARGE(Model!$V$15:$V$120,69),"")</f>
        <v/>
      </c>
      <c r="I81" s="10" t="str">
        <f aca="false">IFERROR(INDEX(Model!$W$15:$W$120,MATCH(LARGE(Model!$V$15:$V$120,69),Model!$V$15:$V$120,0)),"")</f>
        <v/>
      </c>
      <c r="J81" s="29" t="str">
        <f aca="false">IFERROR(INDEX(Model!$Y$15:$Y$120,MATCH(LARGE(Model!$V$15:$V$120,69),Model!$V$15:$V$120,0)),"")</f>
        <v/>
      </c>
    </row>
    <row r="82" customFormat="false" ht="15.75" hidden="false" customHeight="true" outlineLevel="0" collapsed="false">
      <c r="B82" s="30" t="n">
        <v>70</v>
      </c>
      <c r="C82" s="31" t="str">
        <f aca="false">IFERROR(INDEX(Model!$B$15:$B$120,MATCH(LARGE(Model!$V$15:$V$120,70),Model!$V$15:$V$120,0)),"")</f>
        <v/>
      </c>
      <c r="D82" s="30" t="str">
        <f aca="false">IFERROR(INDEX(Model!$C$15:$C$120,MATCH(LARGE(Model!$V$15:$V$120,70),Model!$V$15:$V$120,0)),"")</f>
        <v/>
      </c>
      <c r="E82" s="32" t="str">
        <f aca="false">IFERROR(INDEX(Model!$E$15:$E$120,MATCH(LARGE(Model!$V$15:$V$120,70),Model!$V$15:$V$120,0)),"")</f>
        <v/>
      </c>
      <c r="F82" s="32" t="str">
        <f aca="false">IFERROR(EXP(INDEX(Model!$T$15:$T$120,MATCH(LARGE(Model!$V$15:$V$120,70),Model!$V$15:$V$120,0))),"")</f>
        <v/>
      </c>
      <c r="G82" s="32" t="str">
        <f aca="false">IFERROR(E82-F82,"")</f>
        <v/>
      </c>
      <c r="H82" s="33" t="str">
        <f aca="false">IFERROR(LARGE(Model!$V$15:$V$120,70),"")</f>
        <v/>
      </c>
      <c r="I82" s="34" t="str">
        <f aca="false">IFERROR(INDEX(Model!$W$15:$W$120,MATCH(LARGE(Model!$V$15:$V$120,70),Model!$V$15:$V$120,0)),"")</f>
        <v/>
      </c>
      <c r="J82" s="35" t="str">
        <f aca="false">IFERROR(INDEX(Model!$Y$15:$Y$120,MATCH(LARGE(Model!$V$15:$V$120,70),Model!$V$15:$V$120,0)),"")</f>
        <v/>
      </c>
    </row>
    <row r="83" customFormat="false" ht="15.75" hidden="false" customHeight="true" outlineLevel="0" collapsed="false">
      <c r="B83" s="25" t="n">
        <v>71</v>
      </c>
      <c r="C83" s="26" t="str">
        <f aca="false">IFERROR(INDEX(Model!$B$15:$B$120,MATCH(LARGE(Model!$V$15:$V$120,71),Model!$V$15:$V$120,0)),"")</f>
        <v/>
      </c>
      <c r="D83" s="25" t="str">
        <f aca="false">IFERROR(INDEX(Model!$C$15:$C$120,MATCH(LARGE(Model!$V$15:$V$120,71),Model!$V$15:$V$120,0)),"")</f>
        <v/>
      </c>
      <c r="E83" s="27" t="str">
        <f aca="false">IFERROR(INDEX(Model!$E$15:$E$120,MATCH(LARGE(Model!$V$15:$V$120,71),Model!$V$15:$V$120,0)),"")</f>
        <v/>
      </c>
      <c r="F83" s="27" t="str">
        <f aca="false">IFERROR(EXP(INDEX(Model!$T$15:$T$120,MATCH(LARGE(Model!$V$15:$V$120,71),Model!$V$15:$V$120,0))),"")</f>
        <v/>
      </c>
      <c r="G83" s="27" t="str">
        <f aca="false">IFERROR(E83-F83,"")</f>
        <v/>
      </c>
      <c r="H83" s="28" t="str">
        <f aca="false">IFERROR(LARGE(Model!$V$15:$V$120,71),"")</f>
        <v/>
      </c>
      <c r="I83" s="10" t="str">
        <f aca="false">IFERROR(INDEX(Model!$W$15:$W$120,MATCH(LARGE(Model!$V$15:$V$120,71),Model!$V$15:$V$120,0)),"")</f>
        <v/>
      </c>
      <c r="J83" s="29" t="str">
        <f aca="false">IFERROR(INDEX(Model!$Y$15:$Y$120,MATCH(LARGE(Model!$V$15:$V$120,71),Model!$V$15:$V$120,0)),"")</f>
        <v/>
      </c>
    </row>
    <row r="84" customFormat="false" ht="15.75" hidden="false" customHeight="true" outlineLevel="0" collapsed="false">
      <c r="B84" s="30" t="n">
        <v>72</v>
      </c>
      <c r="C84" s="31" t="str">
        <f aca="false">IFERROR(INDEX(Model!$B$15:$B$120,MATCH(LARGE(Model!$V$15:$V$120,72),Model!$V$15:$V$120,0)),"")</f>
        <v/>
      </c>
      <c r="D84" s="30" t="str">
        <f aca="false">IFERROR(INDEX(Model!$C$15:$C$120,MATCH(LARGE(Model!$V$15:$V$120,72),Model!$V$15:$V$120,0)),"")</f>
        <v/>
      </c>
      <c r="E84" s="32" t="str">
        <f aca="false">IFERROR(INDEX(Model!$E$15:$E$120,MATCH(LARGE(Model!$V$15:$V$120,72),Model!$V$15:$V$120,0)),"")</f>
        <v/>
      </c>
      <c r="F84" s="32" t="str">
        <f aca="false">IFERROR(EXP(INDEX(Model!$T$15:$T$120,MATCH(LARGE(Model!$V$15:$V$120,72),Model!$V$15:$V$120,0))),"")</f>
        <v/>
      </c>
      <c r="G84" s="32" t="str">
        <f aca="false">IFERROR(E84-F84,"")</f>
        <v/>
      </c>
      <c r="H84" s="33" t="str">
        <f aca="false">IFERROR(LARGE(Model!$V$15:$V$120,72),"")</f>
        <v/>
      </c>
      <c r="I84" s="34" t="str">
        <f aca="false">IFERROR(INDEX(Model!$W$15:$W$120,MATCH(LARGE(Model!$V$15:$V$120,72),Model!$V$15:$V$120,0)),"")</f>
        <v/>
      </c>
      <c r="J84" s="35" t="str">
        <f aca="false">IFERROR(INDEX(Model!$Y$15:$Y$120,MATCH(LARGE(Model!$V$15:$V$120,72),Model!$V$15:$V$120,0)),"")</f>
        <v/>
      </c>
    </row>
    <row r="85" customFormat="false" ht="15.75" hidden="false" customHeight="true" outlineLevel="0" collapsed="false">
      <c r="B85" s="25" t="n">
        <v>73</v>
      </c>
      <c r="C85" s="26" t="str">
        <f aca="false">IFERROR(INDEX(Model!$B$15:$B$120,MATCH(LARGE(Model!$V$15:$V$120,73),Model!$V$15:$V$120,0)),"")</f>
        <v/>
      </c>
      <c r="D85" s="25" t="str">
        <f aca="false">IFERROR(INDEX(Model!$C$15:$C$120,MATCH(LARGE(Model!$V$15:$V$120,73),Model!$V$15:$V$120,0)),"")</f>
        <v/>
      </c>
      <c r="E85" s="27" t="str">
        <f aca="false">IFERROR(INDEX(Model!$E$15:$E$120,MATCH(LARGE(Model!$V$15:$V$120,73),Model!$V$15:$V$120,0)),"")</f>
        <v/>
      </c>
      <c r="F85" s="27" t="str">
        <f aca="false">IFERROR(EXP(INDEX(Model!$T$15:$T$120,MATCH(LARGE(Model!$V$15:$V$120,73),Model!$V$15:$V$120,0))),"")</f>
        <v/>
      </c>
      <c r="G85" s="27" t="str">
        <f aca="false">IFERROR(E85-F85,"")</f>
        <v/>
      </c>
      <c r="H85" s="28" t="str">
        <f aca="false">IFERROR(LARGE(Model!$V$15:$V$120,73),"")</f>
        <v/>
      </c>
      <c r="I85" s="10" t="str">
        <f aca="false">IFERROR(INDEX(Model!$W$15:$W$120,MATCH(LARGE(Model!$V$15:$V$120,73),Model!$V$15:$V$120,0)),"")</f>
        <v/>
      </c>
      <c r="J85" s="29" t="str">
        <f aca="false">IFERROR(INDEX(Model!$Y$15:$Y$120,MATCH(LARGE(Model!$V$15:$V$120,73),Model!$V$15:$V$120,0)),"")</f>
        <v/>
      </c>
    </row>
    <row r="86" customFormat="false" ht="15.75" hidden="false" customHeight="true" outlineLevel="0" collapsed="false">
      <c r="B86" s="30" t="n">
        <v>74</v>
      </c>
      <c r="C86" s="31" t="str">
        <f aca="false">IFERROR(INDEX(Model!$B$15:$B$120,MATCH(LARGE(Model!$V$15:$V$120,74),Model!$V$15:$V$120,0)),"")</f>
        <v/>
      </c>
      <c r="D86" s="30" t="str">
        <f aca="false">IFERROR(INDEX(Model!$C$15:$C$120,MATCH(LARGE(Model!$V$15:$V$120,74),Model!$V$15:$V$120,0)),"")</f>
        <v/>
      </c>
      <c r="E86" s="32" t="str">
        <f aca="false">IFERROR(INDEX(Model!$E$15:$E$120,MATCH(LARGE(Model!$V$15:$V$120,74),Model!$V$15:$V$120,0)),"")</f>
        <v/>
      </c>
      <c r="F86" s="32" t="str">
        <f aca="false">IFERROR(EXP(INDEX(Model!$T$15:$T$120,MATCH(LARGE(Model!$V$15:$V$120,74),Model!$V$15:$V$120,0))),"")</f>
        <v/>
      </c>
      <c r="G86" s="32" t="str">
        <f aca="false">IFERROR(E86-F86,"")</f>
        <v/>
      </c>
      <c r="H86" s="33" t="str">
        <f aca="false">IFERROR(LARGE(Model!$V$15:$V$120,74),"")</f>
        <v/>
      </c>
      <c r="I86" s="34" t="str">
        <f aca="false">IFERROR(INDEX(Model!$W$15:$W$120,MATCH(LARGE(Model!$V$15:$V$120,74),Model!$V$15:$V$120,0)),"")</f>
        <v/>
      </c>
      <c r="J86" s="35" t="str">
        <f aca="false">IFERROR(INDEX(Model!$Y$15:$Y$120,MATCH(LARGE(Model!$V$15:$V$120,74),Model!$V$15:$V$120,0)),"")</f>
        <v/>
      </c>
    </row>
    <row r="87" customFormat="false" ht="15.75" hidden="false" customHeight="true" outlineLevel="0" collapsed="false">
      <c r="B87" s="25" t="n">
        <v>75</v>
      </c>
      <c r="C87" s="26" t="str">
        <f aca="false">IFERROR(INDEX(Model!$B$15:$B$120,MATCH(LARGE(Model!$V$15:$V$120,75),Model!$V$15:$V$120,0)),"")</f>
        <v/>
      </c>
      <c r="D87" s="25" t="str">
        <f aca="false">IFERROR(INDEX(Model!$C$15:$C$120,MATCH(LARGE(Model!$V$15:$V$120,75),Model!$V$15:$V$120,0)),"")</f>
        <v/>
      </c>
      <c r="E87" s="27" t="str">
        <f aca="false">IFERROR(INDEX(Model!$E$15:$E$120,MATCH(LARGE(Model!$V$15:$V$120,75),Model!$V$15:$V$120,0)),"")</f>
        <v/>
      </c>
      <c r="F87" s="27" t="str">
        <f aca="false">IFERROR(EXP(INDEX(Model!$T$15:$T$120,MATCH(LARGE(Model!$V$15:$V$120,75),Model!$V$15:$V$120,0))),"")</f>
        <v/>
      </c>
      <c r="G87" s="27" t="str">
        <f aca="false">IFERROR(E87-F87,"")</f>
        <v/>
      </c>
      <c r="H87" s="28" t="str">
        <f aca="false">IFERROR(LARGE(Model!$V$15:$V$120,75),"")</f>
        <v/>
      </c>
      <c r="I87" s="10" t="str">
        <f aca="false">IFERROR(INDEX(Model!$W$15:$W$120,MATCH(LARGE(Model!$V$15:$V$120,75),Model!$V$15:$V$120,0)),"")</f>
        <v/>
      </c>
      <c r="J87" s="29" t="str">
        <f aca="false">IFERROR(INDEX(Model!$Y$15:$Y$120,MATCH(LARGE(Model!$V$15:$V$120,75),Model!$V$15:$V$120,0)),"")</f>
        <v/>
      </c>
    </row>
    <row r="88" customFormat="false" ht="15.75" hidden="false" customHeight="true" outlineLevel="0" collapsed="false">
      <c r="B88" s="30" t="n">
        <v>76</v>
      </c>
      <c r="C88" s="31" t="str">
        <f aca="false">IFERROR(INDEX(Model!$B$15:$B$120,MATCH(LARGE(Model!$V$15:$V$120,76),Model!$V$15:$V$120,0)),"")</f>
        <v/>
      </c>
      <c r="D88" s="30" t="str">
        <f aca="false">IFERROR(INDEX(Model!$C$15:$C$120,MATCH(LARGE(Model!$V$15:$V$120,76),Model!$V$15:$V$120,0)),"")</f>
        <v/>
      </c>
      <c r="E88" s="32" t="str">
        <f aca="false">IFERROR(INDEX(Model!$E$15:$E$120,MATCH(LARGE(Model!$V$15:$V$120,76),Model!$V$15:$V$120,0)),"")</f>
        <v/>
      </c>
      <c r="F88" s="32" t="str">
        <f aca="false">IFERROR(EXP(INDEX(Model!$T$15:$T$120,MATCH(LARGE(Model!$V$15:$V$120,76),Model!$V$15:$V$120,0))),"")</f>
        <v/>
      </c>
      <c r="G88" s="32" t="str">
        <f aca="false">IFERROR(E88-F88,"")</f>
        <v/>
      </c>
      <c r="H88" s="33" t="str">
        <f aca="false">IFERROR(LARGE(Model!$V$15:$V$120,76),"")</f>
        <v/>
      </c>
      <c r="I88" s="34" t="str">
        <f aca="false">IFERROR(INDEX(Model!$W$15:$W$120,MATCH(LARGE(Model!$V$15:$V$120,76),Model!$V$15:$V$120,0)),"")</f>
        <v/>
      </c>
      <c r="J88" s="35" t="str">
        <f aca="false">IFERROR(INDEX(Model!$Y$15:$Y$120,MATCH(LARGE(Model!$V$15:$V$120,76),Model!$V$15:$V$120,0)),"")</f>
        <v/>
      </c>
    </row>
    <row r="89" customFormat="false" ht="15.75" hidden="false" customHeight="true" outlineLevel="0" collapsed="false">
      <c r="B89" s="25" t="n">
        <v>77</v>
      </c>
      <c r="C89" s="26" t="str">
        <f aca="false">IFERROR(INDEX(Model!$B$15:$B$120,MATCH(LARGE(Model!$V$15:$V$120,77),Model!$V$15:$V$120,0)),"")</f>
        <v/>
      </c>
      <c r="D89" s="25" t="str">
        <f aca="false">IFERROR(INDEX(Model!$C$15:$C$120,MATCH(LARGE(Model!$V$15:$V$120,77),Model!$V$15:$V$120,0)),"")</f>
        <v/>
      </c>
      <c r="E89" s="27" t="str">
        <f aca="false">IFERROR(INDEX(Model!$E$15:$E$120,MATCH(LARGE(Model!$V$15:$V$120,77),Model!$V$15:$V$120,0)),"")</f>
        <v/>
      </c>
      <c r="F89" s="27" t="str">
        <f aca="false">IFERROR(EXP(INDEX(Model!$T$15:$T$120,MATCH(LARGE(Model!$V$15:$V$120,77),Model!$V$15:$V$120,0))),"")</f>
        <v/>
      </c>
      <c r="G89" s="27" t="str">
        <f aca="false">IFERROR(E89-F89,"")</f>
        <v/>
      </c>
      <c r="H89" s="28" t="str">
        <f aca="false">IFERROR(LARGE(Model!$V$15:$V$120,77),"")</f>
        <v/>
      </c>
      <c r="I89" s="10" t="str">
        <f aca="false">IFERROR(INDEX(Model!$W$15:$W$120,MATCH(LARGE(Model!$V$15:$V$120,77),Model!$V$15:$V$120,0)),"")</f>
        <v/>
      </c>
      <c r="J89" s="29" t="str">
        <f aca="false">IFERROR(INDEX(Model!$Y$15:$Y$120,MATCH(LARGE(Model!$V$15:$V$120,77),Model!$V$15:$V$120,0)),"")</f>
        <v/>
      </c>
    </row>
    <row r="90" customFormat="false" ht="15.75" hidden="false" customHeight="true" outlineLevel="0" collapsed="false">
      <c r="B90" s="30" t="n">
        <v>78</v>
      </c>
      <c r="C90" s="31" t="str">
        <f aca="false">IFERROR(INDEX(Model!$B$15:$B$120,MATCH(LARGE(Model!$V$15:$V$120,78),Model!$V$15:$V$120,0)),"")</f>
        <v/>
      </c>
      <c r="D90" s="30" t="str">
        <f aca="false">IFERROR(INDEX(Model!$C$15:$C$120,MATCH(LARGE(Model!$V$15:$V$120,78),Model!$V$15:$V$120,0)),"")</f>
        <v/>
      </c>
      <c r="E90" s="32" t="str">
        <f aca="false">IFERROR(INDEX(Model!$E$15:$E$120,MATCH(LARGE(Model!$V$15:$V$120,78),Model!$V$15:$V$120,0)),"")</f>
        <v/>
      </c>
      <c r="F90" s="32" t="str">
        <f aca="false">IFERROR(EXP(INDEX(Model!$T$15:$T$120,MATCH(LARGE(Model!$V$15:$V$120,78),Model!$V$15:$V$120,0))),"")</f>
        <v/>
      </c>
      <c r="G90" s="32" t="str">
        <f aca="false">IFERROR(E90-F90,"")</f>
        <v/>
      </c>
      <c r="H90" s="33" t="str">
        <f aca="false">IFERROR(LARGE(Model!$V$15:$V$120,78),"")</f>
        <v/>
      </c>
      <c r="I90" s="34" t="str">
        <f aca="false">IFERROR(INDEX(Model!$W$15:$W$120,MATCH(LARGE(Model!$V$15:$V$120,78),Model!$V$15:$V$120,0)),"")</f>
        <v/>
      </c>
      <c r="J90" s="35" t="str">
        <f aca="false">IFERROR(INDEX(Model!$Y$15:$Y$120,MATCH(LARGE(Model!$V$15:$V$120,78),Model!$V$15:$V$120,0)),"")</f>
        <v/>
      </c>
    </row>
    <row r="91" customFormat="false" ht="15.75" hidden="false" customHeight="true" outlineLevel="0" collapsed="false">
      <c r="B91" s="25" t="n">
        <v>79</v>
      </c>
      <c r="C91" s="26" t="str">
        <f aca="false">IFERROR(INDEX(Model!$B$15:$B$120,MATCH(LARGE(Model!$V$15:$V$120,79),Model!$V$15:$V$120,0)),"")</f>
        <v/>
      </c>
      <c r="D91" s="25" t="str">
        <f aca="false">IFERROR(INDEX(Model!$C$15:$C$120,MATCH(LARGE(Model!$V$15:$V$120,79),Model!$V$15:$V$120,0)),"")</f>
        <v/>
      </c>
      <c r="E91" s="27" t="str">
        <f aca="false">IFERROR(INDEX(Model!$E$15:$E$120,MATCH(LARGE(Model!$V$15:$V$120,79),Model!$V$15:$V$120,0)),"")</f>
        <v/>
      </c>
      <c r="F91" s="27" t="str">
        <f aca="false">IFERROR(EXP(INDEX(Model!$T$15:$T$120,MATCH(LARGE(Model!$V$15:$V$120,79),Model!$V$15:$V$120,0))),"")</f>
        <v/>
      </c>
      <c r="G91" s="27" t="str">
        <f aca="false">IFERROR(E91-F91,"")</f>
        <v/>
      </c>
      <c r="H91" s="28" t="str">
        <f aca="false">IFERROR(LARGE(Model!$V$15:$V$120,79),"")</f>
        <v/>
      </c>
      <c r="I91" s="10" t="str">
        <f aca="false">IFERROR(INDEX(Model!$W$15:$W$120,MATCH(LARGE(Model!$V$15:$V$120,79),Model!$V$15:$V$120,0)),"")</f>
        <v/>
      </c>
      <c r="J91" s="29" t="str">
        <f aca="false">IFERROR(INDEX(Model!$Y$15:$Y$120,MATCH(LARGE(Model!$V$15:$V$120,79),Model!$V$15:$V$120,0)),"")</f>
        <v/>
      </c>
    </row>
    <row r="92" customFormat="false" ht="15.75" hidden="false" customHeight="true" outlineLevel="0" collapsed="false">
      <c r="B92" s="30" t="n">
        <v>80</v>
      </c>
      <c r="C92" s="31" t="str">
        <f aca="false">IFERROR(INDEX(Model!$B$15:$B$120,MATCH(LARGE(Model!$V$15:$V$120,80),Model!$V$15:$V$120,0)),"")</f>
        <v/>
      </c>
      <c r="D92" s="30" t="str">
        <f aca="false">IFERROR(INDEX(Model!$C$15:$C$120,MATCH(LARGE(Model!$V$15:$V$120,80),Model!$V$15:$V$120,0)),"")</f>
        <v/>
      </c>
      <c r="E92" s="32" t="str">
        <f aca="false">IFERROR(INDEX(Model!$E$15:$E$120,MATCH(LARGE(Model!$V$15:$V$120,80),Model!$V$15:$V$120,0)),"")</f>
        <v/>
      </c>
      <c r="F92" s="32" t="str">
        <f aca="false">IFERROR(EXP(INDEX(Model!$T$15:$T$120,MATCH(LARGE(Model!$V$15:$V$120,80),Model!$V$15:$V$120,0))),"")</f>
        <v/>
      </c>
      <c r="G92" s="32" t="str">
        <f aca="false">IFERROR(E92-F92,"")</f>
        <v/>
      </c>
      <c r="H92" s="33" t="str">
        <f aca="false">IFERROR(LARGE(Model!$V$15:$V$120,80),"")</f>
        <v/>
      </c>
      <c r="I92" s="34" t="str">
        <f aca="false">IFERROR(INDEX(Model!$W$15:$W$120,MATCH(LARGE(Model!$V$15:$V$120,80),Model!$V$15:$V$120,0)),"")</f>
        <v/>
      </c>
      <c r="J92" s="35" t="str">
        <f aca="false">IFERROR(INDEX(Model!$Y$15:$Y$120,MATCH(LARGE(Model!$V$15:$V$120,80),Model!$V$15:$V$120,0)),"")</f>
        <v/>
      </c>
    </row>
  </sheetData>
  <mergeCells count="6">
    <mergeCell ref="B2:O2"/>
    <mergeCell ref="B3:O3"/>
    <mergeCell ref="B5:C5"/>
    <mergeCell ref="B6:C6"/>
    <mergeCell ref="B8:J8"/>
    <mergeCell ref="B11:J11"/>
  </mergeCells>
  <conditionalFormatting sqref="I13:I92">
    <cfRule type="cellIs" priority="2" operator="equal" aboveAverage="0" equalAverage="0" bottom="0" percent="0" rank="0" text="" dxfId="0">
      <formula>"CHEAP"</formula>
    </cfRule>
    <cfRule type="cellIs" priority="3" operator="equal" aboveAverage="0" equalAverage="0" bottom="0" percent="0" rank="0" text="" dxfId="1">
      <formula>"slightly cheap"</formula>
    </cfRule>
    <cfRule type="cellIs" priority="4" operator="equal" aboveAverage="0" equalAverage="0" bottom="0" percent="0" rank="0" text="" dxfId="2">
      <formula>"fair"</formula>
    </cfRule>
    <cfRule type="cellIs" priority="5" operator="equal" aboveAverage="0" equalAverage="0" bottom="0" percent="0" rank="0" text="" dxfId="3">
      <formula>"slightly rich"</formula>
    </cfRule>
    <cfRule type="cellIs" priority="6" operator="equal" aboveAverage="0" equalAverage="0" bottom="0" percent="0" rank="0" text="" dxfId="4">
      <formula>"RICH"</formula>
    </cfRule>
  </conditionalFormatting>
  <conditionalFormatting sqref="G13:G92">
    <cfRule type="colorScale" priority="7">
      <colorScale>
        <cfvo type="min" val="0"/>
        <cfvo type="num" val="0"/>
        <cfvo type="max" val="0"/>
        <color rgb="FFF8696B"/>
        <color rgb="FFFFFFFF"/>
        <color rgb="FF63BE7B"/>
      </colorScale>
    </cfRule>
  </conditionalFormatting>
  <conditionalFormatting sqref="H13:H92">
    <cfRule type="colorScale" priority="8">
      <colorScale>
        <cfvo type="num" val="-3"/>
        <cfvo type="num" val="0"/>
        <cfvo type="num" val="3"/>
        <color rgb="FFF8696B"/>
        <color rgb="FFFFFFFF"/>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C8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4" ySplit="14" topLeftCell="E15" activePane="bottomRight" state="frozen"/>
      <selection pane="topLeft" activeCell="A1" activeCellId="0" sqref="A1"/>
      <selection pane="topRight" activeCell="E1" activeCellId="0" sqref="E1"/>
      <selection pane="bottomLeft" activeCell="A15" activeCellId="0" sqref="A1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21"/>
    <col collapsed="false" customWidth="true" hidden="false" outlineLevel="0" max="3" min="3" style="0" width="5"/>
    <col collapsed="false" customWidth="true" hidden="false" outlineLevel="0" max="4" min="4" style="0" width="11"/>
    <col collapsed="false" customWidth="true" hidden="false" outlineLevel="0" max="5" min="5" style="0" width="10"/>
    <col collapsed="false" customWidth="true" hidden="false" outlineLevel="0" max="11" min="6" style="0" width="7"/>
    <col collapsed="false" customWidth="true" hidden="false" outlineLevel="0" max="17" min="12" style="0" width="6"/>
    <col collapsed="false" customWidth="true" hidden="false" outlineLevel="0" max="20" min="18" style="0" width="8"/>
    <col collapsed="false" customWidth="true" hidden="false" outlineLevel="0" max="22" min="21" style="0" width="7"/>
    <col collapsed="false" customWidth="true" hidden="false" outlineLevel="0" max="23" min="23" style="0" width="13"/>
    <col collapsed="false" customWidth="true" hidden="false" outlineLevel="0" max="24" min="24" style="0" width="4"/>
    <col collapsed="false" customWidth="true" hidden="false" outlineLevel="0" max="25" min="25" style="0" width="5"/>
    <col collapsed="false" customWidth="true" hidden="false" outlineLevel="0" max="26" min="26" style="0" width="8"/>
    <col collapsed="false" customWidth="true" hidden="false" outlineLevel="0" max="27" min="27" style="0" width="13"/>
    <col collapsed="false" customWidth="true" hidden="true" outlineLevel="0" max="29" min="28" style="0" width="8"/>
  </cols>
  <sheetData>
    <row r="2" customFormat="false" ht="25.5" hidden="false" customHeight="true" outlineLevel="0" collapsed="false">
      <c r="B2" s="36" t="s">
        <v>26</v>
      </c>
      <c r="C2" s="36"/>
      <c r="D2" s="36"/>
      <c r="E2" s="36"/>
      <c r="F2" s="36"/>
      <c r="G2" s="36"/>
      <c r="H2" s="36"/>
      <c r="I2" s="36"/>
      <c r="J2" s="36"/>
      <c r="K2" s="36"/>
      <c r="L2" s="36"/>
      <c r="M2" s="36"/>
      <c r="N2" s="36"/>
      <c r="O2" s="36"/>
      <c r="P2" s="36"/>
      <c r="Q2" s="36"/>
      <c r="R2" s="36"/>
      <c r="S2" s="36"/>
      <c r="T2" s="36"/>
      <c r="U2" s="36"/>
      <c r="V2" s="36"/>
      <c r="W2" s="36"/>
      <c r="X2" s="36"/>
      <c r="Y2" s="36"/>
      <c r="Z2" s="36"/>
      <c r="AA2" s="36"/>
    </row>
    <row r="3" customFormat="false" ht="15" hidden="false" customHeight="false" outlineLevel="0" collapsed="false">
      <c r="B3" s="37" t="s">
        <v>27</v>
      </c>
      <c r="C3" s="37"/>
      <c r="D3" s="37"/>
      <c r="E3" s="37"/>
      <c r="F3" s="37"/>
      <c r="G3" s="37"/>
      <c r="H3" s="37"/>
      <c r="I3" s="37"/>
      <c r="J3" s="37"/>
      <c r="K3" s="37"/>
      <c r="L3" s="37"/>
      <c r="M3" s="37"/>
      <c r="N3" s="37"/>
      <c r="O3" s="37"/>
      <c r="P3" s="37"/>
      <c r="Q3" s="37"/>
      <c r="R3" s="37"/>
      <c r="S3" s="37"/>
      <c r="T3" s="37"/>
      <c r="U3" s="37"/>
      <c r="V3" s="37"/>
      <c r="W3" s="37"/>
      <c r="X3" s="37"/>
      <c r="Y3" s="37"/>
      <c r="Z3" s="37"/>
      <c r="AA3" s="37"/>
    </row>
    <row r="5" customFormat="false" ht="15" hidden="false" customHeight="false" outlineLevel="0" collapsed="false">
      <c r="B5" s="38" t="s">
        <v>28</v>
      </c>
      <c r="C5" s="38"/>
      <c r="D5" s="38"/>
      <c r="E5" s="38"/>
      <c r="G5" s="38" t="s">
        <v>29</v>
      </c>
      <c r="H5" s="38"/>
      <c r="I5" s="38"/>
      <c r="J5" s="38"/>
      <c r="K5" s="38"/>
      <c r="M5" s="38" t="s">
        <v>30</v>
      </c>
      <c r="N5" s="38"/>
      <c r="O5" s="38"/>
      <c r="P5" s="38"/>
      <c r="Q5" s="38"/>
      <c r="R5" s="38"/>
      <c r="T5" s="38" t="s">
        <v>31</v>
      </c>
      <c r="U5" s="38"/>
      <c r="V5" s="38"/>
      <c r="W5" s="38"/>
      <c r="X5" s="38"/>
      <c r="Y5" s="38"/>
      <c r="Z5" s="38"/>
      <c r="AA5" s="38"/>
    </row>
    <row r="6" customFormat="false" ht="15" hidden="false" customHeight="true" outlineLevel="0" collapsed="false">
      <c r="B6" s="0" t="s">
        <v>32</v>
      </c>
      <c r="C6" s="39" t="s">
        <v>33</v>
      </c>
      <c r="D6" s="40" t="n">
        <v>0.35</v>
      </c>
      <c r="G6" s="41" t="s">
        <v>34</v>
      </c>
      <c r="H6" s="41"/>
      <c r="I6" s="41"/>
      <c r="J6" s="41"/>
      <c r="K6" s="12" t="n">
        <f aca="false">IFERROR(INTERCEPT($AB$15:$AB$120,$AC$15:$AC$120),"")</f>
        <v>5.66264470723064</v>
      </c>
      <c r="M6" s="42" t="s">
        <v>35</v>
      </c>
      <c r="N6" s="42"/>
      <c r="O6" s="42"/>
      <c r="P6" s="42"/>
      <c r="Q6" s="42"/>
      <c r="R6" s="43" t="n">
        <v>4</v>
      </c>
      <c r="T6" s="44" t="s">
        <v>36</v>
      </c>
      <c r="U6" s="44"/>
      <c r="V6" s="44"/>
      <c r="W6" s="44"/>
      <c r="X6" s="44"/>
      <c r="Y6" s="44"/>
      <c r="Z6" s="44"/>
      <c r="AA6" s="44"/>
    </row>
    <row r="7" customFormat="false" ht="15" hidden="false" customHeight="false" outlineLevel="0" collapsed="false">
      <c r="B7" s="0" t="s">
        <v>37</v>
      </c>
      <c r="C7" s="39" t="s">
        <v>38</v>
      </c>
      <c r="D7" s="40" t="n">
        <v>0.2</v>
      </c>
      <c r="G7" s="41" t="s">
        <v>39</v>
      </c>
      <c r="H7" s="41"/>
      <c r="I7" s="41"/>
      <c r="J7" s="41"/>
      <c r="K7" s="12" t="n">
        <f aca="false">IFERROR(SLOPE($AB$15:$AB$120,$AC$15:$AC$120),"")</f>
        <v>1.11444747518735</v>
      </c>
      <c r="M7" s="42" t="s">
        <v>40</v>
      </c>
      <c r="N7" s="42"/>
      <c r="O7" s="42"/>
      <c r="P7" s="42"/>
      <c r="Q7" s="42"/>
      <c r="R7" s="45" t="n">
        <v>1.5</v>
      </c>
      <c r="T7" s="44"/>
      <c r="U7" s="44"/>
      <c r="V7" s="44"/>
      <c r="W7" s="44"/>
      <c r="X7" s="44"/>
      <c r="Y7" s="44"/>
      <c r="Z7" s="44"/>
      <c r="AA7" s="44"/>
    </row>
    <row r="8" customFormat="false" ht="15" hidden="false" customHeight="false" outlineLevel="0" collapsed="false">
      <c r="B8" s="0" t="s">
        <v>41</v>
      </c>
      <c r="C8" s="39" t="s">
        <v>42</v>
      </c>
      <c r="D8" s="40" t="n">
        <v>0.15</v>
      </c>
      <c r="G8" s="41" t="s">
        <v>43</v>
      </c>
      <c r="H8" s="41"/>
      <c r="I8" s="41"/>
      <c r="J8" s="41"/>
      <c r="K8" s="12" t="n">
        <f aca="false">IFERROR(RSQ($AB$15:$AB$120,$AC$15:$AC$120),"")</f>
        <v>0.751648379211999</v>
      </c>
      <c r="M8" s="42" t="s">
        <v>44</v>
      </c>
      <c r="N8" s="42"/>
      <c r="O8" s="42"/>
      <c r="P8" s="42"/>
      <c r="Q8" s="42"/>
      <c r="R8" s="45" t="n">
        <v>-1.5</v>
      </c>
      <c r="T8" s="44"/>
      <c r="U8" s="44"/>
      <c r="V8" s="44"/>
      <c r="W8" s="44"/>
      <c r="X8" s="44"/>
      <c r="Y8" s="44"/>
      <c r="Z8" s="44"/>
      <c r="AA8" s="44"/>
    </row>
    <row r="9" customFormat="false" ht="15" hidden="false" customHeight="false" outlineLevel="0" collapsed="false">
      <c r="B9" s="0" t="s">
        <v>45</v>
      </c>
      <c r="C9" s="39" t="s">
        <v>46</v>
      </c>
      <c r="D9" s="40" t="n">
        <v>0.1</v>
      </c>
      <c r="G9" s="41" t="s">
        <v>47</v>
      </c>
      <c r="H9" s="41"/>
      <c r="I9" s="41"/>
      <c r="J9" s="41"/>
      <c r="K9" s="46" t="n">
        <f aca="false">COUNT($AC$15:$AC$120)</f>
        <v>68</v>
      </c>
      <c r="T9" s="44"/>
      <c r="U9" s="44"/>
      <c r="V9" s="44"/>
      <c r="W9" s="44"/>
      <c r="X9" s="44"/>
      <c r="Y9" s="44"/>
      <c r="Z9" s="44"/>
      <c r="AA9" s="44"/>
    </row>
    <row r="10" customFormat="false" ht="15" hidden="false" customHeight="false" outlineLevel="0" collapsed="false">
      <c r="B10" s="0" t="s">
        <v>48</v>
      </c>
      <c r="C10" s="39" t="s">
        <v>49</v>
      </c>
      <c r="D10" s="40" t="n">
        <v>0.12</v>
      </c>
      <c r="G10" s="41" t="s">
        <v>50</v>
      </c>
      <c r="H10" s="41"/>
      <c r="I10" s="41"/>
      <c r="J10" s="41"/>
      <c r="K10" s="11" t="n">
        <f aca="false">IFERROR(ROUND(MEDIAN($E$15:$E$120),0),"")</f>
        <v>290</v>
      </c>
      <c r="T10" s="44"/>
      <c r="U10" s="44"/>
      <c r="V10" s="44"/>
      <c r="W10" s="44"/>
      <c r="X10" s="44"/>
      <c r="Y10" s="44"/>
      <c r="Z10" s="44"/>
      <c r="AA10" s="44"/>
    </row>
    <row r="11" customFormat="false" ht="15" hidden="false" customHeight="false" outlineLevel="0" collapsed="false">
      <c r="B11" s="0" t="s">
        <v>51</v>
      </c>
      <c r="C11" s="39" t="s">
        <v>52</v>
      </c>
      <c r="D11" s="40" t="n">
        <v>0.08</v>
      </c>
      <c r="G11" s="41" t="s">
        <v>53</v>
      </c>
      <c r="H11" s="41"/>
      <c r="I11" s="41"/>
      <c r="J11" s="41"/>
      <c r="K11" s="47" t="n">
        <f aca="true">TODAY()</f>
        <v>46153</v>
      </c>
    </row>
    <row r="12" customFormat="false" ht="15" hidden="false" customHeight="false" outlineLevel="0" collapsed="false">
      <c r="B12" s="48" t="s">
        <v>54</v>
      </c>
      <c r="D12" s="12" t="n">
        <f aca="false">SUM(D6:D11)</f>
        <v>1</v>
      </c>
    </row>
    <row r="14" customFormat="false" ht="27.75" hidden="false" customHeight="true" outlineLevel="0" collapsed="false">
      <c r="B14" s="49" t="s">
        <v>18</v>
      </c>
      <c r="C14" s="49" t="s">
        <v>19</v>
      </c>
      <c r="D14" s="49" t="s">
        <v>55</v>
      </c>
      <c r="E14" s="49" t="s">
        <v>56</v>
      </c>
      <c r="F14" s="49" t="s">
        <v>57</v>
      </c>
      <c r="G14" s="49" t="s">
        <v>58</v>
      </c>
      <c r="H14" s="49" t="s">
        <v>59</v>
      </c>
      <c r="I14" s="49" t="s">
        <v>60</v>
      </c>
      <c r="J14" s="49" t="s">
        <v>61</v>
      </c>
      <c r="K14" s="49" t="s">
        <v>62</v>
      </c>
      <c r="L14" s="49" t="s">
        <v>63</v>
      </c>
      <c r="M14" s="49" t="s">
        <v>64</v>
      </c>
      <c r="N14" s="49" t="s">
        <v>65</v>
      </c>
      <c r="O14" s="49" t="s">
        <v>66</v>
      </c>
      <c r="P14" s="49" t="s">
        <v>67</v>
      </c>
      <c r="Q14" s="49" t="s">
        <v>68</v>
      </c>
      <c r="R14" s="49" t="s">
        <v>69</v>
      </c>
      <c r="S14" s="49" t="s">
        <v>70</v>
      </c>
      <c r="T14" s="49" t="s">
        <v>71</v>
      </c>
      <c r="U14" s="49" t="s">
        <v>72</v>
      </c>
      <c r="V14" s="49" t="s">
        <v>23</v>
      </c>
      <c r="W14" s="49" t="s">
        <v>24</v>
      </c>
      <c r="X14" s="49" t="s">
        <v>73</v>
      </c>
      <c r="Y14" s="49" t="s">
        <v>25</v>
      </c>
      <c r="Z14" s="49" t="s">
        <v>74</v>
      </c>
      <c r="AA14" s="49" t="s">
        <v>75</v>
      </c>
      <c r="AB14" s="49" t="s">
        <v>76</v>
      </c>
      <c r="AC14" s="49" t="s">
        <v>77</v>
      </c>
    </row>
    <row r="15" customFormat="false" ht="15" hidden="false" customHeight="true" outlineLevel="0" collapsed="false">
      <c r="B15" s="13" t="s">
        <v>78</v>
      </c>
      <c r="C15" s="29" t="s">
        <v>79</v>
      </c>
      <c r="D15" s="50" t="s">
        <v>80</v>
      </c>
      <c r="E15" s="51" t="n">
        <v>600</v>
      </c>
      <c r="F15" s="52" t="n">
        <v>19</v>
      </c>
      <c r="G15" s="53" t="n">
        <v>5</v>
      </c>
      <c r="H15" s="53" t="n">
        <v>35</v>
      </c>
      <c r="I15" s="53" t="n">
        <v>80</v>
      </c>
      <c r="J15" s="54" t="n">
        <v>0.5</v>
      </c>
      <c r="K15" s="53" t="n">
        <v>5</v>
      </c>
      <c r="L15" s="55" t="n">
        <f aca="false">IFERROR(($F15-AVERAGE($F$15:$F$120))/STDEV($F$15:$F$120),"")</f>
        <v>1.44979060563081</v>
      </c>
      <c r="M15" s="55" t="n">
        <f aca="false">IFERROR(($I15-AVERAGE($I$15:$I$120))/STDEV($I$15:$I$120),"")</f>
        <v>0.906544586763613</v>
      </c>
      <c r="N15" s="55" t="n">
        <f aca="false">IFERROR(-($J15-AVERAGE($J$15:$J$120))/STDEV($J$15:$J$120),"")</f>
        <v>-0.212804653696851</v>
      </c>
      <c r="O15" s="55" t="n">
        <f aca="false">IFERROR(-($K15-AVERAGE($K$15:$K$120))/STDEV($K$15:$K$120),"")</f>
        <v>1.27626141594741</v>
      </c>
      <c r="P15" s="55" t="n">
        <f aca="false">IFERROR(-($G15-AVERAGE($G$15:$G$120))/STDEV($G$15:$G$120),"")</f>
        <v>-1.07490908834029</v>
      </c>
      <c r="Q15" s="55" t="n">
        <f aca="false">IFERROR(($H15-AVERAGE($H$15:$H$120))/STDEV($H$15:$H$120),"")</f>
        <v>4.08465617714649</v>
      </c>
      <c r="R15" s="56" t="n">
        <f aca="false">IFERROR(IF(ISNUMBER(L15),$D$6*L15,0)+IF(ISNUMBER(M15),$D$7*M15,0)+IF(ISNUMBER(N15),$D$8*N15,0)+IF(ISNUMBER(O15),$D$9*O15,0)+IF(ISNUMBER(P15),$D$10*P15,0)+IF(ISNUMBER(Q15),$D$11*Q15,0),"")</f>
        <v>0.982224476434602</v>
      </c>
      <c r="S15" s="55" t="n">
        <f aca="false">IFERROR(LN($E15),"")</f>
        <v>6.39692965521615</v>
      </c>
      <c r="T15" s="55" t="n">
        <f aca="false">IFERROR($K$6+$K$7*$R15,"")</f>
        <v>6.75728229506039</v>
      </c>
      <c r="U15" s="56" t="n">
        <f aca="false">IFERROR($S15-$T15,"")</f>
        <v>-0.360352639844246</v>
      </c>
      <c r="V15" s="56" t="n">
        <f aca="false">IFERROR(($U15-AVERAGE($U$15:$U$120))/STDEV($U$15:$U$120),"")</f>
        <v>-0.895009161708716</v>
      </c>
      <c r="W15" s="10" t="str">
        <f aca="false">IF(ISNUMBER($V15),IF($V15&gt;=$R$7,"CHEAP",IF($V15&gt;=0.5,"slightly cheap",IF($V15&lt;=$R$8,"RICH",IF($V15&lt;=-0.5,"slightly rich","fair")))),"")</f>
        <v>slightly rich</v>
      </c>
      <c r="X15" s="57" t="n">
        <f aca="false">COUNT($F15)+COUNT($G15)+COUNT($H15)+COUNT($I15)+COUNT($J15)+COUNT($K15)</f>
        <v>6</v>
      </c>
      <c r="Y15" s="58" t="str">
        <f aca="false">IF($X15&gt;=5,"HIGH",IF($X15&gt;=3,"MED","LOW"))</f>
        <v>HIGH</v>
      </c>
      <c r="AA15" s="59" t="s">
        <v>81</v>
      </c>
      <c r="AB15" s="60" t="n">
        <f aca="false">IF(AND(ISNUMBER($S15),$X15&gt;=$R$6),$S15,"")</f>
        <v>6.39692965521615</v>
      </c>
      <c r="AC15" s="61" t="n">
        <f aca="false">IF(AND(ISNUMBER($R15),$X15&gt;=$R$6),$R15,"")</f>
        <v>0.982224476434602</v>
      </c>
    </row>
    <row r="16" customFormat="false" ht="15" hidden="false" customHeight="true" outlineLevel="0" collapsed="false">
      <c r="B16" s="62" t="s">
        <v>82</v>
      </c>
      <c r="C16" s="63" t="s">
        <v>83</v>
      </c>
      <c r="D16" s="64" t="s">
        <v>84</v>
      </c>
      <c r="E16" s="51" t="n">
        <v>1700</v>
      </c>
      <c r="F16" s="65" t="n">
        <v>17</v>
      </c>
      <c r="G16" s="66" t="n">
        <v>1.5</v>
      </c>
      <c r="H16" s="66" t="n">
        <v>12</v>
      </c>
      <c r="I16" s="66" t="n">
        <v>84</v>
      </c>
      <c r="J16" s="67" t="n">
        <v>-3</v>
      </c>
      <c r="K16" s="66" t="n">
        <v>5</v>
      </c>
      <c r="L16" s="68" t="n">
        <f aca="false">IFERROR(($F16-AVERAGE($F$15:$F$120))/STDEV($F$15:$F$120),"")</f>
        <v>1.01549209821717</v>
      </c>
      <c r="M16" s="68" t="n">
        <f aca="false">IFERROR(($I16-AVERAGE($I$15:$I$120))/STDEV($I$15:$I$120),"")</f>
        <v>1.0825475329447</v>
      </c>
      <c r="N16" s="68" t="n">
        <f aca="false">IFERROR(-($J16-AVERAGE($J$15:$J$120))/STDEV($J$15:$J$120),"")</f>
        <v>0.348075828915004</v>
      </c>
      <c r="O16" s="68" t="n">
        <f aca="false">IFERROR(-($K16-AVERAGE($K$15:$K$120))/STDEV($K$15:$K$120),"")</f>
        <v>1.27626141594741</v>
      </c>
      <c r="P16" s="68" t="n">
        <f aca="false">IFERROR(-($G16-AVERAGE($G$15:$G$120))/STDEV($G$15:$G$120),"")</f>
        <v>1.387346571188</v>
      </c>
      <c r="Q16" s="68" t="n">
        <f aca="false">IFERROR(($H16-AVERAGE($H$15:$H$120))/STDEV($H$15:$H$120),"")</f>
        <v>0.815091582716319</v>
      </c>
      <c r="R16" s="69" t="n">
        <f aca="false">IFERROR(IF(ISNUMBER(L16),$D$6*L16,0)+IF(ISNUMBER(M16),$D$7*M16,0)+IF(ISNUMBER(N16),$D$8*N16,0)+IF(ISNUMBER(O16),$D$9*O16,0)+IF(ISNUMBER(P16),$D$10*P16,0)+IF(ISNUMBER(Q16),$D$11*Q16,0),"")</f>
        <v>0.983458172056808</v>
      </c>
      <c r="S16" s="68" t="n">
        <f aca="false">IFERROR(LN($E16),"")</f>
        <v>7.43838353004431</v>
      </c>
      <c r="T16" s="68" t="n">
        <f aca="false">IFERROR($K$6+$K$7*$R16,"")</f>
        <v>6.75865718403171</v>
      </c>
      <c r="U16" s="69" t="n">
        <f aca="false">IFERROR($S16-$T16,"")</f>
        <v>0.679726346012598</v>
      </c>
      <c r="V16" s="69" t="n">
        <f aca="false">IFERROR(($U16-AVERAGE($U$15:$U$120))/STDEV($U$15:$U$120),"")</f>
        <v>1.68823879686024</v>
      </c>
      <c r="W16" s="70" t="str">
        <f aca="false">IF(ISNUMBER($V16),IF($V16&gt;=$R$7,"CHEAP",IF($V16&gt;=0.5,"slightly cheap",IF($V16&lt;=$R$8,"RICH",IF($V16&lt;=-0.5,"slightly rich","fair")))),"")</f>
        <v>CHEAP</v>
      </c>
      <c r="X16" s="71" t="n">
        <f aca="false">COUNT($F16)+COUNT($G16)+COUNT($H16)+COUNT($I16)+COUNT($J16)+COUNT($K16)</f>
        <v>6</v>
      </c>
      <c r="Y16" s="72" t="str">
        <f aca="false">IF($X16&gt;=5,"HIGH",IF($X16&gt;=3,"MED","LOW"))</f>
        <v>HIGH</v>
      </c>
      <c r="AA16" s="59" t="s">
        <v>81</v>
      </c>
      <c r="AB16" s="60" t="n">
        <f aca="false">IF(AND(ISNUMBER($S16),$X16&gt;=$R$6),$S16,"")</f>
        <v>7.43838353004431</v>
      </c>
      <c r="AC16" s="61" t="n">
        <f aca="false">IF(AND(ISNUMBER($R16),$X16&gt;=$R$6),$R16,"")</f>
        <v>0.983458172056808</v>
      </c>
    </row>
    <row r="17" customFormat="false" ht="15" hidden="false" customHeight="true" outlineLevel="0" collapsed="false">
      <c r="B17" s="13" t="s">
        <v>85</v>
      </c>
      <c r="C17" s="29" t="s">
        <v>86</v>
      </c>
      <c r="D17" s="50" t="s">
        <v>87</v>
      </c>
      <c r="E17" s="51" t="n">
        <v>245</v>
      </c>
      <c r="F17" s="52" t="n">
        <v>12</v>
      </c>
      <c r="G17" s="53" t="n">
        <v>2.1</v>
      </c>
      <c r="H17" s="53" t="n">
        <v>4.5</v>
      </c>
      <c r="I17" s="53" t="n">
        <v>88</v>
      </c>
      <c r="J17" s="54" t="n">
        <v>-2</v>
      </c>
      <c r="K17" s="53" t="n">
        <v>17</v>
      </c>
      <c r="L17" s="55" t="n">
        <f aca="false">IFERROR(($F17-AVERAGE($F$15:$F$120))/STDEV($F$15:$F$120),"")</f>
        <v>-0.0702541703169114</v>
      </c>
      <c r="M17" s="55" t="n">
        <f aca="false">IFERROR(($I17-AVERAGE($I$15:$I$120))/STDEV($I$15:$I$120),"")</f>
        <v>1.25855047912579</v>
      </c>
      <c r="N17" s="55" t="n">
        <f aca="false">IFERROR(-($J17-AVERAGE($J$15:$J$120))/STDEV($J$15:$J$120),"")</f>
        <v>0.187824262454474</v>
      </c>
      <c r="O17" s="55" t="n">
        <f aca="false">IFERROR(-($K17-AVERAGE($K$15:$K$120))/STDEV($K$15:$K$120),"")</f>
        <v>0.0792162258174255</v>
      </c>
      <c r="P17" s="55" t="n">
        <f aca="false">IFERROR(-($G17-AVERAGE($G$15:$G$120))/STDEV($G$15:$G$120),"")</f>
        <v>0.965245600983151</v>
      </c>
      <c r="Q17" s="55" t="n">
        <f aca="false">IFERROR(($H17-AVERAGE($H$15:$H$120))/STDEV($H$15:$H$120),"")</f>
        <v>-0.251070785032649</v>
      </c>
      <c r="R17" s="56" t="n">
        <f aca="false">IFERROR(IF(ISNUMBER(L17),$D$6*L17,0)+IF(ISNUMBER(M17),$D$7*M17,0)+IF(ISNUMBER(N17),$D$8*N17,0)+IF(ISNUMBER(O17),$D$9*O17,0)+IF(ISNUMBER(P17),$D$10*P17,0)+IF(ISNUMBER(Q17),$D$11*Q17,0),"")</f>
        <v>0.358960207479518</v>
      </c>
      <c r="S17" s="55" t="n">
        <f aca="false">IFERROR(LN($E17),"")</f>
        <v>5.50125821054473</v>
      </c>
      <c r="T17" s="55" t="n">
        <f aca="false">IFERROR($K$6+$K$7*$R17,"")</f>
        <v>6.06268700414891</v>
      </c>
      <c r="U17" s="56" t="n">
        <f aca="false">IFERROR($S17-$T17,"")</f>
        <v>-0.561428793604184</v>
      </c>
      <c r="V17" s="56" t="n">
        <f aca="false">IFERROR(($U17-AVERAGE($U$15:$U$120))/STDEV($U$15:$U$120),"")</f>
        <v>-1.3944227358512</v>
      </c>
      <c r="W17" s="10" t="str">
        <f aca="false">IF(ISNUMBER($V17),IF($V17&gt;=$R$7,"CHEAP",IF($V17&gt;=0.5,"slightly cheap",IF($V17&lt;=$R$8,"RICH",IF($V17&lt;=-0.5,"slightly rich","fair")))),"")</f>
        <v>slightly rich</v>
      </c>
      <c r="X17" s="57" t="n">
        <f aca="false">COUNT($F17)+COUNT($G17)+COUNT($H17)+COUNT($I17)+COUNT($J17)+COUNT($K17)</f>
        <v>6</v>
      </c>
      <c r="Y17" s="58" t="str">
        <f aca="false">IF($X17&gt;=5,"HIGH",IF($X17&gt;=3,"MED","LOW"))</f>
        <v>HIGH</v>
      </c>
      <c r="AA17" s="59" t="s">
        <v>81</v>
      </c>
      <c r="AB17" s="60" t="n">
        <f aca="false">IF(AND(ISNUMBER($S17),$X17&gt;=$R$6),$S17,"")</f>
        <v>5.50125821054473</v>
      </c>
      <c r="AC17" s="61" t="n">
        <f aca="false">IF(AND(ISNUMBER($R17),$X17&gt;=$R$6),$R17,"")</f>
        <v>0.358960207479518</v>
      </c>
    </row>
    <row r="18" customFormat="false" ht="15" hidden="false" customHeight="true" outlineLevel="0" collapsed="false">
      <c r="B18" s="62" t="s">
        <v>88</v>
      </c>
      <c r="C18" s="63" t="s">
        <v>89</v>
      </c>
      <c r="D18" s="64" t="s">
        <v>90</v>
      </c>
      <c r="E18" s="51" t="n">
        <v>130</v>
      </c>
      <c r="F18" s="65" t="n">
        <v>6</v>
      </c>
      <c r="G18" s="66" t="n">
        <v>2.3</v>
      </c>
      <c r="H18" s="66" t="n">
        <v>3.8</v>
      </c>
      <c r="I18" s="66" t="n">
        <v>42</v>
      </c>
      <c r="J18" s="67" t="n">
        <v>-3</v>
      </c>
      <c r="K18" s="66" t="n">
        <v>14</v>
      </c>
      <c r="L18" s="68" t="n">
        <f aca="false">IFERROR(($F18-AVERAGE($F$15:$F$120))/STDEV($F$15:$F$120),"")</f>
        <v>-1.37314969255781</v>
      </c>
      <c r="M18" s="68" t="n">
        <f aca="false">IFERROR(($I18-AVERAGE($I$15:$I$120))/STDEV($I$15:$I$120),"")</f>
        <v>-0.765483401956713</v>
      </c>
      <c r="N18" s="68" t="n">
        <f aca="false">IFERROR(-($J18-AVERAGE($J$15:$J$120))/STDEV($J$15:$J$120),"")</f>
        <v>0.348075828915004</v>
      </c>
      <c r="O18" s="68" t="n">
        <f aca="false">IFERROR(-($K18-AVERAGE($K$15:$K$120))/STDEV($K$15:$K$120),"")</f>
        <v>0.378477523349922</v>
      </c>
      <c r="P18" s="68" t="n">
        <f aca="false">IFERROR(-($G18-AVERAGE($G$15:$G$120))/STDEV($G$15:$G$120),"")</f>
        <v>0.824545277581534</v>
      </c>
      <c r="Q18" s="68" t="n">
        <f aca="false">IFERROR(($H18-AVERAGE($H$15:$H$120))/STDEV($H$15:$H$120),"")</f>
        <v>-0.350579272689219</v>
      </c>
      <c r="R18" s="69" t="n">
        <f aca="false">IFERROR(IF(ISNUMBER(L18),$D$6*L18,0)+IF(ISNUMBER(M18),$D$7*M18,0)+IF(ISNUMBER(N18),$D$8*N18,0)+IF(ISNUMBER(O18),$D$9*O18,0)+IF(ISNUMBER(P18),$D$10*P18,0)+IF(ISNUMBER(Q18),$D$11*Q18,0),"")</f>
        <v>-0.472740854619687</v>
      </c>
      <c r="S18" s="68" t="n">
        <f aca="false">IFERROR(LN($E18),"")</f>
        <v>4.86753445045558</v>
      </c>
      <c r="T18" s="68" t="n">
        <f aca="false">IFERROR($K$6+$K$7*$R18,"")</f>
        <v>5.13579985538182</v>
      </c>
      <c r="U18" s="69" t="n">
        <f aca="false">IFERROR($S18-$T18,"")</f>
        <v>-0.268265404926234</v>
      </c>
      <c r="V18" s="69" t="n">
        <f aca="false">IFERROR(($U18-AVERAGE($U$15:$U$120))/STDEV($U$15:$U$120),"")</f>
        <v>-0.666291761542959</v>
      </c>
      <c r="W18" s="70" t="str">
        <f aca="false">IF(ISNUMBER($V18),IF($V18&gt;=$R$7,"CHEAP",IF($V18&gt;=0.5,"slightly cheap",IF($V18&lt;=$R$8,"RICH",IF($V18&lt;=-0.5,"slightly rich","fair")))),"")</f>
        <v>slightly rich</v>
      </c>
      <c r="X18" s="71" t="n">
        <f aca="false">COUNT($F18)+COUNT($G18)+COUNT($H18)+COUNT($I18)+COUNT($J18)+COUNT($K18)</f>
        <v>6</v>
      </c>
      <c r="Y18" s="72" t="str">
        <f aca="false">IF($X18&gt;=5,"HIGH",IF($X18&gt;=3,"MED","LOW"))</f>
        <v>HIGH</v>
      </c>
      <c r="AA18" s="59" t="s">
        <v>81</v>
      </c>
      <c r="AB18" s="60" t="n">
        <f aca="false">IF(AND(ISNUMBER($S18),$X18&gt;=$R$6),$S18,"")</f>
        <v>4.86753445045558</v>
      </c>
      <c r="AC18" s="61" t="n">
        <f aca="false">IF(AND(ISNUMBER($R18),$X18&gt;=$R$6),$R18,"")</f>
        <v>-0.472740854619687</v>
      </c>
    </row>
    <row r="19" customFormat="false" ht="15" hidden="false" customHeight="true" outlineLevel="0" collapsed="false">
      <c r="B19" s="13" t="s">
        <v>91</v>
      </c>
      <c r="C19" s="29" t="s">
        <v>92</v>
      </c>
      <c r="D19" s="50" t="s">
        <v>93</v>
      </c>
      <c r="E19" s="51" t="n">
        <v>350</v>
      </c>
      <c r="F19" s="52" t="n">
        <v>11</v>
      </c>
      <c r="G19" s="53" t="n">
        <v>2.4</v>
      </c>
      <c r="H19" s="53" t="n">
        <v>4</v>
      </c>
      <c r="I19" s="53" t="n">
        <v>60</v>
      </c>
      <c r="J19" s="54" t="n">
        <v>-2.8</v>
      </c>
      <c r="K19" s="53" t="n">
        <v>17</v>
      </c>
      <c r="L19" s="55" t="n">
        <f aca="false">IFERROR(($F19-AVERAGE($F$15:$F$120))/STDEV($F$15:$F$120),"")</f>
        <v>-0.287403424023728</v>
      </c>
      <c r="M19" s="55" t="n">
        <f aca="false">IFERROR(($I19-AVERAGE($I$15:$I$120))/STDEV($I$15:$I$120),"")</f>
        <v>0.0265298558581785</v>
      </c>
      <c r="N19" s="55" t="n">
        <f aca="false">IFERROR(-($J19-AVERAGE($J$15:$J$120))/STDEV($J$15:$J$120),"")</f>
        <v>0.316025515622898</v>
      </c>
      <c r="O19" s="55" t="n">
        <f aca="false">IFERROR(-($K19-AVERAGE($K$15:$K$120))/STDEV($K$15:$K$120),"")</f>
        <v>0.0792162258174255</v>
      </c>
      <c r="P19" s="55" t="n">
        <f aca="false">IFERROR(-($G19-AVERAGE($G$15:$G$120))/STDEV($G$15:$G$120),"")</f>
        <v>0.754195115880726</v>
      </c>
      <c r="Q19" s="55" t="n">
        <f aca="false">IFERROR(($H19-AVERAGE($H$15:$H$120))/STDEV($H$15:$H$120),"")</f>
        <v>-0.322148276215914</v>
      </c>
      <c r="R19" s="56" t="n">
        <f aca="false">IFERROR(IF(ISNUMBER(L19),$D$6*L19,0)+IF(ISNUMBER(M19),$D$7*M19,0)+IF(ISNUMBER(N19),$D$8*N19,0)+IF(ISNUMBER(O19),$D$9*O19,0)+IF(ISNUMBER(P19),$D$10*P19,0)+IF(ISNUMBER(Q19),$D$11*Q19,0),"")</f>
        <v>0.0247717744969221</v>
      </c>
      <c r="S19" s="55" t="n">
        <f aca="false">IFERROR(LN($E19),"")</f>
        <v>5.85793315448346</v>
      </c>
      <c r="T19" s="55" t="n">
        <f aca="false">IFERROR($K$6+$K$7*$R19,"")</f>
        <v>5.69025154877464</v>
      </c>
      <c r="U19" s="56" t="n">
        <f aca="false">IFERROR($S19-$T19,"")</f>
        <v>0.167681605708818</v>
      </c>
      <c r="V19" s="56" t="n">
        <f aca="false">IFERROR(($U19-AVERAGE($U$15:$U$120))/STDEV($U$15:$U$120),"")</f>
        <v>0.416471413735965</v>
      </c>
      <c r="W19" s="10" t="str">
        <f aca="false">IF(ISNUMBER($V19),IF($V19&gt;=$R$7,"CHEAP",IF($V19&gt;=0.5,"slightly cheap",IF($V19&lt;=$R$8,"RICH",IF($V19&lt;=-0.5,"slightly rich","fair")))),"")</f>
        <v>fair</v>
      </c>
      <c r="X19" s="57" t="n">
        <f aca="false">COUNT($F19)+COUNT($G19)+COUNT($H19)+COUNT($I19)+COUNT($J19)+COUNT($K19)</f>
        <v>6</v>
      </c>
      <c r="Y19" s="58" t="str">
        <f aca="false">IF($X19&gt;=5,"HIGH",IF($X19&gt;=3,"MED","LOW"))</f>
        <v>HIGH</v>
      </c>
      <c r="AA19" s="59" t="s">
        <v>81</v>
      </c>
      <c r="AB19" s="60" t="n">
        <f aca="false">IF(AND(ISNUMBER($S19),$X19&gt;=$R$6),$S19,"")</f>
        <v>5.85793315448346</v>
      </c>
      <c r="AC19" s="61" t="n">
        <f aca="false">IF(AND(ISNUMBER($R19),$X19&gt;=$R$6),$R19,"")</f>
        <v>0.0247717744969221</v>
      </c>
    </row>
    <row r="20" customFormat="false" ht="15" hidden="false" customHeight="true" outlineLevel="0" collapsed="false">
      <c r="B20" s="62" t="s">
        <v>94</v>
      </c>
      <c r="C20" s="63" t="s">
        <v>95</v>
      </c>
      <c r="D20" s="64" t="s">
        <v>96</v>
      </c>
      <c r="E20" s="51" t="n">
        <v>280</v>
      </c>
      <c r="F20" s="65" t="n">
        <v>13</v>
      </c>
      <c r="G20" s="66" t="n">
        <v>3.8</v>
      </c>
      <c r="H20" s="66" t="n">
        <v>1.5</v>
      </c>
      <c r="I20" s="66" t="n">
        <v>61</v>
      </c>
      <c r="J20" s="67" t="n">
        <v>-2</v>
      </c>
      <c r="K20" s="66" t="n">
        <v>16</v>
      </c>
      <c r="L20" s="68" t="n">
        <f aca="false">IFERROR(($F20-AVERAGE($F$15:$F$120))/STDEV($F$15:$F$120),"")</f>
        <v>0.146895083389905</v>
      </c>
      <c r="M20" s="68" t="n">
        <f aca="false">IFERROR(($I20-AVERAGE($I$15:$I$120))/STDEV($I$15:$I$120),"")</f>
        <v>0.0705305924034503</v>
      </c>
      <c r="N20" s="68" t="n">
        <f aca="false">IFERROR(-($J20-AVERAGE($J$15:$J$120))/STDEV($J$15:$J$120),"")</f>
        <v>0.187824262454474</v>
      </c>
      <c r="O20" s="68" t="n">
        <f aca="false">IFERROR(-($K20-AVERAGE($K$15:$K$120))/STDEV($K$15:$K$120),"")</f>
        <v>0.178969991661591</v>
      </c>
      <c r="P20" s="68" t="n">
        <f aca="false">IFERROR(-($G20-AVERAGE($G$15:$G$120))/STDEV($G$15:$G$120),"")</f>
        <v>-0.230707147930592</v>
      </c>
      <c r="Q20" s="68" t="n">
        <f aca="false">IFERROR(($H20-AVERAGE($H$15:$H$120))/STDEV($H$15:$H$120),"")</f>
        <v>-0.677535732132236</v>
      </c>
      <c r="R20" s="69" t="n">
        <f aca="false">IFERROR(IF(ISNUMBER(L20),$D$6*L20,0)+IF(ISNUMBER(M20),$D$7*M20,0)+IF(ISNUMBER(N20),$D$8*N20,0)+IF(ISNUMBER(O20),$D$9*O20,0)+IF(ISNUMBER(P20),$D$10*P20,0)+IF(ISNUMBER(Q20),$D$11*Q20,0),"")</f>
        <v>0.0297023198792371</v>
      </c>
      <c r="S20" s="68" t="n">
        <f aca="false">IFERROR(LN($E20),"")</f>
        <v>5.63478960316925</v>
      </c>
      <c r="T20" s="68" t="n">
        <f aca="false">IFERROR($K$6+$K$7*$R20,"")</f>
        <v>5.69574638262726</v>
      </c>
      <c r="U20" s="69" t="n">
        <f aca="false">IFERROR($S20-$T20,"")</f>
        <v>-0.0609567794580093</v>
      </c>
      <c r="V20" s="69" t="n">
        <f aca="false">IFERROR(($U20-AVERAGE($U$15:$U$120))/STDEV($U$15:$U$120),"")</f>
        <v>-0.151398574759317</v>
      </c>
      <c r="W20" s="70" t="str">
        <f aca="false">IF(ISNUMBER($V20),IF($V20&gt;=$R$7,"CHEAP",IF($V20&gt;=0.5,"slightly cheap",IF($V20&lt;=$R$8,"RICH",IF($V20&lt;=-0.5,"slightly rich","fair")))),"")</f>
        <v>fair</v>
      </c>
      <c r="X20" s="71" t="n">
        <f aca="false">COUNT($F20)+COUNT($G20)+COUNT($H20)+COUNT($I20)+COUNT($J20)+COUNT($K20)</f>
        <v>6</v>
      </c>
      <c r="Y20" s="72" t="str">
        <f aca="false">IF($X20&gt;=5,"HIGH",IF($X20&gt;=3,"MED","LOW"))</f>
        <v>HIGH</v>
      </c>
      <c r="AA20" s="59" t="s">
        <v>81</v>
      </c>
      <c r="AB20" s="60" t="n">
        <f aca="false">IF(AND(ISNUMBER($S20),$X20&gt;=$R$6),$S20,"")</f>
        <v>5.63478960316925</v>
      </c>
      <c r="AC20" s="61" t="n">
        <f aca="false">IF(AND(ISNUMBER($R20),$X20&gt;=$R$6),$R20,"")</f>
        <v>0.0297023198792371</v>
      </c>
    </row>
    <row r="21" customFormat="false" ht="15" hidden="false" customHeight="true" outlineLevel="0" collapsed="false">
      <c r="B21" s="13" t="s">
        <v>97</v>
      </c>
      <c r="C21" s="29" t="s">
        <v>98</v>
      </c>
      <c r="D21" s="50" t="s">
        <v>99</v>
      </c>
      <c r="E21" s="51" t="n">
        <v>290</v>
      </c>
      <c r="F21" s="52" t="n">
        <v>13</v>
      </c>
      <c r="G21" s="53" t="n">
        <v>4.5</v>
      </c>
      <c r="H21" s="53" t="n">
        <v>4</v>
      </c>
      <c r="I21" s="53" t="n">
        <v>60</v>
      </c>
      <c r="J21" s="54" t="n">
        <v>-3</v>
      </c>
      <c r="K21" s="53" t="n">
        <v>13</v>
      </c>
      <c r="L21" s="55" t="n">
        <f aca="false">IFERROR(($F21-AVERAGE($F$15:$F$120))/STDEV($F$15:$F$120),"")</f>
        <v>0.146895083389905</v>
      </c>
      <c r="M21" s="55" t="n">
        <f aca="false">IFERROR(($I21-AVERAGE($I$15:$I$120))/STDEV($I$15:$I$120),"")</f>
        <v>0.0265298558581785</v>
      </c>
      <c r="N21" s="55" t="n">
        <f aca="false">IFERROR(-($J21-AVERAGE($J$15:$J$120))/STDEV($J$15:$J$120),"")</f>
        <v>0.348075828915004</v>
      </c>
      <c r="O21" s="55" t="n">
        <f aca="false">IFERROR(-($K21-AVERAGE($K$15:$K$120))/STDEV($K$15:$K$120),"")</f>
        <v>0.478231289194088</v>
      </c>
      <c r="P21" s="55" t="n">
        <f aca="false">IFERROR(-($G21-AVERAGE($G$15:$G$120))/STDEV($G$15:$G$120),"")</f>
        <v>-0.723158279836251</v>
      </c>
      <c r="Q21" s="55" t="n">
        <f aca="false">IFERROR(($H21-AVERAGE($H$15:$H$120))/STDEV($H$15:$H$120),"")</f>
        <v>-0.322148276215914</v>
      </c>
      <c r="R21" s="56" t="n">
        <f aca="false">IFERROR(IF(ISNUMBER(L21),$D$6*L21,0)+IF(ISNUMBER(M21),$D$7*M21,0)+IF(ISNUMBER(N21),$D$8*N21,0)+IF(ISNUMBER(O21),$D$9*O21,0)+IF(ISNUMBER(P21),$D$10*P21,0)+IF(ISNUMBER(Q21),$D$11*Q21,0),"")</f>
        <v>0.0442028979371387</v>
      </c>
      <c r="S21" s="55" t="n">
        <f aca="false">IFERROR(LN($E21),"")</f>
        <v>5.66988092298052</v>
      </c>
      <c r="T21" s="55" t="n">
        <f aca="false">IFERROR($K$6+$K$7*$R21,"")</f>
        <v>5.71190651523264</v>
      </c>
      <c r="U21" s="56" t="n">
        <f aca="false">IFERROR($S21-$T21,"")</f>
        <v>-0.0420255922521244</v>
      </c>
      <c r="V21" s="56" t="n">
        <f aca="false">IFERROR(($U21-AVERAGE($U$15:$U$120))/STDEV($U$15:$U$120),"")</f>
        <v>-0.104379116268287</v>
      </c>
      <c r="W21" s="10" t="str">
        <f aca="false">IF(ISNUMBER($V21),IF($V21&gt;=$R$7,"CHEAP",IF($V21&gt;=0.5,"slightly cheap",IF($V21&lt;=$R$8,"RICH",IF($V21&lt;=-0.5,"slightly rich","fair")))),"")</f>
        <v>fair</v>
      </c>
      <c r="X21" s="57" t="n">
        <f aca="false">COUNT($F21)+COUNT($G21)+COUNT($H21)+COUNT($I21)+COUNT($J21)+COUNT($K21)</f>
        <v>6</v>
      </c>
      <c r="Y21" s="58" t="str">
        <f aca="false">IF($X21&gt;=5,"HIGH",IF($X21&gt;=3,"MED","LOW"))</f>
        <v>HIGH</v>
      </c>
      <c r="AA21" s="59" t="s">
        <v>81</v>
      </c>
      <c r="AB21" s="60" t="n">
        <f aca="false">IF(AND(ISNUMBER($S21),$X21&gt;=$R$6),$S21,"")</f>
        <v>5.66988092298052</v>
      </c>
      <c r="AC21" s="61" t="n">
        <f aca="false">IF(AND(ISNUMBER($R21),$X21&gt;=$R$6),$R21,"")</f>
        <v>0.0442028979371387</v>
      </c>
    </row>
    <row r="22" customFormat="false" ht="15" hidden="false" customHeight="true" outlineLevel="0" collapsed="false">
      <c r="B22" s="62" t="s">
        <v>100</v>
      </c>
      <c r="C22" s="63" t="s">
        <v>101</v>
      </c>
      <c r="D22" s="64" t="s">
        <v>102</v>
      </c>
      <c r="E22" s="51" t="n">
        <v>1300</v>
      </c>
      <c r="F22" s="65" t="n">
        <v>18</v>
      </c>
      <c r="G22" s="66" t="n">
        <v>1</v>
      </c>
      <c r="H22" s="66" t="n">
        <v>2</v>
      </c>
      <c r="I22" s="66" t="n">
        <v>56</v>
      </c>
      <c r="J22" s="67" t="n">
        <v>1.5</v>
      </c>
      <c r="K22" s="66" t="n">
        <v>6</v>
      </c>
      <c r="L22" s="68" t="n">
        <f aca="false">IFERROR(($F22-AVERAGE($F$15:$F$120))/STDEV($F$15:$F$120),"")</f>
        <v>1.23264135192399</v>
      </c>
      <c r="M22" s="68" t="n">
        <f aca="false">IFERROR(($I22-AVERAGE($I$15:$I$120))/STDEV($I$15:$I$120),"")</f>
        <v>-0.149473090322908</v>
      </c>
      <c r="N22" s="68" t="n">
        <f aca="false">IFERROR(-($J22-AVERAGE($J$15:$J$120))/STDEV($J$15:$J$120),"")</f>
        <v>-0.373056220157381</v>
      </c>
      <c r="O22" s="68" t="n">
        <f aca="false">IFERROR(-($K22-AVERAGE($K$15:$K$120))/STDEV($K$15:$K$120),"")</f>
        <v>1.17650765010325</v>
      </c>
      <c r="P22" s="68" t="n">
        <f aca="false">IFERROR(-($G22-AVERAGE($G$15:$G$120))/STDEV($G$15:$G$120),"")</f>
        <v>1.73909737969204</v>
      </c>
      <c r="Q22" s="68" t="n">
        <f aca="false">IFERROR(($H22-AVERAGE($H$15:$H$120))/STDEV($H$15:$H$120),"")</f>
        <v>-0.606458240948972</v>
      </c>
      <c r="R22" s="69" t="n">
        <f aca="false">IFERROR(IF(ISNUMBER(L22),$D$6*L22,0)+IF(ISNUMBER(M22),$D$7*M22,0)+IF(ISNUMBER(N22),$D$8*N22,0)+IF(ISNUMBER(O22),$D$9*O22,0)+IF(ISNUMBER(P22),$D$10*P22,0)+IF(ISNUMBER(Q22),$D$11*Q22,0),"")</f>
        <v>0.623397213382659</v>
      </c>
      <c r="S22" s="68" t="n">
        <f aca="false">IFERROR(LN($E22),"")</f>
        <v>7.17011954344963</v>
      </c>
      <c r="T22" s="68" t="n">
        <f aca="false">IFERROR($K$6+$K$7*$R22,"")</f>
        <v>6.35738815772377</v>
      </c>
      <c r="U22" s="69" t="n">
        <f aca="false">IFERROR($S22-$T22,"")</f>
        <v>0.81273138572586</v>
      </c>
      <c r="V22" s="69" t="n">
        <f aca="false">IFERROR(($U22-AVERAGE($U$15:$U$120))/STDEV($U$15:$U$120),"")</f>
        <v>2.01858389756008</v>
      </c>
      <c r="W22" s="70" t="str">
        <f aca="false">IF(ISNUMBER($V22),IF($V22&gt;=$R$7,"CHEAP",IF($V22&gt;=0.5,"slightly cheap",IF($V22&lt;=$R$8,"RICH",IF($V22&lt;=-0.5,"slightly rich","fair")))),"")</f>
        <v>CHEAP</v>
      </c>
      <c r="X22" s="71" t="n">
        <f aca="false">COUNT($F22)+COUNT($G22)+COUNT($H22)+COUNT($I22)+COUNT($J22)+COUNT($K22)</f>
        <v>6</v>
      </c>
      <c r="Y22" s="72" t="str">
        <f aca="false">IF($X22&gt;=5,"HIGH",IF($X22&gt;=3,"MED","LOW"))</f>
        <v>HIGH</v>
      </c>
      <c r="AA22" s="59" t="s">
        <v>81</v>
      </c>
      <c r="AB22" s="60" t="n">
        <f aca="false">IF(AND(ISNUMBER($S22),$X22&gt;=$R$6),$S22,"")</f>
        <v>7.17011954344963</v>
      </c>
      <c r="AC22" s="61" t="n">
        <f aca="false">IF(AND(ISNUMBER($R22),$X22&gt;=$R$6),$R22,"")</f>
        <v>0.623397213382659</v>
      </c>
    </row>
    <row r="23" customFormat="false" ht="15" hidden="false" customHeight="true" outlineLevel="0" collapsed="false">
      <c r="B23" s="13" t="s">
        <v>103</v>
      </c>
      <c r="C23" s="29" t="s">
        <v>104</v>
      </c>
      <c r="D23" s="50" t="s">
        <v>105</v>
      </c>
      <c r="E23" s="51" t="n">
        <v>480</v>
      </c>
      <c r="F23" s="52" t="n">
        <v>18</v>
      </c>
      <c r="G23" s="53" t="n">
        <v>2.5</v>
      </c>
      <c r="H23" s="53" t="n">
        <v>1.5</v>
      </c>
      <c r="I23" s="53" t="n">
        <v>84</v>
      </c>
      <c r="J23" s="54" t="n">
        <v>-2.5</v>
      </c>
      <c r="K23" s="53" t="n">
        <v>13</v>
      </c>
      <c r="L23" s="55" t="n">
        <f aca="false">IFERROR(($F23-AVERAGE($F$15:$F$120))/STDEV($F$15:$F$120),"")</f>
        <v>1.23264135192399</v>
      </c>
      <c r="M23" s="55" t="n">
        <f aca="false">IFERROR(($I23-AVERAGE($I$15:$I$120))/STDEV($I$15:$I$120),"")</f>
        <v>1.0825475329447</v>
      </c>
      <c r="N23" s="55" t="n">
        <f aca="false">IFERROR(-($J23-AVERAGE($J$15:$J$120))/STDEV($J$15:$J$120),"")</f>
        <v>0.267950045684739</v>
      </c>
      <c r="O23" s="55" t="n">
        <f aca="false">IFERROR(-($K23-AVERAGE($K$15:$K$120))/STDEV($K$15:$K$120),"")</f>
        <v>0.478231289194088</v>
      </c>
      <c r="P23" s="55" t="n">
        <f aca="false">IFERROR(-($G23-AVERAGE($G$15:$G$120))/STDEV($G$15:$G$120),"")</f>
        <v>0.683844954179917</v>
      </c>
      <c r="Q23" s="55" t="n">
        <f aca="false">IFERROR(($H23-AVERAGE($H$15:$H$120))/STDEV($H$15:$H$120),"")</f>
        <v>-0.677535732132236</v>
      </c>
      <c r="R23" s="56" t="n">
        <f aca="false">IFERROR(IF(ISNUMBER(L23),$D$6*L23,0)+IF(ISNUMBER(M23),$D$7*M23,0)+IF(ISNUMBER(N23),$D$8*N23,0)+IF(ISNUMBER(O23),$D$9*O23,0)+IF(ISNUMBER(P23),$D$10*P23,0)+IF(ISNUMBER(Q23),$D$11*Q23,0),"")</f>
        <v>0.763808151465467</v>
      </c>
      <c r="S23" s="55" t="n">
        <f aca="false">IFERROR(LN($E23),"")</f>
        <v>6.17378610390194</v>
      </c>
      <c r="T23" s="55" t="n">
        <f aca="false">IFERROR($K$6+$K$7*$R23,"")</f>
        <v>6.51386877315884</v>
      </c>
      <c r="U23" s="56" t="n">
        <f aca="false">IFERROR($S23-$T23,"")</f>
        <v>-0.340082669256904</v>
      </c>
      <c r="V23" s="56" t="n">
        <f aca="false">IFERROR(($U23-AVERAGE($U$15:$U$120))/STDEV($U$15:$U$120),"")</f>
        <v>-0.84466456206577</v>
      </c>
      <c r="W23" s="10" t="str">
        <f aca="false">IF(ISNUMBER($V23),IF($V23&gt;=$R$7,"CHEAP",IF($V23&gt;=0.5,"slightly cheap",IF($V23&lt;=$R$8,"RICH",IF($V23&lt;=-0.5,"slightly rich","fair")))),"")</f>
        <v>slightly rich</v>
      </c>
      <c r="X23" s="57" t="n">
        <f aca="false">COUNT($F23)+COUNT($G23)+COUNT($H23)+COUNT($I23)+COUNT($J23)+COUNT($K23)</f>
        <v>6</v>
      </c>
      <c r="Y23" s="58" t="str">
        <f aca="false">IF($X23&gt;=5,"HIGH",IF($X23&gt;=3,"MED","LOW"))</f>
        <v>HIGH</v>
      </c>
      <c r="AA23" s="59" t="s">
        <v>81</v>
      </c>
      <c r="AB23" s="60" t="n">
        <f aca="false">IF(AND(ISNUMBER($S23),$X23&gt;=$R$6),$S23,"")</f>
        <v>6.17378610390194</v>
      </c>
      <c r="AC23" s="61" t="n">
        <f aca="false">IF(AND(ISNUMBER($R23),$X23&gt;=$R$6),$R23,"")</f>
        <v>0.763808151465467</v>
      </c>
    </row>
    <row r="24" customFormat="false" ht="15" hidden="false" customHeight="true" outlineLevel="0" collapsed="false">
      <c r="B24" s="62" t="s">
        <v>106</v>
      </c>
      <c r="C24" s="63" t="s">
        <v>107</v>
      </c>
      <c r="D24" s="64" t="s">
        <v>108</v>
      </c>
      <c r="E24" s="51" t="n">
        <v>230</v>
      </c>
      <c r="F24" s="65" t="n">
        <v>11</v>
      </c>
      <c r="G24" s="66" t="n">
        <v>3.8</v>
      </c>
      <c r="H24" s="66" t="n">
        <v>4</v>
      </c>
      <c r="I24" s="66" t="n">
        <v>28</v>
      </c>
      <c r="J24" s="67" t="n">
        <v>1.5</v>
      </c>
      <c r="K24" s="66" t="n">
        <v>21</v>
      </c>
      <c r="L24" s="68" t="n">
        <f aca="false">IFERROR(($F24-AVERAGE($F$15:$F$120))/STDEV($F$15:$F$120),"")</f>
        <v>-0.287403424023728</v>
      </c>
      <c r="M24" s="68" t="n">
        <f aca="false">IFERROR(($I24-AVERAGE($I$15:$I$120))/STDEV($I$15:$I$120),"")</f>
        <v>-1.38149371359052</v>
      </c>
      <c r="N24" s="68" t="n">
        <f aca="false">IFERROR(-($J24-AVERAGE($J$15:$J$120))/STDEV($J$15:$J$120),"")</f>
        <v>-0.373056220157381</v>
      </c>
      <c r="O24" s="68" t="n">
        <f aca="false">IFERROR(-($K24-AVERAGE($K$15:$K$120))/STDEV($K$15:$K$120),"")</f>
        <v>-0.319798837559237</v>
      </c>
      <c r="P24" s="68" t="n">
        <f aca="false">IFERROR(-($G24-AVERAGE($G$15:$G$120))/STDEV($G$15:$G$120),"")</f>
        <v>-0.230707147930592</v>
      </c>
      <c r="Q24" s="68" t="n">
        <f aca="false">IFERROR(($H24-AVERAGE($H$15:$H$120))/STDEV($H$15:$H$120),"")</f>
        <v>-0.322148276215914</v>
      </c>
      <c r="R24" s="69" t="n">
        <f aca="false">IFERROR(IF(ISNUMBER(L24),$D$6*L24,0)+IF(ISNUMBER(M24),$D$7*M24,0)+IF(ISNUMBER(N24),$D$8*N24,0)+IF(ISNUMBER(O24),$D$9*O24,0)+IF(ISNUMBER(P24),$D$10*P24,0)+IF(ISNUMBER(Q24),$D$11*Q24,0),"")</f>
        <v>-0.518284977754883</v>
      </c>
      <c r="S24" s="68" t="n">
        <f aca="false">IFERROR(LN($E24),"")</f>
        <v>5.4380793089232</v>
      </c>
      <c r="T24" s="68" t="n">
        <f aca="false">IFERROR($K$6+$K$7*$R24,"")</f>
        <v>5.08504332234418</v>
      </c>
      <c r="U24" s="69" t="n">
        <f aca="false">IFERROR($S24-$T24,"")</f>
        <v>0.35303598657902</v>
      </c>
      <c r="V24" s="69" t="n">
        <f aca="false">IFERROR(($U24-AVERAGE($U$15:$U$120))/STDEV($U$15:$U$120),"")</f>
        <v>0.876836763392847</v>
      </c>
      <c r="W24" s="70" t="str">
        <f aca="false">IF(ISNUMBER($V24),IF($V24&gt;=$R$7,"CHEAP",IF($V24&gt;=0.5,"slightly cheap",IF($V24&lt;=$R$8,"RICH",IF($V24&lt;=-0.5,"slightly rich","fair")))),"")</f>
        <v>slightly cheap</v>
      </c>
      <c r="X24" s="71" t="n">
        <f aca="false">COUNT($F24)+COUNT($G24)+COUNT($H24)+COUNT($I24)+COUNT($J24)+COUNT($K24)</f>
        <v>6</v>
      </c>
      <c r="Y24" s="72" t="str">
        <f aca="false">IF($X24&gt;=5,"HIGH",IF($X24&gt;=3,"MED","LOW"))</f>
        <v>HIGH</v>
      </c>
      <c r="AA24" s="59" t="s">
        <v>81</v>
      </c>
      <c r="AB24" s="60" t="n">
        <f aca="false">IF(AND(ISNUMBER($S24),$X24&gt;=$R$6),$S24,"")</f>
        <v>5.4380793089232</v>
      </c>
      <c r="AC24" s="61" t="n">
        <f aca="false">IF(AND(ISNUMBER($R24),$X24&gt;=$R$6),$R24,"")</f>
        <v>-0.518284977754883</v>
      </c>
    </row>
    <row r="25" customFormat="false" ht="15" hidden="false" customHeight="true" outlineLevel="0" collapsed="false">
      <c r="B25" s="13" t="s">
        <v>109</v>
      </c>
      <c r="C25" s="29" t="s">
        <v>110</v>
      </c>
      <c r="D25" s="50" t="s">
        <v>111</v>
      </c>
      <c r="E25" s="51" t="n">
        <v>320</v>
      </c>
      <c r="F25" s="52" t="n">
        <v>14</v>
      </c>
      <c r="G25" s="53" t="n">
        <v>2</v>
      </c>
      <c r="H25" s="53" t="n">
        <v>5.5</v>
      </c>
      <c r="I25" s="53" t="n">
        <v>70</v>
      </c>
      <c r="J25" s="54" t="n">
        <v>-1.5</v>
      </c>
      <c r="K25" s="53" t="n">
        <v>25</v>
      </c>
      <c r="L25" s="55" t="n">
        <f aca="false">IFERROR(($F25-AVERAGE($F$15:$F$120))/STDEV($F$15:$F$120),"")</f>
        <v>0.364044337096722</v>
      </c>
      <c r="M25" s="55" t="n">
        <f aca="false">IFERROR(($I25-AVERAGE($I$15:$I$120))/STDEV($I$15:$I$120),"")</f>
        <v>0.466537221310896</v>
      </c>
      <c r="N25" s="55" t="n">
        <f aca="false">IFERROR(-($J25-AVERAGE($J$15:$J$120))/STDEV($J$15:$J$120),"")</f>
        <v>0.107698479224209</v>
      </c>
      <c r="O25" s="55" t="n">
        <f aca="false">IFERROR(-($K25-AVERAGE($K$15:$K$120))/STDEV($K$15:$K$120),"")</f>
        <v>-0.718813900935899</v>
      </c>
      <c r="P25" s="55" t="n">
        <f aca="false">IFERROR(-($G25-AVERAGE($G$15:$G$120))/STDEV($G$15:$G$120),"")</f>
        <v>1.03559576268396</v>
      </c>
      <c r="Q25" s="55" t="n">
        <f aca="false">IFERROR(($H25-AVERAGE($H$15:$H$120))/STDEV($H$15:$H$120),"")</f>
        <v>-0.10891580266612</v>
      </c>
      <c r="R25" s="56" t="n">
        <f aca="false">IFERROR(IF(ISNUMBER(L25),$D$6*L25,0)+IF(ISNUMBER(M25),$D$7*M25,0)+IF(ISNUMBER(N25),$D$8*N25,0)+IF(ISNUMBER(O25),$D$9*O25,0)+IF(ISNUMBER(P25),$D$10*P25,0)+IF(ISNUMBER(Q25),$D$11*Q25,0),"")</f>
        <v>0.280554571344859</v>
      </c>
      <c r="S25" s="55" t="n">
        <f aca="false">IFERROR(LN($E25),"")</f>
        <v>5.76832099579377</v>
      </c>
      <c r="T25" s="55" t="n">
        <f aca="false">IFERROR($K$6+$K$7*$R25,"")</f>
        <v>5.97530804091818</v>
      </c>
      <c r="U25" s="56" t="n">
        <f aca="false">IFERROR($S25-$T25,"")</f>
        <v>-0.206987045124411</v>
      </c>
      <c r="V25" s="56" t="n">
        <f aca="false">IFERROR(($U25-AVERAGE($U$15:$U$120))/STDEV($U$15:$U$120),"")</f>
        <v>-0.514094476514548</v>
      </c>
      <c r="W25" s="10" t="str">
        <f aca="false">IF(ISNUMBER($V25),IF($V25&gt;=$R$7,"CHEAP",IF($V25&gt;=0.5,"slightly cheap",IF($V25&lt;=$R$8,"RICH",IF($V25&lt;=-0.5,"slightly rich","fair")))),"")</f>
        <v>slightly rich</v>
      </c>
      <c r="X25" s="57" t="n">
        <f aca="false">COUNT($F25)+COUNT($G25)+COUNT($H25)+COUNT($I25)+COUNT($J25)+COUNT($K25)</f>
        <v>6</v>
      </c>
      <c r="Y25" s="58" t="str">
        <f aca="false">IF($X25&gt;=5,"HIGH",IF($X25&gt;=3,"MED","LOW"))</f>
        <v>HIGH</v>
      </c>
      <c r="AA25" s="59" t="s">
        <v>81</v>
      </c>
      <c r="AB25" s="60" t="n">
        <f aca="false">IF(AND(ISNUMBER($S25),$X25&gt;=$R$6),$S25,"")</f>
        <v>5.76832099579377</v>
      </c>
      <c r="AC25" s="61" t="n">
        <f aca="false">IF(AND(ISNUMBER($R25),$X25&gt;=$R$6),$R25,"")</f>
        <v>0.280554571344859</v>
      </c>
    </row>
    <row r="26" customFormat="false" ht="15" hidden="false" customHeight="true" outlineLevel="0" collapsed="false">
      <c r="B26" s="62" t="s">
        <v>112</v>
      </c>
      <c r="C26" s="63" t="s">
        <v>113</v>
      </c>
      <c r="D26" s="64" t="s">
        <v>114</v>
      </c>
      <c r="E26" s="51" t="n">
        <v>290</v>
      </c>
      <c r="F26" s="65" t="n">
        <v>10</v>
      </c>
      <c r="G26" s="66" t="n">
        <v>1.5</v>
      </c>
      <c r="H26" s="66" t="n">
        <v>4</v>
      </c>
      <c r="I26" s="66" t="n">
        <v>53</v>
      </c>
      <c r="J26" s="67" t="n">
        <v>-1</v>
      </c>
      <c r="K26" s="66" t="n">
        <v>12</v>
      </c>
      <c r="L26" s="68" t="n">
        <f aca="false">IFERROR(($F26-AVERAGE($F$15:$F$120))/STDEV($F$15:$F$120),"")</f>
        <v>-0.504552677730545</v>
      </c>
      <c r="M26" s="68" t="n">
        <f aca="false">IFERROR(($I26-AVERAGE($I$15:$I$120))/STDEV($I$15:$I$120),"")</f>
        <v>-0.281475299958724</v>
      </c>
      <c r="N26" s="68" t="n">
        <f aca="false">IFERROR(-($J26-AVERAGE($J$15:$J$120))/STDEV($J$15:$J$120),"")</f>
        <v>0.0275726959939441</v>
      </c>
      <c r="O26" s="68" t="n">
        <f aca="false">IFERROR(-($K26-AVERAGE($K$15:$K$120))/STDEV($K$15:$K$120),"")</f>
        <v>0.577985055038253</v>
      </c>
      <c r="P26" s="68" t="n">
        <f aca="false">IFERROR(-($G26-AVERAGE($G$15:$G$120))/STDEV($G$15:$G$120),"")</f>
        <v>1.387346571188</v>
      </c>
      <c r="Q26" s="68" t="n">
        <f aca="false">IFERROR(($H26-AVERAGE($H$15:$H$120))/STDEV($H$15:$H$120),"")</f>
        <v>-0.322148276215914</v>
      </c>
      <c r="R26" s="69" t="n">
        <f aca="false">IFERROR(IF(ISNUMBER(L26),$D$6*L26,0)+IF(ISNUMBER(M26),$D$7*M26,0)+IF(ISNUMBER(N26),$D$8*N26,0)+IF(ISNUMBER(O26),$D$9*O26,0)+IF(ISNUMBER(P26),$D$10*P26,0)+IF(ISNUMBER(Q26),$D$11*Q26,0),"")</f>
        <v>-0.0302443608492314</v>
      </c>
      <c r="S26" s="68" t="n">
        <f aca="false">IFERROR(LN($E26),"")</f>
        <v>5.66988092298052</v>
      </c>
      <c r="T26" s="68" t="n">
        <f aca="false">IFERROR($K$6+$K$7*$R26,"")</f>
        <v>5.62893895564356</v>
      </c>
      <c r="U26" s="69" t="n">
        <f aca="false">IFERROR($S26-$T26,"")</f>
        <v>0.0409419673369644</v>
      </c>
      <c r="V26" s="69" t="n">
        <f aca="false">IFERROR(($U26-AVERAGE($U$15:$U$120))/STDEV($U$15:$U$120),"")</f>
        <v>0.101687713126786</v>
      </c>
      <c r="W26" s="70" t="str">
        <f aca="false">IF(ISNUMBER($V26),IF($V26&gt;=$R$7,"CHEAP",IF($V26&gt;=0.5,"slightly cheap",IF($V26&lt;=$R$8,"RICH",IF($V26&lt;=-0.5,"slightly rich","fair")))),"")</f>
        <v>fair</v>
      </c>
      <c r="X26" s="71" t="n">
        <f aca="false">COUNT($F26)+COUNT($G26)+COUNT($H26)+COUNT($I26)+COUNT($J26)+COUNT($K26)</f>
        <v>6</v>
      </c>
      <c r="Y26" s="72" t="str">
        <f aca="false">IF($X26&gt;=5,"HIGH",IF($X26&gt;=3,"MED","LOW"))</f>
        <v>HIGH</v>
      </c>
      <c r="AA26" s="59" t="s">
        <v>81</v>
      </c>
      <c r="AB26" s="60" t="n">
        <f aca="false">IF(AND(ISNUMBER($S26),$X26&gt;=$R$6),$S26,"")</f>
        <v>5.66988092298052</v>
      </c>
      <c r="AC26" s="61" t="n">
        <f aca="false">IF(AND(ISNUMBER($R26),$X26&gt;=$R$6),$R26,"")</f>
        <v>-0.0302443608492314</v>
      </c>
    </row>
    <row r="27" customFormat="false" ht="15" hidden="false" customHeight="true" outlineLevel="0" collapsed="false">
      <c r="B27" s="13" t="s">
        <v>115</v>
      </c>
      <c r="C27" s="29" t="s">
        <v>116</v>
      </c>
      <c r="D27" s="50" t="s">
        <v>117</v>
      </c>
      <c r="E27" s="51" t="n">
        <v>360</v>
      </c>
      <c r="F27" s="52" t="n">
        <v>12</v>
      </c>
      <c r="G27" s="53" t="n">
        <v>3.5</v>
      </c>
      <c r="H27" s="53" t="n">
        <v>2</v>
      </c>
      <c r="I27" s="53" t="n">
        <v>56</v>
      </c>
      <c r="J27" s="54" t="n">
        <v>-4.5</v>
      </c>
      <c r="K27" s="53" t="n">
        <v>9</v>
      </c>
      <c r="L27" s="55" t="n">
        <f aca="false">IFERROR(($F27-AVERAGE($F$15:$F$120))/STDEV($F$15:$F$120),"")</f>
        <v>-0.0702541703169114</v>
      </c>
      <c r="M27" s="55" t="n">
        <f aca="false">IFERROR(($I27-AVERAGE($I$15:$I$120))/STDEV($I$15:$I$120),"")</f>
        <v>-0.149473090322908</v>
      </c>
      <c r="N27" s="55" t="n">
        <f aca="false">IFERROR(-($J27-AVERAGE($J$15:$J$120))/STDEV($J$15:$J$120),"")</f>
        <v>0.588453178605799</v>
      </c>
      <c r="O27" s="55" t="n">
        <f aca="false">IFERROR(-($K27-AVERAGE($K$15:$K$120))/STDEV($K$15:$K$120),"")</f>
        <v>0.87724635257075</v>
      </c>
      <c r="P27" s="55" t="n">
        <f aca="false">IFERROR(-($G27-AVERAGE($G$15:$G$120))/STDEV($G$15:$G$120),"")</f>
        <v>-0.019656662828167</v>
      </c>
      <c r="Q27" s="55" t="n">
        <f aca="false">IFERROR(($H27-AVERAGE($H$15:$H$120))/STDEV($H$15:$H$120),"")</f>
        <v>-0.606458240948972</v>
      </c>
      <c r="R27" s="56" t="n">
        <f aca="false">IFERROR(IF(ISNUMBER(L27),$D$6*L27,0)+IF(ISNUMBER(M27),$D$7*M27,0)+IF(ISNUMBER(N27),$D$8*N27,0)+IF(ISNUMBER(O27),$D$9*O27,0)+IF(ISNUMBER(P27),$D$10*P27,0)+IF(ISNUMBER(Q27),$D$11*Q27,0),"")</f>
        <v>0.0706335755571463</v>
      </c>
      <c r="S27" s="55" t="n">
        <f aca="false">IFERROR(LN($E27),"")</f>
        <v>5.88610403145016</v>
      </c>
      <c r="T27" s="55" t="n">
        <f aca="false">IFERROR($K$6+$K$7*$R27,"")</f>
        <v>5.74136211717375</v>
      </c>
      <c r="U27" s="56" t="n">
        <f aca="false">IFERROR($S27-$T27,"")</f>
        <v>0.144741914276404</v>
      </c>
      <c r="V27" s="56" t="n">
        <f aca="false">IFERROR(($U27-AVERAGE($U$15:$U$120))/STDEV($U$15:$U$120),"")</f>
        <v>0.359496018723857</v>
      </c>
      <c r="W27" s="10" t="str">
        <f aca="false">IF(ISNUMBER($V27),IF($V27&gt;=$R$7,"CHEAP",IF($V27&gt;=0.5,"slightly cheap",IF($V27&lt;=$R$8,"RICH",IF($V27&lt;=-0.5,"slightly rich","fair")))),"")</f>
        <v>fair</v>
      </c>
      <c r="X27" s="57" t="n">
        <f aca="false">COUNT($F27)+COUNT($G27)+COUNT($H27)+COUNT($I27)+COUNT($J27)+COUNT($K27)</f>
        <v>6</v>
      </c>
      <c r="Y27" s="58" t="str">
        <f aca="false">IF($X27&gt;=5,"HIGH",IF($X27&gt;=3,"MED","LOW"))</f>
        <v>HIGH</v>
      </c>
      <c r="AA27" s="59" t="s">
        <v>81</v>
      </c>
      <c r="AB27" s="60" t="n">
        <f aca="false">IF(AND(ISNUMBER($S27),$X27&gt;=$R$6),$S27,"")</f>
        <v>5.88610403145016</v>
      </c>
      <c r="AC27" s="61" t="n">
        <f aca="false">IF(AND(ISNUMBER($R27),$X27&gt;=$R$6),$R27,"")</f>
        <v>0.0706335755571463</v>
      </c>
    </row>
    <row r="28" customFormat="false" ht="15" hidden="false" customHeight="true" outlineLevel="0" collapsed="false">
      <c r="B28" s="62" t="s">
        <v>118</v>
      </c>
      <c r="C28" s="63" t="s">
        <v>119</v>
      </c>
      <c r="D28" s="64" t="s">
        <v>120</v>
      </c>
      <c r="E28" s="51" t="n">
        <v>220</v>
      </c>
      <c r="F28" s="65" t="n">
        <v>10</v>
      </c>
      <c r="G28" s="66" t="n">
        <v>4</v>
      </c>
      <c r="H28" s="66" t="n">
        <v>4</v>
      </c>
      <c r="I28" s="66" t="n">
        <v>38</v>
      </c>
      <c r="J28" s="67" t="n">
        <v>-1</v>
      </c>
      <c r="K28" s="66" t="n">
        <v>27</v>
      </c>
      <c r="L28" s="68" t="n">
        <f aca="false">IFERROR(($F28-AVERAGE($F$15:$F$120))/STDEV($F$15:$F$120),"")</f>
        <v>-0.504552677730545</v>
      </c>
      <c r="M28" s="68" t="n">
        <f aca="false">IFERROR(($I28-AVERAGE($I$15:$I$120))/STDEV($I$15:$I$120),"")</f>
        <v>-0.9414863481378</v>
      </c>
      <c r="N28" s="68" t="n">
        <f aca="false">IFERROR(-($J28-AVERAGE($J$15:$J$120))/STDEV($J$15:$J$120),"")</f>
        <v>0.0275726959939441</v>
      </c>
      <c r="O28" s="68" t="n">
        <f aca="false">IFERROR(-($K28-AVERAGE($K$15:$K$120))/STDEV($K$15:$K$120),"")</f>
        <v>-0.91832143262423</v>
      </c>
      <c r="P28" s="68" t="n">
        <f aca="false">IFERROR(-($G28-AVERAGE($G$15:$G$120))/STDEV($G$15:$G$120),"")</f>
        <v>-0.371407471332209</v>
      </c>
      <c r="Q28" s="68" t="n">
        <f aca="false">IFERROR(($H28-AVERAGE($H$15:$H$120))/STDEV($H$15:$H$120),"")</f>
        <v>-0.322148276215914</v>
      </c>
      <c r="R28" s="69" t="n">
        <f aca="false">IFERROR(IF(ISNUMBER(L28),$D$6*L28,0)+IF(ISNUMBER(M28),$D$7*M28,0)+IF(ISNUMBER(N28),$D$8*N28,0)+IF(ISNUMBER(O28),$D$9*O28,0)+IF(ISNUMBER(P28),$D$10*P28,0)+IF(ISNUMBER(Q28),$D$11*Q28,0),"")</f>
        <v>-0.52292770435372</v>
      </c>
      <c r="S28" s="68" t="n">
        <f aca="false">IFERROR(LN($E28),"")</f>
        <v>5.39362754635236</v>
      </c>
      <c r="T28" s="68" t="n">
        <f aca="false">IFERROR($K$6+$K$7*$R28,"")</f>
        <v>5.07986924740812</v>
      </c>
      <c r="U28" s="69" t="n">
        <f aca="false">IFERROR($S28-$T28,"")</f>
        <v>0.313758298944245</v>
      </c>
      <c r="V28" s="69" t="n">
        <f aca="false">IFERROR(($U28-AVERAGE($U$15:$U$120))/STDEV($U$15:$U$120),"")</f>
        <v>0.779282627813181</v>
      </c>
      <c r="W28" s="70" t="str">
        <f aca="false">IF(ISNUMBER($V28),IF($V28&gt;=$R$7,"CHEAP",IF($V28&gt;=0.5,"slightly cheap",IF($V28&lt;=$R$8,"RICH",IF($V28&lt;=-0.5,"slightly rich","fair")))),"")</f>
        <v>slightly cheap</v>
      </c>
      <c r="X28" s="71" t="n">
        <f aca="false">COUNT($F28)+COUNT($G28)+COUNT($H28)+COUNT($I28)+COUNT($J28)+COUNT($K28)</f>
        <v>6</v>
      </c>
      <c r="Y28" s="72" t="str">
        <f aca="false">IF($X28&gt;=5,"HIGH",IF($X28&gt;=3,"MED","LOW"))</f>
        <v>HIGH</v>
      </c>
      <c r="AA28" s="59" t="s">
        <v>81</v>
      </c>
      <c r="AB28" s="60" t="n">
        <f aca="false">IF(AND(ISNUMBER($S28),$X28&gt;=$R$6),$S28,"")</f>
        <v>5.39362754635236</v>
      </c>
      <c r="AC28" s="61" t="n">
        <f aca="false">IF(AND(ISNUMBER($R28),$X28&gt;=$R$6),$R28,"")</f>
        <v>-0.52292770435372</v>
      </c>
    </row>
    <row r="29" customFormat="false" ht="15" hidden="false" customHeight="true" outlineLevel="0" collapsed="false">
      <c r="B29" s="13" t="s">
        <v>121</v>
      </c>
      <c r="C29" s="29" t="s">
        <v>122</v>
      </c>
      <c r="D29" s="50" t="s">
        <v>123</v>
      </c>
      <c r="E29" s="51" t="n">
        <v>165</v>
      </c>
      <c r="F29" s="52" t="n">
        <v>9</v>
      </c>
      <c r="G29" s="53" t="n">
        <v>3</v>
      </c>
      <c r="H29" s="53" t="n">
        <v>2.5</v>
      </c>
      <c r="I29" s="53" t="n">
        <v>34</v>
      </c>
      <c r="J29" s="54" t="n">
        <v>-1</v>
      </c>
      <c r="K29" s="53" t="n">
        <v>25</v>
      </c>
      <c r="L29" s="55" t="n">
        <f aca="false">IFERROR(($F29-AVERAGE($F$15:$F$120))/STDEV($F$15:$F$120),"")</f>
        <v>-0.721701931437362</v>
      </c>
      <c r="M29" s="55" t="n">
        <f aca="false">IFERROR(($I29-AVERAGE($I$15:$I$120))/STDEV($I$15:$I$120),"")</f>
        <v>-1.11748929431889</v>
      </c>
      <c r="N29" s="55" t="n">
        <f aca="false">IFERROR(-($J29-AVERAGE($J$15:$J$120))/STDEV($J$15:$J$120),"")</f>
        <v>0.0275726959939441</v>
      </c>
      <c r="O29" s="55" t="n">
        <f aca="false">IFERROR(-($K29-AVERAGE($K$15:$K$120))/STDEV($K$15:$K$120),"")</f>
        <v>-0.718813900935899</v>
      </c>
      <c r="P29" s="55" t="n">
        <f aca="false">IFERROR(-($G29-AVERAGE($G$15:$G$120))/STDEV($G$15:$G$120),"")</f>
        <v>0.332094145675875</v>
      </c>
      <c r="Q29" s="55" t="n">
        <f aca="false">IFERROR(($H29-AVERAGE($H$15:$H$120))/STDEV($H$15:$H$120),"")</f>
        <v>-0.535380749765707</v>
      </c>
      <c r="R29" s="56" t="n">
        <f aca="false">IFERROR(IF(ISNUMBER(L29),$D$6*L29,0)+IF(ISNUMBER(M29),$D$7*M29,0)+IF(ISNUMBER(N29),$D$8*N29,0)+IF(ISNUMBER(O29),$D$9*O29,0)+IF(ISNUMBER(P29),$D$10*P29,0)+IF(ISNUMBER(Q29),$D$11*Q29,0),"")</f>
        <v>-0.546818183061504</v>
      </c>
      <c r="S29" s="55" t="n">
        <f aca="false">IFERROR(LN($E29),"")</f>
        <v>5.10594547390058</v>
      </c>
      <c r="T29" s="55" t="n">
        <f aca="false">IFERROR($K$6+$K$7*$R29,"")</f>
        <v>5.05324456373121</v>
      </c>
      <c r="U29" s="56" t="n">
        <f aca="false">IFERROR($S29-$T29,"")</f>
        <v>0.0527009101693698</v>
      </c>
      <c r="V29" s="56" t="n">
        <f aca="false">IFERROR(($U29-AVERAGE($U$15:$U$120))/STDEV($U$15:$U$120),"")</f>
        <v>0.130893442191407</v>
      </c>
      <c r="W29" s="10" t="str">
        <f aca="false">IF(ISNUMBER($V29),IF($V29&gt;=$R$7,"CHEAP",IF($V29&gt;=0.5,"slightly cheap",IF($V29&lt;=$R$8,"RICH",IF($V29&lt;=-0.5,"slightly rich","fair")))),"")</f>
        <v>fair</v>
      </c>
      <c r="X29" s="57" t="n">
        <f aca="false">COUNT($F29)+COUNT($G29)+COUNT($H29)+COUNT($I29)+COUNT($J29)+COUNT($K29)</f>
        <v>6</v>
      </c>
      <c r="Y29" s="58" t="str">
        <f aca="false">IF($X29&gt;=5,"HIGH",IF($X29&gt;=3,"MED","LOW"))</f>
        <v>HIGH</v>
      </c>
      <c r="AA29" s="59" t="s">
        <v>81</v>
      </c>
      <c r="AB29" s="60" t="n">
        <f aca="false">IF(AND(ISNUMBER($S29),$X29&gt;=$R$6),$S29,"")</f>
        <v>5.10594547390058</v>
      </c>
      <c r="AC29" s="61" t="n">
        <f aca="false">IF(AND(ISNUMBER($R29),$X29&gt;=$R$6),$R29,"")</f>
        <v>-0.546818183061504</v>
      </c>
    </row>
    <row r="30" customFormat="false" ht="15" hidden="false" customHeight="true" outlineLevel="0" collapsed="false">
      <c r="B30" s="62" t="s">
        <v>124</v>
      </c>
      <c r="C30" s="63" t="s">
        <v>125</v>
      </c>
      <c r="D30" s="64" t="s">
        <v>126</v>
      </c>
      <c r="E30" s="51" t="n">
        <v>110</v>
      </c>
      <c r="F30" s="65" t="n">
        <v>9</v>
      </c>
      <c r="G30" s="66" t="n">
        <v>3</v>
      </c>
      <c r="H30" s="66" t="n">
        <v>5.5</v>
      </c>
      <c r="I30" s="66" t="n">
        <v>64</v>
      </c>
      <c r="J30" s="67" t="n">
        <v>-3</v>
      </c>
      <c r="K30" s="66" t="n">
        <v>22</v>
      </c>
      <c r="L30" s="68" t="n">
        <f aca="false">IFERROR(($F30-AVERAGE($F$15:$F$120))/STDEV($F$15:$F$120),"")</f>
        <v>-0.721701931437362</v>
      </c>
      <c r="M30" s="68" t="n">
        <f aca="false">IFERROR(($I30-AVERAGE($I$15:$I$120))/STDEV($I$15:$I$120),"")</f>
        <v>0.202532802039266</v>
      </c>
      <c r="N30" s="68" t="n">
        <f aca="false">IFERROR(-($J30-AVERAGE($J$15:$J$120))/STDEV($J$15:$J$120),"")</f>
        <v>0.348075828915004</v>
      </c>
      <c r="O30" s="68" t="n">
        <f aca="false">IFERROR(-($K30-AVERAGE($K$15:$K$120))/STDEV($K$15:$K$120),"")</f>
        <v>-0.419552603403402</v>
      </c>
      <c r="P30" s="68" t="n">
        <f aca="false">IFERROR(-($G30-AVERAGE($G$15:$G$120))/STDEV($G$15:$G$120),"")</f>
        <v>0.332094145675875</v>
      </c>
      <c r="Q30" s="68" t="n">
        <f aca="false">IFERROR(($H30-AVERAGE($H$15:$H$120))/STDEV($H$15:$H$120),"")</f>
        <v>-0.10891580266612</v>
      </c>
      <c r="R30" s="69" t="n">
        <f aca="false">IFERROR(IF(ISNUMBER(L30),$D$6*L30,0)+IF(ISNUMBER(M30),$D$7*M30,0)+IF(ISNUMBER(N30),$D$8*N30,0)+IF(ISNUMBER(O30),$D$9*O30,0)+IF(ISNUMBER(P30),$D$10*P30,0)+IF(ISNUMBER(Q30),$D$11*Q30,0),"")</f>
        <v>-0.170694968330498</v>
      </c>
      <c r="S30" s="68" t="n">
        <f aca="false">IFERROR(LN($E30),"")</f>
        <v>4.70048036579242</v>
      </c>
      <c r="T30" s="68" t="n">
        <f aca="false">IFERROR($K$6+$K$7*$R30,"")</f>
        <v>5.47241413074753</v>
      </c>
      <c r="U30" s="69" t="n">
        <f aca="false">IFERROR($S30-$T30,"")</f>
        <v>-0.771933764955112</v>
      </c>
      <c r="V30" s="69" t="n">
        <f aca="false">IFERROR(($U30-AVERAGE($U$15:$U$120))/STDEV($U$15:$U$120),"")</f>
        <v>-1.91725469852461</v>
      </c>
      <c r="W30" s="70" t="str">
        <f aca="false">IF(ISNUMBER($V30),IF($V30&gt;=$R$7,"CHEAP",IF($V30&gt;=0.5,"slightly cheap",IF($V30&lt;=$R$8,"RICH",IF($V30&lt;=-0.5,"slightly rich","fair")))),"")</f>
        <v>RICH</v>
      </c>
      <c r="X30" s="71" t="n">
        <f aca="false">COUNT($F30)+COUNT($G30)+COUNT($H30)+COUNT($I30)+COUNT($J30)+COUNT($K30)</f>
        <v>6</v>
      </c>
      <c r="Y30" s="72" t="str">
        <f aca="false">IF($X30&gt;=5,"HIGH",IF($X30&gt;=3,"MED","LOW"))</f>
        <v>HIGH</v>
      </c>
      <c r="AA30" s="59" t="s">
        <v>81</v>
      </c>
      <c r="AB30" s="60" t="n">
        <f aca="false">IF(AND(ISNUMBER($S30),$X30&gt;=$R$6),$S30,"")</f>
        <v>4.70048036579242</v>
      </c>
      <c r="AC30" s="61" t="n">
        <f aca="false">IF(AND(ISNUMBER($R30),$X30&gt;=$R$6),$R30,"")</f>
        <v>-0.170694968330498</v>
      </c>
    </row>
    <row r="31" customFormat="false" ht="15" hidden="false" customHeight="true" outlineLevel="0" collapsed="false">
      <c r="B31" s="13" t="s">
        <v>127</v>
      </c>
      <c r="C31" s="29" t="s">
        <v>128</v>
      </c>
      <c r="D31" s="50" t="s">
        <v>129</v>
      </c>
      <c r="E31" s="51" t="n">
        <v>210</v>
      </c>
      <c r="F31" s="52" t="n">
        <v>13</v>
      </c>
      <c r="G31" s="53" t="n">
        <v>2</v>
      </c>
      <c r="H31" s="53" t="n">
        <v>3</v>
      </c>
      <c r="I31" s="53" t="n">
        <v>53</v>
      </c>
      <c r="J31" s="54" t="n">
        <v>5.5</v>
      </c>
      <c r="K31" s="53" t="n">
        <v>23</v>
      </c>
      <c r="L31" s="55" t="n">
        <f aca="false">IFERROR(($F31-AVERAGE($F$15:$F$120))/STDEV($F$15:$F$120),"")</f>
        <v>0.146895083389905</v>
      </c>
      <c r="M31" s="55" t="n">
        <f aca="false">IFERROR(($I31-AVERAGE($I$15:$I$120))/STDEV($I$15:$I$120),"")</f>
        <v>-0.281475299958724</v>
      </c>
      <c r="N31" s="55" t="n">
        <f aca="false">IFERROR(-($J31-AVERAGE($J$15:$J$120))/STDEV($J$15:$J$120),"")</f>
        <v>-1.0140624859995</v>
      </c>
      <c r="O31" s="55" t="n">
        <f aca="false">IFERROR(-($K31-AVERAGE($K$15:$K$120))/STDEV($K$15:$K$120),"")</f>
        <v>-0.519306369247568</v>
      </c>
      <c r="P31" s="55" t="n">
        <f aca="false">IFERROR(-($G31-AVERAGE($G$15:$G$120))/STDEV($G$15:$G$120),"")</f>
        <v>1.03559576268396</v>
      </c>
      <c r="Q31" s="55" t="n">
        <f aca="false">IFERROR(($H31-AVERAGE($H$15:$H$120))/STDEV($H$15:$H$120),"")</f>
        <v>-0.464303258582443</v>
      </c>
      <c r="R31" s="56" t="n">
        <f aca="false">IFERROR(IF(ISNUMBER(L31),$D$6*L31,0)+IF(ISNUMBER(M31),$D$7*M31,0)+IF(ISNUMBER(N31),$D$8*N31,0)+IF(ISNUMBER(O31),$D$9*O31,0)+IF(ISNUMBER(P31),$D$10*P31,0)+IF(ISNUMBER(Q31),$D$11*Q31,0),"")</f>
        <v>-0.12179455979448</v>
      </c>
      <c r="S31" s="55" t="n">
        <f aca="false">IFERROR(LN($E31),"")</f>
        <v>5.34710753071747</v>
      </c>
      <c r="T31" s="55" t="n">
        <f aca="false">IFERROR($K$6+$K$7*$R31,"")</f>
        <v>5.52691106757612</v>
      </c>
      <c r="U31" s="56" t="n">
        <f aca="false">IFERROR($S31-$T31,"")</f>
        <v>-0.179803536858655</v>
      </c>
      <c r="V31" s="56" t="n">
        <f aca="false">IFERROR(($U31-AVERAGE($U$15:$U$120))/STDEV($U$15:$U$120),"")</f>
        <v>-0.446578698204302</v>
      </c>
      <c r="W31" s="10" t="str">
        <f aca="false">IF(ISNUMBER($V31),IF($V31&gt;=$R$7,"CHEAP",IF($V31&gt;=0.5,"slightly cheap",IF($V31&lt;=$R$8,"RICH",IF($V31&lt;=-0.5,"slightly rich","fair")))),"")</f>
        <v>fair</v>
      </c>
      <c r="X31" s="57" t="n">
        <f aca="false">COUNT($F31)+COUNT($G31)+COUNT($H31)+COUNT($I31)+COUNT($J31)+COUNT($K31)</f>
        <v>6</v>
      </c>
      <c r="Y31" s="58" t="str">
        <f aca="false">IF($X31&gt;=5,"HIGH",IF($X31&gt;=3,"MED","LOW"))</f>
        <v>HIGH</v>
      </c>
      <c r="AA31" s="59" t="s">
        <v>81</v>
      </c>
      <c r="AB31" s="60" t="n">
        <f aca="false">IF(AND(ISNUMBER($S31),$X31&gt;=$R$6),$S31,"")</f>
        <v>5.34710753071747</v>
      </c>
      <c r="AC31" s="61" t="n">
        <f aca="false">IF(AND(ISNUMBER($R31),$X31&gt;=$R$6),$R31,"")</f>
        <v>-0.12179455979448</v>
      </c>
    </row>
    <row r="32" customFormat="false" ht="15" hidden="false" customHeight="true" outlineLevel="0" collapsed="false">
      <c r="B32" s="62" t="s">
        <v>130</v>
      </c>
      <c r="C32" s="63" t="s">
        <v>131</v>
      </c>
      <c r="D32" s="64" t="s">
        <v>132</v>
      </c>
      <c r="E32" s="51" t="n">
        <v>380</v>
      </c>
      <c r="F32" s="65" t="n">
        <v>13</v>
      </c>
      <c r="G32" s="66" t="n">
        <v>5</v>
      </c>
      <c r="H32" s="66" t="n">
        <v>3</v>
      </c>
      <c r="I32" s="66" t="n">
        <v>50</v>
      </c>
      <c r="J32" s="67" t="n">
        <v>-3</v>
      </c>
      <c r="K32" s="66" t="n">
        <v>18</v>
      </c>
      <c r="L32" s="68" t="n">
        <f aca="false">IFERROR(($F32-AVERAGE($F$15:$F$120))/STDEV($F$15:$F$120),"")</f>
        <v>0.146895083389905</v>
      </c>
      <c r="M32" s="68" t="n">
        <f aca="false">IFERROR(($I32-AVERAGE($I$15:$I$120))/STDEV($I$15:$I$120),"")</f>
        <v>-0.413477509594539</v>
      </c>
      <c r="N32" s="68" t="n">
        <f aca="false">IFERROR(-($J32-AVERAGE($J$15:$J$120))/STDEV($J$15:$J$120),"")</f>
        <v>0.348075828915004</v>
      </c>
      <c r="O32" s="68" t="n">
        <f aca="false">IFERROR(-($K32-AVERAGE($K$15:$K$120))/STDEV($K$15:$K$120),"")</f>
        <v>-0.0205375400267401</v>
      </c>
      <c r="P32" s="68" t="n">
        <f aca="false">IFERROR(-($G32-AVERAGE($G$15:$G$120))/STDEV($G$15:$G$120),"")</f>
        <v>-1.07490908834029</v>
      </c>
      <c r="Q32" s="68" t="n">
        <f aca="false">IFERROR(($H32-AVERAGE($H$15:$H$120))/STDEV($H$15:$H$120),"")</f>
        <v>-0.464303258582443</v>
      </c>
      <c r="R32" s="69" t="n">
        <f aca="false">IFERROR(IF(ISNUMBER(L32),$D$6*L32,0)+IF(ISNUMBER(M32),$D$7*M32,0)+IF(ISNUMBER(N32),$D$8*N32,0)+IF(ISNUMBER(O32),$D$9*O32,0)+IF(ISNUMBER(P32),$D$10*P32,0)+IF(ISNUMBER(Q32),$D$11*Q32,0),"")</f>
        <v>-0.147257953685295</v>
      </c>
      <c r="S32" s="68" t="n">
        <f aca="false">IFERROR(LN($E32),"")</f>
        <v>5.94017125272043</v>
      </c>
      <c r="T32" s="68" t="n">
        <f aca="false">IFERROR($K$6+$K$7*$R32,"")</f>
        <v>5.4985334525448</v>
      </c>
      <c r="U32" s="69" t="n">
        <f aca="false">IFERROR($S32-$T32,"")</f>
        <v>0.441637800175628</v>
      </c>
      <c r="V32" s="69" t="n">
        <f aca="false">IFERROR(($U32-AVERAGE($U$15:$U$120))/STDEV($U$15:$U$120),"")</f>
        <v>1.09689740995075</v>
      </c>
      <c r="W32" s="70" t="str">
        <f aca="false">IF(ISNUMBER($V32),IF($V32&gt;=$R$7,"CHEAP",IF($V32&gt;=0.5,"slightly cheap",IF($V32&lt;=$R$8,"RICH",IF($V32&lt;=-0.5,"slightly rich","fair")))),"")</f>
        <v>slightly cheap</v>
      </c>
      <c r="X32" s="71" t="n">
        <f aca="false">COUNT($F32)+COUNT($G32)+COUNT($H32)+COUNT($I32)+COUNT($J32)+COUNT($K32)</f>
        <v>6</v>
      </c>
      <c r="Y32" s="72" t="str">
        <f aca="false">IF($X32&gt;=5,"HIGH",IF($X32&gt;=3,"MED","LOW"))</f>
        <v>HIGH</v>
      </c>
      <c r="AA32" s="59" t="s">
        <v>81</v>
      </c>
      <c r="AB32" s="60" t="n">
        <f aca="false">IF(AND(ISNUMBER($S32),$X32&gt;=$R$6),$S32,"")</f>
        <v>5.94017125272043</v>
      </c>
      <c r="AC32" s="61" t="n">
        <f aca="false">IF(AND(ISNUMBER($R32),$X32&gt;=$R$6),$R32,"")</f>
        <v>-0.147257953685295</v>
      </c>
    </row>
    <row r="33" customFormat="false" ht="15" hidden="false" customHeight="true" outlineLevel="0" collapsed="false">
      <c r="B33" s="13" t="s">
        <v>133</v>
      </c>
      <c r="C33" s="29" t="s">
        <v>134</v>
      </c>
      <c r="D33" s="50" t="s">
        <v>135</v>
      </c>
      <c r="E33" s="51" t="n">
        <v>250</v>
      </c>
      <c r="F33" s="52" t="n">
        <v>11</v>
      </c>
      <c r="G33" s="53" t="n">
        <v>2.5</v>
      </c>
      <c r="H33" s="53" t="n">
        <v>5.5</v>
      </c>
      <c r="I33" s="53" t="n">
        <v>18</v>
      </c>
      <c r="J33" s="54" t="n">
        <v>8</v>
      </c>
      <c r="K33" s="53" t="n">
        <v>14</v>
      </c>
      <c r="L33" s="55" t="n">
        <f aca="false">IFERROR(($F33-AVERAGE($F$15:$F$120))/STDEV($F$15:$F$120),"")</f>
        <v>-0.287403424023728</v>
      </c>
      <c r="M33" s="55" t="n">
        <f aca="false">IFERROR(($I33-AVERAGE($I$15:$I$120))/STDEV($I$15:$I$120),"")</f>
        <v>-1.82150107904323</v>
      </c>
      <c r="N33" s="55" t="n">
        <f aca="false">IFERROR(-($J33-AVERAGE($J$15:$J$120))/STDEV($J$15:$J$120),"")</f>
        <v>-1.41469140215082</v>
      </c>
      <c r="O33" s="55" t="n">
        <f aca="false">IFERROR(-($K33-AVERAGE($K$15:$K$120))/STDEV($K$15:$K$120),"")</f>
        <v>0.378477523349922</v>
      </c>
      <c r="P33" s="55" t="n">
        <f aca="false">IFERROR(-($G33-AVERAGE($G$15:$G$120))/STDEV($G$15:$G$120),"")</f>
        <v>0.683844954179917</v>
      </c>
      <c r="Q33" s="55" t="n">
        <f aca="false">IFERROR(($H33-AVERAGE($H$15:$H$120))/STDEV($H$15:$H$120),"")</f>
        <v>-0.10891580266612</v>
      </c>
      <c r="R33" s="56" t="n">
        <f aca="false">IFERROR(IF(ISNUMBER(L33),$D$6*L33,0)+IF(ISNUMBER(M33),$D$7*M33,0)+IF(ISNUMBER(N33),$D$8*N33,0)+IF(ISNUMBER(O33),$D$9*O33,0)+IF(ISNUMBER(P33),$D$10*P33,0)+IF(ISNUMBER(Q33),$D$11*Q33,0),"")</f>
        <v>-0.565899241916283</v>
      </c>
      <c r="S33" s="55" t="n">
        <f aca="false">IFERROR(LN($E33),"")</f>
        <v>5.52146091786225</v>
      </c>
      <c r="T33" s="55" t="n">
        <f aca="false">IFERROR($K$6+$K$7*$R33,"")</f>
        <v>5.0319797258666</v>
      </c>
      <c r="U33" s="56" t="n">
        <f aca="false">IFERROR($S33-$T33,"")</f>
        <v>0.489481191995646</v>
      </c>
      <c r="V33" s="56" t="n">
        <f aca="false">IFERROR(($U33-AVERAGE($U$15:$U$120))/STDEV($U$15:$U$120),"")</f>
        <v>1.21572621615748</v>
      </c>
      <c r="W33" s="10" t="str">
        <f aca="false">IF(ISNUMBER($V33),IF($V33&gt;=$R$7,"CHEAP",IF($V33&gt;=0.5,"slightly cheap",IF($V33&lt;=$R$8,"RICH",IF($V33&lt;=-0.5,"slightly rich","fair")))),"")</f>
        <v>slightly cheap</v>
      </c>
      <c r="X33" s="57" t="n">
        <f aca="false">COUNT($F33)+COUNT($G33)+COUNT($H33)+COUNT($I33)+COUNT($J33)+COUNT($K33)</f>
        <v>6</v>
      </c>
      <c r="Y33" s="58" t="str">
        <f aca="false">IF($X33&gt;=5,"HIGH",IF($X33&gt;=3,"MED","LOW"))</f>
        <v>HIGH</v>
      </c>
      <c r="AA33" s="59" t="s">
        <v>81</v>
      </c>
      <c r="AB33" s="60" t="n">
        <f aca="false">IF(AND(ISNUMBER($S33),$X33&gt;=$R$6),$S33,"")</f>
        <v>5.52146091786225</v>
      </c>
      <c r="AC33" s="61" t="n">
        <f aca="false">IF(AND(ISNUMBER($R33),$X33&gt;=$R$6),$R33,"")</f>
        <v>-0.565899241916283</v>
      </c>
    </row>
    <row r="34" customFormat="false" ht="15" hidden="false" customHeight="true" outlineLevel="0" collapsed="false">
      <c r="B34" s="62" t="s">
        <v>136</v>
      </c>
      <c r="C34" s="63" t="s">
        <v>137</v>
      </c>
      <c r="D34" s="64" t="s">
        <v>138</v>
      </c>
      <c r="E34" s="51" t="n">
        <v>110</v>
      </c>
      <c r="F34" s="65" t="n">
        <v>9</v>
      </c>
      <c r="G34" s="66" t="n">
        <v>3</v>
      </c>
      <c r="H34" s="66" t="n">
        <v>3</v>
      </c>
      <c r="I34" s="66" t="n">
        <v>61</v>
      </c>
      <c r="J34" s="67" t="n">
        <v>-1</v>
      </c>
      <c r="K34" s="66" t="n">
        <v>32</v>
      </c>
      <c r="L34" s="68" t="n">
        <f aca="false">IFERROR(($F34-AVERAGE($F$15:$F$120))/STDEV($F$15:$F$120),"")</f>
        <v>-0.721701931437362</v>
      </c>
      <c r="M34" s="68" t="n">
        <f aca="false">IFERROR(($I34-AVERAGE($I$15:$I$120))/STDEV($I$15:$I$120),"")</f>
        <v>0.0705305924034503</v>
      </c>
      <c r="N34" s="68" t="n">
        <f aca="false">IFERROR(-($J34-AVERAGE($J$15:$J$120))/STDEV($J$15:$J$120),"")</f>
        <v>0.0275726959939441</v>
      </c>
      <c r="O34" s="68" t="n">
        <f aca="false">IFERROR(-($K34-AVERAGE($K$15:$K$120))/STDEV($K$15:$K$120),"")</f>
        <v>-1.41709026184506</v>
      </c>
      <c r="P34" s="68" t="n">
        <f aca="false">IFERROR(-($G34-AVERAGE($G$15:$G$120))/STDEV($G$15:$G$120),"")</f>
        <v>0.332094145675875</v>
      </c>
      <c r="Q34" s="68" t="n">
        <f aca="false">IFERROR(($H34-AVERAGE($H$15:$H$120))/STDEV($H$15:$H$120),"")</f>
        <v>-0.464303258582443</v>
      </c>
      <c r="R34" s="69" t="n">
        <f aca="false">IFERROR(IF(ISNUMBER(L34),$D$6*L34,0)+IF(ISNUMBER(M34),$D$7*M34,0)+IF(ISNUMBER(N34),$D$8*N34,0)+IF(ISNUMBER(O34),$D$9*O34,0)+IF(ISNUMBER(P34),$D$10*P34,0)+IF(ISNUMBER(Q34),$D$11*Q34,0),"")</f>
        <v>-0.373355642513291</v>
      </c>
      <c r="S34" s="68" t="n">
        <f aca="false">IFERROR(LN($E34),"")</f>
        <v>4.70048036579242</v>
      </c>
      <c r="T34" s="68" t="n">
        <f aca="false">IFERROR($K$6+$K$7*$R34,"")</f>
        <v>5.24655945408475</v>
      </c>
      <c r="U34" s="69" t="n">
        <f aca="false">IFERROR($S34-$T34,"")</f>
        <v>-0.546079088292332</v>
      </c>
      <c r="V34" s="69" t="n">
        <f aca="false">IFERROR(($U34-AVERAGE($U$15:$U$120))/STDEV($U$15:$U$120),"")</f>
        <v>-1.35629861696151</v>
      </c>
      <c r="W34" s="70" t="str">
        <f aca="false">IF(ISNUMBER($V34),IF($V34&gt;=$R$7,"CHEAP",IF($V34&gt;=0.5,"slightly cheap",IF($V34&lt;=$R$8,"RICH",IF($V34&lt;=-0.5,"slightly rich","fair")))),"")</f>
        <v>slightly rich</v>
      </c>
      <c r="X34" s="71" t="n">
        <f aca="false">COUNT($F34)+COUNT($G34)+COUNT($H34)+COUNT($I34)+COUNT($J34)+COUNT($K34)</f>
        <v>6</v>
      </c>
      <c r="Y34" s="72" t="str">
        <f aca="false">IF($X34&gt;=5,"HIGH",IF($X34&gt;=3,"MED","LOW"))</f>
        <v>HIGH</v>
      </c>
      <c r="AA34" s="59" t="s">
        <v>81</v>
      </c>
      <c r="AB34" s="60" t="n">
        <f aca="false">IF(AND(ISNUMBER($S34),$X34&gt;=$R$6),$S34,"")</f>
        <v>4.70048036579242</v>
      </c>
      <c r="AC34" s="61" t="n">
        <f aca="false">IF(AND(ISNUMBER($R34),$X34&gt;=$R$6),$R34,"")</f>
        <v>-0.373355642513291</v>
      </c>
    </row>
    <row r="35" customFormat="false" ht="15" hidden="false" customHeight="true" outlineLevel="0" collapsed="false">
      <c r="B35" s="13" t="s">
        <v>139</v>
      </c>
      <c r="C35" s="29" t="s">
        <v>140</v>
      </c>
      <c r="D35" s="50" t="s">
        <v>141</v>
      </c>
      <c r="E35" s="51" t="n">
        <v>320</v>
      </c>
      <c r="F35" s="52" t="n">
        <v>12</v>
      </c>
      <c r="G35" s="53" t="n">
        <v>5.5</v>
      </c>
      <c r="H35" s="53" t="n">
        <v>3</v>
      </c>
      <c r="I35" s="53" t="n">
        <v>39</v>
      </c>
      <c r="J35" s="54" t="n">
        <v>-5</v>
      </c>
      <c r="K35" s="53" t="n">
        <v>15</v>
      </c>
      <c r="L35" s="55" t="n">
        <f aca="false">IFERROR(($F35-AVERAGE($F$15:$F$120))/STDEV($F$15:$F$120),"")</f>
        <v>-0.0702541703169114</v>
      </c>
      <c r="M35" s="55" t="n">
        <f aca="false">IFERROR(($I35-AVERAGE($I$15:$I$120))/STDEV($I$15:$I$120),"")</f>
        <v>-0.897485611592528</v>
      </c>
      <c r="N35" s="55" t="n">
        <f aca="false">IFERROR(-($J35-AVERAGE($J$15:$J$120))/STDEV($J$15:$J$120),"")</f>
        <v>0.668578961836064</v>
      </c>
      <c r="O35" s="55" t="n">
        <f aca="false">IFERROR(-($K35-AVERAGE($K$15:$K$120))/STDEV($K$15:$K$120),"")</f>
        <v>0.278723757505757</v>
      </c>
      <c r="P35" s="55" t="n">
        <f aca="false">IFERROR(-($G35-AVERAGE($G$15:$G$120))/STDEV($G$15:$G$120),"")</f>
        <v>-1.42665989684434</v>
      </c>
      <c r="Q35" s="55" t="n">
        <f aca="false">IFERROR(($H35-AVERAGE($H$15:$H$120))/STDEV($H$15:$H$120),"")</f>
        <v>-0.464303258582443</v>
      </c>
      <c r="R35" s="56" t="n">
        <f aca="false">IFERROR(IF(ISNUMBER(L35),$D$6*L35,0)+IF(ISNUMBER(M35),$D$7*M35,0)+IF(ISNUMBER(N35),$D$8*N35,0)+IF(ISNUMBER(O35),$D$9*O35,0)+IF(ISNUMBER(P35),$D$10*P35,0)+IF(ISNUMBER(Q35),$D$11*Q35,0),"")</f>
        <v>-0.284270310211355</v>
      </c>
      <c r="S35" s="55" t="n">
        <f aca="false">IFERROR(LN($E35),"")</f>
        <v>5.76832099579377</v>
      </c>
      <c r="T35" s="55" t="n">
        <f aca="false">IFERROR($K$6+$K$7*$R35,"")</f>
        <v>5.34584037774487</v>
      </c>
      <c r="U35" s="56" t="n">
        <f aca="false">IFERROR($S35-$T35,"")</f>
        <v>0.422480618048905</v>
      </c>
      <c r="V35" s="56" t="n">
        <f aca="false">IFERROR(($U35-AVERAGE($U$15:$U$120))/STDEV($U$15:$U$120),"")</f>
        <v>1.04931664705319</v>
      </c>
      <c r="W35" s="10" t="str">
        <f aca="false">IF(ISNUMBER($V35),IF($V35&gt;=$R$7,"CHEAP",IF($V35&gt;=0.5,"slightly cheap",IF($V35&lt;=$R$8,"RICH",IF($V35&lt;=-0.5,"slightly rich","fair")))),"")</f>
        <v>slightly cheap</v>
      </c>
      <c r="X35" s="57" t="n">
        <f aca="false">COUNT($F35)+COUNT($G35)+COUNT($H35)+COUNT($I35)+COUNT($J35)+COUNT($K35)</f>
        <v>6</v>
      </c>
      <c r="Y35" s="58" t="str">
        <f aca="false">IF($X35&gt;=5,"HIGH",IF($X35&gt;=3,"MED","LOW"))</f>
        <v>HIGH</v>
      </c>
      <c r="AA35" s="59" t="s">
        <v>81</v>
      </c>
      <c r="AB35" s="60" t="n">
        <f aca="false">IF(AND(ISNUMBER($S35),$X35&gt;=$R$6),$S35,"")</f>
        <v>5.76832099579377</v>
      </c>
      <c r="AC35" s="61" t="n">
        <f aca="false">IF(AND(ISNUMBER($R35),$X35&gt;=$R$6),$R35,"")</f>
        <v>-0.284270310211355</v>
      </c>
    </row>
    <row r="36" customFormat="false" ht="15" hidden="false" customHeight="true" outlineLevel="0" collapsed="false">
      <c r="B36" s="62" t="s">
        <v>142</v>
      </c>
      <c r="C36" s="63" t="s">
        <v>143</v>
      </c>
      <c r="D36" s="64" t="s">
        <v>144</v>
      </c>
      <c r="E36" s="51" t="n">
        <v>200</v>
      </c>
      <c r="F36" s="65" t="n">
        <v>10</v>
      </c>
      <c r="G36" s="66" t="n">
        <v>2.5</v>
      </c>
      <c r="H36" s="66" t="n">
        <v>4</v>
      </c>
      <c r="I36" s="66" t="n">
        <v>73</v>
      </c>
      <c r="J36" s="67" t="n">
        <v>-1.5</v>
      </c>
      <c r="K36" s="66" t="n">
        <v>19</v>
      </c>
      <c r="L36" s="68" t="n">
        <f aca="false">IFERROR(($F36-AVERAGE($F$15:$F$120))/STDEV($F$15:$F$120),"")</f>
        <v>-0.504552677730545</v>
      </c>
      <c r="M36" s="68" t="n">
        <f aca="false">IFERROR(($I36-AVERAGE($I$15:$I$120))/STDEV($I$15:$I$120),"")</f>
        <v>0.598539430946711</v>
      </c>
      <c r="N36" s="68" t="n">
        <f aca="false">IFERROR(-($J36-AVERAGE($J$15:$J$120))/STDEV($J$15:$J$120),"")</f>
        <v>0.107698479224209</v>
      </c>
      <c r="O36" s="68" t="n">
        <f aca="false">IFERROR(-($K36-AVERAGE($K$15:$K$120))/STDEV($K$15:$K$120),"")</f>
        <v>-0.120291305870906</v>
      </c>
      <c r="P36" s="68" t="n">
        <f aca="false">IFERROR(-($G36-AVERAGE($G$15:$G$120))/STDEV($G$15:$G$120),"")</f>
        <v>0.683844954179917</v>
      </c>
      <c r="Q36" s="68" t="n">
        <f aca="false">IFERROR(($H36-AVERAGE($H$15:$H$120))/STDEV($H$15:$H$120),"")</f>
        <v>-0.322148276215914</v>
      </c>
      <c r="R36" s="69" t="n">
        <f aca="false">IFERROR(IF(ISNUMBER(L36),$D$6*L36,0)+IF(ISNUMBER(M36),$D$7*M36,0)+IF(ISNUMBER(N36),$D$8*N36,0)+IF(ISNUMBER(O36),$D$9*O36,0)+IF(ISNUMBER(P36),$D$10*P36,0)+IF(ISNUMBER(Q36),$D$11*Q36,0),"")</f>
        <v>0.00352962268450929</v>
      </c>
      <c r="S36" s="68" t="n">
        <f aca="false">IFERROR(LN($E36),"")</f>
        <v>5.29831736654804</v>
      </c>
      <c r="T36" s="68" t="n">
        <f aca="false">IFERROR($K$6+$K$7*$R36,"")</f>
        <v>5.66657828631975</v>
      </c>
      <c r="U36" s="69" t="n">
        <f aca="false">IFERROR($S36-$T36,"")</f>
        <v>-0.368260919771715</v>
      </c>
      <c r="V36" s="69" t="n">
        <f aca="false">IFERROR(($U36-AVERAGE($U$15:$U$120))/STDEV($U$15:$U$120),"")</f>
        <v>-0.914650985316561</v>
      </c>
      <c r="W36" s="70" t="str">
        <f aca="false">IF(ISNUMBER($V36),IF($V36&gt;=$R$7,"CHEAP",IF($V36&gt;=0.5,"slightly cheap",IF($V36&lt;=$R$8,"RICH",IF($V36&lt;=-0.5,"slightly rich","fair")))),"")</f>
        <v>slightly rich</v>
      </c>
      <c r="X36" s="71" t="n">
        <f aca="false">COUNT($F36)+COUNT($G36)+COUNT($H36)+COUNT($I36)+COUNT($J36)+COUNT($K36)</f>
        <v>6</v>
      </c>
      <c r="Y36" s="72" t="str">
        <f aca="false">IF($X36&gt;=5,"HIGH",IF($X36&gt;=3,"MED","LOW"))</f>
        <v>HIGH</v>
      </c>
      <c r="AA36" s="59" t="s">
        <v>81</v>
      </c>
      <c r="AB36" s="60" t="n">
        <f aca="false">IF(AND(ISNUMBER($S36),$X36&gt;=$R$6),$S36,"")</f>
        <v>5.29831736654804</v>
      </c>
      <c r="AC36" s="61" t="n">
        <f aca="false">IF(AND(ISNUMBER($R36),$X36&gt;=$R$6),$R36,"")</f>
        <v>0.00352962268450929</v>
      </c>
    </row>
    <row r="37" customFormat="false" ht="15" hidden="false" customHeight="true" outlineLevel="0" collapsed="false">
      <c r="B37" s="13" t="s">
        <v>145</v>
      </c>
      <c r="C37" s="29" t="s">
        <v>146</v>
      </c>
      <c r="D37" s="50" t="s">
        <v>147</v>
      </c>
      <c r="E37" s="51" t="n">
        <v>220</v>
      </c>
      <c r="F37" s="52" t="n">
        <v>10</v>
      </c>
      <c r="G37" s="53" t="n">
        <v>4</v>
      </c>
      <c r="H37" s="53" t="n">
        <v>8</v>
      </c>
      <c r="I37" s="53" t="n">
        <v>24</v>
      </c>
      <c r="J37" s="54" t="n">
        <v>-2.5</v>
      </c>
      <c r="K37" s="53" t="n">
        <v>13</v>
      </c>
      <c r="L37" s="55" t="n">
        <f aca="false">IFERROR(($F37-AVERAGE($F$15:$F$120))/STDEV($F$15:$F$120),"")</f>
        <v>-0.504552677730545</v>
      </c>
      <c r="M37" s="55" t="n">
        <f aca="false">IFERROR(($I37-AVERAGE($I$15:$I$120))/STDEV($I$15:$I$120),"")</f>
        <v>-1.5574966597716</v>
      </c>
      <c r="N37" s="55" t="n">
        <f aca="false">IFERROR(-($J37-AVERAGE($J$15:$J$120))/STDEV($J$15:$J$120),"")</f>
        <v>0.267950045684739</v>
      </c>
      <c r="O37" s="55" t="n">
        <f aca="false">IFERROR(-($K37-AVERAGE($K$15:$K$120))/STDEV($K$15:$K$120),"")</f>
        <v>0.478231289194088</v>
      </c>
      <c r="P37" s="55" t="n">
        <f aca="false">IFERROR(-($G37-AVERAGE($G$15:$G$120))/STDEV($G$15:$G$120),"")</f>
        <v>-0.371407471332209</v>
      </c>
      <c r="Q37" s="55" t="n">
        <f aca="false">IFERROR(($H37-AVERAGE($H$15:$H$120))/STDEV($H$15:$H$120),"")</f>
        <v>0.246471653250202</v>
      </c>
      <c r="R37" s="56" t="n">
        <f aca="false">IFERROR(IF(ISNUMBER(L37),$D$6*L37,0)+IF(ISNUMBER(M37),$D$7*M37,0)+IF(ISNUMBER(N37),$D$8*N37,0)+IF(ISNUMBER(O37),$D$9*O37,0)+IF(ISNUMBER(P37),$D$10*P37,0)+IF(ISNUMBER(Q37),$D$11*Q37,0),"")</f>
        <v>-0.424928297687741</v>
      </c>
      <c r="S37" s="55" t="n">
        <f aca="false">IFERROR(LN($E37),"")</f>
        <v>5.39362754635236</v>
      </c>
      <c r="T37" s="55" t="n">
        <f aca="false">IFERROR($K$6+$K$7*$R37,"")</f>
        <v>5.18908443873688</v>
      </c>
      <c r="U37" s="56" t="n">
        <f aca="false">IFERROR($S37-$T37,"")</f>
        <v>0.204543107615486</v>
      </c>
      <c r="V37" s="56" t="n">
        <f aca="false">IFERROR(($U37-AVERAGE($U$15:$U$120))/STDEV($U$15:$U$120),"")</f>
        <v>0.508024460038251</v>
      </c>
      <c r="W37" s="10" t="str">
        <f aca="false">IF(ISNUMBER($V37),IF($V37&gt;=$R$7,"CHEAP",IF($V37&gt;=0.5,"slightly cheap",IF($V37&lt;=$R$8,"RICH",IF($V37&lt;=-0.5,"slightly rich","fair")))),"")</f>
        <v>slightly cheap</v>
      </c>
      <c r="X37" s="57" t="n">
        <f aca="false">COUNT($F37)+COUNT($G37)+COUNT($H37)+COUNT($I37)+COUNT($J37)+COUNT($K37)</f>
        <v>6</v>
      </c>
      <c r="Y37" s="58" t="str">
        <f aca="false">IF($X37&gt;=5,"HIGH",IF($X37&gt;=3,"MED","LOW"))</f>
        <v>HIGH</v>
      </c>
      <c r="AA37" s="59" t="s">
        <v>81</v>
      </c>
      <c r="AB37" s="60" t="n">
        <f aca="false">IF(AND(ISNUMBER($S37),$X37&gt;=$R$6),$S37,"")</f>
        <v>5.39362754635236</v>
      </c>
      <c r="AC37" s="61" t="n">
        <f aca="false">IF(AND(ISNUMBER($R37),$X37&gt;=$R$6),$R37,"")</f>
        <v>-0.424928297687741</v>
      </c>
    </row>
    <row r="38" customFormat="false" ht="15" hidden="false" customHeight="true" outlineLevel="0" collapsed="false">
      <c r="B38" s="62" t="s">
        <v>148</v>
      </c>
      <c r="C38" s="63" t="s">
        <v>149</v>
      </c>
      <c r="D38" s="64" t="s">
        <v>150</v>
      </c>
      <c r="E38" s="51" t="n">
        <v>140</v>
      </c>
      <c r="F38" s="65" t="n">
        <v>7</v>
      </c>
      <c r="G38" s="66" t="n">
        <v>2.5</v>
      </c>
      <c r="H38" s="66" t="n">
        <v>3</v>
      </c>
      <c r="I38" s="66" t="n">
        <v>47</v>
      </c>
      <c r="J38" s="67" t="n">
        <v>-3.5</v>
      </c>
      <c r="K38" s="66" t="n">
        <v>16</v>
      </c>
      <c r="L38" s="68" t="n">
        <f aca="false">IFERROR(($F38-AVERAGE($F$15:$F$120))/STDEV($F$15:$F$120),"")</f>
        <v>-1.156000438851</v>
      </c>
      <c r="M38" s="68" t="n">
        <f aca="false">IFERROR(($I38-AVERAGE($I$15:$I$120))/STDEV($I$15:$I$120),"")</f>
        <v>-0.545479719230354</v>
      </c>
      <c r="N38" s="68" t="n">
        <f aca="false">IFERROR(-($J38-AVERAGE($J$15:$J$120))/STDEV($J$15:$J$120),"")</f>
        <v>0.428201612145269</v>
      </c>
      <c r="O38" s="68" t="n">
        <f aca="false">IFERROR(-($K38-AVERAGE($K$15:$K$120))/STDEV($K$15:$K$120),"")</f>
        <v>0.178969991661591</v>
      </c>
      <c r="P38" s="68" t="n">
        <f aca="false">IFERROR(-($G38-AVERAGE($G$15:$G$120))/STDEV($G$15:$G$120),"")</f>
        <v>0.683844954179917</v>
      </c>
      <c r="Q38" s="68" t="n">
        <f aca="false">IFERROR(($H38-AVERAGE($H$15:$H$120))/STDEV($H$15:$H$120),"")</f>
        <v>-0.464303258582443</v>
      </c>
      <c r="R38" s="69" t="n">
        <f aca="false">IFERROR(IF(ISNUMBER(L38),$D$6*L38,0)+IF(ISNUMBER(M38),$D$7*M38,0)+IF(ISNUMBER(N38),$D$8*N38,0)+IF(ISNUMBER(O38),$D$9*O38,0)+IF(ISNUMBER(P38),$D$10*P38,0)+IF(ISNUMBER(Q38),$D$11*Q38,0),"")</f>
        <v>-0.386651722640975</v>
      </c>
      <c r="S38" s="68" t="n">
        <f aca="false">IFERROR(LN($E38),"")</f>
        <v>4.9416424226093</v>
      </c>
      <c r="T38" s="68" t="n">
        <f aca="false">IFERROR($K$6+$K$7*$R38,"")</f>
        <v>5.23174167115656</v>
      </c>
      <c r="U38" s="69" t="n">
        <f aca="false">IFERROR($S38-$T38,"")</f>
        <v>-0.290099248547259</v>
      </c>
      <c r="V38" s="69" t="n">
        <f aca="false">IFERROR(($U38-AVERAGE($U$15:$U$120))/STDEV($U$15:$U$120),"")</f>
        <v>-0.720520558325408</v>
      </c>
      <c r="W38" s="70" t="str">
        <f aca="false">IF(ISNUMBER($V38),IF($V38&gt;=$R$7,"CHEAP",IF($V38&gt;=0.5,"slightly cheap",IF($V38&lt;=$R$8,"RICH",IF($V38&lt;=-0.5,"slightly rich","fair")))),"")</f>
        <v>slightly rich</v>
      </c>
      <c r="X38" s="71" t="n">
        <f aca="false">COUNT($F38)+COUNT($G38)+COUNT($H38)+COUNT($I38)+COUNT($J38)+COUNT($K38)</f>
        <v>6</v>
      </c>
      <c r="Y38" s="72" t="str">
        <f aca="false">IF($X38&gt;=5,"HIGH",IF($X38&gt;=3,"MED","LOW"))</f>
        <v>HIGH</v>
      </c>
      <c r="AA38" s="59" t="s">
        <v>81</v>
      </c>
      <c r="AB38" s="60" t="n">
        <f aca="false">IF(AND(ISNUMBER($S38),$X38&gt;=$R$6),$S38,"")</f>
        <v>4.9416424226093</v>
      </c>
      <c r="AC38" s="61" t="n">
        <f aca="false">IF(AND(ISNUMBER($R38),$X38&gt;=$R$6),$R38,"")</f>
        <v>-0.386651722640975</v>
      </c>
    </row>
    <row r="39" customFormat="false" ht="15" hidden="false" customHeight="true" outlineLevel="0" collapsed="false">
      <c r="B39" s="13" t="s">
        <v>151</v>
      </c>
      <c r="C39" s="29" t="s">
        <v>152</v>
      </c>
      <c r="D39" s="50" t="s">
        <v>153</v>
      </c>
      <c r="E39" s="51" t="n">
        <v>110</v>
      </c>
      <c r="F39" s="52" t="n">
        <v>6</v>
      </c>
      <c r="G39" s="53" t="n">
        <v>2.7</v>
      </c>
      <c r="H39" s="53" t="n">
        <v>2.8</v>
      </c>
      <c r="I39" s="53" t="n">
        <v>40</v>
      </c>
      <c r="J39" s="54" t="n">
        <v>1</v>
      </c>
      <c r="K39" s="53" t="n">
        <v>9</v>
      </c>
      <c r="L39" s="55" t="n">
        <f aca="false">IFERROR(($F39-AVERAGE($F$15:$F$120))/STDEV($F$15:$F$120),"")</f>
        <v>-1.37314969255781</v>
      </c>
      <c r="M39" s="55" t="n">
        <f aca="false">IFERROR(($I39-AVERAGE($I$15:$I$120))/STDEV($I$15:$I$120),"")</f>
        <v>-0.853484875047257</v>
      </c>
      <c r="N39" s="55" t="n">
        <f aca="false">IFERROR(-($J39-AVERAGE($J$15:$J$120))/STDEV($J$15:$J$120),"")</f>
        <v>-0.292930436927116</v>
      </c>
      <c r="O39" s="55" t="n">
        <f aca="false">IFERROR(-($K39-AVERAGE($K$15:$K$120))/STDEV($K$15:$K$120),"")</f>
        <v>0.87724635257075</v>
      </c>
      <c r="P39" s="55" t="n">
        <f aca="false">IFERROR(-($G39-AVERAGE($G$15:$G$120))/STDEV($G$15:$G$120),"")</f>
        <v>0.5431446307783</v>
      </c>
      <c r="Q39" s="55" t="n">
        <f aca="false">IFERROR(($H39-AVERAGE($H$15:$H$120))/STDEV($H$15:$H$120),"")</f>
        <v>-0.492734255055749</v>
      </c>
      <c r="R39" s="56" t="n">
        <f aca="false">IFERROR(IF(ISNUMBER(L39),$D$6*L39,0)+IF(ISNUMBER(M39),$D$7*M39,0)+IF(ISNUMBER(N39),$D$8*N39,0)+IF(ISNUMBER(O39),$D$9*O39,0)+IF(ISNUMBER(P39),$D$10*P39,0)+IF(ISNUMBER(Q39),$D$11*Q39,0),"")</f>
        <v>-0.581755682397742</v>
      </c>
      <c r="S39" s="55" t="n">
        <f aca="false">IFERROR(LN($E39),"")</f>
        <v>4.70048036579242</v>
      </c>
      <c r="T39" s="55" t="n">
        <f aca="false">IFERROR($K$6+$K$7*$R39,"")</f>
        <v>5.01430855580658</v>
      </c>
      <c r="U39" s="56" t="n">
        <f aca="false">IFERROR($S39-$T39,"")</f>
        <v>-0.313828190014164</v>
      </c>
      <c r="V39" s="56" t="n">
        <f aca="false">IFERROR(($U39-AVERAGE($U$15:$U$120))/STDEV($U$15:$U$120),"")</f>
        <v>-0.779456216517643</v>
      </c>
      <c r="W39" s="10" t="str">
        <f aca="false">IF(ISNUMBER($V39),IF($V39&gt;=$R$7,"CHEAP",IF($V39&gt;=0.5,"slightly cheap",IF($V39&lt;=$R$8,"RICH",IF($V39&lt;=-0.5,"slightly rich","fair")))),"")</f>
        <v>slightly rich</v>
      </c>
      <c r="X39" s="57" t="n">
        <f aca="false">COUNT($F39)+COUNT($G39)+COUNT($H39)+COUNT($I39)+COUNT($J39)+COUNT($K39)</f>
        <v>6</v>
      </c>
      <c r="Y39" s="58" t="str">
        <f aca="false">IF($X39&gt;=5,"HIGH",IF($X39&gt;=3,"MED","LOW"))</f>
        <v>HIGH</v>
      </c>
      <c r="AA39" s="59" t="s">
        <v>81</v>
      </c>
      <c r="AB39" s="60" t="n">
        <f aca="false">IF(AND(ISNUMBER($S39),$X39&gt;=$R$6),$S39,"")</f>
        <v>4.70048036579242</v>
      </c>
      <c r="AC39" s="61" t="n">
        <f aca="false">IF(AND(ISNUMBER($R39),$X39&gt;=$R$6),$R39,"")</f>
        <v>-0.581755682397742</v>
      </c>
    </row>
    <row r="40" customFormat="false" ht="15" hidden="false" customHeight="true" outlineLevel="0" collapsed="false">
      <c r="B40" s="62" t="s">
        <v>154</v>
      </c>
      <c r="C40" s="63" t="s">
        <v>155</v>
      </c>
      <c r="D40" s="64" t="s">
        <v>156</v>
      </c>
      <c r="E40" s="51" t="n">
        <v>270</v>
      </c>
      <c r="F40" s="65" t="n">
        <v>13</v>
      </c>
      <c r="G40" s="66" t="n">
        <v>3</v>
      </c>
      <c r="H40" s="66" t="n">
        <v>3</v>
      </c>
      <c r="I40" s="66" t="n">
        <v>56</v>
      </c>
      <c r="J40" s="67" t="n">
        <v>-3</v>
      </c>
      <c r="K40" s="66" t="n">
        <v>26</v>
      </c>
      <c r="L40" s="68" t="n">
        <f aca="false">IFERROR(($F40-AVERAGE($F$15:$F$120))/STDEV($F$15:$F$120),"")</f>
        <v>0.146895083389905</v>
      </c>
      <c r="M40" s="68" t="n">
        <f aca="false">IFERROR(($I40-AVERAGE($I$15:$I$120))/STDEV($I$15:$I$120),"")</f>
        <v>-0.149473090322908</v>
      </c>
      <c r="N40" s="68" t="n">
        <f aca="false">IFERROR(-($J40-AVERAGE($J$15:$J$120))/STDEV($J$15:$J$120),"")</f>
        <v>0.348075828915004</v>
      </c>
      <c r="O40" s="68" t="n">
        <f aca="false">IFERROR(-($K40-AVERAGE($K$15:$K$120))/STDEV($K$15:$K$120),"")</f>
        <v>-0.818567666780064</v>
      </c>
      <c r="P40" s="68" t="n">
        <f aca="false">IFERROR(-($G40-AVERAGE($G$15:$G$120))/STDEV($G$15:$G$120),"")</f>
        <v>0.332094145675875</v>
      </c>
      <c r="Q40" s="68" t="n">
        <f aca="false">IFERROR(($H40-AVERAGE($H$15:$H$120))/STDEV($H$15:$H$120),"")</f>
        <v>-0.464303258582443</v>
      </c>
      <c r="R40" s="69" t="n">
        <f aca="false">IFERROR(IF(ISNUMBER(L40),$D$6*L40,0)+IF(ISNUMBER(M40),$D$7*M40,0)+IF(ISNUMBER(N40),$D$8*N40,0)+IF(ISNUMBER(O40),$D$9*O40,0)+IF(ISNUMBER(P40),$D$10*P40,0)+IF(ISNUMBER(Q40),$D$11*Q40,0),"")</f>
        <v>-0.00541969442436113</v>
      </c>
      <c r="S40" s="68" t="n">
        <f aca="false">IFERROR(LN($E40),"")</f>
        <v>5.59842195899838</v>
      </c>
      <c r="T40" s="68" t="n">
        <f aca="false">IFERROR($K$6+$K$7*$R40,"")</f>
        <v>5.65660474246312</v>
      </c>
      <c r="U40" s="69" t="n">
        <f aca="false">IFERROR($S40-$T40,"")</f>
        <v>-0.058182783464745</v>
      </c>
      <c r="V40" s="69" t="n">
        <f aca="false">IFERROR(($U40-AVERAGE($U$15:$U$120))/STDEV($U$15:$U$120),"")</f>
        <v>-0.14450879082548</v>
      </c>
      <c r="W40" s="70" t="str">
        <f aca="false">IF(ISNUMBER($V40),IF($V40&gt;=$R$7,"CHEAP",IF($V40&gt;=0.5,"slightly cheap",IF($V40&lt;=$R$8,"RICH",IF($V40&lt;=-0.5,"slightly rich","fair")))),"")</f>
        <v>fair</v>
      </c>
      <c r="X40" s="71" t="n">
        <f aca="false">COUNT($F40)+COUNT($G40)+COUNT($H40)+COUNT($I40)+COUNT($J40)+COUNT($K40)</f>
        <v>6</v>
      </c>
      <c r="Y40" s="72" t="str">
        <f aca="false">IF($X40&gt;=5,"HIGH",IF($X40&gt;=3,"MED","LOW"))</f>
        <v>HIGH</v>
      </c>
      <c r="AA40" s="59" t="s">
        <v>81</v>
      </c>
      <c r="AB40" s="60" t="n">
        <f aca="false">IF(AND(ISNUMBER($S40),$X40&gt;=$R$6),$S40,"")</f>
        <v>5.59842195899838</v>
      </c>
      <c r="AC40" s="61" t="n">
        <f aca="false">IF(AND(ISNUMBER($R40),$X40&gt;=$R$6),$R40,"")</f>
        <v>-0.00541969442436113</v>
      </c>
    </row>
    <row r="41" customFormat="false" ht="15" hidden="false" customHeight="true" outlineLevel="0" collapsed="false">
      <c r="B41" s="13" t="s">
        <v>157</v>
      </c>
      <c r="C41" s="29" t="s">
        <v>158</v>
      </c>
      <c r="D41" s="50" t="s">
        <v>159</v>
      </c>
      <c r="E41" s="51" t="n">
        <v>140</v>
      </c>
      <c r="F41" s="52" t="n">
        <v>7</v>
      </c>
      <c r="G41" s="53" t="n">
        <v>3</v>
      </c>
      <c r="H41" s="53" t="n">
        <v>4</v>
      </c>
      <c r="I41" s="53" t="n">
        <v>56</v>
      </c>
      <c r="J41" s="54" t="n">
        <v>1</v>
      </c>
      <c r="K41" s="53" t="n">
        <v>23</v>
      </c>
      <c r="L41" s="55" t="n">
        <f aca="false">IFERROR(($F41-AVERAGE($F$15:$F$120))/STDEV($F$15:$F$120),"")</f>
        <v>-1.156000438851</v>
      </c>
      <c r="M41" s="55" t="n">
        <f aca="false">IFERROR(($I41-AVERAGE($I$15:$I$120))/STDEV($I$15:$I$120),"")</f>
        <v>-0.149473090322908</v>
      </c>
      <c r="N41" s="55" t="n">
        <f aca="false">IFERROR(-($J41-AVERAGE($J$15:$J$120))/STDEV($J$15:$J$120),"")</f>
        <v>-0.292930436927116</v>
      </c>
      <c r="O41" s="55" t="n">
        <f aca="false">IFERROR(-($K41-AVERAGE($K$15:$K$120))/STDEV($K$15:$K$120),"")</f>
        <v>-0.519306369247568</v>
      </c>
      <c r="P41" s="55" t="n">
        <f aca="false">IFERROR(-($G41-AVERAGE($G$15:$G$120))/STDEV($G$15:$G$120),"")</f>
        <v>0.332094145675875</v>
      </c>
      <c r="Q41" s="55" t="n">
        <f aca="false">IFERROR(($H41-AVERAGE($H$15:$H$120))/STDEV($H$15:$H$120),"")</f>
        <v>-0.322148276215914</v>
      </c>
      <c r="R41" s="56" t="n">
        <f aca="false">IFERROR(IF(ISNUMBER(L41),$D$6*L41,0)+IF(ISNUMBER(M41),$D$7*M41,0)+IF(ISNUMBER(N41),$D$8*N41,0)+IF(ISNUMBER(O41),$D$9*O41,0)+IF(ISNUMBER(P41),$D$10*P41,0)+IF(ISNUMBER(Q41),$D$11*Q41,0),"")</f>
        <v>-0.516285538742422</v>
      </c>
      <c r="S41" s="55" t="n">
        <f aca="false">IFERROR(LN($E41),"")</f>
        <v>4.9416424226093</v>
      </c>
      <c r="T41" s="55" t="n">
        <f aca="false">IFERROR($K$6+$K$7*$R41,"")</f>
        <v>5.0872715921034</v>
      </c>
      <c r="U41" s="56" t="n">
        <f aca="false">IFERROR($S41-$T41,"")</f>
        <v>-0.1456291694941</v>
      </c>
      <c r="V41" s="56" t="n">
        <f aca="false">IFERROR(($U41-AVERAGE($U$15:$U$120))/STDEV($U$15:$U$120),"")</f>
        <v>-0.361699697733829</v>
      </c>
      <c r="W41" s="10" t="str">
        <f aca="false">IF(ISNUMBER($V41),IF($V41&gt;=$R$7,"CHEAP",IF($V41&gt;=0.5,"slightly cheap",IF($V41&lt;=$R$8,"RICH",IF($V41&lt;=-0.5,"slightly rich","fair")))),"")</f>
        <v>fair</v>
      </c>
      <c r="X41" s="57" t="n">
        <f aca="false">COUNT($F41)+COUNT($G41)+COUNT($H41)+COUNT($I41)+COUNT($J41)+COUNT($K41)</f>
        <v>6</v>
      </c>
      <c r="Y41" s="58" t="str">
        <f aca="false">IF($X41&gt;=5,"HIGH",IF($X41&gt;=3,"MED","LOW"))</f>
        <v>HIGH</v>
      </c>
      <c r="AA41" s="59" t="s">
        <v>81</v>
      </c>
      <c r="AB41" s="60" t="n">
        <f aca="false">IF(AND(ISNUMBER($S41),$X41&gt;=$R$6),$S41,"")</f>
        <v>4.9416424226093</v>
      </c>
      <c r="AC41" s="61" t="n">
        <f aca="false">IF(AND(ISNUMBER($R41),$X41&gt;=$R$6),$R41,"")</f>
        <v>-0.516285538742422</v>
      </c>
    </row>
    <row r="42" customFormat="false" ht="15" hidden="false" customHeight="true" outlineLevel="0" collapsed="false">
      <c r="B42" s="62" t="s">
        <v>160</v>
      </c>
      <c r="C42" s="63" t="s">
        <v>161</v>
      </c>
      <c r="D42" s="64" t="s">
        <v>162</v>
      </c>
      <c r="E42" s="51" t="n">
        <v>290</v>
      </c>
      <c r="F42" s="65" t="n">
        <v>10</v>
      </c>
      <c r="G42" s="66" t="n">
        <v>2.5</v>
      </c>
      <c r="H42" s="66" t="n">
        <v>5</v>
      </c>
      <c r="I42" s="66" t="n">
        <v>55</v>
      </c>
      <c r="J42" s="67" t="n">
        <v>-7</v>
      </c>
      <c r="K42" s="66" t="n">
        <v>21</v>
      </c>
      <c r="L42" s="68" t="n">
        <f aca="false">IFERROR(($F42-AVERAGE($F$15:$F$120))/STDEV($F$15:$F$120),"")</f>
        <v>-0.504552677730545</v>
      </c>
      <c r="M42" s="68" t="n">
        <f aca="false">IFERROR(($I42-AVERAGE($I$15:$I$120))/STDEV($I$15:$I$120),"")</f>
        <v>-0.19347382686818</v>
      </c>
      <c r="N42" s="68" t="n">
        <f aca="false">IFERROR(-($J42-AVERAGE($J$15:$J$120))/STDEV($J$15:$J$120),"")</f>
        <v>0.989082094757123</v>
      </c>
      <c r="O42" s="68" t="n">
        <f aca="false">IFERROR(-($K42-AVERAGE($K$15:$K$120))/STDEV($K$15:$K$120),"")</f>
        <v>-0.319798837559237</v>
      </c>
      <c r="P42" s="68" t="n">
        <f aca="false">IFERROR(-($G42-AVERAGE($G$15:$G$120))/STDEV($G$15:$G$120),"")</f>
        <v>0.683844954179917</v>
      </c>
      <c r="Q42" s="68" t="n">
        <f aca="false">IFERROR(($H42-AVERAGE($H$15:$H$120))/STDEV($H$15:$H$120),"")</f>
        <v>-0.179993293849385</v>
      </c>
      <c r="R42" s="69" t="n">
        <f aca="false">IFERROR(IF(ISNUMBER(L42),$D$6*L42,0)+IF(ISNUMBER(M42),$D$7*M42,0)+IF(ISNUMBER(N42),$D$8*N42,0)+IF(ISNUMBER(O42),$D$9*O42,0)+IF(ISNUMBER(P42),$D$10*P42,0)+IF(ISNUMBER(Q42),$D$11*Q42,0),"")</f>
        <v>-0.0312438411280427</v>
      </c>
      <c r="S42" s="68" t="n">
        <f aca="false">IFERROR(LN($E42),"")</f>
        <v>5.66988092298052</v>
      </c>
      <c r="T42" s="68" t="n">
        <f aca="false">IFERROR($K$6+$K$7*$R42,"")</f>
        <v>5.62782508737034</v>
      </c>
      <c r="U42" s="69" t="n">
        <f aca="false">IFERROR($S42-$T42,"")</f>
        <v>0.042055835610185</v>
      </c>
      <c r="V42" s="69" t="n">
        <f aca="false">IFERROR(($U42-AVERAGE($U$15:$U$120))/STDEV($U$15:$U$120),"")</f>
        <v>0.104454231806655</v>
      </c>
      <c r="W42" s="70" t="str">
        <f aca="false">IF(ISNUMBER($V42),IF($V42&gt;=$R$7,"CHEAP",IF($V42&gt;=0.5,"slightly cheap",IF($V42&lt;=$R$8,"RICH",IF($V42&lt;=-0.5,"slightly rich","fair")))),"")</f>
        <v>fair</v>
      </c>
      <c r="X42" s="71" t="n">
        <f aca="false">COUNT($F42)+COUNT($G42)+COUNT($H42)+COUNT($I42)+COUNT($J42)+COUNT($K42)</f>
        <v>6</v>
      </c>
      <c r="Y42" s="72" t="str">
        <f aca="false">IF($X42&gt;=5,"HIGH",IF($X42&gt;=3,"MED","LOW"))</f>
        <v>HIGH</v>
      </c>
      <c r="AA42" s="59" t="s">
        <v>81</v>
      </c>
      <c r="AB42" s="60" t="n">
        <f aca="false">IF(AND(ISNUMBER($S42),$X42&gt;=$R$6),$S42,"")</f>
        <v>5.66988092298052</v>
      </c>
      <c r="AC42" s="61" t="n">
        <f aca="false">IF(AND(ISNUMBER($R42),$X42&gt;=$R$6),$R42,"")</f>
        <v>-0.0312438411280427</v>
      </c>
    </row>
    <row r="43" customFormat="false" ht="15" hidden="false" customHeight="true" outlineLevel="0" collapsed="false">
      <c r="B43" s="13" t="s">
        <v>163</v>
      </c>
      <c r="C43" s="29" t="s">
        <v>164</v>
      </c>
      <c r="D43" s="50" t="s">
        <v>165</v>
      </c>
      <c r="E43" s="51" t="n">
        <v>260</v>
      </c>
      <c r="F43" s="52" t="n">
        <v>11</v>
      </c>
      <c r="G43" s="53" t="n">
        <v>4</v>
      </c>
      <c r="H43" s="53" t="n">
        <v>4</v>
      </c>
      <c r="I43" s="53" t="n">
        <v>53</v>
      </c>
      <c r="J43" s="54" t="n">
        <v>-4</v>
      </c>
      <c r="K43" s="53" t="n">
        <v>32</v>
      </c>
      <c r="L43" s="55" t="n">
        <f aca="false">IFERROR(($F43-AVERAGE($F$15:$F$120))/STDEV($F$15:$F$120),"")</f>
        <v>-0.287403424023728</v>
      </c>
      <c r="M43" s="55" t="n">
        <f aca="false">IFERROR(($I43-AVERAGE($I$15:$I$120))/STDEV($I$15:$I$120),"")</f>
        <v>-0.281475299958724</v>
      </c>
      <c r="N43" s="55" t="n">
        <f aca="false">IFERROR(-($J43-AVERAGE($J$15:$J$120))/STDEV($J$15:$J$120),"")</f>
        <v>0.508327395375534</v>
      </c>
      <c r="O43" s="55" t="n">
        <f aca="false">IFERROR(-($K43-AVERAGE($K$15:$K$120))/STDEV($K$15:$K$120),"")</f>
        <v>-1.41709026184506</v>
      </c>
      <c r="P43" s="55" t="n">
        <f aca="false">IFERROR(-($G43-AVERAGE($G$15:$G$120))/STDEV($G$15:$G$120),"")</f>
        <v>-0.371407471332209</v>
      </c>
      <c r="Q43" s="55" t="n">
        <f aca="false">IFERROR(($H43-AVERAGE($H$15:$H$120))/STDEV($H$15:$H$120),"")</f>
        <v>-0.322148276215914</v>
      </c>
      <c r="R43" s="56" t="n">
        <f aca="false">IFERROR(IF(ISNUMBER(L43),$D$6*L43,0)+IF(ISNUMBER(M43),$D$7*M43,0)+IF(ISNUMBER(N43),$D$8*N43,0)+IF(ISNUMBER(O43),$D$9*O43,0)+IF(ISNUMBER(P43),$D$10*P43,0)+IF(ISNUMBER(Q43),$D$11*Q43,0),"")</f>
        <v>-0.292686933935364</v>
      </c>
      <c r="S43" s="55" t="n">
        <f aca="false">IFERROR(LN($E43),"")</f>
        <v>5.56068163101553</v>
      </c>
      <c r="T43" s="55" t="n">
        <f aca="false">IFERROR($K$6+$K$7*$R43,"")</f>
        <v>5.33646049268605</v>
      </c>
      <c r="U43" s="56" t="n">
        <f aca="false">IFERROR($S43-$T43,"")</f>
        <v>0.224221138329483</v>
      </c>
      <c r="V43" s="56" t="n">
        <f aca="false">IFERROR(($U43-AVERAGE($U$15:$U$120))/STDEV($U$15:$U$120),"")</f>
        <v>0.556898856465664</v>
      </c>
      <c r="W43" s="10" t="str">
        <f aca="false">IF(ISNUMBER($V43),IF($V43&gt;=$R$7,"CHEAP",IF($V43&gt;=0.5,"slightly cheap",IF($V43&lt;=$R$8,"RICH",IF($V43&lt;=-0.5,"slightly rich","fair")))),"")</f>
        <v>slightly cheap</v>
      </c>
      <c r="X43" s="57" t="n">
        <f aca="false">COUNT($F43)+COUNT($G43)+COUNT($H43)+COUNT($I43)+COUNT($J43)+COUNT($K43)</f>
        <v>6</v>
      </c>
      <c r="Y43" s="58" t="str">
        <f aca="false">IF($X43&gt;=5,"HIGH",IF($X43&gt;=3,"MED","LOW"))</f>
        <v>HIGH</v>
      </c>
      <c r="AA43" s="59" t="s">
        <v>81</v>
      </c>
      <c r="AB43" s="60" t="n">
        <f aca="false">IF(AND(ISNUMBER($S43),$X43&gt;=$R$6),$S43,"")</f>
        <v>5.56068163101553</v>
      </c>
      <c r="AC43" s="61" t="n">
        <f aca="false">IF(AND(ISNUMBER($R43),$X43&gt;=$R$6),$R43,"")</f>
        <v>-0.292686933935364</v>
      </c>
    </row>
    <row r="44" customFormat="false" ht="15" hidden="false" customHeight="true" outlineLevel="0" collapsed="false">
      <c r="B44" s="62" t="s">
        <v>166</v>
      </c>
      <c r="C44" s="63" t="s">
        <v>167</v>
      </c>
      <c r="D44" s="64" t="s">
        <v>168</v>
      </c>
      <c r="E44" s="51" t="n">
        <v>130</v>
      </c>
      <c r="F44" s="65" t="n">
        <v>7</v>
      </c>
      <c r="G44" s="66" t="n">
        <v>2</v>
      </c>
      <c r="H44" s="66" t="n">
        <v>3.5</v>
      </c>
      <c r="I44" s="66" t="n">
        <v>60</v>
      </c>
      <c r="J44" s="67" t="n">
        <v>-2.5</v>
      </c>
      <c r="K44" s="66" t="n">
        <v>7</v>
      </c>
      <c r="L44" s="68" t="n">
        <f aca="false">IFERROR(($F44-AVERAGE($F$15:$F$120))/STDEV($F$15:$F$120),"")</f>
        <v>-1.156000438851</v>
      </c>
      <c r="M44" s="68" t="n">
        <f aca="false">IFERROR(($I44-AVERAGE($I$15:$I$120))/STDEV($I$15:$I$120),"")</f>
        <v>0.0265298558581785</v>
      </c>
      <c r="N44" s="68" t="n">
        <f aca="false">IFERROR(-($J44-AVERAGE($J$15:$J$120))/STDEV($J$15:$J$120),"")</f>
        <v>0.267950045684739</v>
      </c>
      <c r="O44" s="68" t="n">
        <f aca="false">IFERROR(-($K44-AVERAGE($K$15:$K$120))/STDEV($K$15:$K$120),"")</f>
        <v>1.07675388425908</v>
      </c>
      <c r="P44" s="68" t="n">
        <f aca="false">IFERROR(-($G44-AVERAGE($G$15:$G$120))/STDEV($G$15:$G$120),"")</f>
        <v>1.03559576268396</v>
      </c>
      <c r="Q44" s="68" t="n">
        <f aca="false">IFERROR(($H44-AVERAGE($H$15:$H$120))/STDEV($H$15:$H$120),"")</f>
        <v>-0.393225767399178</v>
      </c>
      <c r="R44" s="69" t="n">
        <f aca="false">IFERROR(IF(ISNUMBER(L44),$D$6*L44,0)+IF(ISNUMBER(M44),$D$7*M44,0)+IF(ISNUMBER(N44),$D$8*N44,0)+IF(ISNUMBER(O44),$D$9*O44,0)+IF(ISNUMBER(P44),$D$10*P44,0)+IF(ISNUMBER(Q44),$D$11*Q44,0),"")</f>
        <v>-0.158612857017453</v>
      </c>
      <c r="S44" s="68" t="n">
        <f aca="false">IFERROR(LN($E44),"")</f>
        <v>4.86753445045558</v>
      </c>
      <c r="T44" s="68" t="n">
        <f aca="false">IFERROR($K$6+$K$7*$R44,"")</f>
        <v>5.48587900919528</v>
      </c>
      <c r="U44" s="69" t="n">
        <f aca="false">IFERROR($S44-$T44,"")</f>
        <v>-0.618344558739702</v>
      </c>
      <c r="V44" s="69" t="n">
        <f aca="false">IFERROR(($U44-AVERAGE($U$15:$U$120))/STDEV($U$15:$U$120),"")</f>
        <v>-1.5357846286459</v>
      </c>
      <c r="W44" s="70" t="str">
        <f aca="false">IF(ISNUMBER($V44),IF($V44&gt;=$R$7,"CHEAP",IF($V44&gt;=0.5,"slightly cheap",IF($V44&lt;=$R$8,"RICH",IF($V44&lt;=-0.5,"slightly rich","fair")))),"")</f>
        <v>RICH</v>
      </c>
      <c r="X44" s="71" t="n">
        <f aca="false">COUNT($F44)+COUNT($G44)+COUNT($H44)+COUNT($I44)+COUNT($J44)+COUNT($K44)</f>
        <v>6</v>
      </c>
      <c r="Y44" s="72" t="str">
        <f aca="false">IF($X44&gt;=5,"HIGH",IF($X44&gt;=3,"MED","LOW"))</f>
        <v>HIGH</v>
      </c>
      <c r="AA44" s="59" t="s">
        <v>81</v>
      </c>
      <c r="AB44" s="60" t="n">
        <f aca="false">IF(AND(ISNUMBER($S44),$X44&gt;=$R$6),$S44,"")</f>
        <v>4.86753445045558</v>
      </c>
      <c r="AC44" s="61" t="n">
        <f aca="false">IF(AND(ISNUMBER($R44),$X44&gt;=$R$6),$R44,"")</f>
        <v>-0.158612857017453</v>
      </c>
    </row>
    <row r="45" customFormat="false" ht="15" hidden="false" customHeight="true" outlineLevel="0" collapsed="false">
      <c r="B45" s="13" t="s">
        <v>169</v>
      </c>
      <c r="C45" s="29" t="s">
        <v>170</v>
      </c>
      <c r="D45" s="50" t="s">
        <v>171</v>
      </c>
      <c r="E45" s="51" t="n">
        <v>90</v>
      </c>
      <c r="F45" s="52" t="n">
        <v>6</v>
      </c>
      <c r="G45" s="53" t="n">
        <v>2.5</v>
      </c>
      <c r="H45" s="53" t="n">
        <v>2.5</v>
      </c>
      <c r="I45" s="53" t="n">
        <v>67</v>
      </c>
      <c r="J45" s="54" t="n">
        <v>3</v>
      </c>
      <c r="K45" s="53" t="n">
        <v>3</v>
      </c>
      <c r="L45" s="55" t="n">
        <f aca="false">IFERROR(($F45-AVERAGE($F$15:$F$120))/STDEV($F$15:$F$120),"")</f>
        <v>-1.37314969255781</v>
      </c>
      <c r="M45" s="55" t="n">
        <f aca="false">IFERROR(($I45-AVERAGE($I$15:$I$120))/STDEV($I$15:$I$120),"")</f>
        <v>0.334535011675081</v>
      </c>
      <c r="N45" s="55" t="n">
        <f aca="false">IFERROR(-($J45-AVERAGE($J$15:$J$120))/STDEV($J$15:$J$120),"")</f>
        <v>-0.613433569848175</v>
      </c>
      <c r="O45" s="55" t="n">
        <f aca="false">IFERROR(-($K45-AVERAGE($K$15:$K$120))/STDEV($K$15:$K$120),"")</f>
        <v>1.47576894763574</v>
      </c>
      <c r="P45" s="55" t="n">
        <f aca="false">IFERROR(-($G45-AVERAGE($G$15:$G$120))/STDEV($G$15:$G$120),"")</f>
        <v>0.683844954179917</v>
      </c>
      <c r="Q45" s="55" t="n">
        <f aca="false">IFERROR(($H45-AVERAGE($H$15:$H$120))/STDEV($H$15:$H$120),"")</f>
        <v>-0.535380749765707</v>
      </c>
      <c r="R45" s="56" t="n">
        <f aca="false">IFERROR(IF(ISNUMBER(L45),$D$6*L45,0)+IF(ISNUMBER(M45),$D$7*M45,0)+IF(ISNUMBER(N45),$D$8*N45,0)+IF(ISNUMBER(O45),$D$9*O45,0)+IF(ISNUMBER(P45),$D$10*P45,0)+IF(ISNUMBER(Q45),$D$11*Q45,0),"")</f>
        <v>-0.318902596253536</v>
      </c>
      <c r="S45" s="55" t="n">
        <f aca="false">IFERROR(LN($E45),"")</f>
        <v>4.49980967033027</v>
      </c>
      <c r="T45" s="55" t="n">
        <f aca="false">IFERROR($K$6+$K$7*$R45,"")</f>
        <v>5.30724451400519</v>
      </c>
      <c r="U45" s="56" t="n">
        <f aca="false">IFERROR($S45-$T45,"")</f>
        <v>-0.807434843674927</v>
      </c>
      <c r="V45" s="56" t="n">
        <f aca="false">IFERROR(($U45-AVERAGE($U$15:$U$120))/STDEV($U$15:$U$120),"")</f>
        <v>-2.00542885681164</v>
      </c>
      <c r="W45" s="10" t="str">
        <f aca="false">IF(ISNUMBER($V45),IF($V45&gt;=$R$7,"CHEAP",IF($V45&gt;=0.5,"slightly cheap",IF($V45&lt;=$R$8,"RICH",IF($V45&lt;=-0.5,"slightly rich","fair")))),"")</f>
        <v>RICH</v>
      </c>
      <c r="X45" s="57" t="n">
        <f aca="false">COUNT($F45)+COUNT($G45)+COUNT($H45)+COUNT($I45)+COUNT($J45)+COUNT($K45)</f>
        <v>6</v>
      </c>
      <c r="Y45" s="58" t="str">
        <f aca="false">IF($X45&gt;=5,"HIGH",IF($X45&gt;=3,"MED","LOW"))</f>
        <v>HIGH</v>
      </c>
      <c r="AA45" s="59" t="s">
        <v>81</v>
      </c>
      <c r="AB45" s="60" t="n">
        <f aca="false">IF(AND(ISNUMBER($S45),$X45&gt;=$R$6),$S45,"")</f>
        <v>4.49980967033027</v>
      </c>
      <c r="AC45" s="61" t="n">
        <f aca="false">IF(AND(ISNUMBER($R45),$X45&gt;=$R$6),$R45,"")</f>
        <v>-0.318902596253536</v>
      </c>
    </row>
    <row r="46" customFormat="false" ht="15" hidden="false" customHeight="true" outlineLevel="0" collapsed="false">
      <c r="B46" s="62" t="s">
        <v>172</v>
      </c>
      <c r="C46" s="63" t="s">
        <v>173</v>
      </c>
      <c r="D46" s="64" t="s">
        <v>174</v>
      </c>
      <c r="E46" s="51" t="n">
        <v>290</v>
      </c>
      <c r="F46" s="65" t="n">
        <v>15</v>
      </c>
      <c r="G46" s="66" t="n">
        <v>3</v>
      </c>
      <c r="H46" s="66" t="n">
        <v>35</v>
      </c>
      <c r="I46" s="66" t="n">
        <v>30</v>
      </c>
      <c r="J46" s="67" t="n">
        <v>-2.5</v>
      </c>
      <c r="K46" s="66" t="n">
        <v>11</v>
      </c>
      <c r="L46" s="68" t="n">
        <f aca="false">IFERROR(($F46-AVERAGE($F$15:$F$120))/STDEV($F$15:$F$120),"")</f>
        <v>0.581193590803539</v>
      </c>
      <c r="M46" s="68" t="n">
        <f aca="false">IFERROR(($I46-AVERAGE($I$15:$I$120))/STDEV($I$15:$I$120),"")</f>
        <v>-1.29349224049997</v>
      </c>
      <c r="N46" s="68" t="n">
        <f aca="false">IFERROR(-($J46-AVERAGE($J$15:$J$120))/STDEV($J$15:$J$120),"")</f>
        <v>0.267950045684739</v>
      </c>
      <c r="O46" s="68" t="n">
        <f aca="false">IFERROR(-($K46-AVERAGE($K$15:$K$120))/STDEV($K$15:$K$120),"")</f>
        <v>0.677738820882419</v>
      </c>
      <c r="P46" s="68" t="n">
        <f aca="false">IFERROR(-($G46-AVERAGE($G$15:$G$120))/STDEV($G$15:$G$120),"")</f>
        <v>0.332094145675875</v>
      </c>
      <c r="Q46" s="68" t="n">
        <f aca="false">IFERROR(($H46-AVERAGE($H$15:$H$120))/STDEV($H$15:$H$120),"")</f>
        <v>4.08465617714649</v>
      </c>
      <c r="R46" s="69" t="n">
        <f aca="false">IFERROR(IF(ISNUMBER(L46),$D$6*L46,0)+IF(ISNUMBER(M46),$D$7*M46,0)+IF(ISNUMBER(N46),$D$8*N46,0)+IF(ISNUMBER(O46),$D$9*O46,0)+IF(ISNUMBER(P46),$D$10*P46,0)+IF(ISNUMBER(Q46),$D$11*Q46,0),"")</f>
        <v>0.41930948927502</v>
      </c>
      <c r="S46" s="68" t="n">
        <f aca="false">IFERROR(LN($E46),"")</f>
        <v>5.66988092298052</v>
      </c>
      <c r="T46" s="68" t="n">
        <f aca="false">IFERROR($K$6+$K$7*$R46,"")</f>
        <v>6.12994310887528</v>
      </c>
      <c r="U46" s="69" t="n">
        <f aca="false">IFERROR($S46-$T46,"")</f>
        <v>-0.460062185894759</v>
      </c>
      <c r="V46" s="69" t="n">
        <f aca="false">IFERROR(($U46-AVERAGE($U$15:$U$120))/STDEV($U$15:$U$120),"")</f>
        <v>-1.14265812374656</v>
      </c>
      <c r="W46" s="70" t="str">
        <f aca="false">IF(ISNUMBER($V46),IF($V46&gt;=$R$7,"CHEAP",IF($V46&gt;=0.5,"slightly cheap",IF($V46&lt;=$R$8,"RICH",IF($V46&lt;=-0.5,"slightly rich","fair")))),"")</f>
        <v>slightly rich</v>
      </c>
      <c r="X46" s="71" t="n">
        <f aca="false">COUNT($F46)+COUNT($G46)+COUNT($H46)+COUNT($I46)+COUNT($J46)+COUNT($K46)</f>
        <v>6</v>
      </c>
      <c r="Y46" s="72" t="str">
        <f aca="false">IF($X46&gt;=5,"HIGH",IF($X46&gt;=3,"MED","LOW"))</f>
        <v>HIGH</v>
      </c>
      <c r="AA46" s="59" t="s">
        <v>81</v>
      </c>
      <c r="AB46" s="60" t="n">
        <f aca="false">IF(AND(ISNUMBER($S46),$X46&gt;=$R$6),$S46,"")</f>
        <v>5.66988092298052</v>
      </c>
      <c r="AC46" s="61" t="n">
        <f aca="false">IF(AND(ISNUMBER($R46),$X46&gt;=$R$6),$R46,"")</f>
        <v>0.41930948927502</v>
      </c>
    </row>
    <row r="47" customFormat="false" ht="15" hidden="false" customHeight="true" outlineLevel="0" collapsed="false">
      <c r="B47" s="13" t="s">
        <v>175</v>
      </c>
      <c r="C47" s="29" t="s">
        <v>176</v>
      </c>
      <c r="D47" s="50" t="s">
        <v>177</v>
      </c>
      <c r="E47" s="51" t="n">
        <v>1100</v>
      </c>
      <c r="F47" s="52" t="n">
        <v>19</v>
      </c>
      <c r="G47" s="53" t="n">
        <v>3</v>
      </c>
      <c r="H47" s="53" t="n">
        <v>8</v>
      </c>
      <c r="I47" s="53" t="n">
        <v>95</v>
      </c>
      <c r="J47" s="54" t="n">
        <v>-6</v>
      </c>
      <c r="K47" s="53" t="n">
        <v>22</v>
      </c>
      <c r="L47" s="55" t="n">
        <f aca="false">IFERROR(($F47-AVERAGE($F$15:$F$120))/STDEV($F$15:$F$120),"")</f>
        <v>1.44979060563081</v>
      </c>
      <c r="M47" s="55" t="n">
        <f aca="false">IFERROR(($I47-AVERAGE($I$15:$I$120))/STDEV($I$15:$I$120),"")</f>
        <v>1.56655563494269</v>
      </c>
      <c r="N47" s="55" t="n">
        <f aca="false">IFERROR(-($J47-AVERAGE($J$15:$J$120))/STDEV($J$15:$J$120),"")</f>
        <v>0.828830528296593</v>
      </c>
      <c r="O47" s="55" t="n">
        <f aca="false">IFERROR(-($K47-AVERAGE($K$15:$K$120))/STDEV($K$15:$K$120),"")</f>
        <v>-0.419552603403402</v>
      </c>
      <c r="P47" s="55" t="n">
        <f aca="false">IFERROR(-($G47-AVERAGE($G$15:$G$120))/STDEV($G$15:$G$120),"")</f>
        <v>0.332094145675875</v>
      </c>
      <c r="Q47" s="55" t="n">
        <f aca="false">IFERROR(($H47-AVERAGE($H$15:$H$120))/STDEV($H$15:$H$120),"")</f>
        <v>0.246471653250202</v>
      </c>
      <c r="R47" s="56" t="n">
        <f aca="false">IFERROR(IF(ISNUMBER(L47),$D$6*L47,0)+IF(ISNUMBER(M47),$D$7*M47,0)+IF(ISNUMBER(N47),$D$8*N47,0)+IF(ISNUMBER(O47),$D$9*O47,0)+IF(ISNUMBER(P47),$D$10*P47,0)+IF(ISNUMBER(Q47),$D$11*Q47,0),"")</f>
        <v>0.96267618760459</v>
      </c>
      <c r="S47" s="55" t="n">
        <f aca="false">IFERROR(LN($E47),"")</f>
        <v>7.00306545878646</v>
      </c>
      <c r="T47" s="55" t="n">
        <f aca="false">IFERROR($K$6+$K$7*$R47,"")</f>
        <v>6.73549675392955</v>
      </c>
      <c r="U47" s="56" t="n">
        <f aca="false">IFERROR($S47-$T47,"")</f>
        <v>0.267568704856909</v>
      </c>
      <c r="V47" s="56" t="n">
        <f aca="false">IFERROR(($U47-AVERAGE($U$15:$U$120))/STDEV($U$15:$U$120),"")</f>
        <v>0.664561365047793</v>
      </c>
      <c r="W47" s="10" t="str">
        <f aca="false">IF(ISNUMBER($V47),IF($V47&gt;=$R$7,"CHEAP",IF($V47&gt;=0.5,"slightly cheap",IF($V47&lt;=$R$8,"RICH",IF($V47&lt;=-0.5,"slightly rich","fair")))),"")</f>
        <v>slightly cheap</v>
      </c>
      <c r="X47" s="57" t="n">
        <f aca="false">COUNT($F47)+COUNT($G47)+COUNT($H47)+COUNT($I47)+COUNT($J47)+COUNT($K47)</f>
        <v>6</v>
      </c>
      <c r="Y47" s="58" t="str">
        <f aca="false">IF($X47&gt;=5,"HIGH",IF($X47&gt;=3,"MED","LOW"))</f>
        <v>HIGH</v>
      </c>
      <c r="AA47" s="59" t="s">
        <v>81</v>
      </c>
      <c r="AB47" s="60" t="n">
        <f aca="false">IF(AND(ISNUMBER($S47),$X47&gt;=$R$6),$S47,"")</f>
        <v>7.00306545878646</v>
      </c>
      <c r="AC47" s="61" t="n">
        <f aca="false">IF(AND(ISNUMBER($R47),$X47&gt;=$R$6),$R47,"")</f>
        <v>0.96267618760459</v>
      </c>
    </row>
    <row r="48" customFormat="false" ht="15" hidden="false" customHeight="true" outlineLevel="0" collapsed="false">
      <c r="B48" s="62" t="s">
        <v>178</v>
      </c>
      <c r="C48" s="63" t="s">
        <v>179</v>
      </c>
      <c r="D48" s="64" t="s">
        <v>180</v>
      </c>
      <c r="E48" s="51" t="n">
        <v>320</v>
      </c>
      <c r="F48" s="65" t="n">
        <v>13</v>
      </c>
      <c r="G48" s="66" t="n">
        <v>5.5</v>
      </c>
      <c r="H48" s="66" t="n">
        <v>9.5</v>
      </c>
      <c r="I48" s="66" t="n">
        <v>35</v>
      </c>
      <c r="J48" s="67" t="n">
        <v>-5</v>
      </c>
      <c r="K48" s="66" t="n">
        <v>32</v>
      </c>
      <c r="L48" s="68" t="n">
        <f aca="false">IFERROR(($F48-AVERAGE($F$15:$F$120))/STDEV($F$15:$F$120),"")</f>
        <v>0.146895083389905</v>
      </c>
      <c r="M48" s="68" t="n">
        <f aca="false">IFERROR(($I48-AVERAGE($I$15:$I$120))/STDEV($I$15:$I$120),"")</f>
        <v>-1.07348855777362</v>
      </c>
      <c r="N48" s="68" t="n">
        <f aca="false">IFERROR(-($J48-AVERAGE($J$15:$J$120))/STDEV($J$15:$J$120),"")</f>
        <v>0.668578961836064</v>
      </c>
      <c r="O48" s="68" t="n">
        <f aca="false">IFERROR(-($K48-AVERAGE($K$15:$K$120))/STDEV($K$15:$K$120),"")</f>
        <v>-1.41709026184506</v>
      </c>
      <c r="P48" s="68" t="n">
        <f aca="false">IFERROR(-($G48-AVERAGE($G$15:$G$120))/STDEV($G$15:$G$120),"")</f>
        <v>-1.42665989684434</v>
      </c>
      <c r="Q48" s="68" t="n">
        <f aca="false">IFERROR(($H48-AVERAGE($H$15:$H$120))/STDEV($H$15:$H$120),"")</f>
        <v>0.459704126799996</v>
      </c>
      <c r="R48" s="69" t="n">
        <f aca="false">IFERROR(IF(ISNUMBER(L48),$D$6*L48,0)+IF(ISNUMBER(M48),$D$7*M48,0)+IF(ISNUMBER(N48),$D$8*N48,0)+IF(ISNUMBER(O48),$D$9*O48,0)+IF(ISNUMBER(P48),$D$10*P48,0)+IF(ISNUMBER(Q48),$D$11*Q48,0),"")</f>
        <v>-0.339129471754673</v>
      </c>
      <c r="S48" s="68" t="n">
        <f aca="false">IFERROR(LN($E48),"")</f>
        <v>5.76832099579377</v>
      </c>
      <c r="T48" s="68" t="n">
        <f aca="false">IFERROR($K$6+$K$7*$R48,"")</f>
        <v>5.28470272367202</v>
      </c>
      <c r="U48" s="69" t="n">
        <f aca="false">IFERROR($S48-$T48,"")</f>
        <v>0.48361827212175</v>
      </c>
      <c r="V48" s="69" t="n">
        <f aca="false">IFERROR(($U48-AVERAGE($U$15:$U$120))/STDEV($U$15:$U$120),"")</f>
        <v>1.20116446075097</v>
      </c>
      <c r="W48" s="70" t="str">
        <f aca="false">IF(ISNUMBER($V48),IF($V48&gt;=$R$7,"CHEAP",IF($V48&gt;=0.5,"slightly cheap",IF($V48&lt;=$R$8,"RICH",IF($V48&lt;=-0.5,"slightly rich","fair")))),"")</f>
        <v>slightly cheap</v>
      </c>
      <c r="X48" s="71" t="n">
        <f aca="false">COUNT($F48)+COUNT($G48)+COUNT($H48)+COUNT($I48)+COUNT($J48)+COUNT($K48)</f>
        <v>6</v>
      </c>
      <c r="Y48" s="72" t="str">
        <f aca="false">IF($X48&gt;=5,"HIGH",IF($X48&gt;=3,"MED","LOW"))</f>
        <v>HIGH</v>
      </c>
      <c r="AA48" s="59" t="s">
        <v>81</v>
      </c>
      <c r="AB48" s="60" t="n">
        <f aca="false">IF(AND(ISNUMBER($S48),$X48&gt;=$R$6),$S48,"")</f>
        <v>5.76832099579377</v>
      </c>
      <c r="AC48" s="61" t="n">
        <f aca="false">IF(AND(ISNUMBER($R48),$X48&gt;=$R$6),$R48,"")</f>
        <v>-0.339129471754673</v>
      </c>
    </row>
    <row r="49" customFormat="false" ht="15" hidden="false" customHeight="true" outlineLevel="0" collapsed="false">
      <c r="B49" s="13" t="s">
        <v>181</v>
      </c>
      <c r="C49" s="29" t="s">
        <v>182</v>
      </c>
      <c r="D49" s="50" t="s">
        <v>183</v>
      </c>
      <c r="E49" s="51" t="n">
        <v>360</v>
      </c>
      <c r="F49" s="52" t="n">
        <v>14</v>
      </c>
      <c r="G49" s="53" t="n">
        <v>3</v>
      </c>
      <c r="H49" s="53" t="n">
        <v>1.5</v>
      </c>
      <c r="I49" s="53" t="n">
        <v>122</v>
      </c>
      <c r="J49" s="54" t="n">
        <v>6.5</v>
      </c>
      <c r="K49" s="53" t="n">
        <v>9</v>
      </c>
      <c r="L49" s="55" t="n">
        <f aca="false">IFERROR(($F49-AVERAGE($F$15:$F$120))/STDEV($F$15:$F$120),"")</f>
        <v>0.364044337096722</v>
      </c>
      <c r="M49" s="55" t="n">
        <f aca="false">IFERROR(($I49-AVERAGE($I$15:$I$120))/STDEV($I$15:$I$120),"")</f>
        <v>2.75457552166503</v>
      </c>
      <c r="N49" s="55" t="n">
        <f aca="false">IFERROR(-($J49-AVERAGE($J$15:$J$120))/STDEV($J$15:$J$120),"")</f>
        <v>-1.17431405246003</v>
      </c>
      <c r="O49" s="55" t="n">
        <f aca="false">IFERROR(-($K49-AVERAGE($K$15:$K$120))/STDEV($K$15:$K$120),"")</f>
        <v>0.87724635257075</v>
      </c>
      <c r="P49" s="55" t="n">
        <f aca="false">IFERROR(-($G49-AVERAGE($G$15:$G$120))/STDEV($G$15:$G$120),"")</f>
        <v>0.332094145675875</v>
      </c>
      <c r="Q49" s="55" t="n">
        <f aca="false">IFERROR(($H49-AVERAGE($H$15:$H$120))/STDEV($H$15:$H$120),"")</f>
        <v>-0.677535732132236</v>
      </c>
      <c r="R49" s="56" t="n">
        <f aca="false">IFERROR(IF(ISNUMBER(L49),$D$6*L49,0)+IF(ISNUMBER(M49),$D$7*M49,0)+IF(ISNUMBER(N49),$D$8*N49,0)+IF(ISNUMBER(O49),$D$9*O49,0)+IF(ISNUMBER(P49),$D$10*P49,0)+IF(ISNUMBER(Q49),$D$11*Q49,0),"")</f>
        <v>0.575556588615455</v>
      </c>
      <c r="S49" s="55" t="n">
        <f aca="false">IFERROR(LN($E49),"")</f>
        <v>5.88610403145016</v>
      </c>
      <c r="T49" s="55" t="n">
        <f aca="false">IFERROR($K$6+$K$7*$R49,"")</f>
        <v>6.30407229424057</v>
      </c>
      <c r="U49" s="56" t="n">
        <f aca="false">IFERROR($S49-$T49,"")</f>
        <v>-0.417968262790417</v>
      </c>
      <c r="V49" s="56" t="n">
        <f aca="false">IFERROR(($U49-AVERAGE($U$15:$U$120))/STDEV($U$15:$U$120),"")</f>
        <v>-1.0381092938922</v>
      </c>
      <c r="W49" s="10" t="str">
        <f aca="false">IF(ISNUMBER($V49),IF($V49&gt;=$R$7,"CHEAP",IF($V49&gt;=0.5,"slightly cheap",IF($V49&lt;=$R$8,"RICH",IF($V49&lt;=-0.5,"slightly rich","fair")))),"")</f>
        <v>slightly rich</v>
      </c>
      <c r="X49" s="57" t="n">
        <f aca="false">COUNT($F49)+COUNT($G49)+COUNT($H49)+COUNT($I49)+COUNT($J49)+COUNT($K49)</f>
        <v>6</v>
      </c>
      <c r="Y49" s="58" t="str">
        <f aca="false">IF($X49&gt;=5,"HIGH",IF($X49&gt;=3,"MED","LOW"))</f>
        <v>HIGH</v>
      </c>
      <c r="AA49" s="59" t="s">
        <v>81</v>
      </c>
      <c r="AB49" s="60" t="n">
        <f aca="false">IF(AND(ISNUMBER($S49),$X49&gt;=$R$6),$S49,"")</f>
        <v>5.88610403145016</v>
      </c>
      <c r="AC49" s="61" t="n">
        <f aca="false">IF(AND(ISNUMBER($R49),$X49&gt;=$R$6),$R49,"")</f>
        <v>0.575556588615455</v>
      </c>
    </row>
    <row r="50" customFormat="false" ht="15" hidden="false" customHeight="true" outlineLevel="0" collapsed="false">
      <c r="B50" s="62" t="s">
        <v>184</v>
      </c>
      <c r="C50" s="63" t="s">
        <v>185</v>
      </c>
      <c r="D50" s="64" t="s">
        <v>186</v>
      </c>
      <c r="E50" s="51" t="n">
        <v>580</v>
      </c>
      <c r="F50" s="65" t="n">
        <v>17</v>
      </c>
      <c r="G50" s="66" t="n">
        <v>4</v>
      </c>
      <c r="H50" s="66" t="n">
        <v>14</v>
      </c>
      <c r="I50" s="66" t="n">
        <v>90</v>
      </c>
      <c r="J50" s="67" t="n">
        <v>-5</v>
      </c>
      <c r="K50" s="66" t="n">
        <v>11</v>
      </c>
      <c r="L50" s="68" t="n">
        <f aca="false">IFERROR(($F50-AVERAGE($F$15:$F$120))/STDEV($F$15:$F$120),"")</f>
        <v>1.01549209821717</v>
      </c>
      <c r="M50" s="68" t="n">
        <f aca="false">IFERROR(($I50-AVERAGE($I$15:$I$120))/STDEV($I$15:$I$120),"")</f>
        <v>1.34655195221633</v>
      </c>
      <c r="N50" s="68" t="n">
        <f aca="false">IFERROR(-($J50-AVERAGE($J$15:$J$120))/STDEV($J$15:$J$120),"")</f>
        <v>0.668578961836064</v>
      </c>
      <c r="O50" s="68" t="n">
        <f aca="false">IFERROR(-($K50-AVERAGE($K$15:$K$120))/STDEV($K$15:$K$120),"")</f>
        <v>0.677738820882419</v>
      </c>
      <c r="P50" s="68" t="n">
        <f aca="false">IFERROR(-($G50-AVERAGE($G$15:$G$120))/STDEV($G$15:$G$120),"")</f>
        <v>-0.371407471332209</v>
      </c>
      <c r="Q50" s="68" t="n">
        <f aca="false">IFERROR(($H50-AVERAGE($H$15:$H$120))/STDEV($H$15:$H$120),"")</f>
        <v>1.09940154744938</v>
      </c>
      <c r="R50" s="69" t="n">
        <f aca="false">IFERROR(IF(ISNUMBER(L50),$D$6*L50,0)+IF(ISNUMBER(M50),$D$7*M50,0)+IF(ISNUMBER(N50),$D$8*N50,0)+IF(ISNUMBER(O50),$D$9*O50,0)+IF(ISNUMBER(P50),$D$10*P50,0)+IF(ISNUMBER(Q50),$D$11*Q50,0),"")</f>
        <v>0.836176578419013</v>
      </c>
      <c r="S50" s="68" t="n">
        <f aca="false">IFERROR(LN($E50),"")</f>
        <v>6.36302810354047</v>
      </c>
      <c r="T50" s="68" t="n">
        <f aca="false">IFERROR($K$6+$K$7*$R50,"")</f>
        <v>6.5945195838605</v>
      </c>
      <c r="U50" s="69" t="n">
        <f aca="false">IFERROR($S50-$T50,"")</f>
        <v>-0.231491480320035</v>
      </c>
      <c r="V50" s="69" t="n">
        <f aca="false">IFERROR(($U50-AVERAGE($U$15:$U$120))/STDEV($U$15:$U$120),"")</f>
        <v>-0.574956231300252</v>
      </c>
      <c r="W50" s="70" t="str">
        <f aca="false">IF(ISNUMBER($V50),IF($V50&gt;=$R$7,"CHEAP",IF($V50&gt;=0.5,"slightly cheap",IF($V50&lt;=$R$8,"RICH",IF($V50&lt;=-0.5,"slightly rich","fair")))),"")</f>
        <v>slightly rich</v>
      </c>
      <c r="X50" s="71" t="n">
        <f aca="false">COUNT($F50)+COUNT($G50)+COUNT($H50)+COUNT($I50)+COUNT($J50)+COUNT($K50)</f>
        <v>6</v>
      </c>
      <c r="Y50" s="72" t="str">
        <f aca="false">IF($X50&gt;=5,"HIGH",IF($X50&gt;=3,"MED","LOW"))</f>
        <v>HIGH</v>
      </c>
      <c r="AA50" s="59" t="s">
        <v>81</v>
      </c>
      <c r="AB50" s="60" t="n">
        <f aca="false">IF(AND(ISNUMBER($S50),$X50&gt;=$R$6),$S50,"")</f>
        <v>6.36302810354047</v>
      </c>
      <c r="AC50" s="61" t="n">
        <f aca="false">IF(AND(ISNUMBER($R50),$X50&gt;=$R$6),$R50,"")</f>
        <v>0.836176578419013</v>
      </c>
    </row>
    <row r="51" customFormat="false" ht="15" hidden="false" customHeight="true" outlineLevel="0" collapsed="false">
      <c r="B51" s="13" t="s">
        <v>187</v>
      </c>
      <c r="C51" s="29" t="s">
        <v>188</v>
      </c>
      <c r="D51" s="50" t="s">
        <v>189</v>
      </c>
      <c r="E51" s="51" t="n">
        <v>360</v>
      </c>
      <c r="F51" s="52" t="n">
        <v>17</v>
      </c>
      <c r="G51" s="53" t="n">
        <v>2</v>
      </c>
      <c r="H51" s="53" t="n">
        <v>4</v>
      </c>
      <c r="I51" s="53" t="n">
        <v>47</v>
      </c>
      <c r="J51" s="54" t="n">
        <v>2</v>
      </c>
      <c r="K51" s="53" t="n">
        <v>38</v>
      </c>
      <c r="L51" s="55" t="n">
        <f aca="false">IFERROR(($F51-AVERAGE($F$15:$F$120))/STDEV($F$15:$F$120),"")</f>
        <v>1.01549209821717</v>
      </c>
      <c r="M51" s="55" t="n">
        <f aca="false">IFERROR(($I51-AVERAGE($I$15:$I$120))/STDEV($I$15:$I$120),"")</f>
        <v>-0.545479719230354</v>
      </c>
      <c r="N51" s="55" t="n">
        <f aca="false">IFERROR(-($J51-AVERAGE($J$15:$J$120))/STDEV($J$15:$J$120),"")</f>
        <v>-0.453182003387646</v>
      </c>
      <c r="O51" s="55" t="n">
        <f aca="false">IFERROR(-($K51-AVERAGE($K$15:$K$120))/STDEV($K$15:$K$120),"")</f>
        <v>-2.01561285691005</v>
      </c>
      <c r="P51" s="55" t="n">
        <f aca="false">IFERROR(-($G51-AVERAGE($G$15:$G$120))/STDEV($G$15:$G$120),"")</f>
        <v>1.03559576268396</v>
      </c>
      <c r="Q51" s="55" t="n">
        <f aca="false">IFERROR(($H51-AVERAGE($H$15:$H$120))/STDEV($H$15:$H$120),"")</f>
        <v>-0.322148276215914</v>
      </c>
      <c r="R51" s="56" t="n">
        <f aca="false">IFERROR(IF(ISNUMBER(L51),$D$6*L51,0)+IF(ISNUMBER(M51),$D$7*M51,0)+IF(ISNUMBER(N51),$D$8*N51,0)+IF(ISNUMBER(O51),$D$9*O51,0)+IF(ISNUMBER(P51),$D$10*P51,0)+IF(ISNUMBER(Q51),$D$11*Q51,0),"")</f>
        <v>0.0752873337555896</v>
      </c>
      <c r="S51" s="55" t="n">
        <f aca="false">IFERROR(LN($E51),"")</f>
        <v>5.88610403145016</v>
      </c>
      <c r="T51" s="55" t="n">
        <f aca="false">IFERROR($K$6+$K$7*$R51,"")</f>
        <v>5.74654848624814</v>
      </c>
      <c r="U51" s="56" t="n">
        <f aca="false">IFERROR($S51-$T51,"")</f>
        <v>0.139555545202016</v>
      </c>
      <c r="V51" s="56" t="n">
        <f aca="false">IFERROR(($U51-AVERAGE($U$15:$U$120))/STDEV($U$15:$U$120),"")</f>
        <v>0.346614614997811</v>
      </c>
      <c r="W51" s="10" t="str">
        <f aca="false">IF(ISNUMBER($V51),IF($V51&gt;=$R$7,"CHEAP",IF($V51&gt;=0.5,"slightly cheap",IF($V51&lt;=$R$8,"RICH",IF($V51&lt;=-0.5,"slightly rich","fair")))),"")</f>
        <v>fair</v>
      </c>
      <c r="X51" s="57" t="n">
        <f aca="false">COUNT($F51)+COUNT($G51)+COUNT($H51)+COUNT($I51)+COUNT($J51)+COUNT($K51)</f>
        <v>6</v>
      </c>
      <c r="Y51" s="58" t="str">
        <f aca="false">IF($X51&gt;=5,"HIGH",IF($X51&gt;=3,"MED","LOW"))</f>
        <v>HIGH</v>
      </c>
      <c r="AA51" s="59" t="s">
        <v>81</v>
      </c>
      <c r="AB51" s="60" t="n">
        <f aca="false">IF(AND(ISNUMBER($S51),$X51&gt;=$R$6),$S51,"")</f>
        <v>5.88610403145016</v>
      </c>
      <c r="AC51" s="61" t="n">
        <f aca="false">IF(AND(ISNUMBER($R51),$X51&gt;=$R$6),$R51,"")</f>
        <v>0.0752873337555896</v>
      </c>
    </row>
    <row r="52" customFormat="false" ht="15" hidden="false" customHeight="true" outlineLevel="0" collapsed="false">
      <c r="B52" s="62" t="s">
        <v>190</v>
      </c>
      <c r="C52" s="63" t="s">
        <v>191</v>
      </c>
      <c r="D52" s="64" t="s">
        <v>192</v>
      </c>
      <c r="E52" s="51" t="n">
        <v>150</v>
      </c>
      <c r="F52" s="65" t="n">
        <v>7</v>
      </c>
      <c r="G52" s="66" t="n">
        <v>2.5</v>
      </c>
      <c r="H52" s="66" t="n">
        <v>3</v>
      </c>
      <c r="I52" s="66" t="n">
        <v>70</v>
      </c>
      <c r="J52" s="67" t="n">
        <v>3</v>
      </c>
      <c r="K52" s="66" t="n">
        <v>43</v>
      </c>
      <c r="L52" s="68" t="n">
        <f aca="false">IFERROR(($F52-AVERAGE($F$15:$F$120))/STDEV($F$15:$F$120),"")</f>
        <v>-1.156000438851</v>
      </c>
      <c r="M52" s="68" t="n">
        <f aca="false">IFERROR(($I52-AVERAGE($I$15:$I$120))/STDEV($I$15:$I$120),"")</f>
        <v>0.466537221310896</v>
      </c>
      <c r="N52" s="68" t="n">
        <f aca="false">IFERROR(-($J52-AVERAGE($J$15:$J$120))/STDEV($J$15:$J$120),"")</f>
        <v>-0.613433569848175</v>
      </c>
      <c r="O52" s="68" t="n">
        <f aca="false">IFERROR(-($K52-AVERAGE($K$15:$K$120))/STDEV($K$15:$K$120),"")</f>
        <v>-2.51438168613088</v>
      </c>
      <c r="P52" s="68" t="n">
        <f aca="false">IFERROR(-($G52-AVERAGE($G$15:$G$120))/STDEV($G$15:$G$120),"")</f>
        <v>0.683844954179917</v>
      </c>
      <c r="Q52" s="68" t="n">
        <f aca="false">IFERROR(($H52-AVERAGE($H$15:$H$120))/STDEV($H$15:$H$120),"")</f>
        <v>-0.464303258582443</v>
      </c>
      <c r="R52" s="69" t="n">
        <f aca="false">IFERROR(IF(ISNUMBER(L52),$D$6*L52,0)+IF(ISNUMBER(M52),$D$7*M52,0)+IF(ISNUMBER(N52),$D$8*N52,0)+IF(ISNUMBER(O52),$D$9*O52,0)+IF(ISNUMBER(P52),$D$10*P52,0)+IF(ISNUMBER(Q52),$D$11*Q52,0),"")</f>
        <v>-0.609828779610989</v>
      </c>
      <c r="S52" s="68" t="n">
        <f aca="false">IFERROR(LN($E52),"")</f>
        <v>5.01063529409626</v>
      </c>
      <c r="T52" s="68" t="n">
        <f aca="false">IFERROR($K$6+$K$7*$R52,"")</f>
        <v>4.98302256349659</v>
      </c>
      <c r="U52" s="69" t="n">
        <f aca="false">IFERROR($S52-$T52,"")</f>
        <v>0.0276127305996674</v>
      </c>
      <c r="V52" s="69" t="n">
        <f aca="false">IFERROR(($U52-AVERAGE($U$15:$U$120))/STDEV($U$15:$U$120),"")</f>
        <v>0.0685818393814969</v>
      </c>
      <c r="W52" s="70" t="str">
        <f aca="false">IF(ISNUMBER($V52),IF($V52&gt;=$R$7,"CHEAP",IF($V52&gt;=0.5,"slightly cheap",IF($V52&lt;=$R$8,"RICH",IF($V52&lt;=-0.5,"slightly rich","fair")))),"")</f>
        <v>fair</v>
      </c>
      <c r="X52" s="71" t="n">
        <f aca="false">COUNT($F52)+COUNT($G52)+COUNT($H52)+COUNT($I52)+COUNT($J52)+COUNT($K52)</f>
        <v>6</v>
      </c>
      <c r="Y52" s="72" t="str">
        <f aca="false">IF($X52&gt;=5,"HIGH",IF($X52&gt;=3,"MED","LOW"))</f>
        <v>HIGH</v>
      </c>
      <c r="AA52" s="59" t="s">
        <v>81</v>
      </c>
      <c r="AB52" s="60" t="n">
        <f aca="false">IF(AND(ISNUMBER($S52),$X52&gt;=$R$6),$S52,"")</f>
        <v>5.01063529409626</v>
      </c>
      <c r="AC52" s="61" t="n">
        <f aca="false">IF(AND(ISNUMBER($R52),$X52&gt;=$R$6),$R52,"")</f>
        <v>-0.609828779610989</v>
      </c>
    </row>
    <row r="53" customFormat="false" ht="15" hidden="false" customHeight="true" outlineLevel="0" collapsed="false">
      <c r="B53" s="13" t="s">
        <v>193</v>
      </c>
      <c r="C53" s="29" t="s">
        <v>194</v>
      </c>
      <c r="D53" s="50" t="s">
        <v>195</v>
      </c>
      <c r="E53" s="51" t="n">
        <v>320</v>
      </c>
      <c r="F53" s="52" t="n">
        <v>14</v>
      </c>
      <c r="G53" s="53" t="n">
        <v>2.5</v>
      </c>
      <c r="H53" s="53" t="n">
        <v>2.5</v>
      </c>
      <c r="I53" s="53" t="n">
        <v>90</v>
      </c>
      <c r="J53" s="54" t="n">
        <v>-5</v>
      </c>
      <c r="K53" s="53" t="n">
        <v>35</v>
      </c>
      <c r="L53" s="55" t="n">
        <f aca="false">IFERROR(($F53-AVERAGE($F$15:$F$120))/STDEV($F$15:$F$120),"")</f>
        <v>0.364044337096722</v>
      </c>
      <c r="M53" s="55" t="n">
        <f aca="false">IFERROR(($I53-AVERAGE($I$15:$I$120))/STDEV($I$15:$I$120),"")</f>
        <v>1.34655195221633</v>
      </c>
      <c r="N53" s="55" t="n">
        <f aca="false">IFERROR(-($J53-AVERAGE($J$15:$J$120))/STDEV($J$15:$J$120),"")</f>
        <v>0.668578961836064</v>
      </c>
      <c r="O53" s="55" t="n">
        <f aca="false">IFERROR(-($K53-AVERAGE($K$15:$K$120))/STDEV($K$15:$K$120),"")</f>
        <v>-1.71635155937755</v>
      </c>
      <c r="P53" s="55" t="n">
        <f aca="false">IFERROR(-($G53-AVERAGE($G$15:$G$120))/STDEV($G$15:$G$120),"")</f>
        <v>0.683844954179917</v>
      </c>
      <c r="Q53" s="55" t="n">
        <f aca="false">IFERROR(($H53-AVERAGE($H$15:$H$120))/STDEV($H$15:$H$120),"")</f>
        <v>-0.535380749765707</v>
      </c>
      <c r="R53" s="56" t="n">
        <f aca="false">IFERROR(IF(ISNUMBER(L53),$D$6*L53,0)+IF(ISNUMBER(M53),$D$7*M53,0)+IF(ISNUMBER(N53),$D$8*N53,0)+IF(ISNUMBER(O53),$D$9*O53,0)+IF(ISNUMBER(P53),$D$10*P53,0)+IF(ISNUMBER(Q53),$D$11*Q53,0),"")</f>
        <v>0.364608531285106</v>
      </c>
      <c r="S53" s="55" t="n">
        <f aca="false">IFERROR(LN($E53),"")</f>
        <v>5.76832099579377</v>
      </c>
      <c r="T53" s="55" t="n">
        <f aca="false">IFERROR($K$6+$K$7*$R53,"")</f>
        <v>6.06898176435309</v>
      </c>
      <c r="U53" s="56" t="n">
        <f aca="false">IFERROR($S53-$T53,"")</f>
        <v>-0.300660768559318</v>
      </c>
      <c r="V53" s="56" t="n">
        <f aca="false">IFERROR(($U53-AVERAGE($U$15:$U$120))/STDEV($U$15:$U$120),"")</f>
        <v>-0.746752243977686</v>
      </c>
      <c r="W53" s="10" t="str">
        <f aca="false">IF(ISNUMBER($V53),IF($V53&gt;=$R$7,"CHEAP",IF($V53&gt;=0.5,"slightly cheap",IF($V53&lt;=$R$8,"RICH",IF($V53&lt;=-0.5,"slightly rich","fair")))),"")</f>
        <v>slightly rich</v>
      </c>
      <c r="X53" s="57" t="n">
        <f aca="false">COUNT($F53)+COUNT($G53)+COUNT($H53)+COUNT($I53)+COUNT($J53)+COUNT($K53)</f>
        <v>6</v>
      </c>
      <c r="Y53" s="58" t="str">
        <f aca="false">IF($X53&gt;=5,"HIGH",IF($X53&gt;=3,"MED","LOW"))</f>
        <v>HIGH</v>
      </c>
      <c r="AA53" s="59" t="s">
        <v>81</v>
      </c>
      <c r="AB53" s="60" t="n">
        <f aca="false">IF(AND(ISNUMBER($S53),$X53&gt;=$R$6),$S53,"")</f>
        <v>5.76832099579377</v>
      </c>
      <c r="AC53" s="61" t="n">
        <f aca="false">IF(AND(ISNUMBER($R53),$X53&gt;=$R$6),$R53,"")</f>
        <v>0.364608531285106</v>
      </c>
    </row>
    <row r="54" customFormat="false" ht="15" hidden="false" customHeight="true" outlineLevel="0" collapsed="false">
      <c r="B54" s="62" t="s">
        <v>196</v>
      </c>
      <c r="C54" s="63" t="s">
        <v>197</v>
      </c>
      <c r="D54" s="64" t="s">
        <v>198</v>
      </c>
      <c r="E54" s="51" t="n">
        <v>70</v>
      </c>
      <c r="F54" s="65" t="n">
        <v>5</v>
      </c>
      <c r="G54" s="66" t="n">
        <v>2.5</v>
      </c>
      <c r="H54" s="66" t="n">
        <v>3</v>
      </c>
      <c r="I54" s="66" t="n">
        <v>5</v>
      </c>
      <c r="J54" s="67" t="n">
        <v>25</v>
      </c>
      <c r="K54" s="66" t="n">
        <v>31</v>
      </c>
      <c r="L54" s="68" t="n">
        <f aca="false">IFERROR(($F54-AVERAGE($F$15:$F$120))/STDEV($F$15:$F$120),"")</f>
        <v>-1.59029894626463</v>
      </c>
      <c r="M54" s="68" t="n">
        <f aca="false">IFERROR(($I54-AVERAGE($I$15:$I$120))/STDEV($I$15:$I$120),"")</f>
        <v>-2.39351065413177</v>
      </c>
      <c r="N54" s="68" t="n">
        <f aca="false">IFERROR(-($J54-AVERAGE($J$15:$J$120))/STDEV($J$15:$J$120),"")</f>
        <v>-4.13896803197983</v>
      </c>
      <c r="O54" s="68" t="n">
        <f aca="false">IFERROR(-($K54-AVERAGE($K$15:$K$120))/STDEV($K$15:$K$120),"")</f>
        <v>-1.31733649600089</v>
      </c>
      <c r="P54" s="68" t="n">
        <f aca="false">IFERROR(-($G54-AVERAGE($G$15:$G$120))/STDEV($G$15:$G$120),"")</f>
        <v>0.683844954179917</v>
      </c>
      <c r="Q54" s="68" t="n">
        <f aca="false">IFERROR(($H54-AVERAGE($H$15:$H$120))/STDEV($H$15:$H$120),"")</f>
        <v>-0.464303258582443</v>
      </c>
      <c r="R54" s="69" t="n">
        <f aca="false">IFERROR(IF(ISNUMBER(L54),$D$6*L54,0)+IF(ISNUMBER(M54),$D$7*M54,0)+IF(ISNUMBER(N54),$D$8*N54,0)+IF(ISNUMBER(O54),$D$9*O54,0)+IF(ISNUMBER(P54),$D$10*P54,0)+IF(ISNUMBER(Q54),$D$11*Q54,0),"")</f>
        <v>-1.74296848260104</v>
      </c>
      <c r="S54" s="68" t="n">
        <f aca="false">IFERROR(LN($E54),"")</f>
        <v>4.24849524204936</v>
      </c>
      <c r="T54" s="68" t="n">
        <f aca="false">IFERROR($K$6+$K$7*$R54,"")</f>
        <v>3.72019788246478</v>
      </c>
      <c r="U54" s="69" t="n">
        <f aca="false">IFERROR($S54-$T54,"")</f>
        <v>0.528297359584578</v>
      </c>
      <c r="V54" s="69" t="n">
        <f aca="false">IFERROR(($U54-AVERAGE($U$15:$U$120))/STDEV($U$15:$U$120),"")</f>
        <v>1.31213407272135</v>
      </c>
      <c r="W54" s="70" t="str">
        <f aca="false">IF(ISNUMBER($V54),IF($V54&gt;=$R$7,"CHEAP",IF($V54&gt;=0.5,"slightly cheap",IF($V54&lt;=$R$8,"RICH",IF($V54&lt;=-0.5,"slightly rich","fair")))),"")</f>
        <v>slightly cheap</v>
      </c>
      <c r="X54" s="71" t="n">
        <f aca="false">COUNT($F54)+COUNT($G54)+COUNT($H54)+COUNT($I54)+COUNT($J54)+COUNT($K54)</f>
        <v>6</v>
      </c>
      <c r="Y54" s="72" t="str">
        <f aca="false">IF($X54&gt;=5,"HIGH",IF($X54&gt;=3,"MED","LOW"))</f>
        <v>HIGH</v>
      </c>
      <c r="AA54" s="59" t="s">
        <v>81</v>
      </c>
      <c r="AB54" s="60" t="n">
        <f aca="false">IF(AND(ISNUMBER($S54),$X54&gt;=$R$6),$S54,"")</f>
        <v>4.24849524204936</v>
      </c>
      <c r="AC54" s="61" t="n">
        <f aca="false">IF(AND(ISNUMBER($R54),$X54&gt;=$R$6),$R54,"")</f>
        <v>-1.74296848260104</v>
      </c>
    </row>
    <row r="55" customFormat="false" ht="15" hidden="false" customHeight="true" outlineLevel="0" collapsed="false">
      <c r="B55" s="13" t="s">
        <v>199</v>
      </c>
      <c r="C55" s="29" t="s">
        <v>200</v>
      </c>
      <c r="D55" s="50" t="s">
        <v>201</v>
      </c>
      <c r="E55" s="51" t="n">
        <v>230</v>
      </c>
      <c r="F55" s="52" t="n">
        <v>11</v>
      </c>
      <c r="G55" s="53" t="n">
        <v>3.5</v>
      </c>
      <c r="H55" s="53" t="n">
        <v>2</v>
      </c>
      <c r="I55" s="53" t="n">
        <v>70</v>
      </c>
      <c r="J55" s="54" t="n">
        <v>-2.5</v>
      </c>
      <c r="K55" s="53" t="n">
        <v>25</v>
      </c>
      <c r="L55" s="55" t="n">
        <f aca="false">IFERROR(($F55-AVERAGE($F$15:$F$120))/STDEV($F$15:$F$120),"")</f>
        <v>-0.287403424023728</v>
      </c>
      <c r="M55" s="55" t="n">
        <f aca="false">IFERROR(($I55-AVERAGE($I$15:$I$120))/STDEV($I$15:$I$120),"")</f>
        <v>0.466537221310896</v>
      </c>
      <c r="N55" s="55" t="n">
        <f aca="false">IFERROR(-($J55-AVERAGE($J$15:$J$120))/STDEV($J$15:$J$120),"")</f>
        <v>0.267950045684739</v>
      </c>
      <c r="O55" s="55" t="n">
        <f aca="false">IFERROR(-($K55-AVERAGE($K$15:$K$120))/STDEV($K$15:$K$120),"")</f>
        <v>-0.718813900935899</v>
      </c>
      <c r="P55" s="55" t="n">
        <f aca="false">IFERROR(-($G55-AVERAGE($G$15:$G$120))/STDEV($G$15:$G$120),"")</f>
        <v>-0.019656662828167</v>
      </c>
      <c r="Q55" s="55" t="n">
        <f aca="false">IFERROR(($H55-AVERAGE($H$15:$H$120))/STDEV($H$15:$H$120),"")</f>
        <v>-0.606458240948972</v>
      </c>
      <c r="R55" s="56" t="n">
        <f aca="false">IFERROR(IF(ISNUMBER(L55),$D$6*L55,0)+IF(ISNUMBER(M55),$D$7*M55,0)+IF(ISNUMBER(N55),$D$8*N55,0)+IF(ISNUMBER(O55),$D$9*O55,0)+IF(ISNUMBER(P55),$D$10*P55,0)+IF(ISNUMBER(Q55),$D$11*Q55,0),"")</f>
        <v>-0.0898480962023025</v>
      </c>
      <c r="S55" s="55" t="n">
        <f aca="false">IFERROR(LN($E55),"")</f>
        <v>5.4380793089232</v>
      </c>
      <c r="T55" s="55" t="n">
        <f aca="false">IFERROR($K$6+$K$7*$R55,"")</f>
        <v>5.56251372326759</v>
      </c>
      <c r="U55" s="56" t="n">
        <f aca="false">IFERROR($S55-$T55,"")</f>
        <v>-0.124434414344394</v>
      </c>
      <c r="V55" s="56" t="n">
        <f aca="false">IFERROR(($U55-AVERAGE($U$15:$U$120))/STDEV($U$15:$U$120),"")</f>
        <v>-0.309058207311118</v>
      </c>
      <c r="W55" s="10" t="str">
        <f aca="false">IF(ISNUMBER($V55),IF($V55&gt;=$R$7,"CHEAP",IF($V55&gt;=0.5,"slightly cheap",IF($V55&lt;=$R$8,"RICH",IF($V55&lt;=-0.5,"slightly rich","fair")))),"")</f>
        <v>fair</v>
      </c>
      <c r="X55" s="57" t="n">
        <f aca="false">COUNT($F55)+COUNT($G55)+COUNT($H55)+COUNT($I55)+COUNT($J55)+COUNT($K55)</f>
        <v>6</v>
      </c>
      <c r="Y55" s="58" t="str">
        <f aca="false">IF($X55&gt;=5,"HIGH",IF($X55&gt;=3,"MED","LOW"))</f>
        <v>HIGH</v>
      </c>
      <c r="AA55" s="59" t="s">
        <v>81</v>
      </c>
      <c r="AB55" s="60" t="n">
        <f aca="false">IF(AND(ISNUMBER($S55),$X55&gt;=$R$6),$S55,"")</f>
        <v>5.4380793089232</v>
      </c>
      <c r="AC55" s="61" t="n">
        <f aca="false">IF(AND(ISNUMBER($R55),$X55&gt;=$R$6),$R55,"")</f>
        <v>-0.0898480962023025</v>
      </c>
    </row>
    <row r="56" customFormat="false" ht="15" hidden="false" customHeight="true" outlineLevel="0" collapsed="false">
      <c r="B56" s="62" t="s">
        <v>202</v>
      </c>
      <c r="C56" s="63" t="s">
        <v>203</v>
      </c>
      <c r="D56" s="64" t="s">
        <v>204</v>
      </c>
      <c r="E56" s="51" t="n">
        <v>200</v>
      </c>
      <c r="F56" s="65" t="n">
        <v>11</v>
      </c>
      <c r="G56" s="66" t="n">
        <v>2.5</v>
      </c>
      <c r="H56" s="66" t="n">
        <v>1.5</v>
      </c>
      <c r="I56" s="66" t="n">
        <v>35</v>
      </c>
      <c r="J56" s="67" t="n">
        <v>1.5</v>
      </c>
      <c r="K56" s="66" t="n">
        <v>17</v>
      </c>
      <c r="L56" s="68" t="n">
        <f aca="false">IFERROR(($F56-AVERAGE($F$15:$F$120))/STDEV($F$15:$F$120),"")</f>
        <v>-0.287403424023728</v>
      </c>
      <c r="M56" s="68" t="n">
        <f aca="false">IFERROR(($I56-AVERAGE($I$15:$I$120))/STDEV($I$15:$I$120),"")</f>
        <v>-1.07348855777362</v>
      </c>
      <c r="N56" s="68" t="n">
        <f aca="false">IFERROR(-($J56-AVERAGE($J$15:$J$120))/STDEV($J$15:$J$120),"")</f>
        <v>-0.373056220157381</v>
      </c>
      <c r="O56" s="68" t="n">
        <f aca="false">IFERROR(-($K56-AVERAGE($K$15:$K$120))/STDEV($K$15:$K$120),"")</f>
        <v>0.0792162258174255</v>
      </c>
      <c r="P56" s="68" t="n">
        <f aca="false">IFERROR(-($G56-AVERAGE($G$15:$G$120))/STDEV($G$15:$G$120),"")</f>
        <v>0.683844954179917</v>
      </c>
      <c r="Q56" s="68" t="n">
        <f aca="false">IFERROR(($H56-AVERAGE($H$15:$H$120))/STDEV($H$15:$H$120),"")</f>
        <v>-0.677535732132236</v>
      </c>
      <c r="R56" s="69" t="n">
        <f aca="false">IFERROR(IF(ISNUMBER(L56),$D$6*L56,0)+IF(ISNUMBER(M56),$D$7*M56,0)+IF(ISNUMBER(N56),$D$8*N56,0)+IF(ISNUMBER(O56),$D$9*O56,0)+IF(ISNUMBER(P56),$D$10*P56,0)+IF(ISNUMBER(Q56),$D$11*Q56,0),"")</f>
        <v>-0.335467184473881</v>
      </c>
      <c r="S56" s="68" t="n">
        <f aca="false">IFERROR(LN($E56),"")</f>
        <v>5.29831736654804</v>
      </c>
      <c r="T56" s="68" t="n">
        <f aca="false">IFERROR($K$6+$K$7*$R56,"")</f>
        <v>5.28878415048551</v>
      </c>
      <c r="U56" s="69" t="n">
        <f aca="false">IFERROR($S56-$T56,"")</f>
        <v>0.00953321606252544</v>
      </c>
      <c r="V56" s="69" t="n">
        <f aca="false">IFERROR(($U56-AVERAGE($U$15:$U$120))/STDEV($U$15:$U$120),"")</f>
        <v>0.0236776833942341</v>
      </c>
      <c r="W56" s="70" t="str">
        <f aca="false">IF(ISNUMBER($V56),IF($V56&gt;=$R$7,"CHEAP",IF($V56&gt;=0.5,"slightly cheap",IF($V56&lt;=$R$8,"RICH",IF($V56&lt;=-0.5,"slightly rich","fair")))),"")</f>
        <v>fair</v>
      </c>
      <c r="X56" s="71" t="n">
        <f aca="false">COUNT($F56)+COUNT($G56)+COUNT($H56)+COUNT($I56)+COUNT($J56)+COUNT($K56)</f>
        <v>6</v>
      </c>
      <c r="Y56" s="72" t="str">
        <f aca="false">IF($X56&gt;=5,"HIGH",IF($X56&gt;=3,"MED","LOW"))</f>
        <v>HIGH</v>
      </c>
      <c r="AA56" s="59" t="s">
        <v>81</v>
      </c>
      <c r="AB56" s="60" t="n">
        <f aca="false">IF(AND(ISNUMBER($S56),$X56&gt;=$R$6),$S56,"")</f>
        <v>5.29831736654804</v>
      </c>
      <c r="AC56" s="61" t="n">
        <f aca="false">IF(AND(ISNUMBER($R56),$X56&gt;=$R$6),$R56,"")</f>
        <v>-0.335467184473881</v>
      </c>
    </row>
    <row r="57" customFormat="false" ht="15" hidden="false" customHeight="true" outlineLevel="0" collapsed="false">
      <c r="B57" s="13" t="s">
        <v>205</v>
      </c>
      <c r="C57" s="29" t="s">
        <v>206</v>
      </c>
      <c r="D57" s="50" t="s">
        <v>207</v>
      </c>
      <c r="E57" s="51" t="n">
        <v>70</v>
      </c>
      <c r="F57" s="52" t="n">
        <v>3</v>
      </c>
      <c r="G57" s="53" t="n">
        <v>2</v>
      </c>
      <c r="H57" s="53" t="n">
        <v>2</v>
      </c>
      <c r="I57" s="53" t="n">
        <v>45</v>
      </c>
      <c r="J57" s="54" t="n">
        <v>18</v>
      </c>
      <c r="K57" s="53" t="n">
        <v>32</v>
      </c>
      <c r="L57" s="55" t="n">
        <f aca="false">IFERROR(($F57-AVERAGE($F$15:$F$120))/STDEV($F$15:$F$120),"")</f>
        <v>-2.02459745367826</v>
      </c>
      <c r="M57" s="55" t="n">
        <f aca="false">IFERROR(($I57-AVERAGE($I$15:$I$120))/STDEV($I$15:$I$120),"")</f>
        <v>-0.633481192320898</v>
      </c>
      <c r="N57" s="55" t="n">
        <f aca="false">IFERROR(-($J57-AVERAGE($J$15:$J$120))/STDEV($J$15:$J$120),"")</f>
        <v>-3.01720706675612</v>
      </c>
      <c r="O57" s="55" t="n">
        <f aca="false">IFERROR(-($K57-AVERAGE($K$15:$K$120))/STDEV($K$15:$K$120),"")</f>
        <v>-1.41709026184506</v>
      </c>
      <c r="P57" s="55" t="n">
        <f aca="false">IFERROR(-($G57-AVERAGE($G$15:$G$120))/STDEV($G$15:$G$120),"")</f>
        <v>1.03559576268396</v>
      </c>
      <c r="Q57" s="55" t="n">
        <f aca="false">IFERROR(($H57-AVERAGE($H$15:$H$120))/STDEV($H$15:$H$120),"")</f>
        <v>-0.606458240948972</v>
      </c>
      <c r="R57" s="56" t="n">
        <f aca="false">IFERROR(IF(ISNUMBER(L57),$D$6*L57,0)+IF(ISNUMBER(M57),$D$7*M57,0)+IF(ISNUMBER(N57),$D$8*N57,0)+IF(ISNUMBER(O57),$D$9*O57,0)+IF(ISNUMBER(P57),$D$10*P57,0)+IF(ISNUMBER(Q57),$D$11*Q57,0),"")</f>
        <v>-1.35384060120334</v>
      </c>
      <c r="S57" s="55" t="n">
        <f aca="false">IFERROR(LN($E57),"")</f>
        <v>4.24849524204936</v>
      </c>
      <c r="T57" s="55" t="n">
        <f aca="false">IFERROR($K$6+$K$7*$R57,"")</f>
        <v>4.15386046741346</v>
      </c>
      <c r="U57" s="56" t="n">
        <f aca="false">IFERROR($S57-$T57,"")</f>
        <v>0.094634774635904</v>
      </c>
      <c r="V57" s="56" t="n">
        <f aca="false">IFERROR(($U57-AVERAGE($U$15:$U$120))/STDEV($U$15:$U$120),"")</f>
        <v>0.235044733825128</v>
      </c>
      <c r="W57" s="10" t="str">
        <f aca="false">IF(ISNUMBER($V57),IF($V57&gt;=$R$7,"CHEAP",IF($V57&gt;=0.5,"slightly cheap",IF($V57&lt;=$R$8,"RICH",IF($V57&lt;=-0.5,"slightly rich","fair")))),"")</f>
        <v>fair</v>
      </c>
      <c r="X57" s="57" t="n">
        <f aca="false">COUNT($F57)+COUNT($G57)+COUNT($H57)+COUNT($I57)+COUNT($J57)+COUNT($K57)</f>
        <v>6</v>
      </c>
      <c r="Y57" s="58" t="str">
        <f aca="false">IF($X57&gt;=5,"HIGH",IF($X57&gt;=3,"MED","LOW"))</f>
        <v>HIGH</v>
      </c>
      <c r="AA57" s="59" t="s">
        <v>81</v>
      </c>
      <c r="AB57" s="60" t="n">
        <f aca="false">IF(AND(ISNUMBER($S57),$X57&gt;=$R$6),$S57,"")</f>
        <v>4.24849524204936</v>
      </c>
      <c r="AC57" s="61" t="n">
        <f aca="false">IF(AND(ISNUMBER($R57),$X57&gt;=$R$6),$R57,"")</f>
        <v>-1.35384060120334</v>
      </c>
    </row>
    <row r="58" customFormat="false" ht="15" hidden="false" customHeight="true" outlineLevel="0" collapsed="false">
      <c r="B58" s="62" t="s">
        <v>208</v>
      </c>
      <c r="C58" s="63" t="s">
        <v>209</v>
      </c>
      <c r="D58" s="64" t="s">
        <v>210</v>
      </c>
      <c r="E58" s="51" t="n">
        <v>100</v>
      </c>
      <c r="F58" s="65" t="n">
        <v>5</v>
      </c>
      <c r="G58" s="66" t="n">
        <v>3.5</v>
      </c>
      <c r="H58" s="66" t="n">
        <v>2</v>
      </c>
      <c r="I58" s="66" t="n">
        <v>28</v>
      </c>
      <c r="J58" s="67" t="n">
        <v>2</v>
      </c>
      <c r="K58" s="66" t="n">
        <v>42</v>
      </c>
      <c r="L58" s="68" t="n">
        <f aca="false">IFERROR(($F58-AVERAGE($F$15:$F$120))/STDEV($F$15:$F$120),"")</f>
        <v>-1.59029894626463</v>
      </c>
      <c r="M58" s="68" t="n">
        <f aca="false">IFERROR(($I58-AVERAGE($I$15:$I$120))/STDEV($I$15:$I$120),"")</f>
        <v>-1.38149371359052</v>
      </c>
      <c r="N58" s="68" t="n">
        <f aca="false">IFERROR(-($J58-AVERAGE($J$15:$J$120))/STDEV($J$15:$J$120),"")</f>
        <v>-0.453182003387646</v>
      </c>
      <c r="O58" s="68" t="n">
        <f aca="false">IFERROR(-($K58-AVERAGE($K$15:$K$120))/STDEV($K$15:$K$120),"")</f>
        <v>-2.41462792028671</v>
      </c>
      <c r="P58" s="68" t="n">
        <f aca="false">IFERROR(-($G58-AVERAGE($G$15:$G$120))/STDEV($G$15:$G$120),"")</f>
        <v>-0.019656662828167</v>
      </c>
      <c r="Q58" s="68" t="n">
        <f aca="false">IFERROR(($H58-AVERAGE($H$15:$H$120))/STDEV($H$15:$H$120),"")</f>
        <v>-0.606458240948972</v>
      </c>
      <c r="R58" s="69" t="n">
        <f aca="false">IFERROR(IF(ISNUMBER(L58),$D$6*L58,0)+IF(ISNUMBER(M58),$D$7*M58,0)+IF(ISNUMBER(N58),$D$8*N58,0)+IF(ISNUMBER(O58),$D$9*O58,0)+IF(ISNUMBER(P58),$D$10*P58,0)+IF(ISNUMBER(Q58),$D$11*Q58,0),"")</f>
        <v>-1.19321892526284</v>
      </c>
      <c r="S58" s="68" t="n">
        <f aca="false">IFERROR(LN($E58),"")</f>
        <v>4.60517018598809</v>
      </c>
      <c r="T58" s="68" t="n">
        <f aca="false">IFERROR($K$6+$K$7*$R58,"")</f>
        <v>4.3328648886257</v>
      </c>
      <c r="U58" s="69" t="n">
        <f aca="false">IFERROR($S58-$T58,"")</f>
        <v>0.272305297362387</v>
      </c>
      <c r="V58" s="69" t="n">
        <f aca="false">IFERROR(($U58-AVERAGE($U$15:$U$120))/STDEV($U$15:$U$120),"")</f>
        <v>0.676325657074394</v>
      </c>
      <c r="W58" s="70" t="str">
        <f aca="false">IF(ISNUMBER($V58),IF($V58&gt;=$R$7,"CHEAP",IF($V58&gt;=0.5,"slightly cheap",IF($V58&lt;=$R$8,"RICH",IF($V58&lt;=-0.5,"slightly rich","fair")))),"")</f>
        <v>slightly cheap</v>
      </c>
      <c r="X58" s="71" t="n">
        <f aca="false">COUNT($F58)+COUNT($G58)+COUNT($H58)+COUNT($I58)+COUNT($J58)+COUNT($K58)</f>
        <v>6</v>
      </c>
      <c r="Y58" s="72" t="str">
        <f aca="false">IF($X58&gt;=5,"HIGH",IF($X58&gt;=3,"MED","LOW"))</f>
        <v>HIGH</v>
      </c>
      <c r="AA58" s="59" t="s">
        <v>81</v>
      </c>
      <c r="AB58" s="60" t="n">
        <f aca="false">IF(AND(ISNUMBER($S58),$X58&gt;=$R$6),$S58,"")</f>
        <v>4.60517018598809</v>
      </c>
      <c r="AC58" s="61" t="n">
        <f aca="false">IF(AND(ISNUMBER($R58),$X58&gt;=$R$6),$R58,"")</f>
        <v>-1.19321892526284</v>
      </c>
    </row>
    <row r="59" customFormat="false" ht="15" hidden="false" customHeight="true" outlineLevel="0" collapsed="false">
      <c r="B59" s="13" t="s">
        <v>211</v>
      </c>
      <c r="C59" s="29" t="s">
        <v>212</v>
      </c>
      <c r="D59" s="50" t="s">
        <v>213</v>
      </c>
      <c r="E59" s="51" t="n">
        <v>580</v>
      </c>
      <c r="F59" s="52" t="n">
        <v>18</v>
      </c>
      <c r="G59" s="53" t="n">
        <v>1.5</v>
      </c>
      <c r="H59" s="53" t="n">
        <v>7</v>
      </c>
      <c r="I59" s="53" t="n">
        <v>82</v>
      </c>
      <c r="J59" s="54" t="n">
        <v>-3</v>
      </c>
      <c r="K59" s="53" t="n">
        <v>18</v>
      </c>
      <c r="L59" s="55" t="n">
        <f aca="false">IFERROR(($F59-AVERAGE($F$15:$F$120))/STDEV($F$15:$F$120),"")</f>
        <v>1.23264135192399</v>
      </c>
      <c r="M59" s="55" t="n">
        <f aca="false">IFERROR(($I59-AVERAGE($I$15:$I$120))/STDEV($I$15:$I$120),"")</f>
        <v>0.994546059854157</v>
      </c>
      <c r="N59" s="55" t="n">
        <f aca="false">IFERROR(-($J59-AVERAGE($J$15:$J$120))/STDEV($J$15:$J$120),"")</f>
        <v>0.348075828915004</v>
      </c>
      <c r="O59" s="55" t="n">
        <f aca="false">IFERROR(-($K59-AVERAGE($K$15:$K$120))/STDEV($K$15:$K$120),"")</f>
        <v>-0.0205375400267401</v>
      </c>
      <c r="P59" s="55" t="n">
        <f aca="false">IFERROR(-($G59-AVERAGE($G$15:$G$120))/STDEV($G$15:$G$120),"")</f>
        <v>1.387346571188</v>
      </c>
      <c r="Q59" s="55" t="n">
        <f aca="false">IFERROR(($H59-AVERAGE($H$15:$H$120))/STDEV($H$15:$H$120),"")</f>
        <v>0.104316670883673</v>
      </c>
      <c r="R59" s="56" t="n">
        <f aca="false">IFERROR(IF(ISNUMBER(L59),$D$6*L59,0)+IF(ISNUMBER(M59),$D$7*M59,0)+IF(ISNUMBER(N59),$D$8*N59,0)+IF(ISNUMBER(O59),$D$9*O59,0)+IF(ISNUMBER(P59),$D$10*P59,0)+IF(ISNUMBER(Q59),$D$11*Q59,0),"")</f>
        <v>0.855318227692058</v>
      </c>
      <c r="S59" s="55" t="n">
        <f aca="false">IFERROR(LN($E59),"")</f>
        <v>6.36302810354047</v>
      </c>
      <c r="T59" s="55" t="n">
        <f aca="false">IFERROR($K$6+$K$7*$R59,"")</f>
        <v>6.61585194656377</v>
      </c>
      <c r="U59" s="56" t="n">
        <f aca="false">IFERROR($S59-$T59,"")</f>
        <v>-0.252823843023302</v>
      </c>
      <c r="V59" s="56" t="n">
        <f aca="false">IFERROR(($U59-AVERAGE($U$15:$U$120))/STDEV($U$15:$U$120),"")</f>
        <v>-0.62793949810404</v>
      </c>
      <c r="W59" s="10" t="str">
        <f aca="false">IF(ISNUMBER($V59),IF($V59&gt;=$R$7,"CHEAP",IF($V59&gt;=0.5,"slightly cheap",IF($V59&lt;=$R$8,"RICH",IF($V59&lt;=-0.5,"slightly rich","fair")))),"")</f>
        <v>slightly rich</v>
      </c>
      <c r="X59" s="57" t="n">
        <f aca="false">COUNT($F59)+COUNT($G59)+COUNT($H59)+COUNT($I59)+COUNT($J59)+COUNT($K59)</f>
        <v>6</v>
      </c>
      <c r="Y59" s="58" t="str">
        <f aca="false">IF($X59&gt;=5,"HIGH",IF($X59&gt;=3,"MED","LOW"))</f>
        <v>HIGH</v>
      </c>
      <c r="AA59" s="59" t="s">
        <v>81</v>
      </c>
      <c r="AB59" s="60" t="n">
        <f aca="false">IF(AND(ISNUMBER($S59),$X59&gt;=$R$6),$S59,"")</f>
        <v>6.36302810354047</v>
      </c>
      <c r="AC59" s="61" t="n">
        <f aca="false">IF(AND(ISNUMBER($R59),$X59&gt;=$R$6),$R59,"")</f>
        <v>0.855318227692058</v>
      </c>
    </row>
    <row r="60" customFormat="false" ht="15" hidden="false" customHeight="true" outlineLevel="0" collapsed="false">
      <c r="B60" s="62" t="s">
        <v>214</v>
      </c>
      <c r="C60" s="63" t="s">
        <v>215</v>
      </c>
      <c r="D60" s="64" t="s">
        <v>216</v>
      </c>
      <c r="E60" s="51" t="n">
        <v>80</v>
      </c>
      <c r="F60" s="65" t="n">
        <v>3</v>
      </c>
      <c r="G60" s="66" t="n">
        <v>4</v>
      </c>
      <c r="H60" s="66" t="n">
        <v>2.5</v>
      </c>
      <c r="I60" s="66" t="n">
        <v>31</v>
      </c>
      <c r="J60" s="67" t="n">
        <v>9</v>
      </c>
      <c r="K60" s="66" t="n">
        <v>41</v>
      </c>
      <c r="L60" s="68" t="n">
        <f aca="false">IFERROR(($F60-AVERAGE($F$15:$F$120))/STDEV($F$15:$F$120),"")</f>
        <v>-2.02459745367826</v>
      </c>
      <c r="M60" s="68" t="n">
        <f aca="false">IFERROR(($I60-AVERAGE($I$15:$I$120))/STDEV($I$15:$I$120),"")</f>
        <v>-1.2494915039547</v>
      </c>
      <c r="N60" s="68" t="n">
        <f aca="false">IFERROR(-($J60-AVERAGE($J$15:$J$120))/STDEV($J$15:$J$120),"")</f>
        <v>-1.57494296861135</v>
      </c>
      <c r="O60" s="68" t="n">
        <f aca="false">IFERROR(-($K60-AVERAGE($K$15:$K$120))/STDEV($K$15:$K$120),"")</f>
        <v>-2.31487415444255</v>
      </c>
      <c r="P60" s="68" t="n">
        <f aca="false">IFERROR(-($G60-AVERAGE($G$15:$G$120))/STDEV($G$15:$G$120),"")</f>
        <v>-0.371407471332209</v>
      </c>
      <c r="Q60" s="68" t="n">
        <f aca="false">IFERROR(($H60-AVERAGE($H$15:$H$120))/STDEV($H$15:$H$120),"")</f>
        <v>-0.535380749765707</v>
      </c>
      <c r="R60" s="69" t="n">
        <f aca="false">IFERROR(IF(ISNUMBER(L60),$D$6*L60,0)+IF(ISNUMBER(M60),$D$7*M60,0)+IF(ISNUMBER(N60),$D$8*N60,0)+IF(ISNUMBER(O60),$D$9*O60,0)+IF(ISNUMBER(P60),$D$10*P60,0)+IF(ISNUMBER(Q60),$D$11*Q60,0),"")</f>
        <v>-1.51363562685541</v>
      </c>
      <c r="S60" s="68" t="n">
        <f aca="false">IFERROR(LN($E60),"")</f>
        <v>4.38202663467388</v>
      </c>
      <c r="T60" s="68" t="n">
        <f aca="false">IFERROR($K$6+$K$7*$R60,"")</f>
        <v>3.975777304528</v>
      </c>
      <c r="U60" s="69" t="n">
        <f aca="false">IFERROR($S60-$T60,"")</f>
        <v>0.406249330145877</v>
      </c>
      <c r="V60" s="69" t="n">
        <f aca="false">IFERROR(($U60-AVERAGE($U$15:$U$120))/STDEV($U$15:$U$120),"")</f>
        <v>1.00900293827664</v>
      </c>
      <c r="W60" s="70" t="str">
        <f aca="false">IF(ISNUMBER($V60),IF($V60&gt;=$R$7,"CHEAP",IF($V60&gt;=0.5,"slightly cheap",IF($V60&lt;=$R$8,"RICH",IF($V60&lt;=-0.5,"slightly rich","fair")))),"")</f>
        <v>slightly cheap</v>
      </c>
      <c r="X60" s="71" t="n">
        <f aca="false">COUNT($F60)+COUNT($G60)+COUNT($H60)+COUNT($I60)+COUNT($J60)+COUNT($K60)</f>
        <v>6</v>
      </c>
      <c r="Y60" s="72" t="str">
        <f aca="false">IF($X60&gt;=5,"HIGH",IF($X60&gt;=3,"MED","LOW"))</f>
        <v>HIGH</v>
      </c>
      <c r="AA60" s="59" t="s">
        <v>81</v>
      </c>
      <c r="AB60" s="60" t="n">
        <f aca="false">IF(AND(ISNUMBER($S60),$X60&gt;=$R$6),$S60,"")</f>
        <v>4.38202663467388</v>
      </c>
      <c r="AC60" s="61" t="n">
        <f aca="false">IF(AND(ISNUMBER($R60),$X60&gt;=$R$6),$R60,"")</f>
        <v>-1.51363562685541</v>
      </c>
    </row>
    <row r="61" customFormat="false" ht="15" hidden="false" customHeight="true" outlineLevel="0" collapsed="false">
      <c r="B61" s="13" t="s">
        <v>217</v>
      </c>
      <c r="C61" s="29" t="s">
        <v>218</v>
      </c>
      <c r="D61" s="50" t="s">
        <v>219</v>
      </c>
      <c r="E61" s="51" t="n">
        <v>700</v>
      </c>
      <c r="F61" s="52" t="n">
        <v>16</v>
      </c>
      <c r="G61" s="53" t="n">
        <v>2.5</v>
      </c>
      <c r="H61" s="53" t="n">
        <v>20</v>
      </c>
      <c r="I61" s="53" t="n">
        <v>65</v>
      </c>
      <c r="J61" s="54" t="n">
        <v>5</v>
      </c>
      <c r="K61" s="53" t="n">
        <v>13</v>
      </c>
      <c r="L61" s="55" t="n">
        <f aca="false">IFERROR(($F61-AVERAGE($F$15:$F$120))/STDEV($F$15:$F$120),"")</f>
        <v>0.798342844510355</v>
      </c>
      <c r="M61" s="55" t="n">
        <f aca="false">IFERROR(($I61-AVERAGE($I$15:$I$120))/STDEV($I$15:$I$120),"")</f>
        <v>0.246533538584537</v>
      </c>
      <c r="N61" s="55" t="n">
        <f aca="false">IFERROR(-($J61-AVERAGE($J$15:$J$120))/STDEV($J$15:$J$120),"")</f>
        <v>-0.933936702769235</v>
      </c>
      <c r="O61" s="55" t="n">
        <f aca="false">IFERROR(-($K61-AVERAGE($K$15:$K$120))/STDEV($K$15:$K$120),"")</f>
        <v>0.478231289194088</v>
      </c>
      <c r="P61" s="55" t="n">
        <f aca="false">IFERROR(-($G61-AVERAGE($G$15:$G$120))/STDEV($G$15:$G$120),"")</f>
        <v>0.683844954179917</v>
      </c>
      <c r="Q61" s="55" t="n">
        <f aca="false">IFERROR(($H61-AVERAGE($H$15:$H$120))/STDEV($H$15:$H$120),"")</f>
        <v>1.95233144164855</v>
      </c>
      <c r="R61" s="56" t="n">
        <f aca="false">IFERROR(IF(ISNUMBER(L61),$D$6*L61,0)+IF(ISNUMBER(M61),$D$7*M61,0)+IF(ISNUMBER(N61),$D$8*N61,0)+IF(ISNUMBER(O61),$D$9*O61,0)+IF(ISNUMBER(P61),$D$10*P61,0)+IF(ISNUMBER(Q61),$D$11*Q61,0),"")</f>
        <v>0.47470723663303</v>
      </c>
      <c r="S61" s="55" t="n">
        <f aca="false">IFERROR(LN($E61),"")</f>
        <v>6.5510803350434</v>
      </c>
      <c r="T61" s="55" t="n">
        <f aca="false">IFERROR($K$6+$K$7*$R61,"")</f>
        <v>6.19168098854948</v>
      </c>
      <c r="U61" s="56" t="n">
        <f aca="false">IFERROR($S61-$T61,"")</f>
        <v>0.359399346493926</v>
      </c>
      <c r="V61" s="56" t="n">
        <f aca="false">IFERROR(($U61-AVERAGE($U$15:$U$120))/STDEV($U$15:$U$120),"")</f>
        <v>0.892641463548652</v>
      </c>
      <c r="W61" s="10" t="str">
        <f aca="false">IF(ISNUMBER($V61),IF($V61&gt;=$R$7,"CHEAP",IF($V61&gt;=0.5,"slightly cheap",IF($V61&lt;=$R$8,"RICH",IF($V61&lt;=-0.5,"slightly rich","fair")))),"")</f>
        <v>slightly cheap</v>
      </c>
      <c r="X61" s="57" t="n">
        <f aca="false">COUNT($F61)+COUNT($G61)+COUNT($H61)+COUNT($I61)+COUNT($J61)+COUNT($K61)</f>
        <v>6</v>
      </c>
      <c r="Y61" s="58" t="str">
        <f aca="false">IF($X61&gt;=5,"HIGH",IF($X61&gt;=3,"MED","LOW"))</f>
        <v>HIGH</v>
      </c>
      <c r="AA61" s="59" t="s">
        <v>81</v>
      </c>
      <c r="AB61" s="60" t="n">
        <f aca="false">IF(AND(ISNUMBER($S61),$X61&gt;=$R$6),$S61,"")</f>
        <v>6.5510803350434</v>
      </c>
      <c r="AC61" s="61" t="n">
        <f aca="false">IF(AND(ISNUMBER($R61),$X61&gt;=$R$6),$R61,"")</f>
        <v>0.47470723663303</v>
      </c>
    </row>
    <row r="62" customFormat="false" ht="15" hidden="false" customHeight="true" outlineLevel="0" collapsed="false">
      <c r="B62" s="62" t="s">
        <v>220</v>
      </c>
      <c r="C62" s="63" t="s">
        <v>221</v>
      </c>
      <c r="D62" s="64" t="s">
        <v>222</v>
      </c>
      <c r="E62" s="51" t="n">
        <v>760</v>
      </c>
      <c r="F62" s="65" t="n">
        <v>16</v>
      </c>
      <c r="G62" s="66" t="n">
        <v>4</v>
      </c>
      <c r="H62" s="66" t="n">
        <v>5</v>
      </c>
      <c r="I62" s="66" t="n">
        <v>42</v>
      </c>
      <c r="J62" s="67" t="n">
        <v>-2.5</v>
      </c>
      <c r="K62" s="66" t="n">
        <v>9</v>
      </c>
      <c r="L62" s="68" t="n">
        <f aca="false">IFERROR(($F62-AVERAGE($F$15:$F$120))/STDEV($F$15:$F$120),"")</f>
        <v>0.798342844510355</v>
      </c>
      <c r="M62" s="68" t="n">
        <f aca="false">IFERROR(($I62-AVERAGE($I$15:$I$120))/STDEV($I$15:$I$120),"")</f>
        <v>-0.765483401956713</v>
      </c>
      <c r="N62" s="68" t="n">
        <f aca="false">IFERROR(-($J62-AVERAGE($J$15:$J$120))/STDEV($J$15:$J$120),"")</f>
        <v>0.267950045684739</v>
      </c>
      <c r="O62" s="68" t="n">
        <f aca="false">IFERROR(-($K62-AVERAGE($K$15:$K$120))/STDEV($K$15:$K$120),"")</f>
        <v>0.87724635257075</v>
      </c>
      <c r="P62" s="68" t="n">
        <f aca="false">IFERROR(-($G62-AVERAGE($G$15:$G$120))/STDEV($G$15:$G$120),"")</f>
        <v>-0.371407471332209</v>
      </c>
      <c r="Q62" s="68" t="n">
        <f aca="false">IFERROR(($H62-AVERAGE($H$15:$H$120))/STDEV($H$15:$H$120),"")</f>
        <v>-0.179993293849385</v>
      </c>
      <c r="R62" s="69" t="n">
        <f aca="false">IFERROR(IF(ISNUMBER(L62),$D$6*L62,0)+IF(ISNUMBER(M62),$D$7*M62,0)+IF(ISNUMBER(N62),$D$8*N62,0)+IF(ISNUMBER(O62),$D$9*O62,0)+IF(ISNUMBER(P62),$D$10*P62,0)+IF(ISNUMBER(Q62),$D$11*Q62,0),"")</f>
        <v>0.195272097229252</v>
      </c>
      <c r="S62" s="68" t="n">
        <f aca="false">IFERROR(LN($E62),"")</f>
        <v>6.63331843328038</v>
      </c>
      <c r="T62" s="68" t="n">
        <f aca="false">IFERROR($K$6+$K$7*$R62,"")</f>
        <v>5.88026520296231</v>
      </c>
      <c r="U62" s="69" t="n">
        <f aca="false">IFERROR($S62-$T62,"")</f>
        <v>0.753053230318063</v>
      </c>
      <c r="V62" s="69" t="n">
        <f aca="false">IFERROR(($U62-AVERAGE($U$15:$U$120))/STDEV($U$15:$U$120),"")</f>
        <v>1.87036104600295</v>
      </c>
      <c r="W62" s="70" t="str">
        <f aca="false">IF(ISNUMBER($V62),IF($V62&gt;=$R$7,"CHEAP",IF($V62&gt;=0.5,"slightly cheap",IF($V62&lt;=$R$8,"RICH",IF($V62&lt;=-0.5,"slightly rich","fair")))),"")</f>
        <v>CHEAP</v>
      </c>
      <c r="X62" s="71" t="n">
        <f aca="false">COUNT($F62)+COUNT($G62)+COUNT($H62)+COUNT($I62)+COUNT($J62)+COUNT($K62)</f>
        <v>6</v>
      </c>
      <c r="Y62" s="72" t="str">
        <f aca="false">IF($X62&gt;=5,"HIGH",IF($X62&gt;=3,"MED","LOW"))</f>
        <v>HIGH</v>
      </c>
      <c r="AA62" s="59" t="s">
        <v>81</v>
      </c>
      <c r="AB62" s="60" t="n">
        <f aca="false">IF(AND(ISNUMBER($S62),$X62&gt;=$R$6),$S62,"")</f>
        <v>6.63331843328038</v>
      </c>
      <c r="AC62" s="61" t="n">
        <f aca="false">IF(AND(ISNUMBER($R62),$X62&gt;=$R$6),$R62,"")</f>
        <v>0.195272097229252</v>
      </c>
    </row>
    <row r="63" customFormat="false" ht="15" hidden="false" customHeight="true" outlineLevel="0" collapsed="false">
      <c r="B63" s="13" t="s">
        <v>223</v>
      </c>
      <c r="C63" s="29" t="s">
        <v>224</v>
      </c>
      <c r="D63" s="50" t="s">
        <v>225</v>
      </c>
      <c r="E63" s="51" t="n">
        <v>480</v>
      </c>
      <c r="F63" s="52" t="n">
        <v>13</v>
      </c>
      <c r="G63" s="53" t="n">
        <v>6.5</v>
      </c>
      <c r="H63" s="53" t="n">
        <v>3</v>
      </c>
      <c r="I63" s="53" t="n">
        <v>56</v>
      </c>
      <c r="J63" s="54" t="n">
        <v>-3.5</v>
      </c>
      <c r="K63" s="53" t="n">
        <v>9</v>
      </c>
      <c r="L63" s="55" t="n">
        <f aca="false">IFERROR(($F63-AVERAGE($F$15:$F$120))/STDEV($F$15:$F$120),"")</f>
        <v>0.146895083389905</v>
      </c>
      <c r="M63" s="55" t="n">
        <f aca="false">IFERROR(($I63-AVERAGE($I$15:$I$120))/STDEV($I$15:$I$120),"")</f>
        <v>-0.149473090322908</v>
      </c>
      <c r="N63" s="55" t="n">
        <f aca="false">IFERROR(-($J63-AVERAGE($J$15:$J$120))/STDEV($J$15:$J$120),"")</f>
        <v>0.428201612145269</v>
      </c>
      <c r="O63" s="55" t="n">
        <f aca="false">IFERROR(-($K63-AVERAGE($K$15:$K$120))/STDEV($K$15:$K$120),"")</f>
        <v>0.87724635257075</v>
      </c>
      <c r="P63" s="55" t="n">
        <f aca="false">IFERROR(-($G63-AVERAGE($G$15:$G$120))/STDEV($G$15:$G$120),"")</f>
        <v>-2.13016151385242</v>
      </c>
      <c r="Q63" s="55" t="n">
        <f aca="false">IFERROR(($H63-AVERAGE($H$15:$H$120))/STDEV($H$15:$H$120),"")</f>
        <v>-0.464303258582443</v>
      </c>
      <c r="R63" s="56" t="n">
        <f aca="false">IFERROR(IF(ISNUMBER(L63),$D$6*L63,0)+IF(ISNUMBER(M63),$D$7*M63,0)+IF(ISNUMBER(N63),$D$8*N63,0)+IF(ISNUMBER(O63),$D$9*O63,0)+IF(ISNUMBER(P63),$D$10*P63,0)+IF(ISNUMBER(Q63),$D$11*Q63,0),"")</f>
        <v>-0.119290104148135</v>
      </c>
      <c r="S63" s="55" t="n">
        <f aca="false">IFERROR(LN($E63),"")</f>
        <v>6.17378610390194</v>
      </c>
      <c r="T63" s="55" t="n">
        <f aca="false">IFERROR($K$6+$K$7*$R63,"")</f>
        <v>5.52970215184791</v>
      </c>
      <c r="U63" s="56" t="n">
        <f aca="false">IFERROR($S63-$T63,"")</f>
        <v>0.644083952054026</v>
      </c>
      <c r="V63" s="56" t="n">
        <f aca="false">IFERROR(($U63-AVERAGE($U$15:$U$120))/STDEV($U$15:$U$120),"")</f>
        <v>1.59971365340093</v>
      </c>
      <c r="W63" s="10" t="str">
        <f aca="false">IF(ISNUMBER($V63),IF($V63&gt;=$R$7,"CHEAP",IF($V63&gt;=0.5,"slightly cheap",IF($V63&lt;=$R$8,"RICH",IF($V63&lt;=-0.5,"slightly rich","fair")))),"")</f>
        <v>CHEAP</v>
      </c>
      <c r="X63" s="57" t="n">
        <f aca="false">COUNT($F63)+COUNT($G63)+COUNT($H63)+COUNT($I63)+COUNT($J63)+COUNT($K63)</f>
        <v>6</v>
      </c>
      <c r="Y63" s="58" t="str">
        <f aca="false">IF($X63&gt;=5,"HIGH",IF($X63&gt;=3,"MED","LOW"))</f>
        <v>HIGH</v>
      </c>
      <c r="AA63" s="59" t="s">
        <v>81</v>
      </c>
      <c r="AB63" s="60" t="n">
        <f aca="false">IF(AND(ISNUMBER($S63),$X63&gt;=$R$6),$S63,"")</f>
        <v>6.17378610390194</v>
      </c>
      <c r="AC63" s="61" t="n">
        <f aca="false">IF(AND(ISNUMBER($R63),$X63&gt;=$R$6),$R63,"")</f>
        <v>-0.119290104148135</v>
      </c>
    </row>
    <row r="64" customFormat="false" ht="15" hidden="false" customHeight="true" outlineLevel="0" collapsed="false">
      <c r="B64" s="62" t="s">
        <v>226</v>
      </c>
      <c r="C64" s="63" t="s">
        <v>227</v>
      </c>
      <c r="D64" s="64" t="s">
        <v>228</v>
      </c>
      <c r="E64" s="51" t="n">
        <v>1200</v>
      </c>
      <c r="F64" s="65" t="n">
        <v>21</v>
      </c>
      <c r="G64" s="66" t="n">
        <v>6</v>
      </c>
      <c r="H64" s="66" t="n">
        <v>22</v>
      </c>
      <c r="I64" s="66" t="n">
        <v>25</v>
      </c>
      <c r="J64" s="67" t="n">
        <v>-3</v>
      </c>
      <c r="K64" s="66" t="n">
        <v>1</v>
      </c>
      <c r="L64" s="68" t="n">
        <f aca="false">IFERROR(($F64-AVERAGE($F$15:$F$120))/STDEV($F$15:$F$120),"")</f>
        <v>1.88408911304444</v>
      </c>
      <c r="M64" s="68" t="n">
        <f aca="false">IFERROR(($I64-AVERAGE($I$15:$I$120))/STDEV($I$15:$I$120),"")</f>
        <v>-1.51349592322633</v>
      </c>
      <c r="N64" s="68" t="n">
        <f aca="false">IFERROR(-($J64-AVERAGE($J$15:$J$120))/STDEV($J$15:$J$120),"")</f>
        <v>0.348075828915004</v>
      </c>
      <c r="O64" s="68" t="n">
        <f aca="false">IFERROR(-($K64-AVERAGE($K$15:$K$120))/STDEV($K$15:$K$120),"")</f>
        <v>1.67527647932407</v>
      </c>
      <c r="P64" s="68" t="n">
        <f aca="false">IFERROR(-($G64-AVERAGE($G$15:$G$120))/STDEV($G$15:$G$120),"")</f>
        <v>-1.77841070534838</v>
      </c>
      <c r="Q64" s="68" t="n">
        <f aca="false">IFERROR(($H64-AVERAGE($H$15:$H$120))/STDEV($H$15:$H$120),"")</f>
        <v>2.23664140638161</v>
      </c>
      <c r="R64" s="69" t="n">
        <f aca="false">IFERROR(IF(ISNUMBER(L64),$D$6*L64,0)+IF(ISNUMBER(M64),$D$7*M64,0)+IF(ISNUMBER(N64),$D$8*N64,0)+IF(ISNUMBER(O64),$D$9*O64,0)+IF(ISNUMBER(P64),$D$10*P64,0)+IF(ISNUMBER(Q64),$D$11*Q64,0),"")</f>
        <v>0.541993055058669</v>
      </c>
      <c r="S64" s="68" t="n">
        <f aca="false">IFERROR(LN($E64),"")</f>
        <v>7.09007683577609</v>
      </c>
      <c r="T64" s="68" t="n">
        <f aca="false">IFERROR($K$6+$K$7*$R64,"")</f>
        <v>6.26666749900985</v>
      </c>
      <c r="U64" s="69" t="n">
        <f aca="false">IFERROR($S64-$T64,"")</f>
        <v>0.823409336766246</v>
      </c>
      <c r="V64" s="69" t="n">
        <f aca="false">IFERROR(($U64-AVERAGE($U$15:$U$120))/STDEV($U$15:$U$120),"")</f>
        <v>2.04510476338072</v>
      </c>
      <c r="W64" s="70" t="str">
        <f aca="false">IF(ISNUMBER($V64),IF($V64&gt;=$R$7,"CHEAP",IF($V64&gt;=0.5,"slightly cheap",IF($V64&lt;=$R$8,"RICH",IF($V64&lt;=-0.5,"slightly rich","fair")))),"")</f>
        <v>CHEAP</v>
      </c>
      <c r="X64" s="71" t="n">
        <f aca="false">COUNT($F64)+COUNT($G64)+COUNT($H64)+COUNT($I64)+COUNT($J64)+COUNT($K64)</f>
        <v>6</v>
      </c>
      <c r="Y64" s="72" t="str">
        <f aca="false">IF($X64&gt;=5,"HIGH",IF($X64&gt;=3,"MED","LOW"))</f>
        <v>HIGH</v>
      </c>
      <c r="AA64" s="59" t="s">
        <v>81</v>
      </c>
      <c r="AB64" s="60" t="n">
        <f aca="false">IF(AND(ISNUMBER($S64),$X64&gt;=$R$6),$S64,"")</f>
        <v>7.09007683577609</v>
      </c>
      <c r="AC64" s="61" t="n">
        <f aca="false">IF(AND(ISNUMBER($R64),$X64&gt;=$R$6),$R64,"")</f>
        <v>0.541993055058669</v>
      </c>
    </row>
    <row r="65" customFormat="false" ht="15" hidden="false" customHeight="true" outlineLevel="0" collapsed="false">
      <c r="B65" s="13" t="s">
        <v>229</v>
      </c>
      <c r="C65" s="29" t="s">
        <v>230</v>
      </c>
      <c r="D65" s="50" t="s">
        <v>231</v>
      </c>
      <c r="E65" s="51" t="n">
        <v>1100</v>
      </c>
      <c r="F65" s="52" t="n">
        <v>17</v>
      </c>
      <c r="G65" s="53" t="n">
        <v>3</v>
      </c>
      <c r="H65" s="53" t="n">
        <v>2</v>
      </c>
      <c r="I65" s="53" t="n">
        <v>73</v>
      </c>
      <c r="J65" s="54" t="n">
        <v>-3</v>
      </c>
      <c r="K65" s="53" t="n">
        <v>2</v>
      </c>
      <c r="L65" s="55" t="n">
        <f aca="false">IFERROR(($F65-AVERAGE($F$15:$F$120))/STDEV($F$15:$F$120),"")</f>
        <v>1.01549209821717</v>
      </c>
      <c r="M65" s="55" t="n">
        <f aca="false">IFERROR(($I65-AVERAGE($I$15:$I$120))/STDEV($I$15:$I$120),"")</f>
        <v>0.598539430946711</v>
      </c>
      <c r="N65" s="55" t="n">
        <f aca="false">IFERROR(-($J65-AVERAGE($J$15:$J$120))/STDEV($J$15:$J$120),"")</f>
        <v>0.348075828915004</v>
      </c>
      <c r="O65" s="55" t="n">
        <f aca="false">IFERROR(-($K65-AVERAGE($K$15:$K$120))/STDEV($K$15:$K$120),"")</f>
        <v>1.57552271347991</v>
      </c>
      <c r="P65" s="55" t="n">
        <f aca="false">IFERROR(-($G65-AVERAGE($G$15:$G$120))/STDEV($G$15:$G$120),"")</f>
        <v>0.332094145675875</v>
      </c>
      <c r="Q65" s="55" t="n">
        <f aca="false">IFERROR(($H65-AVERAGE($H$15:$H$120))/STDEV($H$15:$H$120),"")</f>
        <v>-0.606458240948972</v>
      </c>
      <c r="R65" s="56" t="n">
        <f aca="false">IFERROR(IF(ISNUMBER(L65),$D$6*L65,0)+IF(ISNUMBER(M65),$D$7*M65,0)+IF(ISNUMBER(N65),$D$8*N65,0)+IF(ISNUMBER(O65),$D$9*O65,0)+IF(ISNUMBER(P65),$D$10*P65,0)+IF(ISNUMBER(Q65),$D$11*Q65,0),"")</f>
        <v>0.676228404455781</v>
      </c>
      <c r="S65" s="55" t="n">
        <f aca="false">IFERROR(LN($E65),"")</f>
        <v>7.00306545878646</v>
      </c>
      <c r="T65" s="55" t="n">
        <f aca="false">IFERROR($K$6+$K$7*$R65,"")</f>
        <v>6.41626574522635</v>
      </c>
      <c r="U65" s="56" t="n">
        <f aca="false">IFERROR($S65-$T65,"")</f>
        <v>0.586799713560112</v>
      </c>
      <c r="V65" s="56" t="n">
        <f aca="false">IFERROR(($U65-AVERAGE($U$15:$U$120))/STDEV($U$15:$U$120),"")</f>
        <v>1.45743658198633</v>
      </c>
      <c r="W65" s="10" t="str">
        <f aca="false">IF(ISNUMBER($V65),IF($V65&gt;=$R$7,"CHEAP",IF($V65&gt;=0.5,"slightly cheap",IF($V65&lt;=$R$8,"RICH",IF($V65&lt;=-0.5,"slightly rich","fair")))),"")</f>
        <v>slightly cheap</v>
      </c>
      <c r="X65" s="57" t="n">
        <f aca="false">COUNT($F65)+COUNT($G65)+COUNT($H65)+COUNT($I65)+COUNT($J65)+COUNT($K65)</f>
        <v>6</v>
      </c>
      <c r="Y65" s="58" t="str">
        <f aca="false">IF($X65&gt;=5,"HIGH",IF($X65&gt;=3,"MED","LOW"))</f>
        <v>HIGH</v>
      </c>
      <c r="AA65" s="59" t="s">
        <v>81</v>
      </c>
      <c r="AB65" s="60" t="n">
        <f aca="false">IF(AND(ISNUMBER($S65),$X65&gt;=$R$6),$S65,"")</f>
        <v>7.00306545878646</v>
      </c>
      <c r="AC65" s="61" t="n">
        <f aca="false">IF(AND(ISNUMBER($R65),$X65&gt;=$R$6),$R65,"")</f>
        <v>0.676228404455781</v>
      </c>
    </row>
    <row r="66" customFormat="false" ht="15" hidden="false" customHeight="true" outlineLevel="0" collapsed="false">
      <c r="B66" s="62" t="s">
        <v>232</v>
      </c>
      <c r="C66" s="63" t="s">
        <v>233</v>
      </c>
      <c r="D66" s="64" t="s">
        <v>234</v>
      </c>
      <c r="E66" s="51" t="n">
        <v>950</v>
      </c>
      <c r="F66" s="65" t="n">
        <v>21</v>
      </c>
      <c r="G66" s="66" t="n">
        <v>4</v>
      </c>
      <c r="H66" s="66" t="n">
        <v>18</v>
      </c>
      <c r="I66" s="66" t="n">
        <v>80</v>
      </c>
      <c r="J66" s="67" t="n">
        <v>2</v>
      </c>
      <c r="K66" s="66" t="n">
        <v>9</v>
      </c>
      <c r="L66" s="68" t="n">
        <f aca="false">IFERROR(($F66-AVERAGE($F$15:$F$120))/STDEV($F$15:$F$120),"")</f>
        <v>1.88408911304444</v>
      </c>
      <c r="M66" s="68" t="n">
        <f aca="false">IFERROR(($I66-AVERAGE($I$15:$I$120))/STDEV($I$15:$I$120),"")</f>
        <v>0.906544586763613</v>
      </c>
      <c r="N66" s="68" t="n">
        <f aca="false">IFERROR(-($J66-AVERAGE($J$15:$J$120))/STDEV($J$15:$J$120),"")</f>
        <v>-0.453182003387646</v>
      </c>
      <c r="O66" s="68" t="n">
        <f aca="false">IFERROR(-($K66-AVERAGE($K$15:$K$120))/STDEV($K$15:$K$120),"")</f>
        <v>0.87724635257075</v>
      </c>
      <c r="P66" s="68" t="n">
        <f aca="false">IFERROR(-($G66-AVERAGE($G$15:$G$120))/STDEV($G$15:$G$120),"")</f>
        <v>-0.371407471332209</v>
      </c>
      <c r="Q66" s="68" t="n">
        <f aca="false">IFERROR(($H66-AVERAGE($H$15:$H$120))/STDEV($H$15:$H$120),"")</f>
        <v>1.66802147691549</v>
      </c>
      <c r="R66" s="69" t="n">
        <f aca="false">IFERROR(IF(ISNUMBER(L66),$D$6*L66,0)+IF(ISNUMBER(M66),$D$7*M66,0)+IF(ISNUMBER(N66),$D$8*N66,0)+IF(ISNUMBER(O66),$D$9*O66,0)+IF(ISNUMBER(P66),$D$10*P66,0)+IF(ISNUMBER(Q66),$D$11*Q66,0),"")</f>
        <v>0.949360263260579</v>
      </c>
      <c r="S66" s="68" t="n">
        <f aca="false">IFERROR(LN($E66),"")</f>
        <v>6.85646198459459</v>
      </c>
      <c r="T66" s="68" t="n">
        <f aca="false">IFERROR($K$6+$K$7*$R66,"")</f>
        <v>6.72065685566458</v>
      </c>
      <c r="U66" s="69" t="n">
        <f aca="false">IFERROR($S66-$T66,"")</f>
        <v>0.135805128930003</v>
      </c>
      <c r="V66" s="69" t="n">
        <f aca="false">IFERROR(($U66-AVERAGE($U$15:$U$120))/STDEV($U$15:$U$120),"")</f>
        <v>0.337299692467693</v>
      </c>
      <c r="W66" s="70" t="str">
        <f aca="false">IF(ISNUMBER($V66),IF($V66&gt;=$R$7,"CHEAP",IF($V66&gt;=0.5,"slightly cheap",IF($V66&lt;=$R$8,"RICH",IF($V66&lt;=-0.5,"slightly rich","fair")))),"")</f>
        <v>fair</v>
      </c>
      <c r="X66" s="71" t="n">
        <f aca="false">COUNT($F66)+COUNT($G66)+COUNT($H66)+COUNT($I66)+COUNT($J66)+COUNT($K66)</f>
        <v>6</v>
      </c>
      <c r="Y66" s="72" t="str">
        <f aca="false">IF($X66&gt;=5,"HIGH",IF($X66&gt;=3,"MED","LOW"))</f>
        <v>HIGH</v>
      </c>
      <c r="AA66" s="59" t="s">
        <v>81</v>
      </c>
      <c r="AB66" s="60" t="n">
        <f aca="false">IF(AND(ISNUMBER($S66),$X66&gt;=$R$6),$S66,"")</f>
        <v>6.85646198459459</v>
      </c>
      <c r="AC66" s="61" t="n">
        <f aca="false">IF(AND(ISNUMBER($R66),$X66&gt;=$R$6),$R66,"")</f>
        <v>0.949360263260579</v>
      </c>
    </row>
    <row r="67" customFormat="false" ht="15" hidden="false" customHeight="true" outlineLevel="0" collapsed="false">
      <c r="B67" s="13" t="s">
        <v>235</v>
      </c>
      <c r="C67" s="29" t="s">
        <v>236</v>
      </c>
      <c r="D67" s="50" t="s">
        <v>237</v>
      </c>
      <c r="E67" s="51" t="n">
        <v>480</v>
      </c>
      <c r="F67" s="52" t="n">
        <v>16</v>
      </c>
      <c r="G67" s="53" t="n">
        <v>5</v>
      </c>
      <c r="H67" s="53" t="n">
        <v>5.5</v>
      </c>
      <c r="I67" s="53" t="n">
        <v>70</v>
      </c>
      <c r="J67" s="54" t="n">
        <v>-4</v>
      </c>
      <c r="K67" s="53" t="n">
        <v>8</v>
      </c>
      <c r="L67" s="55" t="n">
        <f aca="false">IFERROR(($F67-AVERAGE($F$15:$F$120))/STDEV($F$15:$F$120),"")</f>
        <v>0.798342844510355</v>
      </c>
      <c r="M67" s="55" t="n">
        <f aca="false">IFERROR(($I67-AVERAGE($I$15:$I$120))/STDEV($I$15:$I$120),"")</f>
        <v>0.466537221310896</v>
      </c>
      <c r="N67" s="55" t="n">
        <f aca="false">IFERROR(-($J67-AVERAGE($J$15:$J$120))/STDEV($J$15:$J$120),"")</f>
        <v>0.508327395375534</v>
      </c>
      <c r="O67" s="55" t="n">
        <f aca="false">IFERROR(-($K67-AVERAGE($K$15:$K$120))/STDEV($K$15:$K$120),"")</f>
        <v>0.977000118414915</v>
      </c>
      <c r="P67" s="55" t="n">
        <f aca="false">IFERROR(-($G67-AVERAGE($G$15:$G$120))/STDEV($G$15:$G$120),"")</f>
        <v>-1.07490908834029</v>
      </c>
      <c r="Q67" s="55" t="n">
        <f aca="false">IFERROR(($H67-AVERAGE($H$15:$H$120))/STDEV($H$15:$H$120),"")</f>
        <v>-0.10891580266612</v>
      </c>
      <c r="R67" s="56" t="n">
        <f aca="false">IFERROR(IF(ISNUMBER(L67),$D$6*L67,0)+IF(ISNUMBER(M67),$D$7*M67,0)+IF(ISNUMBER(N67),$D$8*N67,0)+IF(ISNUMBER(O67),$D$9*O67,0)+IF(ISNUMBER(P67),$D$10*P67,0)+IF(ISNUMBER(Q67),$D$11*Q67,0),"")</f>
        <v>0.4089742061745</v>
      </c>
      <c r="S67" s="55" t="n">
        <f aca="false">IFERROR(LN($E67),"")</f>
        <v>6.17378610390194</v>
      </c>
      <c r="T67" s="55" t="n">
        <f aca="false">IFERROR($K$6+$K$7*$R67,"")</f>
        <v>6.11842497871856</v>
      </c>
      <c r="U67" s="56" t="n">
        <f aca="false">IFERROR($S67-$T67,"")</f>
        <v>0.0553611251833788</v>
      </c>
      <c r="V67" s="56" t="n">
        <f aca="false">IFERROR(($U67-AVERAGE($U$15:$U$120))/STDEV($U$15:$U$120),"")</f>
        <v>0.137500627893396</v>
      </c>
      <c r="W67" s="10" t="str">
        <f aca="false">IF(ISNUMBER($V67),IF($V67&gt;=$R$7,"CHEAP",IF($V67&gt;=0.5,"slightly cheap",IF($V67&lt;=$R$8,"RICH",IF($V67&lt;=-0.5,"slightly rich","fair")))),"")</f>
        <v>fair</v>
      </c>
      <c r="X67" s="57" t="n">
        <f aca="false">COUNT($F67)+COUNT($G67)+COUNT($H67)+COUNT($I67)+COUNT($J67)+COUNT($K67)</f>
        <v>6</v>
      </c>
      <c r="Y67" s="58" t="str">
        <f aca="false">IF($X67&gt;=5,"HIGH",IF($X67&gt;=3,"MED","LOW"))</f>
        <v>HIGH</v>
      </c>
      <c r="AA67" s="59" t="s">
        <v>81</v>
      </c>
      <c r="AB67" s="60" t="n">
        <f aca="false">IF(AND(ISNUMBER($S67),$X67&gt;=$R$6),$S67,"")</f>
        <v>6.17378610390194</v>
      </c>
      <c r="AC67" s="61" t="n">
        <f aca="false">IF(AND(ISNUMBER($R67),$X67&gt;=$R$6),$R67,"")</f>
        <v>0.4089742061745</v>
      </c>
    </row>
    <row r="68" customFormat="false" ht="15" hidden="false" customHeight="true" outlineLevel="0" collapsed="false">
      <c r="B68" s="62" t="s">
        <v>238</v>
      </c>
      <c r="C68" s="63" t="s">
        <v>239</v>
      </c>
      <c r="D68" s="64" t="s">
        <v>240</v>
      </c>
      <c r="E68" s="51" t="n">
        <v>850</v>
      </c>
      <c r="F68" s="65" t="n">
        <v>18</v>
      </c>
      <c r="G68" s="66" t="n">
        <v>4</v>
      </c>
      <c r="H68" s="66" t="n">
        <v>5</v>
      </c>
      <c r="I68" s="66" t="n">
        <v>95</v>
      </c>
      <c r="J68" s="67" t="n">
        <v>-25</v>
      </c>
      <c r="K68" s="66" t="n">
        <v>14</v>
      </c>
      <c r="L68" s="68" t="n">
        <f aca="false">IFERROR(($F68-AVERAGE($F$15:$F$120))/STDEV($F$15:$F$120),"")</f>
        <v>1.23264135192399</v>
      </c>
      <c r="M68" s="68" t="n">
        <f aca="false">IFERROR(($I68-AVERAGE($I$15:$I$120))/STDEV($I$15:$I$120),"")</f>
        <v>1.56655563494269</v>
      </c>
      <c r="N68" s="68" t="n">
        <f aca="false">IFERROR(-($J68-AVERAGE($J$15:$J$120))/STDEV($J$15:$J$120),"")</f>
        <v>3.87361029104666</v>
      </c>
      <c r="O68" s="68" t="n">
        <f aca="false">IFERROR(-($K68-AVERAGE($K$15:$K$120))/STDEV($K$15:$K$120),"")</f>
        <v>0.378477523349922</v>
      </c>
      <c r="P68" s="68" t="n">
        <f aca="false">IFERROR(-($G68-AVERAGE($G$15:$G$120))/STDEV($G$15:$G$120),"")</f>
        <v>-0.371407471332209</v>
      </c>
      <c r="Q68" s="68" t="n">
        <f aca="false">IFERROR(($H68-AVERAGE($H$15:$H$120))/STDEV($H$15:$H$120),"")</f>
        <v>-0.179993293849385</v>
      </c>
      <c r="R68" s="69" t="n">
        <f aca="false">IFERROR(IF(ISNUMBER(L68),$D$6*L68,0)+IF(ISNUMBER(M68),$D$7*M68,0)+IF(ISNUMBER(N68),$D$8*N68,0)+IF(ISNUMBER(O68),$D$9*O68,0)+IF(ISNUMBER(P68),$D$10*P68,0)+IF(ISNUMBER(Q68),$D$11*Q68,0),"")</f>
        <v>1.30465653608611</v>
      </c>
      <c r="S68" s="68" t="n">
        <f aca="false">IFERROR(LN($E68),"")</f>
        <v>6.74523634948436</v>
      </c>
      <c r="T68" s="68" t="n">
        <f aca="false">IFERROR($K$6+$K$7*$R68,"")</f>
        <v>7.11661588985847</v>
      </c>
      <c r="U68" s="69" t="n">
        <f aca="false">IFERROR($S68-$T68,"")</f>
        <v>-0.371379540374108</v>
      </c>
      <c r="V68" s="69" t="n">
        <f aca="false">IFERROR(($U68-AVERAGE($U$15:$U$120))/STDEV($U$15:$U$120),"")</f>
        <v>-0.922396714645037</v>
      </c>
      <c r="W68" s="70" t="str">
        <f aca="false">IF(ISNUMBER($V68),IF($V68&gt;=$R$7,"CHEAP",IF($V68&gt;=0.5,"slightly cheap",IF($V68&lt;=$R$8,"RICH",IF($V68&lt;=-0.5,"slightly rich","fair")))),"")</f>
        <v>slightly rich</v>
      </c>
      <c r="X68" s="71" t="n">
        <f aca="false">COUNT($F68)+COUNT($G68)+COUNT($H68)+COUNT($I68)+COUNT($J68)+COUNT($K68)</f>
        <v>6</v>
      </c>
      <c r="Y68" s="72" t="str">
        <f aca="false">IF($X68&gt;=5,"HIGH",IF($X68&gt;=3,"MED","LOW"))</f>
        <v>HIGH</v>
      </c>
      <c r="AA68" s="59" t="s">
        <v>81</v>
      </c>
      <c r="AB68" s="60" t="n">
        <f aca="false">IF(AND(ISNUMBER($S68),$X68&gt;=$R$6),$S68,"")</f>
        <v>6.74523634948436</v>
      </c>
      <c r="AC68" s="61" t="n">
        <f aca="false">IF(AND(ISNUMBER($R68),$X68&gt;=$R$6),$R68,"")</f>
        <v>1.30465653608611</v>
      </c>
    </row>
    <row r="69" customFormat="false" ht="15" hidden="false" customHeight="true" outlineLevel="0" collapsed="false">
      <c r="B69" s="13" t="s">
        <v>241</v>
      </c>
      <c r="C69" s="29" t="s">
        <v>242</v>
      </c>
      <c r="D69" s="50" t="s">
        <v>243</v>
      </c>
      <c r="E69" s="51" t="n">
        <v>310</v>
      </c>
      <c r="F69" s="52" t="n">
        <v>13</v>
      </c>
      <c r="G69" s="53" t="n">
        <v>3</v>
      </c>
      <c r="H69" s="53" t="n">
        <v>4.5</v>
      </c>
      <c r="I69" s="53" t="n">
        <v>65</v>
      </c>
      <c r="J69" s="54" t="n">
        <v>-2.5</v>
      </c>
      <c r="K69" s="53" t="n">
        <v>22</v>
      </c>
      <c r="L69" s="55" t="n">
        <f aca="false">IFERROR(($F69-AVERAGE($F$15:$F$120))/STDEV($F$15:$F$120),"")</f>
        <v>0.146895083389905</v>
      </c>
      <c r="M69" s="55" t="n">
        <f aca="false">IFERROR(($I69-AVERAGE($I$15:$I$120))/STDEV($I$15:$I$120),"")</f>
        <v>0.246533538584537</v>
      </c>
      <c r="N69" s="55" t="n">
        <f aca="false">IFERROR(-($J69-AVERAGE($J$15:$J$120))/STDEV($J$15:$J$120),"")</f>
        <v>0.267950045684739</v>
      </c>
      <c r="O69" s="55" t="n">
        <f aca="false">IFERROR(-($K69-AVERAGE($K$15:$K$120))/STDEV($K$15:$K$120),"")</f>
        <v>-0.419552603403402</v>
      </c>
      <c r="P69" s="55" t="n">
        <f aca="false">IFERROR(-($G69-AVERAGE($G$15:$G$120))/STDEV($G$15:$G$120),"")</f>
        <v>0.332094145675875</v>
      </c>
      <c r="Q69" s="55" t="n">
        <f aca="false">IFERROR(($H69-AVERAGE($H$15:$H$120))/STDEV($H$15:$H$120),"")</f>
        <v>-0.251070785032649</v>
      </c>
      <c r="R69" s="56" t="n">
        <f aca="false">IFERROR(IF(ISNUMBER(L69),$D$6*L69,0)+IF(ISNUMBER(M69),$D$7*M69,0)+IF(ISNUMBER(N69),$D$8*N69,0)+IF(ISNUMBER(O69),$D$9*O69,0)+IF(ISNUMBER(P69),$D$10*P69,0)+IF(ISNUMBER(Q69),$D$11*Q69,0),"")</f>
        <v>0.118722868094238</v>
      </c>
      <c r="S69" s="55" t="n">
        <f aca="false">IFERROR(LN($E69),"")</f>
        <v>5.73657229747919</v>
      </c>
      <c r="T69" s="55" t="n">
        <f aca="false">IFERROR($K$6+$K$7*$R69,"")</f>
        <v>5.79495510782526</v>
      </c>
      <c r="U69" s="56" t="n">
        <f aca="false">IFERROR($S69-$T69,"")</f>
        <v>-0.0583828103460675</v>
      </c>
      <c r="V69" s="56" t="n">
        <f aca="false">IFERROR(($U69-AVERAGE($U$15:$U$120))/STDEV($U$15:$U$120),"")</f>
        <v>-0.145005598317854</v>
      </c>
      <c r="W69" s="10" t="str">
        <f aca="false">IF(ISNUMBER($V69),IF($V69&gt;=$R$7,"CHEAP",IF($V69&gt;=0.5,"slightly cheap",IF($V69&lt;=$R$8,"RICH",IF($V69&lt;=-0.5,"slightly rich","fair")))),"")</f>
        <v>fair</v>
      </c>
      <c r="X69" s="57" t="n">
        <f aca="false">COUNT($F69)+COUNT($G69)+COUNT($H69)+COUNT($I69)+COUNT($J69)+COUNT($K69)</f>
        <v>6</v>
      </c>
      <c r="Y69" s="58" t="str">
        <f aca="false">IF($X69&gt;=5,"HIGH",IF($X69&gt;=3,"MED","LOW"))</f>
        <v>HIGH</v>
      </c>
      <c r="AA69" s="59" t="s">
        <v>81</v>
      </c>
      <c r="AB69" s="60" t="n">
        <f aca="false">IF(AND(ISNUMBER($S69),$X69&gt;=$R$6),$S69,"")</f>
        <v>5.73657229747919</v>
      </c>
      <c r="AC69" s="61" t="n">
        <f aca="false">IF(AND(ISNUMBER($R69),$X69&gt;=$R$6),$R69,"")</f>
        <v>0.118722868094238</v>
      </c>
    </row>
    <row r="70" customFormat="false" ht="15" hidden="false" customHeight="true" outlineLevel="0" collapsed="false">
      <c r="B70" s="62" t="s">
        <v>244</v>
      </c>
      <c r="C70" s="63" t="s">
        <v>245</v>
      </c>
      <c r="D70" s="64" t="s">
        <v>246</v>
      </c>
      <c r="E70" s="51" t="n">
        <v>620</v>
      </c>
      <c r="F70" s="65" t="n">
        <v>17</v>
      </c>
      <c r="G70" s="66" t="n">
        <v>3.5</v>
      </c>
      <c r="H70" s="66" t="n">
        <v>25</v>
      </c>
      <c r="I70" s="66" t="n">
        <v>47</v>
      </c>
      <c r="J70" s="67" t="n">
        <v>2</v>
      </c>
      <c r="K70" s="66" t="n">
        <v>8</v>
      </c>
      <c r="L70" s="68" t="n">
        <f aca="false">IFERROR(($F70-AVERAGE($F$15:$F$120))/STDEV($F$15:$F$120),"")</f>
        <v>1.01549209821717</v>
      </c>
      <c r="M70" s="68" t="n">
        <f aca="false">IFERROR(($I70-AVERAGE($I$15:$I$120))/STDEV($I$15:$I$120),"")</f>
        <v>-0.545479719230354</v>
      </c>
      <c r="N70" s="68" t="n">
        <f aca="false">IFERROR(-($J70-AVERAGE($J$15:$J$120))/STDEV($J$15:$J$120),"")</f>
        <v>-0.453182003387646</v>
      </c>
      <c r="O70" s="68" t="n">
        <f aca="false">IFERROR(-($K70-AVERAGE($K$15:$K$120))/STDEV($K$15:$K$120),"")</f>
        <v>0.977000118414915</v>
      </c>
      <c r="P70" s="68" t="n">
        <f aca="false">IFERROR(-($G70-AVERAGE($G$15:$G$120))/STDEV($G$15:$G$120),"")</f>
        <v>-0.019656662828167</v>
      </c>
      <c r="Q70" s="68" t="n">
        <f aca="false">IFERROR(($H70-AVERAGE($H$15:$H$120))/STDEV($H$15:$H$120),"")</f>
        <v>2.6631063534812</v>
      </c>
      <c r="R70" s="69" t="n">
        <f aca="false">IFERROR(IF(ISNUMBER(L70),$D$6*L70,0)+IF(ISNUMBER(M70),$D$7*M70,0)+IF(ISNUMBER(N70),$D$8*N70,0)+IF(ISNUMBER(O70),$D$9*O70,0)+IF(ISNUMBER(P70),$D$10*P70,0)+IF(ISNUMBER(Q70),$D$11*Q70,0),"")</f>
        <v>0.4867387106024</v>
      </c>
      <c r="S70" s="68" t="n">
        <f aca="false">IFERROR(LN($E70),"")</f>
        <v>6.42971947803914</v>
      </c>
      <c r="T70" s="68" t="n">
        <f aca="false">IFERROR($K$6+$K$7*$R70,"")</f>
        <v>6.20508943433743</v>
      </c>
      <c r="U70" s="69" t="n">
        <f aca="false">IFERROR($S70-$T70,"")</f>
        <v>0.224630043701712</v>
      </c>
      <c r="V70" s="69" t="n">
        <f aca="false">IFERROR(($U70-AVERAGE($U$15:$U$120))/STDEV($U$15:$U$120),"")</f>
        <v>0.557914456225319</v>
      </c>
      <c r="W70" s="70" t="str">
        <f aca="false">IF(ISNUMBER($V70),IF($V70&gt;=$R$7,"CHEAP",IF($V70&gt;=0.5,"slightly cheap",IF($V70&lt;=$R$8,"RICH",IF($V70&lt;=-0.5,"slightly rich","fair")))),"")</f>
        <v>slightly cheap</v>
      </c>
      <c r="X70" s="71" t="n">
        <f aca="false">COUNT($F70)+COUNT($G70)+COUNT($H70)+COUNT($I70)+COUNT($J70)+COUNT($K70)</f>
        <v>6</v>
      </c>
      <c r="Y70" s="72" t="str">
        <f aca="false">IF($X70&gt;=5,"HIGH",IF($X70&gt;=3,"MED","LOW"))</f>
        <v>HIGH</v>
      </c>
      <c r="AA70" s="59" t="s">
        <v>81</v>
      </c>
      <c r="AB70" s="60" t="n">
        <f aca="false">IF(AND(ISNUMBER($S70),$X70&gt;=$R$6),$S70,"")</f>
        <v>6.42971947803914</v>
      </c>
      <c r="AC70" s="61" t="n">
        <f aca="false">IF(AND(ISNUMBER($R70),$X70&gt;=$R$6),$R70,"")</f>
        <v>0.4867387106024</v>
      </c>
    </row>
    <row r="71" customFormat="false" ht="15" hidden="false" customHeight="true" outlineLevel="0" collapsed="false">
      <c r="B71" s="13" t="s">
        <v>247</v>
      </c>
      <c r="C71" s="29" t="s">
        <v>248</v>
      </c>
      <c r="D71" s="50" t="s">
        <v>249</v>
      </c>
      <c r="E71" s="51" t="n">
        <v>480</v>
      </c>
      <c r="F71" s="52" t="n">
        <v>15</v>
      </c>
      <c r="G71" s="53" t="n">
        <v>7</v>
      </c>
      <c r="H71" s="53" t="n">
        <v>5.5</v>
      </c>
      <c r="I71" s="53" t="n">
        <v>75</v>
      </c>
      <c r="J71" s="54" t="n">
        <v>-10</v>
      </c>
      <c r="K71" s="53" t="n">
        <v>13</v>
      </c>
      <c r="L71" s="55" t="n">
        <f aca="false">IFERROR(($F71-AVERAGE($F$15:$F$120))/STDEV($F$15:$F$120),"")</f>
        <v>0.581193590803539</v>
      </c>
      <c r="M71" s="55" t="n">
        <f aca="false">IFERROR(($I71-AVERAGE($I$15:$I$120))/STDEV($I$15:$I$120),"")</f>
        <v>0.686540904037255</v>
      </c>
      <c r="N71" s="55" t="n">
        <f aca="false">IFERROR(-($J71-AVERAGE($J$15:$J$120))/STDEV($J$15:$J$120),"")</f>
        <v>1.46983679413871</v>
      </c>
      <c r="O71" s="55" t="n">
        <f aca="false">IFERROR(-($K71-AVERAGE($K$15:$K$120))/STDEV($K$15:$K$120),"")</f>
        <v>0.478231289194088</v>
      </c>
      <c r="P71" s="55" t="n">
        <f aca="false">IFERROR(-($G71-AVERAGE($G$15:$G$120))/STDEV($G$15:$G$120),"")</f>
        <v>-2.48191232235646</v>
      </c>
      <c r="Q71" s="55" t="n">
        <f aca="false">IFERROR(($H71-AVERAGE($H$15:$H$120))/STDEV($H$15:$H$120),"")</f>
        <v>-0.10891580266612</v>
      </c>
      <c r="R71" s="56" t="n">
        <f aca="false">IFERROR(IF(ISNUMBER(L71),$D$6*L71,0)+IF(ISNUMBER(M71),$D$7*M71,0)+IF(ISNUMBER(N71),$D$8*N71,0)+IF(ISNUMBER(O71),$D$9*O71,0)+IF(ISNUMBER(P71),$D$10*P71,0)+IF(ISNUMBER(Q71),$D$11*Q71,0),"")</f>
        <v>0.30248184273284</v>
      </c>
      <c r="S71" s="55" t="n">
        <f aca="false">IFERROR(LN($E71),"")</f>
        <v>6.17378610390194</v>
      </c>
      <c r="T71" s="55" t="n">
        <f aca="false">IFERROR($K$6+$K$7*$R71,"")</f>
        <v>5.99974483315427</v>
      </c>
      <c r="U71" s="56" t="n">
        <f aca="false">IFERROR($S71-$T71,"")</f>
        <v>0.17404127074767</v>
      </c>
      <c r="V71" s="56" t="n">
        <f aca="false">IFERROR(($U71-AVERAGE($U$15:$U$120))/STDEV($U$15:$U$120),"")</f>
        <v>0.432266936914681</v>
      </c>
      <c r="W71" s="10" t="str">
        <f aca="false">IF(ISNUMBER($V71),IF($V71&gt;=$R$7,"CHEAP",IF($V71&gt;=0.5,"slightly cheap",IF($V71&lt;=$R$8,"RICH",IF($V71&lt;=-0.5,"slightly rich","fair")))),"")</f>
        <v>fair</v>
      </c>
      <c r="X71" s="57" t="n">
        <f aca="false">COUNT($F71)+COUNT($G71)+COUNT($H71)+COUNT($I71)+COUNT($J71)+COUNT($K71)</f>
        <v>6</v>
      </c>
      <c r="Y71" s="58" t="str">
        <f aca="false">IF($X71&gt;=5,"HIGH",IF($X71&gt;=3,"MED","LOW"))</f>
        <v>HIGH</v>
      </c>
      <c r="AA71" s="59" t="s">
        <v>81</v>
      </c>
      <c r="AB71" s="60" t="n">
        <f aca="false">IF(AND(ISNUMBER($S71),$X71&gt;=$R$6),$S71,"")</f>
        <v>6.17378610390194</v>
      </c>
      <c r="AC71" s="61" t="n">
        <f aca="false">IF(AND(ISNUMBER($R71),$X71&gt;=$R$6),$R71,"")</f>
        <v>0.30248184273284</v>
      </c>
    </row>
    <row r="72" customFormat="false" ht="15" hidden="false" customHeight="true" outlineLevel="0" collapsed="false">
      <c r="B72" s="62" t="s">
        <v>250</v>
      </c>
      <c r="C72" s="63" t="s">
        <v>251</v>
      </c>
      <c r="D72" s="64" t="s">
        <v>252</v>
      </c>
      <c r="E72" s="51" t="n">
        <v>520</v>
      </c>
      <c r="F72" s="65" t="n">
        <v>14</v>
      </c>
      <c r="G72" s="66" t="n">
        <v>6</v>
      </c>
      <c r="H72" s="66" t="n">
        <v>2.5</v>
      </c>
      <c r="I72" s="66" t="n">
        <v>85</v>
      </c>
      <c r="J72" s="67" t="n">
        <v>-10</v>
      </c>
      <c r="K72" s="66" t="n">
        <v>12</v>
      </c>
      <c r="L72" s="68" t="n">
        <f aca="false">IFERROR(($F72-AVERAGE($F$15:$F$120))/STDEV($F$15:$F$120),"")</f>
        <v>0.364044337096722</v>
      </c>
      <c r="M72" s="68" t="n">
        <f aca="false">IFERROR(($I72-AVERAGE($I$15:$I$120))/STDEV($I$15:$I$120),"")</f>
        <v>1.12654826948997</v>
      </c>
      <c r="N72" s="68" t="n">
        <f aca="false">IFERROR(-($J72-AVERAGE($J$15:$J$120))/STDEV($J$15:$J$120),"")</f>
        <v>1.46983679413871</v>
      </c>
      <c r="O72" s="68" t="n">
        <f aca="false">IFERROR(-($K72-AVERAGE($K$15:$K$120))/STDEV($K$15:$K$120),"")</f>
        <v>0.577985055038253</v>
      </c>
      <c r="P72" s="68" t="n">
        <f aca="false">IFERROR(-($G72-AVERAGE($G$15:$G$120))/STDEV($G$15:$G$120),"")</f>
        <v>-1.77841070534838</v>
      </c>
      <c r="Q72" s="68" t="n">
        <f aca="false">IFERROR(($H72-AVERAGE($H$15:$H$120))/STDEV($H$15:$H$120),"")</f>
        <v>-0.535380749765707</v>
      </c>
      <c r="R72" s="69" t="n">
        <f aca="false">IFERROR(IF(ISNUMBER(L72),$D$6*L72,0)+IF(ISNUMBER(M72),$D$7*M72,0)+IF(ISNUMBER(N72),$D$8*N72,0)+IF(ISNUMBER(O72),$D$9*O72,0)+IF(ISNUMBER(P72),$D$10*P72,0)+IF(ISNUMBER(Q72),$D$11*Q72,0),"")</f>
        <v>0.374759451883418</v>
      </c>
      <c r="S72" s="68" t="n">
        <f aca="false">IFERROR(LN($E72),"")</f>
        <v>6.25382881157547</v>
      </c>
      <c r="T72" s="68" t="n">
        <f aca="false">IFERROR($K$6+$K$7*$R72,"")</f>
        <v>6.08029443218471</v>
      </c>
      <c r="U72" s="69" t="n">
        <f aca="false">IFERROR($S72-$T72,"")</f>
        <v>0.173534379390768</v>
      </c>
      <c r="V72" s="69" t="n">
        <f aca="false">IFERROR(($U72-AVERAGE($U$15:$U$120))/STDEV($U$15:$U$120),"")</f>
        <v>0.431007969008646</v>
      </c>
      <c r="W72" s="70" t="str">
        <f aca="false">IF(ISNUMBER($V72),IF($V72&gt;=$R$7,"CHEAP",IF($V72&gt;=0.5,"slightly cheap",IF($V72&lt;=$R$8,"RICH",IF($V72&lt;=-0.5,"slightly rich","fair")))),"")</f>
        <v>fair</v>
      </c>
      <c r="X72" s="71" t="n">
        <f aca="false">COUNT($F72)+COUNT($G72)+COUNT($H72)+COUNT($I72)+COUNT($J72)+COUNT($K72)</f>
        <v>6</v>
      </c>
      <c r="Y72" s="72" t="str">
        <f aca="false">IF($X72&gt;=5,"HIGH",IF($X72&gt;=3,"MED","LOW"))</f>
        <v>HIGH</v>
      </c>
      <c r="AA72" s="59" t="s">
        <v>81</v>
      </c>
      <c r="AB72" s="60" t="n">
        <f aca="false">IF(AND(ISNUMBER($S72),$X72&gt;=$R$6),$S72,"")</f>
        <v>6.25382881157547</v>
      </c>
      <c r="AC72" s="61" t="n">
        <f aca="false">IF(AND(ISNUMBER($R72),$X72&gt;=$R$6),$R72,"")</f>
        <v>0.374759451883418</v>
      </c>
    </row>
    <row r="73" customFormat="false" ht="15" hidden="false" customHeight="true" outlineLevel="0" collapsed="false">
      <c r="B73" s="13" t="s">
        <v>253</v>
      </c>
      <c r="C73" s="29" t="s">
        <v>254</v>
      </c>
      <c r="D73" s="50" t="s">
        <v>210</v>
      </c>
      <c r="E73" s="51" t="n">
        <v>280</v>
      </c>
      <c r="F73" s="52" t="n">
        <v>13</v>
      </c>
      <c r="G73" s="53" t="n">
        <v>1.5</v>
      </c>
      <c r="H73" s="53" t="n">
        <v>4.5</v>
      </c>
      <c r="I73" s="53" t="n">
        <v>75</v>
      </c>
      <c r="J73" s="54" t="n">
        <v>-2</v>
      </c>
      <c r="K73" s="53" t="n">
        <v>16</v>
      </c>
      <c r="L73" s="55" t="n">
        <f aca="false">IFERROR(($F73-AVERAGE($F$15:$F$120))/STDEV($F$15:$F$120),"")</f>
        <v>0.146895083389905</v>
      </c>
      <c r="M73" s="55" t="n">
        <f aca="false">IFERROR(($I73-AVERAGE($I$15:$I$120))/STDEV($I$15:$I$120),"")</f>
        <v>0.686540904037255</v>
      </c>
      <c r="N73" s="55" t="n">
        <f aca="false">IFERROR(-($J73-AVERAGE($J$15:$J$120))/STDEV($J$15:$J$120),"")</f>
        <v>0.187824262454474</v>
      </c>
      <c r="O73" s="55" t="n">
        <f aca="false">IFERROR(-($K73-AVERAGE($K$15:$K$120))/STDEV($K$15:$K$120),"")</f>
        <v>0.178969991661591</v>
      </c>
      <c r="P73" s="55" t="n">
        <f aca="false">IFERROR(-($G73-AVERAGE($G$15:$G$120))/STDEV($G$15:$G$120),"")</f>
        <v>1.387346571188</v>
      </c>
      <c r="Q73" s="55" t="n">
        <f aca="false">IFERROR(($H73-AVERAGE($H$15:$H$120))/STDEV($H$15:$H$120),"")</f>
        <v>-0.251070785032649</v>
      </c>
      <c r="R73" s="56" t="n">
        <f aca="false">IFERROR(IF(ISNUMBER(L73),$D$6*L73,0)+IF(ISNUMBER(M73),$D$7*M73,0)+IF(ISNUMBER(N73),$D$8*N73,0)+IF(ISNUMBER(O73),$D$9*O73,0)+IF(ISNUMBER(P73),$D$10*P73,0)+IF(ISNUMBER(Q73),$D$11*Q73,0),"")</f>
        <v>0.381188024268196</v>
      </c>
      <c r="S73" s="55" t="n">
        <f aca="false">IFERROR(LN($E73),"")</f>
        <v>5.63478960316925</v>
      </c>
      <c r="T73" s="55" t="n">
        <f aca="false">IFERROR($K$6+$K$7*$R73,"")</f>
        <v>6.08745873844798</v>
      </c>
      <c r="U73" s="56" t="n">
        <f aca="false">IFERROR($S73-$T73,"")</f>
        <v>-0.452669135278732</v>
      </c>
      <c r="V73" s="56" t="n">
        <f aca="false">IFERROR(($U73-AVERAGE($U$15:$U$120))/STDEV($U$15:$U$120),"")</f>
        <v>-1.12429597705276</v>
      </c>
      <c r="W73" s="10" t="str">
        <f aca="false">IF(ISNUMBER($V73),IF($V73&gt;=$R$7,"CHEAP",IF($V73&gt;=0.5,"slightly cheap",IF($V73&lt;=$R$8,"RICH",IF($V73&lt;=-0.5,"slightly rich","fair")))),"")</f>
        <v>slightly rich</v>
      </c>
      <c r="X73" s="57" t="n">
        <f aca="false">COUNT($F73)+COUNT($G73)+COUNT($H73)+COUNT($I73)+COUNT($J73)+COUNT($K73)</f>
        <v>6</v>
      </c>
      <c r="Y73" s="58" t="str">
        <f aca="false">IF($X73&gt;=5,"HIGH",IF($X73&gt;=3,"MED","LOW"))</f>
        <v>HIGH</v>
      </c>
      <c r="AA73" s="59" t="s">
        <v>81</v>
      </c>
      <c r="AB73" s="60" t="n">
        <f aca="false">IF(AND(ISNUMBER($S73),$X73&gt;=$R$6),$S73,"")</f>
        <v>5.63478960316925</v>
      </c>
      <c r="AC73" s="61" t="n">
        <f aca="false">IF(AND(ISNUMBER($R73),$X73&gt;=$R$6),$R73,"")</f>
        <v>0.381188024268196</v>
      </c>
    </row>
    <row r="74" customFormat="false" ht="15" hidden="false" customHeight="true" outlineLevel="0" collapsed="false">
      <c r="B74" s="62" t="s">
        <v>255</v>
      </c>
      <c r="C74" s="63" t="s">
        <v>256</v>
      </c>
      <c r="D74" s="64" t="s">
        <v>257</v>
      </c>
      <c r="E74" s="51" t="n">
        <v>800</v>
      </c>
      <c r="F74" s="65" t="n">
        <v>19</v>
      </c>
      <c r="G74" s="66" t="n">
        <v>6</v>
      </c>
      <c r="H74" s="66" t="n">
        <v>14</v>
      </c>
      <c r="I74" s="66" t="n">
        <v>95</v>
      </c>
      <c r="J74" s="67" t="n">
        <v>5</v>
      </c>
      <c r="K74" s="66" t="n">
        <v>14</v>
      </c>
      <c r="L74" s="68" t="n">
        <f aca="false">IFERROR(($F74-AVERAGE($F$15:$F$120))/STDEV($F$15:$F$120),"")</f>
        <v>1.44979060563081</v>
      </c>
      <c r="M74" s="68" t="n">
        <f aca="false">IFERROR(($I74-AVERAGE($I$15:$I$120))/STDEV($I$15:$I$120),"")</f>
        <v>1.56655563494269</v>
      </c>
      <c r="N74" s="68" t="n">
        <f aca="false">IFERROR(-($J74-AVERAGE($J$15:$J$120))/STDEV($J$15:$J$120),"")</f>
        <v>-0.933936702769235</v>
      </c>
      <c r="O74" s="68" t="n">
        <f aca="false">IFERROR(-($K74-AVERAGE($K$15:$K$120))/STDEV($K$15:$K$120),"")</f>
        <v>0.378477523349922</v>
      </c>
      <c r="P74" s="68" t="n">
        <f aca="false">IFERROR(-($G74-AVERAGE($G$15:$G$120))/STDEV($G$15:$G$120),"")</f>
        <v>-1.77841070534838</v>
      </c>
      <c r="Q74" s="68" t="n">
        <f aca="false">IFERROR(($H74-AVERAGE($H$15:$H$120))/STDEV($H$15:$H$120),"")</f>
        <v>1.09940154744938</v>
      </c>
      <c r="R74" s="69" t="n">
        <f aca="false">IFERROR(IF(ISNUMBER(L74),$D$6*L74,0)+IF(ISNUMBER(M74),$D$7*M74,0)+IF(ISNUMBER(N74),$D$8*N74,0)+IF(ISNUMBER(O74),$D$9*O74,0)+IF(ISNUMBER(P74),$D$10*P74,0)+IF(ISNUMBER(Q74),$D$11*Q74,0),"")</f>
        <v>0.593037925033072</v>
      </c>
      <c r="S74" s="68" t="n">
        <f aca="false">IFERROR(LN($E74),"")</f>
        <v>6.68461172766793</v>
      </c>
      <c r="T74" s="68" t="n">
        <f aca="false">IFERROR($K$6+$K$7*$R74,"")</f>
        <v>6.32355432547409</v>
      </c>
      <c r="U74" s="69" t="n">
        <f aca="false">IFERROR($S74-$T74,"")</f>
        <v>0.361057402193841</v>
      </c>
      <c r="V74" s="69" t="n">
        <f aca="false">IFERROR(($U74-AVERAGE($U$15:$U$120))/STDEV($U$15:$U$120),"")</f>
        <v>0.896759582518693</v>
      </c>
      <c r="W74" s="70" t="str">
        <f aca="false">IF(ISNUMBER($V74),IF($V74&gt;=$R$7,"CHEAP",IF($V74&gt;=0.5,"slightly cheap",IF($V74&lt;=$R$8,"RICH",IF($V74&lt;=-0.5,"slightly rich","fair")))),"")</f>
        <v>slightly cheap</v>
      </c>
      <c r="X74" s="71" t="n">
        <f aca="false">COUNT($F74)+COUNT($G74)+COUNT($H74)+COUNT($I74)+COUNT($J74)+COUNT($K74)</f>
        <v>6</v>
      </c>
      <c r="Y74" s="72" t="str">
        <f aca="false">IF($X74&gt;=5,"HIGH",IF($X74&gt;=3,"MED","LOW"))</f>
        <v>HIGH</v>
      </c>
      <c r="AA74" s="59" t="s">
        <v>81</v>
      </c>
      <c r="AB74" s="60" t="n">
        <f aca="false">IF(AND(ISNUMBER($S74),$X74&gt;=$R$6),$S74,"")</f>
        <v>6.68461172766793</v>
      </c>
      <c r="AC74" s="61" t="n">
        <f aca="false">IF(AND(ISNUMBER($R74),$X74&gt;=$R$6),$R74,"")</f>
        <v>0.593037925033072</v>
      </c>
    </row>
    <row r="75" customFormat="false" ht="15" hidden="false" customHeight="true" outlineLevel="0" collapsed="false">
      <c r="B75" s="13" t="s">
        <v>258</v>
      </c>
      <c r="C75" s="29" t="s">
        <v>259</v>
      </c>
      <c r="D75" s="50" t="s">
        <v>260</v>
      </c>
      <c r="E75" s="51" t="n">
        <v>75</v>
      </c>
      <c r="F75" s="52" t="n">
        <v>5</v>
      </c>
      <c r="G75" s="53" t="n">
        <v>4.5</v>
      </c>
      <c r="H75" s="53" t="n">
        <v>1</v>
      </c>
      <c r="I75" s="53" t="n">
        <v>89</v>
      </c>
      <c r="J75" s="54" t="n">
        <v>2</v>
      </c>
      <c r="K75" s="53" t="n">
        <v>18</v>
      </c>
      <c r="L75" s="55" t="n">
        <f aca="false">IFERROR(($F75-AVERAGE($F$15:$F$120))/STDEV($F$15:$F$120),"")</f>
        <v>-1.59029894626463</v>
      </c>
      <c r="M75" s="55" t="n">
        <f aca="false">IFERROR(($I75-AVERAGE($I$15:$I$120))/STDEV($I$15:$I$120),"")</f>
        <v>1.30255121567106</v>
      </c>
      <c r="N75" s="55" t="n">
        <f aca="false">IFERROR(-($J75-AVERAGE($J$15:$J$120))/STDEV($J$15:$J$120),"")</f>
        <v>-0.453182003387646</v>
      </c>
      <c r="O75" s="55" t="n">
        <f aca="false">IFERROR(-($K75-AVERAGE($K$15:$K$120))/STDEV($K$15:$K$120),"")</f>
        <v>-0.0205375400267401</v>
      </c>
      <c r="P75" s="55" t="n">
        <f aca="false">IFERROR(-($G75-AVERAGE($G$15:$G$120))/STDEV($G$15:$G$120),"")</f>
        <v>-0.723158279836251</v>
      </c>
      <c r="Q75" s="55" t="n">
        <f aca="false">IFERROR(($H75-AVERAGE($H$15:$H$120))/STDEV($H$15:$H$120),"")</f>
        <v>-0.748613223315501</v>
      </c>
      <c r="R75" s="56" t="n">
        <f aca="false">IFERROR(IF(ISNUMBER(L75),$D$6*L75,0)+IF(ISNUMBER(M75),$D$7*M75,0)+IF(ISNUMBER(N75),$D$8*N75,0)+IF(ISNUMBER(O75),$D$9*O75,0)+IF(ISNUMBER(P75),$D$10*P75,0)+IF(ISNUMBER(Q75),$D$11*Q75,0),"")</f>
        <v>-0.512793494014819</v>
      </c>
      <c r="S75" s="55" t="n">
        <f aca="false">IFERROR(LN($E75),"")</f>
        <v>4.31748811353631</v>
      </c>
      <c r="T75" s="55" t="n">
        <f aca="false">IFERROR($K$6+$K$7*$R75,"")</f>
        <v>5.09116329253332</v>
      </c>
      <c r="U75" s="56" t="n">
        <f aca="false">IFERROR($S75-$T75,"")</f>
        <v>-0.773675178997013</v>
      </c>
      <c r="V75" s="56" t="n">
        <f aca="false">IFERROR(($U75-AVERAGE($U$15:$U$120))/STDEV($U$15:$U$120),"")</f>
        <v>-1.92157985491171</v>
      </c>
      <c r="W75" s="10" t="str">
        <f aca="false">IF(ISNUMBER($V75),IF($V75&gt;=$R$7,"CHEAP",IF($V75&gt;=0.5,"slightly cheap",IF($V75&lt;=$R$8,"RICH",IF($V75&lt;=-0.5,"slightly rich","fair")))),"")</f>
        <v>RICH</v>
      </c>
      <c r="X75" s="57" t="n">
        <f aca="false">COUNT($F75)+COUNT($G75)+COUNT($H75)+COUNT($I75)+COUNT($J75)+COUNT($K75)</f>
        <v>6</v>
      </c>
      <c r="Y75" s="58" t="str">
        <f aca="false">IF($X75&gt;=5,"HIGH",IF($X75&gt;=3,"MED","LOW"))</f>
        <v>HIGH</v>
      </c>
      <c r="AA75" s="59" t="s">
        <v>81</v>
      </c>
      <c r="AB75" s="60" t="n">
        <f aca="false">IF(AND(ISNUMBER($S75),$X75&gt;=$R$6),$S75,"")</f>
        <v>4.31748811353631</v>
      </c>
      <c r="AC75" s="61" t="n">
        <f aca="false">IF(AND(ISNUMBER($R75),$X75&gt;=$R$6),$R75,"")</f>
        <v>-0.512793494014819</v>
      </c>
    </row>
    <row r="76" customFormat="false" ht="15" hidden="false" customHeight="true" outlineLevel="0" collapsed="false">
      <c r="B76" s="62" t="s">
        <v>261</v>
      </c>
      <c r="C76" s="63" t="s">
        <v>262</v>
      </c>
      <c r="D76" s="64" t="s">
        <v>263</v>
      </c>
      <c r="E76" s="51" t="n">
        <v>130</v>
      </c>
      <c r="F76" s="65" t="n">
        <v>10</v>
      </c>
      <c r="G76" s="66" t="n">
        <v>5</v>
      </c>
      <c r="H76" s="66" t="n">
        <v>3</v>
      </c>
      <c r="I76" s="66" t="n">
        <v>39</v>
      </c>
      <c r="J76" s="67" t="n">
        <v>-1</v>
      </c>
      <c r="K76" s="66" t="n">
        <v>11</v>
      </c>
      <c r="L76" s="68" t="n">
        <f aca="false">IFERROR(($F76-AVERAGE($F$15:$F$120))/STDEV($F$15:$F$120),"")</f>
        <v>-0.504552677730545</v>
      </c>
      <c r="M76" s="68" t="n">
        <f aca="false">IFERROR(($I76-AVERAGE($I$15:$I$120))/STDEV($I$15:$I$120),"")</f>
        <v>-0.897485611592528</v>
      </c>
      <c r="N76" s="68" t="n">
        <f aca="false">IFERROR(-($J76-AVERAGE($J$15:$J$120))/STDEV($J$15:$J$120),"")</f>
        <v>0.0275726959939441</v>
      </c>
      <c r="O76" s="68" t="n">
        <f aca="false">IFERROR(-($K76-AVERAGE($K$15:$K$120))/STDEV($K$15:$K$120),"")</f>
        <v>0.677738820882419</v>
      </c>
      <c r="P76" s="68" t="n">
        <f aca="false">IFERROR(-($G76-AVERAGE($G$15:$G$120))/STDEV($G$15:$G$120),"")</f>
        <v>-1.07490908834029</v>
      </c>
      <c r="Q76" s="68" t="n">
        <f aca="false">IFERROR(($H76-AVERAGE($H$15:$H$120))/STDEV($H$15:$H$120),"")</f>
        <v>-0.464303258582443</v>
      </c>
      <c r="R76" s="69" t="n">
        <f aca="false">IFERROR(IF(ISNUMBER(L76),$D$6*L76,0)+IF(ISNUMBER(M76),$D$7*M76,0)+IF(ISNUMBER(N76),$D$8*N76,0)+IF(ISNUMBER(O76),$D$9*O76,0)+IF(ISNUMBER(P76),$D$10*P76,0)+IF(ISNUMBER(Q76),$D$11*Q76,0),"")</f>
        <v>-0.450314124324293</v>
      </c>
      <c r="S76" s="68" t="n">
        <f aca="false">IFERROR(LN($E76),"")</f>
        <v>4.86753445045558</v>
      </c>
      <c r="T76" s="68" t="n">
        <f aca="false">IFERROR($K$6+$K$7*$R76,"")</f>
        <v>5.16079326833623</v>
      </c>
      <c r="U76" s="69" t="n">
        <f aca="false">IFERROR($S76-$T76,"")</f>
        <v>-0.293258817880644</v>
      </c>
      <c r="V76" s="69" t="n">
        <f aca="false">IFERROR(($U76-AVERAGE($U$15:$U$120))/STDEV($U$15:$U$120),"")</f>
        <v>-0.728367992165925</v>
      </c>
      <c r="W76" s="70" t="str">
        <f aca="false">IF(ISNUMBER($V76),IF($V76&gt;=$R$7,"CHEAP",IF($V76&gt;=0.5,"slightly cheap",IF($V76&lt;=$R$8,"RICH",IF($V76&lt;=-0.5,"slightly rich","fair")))),"")</f>
        <v>slightly rich</v>
      </c>
      <c r="X76" s="71" t="n">
        <f aca="false">COUNT($F76)+COUNT($G76)+COUNT($H76)+COUNT($I76)+COUNT($J76)+COUNT($K76)</f>
        <v>6</v>
      </c>
      <c r="Y76" s="72" t="str">
        <f aca="false">IF($X76&gt;=5,"HIGH",IF($X76&gt;=3,"MED","LOW"))</f>
        <v>HIGH</v>
      </c>
      <c r="AA76" s="59" t="s">
        <v>81</v>
      </c>
      <c r="AB76" s="60" t="n">
        <f aca="false">IF(AND(ISNUMBER($S76),$X76&gt;=$R$6),$S76,"")</f>
        <v>4.86753445045558</v>
      </c>
      <c r="AC76" s="61" t="n">
        <f aca="false">IF(AND(ISNUMBER($R76),$X76&gt;=$R$6),$R76,"")</f>
        <v>-0.450314124324293</v>
      </c>
    </row>
    <row r="77" customFormat="false" ht="15" hidden="false" customHeight="true" outlineLevel="0" collapsed="false">
      <c r="B77" s="13" t="s">
        <v>264</v>
      </c>
      <c r="C77" s="29" t="s">
        <v>265</v>
      </c>
      <c r="D77" s="50" t="s">
        <v>266</v>
      </c>
      <c r="E77" s="51" t="n">
        <v>50</v>
      </c>
      <c r="F77" s="52" t="n">
        <v>3</v>
      </c>
      <c r="G77" s="53" t="n">
        <v>2</v>
      </c>
      <c r="H77" s="53" t="n">
        <v>2</v>
      </c>
      <c r="I77" s="53" t="n">
        <v>56</v>
      </c>
      <c r="J77" s="54" t="n">
        <v>4.5</v>
      </c>
      <c r="K77" s="53" t="n">
        <v>23</v>
      </c>
      <c r="L77" s="55" t="n">
        <f aca="false">IFERROR(($F77-AVERAGE($F$15:$F$120))/STDEV($F$15:$F$120),"")</f>
        <v>-2.02459745367826</v>
      </c>
      <c r="M77" s="55" t="n">
        <f aca="false">IFERROR(($I77-AVERAGE($I$15:$I$120))/STDEV($I$15:$I$120),"")</f>
        <v>-0.149473090322908</v>
      </c>
      <c r="N77" s="55" t="n">
        <f aca="false">IFERROR(-($J77-AVERAGE($J$15:$J$120))/STDEV($J$15:$J$120),"")</f>
        <v>-0.85381091953897</v>
      </c>
      <c r="O77" s="55" t="n">
        <f aca="false">IFERROR(-($K77-AVERAGE($K$15:$K$120))/STDEV($K$15:$K$120),"")</f>
        <v>-0.519306369247568</v>
      </c>
      <c r="P77" s="55" t="n">
        <f aca="false">IFERROR(-($G77-AVERAGE($G$15:$G$120))/STDEV($G$15:$G$120),"")</f>
        <v>1.03559576268396</v>
      </c>
      <c r="Q77" s="55" t="n">
        <f aca="false">IFERROR(($H77-AVERAGE($H$15:$H$120))/STDEV($H$15:$H$120),"")</f>
        <v>-0.606458240948972</v>
      </c>
      <c r="R77" s="56" t="n">
        <f aca="false">IFERROR(IF(ISNUMBER(L77),$D$6*L77,0)+IF(ISNUMBER(M77),$D$7*M77,0)+IF(ISNUMBER(N77),$D$8*N77,0)+IF(ISNUMBER(O77),$D$9*O77,0)+IF(ISNUMBER(P77),$D$10*P77,0)+IF(ISNUMBER(Q77),$D$11*Q77,0),"")</f>
        <v>-0.842751169461418</v>
      </c>
      <c r="S77" s="55" t="n">
        <f aca="false">IFERROR(LN($E77),"")</f>
        <v>3.91202300542815</v>
      </c>
      <c r="T77" s="55" t="n">
        <f aca="false">IFERROR($K$6+$K$7*$R77,"")</f>
        <v>4.72344279421317</v>
      </c>
      <c r="U77" s="56" t="n">
        <f aca="false">IFERROR($S77-$T77,"")</f>
        <v>-0.811419788785028</v>
      </c>
      <c r="V77" s="56" t="n">
        <f aca="false">IFERROR(($U77-AVERAGE($U$15:$U$120))/STDEV($U$15:$U$120),"")</f>
        <v>-2.01532627946959</v>
      </c>
      <c r="W77" s="10" t="str">
        <f aca="false">IF(ISNUMBER($V77),IF($V77&gt;=$R$7,"CHEAP",IF($V77&gt;=0.5,"slightly cheap",IF($V77&lt;=$R$8,"RICH",IF($V77&lt;=-0.5,"slightly rich","fair")))),"")</f>
        <v>RICH</v>
      </c>
      <c r="X77" s="57" t="n">
        <f aca="false">COUNT($F77)+COUNT($G77)+COUNT($H77)+COUNT($I77)+COUNT($J77)+COUNT($K77)</f>
        <v>6</v>
      </c>
      <c r="Y77" s="58" t="str">
        <f aca="false">IF($X77&gt;=5,"HIGH",IF($X77&gt;=3,"MED","LOW"))</f>
        <v>HIGH</v>
      </c>
      <c r="AA77" s="59" t="s">
        <v>81</v>
      </c>
      <c r="AB77" s="60" t="n">
        <f aca="false">IF(AND(ISNUMBER($S77),$X77&gt;=$R$6),$S77,"")</f>
        <v>3.91202300542815</v>
      </c>
      <c r="AC77" s="61" t="n">
        <f aca="false">IF(AND(ISNUMBER($R77),$X77&gt;=$R$6),$R77,"")</f>
        <v>-0.842751169461418</v>
      </c>
    </row>
    <row r="78" customFormat="false" ht="15" hidden="false" customHeight="true" outlineLevel="0" collapsed="false">
      <c r="B78" s="62" t="s">
        <v>267</v>
      </c>
      <c r="C78" s="63" t="s">
        <v>268</v>
      </c>
      <c r="D78" s="64" t="s">
        <v>269</v>
      </c>
      <c r="E78" s="51" t="n">
        <v>360</v>
      </c>
      <c r="F78" s="65" t="n">
        <v>15</v>
      </c>
      <c r="G78" s="66" t="n">
        <v>5.5</v>
      </c>
      <c r="H78" s="66" t="n">
        <v>9</v>
      </c>
      <c r="I78" s="66" t="n">
        <v>56</v>
      </c>
      <c r="J78" s="67" t="n">
        <v>-10</v>
      </c>
      <c r="K78" s="66" t="n">
        <v>27</v>
      </c>
      <c r="L78" s="68" t="n">
        <f aca="false">IFERROR(($F78-AVERAGE($F$15:$F$120))/STDEV($F$15:$F$120),"")</f>
        <v>0.581193590803539</v>
      </c>
      <c r="M78" s="68" t="n">
        <f aca="false">IFERROR(($I78-AVERAGE($I$15:$I$120))/STDEV($I$15:$I$120),"")</f>
        <v>-0.149473090322908</v>
      </c>
      <c r="N78" s="68" t="n">
        <f aca="false">IFERROR(-($J78-AVERAGE($J$15:$J$120))/STDEV($J$15:$J$120),"")</f>
        <v>1.46983679413871</v>
      </c>
      <c r="O78" s="68" t="n">
        <f aca="false">IFERROR(-($K78-AVERAGE($K$15:$K$120))/STDEV($K$15:$K$120),"")</f>
        <v>-0.91832143262423</v>
      </c>
      <c r="P78" s="68" t="n">
        <f aca="false">IFERROR(-($G78-AVERAGE($G$15:$G$120))/STDEV($G$15:$G$120),"")</f>
        <v>-1.42665989684434</v>
      </c>
      <c r="Q78" s="68" t="n">
        <f aca="false">IFERROR(($H78-AVERAGE($H$15:$H$120))/STDEV($H$15:$H$120),"")</f>
        <v>0.388626635616732</v>
      </c>
      <c r="R78" s="69" t="n">
        <f aca="false">IFERROR(IF(ISNUMBER(L78),$D$6*L78,0)+IF(ISNUMBER(M78),$D$7*M78,0)+IF(ISNUMBER(N78),$D$8*N78,0)+IF(ISNUMBER(O78),$D$9*O78,0)+IF(ISNUMBER(P78),$D$10*P78,0)+IF(ISNUMBER(Q78),$D$11*Q78,0),"")</f>
        <v>0.162057457803059</v>
      </c>
      <c r="S78" s="68" t="n">
        <f aca="false">IFERROR(LN($E78),"")</f>
        <v>5.88610403145016</v>
      </c>
      <c r="T78" s="68" t="n">
        <f aca="false">IFERROR($K$6+$K$7*$R78,"")</f>
        <v>5.84324923191454</v>
      </c>
      <c r="U78" s="69" t="n">
        <f aca="false">IFERROR($S78-$T78,"")</f>
        <v>0.0428547995356201</v>
      </c>
      <c r="V78" s="69" t="n">
        <f aca="false">IFERROR(($U78-AVERAGE($U$15:$U$120))/STDEV($U$15:$U$120),"")</f>
        <v>0.106438621413036</v>
      </c>
      <c r="W78" s="70" t="str">
        <f aca="false">IF(ISNUMBER($V78),IF($V78&gt;=$R$7,"CHEAP",IF($V78&gt;=0.5,"slightly cheap",IF($V78&lt;=$R$8,"RICH",IF($V78&lt;=-0.5,"slightly rich","fair")))),"")</f>
        <v>fair</v>
      </c>
      <c r="X78" s="71" t="n">
        <f aca="false">COUNT($F78)+COUNT($G78)+COUNT($H78)+COUNT($I78)+COUNT($J78)+COUNT($K78)</f>
        <v>6</v>
      </c>
      <c r="Y78" s="72" t="str">
        <f aca="false">IF($X78&gt;=5,"HIGH",IF($X78&gt;=3,"MED","LOW"))</f>
        <v>HIGH</v>
      </c>
      <c r="AA78" s="59" t="s">
        <v>81</v>
      </c>
      <c r="AB78" s="60" t="n">
        <f aca="false">IF(AND(ISNUMBER($S78),$X78&gt;=$R$6),$S78,"")</f>
        <v>5.88610403145016</v>
      </c>
      <c r="AC78" s="61" t="n">
        <f aca="false">IF(AND(ISNUMBER($R78),$X78&gt;=$R$6),$R78,"")</f>
        <v>0.162057457803059</v>
      </c>
    </row>
    <row r="79" customFormat="false" ht="15" hidden="false" customHeight="true" outlineLevel="0" collapsed="false">
      <c r="B79" s="13" t="s">
        <v>270</v>
      </c>
      <c r="C79" s="29" t="s">
        <v>271</v>
      </c>
      <c r="D79" s="50" t="s">
        <v>272</v>
      </c>
      <c r="E79" s="51" t="n">
        <v>700</v>
      </c>
      <c r="F79" s="52" t="n">
        <v>18</v>
      </c>
      <c r="G79" s="53" t="n">
        <v>3</v>
      </c>
      <c r="H79" s="53" t="n">
        <v>12</v>
      </c>
      <c r="I79" s="53" t="n">
        <v>70</v>
      </c>
      <c r="J79" s="54" t="n">
        <v>-1</v>
      </c>
      <c r="K79" s="53" t="n">
        <v>4</v>
      </c>
      <c r="L79" s="55" t="n">
        <f aca="false">IFERROR(($F79-AVERAGE($F$15:$F$120))/STDEV($F$15:$F$120),"")</f>
        <v>1.23264135192399</v>
      </c>
      <c r="M79" s="55" t="n">
        <f aca="false">IFERROR(($I79-AVERAGE($I$15:$I$120))/STDEV($I$15:$I$120),"")</f>
        <v>0.466537221310896</v>
      </c>
      <c r="N79" s="55" t="n">
        <f aca="false">IFERROR(-($J79-AVERAGE($J$15:$J$120))/STDEV($J$15:$J$120),"")</f>
        <v>0.0275726959939441</v>
      </c>
      <c r="O79" s="55" t="n">
        <f aca="false">IFERROR(-($K79-AVERAGE($K$15:$K$120))/STDEV($K$15:$K$120),"")</f>
        <v>1.37601518179158</v>
      </c>
      <c r="P79" s="55" t="n">
        <f aca="false">IFERROR(-($G79-AVERAGE($G$15:$G$120))/STDEV($G$15:$G$120),"")</f>
        <v>0.332094145675875</v>
      </c>
      <c r="Q79" s="55" t="n">
        <f aca="false">IFERROR(($H79-AVERAGE($H$15:$H$120))/STDEV($H$15:$H$120),"")</f>
        <v>0.815091582716319</v>
      </c>
      <c r="R79" s="56" t="n">
        <f aca="false">IFERROR(IF(ISNUMBER(L79),$D$6*L79,0)+IF(ISNUMBER(M79),$D$7*M79,0)+IF(ISNUMBER(N79),$D$8*N79,0)+IF(ISNUMBER(O79),$D$9*O79,0)+IF(ISNUMBER(P79),$D$10*P79,0)+IF(ISNUMBER(Q79),$D$11*Q79,0),"")</f>
        <v>0.771527964112235</v>
      </c>
      <c r="S79" s="55" t="n">
        <f aca="false">IFERROR(LN($E79),"")</f>
        <v>6.5510803350434</v>
      </c>
      <c r="T79" s="55" t="n">
        <f aca="false">IFERROR($K$6+$K$7*$R79,"")</f>
        <v>6.52247209887195</v>
      </c>
      <c r="U79" s="56" t="n">
        <f aca="false">IFERROR($S79-$T79,"")</f>
        <v>0.0286082361714533</v>
      </c>
      <c r="V79" s="56" t="n">
        <f aca="false">IFERROR(($U79-AVERAGE($U$15:$U$120))/STDEV($U$15:$U$120),"")</f>
        <v>0.0710543801894829</v>
      </c>
      <c r="W79" s="10" t="str">
        <f aca="false">IF(ISNUMBER($V79),IF($V79&gt;=$R$7,"CHEAP",IF($V79&gt;=0.5,"slightly cheap",IF($V79&lt;=$R$8,"RICH",IF($V79&lt;=-0.5,"slightly rich","fair")))),"")</f>
        <v>fair</v>
      </c>
      <c r="X79" s="57" t="n">
        <f aca="false">COUNT($F79)+COUNT($G79)+COUNT($H79)+COUNT($I79)+COUNT($J79)+COUNT($K79)</f>
        <v>6</v>
      </c>
      <c r="Y79" s="58" t="str">
        <f aca="false">IF($X79&gt;=5,"HIGH",IF($X79&gt;=3,"MED","LOW"))</f>
        <v>HIGH</v>
      </c>
      <c r="AA79" s="59" t="s">
        <v>81</v>
      </c>
      <c r="AB79" s="60" t="n">
        <f aca="false">IF(AND(ISNUMBER($S79),$X79&gt;=$R$6),$S79,"")</f>
        <v>6.5510803350434</v>
      </c>
      <c r="AC79" s="61" t="n">
        <f aca="false">IF(AND(ISNUMBER($R79),$X79&gt;=$R$6),$R79,"")</f>
        <v>0.771527964112235</v>
      </c>
    </row>
    <row r="80" customFormat="false" ht="15" hidden="false" customHeight="true" outlineLevel="0" collapsed="false">
      <c r="B80" s="62" t="s">
        <v>273</v>
      </c>
      <c r="C80" s="63" t="s">
        <v>274</v>
      </c>
      <c r="D80" s="64" t="s">
        <v>275</v>
      </c>
      <c r="E80" s="51" t="n">
        <v>100</v>
      </c>
      <c r="F80" s="65" t="n">
        <v>9</v>
      </c>
      <c r="G80" s="66" t="n">
        <v>6</v>
      </c>
      <c r="H80" s="66" t="n">
        <v>3.5</v>
      </c>
      <c r="I80" s="66" t="n">
        <v>56</v>
      </c>
      <c r="J80" s="67" t="n">
        <v>-2</v>
      </c>
      <c r="K80" s="66" t="n">
        <v>23</v>
      </c>
      <c r="L80" s="68" t="n">
        <f aca="false">IFERROR(($F80-AVERAGE($F$15:$F$120))/STDEV($F$15:$F$120),"")</f>
        <v>-0.721701931437362</v>
      </c>
      <c r="M80" s="68" t="n">
        <f aca="false">IFERROR(($I80-AVERAGE($I$15:$I$120))/STDEV($I$15:$I$120),"")</f>
        <v>-0.149473090322908</v>
      </c>
      <c r="N80" s="68" t="n">
        <f aca="false">IFERROR(-($J80-AVERAGE($J$15:$J$120))/STDEV($J$15:$J$120),"")</f>
        <v>0.187824262454474</v>
      </c>
      <c r="O80" s="68" t="n">
        <f aca="false">IFERROR(-($K80-AVERAGE($K$15:$K$120))/STDEV($K$15:$K$120),"")</f>
        <v>-0.519306369247568</v>
      </c>
      <c r="P80" s="68" t="n">
        <f aca="false">IFERROR(-($G80-AVERAGE($G$15:$G$120))/STDEV($G$15:$G$120),"")</f>
        <v>-1.77841070534838</v>
      </c>
      <c r="Q80" s="68" t="n">
        <f aca="false">IFERROR(($H80-AVERAGE($H$15:$H$120))/STDEV($H$15:$H$120),"")</f>
        <v>-0.393225767399178</v>
      </c>
      <c r="R80" s="69" t="n">
        <f aca="false">IFERROR(IF(ISNUMBER(L80),$D$6*L80,0)+IF(ISNUMBER(M80),$D$7*M80,0)+IF(ISNUMBER(N80),$D$8*N80,0)+IF(ISNUMBER(O80),$D$9*O80,0)+IF(ISNUMBER(P80),$D$10*P80,0)+IF(ISNUMBER(Q80),$D$11*Q80,0),"")</f>
        <v>-0.551114637657984</v>
      </c>
      <c r="S80" s="68" t="n">
        <f aca="false">IFERROR(LN($E80),"")</f>
        <v>4.60517018598809</v>
      </c>
      <c r="T80" s="68" t="n">
        <f aca="false">IFERROR($K$6+$K$7*$R80,"")</f>
        <v>5.04845639075391</v>
      </c>
      <c r="U80" s="69" t="n">
        <f aca="false">IFERROR($S80-$T80,"")</f>
        <v>-0.443286204765815</v>
      </c>
      <c r="V80" s="69" t="n">
        <f aca="false">IFERROR(($U80-AVERAGE($U$15:$U$120))/STDEV($U$15:$U$120),"")</f>
        <v>-1.10099155842447</v>
      </c>
      <c r="W80" s="70" t="str">
        <f aca="false">IF(ISNUMBER($V80),IF($V80&gt;=$R$7,"CHEAP",IF($V80&gt;=0.5,"slightly cheap",IF($V80&lt;=$R$8,"RICH",IF($V80&lt;=-0.5,"slightly rich","fair")))),"")</f>
        <v>slightly rich</v>
      </c>
      <c r="X80" s="71" t="n">
        <f aca="false">COUNT($F80)+COUNT($G80)+COUNT($H80)+COUNT($I80)+COUNT($J80)+COUNT($K80)</f>
        <v>6</v>
      </c>
      <c r="Y80" s="72" t="str">
        <f aca="false">IF($X80&gt;=5,"HIGH",IF($X80&gt;=3,"MED","LOW"))</f>
        <v>HIGH</v>
      </c>
      <c r="AA80" s="59" t="s">
        <v>81</v>
      </c>
      <c r="AB80" s="60" t="n">
        <f aca="false">IF(AND(ISNUMBER($S80),$X80&gt;=$R$6),$S80,"")</f>
        <v>4.60517018598809</v>
      </c>
      <c r="AC80" s="61" t="n">
        <f aca="false">IF(AND(ISNUMBER($R80),$X80&gt;=$R$6),$R80,"")</f>
        <v>-0.551114637657984</v>
      </c>
    </row>
    <row r="81" customFormat="false" ht="15" hidden="false" customHeight="true" outlineLevel="0" collapsed="false">
      <c r="B81" s="13" t="s">
        <v>276</v>
      </c>
      <c r="C81" s="29" t="s">
        <v>277</v>
      </c>
      <c r="D81" s="50" t="s">
        <v>278</v>
      </c>
      <c r="E81" s="51" t="n">
        <v>700</v>
      </c>
      <c r="F81" s="52" t="n">
        <v>19</v>
      </c>
      <c r="G81" s="53" t="n">
        <v>4</v>
      </c>
      <c r="H81" s="53" t="n">
        <v>5</v>
      </c>
      <c r="I81" s="53" t="n">
        <v>105</v>
      </c>
      <c r="J81" s="54" t="n">
        <v>1</v>
      </c>
      <c r="K81" s="53" t="n">
        <v>7</v>
      </c>
      <c r="L81" s="55" t="n">
        <f aca="false">IFERROR(($F81-AVERAGE($F$15:$F$120))/STDEV($F$15:$F$120),"")</f>
        <v>1.44979060563081</v>
      </c>
      <c r="M81" s="55" t="n">
        <f aca="false">IFERROR(($I81-AVERAGE($I$15:$I$120))/STDEV($I$15:$I$120),"")</f>
        <v>2.00656300039541</v>
      </c>
      <c r="N81" s="55" t="n">
        <f aca="false">IFERROR(-($J81-AVERAGE($J$15:$J$120))/STDEV($J$15:$J$120),"")</f>
        <v>-0.292930436927116</v>
      </c>
      <c r="O81" s="55" t="n">
        <f aca="false">IFERROR(-($K81-AVERAGE($K$15:$K$120))/STDEV($K$15:$K$120),"")</f>
        <v>1.07675388425908</v>
      </c>
      <c r="P81" s="55" t="n">
        <f aca="false">IFERROR(-($G81-AVERAGE($G$15:$G$120))/STDEV($G$15:$G$120),"")</f>
        <v>-0.371407471332209</v>
      </c>
      <c r="Q81" s="55" t="n">
        <f aca="false">IFERROR(($H81-AVERAGE($H$15:$H$120))/STDEV($H$15:$H$120),"")</f>
        <v>-0.179993293849385</v>
      </c>
      <c r="R81" s="56" t="n">
        <f aca="false">IFERROR(IF(ISNUMBER(L81),$D$6*L81,0)+IF(ISNUMBER(M81),$D$7*M81,0)+IF(ISNUMBER(N81),$D$8*N81,0)+IF(ISNUMBER(O81),$D$9*O81,0)+IF(ISNUMBER(P81),$D$10*P81,0)+IF(ISNUMBER(Q81),$D$11*Q81,0),"")</f>
        <v>0.913506774868888</v>
      </c>
      <c r="S81" s="55" t="n">
        <f aca="false">IFERROR(LN($E81),"")</f>
        <v>6.5510803350434</v>
      </c>
      <c r="T81" s="55" t="n">
        <f aca="false">IFERROR($K$6+$K$7*$R81,"")</f>
        <v>6.68070002604981</v>
      </c>
      <c r="U81" s="56" t="n">
        <f aca="false">IFERROR($S81-$T81,"")</f>
        <v>-0.129619691006401</v>
      </c>
      <c r="V81" s="56" t="n">
        <f aca="false">IFERROR(($U81-AVERAGE($U$15:$U$120))/STDEV($U$15:$U$120),"")</f>
        <v>-0.321936897808561</v>
      </c>
      <c r="W81" s="10" t="str">
        <f aca="false">IF(ISNUMBER($V81),IF($V81&gt;=$R$7,"CHEAP",IF($V81&gt;=0.5,"slightly cheap",IF($V81&lt;=$R$8,"RICH",IF($V81&lt;=-0.5,"slightly rich","fair")))),"")</f>
        <v>fair</v>
      </c>
      <c r="X81" s="57" t="n">
        <f aca="false">COUNT($F81)+COUNT($G81)+COUNT($H81)+COUNT($I81)+COUNT($J81)+COUNT($K81)</f>
        <v>6</v>
      </c>
      <c r="Y81" s="58" t="str">
        <f aca="false">IF($X81&gt;=5,"HIGH",IF($X81&gt;=3,"MED","LOW"))</f>
        <v>HIGH</v>
      </c>
      <c r="AA81" s="59" t="s">
        <v>81</v>
      </c>
      <c r="AB81" s="60" t="n">
        <f aca="false">IF(AND(ISNUMBER($S81),$X81&gt;=$R$6),$S81,"")</f>
        <v>6.5510803350434</v>
      </c>
      <c r="AC81" s="61" t="n">
        <f aca="false">IF(AND(ISNUMBER($R81),$X81&gt;=$R$6),$R81,"")</f>
        <v>0.913506774868888</v>
      </c>
    </row>
    <row r="82" customFormat="false" ht="15" hidden="false" customHeight="true" outlineLevel="0" collapsed="false">
      <c r="B82" s="62" t="s">
        <v>279</v>
      </c>
      <c r="C82" s="63" t="s">
        <v>280</v>
      </c>
      <c r="D82" s="64" t="s">
        <v>281</v>
      </c>
      <c r="E82" s="51" t="n">
        <v>130</v>
      </c>
      <c r="F82" s="65" t="n">
        <v>11</v>
      </c>
      <c r="G82" s="66" t="n">
        <v>6.5</v>
      </c>
      <c r="H82" s="66" t="n">
        <v>3.5</v>
      </c>
      <c r="I82" s="66" t="n">
        <v>35</v>
      </c>
      <c r="J82" s="67" t="n">
        <v>5</v>
      </c>
      <c r="K82" s="66" t="n">
        <v>22</v>
      </c>
      <c r="L82" s="68" t="n">
        <f aca="false">IFERROR(($F82-AVERAGE($F$15:$F$120))/STDEV($F$15:$F$120),"")</f>
        <v>-0.287403424023728</v>
      </c>
      <c r="M82" s="68" t="n">
        <f aca="false">IFERROR(($I82-AVERAGE($I$15:$I$120))/STDEV($I$15:$I$120),"")</f>
        <v>-1.07348855777362</v>
      </c>
      <c r="N82" s="68" t="n">
        <f aca="false">IFERROR(-($J82-AVERAGE($J$15:$J$120))/STDEV($J$15:$J$120),"")</f>
        <v>-0.933936702769235</v>
      </c>
      <c r="O82" s="68" t="n">
        <f aca="false">IFERROR(-($K82-AVERAGE($K$15:$K$120))/STDEV($K$15:$K$120),"")</f>
        <v>-0.419552603403402</v>
      </c>
      <c r="P82" s="68" t="n">
        <f aca="false">IFERROR(-($G82-AVERAGE($G$15:$G$120))/STDEV($G$15:$G$120),"")</f>
        <v>-2.13016151385242</v>
      </c>
      <c r="Q82" s="68" t="n">
        <f aca="false">IFERROR(($H82-AVERAGE($H$15:$H$120))/STDEV($H$15:$H$120),"")</f>
        <v>-0.393225767399178</v>
      </c>
      <c r="R82" s="69" t="n">
        <f aca="false">IFERROR(IF(ISNUMBER(L82),$D$6*L82,0)+IF(ISNUMBER(M82),$D$7*M82,0)+IF(ISNUMBER(N82),$D$8*N82,0)+IF(ISNUMBER(O82),$D$9*O82,0)+IF(ISNUMBER(P82),$D$10*P82,0)+IF(ISNUMBER(Q82),$D$11*Q82,0),"")</f>
        <v>-0.784412118772978</v>
      </c>
      <c r="S82" s="68" t="n">
        <f aca="false">IFERROR(LN($E82),"")</f>
        <v>4.86753445045558</v>
      </c>
      <c r="T82" s="68" t="n">
        <f aca="false">IFERROR($K$6+$K$7*$R82,"")</f>
        <v>4.78845860195773</v>
      </c>
      <c r="U82" s="69" t="n">
        <f aca="false">IFERROR($S82-$T82,"")</f>
        <v>0.0790758484978493</v>
      </c>
      <c r="V82" s="69" t="n">
        <f aca="false">IFERROR(($U82-AVERAGE($U$15:$U$120))/STDEV($U$15:$U$120),"")</f>
        <v>0.196400972408736</v>
      </c>
      <c r="W82" s="70" t="str">
        <f aca="false">IF(ISNUMBER($V82),IF($V82&gt;=$R$7,"CHEAP",IF($V82&gt;=0.5,"slightly cheap",IF($V82&lt;=$R$8,"RICH",IF($V82&lt;=-0.5,"slightly rich","fair")))),"")</f>
        <v>fair</v>
      </c>
      <c r="X82" s="71" t="n">
        <f aca="false">COUNT($F82)+COUNT($G82)+COUNT($H82)+COUNT($I82)+COUNT($J82)+COUNT($K82)</f>
        <v>6</v>
      </c>
      <c r="Y82" s="72" t="str">
        <f aca="false">IF($X82&gt;=5,"HIGH",IF($X82&gt;=3,"MED","LOW"))</f>
        <v>HIGH</v>
      </c>
      <c r="AA82" s="59" t="s">
        <v>81</v>
      </c>
      <c r="AB82" s="60" t="n">
        <f aca="false">IF(AND(ISNUMBER($S82),$X82&gt;=$R$6),$S82,"")</f>
        <v>4.86753445045558</v>
      </c>
      <c r="AC82" s="61" t="n">
        <f aca="false">IF(AND(ISNUMBER($R82),$X82&gt;=$R$6),$R82,"")</f>
        <v>-0.784412118772978</v>
      </c>
    </row>
  </sheetData>
  <mergeCells count="16">
    <mergeCell ref="B2:AA2"/>
    <mergeCell ref="B3:AA3"/>
    <mergeCell ref="B5:E5"/>
    <mergeCell ref="G5:K5"/>
    <mergeCell ref="M5:R5"/>
    <mergeCell ref="T5:AA5"/>
    <mergeCell ref="G6:J6"/>
    <mergeCell ref="M6:Q6"/>
    <mergeCell ref="T6:AA10"/>
    <mergeCell ref="G7:J7"/>
    <mergeCell ref="M7:Q7"/>
    <mergeCell ref="G8:J8"/>
    <mergeCell ref="M8:Q8"/>
    <mergeCell ref="G9:J9"/>
    <mergeCell ref="G10:J10"/>
    <mergeCell ref="G11:J11"/>
  </mergeCells>
  <conditionalFormatting sqref="W15:W93">
    <cfRule type="cellIs" priority="2" operator="equal" aboveAverage="0" equalAverage="0" bottom="0" percent="0" rank="0" text="" dxfId="0">
      <formula>"CHEAP"</formula>
    </cfRule>
    <cfRule type="cellIs" priority="3" operator="equal" aboveAverage="0" equalAverage="0" bottom="0" percent="0" rank="0" text="" dxfId="5">
      <formula>"slightly cheap"</formula>
    </cfRule>
    <cfRule type="cellIs" priority="4" operator="equal" aboveAverage="0" equalAverage="0" bottom="0" percent="0" rank="0" text="" dxfId="6">
      <formula>"slightly rich"</formula>
    </cfRule>
    <cfRule type="cellIs" priority="5" operator="equal" aboveAverage="0" equalAverage="0" bottom="0" percent="0" rank="0" text="" dxfId="4">
      <formula>"RICH"</formula>
    </cfRule>
  </conditionalFormatting>
  <conditionalFormatting sqref="V15:V93">
    <cfRule type="colorScale" priority="6">
      <colorScale>
        <cfvo type="num" val="-3"/>
        <cfvo type="num" val="0"/>
        <cfvo type="num" val="3"/>
        <color rgb="FFF8696B"/>
        <color rgb="FFFFFFFF"/>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2"/>
    <col collapsed="false" customWidth="true" hidden="false" outlineLevel="0" max="4" min="4" style="0" width="90"/>
  </cols>
  <sheetData>
    <row r="2" customFormat="false" ht="25.5" hidden="false" customHeight="true" outlineLevel="0" collapsed="false">
      <c r="B2" s="36" t="s">
        <v>282</v>
      </c>
      <c r="C2" s="36"/>
      <c r="D2" s="36"/>
    </row>
    <row r="4" customFormat="false" ht="15" hidden="false" customHeight="false" outlineLevel="0" collapsed="false">
      <c r="B4" s="17" t="s">
        <v>283</v>
      </c>
      <c r="C4" s="17"/>
      <c r="D4" s="17"/>
    </row>
    <row r="5" customFormat="false" ht="60" hidden="false" customHeight="true" outlineLevel="0" collapsed="false">
      <c r="D5" s="73" t="s">
        <v>284</v>
      </c>
    </row>
    <row r="7" customFormat="false" ht="15" hidden="false" customHeight="false" outlineLevel="0" collapsed="false">
      <c r="B7" s="17" t="s">
        <v>285</v>
      </c>
      <c r="C7" s="17"/>
      <c r="D7" s="17"/>
    </row>
    <row r="8" customFormat="false" ht="60" hidden="false" customHeight="true" outlineLevel="0" collapsed="false">
      <c r="D8" s="73" t="s">
        <v>286</v>
      </c>
    </row>
    <row r="10" customFormat="false" ht="15" hidden="false" customHeight="false" outlineLevel="0" collapsed="false">
      <c r="B10" s="17" t="s">
        <v>287</v>
      </c>
      <c r="C10" s="17"/>
      <c r="D10" s="17"/>
    </row>
    <row r="11" customFormat="false" ht="24" hidden="false" customHeight="true" outlineLevel="0" collapsed="false">
      <c r="B11" s="74" t="s">
        <v>288</v>
      </c>
      <c r="D11" s="73" t="s">
        <v>289</v>
      </c>
    </row>
    <row r="12" customFormat="false" ht="24" hidden="false" customHeight="true" outlineLevel="0" collapsed="false">
      <c r="B12" s="74" t="s">
        <v>290</v>
      </c>
      <c r="D12" s="73" t="s">
        <v>291</v>
      </c>
    </row>
    <row r="13" customFormat="false" ht="24" hidden="false" customHeight="true" outlineLevel="0" collapsed="false">
      <c r="B13" s="74" t="s">
        <v>292</v>
      </c>
      <c r="D13" s="73" t="s">
        <v>293</v>
      </c>
    </row>
    <row r="14" customFormat="false" ht="24" hidden="false" customHeight="true" outlineLevel="0" collapsed="false">
      <c r="B14" s="74" t="s">
        <v>294</v>
      </c>
      <c r="D14" s="73" t="s">
        <v>295</v>
      </c>
    </row>
    <row r="15" customFormat="false" ht="24" hidden="false" customHeight="true" outlineLevel="0" collapsed="false">
      <c r="B15" s="74" t="s">
        <v>296</v>
      </c>
      <c r="D15" s="73" t="s">
        <v>297</v>
      </c>
    </row>
    <row r="16" customFormat="false" ht="36" hidden="false" customHeight="true" outlineLevel="0" collapsed="false">
      <c r="B16" s="74" t="s">
        <v>298</v>
      </c>
      <c r="D16" s="73" t="s">
        <v>299</v>
      </c>
    </row>
    <row r="18" customFormat="false" ht="15" hidden="false" customHeight="false" outlineLevel="0" collapsed="false">
      <c r="B18" s="17" t="s">
        <v>300</v>
      </c>
      <c r="C18" s="17"/>
      <c r="D18" s="17"/>
    </row>
    <row r="19" customFormat="false" ht="15" hidden="false" customHeight="true" outlineLevel="0" collapsed="false">
      <c r="B19" s="74" t="s">
        <v>301</v>
      </c>
      <c r="D19" s="73" t="s">
        <v>302</v>
      </c>
    </row>
    <row r="20" customFormat="false" ht="15" hidden="false" customHeight="true" outlineLevel="0" collapsed="false">
      <c r="B20" s="74" t="s">
        <v>303</v>
      </c>
      <c r="D20" s="73" t="s">
        <v>304</v>
      </c>
    </row>
    <row r="21" customFormat="false" ht="15" hidden="false" customHeight="true" outlineLevel="0" collapsed="false">
      <c r="B21" s="74" t="s">
        <v>305</v>
      </c>
      <c r="D21" s="73" t="s">
        <v>306</v>
      </c>
    </row>
    <row r="23" customFormat="false" ht="15" hidden="false" customHeight="false" outlineLevel="0" collapsed="false">
      <c r="B23" s="17" t="s">
        <v>307</v>
      </c>
      <c r="C23" s="17"/>
      <c r="D23" s="17"/>
    </row>
    <row r="24" customFormat="false" ht="15" hidden="false" customHeight="true" outlineLevel="0" collapsed="false">
      <c r="B24" s="74" t="s">
        <v>308</v>
      </c>
      <c r="D24" s="73" t="s">
        <v>309</v>
      </c>
    </row>
    <row r="25" customFormat="false" ht="24" hidden="false" customHeight="true" outlineLevel="0" collapsed="false">
      <c r="B25" s="74" t="s">
        <v>310</v>
      </c>
      <c r="D25" s="73" t="s">
        <v>311</v>
      </c>
    </row>
    <row r="26" customFormat="false" ht="15" hidden="false" customHeight="true" outlineLevel="0" collapsed="false">
      <c r="B26" s="74" t="s">
        <v>312</v>
      </c>
      <c r="D26" s="73" t="s">
        <v>313</v>
      </c>
    </row>
    <row r="27" customFormat="false" ht="15" hidden="false" customHeight="true" outlineLevel="0" collapsed="false">
      <c r="B27" s="74" t="s">
        <v>314</v>
      </c>
      <c r="D27" s="73" t="s">
        <v>315</v>
      </c>
    </row>
    <row r="29" customFormat="false" ht="15" hidden="false" customHeight="false" outlineLevel="0" collapsed="false">
      <c r="B29" s="17" t="s">
        <v>316</v>
      </c>
      <c r="C29" s="17"/>
      <c r="D29" s="17"/>
    </row>
    <row r="30" customFormat="false" ht="48" hidden="false" customHeight="true" outlineLevel="0" collapsed="false">
      <c r="D30" s="73" t="s">
        <v>317</v>
      </c>
    </row>
    <row r="32" customFormat="false" ht="15" hidden="false" customHeight="false" outlineLevel="0" collapsed="false">
      <c r="B32" s="17" t="s">
        <v>318</v>
      </c>
      <c r="C32" s="17"/>
      <c r="D32" s="17"/>
    </row>
    <row r="33" customFormat="false" ht="36" hidden="false" customHeight="true" outlineLevel="0" collapsed="false">
      <c r="B33" s="74" t="s">
        <v>319</v>
      </c>
      <c r="D33" s="73" t="s">
        <v>320</v>
      </c>
    </row>
    <row r="34" customFormat="false" ht="24" hidden="false" customHeight="true" outlineLevel="0" collapsed="false">
      <c r="B34" s="74" t="s">
        <v>319</v>
      </c>
      <c r="D34" s="73" t="s">
        <v>321</v>
      </c>
    </row>
    <row r="35" customFormat="false" ht="24" hidden="false" customHeight="true" outlineLevel="0" collapsed="false">
      <c r="B35" s="74" t="s">
        <v>319</v>
      </c>
      <c r="D35" s="73" t="s">
        <v>322</v>
      </c>
    </row>
    <row r="36" customFormat="false" ht="24" hidden="false" customHeight="true" outlineLevel="0" collapsed="false">
      <c r="B36" s="74" t="s">
        <v>319</v>
      </c>
      <c r="D36" s="73" t="s">
        <v>323</v>
      </c>
    </row>
    <row r="38" customFormat="false" ht="15" hidden="false" customHeight="false" outlineLevel="0" collapsed="false">
      <c r="B38" s="17" t="s">
        <v>324</v>
      </c>
      <c r="C38" s="17"/>
      <c r="D38" s="17"/>
    </row>
    <row r="39" customFormat="false" ht="15" hidden="false" customHeight="true" outlineLevel="0" collapsed="false">
      <c r="B39" s="74" t="s">
        <v>325</v>
      </c>
      <c r="D39" s="73" t="s">
        <v>326</v>
      </c>
    </row>
    <row r="40" customFormat="false" ht="24" hidden="false" customHeight="true" outlineLevel="0" collapsed="false">
      <c r="B40" s="74" t="s">
        <v>327</v>
      </c>
      <c r="D40" s="73" t="s">
        <v>328</v>
      </c>
    </row>
    <row r="41" customFormat="false" ht="24" hidden="false" customHeight="true" outlineLevel="0" collapsed="false">
      <c r="B41" s="74" t="s">
        <v>329</v>
      </c>
      <c r="D41" s="73" t="s">
        <v>330</v>
      </c>
    </row>
    <row r="42" customFormat="false" ht="15" hidden="false" customHeight="true" outlineLevel="0" collapsed="false">
      <c r="B42" s="74" t="s">
        <v>331</v>
      </c>
      <c r="D42" s="73" t="s">
        <v>332</v>
      </c>
    </row>
    <row r="43" customFormat="false" ht="15" hidden="false" customHeight="true" outlineLevel="0" collapsed="false">
      <c r="B43" s="74" t="s">
        <v>333</v>
      </c>
      <c r="D43" s="73" t="s">
        <v>334</v>
      </c>
    </row>
  </sheetData>
  <mergeCells count="9">
    <mergeCell ref="B2:D2"/>
    <mergeCell ref="B4:D4"/>
    <mergeCell ref="B7:D7"/>
    <mergeCell ref="B10:D10"/>
    <mergeCell ref="B18:D18"/>
    <mergeCell ref="B23:D23"/>
    <mergeCell ref="B29:D29"/>
    <mergeCell ref="B32:D32"/>
    <mergeCell ref="B38:D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8"/>
    <col collapsed="false" customWidth="true" hidden="false" outlineLevel="0" max="4" min="4" style="0" width="2"/>
    <col collapsed="false" customWidth="true" hidden="false" outlineLevel="0" max="5" min="5" style="0" width="10"/>
    <col collapsed="false" customWidth="true" hidden="false" outlineLevel="0" max="6" min="6" style="0" width="8"/>
    <col collapsed="false" customWidth="true" hidden="false" outlineLevel="0" max="7" min="7" style="0" width="2"/>
    <col collapsed="false" customWidth="true" hidden="false" outlineLevel="0" max="8" min="8" style="0" width="10"/>
    <col collapsed="false" customWidth="true" hidden="false" outlineLevel="0" max="9" min="9" style="0" width="8"/>
  </cols>
  <sheetData>
    <row r="2" customFormat="false" ht="24" hidden="false" customHeight="true" outlineLevel="0" collapsed="false">
      <c r="B2" s="75" t="s">
        <v>335</v>
      </c>
      <c r="C2" s="75"/>
      <c r="D2" s="75"/>
      <c r="E2" s="75"/>
      <c r="F2" s="75"/>
      <c r="G2" s="75"/>
      <c r="H2" s="75"/>
      <c r="I2" s="75"/>
    </row>
    <row r="4" customFormat="false" ht="15" hidden="false" customHeight="false" outlineLevel="0" collapsed="false">
      <c r="B4" s="76" t="s">
        <v>336</v>
      </c>
      <c r="C4" s="76" t="s">
        <v>337</v>
      </c>
      <c r="E4" s="76" t="s">
        <v>338</v>
      </c>
      <c r="F4" s="76" t="s">
        <v>337</v>
      </c>
      <c r="H4" s="76" t="s">
        <v>339</v>
      </c>
      <c r="I4" s="76" t="s">
        <v>337</v>
      </c>
    </row>
    <row r="5" customFormat="false" ht="15" hidden="false" customHeight="false" outlineLevel="0" collapsed="false">
      <c r="B5" s="77" t="s">
        <v>340</v>
      </c>
      <c r="C5" s="77" t="n">
        <v>1</v>
      </c>
      <c r="E5" s="77" t="s">
        <v>341</v>
      </c>
      <c r="F5" s="77" t="n">
        <v>1</v>
      </c>
      <c r="H5" s="77" t="s">
        <v>340</v>
      </c>
      <c r="I5" s="77" t="n">
        <v>1</v>
      </c>
    </row>
    <row r="6" customFormat="false" ht="15" hidden="false" customHeight="false" outlineLevel="0" collapsed="false">
      <c r="B6" s="77" t="s">
        <v>342</v>
      </c>
      <c r="C6" s="77" t="n">
        <v>2</v>
      </c>
      <c r="E6" s="77" t="s">
        <v>343</v>
      </c>
      <c r="F6" s="77" t="n">
        <v>2</v>
      </c>
      <c r="H6" s="77" t="s">
        <v>342</v>
      </c>
      <c r="I6" s="77" t="n">
        <v>2</v>
      </c>
    </row>
    <row r="7" customFormat="false" ht="15" hidden="false" customHeight="false" outlineLevel="0" collapsed="false">
      <c r="B7" s="77" t="s">
        <v>344</v>
      </c>
      <c r="C7" s="77" t="n">
        <v>3</v>
      </c>
      <c r="E7" s="77" t="s">
        <v>345</v>
      </c>
      <c r="F7" s="77" t="n">
        <v>3</v>
      </c>
      <c r="H7" s="77" t="s">
        <v>344</v>
      </c>
      <c r="I7" s="77" t="n">
        <v>3</v>
      </c>
    </row>
    <row r="8" customFormat="false" ht="15" hidden="false" customHeight="false" outlineLevel="0" collapsed="false">
      <c r="B8" s="77" t="s">
        <v>346</v>
      </c>
      <c r="C8" s="77" t="n">
        <v>4</v>
      </c>
      <c r="E8" s="77" t="s">
        <v>347</v>
      </c>
      <c r="F8" s="77" t="n">
        <v>4</v>
      </c>
      <c r="H8" s="77" t="s">
        <v>346</v>
      </c>
      <c r="I8" s="77" t="n">
        <v>4</v>
      </c>
    </row>
    <row r="9" customFormat="false" ht="15" hidden="false" customHeight="false" outlineLevel="0" collapsed="false">
      <c r="B9" s="77" t="s">
        <v>348</v>
      </c>
      <c r="C9" s="77" t="n">
        <v>5</v>
      </c>
      <c r="E9" s="77" t="s">
        <v>349</v>
      </c>
      <c r="F9" s="77" t="n">
        <v>5</v>
      </c>
      <c r="H9" s="77" t="s">
        <v>348</v>
      </c>
      <c r="I9" s="77" t="n">
        <v>5</v>
      </c>
    </row>
    <row r="10" customFormat="false" ht="15" hidden="false" customHeight="false" outlineLevel="0" collapsed="false">
      <c r="B10" s="77" t="s">
        <v>350</v>
      </c>
      <c r="C10" s="77" t="n">
        <v>6</v>
      </c>
      <c r="E10" s="77" t="s">
        <v>351</v>
      </c>
      <c r="F10" s="77" t="n">
        <v>6</v>
      </c>
      <c r="H10" s="77" t="s">
        <v>350</v>
      </c>
      <c r="I10" s="77" t="n">
        <v>6</v>
      </c>
    </row>
    <row r="11" customFormat="false" ht="15" hidden="false" customHeight="false" outlineLevel="0" collapsed="false">
      <c r="B11" s="77" t="s">
        <v>352</v>
      </c>
      <c r="C11" s="77" t="n">
        <v>7</v>
      </c>
      <c r="E11" s="77" t="s">
        <v>353</v>
      </c>
      <c r="F11" s="77" t="n">
        <v>7</v>
      </c>
      <c r="H11" s="77" t="s">
        <v>352</v>
      </c>
      <c r="I11" s="77" t="n">
        <v>7</v>
      </c>
    </row>
    <row r="12" customFormat="false" ht="15" hidden="false" customHeight="false" outlineLevel="0" collapsed="false">
      <c r="B12" s="77" t="s">
        <v>354</v>
      </c>
      <c r="C12" s="77" t="n">
        <v>8</v>
      </c>
      <c r="E12" s="77" t="s">
        <v>355</v>
      </c>
      <c r="F12" s="77" t="n">
        <v>8</v>
      </c>
      <c r="H12" s="77" t="s">
        <v>354</v>
      </c>
      <c r="I12" s="77" t="n">
        <v>8</v>
      </c>
    </row>
    <row r="13" customFormat="false" ht="15" hidden="false" customHeight="false" outlineLevel="0" collapsed="false">
      <c r="B13" s="77" t="s">
        <v>356</v>
      </c>
      <c r="C13" s="77" t="n">
        <v>9</v>
      </c>
      <c r="E13" s="77" t="s">
        <v>357</v>
      </c>
      <c r="F13" s="77" t="n">
        <v>9</v>
      </c>
      <c r="H13" s="77" t="s">
        <v>356</v>
      </c>
      <c r="I13" s="77" t="n">
        <v>9</v>
      </c>
    </row>
    <row r="14" customFormat="false" ht="15" hidden="false" customHeight="false" outlineLevel="0" collapsed="false">
      <c r="B14" s="77" t="s">
        <v>358</v>
      </c>
      <c r="C14" s="77" t="n">
        <v>10</v>
      </c>
      <c r="E14" s="77" t="s">
        <v>359</v>
      </c>
      <c r="F14" s="77" t="n">
        <v>10</v>
      </c>
      <c r="H14" s="77" t="s">
        <v>358</v>
      </c>
      <c r="I14" s="77" t="n">
        <v>10</v>
      </c>
    </row>
    <row r="15" customFormat="false" ht="15" hidden="false" customHeight="false" outlineLevel="0" collapsed="false">
      <c r="B15" s="78" t="s">
        <v>360</v>
      </c>
      <c r="C15" s="78" t="n">
        <v>11</v>
      </c>
      <c r="E15" s="78" t="s">
        <v>361</v>
      </c>
      <c r="F15" s="78" t="n">
        <v>11</v>
      </c>
      <c r="H15" s="78" t="s">
        <v>360</v>
      </c>
      <c r="I15" s="78" t="n">
        <v>11</v>
      </c>
    </row>
    <row r="16" customFormat="false" ht="15" hidden="false" customHeight="false" outlineLevel="0" collapsed="false">
      <c r="B16" s="78" t="s">
        <v>362</v>
      </c>
      <c r="C16" s="78" t="n">
        <v>12</v>
      </c>
      <c r="E16" s="78" t="s">
        <v>363</v>
      </c>
      <c r="F16" s="78" t="n">
        <v>12</v>
      </c>
      <c r="H16" s="78" t="s">
        <v>362</v>
      </c>
      <c r="I16" s="78" t="n">
        <v>12</v>
      </c>
    </row>
    <row r="17" customFormat="false" ht="15" hidden="false" customHeight="false" outlineLevel="0" collapsed="false">
      <c r="B17" s="78" t="s">
        <v>364</v>
      </c>
      <c r="C17" s="78" t="n">
        <v>13</v>
      </c>
      <c r="E17" s="78" t="s">
        <v>365</v>
      </c>
      <c r="F17" s="78" t="n">
        <v>13</v>
      </c>
      <c r="H17" s="78" t="s">
        <v>364</v>
      </c>
      <c r="I17" s="78" t="n">
        <v>13</v>
      </c>
    </row>
    <row r="18" customFormat="false" ht="15" hidden="false" customHeight="false" outlineLevel="0" collapsed="false">
      <c r="B18" s="78" t="s">
        <v>366</v>
      </c>
      <c r="C18" s="78" t="n">
        <v>14</v>
      </c>
      <c r="E18" s="78" t="s">
        <v>367</v>
      </c>
      <c r="F18" s="78" t="n">
        <v>14</v>
      </c>
      <c r="H18" s="78" t="s">
        <v>366</v>
      </c>
      <c r="I18" s="78" t="n">
        <v>14</v>
      </c>
    </row>
    <row r="19" customFormat="false" ht="15" hidden="false" customHeight="false" outlineLevel="0" collapsed="false">
      <c r="B19" s="78" t="s">
        <v>368</v>
      </c>
      <c r="C19" s="78" t="n">
        <v>15</v>
      </c>
      <c r="E19" s="78" t="s">
        <v>369</v>
      </c>
      <c r="F19" s="78" t="n">
        <v>15</v>
      </c>
      <c r="H19" s="78" t="s">
        <v>368</v>
      </c>
      <c r="I19" s="78" t="n">
        <v>15</v>
      </c>
    </row>
    <row r="20" customFormat="false" ht="15" hidden="false" customHeight="false" outlineLevel="0" collapsed="false">
      <c r="B20" s="78" t="s">
        <v>370</v>
      </c>
      <c r="C20" s="78" t="n">
        <v>16</v>
      </c>
      <c r="E20" s="78" t="s">
        <v>371</v>
      </c>
      <c r="F20" s="78" t="n">
        <v>16</v>
      </c>
      <c r="H20" s="78" t="s">
        <v>370</v>
      </c>
      <c r="I20" s="78" t="n">
        <v>16</v>
      </c>
    </row>
    <row r="21" customFormat="false" ht="15" hidden="false" customHeight="false" outlineLevel="0" collapsed="false">
      <c r="B21" s="79" t="s">
        <v>372</v>
      </c>
      <c r="C21" s="79" t="n">
        <v>17</v>
      </c>
      <c r="E21" s="79" t="s">
        <v>373</v>
      </c>
      <c r="F21" s="79" t="n">
        <v>17</v>
      </c>
      <c r="H21" s="79" t="s">
        <v>372</v>
      </c>
      <c r="I21" s="79" t="n">
        <v>17</v>
      </c>
    </row>
    <row r="22" customFormat="false" ht="15" hidden="false" customHeight="false" outlineLevel="0" collapsed="false">
      <c r="B22" s="79" t="s">
        <v>374</v>
      </c>
      <c r="C22" s="79" t="n">
        <v>18</v>
      </c>
      <c r="E22" s="79" t="s">
        <v>375</v>
      </c>
      <c r="F22" s="79" t="n">
        <v>18</v>
      </c>
      <c r="H22" s="79" t="s">
        <v>374</v>
      </c>
      <c r="I22" s="79" t="n">
        <v>18</v>
      </c>
    </row>
    <row r="23" customFormat="false" ht="15" hidden="false" customHeight="false" outlineLevel="0" collapsed="false">
      <c r="B23" s="79" t="s">
        <v>376</v>
      </c>
      <c r="C23" s="79" t="n">
        <v>19</v>
      </c>
      <c r="E23" s="79" t="s">
        <v>377</v>
      </c>
      <c r="F23" s="79" t="n">
        <v>19</v>
      </c>
      <c r="H23" s="79" t="s">
        <v>376</v>
      </c>
      <c r="I23" s="79" t="n">
        <v>19</v>
      </c>
    </row>
    <row r="24" customFormat="false" ht="15" hidden="false" customHeight="false" outlineLevel="0" collapsed="false">
      <c r="B24" s="79" t="s">
        <v>378</v>
      </c>
      <c r="C24" s="79" t="n">
        <v>20</v>
      </c>
      <c r="E24" s="79" t="s">
        <v>379</v>
      </c>
      <c r="F24" s="79" t="n">
        <v>20</v>
      </c>
      <c r="H24" s="79" t="s">
        <v>378</v>
      </c>
      <c r="I24" s="79" t="n">
        <v>20</v>
      </c>
    </row>
    <row r="25" customFormat="false" ht="15" hidden="false" customHeight="false" outlineLevel="0" collapsed="false">
      <c r="B25" s="79" t="s">
        <v>380</v>
      </c>
      <c r="C25" s="79" t="n">
        <v>21</v>
      </c>
      <c r="E25" s="79" t="s">
        <v>380</v>
      </c>
      <c r="F25" s="79" t="n">
        <v>21</v>
      </c>
      <c r="H25" s="79" t="s">
        <v>380</v>
      </c>
      <c r="I25" s="79" t="n">
        <v>21</v>
      </c>
    </row>
    <row r="26" customFormat="false" ht="15" hidden="false" customHeight="false" outlineLevel="0" collapsed="false">
      <c r="B26" s="79" t="s">
        <v>381</v>
      </c>
      <c r="C26" s="79" t="n">
        <v>22</v>
      </c>
      <c r="E26" s="79" t="s">
        <v>382</v>
      </c>
      <c r="F26" s="79" t="n">
        <v>22</v>
      </c>
      <c r="H26" s="79" t="s">
        <v>383</v>
      </c>
      <c r="I26" s="79" t="n">
        <v>22</v>
      </c>
    </row>
    <row r="28" customFormat="false" ht="15" hidden="false" customHeight="false" outlineLevel="0" collapsed="false">
      <c r="B28" s="37" t="s">
        <v>384</v>
      </c>
      <c r="C28" s="37"/>
      <c r="D28" s="37"/>
      <c r="E28" s="37"/>
      <c r="F28" s="37"/>
      <c r="G28" s="37"/>
      <c r="H28" s="37"/>
      <c r="I28" s="37"/>
    </row>
  </sheetData>
  <mergeCells count="2">
    <mergeCell ref="B2:I2"/>
    <mergeCell ref="B28:I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2026-05-11T12:54:55Z</dcterms:created>
  <dc:creator>openpyxl</dc:creator>
  <dc:description/>
  <dc:language>en-US</dc:language>
  <cp:lastModifiedBy/>
  <dcterms:modified xsi:type="dcterms:W3CDTF">2026-05-11T12:54:55Z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