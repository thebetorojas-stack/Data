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9.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0 Plain English" sheetId="2" state="visible" r:id="rId4"/>
    <sheet name="1 Inputs" sheetId="3" state="visible" r:id="rId5"/>
    <sheet name="2 Decomposition" sheetId="4" state="visible" r:id="rId6"/>
    <sheet name="3 Carry quality" sheetId="5" state="visible" r:id="rId7"/>
    <sheet name="4 Fed scenarios" sheetId="6" state="visible" r:id="rId8"/>
    <sheet name="5 Return grid" sheetId="7" state="visible" r:id="rId9"/>
    <sheet name="6 Breakeven" sheetId="8" state="visible" r:id="rId10"/>
    <sheet name="7 Risk" sheetId="9" state="visible" r:id="rId11"/>
    <sheet name="8 Fed path" sheetId="10" state="visible" r:id="rId12"/>
    <sheet name="9 Bloomberg refresh" sheetId="11" state="visible" r:id="rId13"/>
    <sheet name="Notes" sheetId="12" state="visible" r:id="rId14"/>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14" authorId="0">
      <text>
        <r>
          <rPr>
            <sz val="10"/>
            <rFont val="Arial"/>
            <family val="2"/>
          </rPr>
          <t xml:space="preserve">Convexity in years squared (~60), NOT Bloomberg's /100 quote. If the convexity benefit on tab 5 looks like it is doing nothing, this cell is 100x too small.</t>
        </r>
      </text>
    </comment>
  </commentList>
</comments>
</file>

<file path=xl/sharedStrings.xml><?xml version="1.0" encoding="utf-8"?>
<sst xmlns="http://schemas.openxmlformats.org/spreadsheetml/2006/main" count="593" uniqueCount="544">
  <si>
    <t xml:space="preserve">EM USD sovereign debt — total return at a 220bp EMBI Global spread</t>
  </si>
  <si>
    <t xml:space="preserve">UBS. Built 11-Aug-2026. Market data as of 7-Aug-2026 (Fed H.15, iShares EMB). Index analytics are estimates — refresh from Bloomberg on tab '9 Bloomberg refresh'.</t>
  </si>
  <si>
    <t xml:space="preserve">The question</t>
  </si>
  <si>
    <t xml:space="preserve">EMBI Global sits at 220bp. The UBS house view looks for modest widening — CIO's published EMBIG Diversified path is 244bp (Apr-26) to 260bp (Dec-26) — yet rates the asset class Attractive. This workbook shows why those two statements are consistent, and — just as important — the two scenarios in which they stop being consistent.</t>
  </si>
  <si>
    <t xml:space="preserve">The answer in four numbers</t>
  </si>
  <si>
    <t xml:space="preserve">7.6%</t>
  </si>
  <si>
    <t xml:space="preserve">One year of carry + roll-down, before any market move. That is the number the spread move is spent against.</t>
  </si>
  <si>
    <t xml:space="preserve">1.95%</t>
  </si>
  <si>
    <t xml:space="preserve">Cost of the 30bp widening to 250bp (6.5 spread duration). It consumes 26% of one year's carry — you are paid ~3.9x the expected loss.</t>
  </si>
  <si>
    <t xml:space="preserve">117bp</t>
  </si>
  <si>
    <t xml:space="preserve">Breakeven widening over 12 months, rates unchanged: spreads must reach 337bp before total return turns negative. 125bp once convexity is counted.</t>
  </si>
  <si>
    <t xml:space="preserve">+4.6%</t>
  </si>
  <si>
    <t xml:space="preserve">Probability-weighted expected return across six Fed paths. Positive, but NOT a layup: there is a 15% chance of a negative year and the worst case is -10.3%.</t>
  </si>
  <si>
    <t xml:space="preserve">Tabs</t>
  </si>
  <si>
    <t xml:space="preserve">0 Plain English</t>
  </si>
  <si>
    <t xml:space="preserve">START HERE if you want the intuition rather than the maths: why a rate rise does not take your carry away, and exactly when you DO lose money.</t>
  </si>
  <si>
    <t xml:space="preserve">1 Inputs</t>
  </si>
  <si>
    <t xml:space="preserve">The only tab to type on. Index analytics, curve, roll assumptions, horizon. Everything downstream is a live formula.</t>
  </si>
  <si>
    <t xml:space="preserve">2 Decomposition</t>
  </si>
  <si>
    <t xml:space="preserve">Carry split into cash coupon / pull-to-par / roll-down, by holding period. Answers 'how much is carry vs roll vs pull to par'.</t>
  </si>
  <si>
    <t xml:space="preserve">4 Fed scenarios</t>
  </si>
  <si>
    <t xml:space="preserve">Five Fed paths, each with a full six-way P&amp;L attribution and a probability weight. The core tab.</t>
  </si>
  <si>
    <t xml:space="preserve">5 Return grid</t>
  </si>
  <si>
    <t xml:space="preserve">Total return for every combination of spread move and Treasury move. Read the diagonal — that is the hedge.</t>
  </si>
  <si>
    <t xml:space="preserve">6 Breakeven</t>
  </si>
  <si>
    <t xml:space="preserve">Breakeven widening by holding period, 1-36 months, with and without convexity.</t>
  </si>
  <si>
    <t xml:space="preserve">7 Risk</t>
  </si>
  <si>
    <t xml:space="preserve">Return volatility, the correlation benefit, VaR at 95/99, and probability of loss by horizon.</t>
  </si>
  <si>
    <t xml:space="preserve">8 Fed path</t>
  </si>
  <si>
    <t xml:space="preserve">Fed funds path per scenario and the Treasury curve the roll is read off.</t>
  </si>
  <si>
    <t xml:space="preserve">9 Bloomberg refresh</t>
  </si>
  <si>
    <t xml:space="preserve">Every BDP/BDH call to rebuild from live data. Written without the leading '=' so the tab stays inert offline.</t>
  </si>
  <si>
    <t xml:space="preserve">Notes</t>
  </si>
  <si>
    <t xml:space="preserve">Method, conventions, what is not modelled, sources.</t>
  </si>
  <si>
    <t xml:space="preserve">Legend</t>
  </si>
  <si>
    <t xml:space="preserve">Blue</t>
  </si>
  <si>
    <t xml:space="preserve">Type here. Hardcoded input or scenario lever.</t>
  </si>
  <si>
    <t xml:space="preserve">Black</t>
  </si>
  <si>
    <t xml:space="preserve">Formula. Do not overwrite.</t>
  </si>
  <si>
    <t xml:space="preserve">Green</t>
  </si>
  <si>
    <t xml:space="preserve">Link to another tab.</t>
  </si>
  <si>
    <t xml:space="preserve">Charts are deliberately left at Excel defaults — no colours, axis bounds, legend positions or gridlines — per the house rule in the Argentina chart pack. Format them however you like.</t>
  </si>
  <si>
    <t xml:space="preserve">Convention: all rates and returns in PERCENT UNITS (6.75 = 6.75%). All yield and spread moves in BASIS POINTS. Consistent with the Argentina carry-cushion model.</t>
  </si>
  <si>
    <t xml:space="preserve">Why a rise in rates does not take your carry away</t>
  </si>
  <si>
    <t xml:space="preserve">The short version: the carry is cash and you always get it. What a rate rise takes is PRICE — and that loss is temporary if you hold.</t>
  </si>
  <si>
    <t xml:space="preserve">First — the honest answer: you ARE right that you can lose</t>
  </si>
  <si>
    <t xml:space="preserve">If rates rise AND spreads widen at the same time, both legs move against you and there is no hedge. That is real and this model says so — it is the 'inflation re-acceleration' scenario on tab 4, which returns roughly zero. So the claim is NOT 'rates can't hurt you'. The claim is narrower and it is below.</t>
  </si>
  <si>
    <t xml:space="preserve">Step 1 — Separate the two things that happen to you in a year</t>
  </si>
  <si>
    <t xml:space="preserve">A) Cash you collect (the carry)</t>
  </si>
  <si>
    <t xml:space="preserve">Coupon, accretion and roll. This lands in your account no matter what rates do. The ONLY thing that stops it is a default. A rate move cannot touch it.</t>
  </si>
  <si>
    <t xml:space="preserve">B) Price move (the mark)</t>
  </si>
  <si>
    <t xml:space="preserve">depends</t>
  </si>
  <si>
    <t xml:space="preserve">If yields rise, the price falls. This is a paper loss — real only if you sell.</t>
  </si>
  <si>
    <t xml:space="preserve">Your return  =  A  +  B</t>
  </si>
  <si>
    <t xml:space="preserve">That is the whole thing. You never 'lose the carry'. You can lose MORE on the price than the carry pays you — which makes the TOTAL negative. Different statement.</t>
  </si>
  <si>
    <t xml:space="preserve">Step 2 — The bond does not care WHERE the yield move came from</t>
  </si>
  <si>
    <t xml:space="preserve">This is the bit that makes it simple. A bond only feels its own yield. Whether that yield rose because Treasuries sold off or because the spread widened is irrelevant to the price. So stop tracking two numbers and track one: the TOTAL yield move.</t>
  </si>
  <si>
    <t xml:space="preserve">Example</t>
  </si>
  <si>
    <t xml:space="preserve">Rates move (bp)</t>
  </si>
  <si>
    <t xml:space="preserve">Spread move (bp)</t>
  </si>
  <si>
    <t xml:space="preserve">TOTAL move (bp)</t>
  </si>
  <si>
    <t xml:space="preserve">Price move (%)</t>
  </si>
  <si>
    <t xml:space="preserve">Carry (%)</t>
  </si>
  <si>
    <t xml:space="preserve">Your return (%)</t>
  </si>
  <si>
    <t xml:space="preserve">Rates +50, spread unchanged</t>
  </si>
  <si>
    <t xml:space="preserve">Rates unchanged, spread +50</t>
  </si>
  <si>
    <t xml:space="preserve">Rates +25, spread +25</t>
  </si>
  <si>
    <t xml:space="preserve">All three lines give the same answer. 50bp is 50bp. This is why the question 'what if rates rise AND spreads widen' has a simple form: just add them together.</t>
  </si>
  <si>
    <t xml:space="preserve">Step 3 — So: how big does the TOTAL move have to be before you lose money?</t>
  </si>
  <si>
    <t xml:space="preserve">Carry you earn in a year (%)</t>
  </si>
  <si>
    <t xml:space="preserve">Cost of 1bp of total yield rise (%)</t>
  </si>
  <si>
    <t xml:space="preserve">Duration 6.5 means 1bp costs 0.065%.</t>
  </si>
  <si>
    <t xml:space="preserve">So break-even total move (bp)</t>
  </si>
  <si>
    <t xml:space="preserve">Rates AND spread COMBINED have to rise by more than this within one year before you are down. Split it however you like: 60bp of rates plus 60bp of spread does it. 40 and 40 does not.</t>
  </si>
  <si>
    <t xml:space="preserve">Combined move of rates + spread</t>
  </si>
  <si>
    <t xml:space="preserve">Total move (bp)</t>
  </si>
  <si>
    <t xml:space="preserve">Nothing happens</t>
  </si>
  <si>
    <t xml:space="preserve">Small: e.g. rates +25, spread +25</t>
  </si>
  <si>
    <t xml:space="preserve">Our house view: rates -25, spread +30</t>
  </si>
  <si>
    <t xml:space="preserve">Moderate: rates +50, spread +25</t>
  </si>
  <si>
    <t xml:space="preserve">BREAK-EVEN: rates +60, spread +60</t>
  </si>
  <si>
    <t xml:space="preserve">Bad: rates +75, spread +75</t>
  </si>
  <si>
    <t xml:space="preserve">Very bad: rates +100, spread +100</t>
  </si>
  <si>
    <t xml:space="preserve">2022-style: rates +150, spread +150</t>
  </si>
  <si>
    <t xml:space="preserve">Read the last column. You need a genuinely large combined move — bigger than most calendar years produce — before the price loss eats a full year of carry.</t>
  </si>
  <si>
    <t xml:space="preserve">Step 4 — THE KEY POINT: a rate rise is a one-off price hit, but it RAISES your future carry</t>
  </si>
  <si>
    <t xml:space="preserve">This is the part that answers your question properly. When yields jump, two things happen at once: the price drops today, and every coupon you reinvest from here on earns MORE. The price drop is a one-time event. The higher income lasts for as long as you own the bond. Hold long enough and the second effect fully pays back the first.</t>
  </si>
  <si>
    <t xml:space="preserve">Yield today (%)</t>
  </si>
  <si>
    <t xml:space="preserve">Yield after a +100bp shock (%)</t>
  </si>
  <si>
    <t xml:space="preserve">Your carry did not go DOWN. It went UP. You are now earning 7.75% instead of 6.75% on everything you hold and reinvest from here.</t>
  </si>
  <si>
    <t xml:space="preserve">Starting price</t>
  </si>
  <si>
    <t xml:space="preserve">What you ACTUALLY earn per year if the yield jumps today and you simply hold:</t>
  </si>
  <si>
    <t xml:space="preserve">Hold for...</t>
  </si>
  <si>
    <t xml:space="preserve">Yields fall 100bp</t>
  </si>
  <si>
    <t xml:space="preserve">Yields RISE 100bp</t>
  </si>
  <si>
    <t xml:space="preserve">Yields RISE 200bp</t>
  </si>
  <si>
    <t xml:space="preserve">Yields RISE 300bp</t>
  </si>
  <si>
    <t xml:space="preserve">1 year</t>
  </si>
  <si>
    <t xml:space="preserve">2 years</t>
  </si>
  <si>
    <t xml:space="preserve">3 years</t>
  </si>
  <si>
    <t xml:space="preserve">4 years</t>
  </si>
  <si>
    <t xml:space="preserve">5 years</t>
  </si>
  <si>
    <t xml:space="preserve">6 years</t>
  </si>
  <si>
    <t xml:space="preserve">7 years</t>
  </si>
  <si>
    <t xml:space="preserve">8 years</t>
  </si>
  <si>
    <t xml:space="preserve">9 years</t>
  </si>
  <si>
    <t xml:space="preserve">10 years</t>
  </si>
  <si>
    <t xml:space="preserve">11 years</t>
  </si>
  <si>
    <t xml:space="preserve">Follow the '+100bp' column down. Year 1 is ugly — you are slightly negative. By year 3 you are earning 5%. By year 8 you are back to 6.7%, the same as if rates had never moved. After that the rate rise has made you BETTER off than if nothing had happened.</t>
  </si>
  <si>
    <t xml:space="preserve">That crossover is not a coincidence — it is what duration actually measures: the holding period at which the price loss and the higher reinvestment exactly cancel.</t>
  </si>
  <si>
    <t xml:space="preserve">ONE CAVEAT, so you are not caught out. This table prices a simple 11-year bullet bond with an 11-year average life. That bond's own duration is 7.8y, longer than the index's reported 6.5y — real EM indices contain amortisers, sinkers and callables that shorten them. So the table's crossover of ~8.4 years is right for the proxy bond, and the crossover for the ACTUAL index is nearer 7 years. Same conclusion, slightly sooner.</t>
  </si>
  <si>
    <t xml:space="preserve">Same story at +200bp and +300bp. The hole is deeper and takes about as long to climb out of. What never happens in any column is the carry disappearing.</t>
  </si>
  <si>
    <t xml:space="preserve">The whole thing in five sentences</t>
  </si>
  <si>
    <t xml:space="preserve">1.</t>
  </si>
  <si>
    <t xml:space="preserve">The coupon is cash. It arrives whatever rates do. You never lose it — only a default takes it.</t>
  </si>
  <si>
    <t xml:space="preserve">2.</t>
  </si>
  <si>
    <t xml:space="preserve">A rate rise cuts the PRICE, not the income. That is a paper loss, and it is only realised if you sell.</t>
  </si>
  <si>
    <t xml:space="preserve">3.</t>
  </si>
  <si>
    <t xml:space="preserve">The bond doesn't care whether the yield rose from rates or from spread — only the total matters. Rates and spread combined have to rise about 120bp in a year before the price loss exceeds a year of carry.</t>
  </si>
  <si>
    <t xml:space="preserve">4.</t>
  </si>
  <si>
    <t xml:space="preserve">You are right that rates up AND spreads wider is the case that hurts, and it is the one scenario in this model with a negative return. It is also the one worth hedging.</t>
  </si>
  <si>
    <t xml:space="preserve">5.</t>
  </si>
  <si>
    <t xml:space="preserve">But if you hold, a rate rise ends up HELPING you: your reinvestment rate is permanently higher, and by roughly the duration of what you own — about 7 years for this index — you have earned more than if rates had never risen at all.</t>
  </si>
  <si>
    <t xml:space="preserve">Table in Step 4 is a real cashflow calculation, not a duration approximation: coupons reinvested at the post-shock yield, bond sold at the post-shock yield with its remaining life, annualised against today's price. Assumes no default and a one-off parallel shock on day one.</t>
  </si>
  <si>
    <t xml:space="preserve">Blue cells are editable. Change the shock sizes, the horizon, or any input on tab 1 and everything here recalculates.</t>
  </si>
  <si>
    <t xml:space="preserve">Index inputs and assumptions</t>
  </si>
  <si>
    <t xml:space="preserve">Blue cells only. Everything else on every tab recalculates from here.</t>
  </si>
  <si>
    <t xml:space="preserve">Spread and curve</t>
  </si>
  <si>
    <t xml:space="preserve">EMBI Global stripped spread, current (bp)</t>
  </si>
  <si>
    <t xml:space="preserve">User's anchor. Cross-check: UBS CIO shows EMBIG Diversified at 244bp (Apr-26). EMBI Global runs tighter than Diversified — market-cap weighting tilts to larger, higher-rated issuers.</t>
  </si>
  <si>
    <t xml:space="preserve">EMBI Global spread, house target (bp)</t>
  </si>
  <si>
    <t xml:space="preserve">House view. Corroborated by UBS CIO's published EMBIG Div target of 260bp for Dec-26.</t>
  </si>
  <si>
    <t xml:space="preserve">UST reference yield at index duration (%)</t>
  </si>
  <si>
    <t xml:space="preserve">Interpolated to the ~8.5y point from Fed H.15, 7-Aug-26: 7y 4.49%, 10y 4.65%.</t>
  </si>
  <si>
    <t xml:space="preserve">Index analytics</t>
  </si>
  <si>
    <t xml:space="preserve">Average coupon (%)</t>
  </si>
  <si>
    <t xml:space="preserve">iShares EMB fund characteristics, 7-Aug-26.</t>
  </si>
  <si>
    <t xml:space="preserve">Average life (yrs)</t>
  </si>
  <si>
    <t xml:space="preserve">Estimate. EMBI Global runs ~11-12y average life.</t>
  </si>
  <si>
    <t xml:space="preserve">Modified duration (yrs)</t>
  </si>
  <si>
    <t xml:space="preserve">iShares EMB effective duration 6.47y, 7-Aug-26.</t>
  </si>
  <si>
    <t xml:space="preserve">Spread duration (yrs)</t>
  </si>
  <si>
    <t xml:space="preserve">Set equal to modified duration. Separate cell so you can break the equality if you want.</t>
  </si>
  <si>
    <t xml:space="preserve">Convexity (yrs^2)</t>
  </si>
  <si>
    <t xml:space="preserve">Estimate for a 6.5y-duration portfolio with a long tail. UNITS TRAP: Bloomberg CVX_MID is quoted /100 — multiply by 100 before pasting.</t>
  </si>
  <si>
    <t xml:space="preserve">Roll-down</t>
  </si>
  <si>
    <t xml:space="preserve">Treasury curve roll (bp/yr)</t>
  </si>
  <si>
    <t xml:space="preserve">Slope of the UST curve at the index duration point. 7y-10y is (4.65-4.49)/3 = 5.3bp/yr; 5y-7y is 7.0bp/yr. See tab 8.</t>
  </si>
  <si>
    <t xml:space="preserve">Credit curve roll (bp/yr)</t>
  </si>
  <si>
    <t xml:space="preserve">EM sovereign spread curves slope up ~8-12bp/yr in the 7-12y sector. Blended IG/HY estimate — the softest number in the model.</t>
  </si>
  <si>
    <t xml:space="preserve">Horizon</t>
  </si>
  <si>
    <t xml:space="preserve">Holding period (months)</t>
  </si>
  <si>
    <t xml:space="preserve">Drives tabs 2, 3, 4, 5 and 7. Tab 6 sweeps horizon independently.</t>
  </si>
  <si>
    <t xml:space="preserve">Holding period (yrs)</t>
  </si>
  <si>
    <t xml:space="preserve">Derived — do not type here</t>
  </si>
  <si>
    <t xml:space="preserve">Index yield to maturity (%)</t>
  </si>
  <si>
    <t xml:space="preserve">UST reference + stripped spread.</t>
  </si>
  <si>
    <t xml:space="preserve">Implied average price</t>
  </si>
  <si>
    <t xml:space="preserve">Level-yield bond priced off coupon, average life and YTM. Discount to par because the coupon is below the yield.</t>
  </si>
  <si>
    <t xml:space="preserve">Current yield (%)</t>
  </si>
  <si>
    <t xml:space="preserve">Cash coupon divided by price. This is the part of the yield that is genuinely banked.</t>
  </si>
  <si>
    <t xml:space="preserve">Pull-to-par accretion (%/yr)</t>
  </si>
  <si>
    <t xml:space="preserve">YTM less current yield. Price drift toward par at a CONSTANT yield. Additive with current yield by construction — the two sum to YTM, so there is no double count.</t>
  </si>
  <si>
    <t xml:space="preserve">Total roll-down (bp/yr)</t>
  </si>
  <si>
    <t xml:space="preserve">Yield decline from ageing down both curves. Separate from pull-to-par: that holds yield constant, this is the yield moving.</t>
  </si>
  <si>
    <t xml:space="preserve">Carry + roll over horizon (%)</t>
  </si>
  <si>
    <t xml:space="preserve">The cushion. Everything in the pitch is measured against this number.</t>
  </si>
  <si>
    <t xml:space="preserve">Sources: Federal Reserve H.15, 7-Aug-2026 (Treasury curve). iShares EMB fund characteristics, 7-Aug-2026 (duration, coupon, OAS 165bp). UBS CIO 'Adding income through emerging market bonds', 13-May-2026 (EMBIG Div 244bp spot, 260bp Dec-26 target, Attractive rating).</t>
  </si>
  <si>
    <t xml:space="preserve">Spread of 220bp and target of 250bp are the user's inputs, not observed prints. Average life, convexity and both roll assumptions are estimates — replace from Bloomberg via tab 8.</t>
  </si>
  <si>
    <t xml:space="preserve">What the carry actually is — cash coupon vs pull-to-par vs roll-down</t>
  </si>
  <si>
    <t xml:space="preserve">The headline yield is three different things with three different degrees of certainty. Only the first is banked.</t>
  </si>
  <si>
    <t xml:space="preserve">Per year, at the current curve</t>
  </si>
  <si>
    <t xml:space="preserve">Component</t>
  </si>
  <si>
    <t xml:space="preserve">% p.a.</t>
  </si>
  <si>
    <t xml:space="preserve">Share</t>
  </si>
  <si>
    <t xml:space="preserve">Certainty</t>
  </si>
  <si>
    <t xml:space="preserve">Why</t>
  </si>
  <si>
    <t xml:space="preserve">Cash coupon</t>
  </si>
  <si>
    <t xml:space="preserve">Banked</t>
  </si>
  <si>
    <t xml:space="preserve">Received in cash. Lost only on default or a missed payment — not on any mark.</t>
  </si>
  <si>
    <t xml:space="preserve">Pull-to-par accretion</t>
  </si>
  <si>
    <t xml:space="preserve">If yield holds</t>
  </si>
  <si>
    <t xml:space="preserve">Price drift toward par at an unchanged yield. Real, but it is a mark, not cash — it evaporates if the yield rises.</t>
  </si>
  <si>
    <t xml:space="preserve">If curve shape holds</t>
  </si>
  <si>
    <t xml:space="preserve">Bond ages into a lower point on both the Treasury and credit curves. Requires the curve to stay upward-sloping, not merely to stay put.</t>
  </si>
  <si>
    <t xml:space="preserve">Total carry + roll</t>
  </si>
  <si>
    <t xml:space="preserve">The split is the point. ~80% of the carry is cash coupon — banked regardless of where the curve goes. That is the opposite of the deep-discount Argentina step-ups, where pull-to-par was the larger half and the 'yield' overstated what you actually collect. Here the headline yield is honest.</t>
  </si>
  <si>
    <t xml:space="preserve">By holding period</t>
  </si>
  <si>
    <t xml:space="preserve">Months</t>
  </si>
  <si>
    <t xml:space="preserve">Cash coupon (%)</t>
  </si>
  <si>
    <t xml:space="preserve">Pull-to-par (%)</t>
  </si>
  <si>
    <t xml:space="preserve">Roll-down (%)</t>
  </si>
  <si>
    <t xml:space="preserve">Total carry + roll (%)</t>
  </si>
  <si>
    <t xml:space="preserve">Breakeven widening (bp)</t>
  </si>
  <si>
    <t xml:space="preserve">1</t>
  </si>
  <si>
    <t xml:space="preserve">2</t>
  </si>
  <si>
    <t xml:space="preserve">3</t>
  </si>
  <si>
    <t xml:space="preserve">6</t>
  </si>
  <si>
    <t xml:space="preserve">9</t>
  </si>
  <si>
    <t xml:space="preserve">12</t>
  </si>
  <si>
    <t xml:space="preserve">18</t>
  </si>
  <si>
    <t xml:space="preserve">24</t>
  </si>
  <si>
    <t xml:space="preserve">36</t>
  </si>
  <si>
    <t xml:space="preserve">Months are typed as text so the chart axis reads exactly what is in column A. Breakeven = carry+roll / spread duration, ignoring convexity (tab 6 adds it).</t>
  </si>
  <si>
    <t xml:space="preserve">The one preset in this workbook: the stacked chart's value axis is forced to zero. Excel would otherwise auto-scale the baseline and visually misstate the split. Correctness, not cosmetics.</t>
  </si>
  <si>
    <t xml:space="preserve">Why the carry is high quality — and why index composition is the reason</t>
  </si>
  <si>
    <t xml:space="preserve">Four tests. 'High carry' is common; 'high-quality carry' is the claim that has to be earned, and each test below earns it with a number.</t>
  </si>
  <si>
    <t xml:space="preserve">Carry is only worth owning if you keep it. These four tests ask whether you do.</t>
  </si>
  <si>
    <t xml:space="preserve">Test 1 — Is it cash, or is it a mark?</t>
  </si>
  <si>
    <t xml:space="preserve">Cash coupon share of carry + roll</t>
  </si>
  <si>
    <t xml:space="preserve">Received in cash. Cannot be revalued away. The other 20% (pull-to-par and roll) are marks that need the curve to behave.</t>
  </si>
  <si>
    <t xml:space="preserve">Index average price</t>
  </si>
  <si>
    <t xml:space="preserve">THIS is why the cash share is high. The index trades at a modest discount, not a deep one, so the coupon does the work.</t>
  </si>
  <si>
    <t xml:space="preserve">Memo: cash share if the index traded at 60</t>
  </si>
  <si>
    <t xml:space="preserve">A distressed index at 60 would show a huge headline yield of which most is accretion — contingent on surviving to maturity. That is low-quality carry. Ours is the opposite case.</t>
  </si>
  <si>
    <t xml:space="preserve">Test 2 — Is the spread compensation, or is it expected loss?</t>
  </si>
  <si>
    <t xml:space="preserve">A spread is only a risk premium to the extent it exceeds the credit losses you should expect. Build it bottom-up from the rating buckets.</t>
  </si>
  <si>
    <t xml:space="preserve">Rating bucket</t>
  </si>
  <si>
    <t xml:space="preserve">Index wt (%)</t>
  </si>
  <si>
    <t xml:space="preserve">Annual PD (%)</t>
  </si>
  <si>
    <t xml:space="preserve">Loss given default (%)</t>
  </si>
  <si>
    <t xml:space="preserve">Expected loss (bp)</t>
  </si>
  <si>
    <t xml:space="preserve">Source / comment</t>
  </si>
  <si>
    <t xml:space="preserve">A</t>
  </si>
  <si>
    <t xml:space="preserve">Sovereign IG defaults are rare. iShares EMB, 7-Aug-26.</t>
  </si>
  <si>
    <t xml:space="preserve">BBB</t>
  </si>
  <si>
    <t xml:space="preserve">Largest single bucket. This is the investment-grade core of the index.</t>
  </si>
  <si>
    <t xml:space="preserve">BB</t>
  </si>
  <si>
    <t xml:space="preserve">Crossover. Most EM sovereigns that get into trouble spend years here first — defaults are telegraphed.</t>
  </si>
  <si>
    <t xml:space="preserve">B</t>
  </si>
  <si>
    <t xml:space="preserve">The genuine credit risk in the index.</t>
  </si>
  <si>
    <t xml:space="preserve">CCC</t>
  </si>
  <si>
    <t xml:space="preserve">The distressed tail. Note how small it is — 3.8% of the index.</t>
  </si>
  <si>
    <t xml:space="preserve">Already in default (D)</t>
  </si>
  <si>
    <t xml:space="preserve">Priced at recovery already — no further expected loss to charge.</t>
  </si>
  <si>
    <t xml:space="preserve">Cash and derivatives</t>
  </si>
  <si>
    <t xml:space="preserve">Total</t>
  </si>
  <si>
    <t xml:space="preserve">Loss given default (%) = 100 less recovery</t>
  </si>
  <si>
    <t xml:space="preserve">Recovery of 50 on the bond. Recent EM sovereign restructurings cleared around 50-65 for bondholders (Ukraine, Ghana, Zambia, Sri Lanka), so 50 is deliberately conservative. NOT the 95% figure in the GEMs/EIB study — that is multilateral lending with preferred creditor status and does not apply to bondholders.</t>
  </si>
  <si>
    <t xml:space="preserve">Index spread (bp)</t>
  </si>
  <si>
    <t xml:space="preserve">Less: expected credit loss (bp)</t>
  </si>
  <si>
    <t xml:space="preserve">Equals: risk and liquidity premium (bp)</t>
  </si>
  <si>
    <t xml:space="preserve">The part of the spread you keep if the base case happens. This is the real answer to 'is the carry high quality'.</t>
  </si>
  <si>
    <t xml:space="preserve">Risk premium as share of spread</t>
  </si>
  <si>
    <t xml:space="preserve">Carry + roll net of expected loss (%)</t>
  </si>
  <si>
    <t xml:space="preserve">Breakeven widening, net of expected loss (bp)</t>
  </si>
  <si>
    <t xml:space="preserve">Charge full through-cycle credit losses against the carry and the breakeven barely moves. That is the test passing.</t>
  </si>
  <si>
    <t xml:space="preserve">Test 3 — Can a single name take the carry away?</t>
  </si>
  <si>
    <t xml:space="preserve">Diversification is what turns a risky asset into a durable income stream. Measure it in months of carry.</t>
  </si>
  <si>
    <t xml:space="preserve">Number of holdings</t>
  </si>
  <si>
    <t xml:space="preserve">iShares EMB, 7-Aug-26. 86.9% sovereign, 12.0% agency.</t>
  </si>
  <si>
    <t xml:space="preserve">Largest single country weight (%)</t>
  </si>
  <si>
    <t xml:space="preserve">Saudi Arabia. Then Mexico 6.26, Turkey 4.87, Indonesia 4.25, Brazil 3.83. No concentration anywhere.</t>
  </si>
  <si>
    <t xml:space="preserve">Carry + roll per month (%)</t>
  </si>
  <si>
    <t xml:space="preserve">Credit event</t>
  </si>
  <si>
    <t xml:space="preserve">Weight hit (%)</t>
  </si>
  <si>
    <t xml:space="preserve">Cost to index (%)</t>
  </si>
  <si>
    <t xml:space="preserve">Months of carry to repay</t>
  </si>
  <si>
    <t xml:space="preserve">Comment</t>
  </si>
  <si>
    <t xml:space="preserve">A 1% weight defaults outright</t>
  </si>
  <si>
    <t xml:space="preserve">Trivial at index level. Less than one month of carry.</t>
  </si>
  <si>
    <t xml:space="preserve">A 3% weight defaults outright</t>
  </si>
  <si>
    <t xml:space="preserve">A mid-size country gone. Still under three months.</t>
  </si>
  <si>
    <t xml:space="preserve">The largest country defaults</t>
  </si>
  <si>
    <t xml:space="preserve">Saudi Arabia at 6.3%. An almost unthinkable event, and it costs five months of carry.</t>
  </si>
  <si>
    <t xml:space="preserve">The ENTIRE CCC bucket defaults</t>
  </si>
  <si>
    <t xml:space="preserve">Every distressed credit in the index defaults at once. Three months of carry. This is the number that settles the argument.</t>
  </si>
  <si>
    <t xml:space="preserve">CCC and half of B default</t>
  </si>
  <si>
    <t xml:space="preserve">A systemic EM credit crisis with no precedent since the 1990s. Roughly ten months of carry.</t>
  </si>
  <si>
    <t xml:space="preserve">Loss given default is linked to the same input cell as Test 2, so the whole tab moves together when you flex recovery.</t>
  </si>
  <si>
    <t xml:space="preserve">Test 4 — Is the composition itself getting better? (Yes — and this is the core of the call)</t>
  </si>
  <si>
    <t xml:space="preserve">The index is not the asset it was. Investment grade has gone from a sixth of it to more than half.</t>
  </si>
  <si>
    <t xml:space="preserve">IG share (%)</t>
  </si>
  <si>
    <t xml:space="preserve">HY share (%)</t>
  </si>
  <si>
    <t xml:space="preserve">EM hard-currency index, 2000</t>
  </si>
  <si>
    <t xml:space="preserve">Janus Henderson: IG share was 'around 15% in 2000'. The Brady-era index was a high-yield asset with a handful of IG names.</t>
  </si>
  <si>
    <t xml:space="preserve">EM hard-currency index, today</t>
  </si>
  <si>
    <t xml:space="preserve">iShares EMB, 7-Aug-26: IG 50.69%, HY 48.19%, cash 1.11% — renormalised excluding cash. Janus Henderson: 'now over 50%'.</t>
  </si>
  <si>
    <t xml:space="preserve">Rating actions, 2025</t>
  </si>
  <si>
    <t xml:space="preserve">Upgrades &gt; 2x downgrades</t>
  </si>
  <si>
    <t xml:space="preserve">Janus Henderson. Oman and Azerbaijan were upgraded to investment grade in July. UBS: no EM sovereign default since end-2023 and agency outlooks now more positive than negative.</t>
  </si>
  <si>
    <t xml:space="preserve">What that composition shift is worth — the quality-adjusted spread</t>
  </si>
  <si>
    <t xml:space="preserve">Comparing today's 220bp to the long-run average spread compares two different assets. Restate today's index at the 2000 composition to see it like for like.</t>
  </si>
  <si>
    <t xml:space="preserve">Assumed IG sub-index spread (bp)</t>
  </si>
  <si>
    <t xml:space="preserve">The only judgement input here. Typical EM sovereign IG spread. Flex it and watch the adjustment move.</t>
  </si>
  <si>
    <t xml:space="preserve">Implied HY sub-index spread (bp)</t>
  </si>
  <si>
    <t xml:space="preserve">Backed out so the two sub-spreads reprice today's index at today's weights.</t>
  </si>
  <si>
    <t xml:space="preserve">Today's index at the 2000 composition (bp)</t>
  </si>
  <si>
    <t xml:space="preserve">Same credits, same spreads, 2000's weights. This is what today's index would quote at if it still had the old composition.</t>
  </si>
  <si>
    <t xml:space="preserve">Quality adjustment (bp)</t>
  </si>
  <si>
    <t xml:space="preserve">Read this as: 220bp on today's index is roughly as generous as ~300bp was on the index of 2000. 'Spreads are at historic tights' is comparing a safer asset with a riskier one and calling the difference expensive.</t>
  </si>
  <si>
    <t xml:space="preserve">The four tests in one line each</t>
  </si>
  <si>
    <t xml:space="preserve">1. Cash, not marks</t>
  </si>
  <si>
    <t xml:space="preserve">80% of the carry is cash coupon, because the index trades at a modest discount rather than a distressed one.</t>
  </si>
  <si>
    <t xml:space="preserve">2. Premium, not loss</t>
  </si>
  <si>
    <t xml:space="preserve">~76% of the 220bp spread is risk premium; only ~53bp is expected credit loss. Charge the loss in full and the breakeven is still &gt;100bp.</t>
  </si>
  <si>
    <t xml:space="preserve">3. No single point of failure</t>
  </si>
  <si>
    <t xml:space="preserve">612 holdings, largest country 6.3%. The entire CCC bucket defaulting costs about three months of carry.</t>
  </si>
  <si>
    <t xml:space="preserve">4. Composition is improving</t>
  </si>
  <si>
    <t xml:space="preserve">IG share 15% in 2000 to 51% today; upgrades running at twice downgrades; no EM sovereign default since end-2023.</t>
  </si>
  <si>
    <t xml:space="preserve">The honest limit of this tab: PDs and recovery are through-cycle estimates, not a forecast, and the quality-adjusted spread rests on the assumed IG sub-index spread. All are blue. Flex them before quoting the numbers externally.</t>
  </si>
  <si>
    <t xml:space="preserve">Sources: iShares EMB fund characteristics and credit-quality breakdown, 7-Aug-2026. Janus Henderson, 'EM sovereign rating upgrades outpace downgrades' (IG share ~15% in 2000 to over 50% today; 2025 upgrades more than double downgrades; Oman and Azerbaijan to IG in July). UBS Asset Management EM Debt update (no sovereign default since end-2023; outlooks more positive than negative).</t>
  </si>
  <si>
    <t xml:space="preserve">Total return by Fed path — full P&amp;L attribution</t>
  </si>
  <si>
    <t xml:space="preserve">Six-way additive attribution over the horizon on tab 1. Probabilities are a house judgement; edit the blue column.</t>
  </si>
  <si>
    <t xml:space="preserve">Scenario</t>
  </si>
  <si>
    <t xml:space="preserve">Prob.</t>
  </si>
  <si>
    <t xml:space="preserve">Fed path (12m)</t>
  </si>
  <si>
    <t xml:space="preserve">d UST (bp)</t>
  </si>
  <si>
    <t xml:space="preserve">d Spread (bp)</t>
  </si>
  <si>
    <t xml:space="preserve">End spread (bp)</t>
  </si>
  <si>
    <t xml:space="preserve">Total d yield (bp)</t>
  </si>
  <si>
    <t xml:space="preserve">Rates P&amp;L (%)</t>
  </si>
  <si>
    <t xml:space="preserve">Spread P&amp;L (%)</t>
  </si>
  <si>
    <t xml:space="preserve">Convexity (%)</t>
  </si>
  <si>
    <t xml:space="preserve">TOTAL RETURN (%)</t>
  </si>
  <si>
    <t xml:space="preserve">Prob-weighted (%)</t>
  </si>
  <si>
    <t xml:space="preserve">Immaculate disinflation</t>
  </si>
  <si>
    <t xml:space="preserve">3 cuts to 2.88%</t>
  </si>
  <si>
    <t xml:space="preserve">Soft landing (base case)</t>
  </si>
  <si>
    <t xml:space="preserve">1 cut to 3.38%</t>
  </si>
  <si>
    <t xml:space="preserve">Higher for longer</t>
  </si>
  <si>
    <t xml:space="preserve">On hold at 3.63% through 2027</t>
  </si>
  <si>
    <t xml:space="preserve">Growth scare / mild recession</t>
  </si>
  <si>
    <t xml:space="preserve">Stagflation — Fed hikes into weakness</t>
  </si>
  <si>
    <t xml:space="preserve">2-3 hikes to 4.38%</t>
  </si>
  <si>
    <t xml:space="preserve">Hard landing / systemic stress</t>
  </si>
  <si>
    <t xml:space="preserve">5+ cuts to 1.88%</t>
  </si>
  <si>
    <t xml:space="preserve">Probability-weighted expected return</t>
  </si>
  <si>
    <t xml:space="preserve">Worst scenario</t>
  </si>
  <si>
    <t xml:space="preserve">Best scenario</t>
  </si>
  <si>
    <t xml:space="preserve">Probability of a negative return</t>
  </si>
  <si>
    <t xml:space="preserve">Why each scenario looks the way it does</t>
  </si>
  <si>
    <t xml:space="preserve">Inflation falls to target without a growth cost. Curve bull-steepens, EM spreads grind tighter on flows.</t>
  </si>
  <si>
    <t xml:space="preserve">UBS base case. Labour cools gradually, inflation drifts down from 3.5%. Spreads widen modestly to the house target on supply and tight-valuation profit-taking.</t>
  </si>
  <si>
    <t xml:space="preserve">Inflation sticks near 3.5%, labour stabilises. Fed does nothing. Carry accrues — the best risk-adjusted outcome even though it is not the best absolute one.</t>
  </si>
  <si>
    <t xml:space="preserve">A normal cyclical downturn. Spreads widen 150bp — roughly the 2013 taper tantrum or the 2018 EM selloff — and the Treasury rally genuinely does offset it. THIS is the scenario the hedge argument works in.</t>
  </si>
  <si>
    <t xml:space="preserve">The worst case, and the one to worry about. Inflation forces hikes while EM fundamentals deteriorate: higher funding costs, a stronger dollar, capital outflows. Both legs move against you and there is NO hedge. Three FOMC members already dissented for a hike in July.</t>
  </si>
  <si>
    <t xml:space="preserve">A genuine crisis, sized off history rather than optimism: EMBI widened +680bp in 2008 and +430bp in COVID. At +400bp the spread costs 26% and even a 150bp Treasury rally only pays back 9.8%. The hedge is overwhelmed.</t>
  </si>
  <si>
    <t xml:space="preserve">THE HEDGE IS PARTIAL, NOT COMPLETE — read these two rows together. In the growth-scare row spreads widen 150bp and the return is STILL +4.5%, because the Treasury rally offsets it. That is the hedge working, and it covers ordinary cyclical stress. In the hard-landing row spreads widen 400bp and the return is -6.8%, because a 400bp spread move costs 26% while a 150bp Treasury rally only pays 9.8%. The hedge is overwhelmed by a systemic event.</t>
  </si>
  <si>
    <t xml:space="preserve">The stagflation row is the worst outcome in the set, because it is the only one where both legs move the SAME way — the Fed hiking into deteriorating EM fundamentals. Rates risk and credit risk stop offsetting exactly when inflation, not growth, is the driver. If you hedge anything, hedge that quadrant, not the credit.</t>
  </si>
  <si>
    <t xml:space="preserve">Convexity term = C * (total d yield)^2 / 2,000,000, which is 100 * 0.5 * C * dy^2 with dy in decimals. Small at these moves, material beyond +/-200bp.</t>
  </si>
  <si>
    <t xml:space="preserve">Total return: spread move x Treasury move</t>
  </si>
  <si>
    <t xml:space="preserve">Every cell is a full total return over the horizon on tab 1, carry and roll included. Rows = spread change, columns = Treasury change, both in bp.</t>
  </si>
  <si>
    <t xml:space="preserve">d Spread (bp) \ d UST (bp)</t>
  </si>
  <si>
    <t xml:space="preserve">Colour scale is a three-point red/white/green anchored at zero — the only conditional formatting in the workbook. On a 13x13 matrix the sign pattern is the content; without it the grid is unreadable. Remove it if you would rather format by hand.</t>
  </si>
  <si>
    <t xml:space="preserve">The zero contour runs diagonally from bottom-left to top-right. Everything above and left of it makes money. The realistic EM stress path is bottom-left to top-right ALONG the contour — spreads widen while Treasuries rally — which is why the asset survives shocks that look fatal on the spread axis alone.</t>
  </si>
  <si>
    <t xml:space="preserve">Reference points</t>
  </si>
  <si>
    <t xml:space="preserve">d UST</t>
  </si>
  <si>
    <t xml:space="preserve">House view: 30bp wider, Fed cuts once</t>
  </si>
  <si>
    <t xml:space="preserve">Spreads widen 30bp, Treasuries unchanged</t>
  </si>
  <si>
    <t xml:space="preserve">Spreads widen 100bp, Treasuries unchanged</t>
  </si>
  <si>
    <t xml:space="preserve">Taper-tantrum shape: +100bp UST, +100bp spread</t>
  </si>
  <si>
    <t xml:space="preserve">Growth shock: -125bp UST, +150bp spread</t>
  </si>
  <si>
    <t xml:space="preserve">How much widening the carry absorbs, by holding period</t>
  </si>
  <si>
    <t xml:space="preserve">Breakeven = the spread widening at which total return is exactly zero. Rates held unchanged.</t>
  </si>
  <si>
    <t xml:space="preserve">Carry + roll (%)</t>
  </si>
  <si>
    <t xml:space="preserve">Breakeven, duration only (bp)</t>
  </si>
  <si>
    <t xml:space="preserve">Breakeven, with convexity (bp)</t>
  </si>
  <si>
    <t xml:space="preserve">Convexity adds (bp)</t>
  </si>
  <si>
    <t xml:space="preserve">Breakeven end spread (bp)</t>
  </si>
  <si>
    <t xml:space="preserve">4</t>
  </si>
  <si>
    <t xml:space="preserve">5</t>
  </si>
  <si>
    <t xml:space="preserve">7</t>
  </si>
  <si>
    <t xml:space="preserve">8</t>
  </si>
  <si>
    <t xml:space="preserve">10</t>
  </si>
  <si>
    <t xml:space="preserve">11</t>
  </si>
  <si>
    <t xml:space="preserve">13</t>
  </si>
  <si>
    <t xml:space="preserve">14</t>
  </si>
  <si>
    <t xml:space="preserve">15</t>
  </si>
  <si>
    <t xml:space="preserve">16</t>
  </si>
  <si>
    <t xml:space="preserve">17</t>
  </si>
  <si>
    <t xml:space="preserve">19</t>
  </si>
  <si>
    <t xml:space="preserve">20</t>
  </si>
  <si>
    <t xml:space="preserve">21</t>
  </si>
  <si>
    <t xml:space="preserve">22</t>
  </si>
  <si>
    <t xml:space="preserve">23</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</si>
  <si>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</si>
  <si>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</si>
  <si>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</si>
  <si>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</si>
  <si>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</si>
  <si>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</si>
  <si>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</si>
  <si>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</si>
  <si>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</si>
  <si>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</si>
  <si>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</si>
  <si>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Months of carry needed to repay the house-view widening</t>
  </si>
  <si>
    <t xml:space="preserve">months</t>
  </si>
  <si>
    <t xml:space="preserve">Duration-only breakeven is carry+roll / spread duration — the line worth memorising. With convexity, solve 0.5*C*x^2 - D*x + carry = 0 and take the smaller root.</t>
  </si>
  <si>
    <t xml:space="preserve">The convexity column must visibly differ from the duration-only column. If the two are within a basis point of each other, the convexity input on tab 1 is 100x too small — that is the Bloomberg CVX_MID units trap.</t>
  </si>
  <si>
    <t xml:space="preserve">The house-view 30bp widening costs 1.95%, and carry+roll earns ~0.64%/month, so the move is repaid in roughly three months of holding. After that you are back to collecting.</t>
  </si>
  <si>
    <t xml:space="preserve">How much is at risk amid volatility</t>
  </si>
  <si>
    <t xml:space="preserve">Parametric. Return vol is driven by two correlated legs — Treasury yield and spread — and the correlation is the point.</t>
  </si>
  <si>
    <t xml:space="preserve">Volatility inputs</t>
  </si>
  <si>
    <t xml:space="preserve">Annualised vol of UST reference yield (bp)</t>
  </si>
  <si>
    <t xml:space="preserve">Typical annualised vol of the 10y yield in a non-crisis regime. Raise it if you think the Fed path is genuinely two-sided — which right now it is.</t>
  </si>
  <si>
    <t xml:space="preserve">Annualised vol of EMBI spread (bp)</t>
  </si>
  <si>
    <t xml:space="preserve">EMBI Global spread vol. Runs lower when the index is tight and higher once it is wide — vol of spread is itself a function of spread level.</t>
  </si>
  <si>
    <t xml:space="preserve">Correlation, UST yield vs spread</t>
  </si>
  <si>
    <t xml:space="preserve">NEGATIVE in growth-driven regimes: bad news widens spreads and rallies Treasuries. Set this to +0.5 to see the 2022 / dollar-funding-stress regime, where both sell off together and the hedge fails.</t>
  </si>
  <si>
    <t xml:space="preserve">Resulting risk</t>
  </si>
  <si>
    <t xml:space="preserve">Vol of total yield change (bp p.a.)</t>
  </si>
  <si>
    <t xml:space="preserve">Combining two vols with the correlation between them.</t>
  </si>
  <si>
    <t xml:space="preserve">Vol of total return (% p.a.)</t>
  </si>
  <si>
    <t xml:space="preserve">Same, if correlation were zero (% p.a.)</t>
  </si>
  <si>
    <t xml:space="preserve">Volatility saved by the negative correlation</t>
  </si>
  <si>
    <t xml:space="preserve">The rates leg hedging the credit leg is worth roughly a fifth of the asset's volatility. It is not a small effect and it does not show up anywhere on a spread screen.</t>
  </si>
  <si>
    <t xml:space="preserve">Loss measures over the horizon on tab 1</t>
  </si>
  <si>
    <t xml:space="preserve">Return vol over horizon (%)</t>
  </si>
  <si>
    <t xml:space="preserve">Vol scales with the square root of time. Carry scales with time. That asymmetry is the whole case for holding the asset rather than trading it.</t>
  </si>
  <si>
    <t xml:space="preserve">95% adverse market move (%)</t>
  </si>
  <si>
    <t xml:space="preserve">Total return at the 95th percentile loss (%)</t>
  </si>
  <si>
    <t xml:space="preserve">Carry absorbs almost the entire 1-in-20 market move over a 12-month hold. This is the number to quote when someone says spreads are too tight.</t>
  </si>
  <si>
    <t xml:space="preserve">99% adverse market move (%)</t>
  </si>
  <si>
    <t xml:space="preserve">Total return at the 99th percentile loss (%)</t>
  </si>
  <si>
    <t xml:space="preserve">Probability of a negative total return</t>
  </si>
  <si>
    <t xml:space="preserve">Carry-to-vol ratio (annualised)</t>
  </si>
  <si>
    <t xml:space="preserve">Carry earned per unit of return volatility. Above 1.0 means a year of carry more than covers a one-standard-deviation move.</t>
  </si>
  <si>
    <t xml:space="preserve">Probability of loss by holding period</t>
  </si>
  <si>
    <t xml:space="preserve">Vol over period (%)</t>
  </si>
  <si>
    <t xml:space="preserve">Prob. of negative return</t>
  </si>
  <si>
    <t xml:space="preserve">95th pct total return (%)</t>
  </si>
  <si>
    <t xml:space="preserve">48</t>
  </si>
  <si>
    <t xml:space="preserve">60</t>
  </si>
  <si>
    <t xml:space="preserve">Carry grows linearly, vol grows with the square root of time. So the probability of losing money falls monotonically with holding period — from roughly a third at one month to a small tail at three years. The asset rewards patience mechanically, not just rhetorically.</t>
  </si>
  <si>
    <t xml:space="preserve">Fed funds path per scenario, and the curve the roll is read off</t>
  </si>
  <si>
    <t xml:space="preserve">Starting point: target 3.50-3.75%, effective 3.63%. Market priced ~44% odds of a September HIKE after the July jobs miss, down from 57% before it.</t>
  </si>
  <si>
    <t xml:space="preserve">Fed funds target midpoint (%) — projected path</t>
  </si>
  <si>
    <t xml:space="preserve">Sep-26</t>
  </si>
  <si>
    <t xml:space="preserve">Dec-26</t>
  </si>
  <si>
    <t xml:space="preserve">Mar-27</t>
  </si>
  <si>
    <t xml:space="preserve">Jun-27</t>
  </si>
  <si>
    <t xml:space="preserve">Sep-27</t>
  </si>
  <si>
    <t xml:space="preserve">Current target midpoint 3.625%. Note the two-sided risk: three FOMC members dissented in July preferring +25bp, while July payrolls came in at -23k with 103k of downward revisions to May and June. Both tails are live, which is unusual and is itself an argument for an asset whose two legs offset.</t>
  </si>
  <si>
    <t xml:space="preserve">US Treasury curve — Fed H.15, 7-Aug-2026</t>
  </si>
  <si>
    <t xml:space="preserve">Tenor</t>
  </si>
  <si>
    <t xml:space="preserve">Yield (%)</t>
  </si>
  <si>
    <t xml:space="preserve">Slope from previous point (bp/yr)</t>
  </si>
  <si>
    <t xml:space="preserve">Yrs</t>
  </si>
  <si>
    <t xml:space="preserve">3m</t>
  </si>
  <si>
    <t xml:space="preserve">2y</t>
  </si>
  <si>
    <t xml:space="preserve">5y</t>
  </si>
  <si>
    <t xml:space="preserve">7y</t>
  </si>
  <si>
    <t xml:space="preserve">10y</t>
  </si>
  <si>
    <t xml:space="preserve">30y</t>
  </si>
  <si>
    <t xml:space="preserve">Belly slope, 5y-10y (bp/yr)</t>
  </si>
  <si>
    <t xml:space="preserve">This is the number feeding the Treasury roll assumption on tab 1. A positively-sloped curve is worth real money to a 6.5-duration asset.</t>
  </si>
  <si>
    <t xml:space="preserve">2s10s (bp)</t>
  </si>
  <si>
    <t xml:space="preserve">Index YTM pickup over 10y UST (bp)</t>
  </si>
  <si>
    <t xml:space="preserve">Sources: Federal Reserve H.15 Selected Interest Rates, 7-Aug-2026. FOMC decision 29-Jul-2026 (held 3.50-3.75%, five consecutive holds, three dissents for +25bp). CME FedWatch via press coverage, 7-Aug-2026 (September hike odds 57% -&gt; 44% on the jobs print). BLS July employment report, released 7-Aug-2026.</t>
  </si>
  <si>
    <t xml:space="preserve">Bloomberg pulls to rebuild this model from live data</t>
  </si>
  <si>
    <t xml:space="preserve">Written WITHOUT the leading '=' so the tab stays inert offline. Add the '=' on your work machine, or copy into the target cell on tab 1.</t>
  </si>
  <si>
    <t xml:space="preserve">Field</t>
  </si>
  <si>
    <t xml:space="preserve">Target cell</t>
  </si>
  <si>
    <t xml:space="preserve">Formula (add leading =)</t>
  </si>
  <si>
    <t xml:space="preserve">EMBI Global stripped spread</t>
  </si>
  <si>
    <t xml:space="preserve">1 Inputs!B5</t>
  </si>
  <si>
    <t xml:space="preserve">BDP("JPEIGLBL Index","INDX_OAS_SPREAD_MID")</t>
  </si>
  <si>
    <t xml:space="preserve">EMBI Global YTM</t>
  </si>
  <si>
    <t xml:space="preserve">check vs B25</t>
  </si>
  <si>
    <t xml:space="preserve">BDP("JPEIGLBL Index","INDX_YLD_YTM_MID")</t>
  </si>
  <si>
    <t xml:space="preserve">EMBI Global mod duration</t>
  </si>
  <si>
    <t xml:space="preserve">1 Inputs!B12</t>
  </si>
  <si>
    <t xml:space="preserve">BDP("JPEIGLBL Index","INDX_MODIFIED_DURATION")</t>
  </si>
  <si>
    <t xml:space="preserve">EMBI Global convexity</t>
  </si>
  <si>
    <t xml:space="preserve">1 Inputs!B14</t>
  </si>
  <si>
    <t xml:space="preserve">BDP("JPEIGLBL Index","INDX_CONVEXITY")*100</t>
  </si>
  <si>
    <t xml:space="preserve">EMBI Global average coupon</t>
  </si>
  <si>
    <t xml:space="preserve">1 Inputs!B10</t>
  </si>
  <si>
    <t xml:space="preserve">BDP("JPEIGLBL Index","INDX_CPN_MID")</t>
  </si>
  <si>
    <t xml:space="preserve">EMBI Global average life</t>
  </si>
  <si>
    <t xml:space="preserve">1 Inputs!B11</t>
  </si>
  <si>
    <t xml:space="preserve">BDP("JPEIGLBL Index","INDX_AVERAGE_LIFE")</t>
  </si>
  <si>
    <t xml:space="preserve">EMBIG Diversified spread (cross-check)</t>
  </si>
  <si>
    <t xml:space="preserve">-</t>
  </si>
  <si>
    <t xml:space="preserve">BDP("JPGCCOMP Index","INDX_OAS_SPREAD_MID")</t>
  </si>
  <si>
    <t xml:space="preserve">UST 7y</t>
  </si>
  <si>
    <t xml:space="preserve">8 Fed path!B19</t>
  </si>
  <si>
    <t xml:space="preserve">BDP("USGG7YR Index","PX_LAST")</t>
  </si>
  <si>
    <t xml:space="preserve">UST 10y</t>
  </si>
  <si>
    <t xml:space="preserve">8 Fed path!B20</t>
  </si>
  <si>
    <t xml:space="preserve">BDP("USGG10YR Index","PX_LAST")</t>
  </si>
  <si>
    <t xml:space="preserve">UST 30y</t>
  </si>
  <si>
    <t xml:space="preserve">8 Fed path!B21</t>
  </si>
  <si>
    <t xml:space="preserve">BDP("USGG30YR Index","PX_LAST")</t>
  </si>
  <si>
    <t xml:space="preserve">UST 2y</t>
  </si>
  <si>
    <t xml:space="preserve">8 Fed path!B17</t>
  </si>
  <si>
    <t xml:space="preserve">BDP("USGG2YR Index","PX_LAST")</t>
  </si>
  <si>
    <t xml:space="preserve">Fed funds effective</t>
  </si>
  <si>
    <t xml:space="preserve">BDP("FEDL01 Index","PX_LAST")</t>
  </si>
  <si>
    <t xml:space="preserve">Market-implied Fed path</t>
  </si>
  <si>
    <t xml:space="preserve">BDH("USOSFR1 BGN Curncy","PX_LAST",today-1,today)</t>
  </si>
  <si>
    <t xml:space="preserve">Spread history for vol estimate</t>
  </si>
  <si>
    <t xml:space="preserve">7 Risk B5:B7</t>
  </si>
  <si>
    <t xml:space="preserve">BDH("JPEIGLBL Index","INDX_OAS_SPREAD_MID",today-1825,today)</t>
  </si>
  <si>
    <t xml:space="preserve">10y yield history for vol estimate</t>
  </si>
  <si>
    <t xml:space="preserve">BDH("USGG10YR Index","PX_LAST",today-1825,today)</t>
  </si>
  <si>
    <t xml:space="preserve">CONVEXITY: the *100 on the convexity pull is deliberate. Bloomberg quotes INDX_CONVEXITY divided by 100; pasted raw it silently shrinks the convexity benefit by two orders of magnitude and nothing anywhere reports an error. The tell is that the two breakeven columns on tab 6 come out within a basis point of each other.</t>
  </si>
  <si>
    <t xml:space="preserve">Ticker for EMBI Global is JPEIGLBL Index; EMBI Global Diversified is JPGCCOMP Index. Verify both on your terminal — index tickers get remapped and the field names differ between the EMBI and CEMBI families.</t>
  </si>
  <si>
    <t xml:space="preserve">To re-estimate the vol inputs on tab 7: pull five years of daily spread and 10y yield, take daily changes in bp, annualise by multiplying the daily standard deviation by SQRT(252), and take the correlation of the two daily-change series. Do it on a rolling one-year window as well — the correlation is regime-dependent and the whole hedge argument rests on it.</t>
  </si>
  <si>
    <t xml:space="preserve">Method, conventions and limitations</t>
  </si>
  <si>
    <t xml:space="preserve">Read before quoting anything out of this workbook.</t>
  </si>
  <si>
    <t xml:space="preserve">The arithmetic</t>
  </si>
  <si>
    <t xml:space="preserve">Total return over horizon h  =  carry + roll  -  D*dy  +  0.5*C*dy^2</t>
  </si>
  <si>
    <t xml:space="preserve">carry + roll                 =  (current yield + pull-to-par)*h  +  D*roll*h</t>
  </si>
  <si>
    <t xml:space="preserve">current yield + pull-to-par  =  YTM, by construction — so the split is additive with no double count</t>
  </si>
  <si>
    <t xml:space="preserve">breakeven widening           =  (carry + roll) / spread duration          &lt;- the line worth memorising</t>
  </si>
  <si>
    <t xml:space="preserve">with convexity               =  smaller root of  0.5*C*x^2 - D*x + carry = 0</t>
  </si>
  <si>
    <t xml:space="preserve">Units</t>
  </si>
  <si>
    <t xml:space="preserve">All rates and returns in PERCENT UNITS (6.75 = 6.75%). All yield and spread moves in BASIS POINTS.</t>
  </si>
  <si>
    <t xml:space="preserve">Convexity in YEARS SQUARED (~60), not Bloomberg's /100 quote. See tab 9.</t>
  </si>
  <si>
    <t xml:space="preserve">Same convention as the Argentina carry-cushion model, so the two workbooks can be read side by side.</t>
  </si>
  <si>
    <t xml:space="preserve">Why carry, roll and pull-to-par do not overlap</t>
  </si>
  <si>
    <t xml:space="preserve">Cash coupon = coupon / price. Actually received.</t>
  </si>
  <si>
    <t xml:space="preserve">Pull-to-par = YTM - current yield. Price drift toward par at an UNCHANGED yield.</t>
  </si>
  <si>
    <t xml:space="preserve">Roll-down   = D * (yield decline from ageing along the curve). The yield MOVING, not held.</t>
  </si>
  <si>
    <t xml:space="preserve">The first two sum to YTM exactly. Roll is the separate effect of the curve's shape. No component is counted twice.</t>
  </si>
  <si>
    <t xml:space="preserve">Status of the inputs</t>
  </si>
  <si>
    <t xml:space="preserve">OBSERVED: Treasury curve (Fed H.15, 7-Aug-26). EMB duration 6.47y, coupon 5.60%, OAS 166bp (iShares, 7-Aug-26).</t>
  </si>
  <si>
    <t xml:space="preserve">UBS CIO PUBLISHED: EMBIG Diversified 244bp spot (Apr-26), 260bp target (Dec-26), asset class rated Attractive (13-May-26).</t>
  </si>
  <si>
    <t xml:space="preserve">USER-SUPPLIED: EMBI Global at 220bp and the 250bp house target. Not observed prints.</t>
  </si>
  <si>
    <t xml:space="preserve">ESTIMATED: average life 11y, convexity 60, Treasury roll 5.5bp/yr, credit roll 8.0bp/yr, all three vol inputs on tab 6.</t>
  </si>
  <si>
    <t xml:space="preserve">JUDGEMENT: the five scenarios and their probabilities. Edit them — they are blue for a reason.</t>
  </si>
  <si>
    <t xml:space="preserve">The credit-curve roll assumption is the softest number here. It contributes ~0.5% a year. Halve it and the case is unchanged; that is worth saying out loud rather than hiding.</t>
  </si>
  <si>
    <t xml:space="preserve">Not modelled</t>
  </si>
  <si>
    <t xml:space="preserve">Parallel shifts only. EM stress usually arrives as curve steepening plus dispersion, not a parallel move.</t>
  </si>
  <si>
    <t xml:space="preserve">Duration/convexity approximation rather than full cashflow repricing — accurate to a few bp inside roughly +/-200bp.</t>
  </si>
  <si>
    <t xml:space="preserve">No default, restructuring or recovery. At index level this matters: a single 5% weight going to 40 recovery costs ~3%.</t>
  </si>
  <si>
    <t xml:space="preserve">No index composition drift, no rebalancing, no new-issue concession.</t>
  </si>
  <si>
    <t xml:space="preserve">No FX, no financing cost. Unlevered, unhedged USD total return.</t>
  </si>
  <si>
    <t xml:space="preserve">Normal distribution in the VaR on tab 6. Spread returns are left-skewed and fat-tailed, so the 99% figure is optimistic. Treat it as a lower bound on the tail.</t>
  </si>
  <si>
    <t xml:space="preserve">The honest counter-argument</t>
  </si>
  <si>
    <t xml:space="preserve">At 220bp the distribution is asymmetric: perhaps 40bp of room to tighten against 150bp+ of room to widen. Tight spreads are themselves a risk factor.</t>
  </si>
  <si>
    <t xml:space="preserve">The rates/credit hedge is regime-dependent. In 2022, and in any dollar-funding squeeze, the correlation flips positive and both legs sell off together — the hedge fails exactly when it is needed. Set the correlation on tab 7 to +0.5 and re-read tab 4.</t>
  </si>
  <si>
    <t xml:space="preserve">Scenario 4 (inflation re-acceleration) is the live version of that risk today, with three FOMC dissents in July and oil in the mix. It is the only scenario in the set with a negative return, and it is not a small probability.</t>
  </si>
  <si>
    <t xml:space="preserve">Spread level is a poor predictor of forward returns; YIELD level is a good one. The case rests on a 6.75% starting yield, not on spreads being cheap. They are not cheap.</t>
  </si>
  <si>
    <t xml:space="preserve">Sources</t>
  </si>
  <si>
    <t xml:space="preserve">Federal Reserve, H.15 Selected Interest Rates, 7-Aug-2026 — federalreserve.gov/releases/h15/</t>
  </si>
  <si>
    <t xml:space="preserve">iShares J.P. Morgan USD Emerging Markets Bond ETF (EMB), fund characteristics, 7-Aug-2026 — ishares.com</t>
  </si>
  <si>
    <t xml:space="preserve">UBS CIO, 'Adding income through emerging market bonds', 13-May-2026 — ubs.com</t>
  </si>
  <si>
    <t xml:space="preserve">UBS Asset Management, 'Emerging Markets Debt' market update — ubs.com</t>
  </si>
  <si>
    <t xml:space="preserve">Global X, EMBD 2Q26 commentary (EMBI Global Core +4.63% in Q2, spread compression the main driver) — globalxetfs.com</t>
  </si>
  <si>
    <t xml:space="preserve">Trading Economics / CME FedWatch coverage of the 29-Jul-2026 FOMC and the 7-Aug-2026 employment report.</t>
  </si>
</sst>
</file>

<file path=xl/styles.xml><?xml version="1.0" encoding="utf-8"?>
<styleSheet xmlns="http://schemas.openxmlformats.org/spreadsheetml/2006/main">
  <numFmts count="7">
    <numFmt numFmtId="164" formatCode="General"/>
    <numFmt numFmtId="165" formatCode="#,##0.00;\(#,##0.00\);\-"/>
    <numFmt numFmtId="166" formatCode="#,##0;\(#,##0\);\-"/>
    <numFmt numFmtId="167" formatCode="0.0%"/>
    <numFmt numFmtId="168" formatCode="[$-409]0%"/>
    <numFmt numFmtId="169" formatCode="#,##0.0;\(#,##0.0\);\-"/>
    <numFmt numFmtId="170" formatCode="\+0.00;\-0.00;\-"/>
  </numFmts>
  <fonts count="25">
    <font>
      <sz val="11"/>
      <color theme="1"/>
      <name val="Calibri"/>
      <family val="2"/>
      <charset val="1"/>
    </font>
    <font>
      <sz val="10"/>
      <name val="Arial"/>
      <family val="0"/>
    </font>
    <font>
      <sz val="10"/>
      <name val="Arial"/>
      <family val="0"/>
    </font>
    <font>
      <sz val="10"/>
      <name val="Arial"/>
      <family val="0"/>
    </font>
    <font>
      <b val="true"/>
      <sz val="13"/>
      <color rgb="FF1A1A1A"/>
      <name val="Arial"/>
      <family val="0"/>
      <charset val="1"/>
    </font>
    <font>
      <i val="true"/>
      <sz val="9"/>
      <color rgb="FF6B6B6B"/>
      <name val="Arial"/>
      <family val="0"/>
      <charset val="1"/>
    </font>
    <font>
      <b val="true"/>
      <sz val="11"/>
      <color rgb="FF1F3B63"/>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b val="true"/>
      <sz val="10"/>
      <color rgb="FF0000FF"/>
      <name val="Arial"/>
      <family val="0"/>
      <charset val="1"/>
    </font>
    <font>
      <b val="true"/>
      <sz val="10"/>
      <color rgb="FF1A1A1A"/>
      <name val="Arial"/>
      <family val="0"/>
      <charset val="1"/>
    </font>
    <font>
      <b val="true"/>
      <sz val="10"/>
      <color rgb="FF008000"/>
      <name val="Arial"/>
      <family val="0"/>
      <charset val="1"/>
    </font>
    <font>
      <i val="true"/>
      <sz val="8"/>
      <color rgb="FF6B6B6B"/>
      <name val="Arial"/>
      <family val="0"/>
      <charset val="1"/>
    </font>
    <font>
      <sz val="10"/>
      <color rgb="FF008000"/>
      <name val="Arial"/>
      <family val="0"/>
      <charset val="1"/>
    </font>
    <font>
      <i val="true"/>
      <sz val="10"/>
      <color rgb="FF6B6B6B"/>
      <name val="Arial"/>
      <family val="0"/>
      <charset val="1"/>
    </font>
    <font>
      <b val="true"/>
      <sz val="10"/>
      <color rgb="FF1F3B63"/>
      <name val="Arial"/>
      <family val="0"/>
      <charset val="1"/>
    </font>
    <font>
      <sz val="10"/>
      <color rgb="FF0000FF"/>
      <name val="Arial"/>
      <family val="0"/>
      <charset val="1"/>
    </font>
    <font>
      <i val="true"/>
      <sz val="10"/>
      <color rgb="FF1A1A1A"/>
      <name val="Arial"/>
      <family val="0"/>
      <charset val="1"/>
    </font>
    <font>
      <b val="true"/>
      <sz val="18"/>
      <color rgb="FF000000"/>
      <name val="Calibri"/>
      <family val="2"/>
    </font>
    <font>
      <sz val="10"/>
      <color rgb="FF000000"/>
      <name val="Calibri"/>
      <family val="2"/>
    </font>
    <font>
      <sz val="10"/>
      <name val="Arial"/>
      <family val="2"/>
    </font>
    <font>
      <b val="true"/>
      <sz val="9"/>
      <name val="Arial"/>
      <family val="0"/>
      <charset val="1"/>
    </font>
    <font>
      <sz val="9"/>
      <name val="Arial"/>
      <family val="0"/>
      <charset val="1"/>
    </font>
    <font>
      <sz val="9"/>
      <color rgb="FF008000"/>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6" fontId="22" fillId="0" borderId="0" xfId="0" applyFont="true" applyBorder="false" applyAlignment="true" applyProtection="true">
      <alignment horizontal="center" vertical="bottom" textRotation="0" wrapText="false" indent="0" shrinkToFit="false"/>
      <protection locked="true" hidden="false"/>
    </xf>
    <xf numFmtId="165" fontId="23"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B6B6B"/>
      <rgbColor rgb="FF800080"/>
      <rgbColor rgb="FF4F81BD"/>
      <rgbColor rgb="FFC0C0C0"/>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8B855"/>
      <rgbColor rgb="FFFFCC00"/>
      <rgbColor rgb="FFF59240"/>
      <rgbColor rgb="FFFF6600"/>
      <rgbColor rgb="FF7D5FA0"/>
      <rgbColor rgb="FF9BBB59"/>
      <rgbColor rgb="FF1F3B63"/>
      <rgbColor rgb="FF46AAC4"/>
      <rgbColor rgb="FF003300"/>
      <rgbColor rgb="FF333300"/>
      <rgbColor rgb="FF993300"/>
      <rgbColor rgb="FFC0504D"/>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Your return for a given combined rates + spread move (%)</a:t>
            </a:r>
          </a:p>
        </c:rich>
      </c:tx>
      <c:overlay val="0"/>
      <c:spPr>
        <a:noFill/>
        <a:ln w="0">
          <a:noFill/>
        </a:ln>
      </c:spPr>
    </c:title>
    <c:autoTitleDeleted val="0"/>
    <c:plotArea>
      <c:barChart>
        <c:barDir val="col"/>
        <c:grouping val="clustered"/>
        <c:varyColors val="0"/>
        <c:ser>
          <c:idx val="0"/>
          <c:order val="0"/>
          <c:tx>
            <c:strRef>
              <c:f>"Total return"</c:f>
              <c:strCache>
                <c:ptCount val="1"/>
                <c:pt idx="0">
                  <c:v>Total return</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 Plain English'!$B$27:$B$34</c:f>
              <c:strCache>
                <c:ptCount val="8"/>
                <c:pt idx="0">
                  <c:v>-</c:v>
                </c:pt>
                <c:pt idx="1">
                  <c:v>50</c:v>
                </c:pt>
                <c:pt idx="2">
                  <c:v>5</c:v>
                </c:pt>
                <c:pt idx="3">
                  <c:v>75</c:v>
                </c:pt>
                <c:pt idx="4">
                  <c:v>120</c:v>
                </c:pt>
                <c:pt idx="5">
                  <c:v>150</c:v>
                </c:pt>
                <c:pt idx="6">
                  <c:v>200</c:v>
                </c:pt>
                <c:pt idx="7">
                  <c:v>300</c:v>
                </c:pt>
              </c:strCache>
            </c:strRef>
          </c:cat>
          <c:val>
            <c:numRef>
              <c:f>'0 Plain English'!$E$27:$E$34</c:f>
              <c:numCache>
                <c:formatCode>#,##0.00;\(#,##0.00\);\-</c:formatCode>
                <c:ptCount val="8"/>
                <c:pt idx="0">
                  <c:v>7.6275</c:v>
                </c:pt>
                <c:pt idx="1">
                  <c:v>4.4525</c:v>
                </c:pt>
                <c:pt idx="2">
                  <c:v>7.30325</c:v>
                </c:pt>
                <c:pt idx="3">
                  <c:v>2.92125</c:v>
                </c:pt>
                <c:pt idx="4">
                  <c:v>0.2595</c:v>
                </c:pt>
                <c:pt idx="5">
                  <c:v>-1.4475</c:v>
                </c:pt>
                <c:pt idx="6">
                  <c:v>-4.1725</c:v>
                </c:pt>
                <c:pt idx="7">
                  <c:v>-9.1725</c:v>
                </c:pt>
              </c:numCache>
            </c:numRef>
          </c:val>
        </c:ser>
        <c:gapWidth val="150"/>
        <c:overlap val="0"/>
        <c:axId val="10878590"/>
        <c:axId val="4686146"/>
      </c:barChart>
      <c:catAx>
        <c:axId val="10878590"/>
        <c:scaling>
          <c:orientation val="minMax"/>
        </c:scaling>
        <c:delete val="0"/>
        <c:axPos val="b"/>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6146"/>
        <c:crosses val="autoZero"/>
        <c:auto val="1"/>
        <c:lblAlgn val="ctr"/>
        <c:lblOffset val="100"/>
        <c:noMultiLvlLbl val="0"/>
      </c:catAx>
      <c:valAx>
        <c:axId val="4686146"/>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8785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return you actually earn, by how long you hold</a:t>
            </a:r>
          </a:p>
        </c:rich>
      </c:tx>
      <c:overlay val="0"/>
      <c:spPr>
        <a:noFill/>
        <a:ln w="0">
          <a:noFill/>
        </a:ln>
      </c:spPr>
    </c:title>
    <c:autoTitleDeleted val="0"/>
    <c:plotArea>
      <c:lineChart>
        <c:grouping val="standard"/>
        <c:varyColors val="0"/>
        <c:ser>
          <c:idx val="0"/>
          <c:order val="0"/>
          <c:tx>
            <c:strRef>
              <c:f>"No change"</c:f>
              <c:strCache>
                <c:ptCount val="1"/>
                <c:pt idx="0">
                  <c:v>No change</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 Plain English'!$A$46:$A$56</c:f>
              <c:strCache>
                <c:ptCount val="11"/>
                <c:pt idx="0">
                  <c:v>1 year</c:v>
                </c:pt>
                <c:pt idx="1">
                  <c:v>2 years</c:v>
                </c:pt>
                <c:pt idx="2">
                  <c:v>3 years</c:v>
                </c:pt>
                <c:pt idx="3">
                  <c:v>4 years</c:v>
                </c:pt>
                <c:pt idx="4">
                  <c:v>5 years</c:v>
                </c:pt>
                <c:pt idx="5">
                  <c:v>6 years</c:v>
                </c:pt>
                <c:pt idx="6">
                  <c:v>7 years</c:v>
                </c:pt>
                <c:pt idx="7">
                  <c:v>8 years</c:v>
                </c:pt>
                <c:pt idx="8">
                  <c:v>9 years</c:v>
                </c:pt>
                <c:pt idx="9">
                  <c:v>10 years</c:v>
                </c:pt>
                <c:pt idx="10">
                  <c:v>11 years</c:v>
                </c:pt>
              </c:strCache>
            </c:strRef>
          </c:cat>
          <c:val>
            <c:numRef>
              <c:f>'0 Plain English'!$C$46:$C$56</c:f>
              <c:numCache>
                <c:formatCode>0.0%</c:formatCode>
                <c:ptCount val="11"/>
                <c:pt idx="0">
                  <c:v>0.0674999999999999</c:v>
                </c:pt>
                <c:pt idx="1">
                  <c:v>0.0674999999999999</c:v>
                </c:pt>
                <c:pt idx="2">
                  <c:v>0.0674999999999999</c:v>
                </c:pt>
                <c:pt idx="3">
                  <c:v>0.0674999999999999</c:v>
                </c:pt>
                <c:pt idx="4">
                  <c:v>0.0674999999999999</c:v>
                </c:pt>
                <c:pt idx="5">
                  <c:v>0.0674999999999999</c:v>
                </c:pt>
                <c:pt idx="6">
                  <c:v>0.0674999999999999</c:v>
                </c:pt>
                <c:pt idx="7">
                  <c:v>0.0674999999999999</c:v>
                </c:pt>
                <c:pt idx="8">
                  <c:v>0.0674999999999999</c:v>
                </c:pt>
                <c:pt idx="9">
                  <c:v>0.0674999999999999</c:v>
                </c:pt>
                <c:pt idx="10">
                  <c:v>0.0674999999999999</c:v>
                </c:pt>
              </c:numCache>
            </c:numRef>
          </c:val>
          <c:smooth val="1"/>
        </c:ser>
        <c:ser>
          <c:idx val="1"/>
          <c:order val="1"/>
          <c:tx>
            <c:strRef>
              <c:f>"Yields rise 100bp"</c:f>
              <c:strCache>
                <c:ptCount val="1"/>
                <c:pt idx="0">
                  <c:v>Yields rise 100bp</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 Plain English'!$A$46:$A$56</c:f>
              <c:strCache>
                <c:ptCount val="11"/>
                <c:pt idx="0">
                  <c:v>1 year</c:v>
                </c:pt>
                <c:pt idx="1">
                  <c:v>2 years</c:v>
                </c:pt>
                <c:pt idx="2">
                  <c:v>3 years</c:v>
                </c:pt>
                <c:pt idx="3">
                  <c:v>4 years</c:v>
                </c:pt>
                <c:pt idx="4">
                  <c:v>5 years</c:v>
                </c:pt>
                <c:pt idx="5">
                  <c:v>6 years</c:v>
                </c:pt>
                <c:pt idx="6">
                  <c:v>7 years</c:v>
                </c:pt>
                <c:pt idx="7">
                  <c:v>8 years</c:v>
                </c:pt>
                <c:pt idx="8">
                  <c:v>9 years</c:v>
                </c:pt>
                <c:pt idx="9">
                  <c:v>10 years</c:v>
                </c:pt>
                <c:pt idx="10">
                  <c:v>11 years</c:v>
                </c:pt>
              </c:strCache>
            </c:strRef>
          </c:cat>
          <c:val>
            <c:numRef>
              <c:f>'0 Plain English'!$D$46:$D$56</c:f>
              <c:numCache>
                <c:formatCode>0.0%</c:formatCode>
                <c:ptCount val="11"/>
                <c:pt idx="0">
                  <c:v>-0.00283657331884313</c:v>
                </c:pt>
                <c:pt idx="1">
                  <c:v>0.0365537092929369</c:v>
                </c:pt>
                <c:pt idx="2">
                  <c:v>0.0500265966500282</c:v>
                </c:pt>
                <c:pt idx="3">
                  <c:v>0.0568285678212619</c:v>
                </c:pt>
                <c:pt idx="4">
                  <c:v>0.0609308823044081</c:v>
                </c:pt>
                <c:pt idx="5">
                  <c:v>0.0636746015066851</c:v>
                </c:pt>
                <c:pt idx="6">
                  <c:v>0.0656387441437771</c:v>
                </c:pt>
                <c:pt idx="7">
                  <c:v>0.067114230917857</c:v>
                </c:pt>
                <c:pt idx="8">
                  <c:v>0.0682632440166553</c:v>
                </c:pt>
                <c:pt idx="9">
                  <c:v>0.0691833452140001</c:v>
                </c:pt>
                <c:pt idx="10">
                  <c:v>0.069936744707964</c:v>
                </c:pt>
              </c:numCache>
            </c:numRef>
          </c:val>
          <c:smooth val="1"/>
        </c:ser>
        <c:ser>
          <c:idx val="2"/>
          <c:order val="2"/>
          <c:tx>
            <c:strRef>
              <c:f>"Yields rise 200bp"</c:f>
              <c:strCache>
                <c:ptCount val="1"/>
                <c:pt idx="0">
                  <c:v>Yields rise 200bp</c:v>
                </c:pt>
              </c:strCache>
            </c:strRef>
          </c:tx>
          <c:spPr>
            <a:solidFill>
              <a:srgbClr val="98b855"/>
            </a:solidFill>
            <a:ln w="28440">
              <a:solidFill>
                <a:srgbClr val="98b855"/>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 Plain English'!$A$46:$A$56</c:f>
              <c:strCache>
                <c:ptCount val="11"/>
                <c:pt idx="0">
                  <c:v>1 year</c:v>
                </c:pt>
                <c:pt idx="1">
                  <c:v>2 years</c:v>
                </c:pt>
                <c:pt idx="2">
                  <c:v>3 years</c:v>
                </c:pt>
                <c:pt idx="3">
                  <c:v>4 years</c:v>
                </c:pt>
                <c:pt idx="4">
                  <c:v>5 years</c:v>
                </c:pt>
                <c:pt idx="5">
                  <c:v>6 years</c:v>
                </c:pt>
                <c:pt idx="6">
                  <c:v>7 years</c:v>
                </c:pt>
                <c:pt idx="7">
                  <c:v>8 years</c:v>
                </c:pt>
                <c:pt idx="8">
                  <c:v>9 years</c:v>
                </c:pt>
                <c:pt idx="9">
                  <c:v>10 years</c:v>
                </c:pt>
                <c:pt idx="10">
                  <c:v>11 years</c:v>
                </c:pt>
              </c:strCache>
            </c:strRef>
          </c:cat>
          <c:val>
            <c:numRef>
              <c:f>'0 Plain English'!$E$46:$E$56</c:f>
              <c:numCache>
                <c:formatCode>0.0%</c:formatCode>
                <c:ptCount val="11"/>
                <c:pt idx="0">
                  <c:v>-0.066924814739911</c:v>
                </c:pt>
                <c:pt idx="1">
                  <c:v>0.00733274739300849</c:v>
                </c:pt>
                <c:pt idx="2">
                  <c:v>0.0333760461975472</c:v>
                </c:pt>
                <c:pt idx="3">
                  <c:v>0.04664911158893</c:v>
                </c:pt>
                <c:pt idx="4">
                  <c:v>0.0546946437101725</c:v>
                </c:pt>
                <c:pt idx="5">
                  <c:v>0.0600926611574257</c:v>
                </c:pt>
                <c:pt idx="6">
                  <c:v>0.0639652944793578</c:v>
                </c:pt>
                <c:pt idx="7">
                  <c:v>0.0668790507142605</c:v>
                </c:pt>
                <c:pt idx="8">
                  <c:v>0.06915082117861</c:v>
                </c:pt>
                <c:pt idx="9">
                  <c:v>0.0709717199976909</c:v>
                </c:pt>
                <c:pt idx="10">
                  <c:v>0.0724638527592143</c:v>
                </c:pt>
              </c:numCache>
            </c:numRef>
          </c:val>
          <c:smooth val="1"/>
        </c:ser>
        <c:hiLowLines>
          <c:spPr>
            <a:ln w="0">
              <a:noFill/>
            </a:ln>
          </c:spPr>
        </c:hiLowLines>
        <c:marker val="0"/>
        <c:axId val="67183752"/>
        <c:axId val="93337717"/>
      </c:lineChart>
      <c:catAx>
        <c:axId val="6718375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37717"/>
        <c:crosses val="autoZero"/>
        <c:auto val="1"/>
        <c:lblAlgn val="ctr"/>
        <c:lblOffset val="100"/>
        <c:noMultiLvlLbl val="0"/>
      </c:catAx>
      <c:valAx>
        <c:axId val="9333771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837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decomposition by holding period (%)</a:t>
            </a:r>
          </a:p>
        </c:rich>
      </c:tx>
      <c:overlay val="0"/>
      <c:spPr>
        <a:noFill/>
        <a:ln w="0">
          <a:noFill/>
        </a:ln>
      </c:spPr>
    </c:title>
    <c:autoTitleDeleted val="0"/>
    <c:plotArea>
      <c:barChart>
        <c:barDir val="col"/>
        <c:grouping val="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Decomposition'!$B$15:$B$23</c:f>
              <c:numCache>
                <c:formatCode>#,##0.00;\(#,##0.00\);\-</c:formatCode>
                <c:ptCount val="9"/>
                <c:pt idx="0">
                  <c:v>0.511314044525215</c:v>
                </c:pt>
                <c:pt idx="1">
                  <c:v>1.02262808905043</c:v>
                </c:pt>
                <c:pt idx="2">
                  <c:v>1.53394213357564</c:v>
                </c:pt>
                <c:pt idx="3">
                  <c:v>3.06788426715129</c:v>
                </c:pt>
                <c:pt idx="4">
                  <c:v>4.60182640072693</c:v>
                </c:pt>
                <c:pt idx="5">
                  <c:v>6.13576853430258</c:v>
                </c:pt>
                <c:pt idx="6">
                  <c:v>9.20365280145387</c:v>
                </c:pt>
                <c:pt idx="7">
                  <c:v>12.2715370686052</c:v>
                </c:pt>
                <c:pt idx="8">
                  <c:v>18.4073056029077</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Decomposition'!$C$15:$C$23</c:f>
              <c:numCache>
                <c:formatCode>#,##0.00;\(#,##0.00\);\-</c:formatCode>
                <c:ptCount val="9"/>
                <c:pt idx="0">
                  <c:v>0.0511859554747853</c:v>
                </c:pt>
                <c:pt idx="1">
                  <c:v>0.102371910949571</c:v>
                </c:pt>
                <c:pt idx="2">
                  <c:v>0.153557866424356</c:v>
                </c:pt>
                <c:pt idx="3">
                  <c:v>0.307115732848712</c:v>
                </c:pt>
                <c:pt idx="4">
                  <c:v>0.460673599273067</c:v>
                </c:pt>
                <c:pt idx="5">
                  <c:v>0.614231465697423</c:v>
                </c:pt>
                <c:pt idx="6">
                  <c:v>0.921347198546135</c:v>
                </c:pt>
                <c:pt idx="7">
                  <c:v>1.22846293139485</c:v>
                </c:pt>
                <c:pt idx="8">
                  <c:v>1.84269439709227</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Decomposition'!$D$15:$D$23</c:f>
              <c:numCache>
                <c:formatCode>#,##0.00;\(#,##0.00\);\-</c:formatCode>
                <c:ptCount val="9"/>
                <c:pt idx="0">
                  <c:v>0.073125</c:v>
                </c:pt>
                <c:pt idx="1">
                  <c:v>0.14625</c:v>
                </c:pt>
                <c:pt idx="2">
                  <c:v>0.219375</c:v>
                </c:pt>
                <c:pt idx="3">
                  <c:v>0.43875</c:v>
                </c:pt>
                <c:pt idx="4">
                  <c:v>0.658125</c:v>
                </c:pt>
                <c:pt idx="5">
                  <c:v>0.8775</c:v>
                </c:pt>
                <c:pt idx="6">
                  <c:v>1.31625</c:v>
                </c:pt>
                <c:pt idx="7">
                  <c:v>1.755</c:v>
                </c:pt>
                <c:pt idx="8">
                  <c:v>2.6325</c:v>
                </c:pt>
              </c:numCache>
            </c:numRef>
          </c:val>
        </c:ser>
        <c:gapWidth val="150"/>
        <c:overlap val="100"/>
        <c:axId val="90098789"/>
        <c:axId val="48068074"/>
      </c:barChart>
      <c:catAx>
        <c:axId val="9009878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068074"/>
        <c:crosses val="autoZero"/>
        <c:auto val="1"/>
        <c:lblAlgn val="ctr"/>
        <c:lblOffset val="100"/>
        <c:noMultiLvlLbl val="0"/>
      </c:catAx>
      <c:valAx>
        <c:axId val="48068074"/>
        <c:scaling>
          <c:orientation val="minMax"/>
          <c:min val="0"/>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0987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mix — shares of total</a:t>
            </a:r>
          </a:p>
        </c:rich>
      </c:tx>
      <c:overlay val="0"/>
      <c:spPr>
        <a:noFill/>
        <a:ln w="0">
          <a:noFill/>
        </a:ln>
      </c:spPr>
    </c:title>
    <c:autoTitleDeleted val="0"/>
    <c:plotArea>
      <c:barChart>
        <c:barDir val="col"/>
        <c:grouping val="percent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Decomposition'!$B$15:$B$23</c:f>
              <c:numCache>
                <c:formatCode>#,##0.00;\(#,##0.00\);\-</c:formatCode>
                <c:ptCount val="9"/>
                <c:pt idx="0">
                  <c:v>0.511314044525215</c:v>
                </c:pt>
                <c:pt idx="1">
                  <c:v>1.02262808905043</c:v>
                </c:pt>
                <c:pt idx="2">
                  <c:v>1.53394213357564</c:v>
                </c:pt>
                <c:pt idx="3">
                  <c:v>3.06788426715129</c:v>
                </c:pt>
                <c:pt idx="4">
                  <c:v>4.60182640072693</c:v>
                </c:pt>
                <c:pt idx="5">
                  <c:v>6.13576853430258</c:v>
                </c:pt>
                <c:pt idx="6">
                  <c:v>9.20365280145387</c:v>
                </c:pt>
                <c:pt idx="7">
                  <c:v>12.2715370686052</c:v>
                </c:pt>
                <c:pt idx="8">
                  <c:v>18.4073056029077</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Decomposition'!$C$15:$C$23</c:f>
              <c:numCache>
                <c:formatCode>#,##0.00;\(#,##0.00\);\-</c:formatCode>
                <c:ptCount val="9"/>
                <c:pt idx="0">
                  <c:v>0.0511859554747853</c:v>
                </c:pt>
                <c:pt idx="1">
                  <c:v>0.102371910949571</c:v>
                </c:pt>
                <c:pt idx="2">
                  <c:v>0.153557866424356</c:v>
                </c:pt>
                <c:pt idx="3">
                  <c:v>0.307115732848712</c:v>
                </c:pt>
                <c:pt idx="4">
                  <c:v>0.460673599273067</c:v>
                </c:pt>
                <c:pt idx="5">
                  <c:v>0.614231465697423</c:v>
                </c:pt>
                <c:pt idx="6">
                  <c:v>0.921347198546135</c:v>
                </c:pt>
                <c:pt idx="7">
                  <c:v>1.22846293139485</c:v>
                </c:pt>
                <c:pt idx="8">
                  <c:v>1.84269439709227</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Decomposition'!$A$15:$A$23</c:f>
              <c:strCache>
                <c:ptCount val="9"/>
                <c:pt idx="0">
                  <c:v>1</c:v>
                </c:pt>
                <c:pt idx="1">
                  <c:v>2</c:v>
                </c:pt>
                <c:pt idx="2">
                  <c:v>3</c:v>
                </c:pt>
                <c:pt idx="3">
                  <c:v>6</c:v>
                </c:pt>
                <c:pt idx="4">
                  <c:v>9</c:v>
                </c:pt>
                <c:pt idx="5">
                  <c:v>12</c:v>
                </c:pt>
                <c:pt idx="6">
                  <c:v>18</c:v>
                </c:pt>
                <c:pt idx="7">
                  <c:v>24</c:v>
                </c:pt>
                <c:pt idx="8">
                  <c:v>36</c:v>
                </c:pt>
              </c:strCache>
            </c:strRef>
          </c:cat>
          <c:val>
            <c:numRef>
              <c:f>'2 Decomposition'!$D$15:$D$23</c:f>
              <c:numCache>
                <c:formatCode>#,##0.00;\(#,##0.00\);\-</c:formatCode>
                <c:ptCount val="9"/>
                <c:pt idx="0">
                  <c:v>0.073125</c:v>
                </c:pt>
                <c:pt idx="1">
                  <c:v>0.14625</c:v>
                </c:pt>
                <c:pt idx="2">
                  <c:v>0.219375</c:v>
                </c:pt>
                <c:pt idx="3">
                  <c:v>0.43875</c:v>
                </c:pt>
                <c:pt idx="4">
                  <c:v>0.658125</c:v>
                </c:pt>
                <c:pt idx="5">
                  <c:v>0.8775</c:v>
                </c:pt>
                <c:pt idx="6">
                  <c:v>1.31625</c:v>
                </c:pt>
                <c:pt idx="7">
                  <c:v>1.755</c:v>
                </c:pt>
                <c:pt idx="8">
                  <c:v>2.6325</c:v>
                </c:pt>
              </c:numCache>
            </c:numRef>
          </c:val>
        </c:ser>
        <c:gapWidth val="150"/>
        <c:overlap val="100"/>
        <c:axId val="77387282"/>
        <c:axId val="23204943"/>
      </c:barChart>
      <c:catAx>
        <c:axId val="7738728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204943"/>
        <c:crosses val="autoZero"/>
        <c:auto val="1"/>
        <c:lblAlgn val="ctr"/>
        <c:lblOffset val="100"/>
        <c:noMultiLvlLbl val="0"/>
      </c:catAx>
      <c:valAx>
        <c:axId val="23204943"/>
        <c:scaling>
          <c:orientation val="minMax"/>
        </c:scaling>
        <c:delete val="0"/>
        <c:axPos val="l"/>
        <c:majorGridlines>
          <c:spPr>
            <a:ln w="9360">
              <a:solidFill>
                <a:srgbClr val="878787"/>
              </a:solidFill>
              <a:round/>
            </a:ln>
          </c:spPr>
        </c:majorGridlines>
        <c:numFmt formatCode="[$-409]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3872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Expected loss by rating bucket (bp of index)</a:t>
            </a:r>
          </a:p>
        </c:rich>
      </c:tx>
      <c:overlay val="0"/>
      <c:spPr>
        <a:noFill/>
        <a:ln w="0">
          <a:noFill/>
        </a:ln>
      </c:spPr>
    </c:title>
    <c:autoTitleDeleted val="0"/>
    <c:plotArea>
      <c:barChart>
        <c:barDir val="col"/>
        <c:grouping val="stacked"/>
        <c:varyColors val="0"/>
        <c:ser>
          <c:idx val="0"/>
          <c:order val="0"/>
          <c:tx>
            <c:strRef>
              <c:f>"Expected loss"</c:f>
              <c:strCache>
                <c:ptCount val="1"/>
                <c:pt idx="0">
                  <c:v>Expected loss</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Carry quality'!$A$14:$A$18</c:f>
              <c:strCache>
                <c:ptCount val="5"/>
                <c:pt idx="0">
                  <c:v>A</c:v>
                </c:pt>
                <c:pt idx="1">
                  <c:v>BBB</c:v>
                </c:pt>
                <c:pt idx="2">
                  <c:v>BB</c:v>
                </c:pt>
                <c:pt idx="3">
                  <c:v>B</c:v>
                </c:pt>
                <c:pt idx="4">
                  <c:v>CCC</c:v>
                </c:pt>
              </c:strCache>
            </c:strRef>
          </c:cat>
          <c:val>
            <c:numRef>
              <c:f>'3 Carry quality'!$E$14:$E$18</c:f>
              <c:numCache>
                <c:formatCode>#,##0.0;\(#,##0.0\);\-</c:formatCode>
                <c:ptCount val="5"/>
                <c:pt idx="0">
                  <c:v>0.432</c:v>
                </c:pt>
                <c:pt idx="1">
                  <c:v>2.50575</c:v>
                </c:pt>
                <c:pt idx="2">
                  <c:v>8.10875</c:v>
                </c:pt>
                <c:pt idx="3">
                  <c:v>19.13</c:v>
                </c:pt>
                <c:pt idx="4">
                  <c:v>22.74</c:v>
                </c:pt>
              </c:numCache>
            </c:numRef>
          </c:val>
        </c:ser>
        <c:gapWidth val="150"/>
        <c:overlap val="100"/>
        <c:axId val="97408399"/>
        <c:axId val="59108421"/>
      </c:barChart>
      <c:catAx>
        <c:axId val="9740839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08421"/>
        <c:crosses val="autoZero"/>
        <c:auto val="1"/>
        <c:lblAlgn val="ctr"/>
        <c:lblOffset val="100"/>
        <c:noMultiLvlLbl val="0"/>
      </c:catAx>
      <c:valAx>
        <c:axId val="59108421"/>
        <c:scaling>
          <c:orientation val="minMax"/>
          <c:min val="0"/>
        </c:scaling>
        <c:delete val="0"/>
        <c:axPos val="l"/>
        <c:majorGridlines>
          <c:spPr>
            <a:ln w="9360">
              <a:solidFill>
                <a:srgbClr val="878787"/>
              </a:solidFill>
              <a:round/>
            </a:ln>
          </c:spPr>
        </c:majorGridlines>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4083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Months of carry to repay a credit event</a:t>
            </a:r>
          </a:p>
        </c:rich>
      </c:tx>
      <c:overlay val="0"/>
      <c:spPr>
        <a:noFill/>
        <a:ln w="0">
          <a:noFill/>
        </a:ln>
      </c:spPr>
    </c:title>
    <c:autoTitleDeleted val="0"/>
    <c:plotArea>
      <c:barChart>
        <c:barDir val="col"/>
        <c:grouping val="clustered"/>
        <c:varyColors val="0"/>
        <c:ser>
          <c:idx val="0"/>
          <c:order val="0"/>
          <c:tx>
            <c:strRef>
              <c:f>"Months of carry"</c:f>
              <c:strCache>
                <c:ptCount val="1"/>
                <c:pt idx="0">
                  <c:v>Months of carry</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 Carry quality'!$A$39:$A$43</c:f>
              <c:strCache>
                <c:ptCount val="5"/>
                <c:pt idx="0">
                  <c:v>A 1% weight defaults outright</c:v>
                </c:pt>
                <c:pt idx="1">
                  <c:v>A 3% weight defaults outright</c:v>
                </c:pt>
                <c:pt idx="2">
                  <c:v>The largest country defaults</c:v>
                </c:pt>
                <c:pt idx="3">
                  <c:v>The ENTIRE CCC bucket defaults</c:v>
                </c:pt>
                <c:pt idx="4">
                  <c:v>CCC and half of B default</c:v>
                </c:pt>
              </c:strCache>
            </c:strRef>
          </c:cat>
          <c:val>
            <c:numRef>
              <c:f>'3 Carry quality'!$E$39:$E$43</c:f>
              <c:numCache>
                <c:formatCode>#,##0.0;\(#,##0.0\);\-</c:formatCode>
                <c:ptCount val="5"/>
                <c:pt idx="0">
                  <c:v>0.786627335299902</c:v>
                </c:pt>
                <c:pt idx="1">
                  <c:v>2.35988200589971</c:v>
                </c:pt>
                <c:pt idx="2">
                  <c:v>4.95575221238938</c:v>
                </c:pt>
                <c:pt idx="3">
                  <c:v>2.98131760078663</c:v>
                </c:pt>
                <c:pt idx="4">
                  <c:v>10.5093411996067</c:v>
                </c:pt>
              </c:numCache>
            </c:numRef>
          </c:val>
        </c:ser>
        <c:gapWidth val="150"/>
        <c:overlap val="0"/>
        <c:axId val="61436320"/>
        <c:axId val="54806333"/>
      </c:barChart>
      <c:catAx>
        <c:axId val="6143632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06333"/>
        <c:crosses val="autoZero"/>
        <c:auto val="1"/>
        <c:lblAlgn val="ctr"/>
        <c:lblOffset val="100"/>
        <c:noMultiLvlLbl val="0"/>
      </c:catAx>
      <c:valAx>
        <c:axId val="54806333"/>
        <c:scaling>
          <c:orientation val="minMax"/>
        </c:scaling>
        <c:delete val="0"/>
        <c:axPos val="l"/>
        <c:majorGridlines>
          <c:spPr>
            <a:ln w="9360">
              <a:solidFill>
                <a:srgbClr val="878787"/>
              </a:solidFill>
              <a:round/>
            </a:ln>
          </c:spPr>
        </c:majorGridlines>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4363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return by Fed scenario (%)</a:t>
            </a:r>
          </a:p>
        </c:rich>
      </c:tx>
      <c:overlay val="0"/>
      <c:spPr>
        <a:noFill/>
        <a:ln w="0">
          <a:noFill/>
        </a:ln>
      </c:spPr>
    </c:title>
    <c:autoTitleDeleted val="0"/>
    <c:plotArea>
      <c:barChart>
        <c:barDir val="col"/>
        <c:grouping val="clustered"/>
        <c:varyColors val="0"/>
        <c:ser>
          <c:idx val="0"/>
          <c:order val="0"/>
          <c:tx>
            <c:strRef>
              <c:f>"Total return"</c:f>
              <c:strCache>
                <c:ptCount val="1"/>
                <c:pt idx="0">
                  <c:v>Total return</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scenarios'!$N$5:$N$10</c:f>
              <c:numCache>
                <c:formatCode>#,##0.00;\(#,##0.00\);\-</c:formatCode>
                <c:ptCount val="6"/>
                <c:pt idx="0">
                  <c:v>13.0195</c:v>
                </c:pt>
                <c:pt idx="1">
                  <c:v>7.30325</c:v>
                </c:pt>
                <c:pt idx="2">
                  <c:v>4.76325</c:v>
                </c:pt>
                <c:pt idx="3">
                  <c:v>4.4525</c:v>
                </c:pt>
                <c:pt idx="4">
                  <c:v>-10.32875</c:v>
                </c:pt>
                <c:pt idx="5">
                  <c:v>-6.7475</c:v>
                </c:pt>
              </c:numCache>
            </c:numRef>
          </c:val>
        </c:ser>
        <c:gapWidth val="150"/>
        <c:overlap val="0"/>
        <c:axId val="62048837"/>
        <c:axId val="19101989"/>
      </c:barChart>
      <c:catAx>
        <c:axId val="6204883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01989"/>
        <c:crosses val="autoZero"/>
        <c:auto val="1"/>
        <c:lblAlgn val="ctr"/>
        <c:lblOffset val="100"/>
        <c:noMultiLvlLbl val="0"/>
      </c:catAx>
      <c:valAx>
        <c:axId val="19101989"/>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0488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P&amp;L attribution by scenario (%)</a:t>
            </a:r>
          </a:p>
        </c:rich>
      </c:tx>
      <c:overlay val="0"/>
      <c:spPr>
        <a:noFill/>
        <a:ln w="0">
          <a:noFill/>
        </a:ln>
      </c:spPr>
    </c:title>
    <c:autoTitleDeleted val="0"/>
    <c:plotArea>
      <c:barChart>
        <c:barDir val="col"/>
        <c:grouping val="stacked"/>
        <c:varyColors val="0"/>
        <c:ser>
          <c:idx val="0"/>
          <c:order val="0"/>
          <c:tx>
            <c:strRef>
              <c:f>"Cash coupon"</c:f>
              <c:strCache>
                <c:ptCount val="1"/>
                <c:pt idx="0">
                  <c:v>Cash coupon</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scenarios'!$H$5:$H$10</c:f>
              <c:numCache>
                <c:formatCode>#,##0.00;\(#,##0.00\);\-</c:formatCode>
                <c:ptCount val="6"/>
                <c:pt idx="0">
                  <c:v>6.13576853430258</c:v>
                </c:pt>
                <c:pt idx="1">
                  <c:v>6.13576853430258</c:v>
                </c:pt>
                <c:pt idx="2">
                  <c:v>6.13576853430258</c:v>
                </c:pt>
                <c:pt idx="3">
                  <c:v>6.13576853430258</c:v>
                </c:pt>
                <c:pt idx="4">
                  <c:v>6.13576853430258</c:v>
                </c:pt>
                <c:pt idx="5">
                  <c:v>6.13576853430258</c:v>
                </c:pt>
              </c:numCache>
            </c:numRef>
          </c:val>
        </c:ser>
        <c:ser>
          <c:idx val="1"/>
          <c:order val="1"/>
          <c:tx>
            <c:strRef>
              <c:f>"Pull-to-par"</c:f>
              <c:strCache>
                <c:ptCount val="1"/>
                <c:pt idx="0">
                  <c:v>Pull-to-par</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scenarios'!$I$5:$I$10</c:f>
              <c:numCache>
                <c:formatCode>#,##0.00;\(#,##0.00\);\-</c:formatCode>
                <c:ptCount val="6"/>
                <c:pt idx="0">
                  <c:v>0.614231465697423</c:v>
                </c:pt>
                <c:pt idx="1">
                  <c:v>0.614231465697423</c:v>
                </c:pt>
                <c:pt idx="2">
                  <c:v>0.614231465697423</c:v>
                </c:pt>
                <c:pt idx="3">
                  <c:v>0.614231465697423</c:v>
                </c:pt>
                <c:pt idx="4">
                  <c:v>0.614231465697423</c:v>
                </c:pt>
                <c:pt idx="5">
                  <c:v>0.614231465697423</c:v>
                </c:pt>
              </c:numCache>
            </c:numRef>
          </c:val>
        </c:ser>
        <c:ser>
          <c:idx val="2"/>
          <c:order val="2"/>
          <c:tx>
            <c:strRef>
              <c:f>"Roll-down"</c:f>
              <c:strCache>
                <c:ptCount val="1"/>
                <c:pt idx="0">
                  <c:v>Roll-down</c:v>
                </c:pt>
              </c:strCache>
            </c:strRef>
          </c:tx>
          <c:spPr>
            <a:solidFill>
              <a:srgbClr val="9bbb59"/>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scenarios'!$J$5:$J$10</c:f>
              <c:numCache>
                <c:formatCode>#,##0.00;\(#,##0.00\);\-</c:formatCode>
                <c:ptCount val="6"/>
                <c:pt idx="0">
                  <c:v>0.8775</c:v>
                </c:pt>
                <c:pt idx="1">
                  <c:v>0.8775</c:v>
                </c:pt>
                <c:pt idx="2">
                  <c:v>0.8775</c:v>
                </c:pt>
                <c:pt idx="3">
                  <c:v>0.8775</c:v>
                </c:pt>
                <c:pt idx="4">
                  <c:v>0.8775</c:v>
                </c:pt>
                <c:pt idx="5">
                  <c:v>0.8775</c:v>
                </c:pt>
              </c:numCache>
            </c:numRef>
          </c:val>
        </c:ser>
        <c:ser>
          <c:idx val="3"/>
          <c:order val="3"/>
          <c:tx>
            <c:strRef>
              <c:f>"Rates P&amp;L"</c:f>
              <c:strCache>
                <c:ptCount val="1"/>
                <c:pt idx="0">
                  <c:v>Rates P&amp;L</c:v>
                </c:pt>
              </c:strCache>
            </c:strRef>
          </c:tx>
          <c:spPr>
            <a:solidFill>
              <a:srgbClr val="8064a2"/>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scenarios'!$K$5:$K$10</c:f>
              <c:numCache>
                <c:formatCode>\+0.00;\-0.00;\-</c:formatCode>
                <c:ptCount val="6"/>
                <c:pt idx="0">
                  <c:v>3.9</c:v>
                </c:pt>
                <c:pt idx="1">
                  <c:v>1.625</c:v>
                </c:pt>
                <c:pt idx="2">
                  <c:v>-1.625</c:v>
                </c:pt>
                <c:pt idx="3">
                  <c:v>6.5</c:v>
                </c:pt>
                <c:pt idx="4">
                  <c:v>-8.125</c:v>
                </c:pt>
                <c:pt idx="5">
                  <c:v>9.75</c:v>
                </c:pt>
              </c:numCache>
            </c:numRef>
          </c:val>
        </c:ser>
        <c:ser>
          <c:idx val="4"/>
          <c:order val="4"/>
          <c:tx>
            <c:strRef>
              <c:f>"Spread P&amp;L"</c:f>
              <c:strCache>
                <c:ptCount val="1"/>
                <c:pt idx="0">
                  <c:v>Spread P&amp;L</c:v>
                </c:pt>
              </c:strCache>
            </c:strRef>
          </c:tx>
          <c:spPr>
            <a:solidFill>
              <a:srgbClr val="4bacc6"/>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scenarios'!$L$5:$L$10</c:f>
              <c:numCache>
                <c:formatCode>\+0.00;\-0.00;\-</c:formatCode>
                <c:ptCount val="6"/>
                <c:pt idx="0">
                  <c:v>1.3</c:v>
                </c:pt>
                <c:pt idx="1">
                  <c:v>-1.95</c:v>
                </c:pt>
                <c:pt idx="2">
                  <c:v>-1.3</c:v>
                </c:pt>
                <c:pt idx="3">
                  <c:v>-9.75</c:v>
                </c:pt>
                <c:pt idx="4">
                  <c:v>-13</c:v>
                </c:pt>
                <c:pt idx="5">
                  <c:v>-26</c:v>
                </c:pt>
              </c:numCache>
            </c:numRef>
          </c:val>
        </c:ser>
        <c:ser>
          <c:idx val="5"/>
          <c:order val="5"/>
          <c:tx>
            <c:strRef>
              <c:f>"Convexity"</c:f>
              <c:strCache>
                <c:ptCount val="1"/>
                <c:pt idx="0">
                  <c:v>Convexity</c:v>
                </c:pt>
              </c:strCache>
            </c:strRef>
          </c:tx>
          <c:spPr>
            <a:solidFill>
              <a:srgbClr val="f79646"/>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Fed scenarios'!$A$5:$A$10</c:f>
              <c:strCache>
                <c:ptCount val="6"/>
                <c:pt idx="0">
                  <c:v>Immaculate disinflation</c:v>
                </c:pt>
                <c:pt idx="1">
                  <c:v>Soft landing (base case)</c:v>
                </c:pt>
                <c:pt idx="2">
                  <c:v>Higher for longer</c:v>
                </c:pt>
                <c:pt idx="3">
                  <c:v>Growth scare / mild recession</c:v>
                </c:pt>
                <c:pt idx="4">
                  <c:v>Stagflation — Fed hikes into weakness</c:v>
                </c:pt>
                <c:pt idx="5">
                  <c:v>Hard landing / systemic stress</c:v>
                </c:pt>
              </c:strCache>
            </c:strRef>
          </c:cat>
          <c:val>
            <c:numRef>
              <c:f>'4 Fed scenarios'!$M$5:$M$10</c:f>
              <c:numCache>
                <c:formatCode>#,##0.00;\(#,##0.00\);\-</c:formatCode>
                <c:ptCount val="6"/>
                <c:pt idx="0">
                  <c:v>0.192</c:v>
                </c:pt>
                <c:pt idx="1">
                  <c:v>0.00075</c:v>
                </c:pt>
                <c:pt idx="2">
                  <c:v>0.06075</c:v>
                </c:pt>
                <c:pt idx="3">
                  <c:v>0.075</c:v>
                </c:pt>
                <c:pt idx="4">
                  <c:v>3.16875</c:v>
                </c:pt>
                <c:pt idx="5">
                  <c:v>1.875</c:v>
                </c:pt>
              </c:numCache>
            </c:numRef>
          </c:val>
        </c:ser>
        <c:gapWidth val="150"/>
        <c:overlap val="100"/>
        <c:axId val="7339300"/>
        <c:axId val="30384412"/>
      </c:barChart>
      <c:catAx>
        <c:axId val="73393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384412"/>
        <c:crosses val="autoZero"/>
        <c:auto val="1"/>
        <c:lblAlgn val="ctr"/>
        <c:lblOffset val="100"/>
        <c:noMultiLvlLbl val="0"/>
      </c:catAx>
      <c:valAx>
        <c:axId val="30384412"/>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393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spread widening by holding period (bp)</a:t>
            </a:r>
          </a:p>
        </c:rich>
      </c:tx>
      <c:overlay val="0"/>
      <c:spPr>
        <a:noFill/>
        <a:ln w="0">
          <a:noFill/>
        </a:ln>
      </c:spPr>
    </c:title>
    <c:autoTitleDeleted val="0"/>
    <c:plotArea>
      <c:lineChart>
        <c:grouping val="standard"/>
        <c:varyColors val="0"/>
        <c:ser>
          <c:idx val="0"/>
          <c:order val="0"/>
          <c:tx>
            <c:strRef>
              <c:f>"Duration only"</c:f>
              <c:strCache>
                <c:ptCount val="1"/>
                <c:pt idx="0">
                  <c:v>Duration only</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Breakeven'!$C$5:$C$40</c:f>
              <c:numCache>
                <c:formatCode>#,##0;\(#,##0\);\-</c:formatCode>
                <c:ptCount val="36"/>
                <c:pt idx="0">
                  <c:v>9.77884615384615</c:v>
                </c:pt>
                <c:pt idx="1">
                  <c:v>19.5576923076923</c:v>
                </c:pt>
                <c:pt idx="2">
                  <c:v>29.3365384615385</c:v>
                </c:pt>
                <c:pt idx="3">
                  <c:v>39.1153846153846</c:v>
                </c:pt>
                <c:pt idx="4">
                  <c:v>48.8942307692308</c:v>
                </c:pt>
                <c:pt idx="5">
                  <c:v>58.6730769230769</c:v>
                </c:pt>
                <c:pt idx="6">
                  <c:v>68.4519230769231</c:v>
                </c:pt>
                <c:pt idx="7">
                  <c:v>78.2307692307692</c:v>
                </c:pt>
                <c:pt idx="8">
                  <c:v>88.0096153846154</c:v>
                </c:pt>
                <c:pt idx="9">
                  <c:v>97.7884615384616</c:v>
                </c:pt>
                <c:pt idx="10">
                  <c:v>107.567307692308</c:v>
                </c:pt>
                <c:pt idx="11">
                  <c:v>117.346153846154</c:v>
                </c:pt>
                <c:pt idx="12">
                  <c:v>127.125</c:v>
                </c:pt>
                <c:pt idx="13">
                  <c:v>136.903846153846</c:v>
                </c:pt>
                <c:pt idx="14">
                  <c:v>146.682692307692</c:v>
                </c:pt>
                <c:pt idx="15">
                  <c:v>156.461538461538</c:v>
                </c:pt>
                <c:pt idx="16">
                  <c:v>166.240384615385</c:v>
                </c:pt>
                <c:pt idx="17">
                  <c:v>176.019230769231</c:v>
                </c:pt>
                <c:pt idx="18">
                  <c:v>185.798076923077</c:v>
                </c:pt>
                <c:pt idx="19">
                  <c:v>195.576923076923</c:v>
                </c:pt>
                <c:pt idx="20">
                  <c:v>205.355769230769</c:v>
                </c:pt>
                <c:pt idx="21">
                  <c:v>215.134615384615</c:v>
                </c:pt>
                <c:pt idx="22">
                  <c:v>224.913461538462</c:v>
                </c:pt>
                <c:pt idx="23">
                  <c:v>234.692307692308</c:v>
                </c:pt>
                <c:pt idx="24">
                  <c:v>244.471153846154</c:v>
                </c:pt>
                <c:pt idx="25">
                  <c:v>254.25</c:v>
                </c:pt>
                <c:pt idx="26">
                  <c:v>264.028846153846</c:v>
                </c:pt>
                <c:pt idx="27">
                  <c:v>273.807692307692</c:v>
                </c:pt>
                <c:pt idx="28">
                  <c:v>283.586538461538</c:v>
                </c:pt>
                <c:pt idx="29">
                  <c:v>293.365384615385</c:v>
                </c:pt>
                <c:pt idx="30">
                  <c:v>303.144230769231</c:v>
                </c:pt>
                <c:pt idx="31">
                  <c:v>312.923076923077</c:v>
                </c:pt>
                <c:pt idx="32">
                  <c:v>322.701923076923</c:v>
                </c:pt>
                <c:pt idx="33">
                  <c:v>332.480769230769</c:v>
                </c:pt>
                <c:pt idx="34">
                  <c:v>342.259615384615</c:v>
                </c:pt>
                <c:pt idx="35">
                  <c:v>352.038461538462</c:v>
                </c:pt>
              </c:numCache>
            </c:numRef>
          </c:val>
          <c:smooth val="1"/>
        </c:ser>
        <c:ser>
          <c:idx val="1"/>
          <c:order val="1"/>
          <c:tx>
            <c:strRef>
              <c:f>"With convexity"</c:f>
              <c:strCache>
                <c:ptCount val="1"/>
                <c:pt idx="0">
                  <c:v>With convexity</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Breakeven'!$D$5:$D$40</c:f>
              <c:numCache>
                <c:formatCode>#,##0;\(#,##0\);\-</c:formatCode>
                <c:ptCount val="36"/>
                <c:pt idx="0">
                  <c:v>9.82338409620069</c:v>
                </c:pt>
                <c:pt idx="1">
                  <c:v>19.7374932177793</c:v>
                </c:pt>
                <c:pt idx="2">
                  <c:v>29.7448884882357</c:v>
                </c:pt>
                <c:pt idx="3">
                  <c:v>39.8482538467548</c:v>
                </c:pt>
                <c:pt idx="4">
                  <c:v>50.0504044551334</c:v>
                </c:pt>
                <c:pt idx="5">
                  <c:v>60.3542958593922</c:v>
                </c:pt>
                <c:pt idx="6">
                  <c:v>70.7630339905612</c:v>
                </c:pt>
                <c:pt idx="7">
                  <c:v>81.2798861005468</c:v>
                </c:pt>
                <c:pt idx="8">
                  <c:v>91.9082927422097</c:v>
                </c:pt>
                <c:pt idx="9">
                  <c:v>102.651880918172</c:v>
                </c:pt>
                <c:pt idx="10">
                  <c:v>113.514478540795</c:v>
                </c:pt>
                <c:pt idx="11">
                  <c:v>124.500130366774</c:v>
                </c:pt>
                <c:pt idx="12">
                  <c:v>135.613115594411</c:v>
                </c:pt>
                <c:pt idx="13">
                  <c:v>146.85796734066</c:v>
                </c:pt>
                <c:pt idx="14">
                  <c:v>158.239494249367</c:v>
                </c:pt>
                <c:pt idx="15">
                  <c:v>169.762804522825</c:v>
                </c:pt>
                <c:pt idx="16">
                  <c:v>181.43333271735</c:v>
                </c:pt>
                <c:pt idx="17">
                  <c:v>193.256869701634</c:v>
                </c:pt>
                <c:pt idx="18">
                  <c:v>205.239596246506</c:v>
                </c:pt>
                <c:pt idx="19">
                  <c:v>217.388120799012</c:v>
                </c:pt>
                <c:pt idx="20">
                  <c:v>229.70952209614</c:v>
                </c:pt>
                <c:pt idx="21">
                  <c:v>242.211397398293</c:v>
                </c:pt>
                <c:pt idx="22">
                  <c:v>254.901917275787</c:v>
                </c:pt>
                <c:pt idx="23">
                  <c:v>267.789888070537</c:v>
                </c:pt>
                <c:pt idx="24">
                  <c:v>280.88482338948</c:v>
                </c:pt>
                <c:pt idx="25">
                  <c:v>294.197026279152</c:v>
                </c:pt>
                <c:pt idx="26">
                  <c:v>307.737684099075</c:v>
                </c:pt>
                <c:pt idx="27">
                  <c:v>321.518978578114</c:v>
                </c:pt>
                <c:pt idx="28">
                  <c:v>335.554214133612</c:v>
                </c:pt>
                <c:pt idx="29">
                  <c:v>349.857968299775</c:v>
                </c:pt>
                <c:pt idx="30">
                  <c:v>364.446269107588</c:v>
                </c:pt>
                <c:pt idx="31">
                  <c:v>379.336805564118</c:v>
                </c:pt>
                <c:pt idx="32">
                  <c:v>394.549179108578</c:v>
                </c:pt>
                <c:pt idx="33">
                  <c:v>410.105206238876</c:v>
                </c:pt>
                <c:pt idx="34">
                  <c:v>426.029285642228</c:v>
                </c:pt>
                <c:pt idx="35">
                  <c:v>442.348847474969</c:v>
                </c:pt>
              </c:numCache>
            </c:numRef>
          </c:val>
          <c:smooth val="1"/>
        </c:ser>
        <c:hiLowLines>
          <c:spPr>
            <a:ln w="0">
              <a:noFill/>
            </a:ln>
          </c:spPr>
        </c:hiLowLines>
        <c:marker val="0"/>
        <c:axId val="38730318"/>
        <c:axId val="15650117"/>
      </c:lineChart>
      <c:catAx>
        <c:axId val="3873031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50117"/>
        <c:crosses val="autoZero"/>
        <c:auto val="1"/>
        <c:lblAlgn val="ctr"/>
        <c:lblOffset val="100"/>
        <c:noMultiLvlLbl val="0"/>
      </c:catAx>
      <c:valAx>
        <c:axId val="1565011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7303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Breakeven end spread (bp)</a:t>
            </a:r>
          </a:p>
        </c:rich>
      </c:tx>
      <c:overlay val="0"/>
      <c:spPr>
        <a:noFill/>
        <a:ln w="0">
          <a:noFill/>
        </a:ln>
      </c:spPr>
    </c:title>
    <c:autoTitleDeleted val="0"/>
    <c:plotArea>
      <c:lineChart>
        <c:grouping val="standard"/>
        <c:varyColors val="0"/>
        <c:ser>
          <c:idx val="0"/>
          <c:order val="0"/>
          <c:tx>
            <c:strRef>
              <c:f>"Spread level at which 12m return = 0"</c:f>
              <c:strCache>
                <c:ptCount val="1"/>
                <c:pt idx="0">
                  <c:v>Spread level at which 12m return = 0</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Breakeven'!$A$5:$A$40</c:f>
              <c:strCach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strCache>
            </c:strRef>
          </c:cat>
          <c:val>
            <c:numRef>
              <c:f>'6 Breakeven'!$F$5:$F$40</c:f>
              <c:numCache>
                <c:formatCode>#,##0;\(#,##0\);\-</c:formatCode>
                <c:ptCount val="36"/>
                <c:pt idx="0">
                  <c:v>229.823384096201</c:v>
                </c:pt>
                <c:pt idx="1">
                  <c:v>239.737493217779</c:v>
                </c:pt>
                <c:pt idx="2">
                  <c:v>249.744888488236</c:v>
                </c:pt>
                <c:pt idx="3">
                  <c:v>259.848253846755</c:v>
                </c:pt>
                <c:pt idx="4">
                  <c:v>270.050404455133</c:v>
                </c:pt>
                <c:pt idx="5">
                  <c:v>280.354295859392</c:v>
                </c:pt>
                <c:pt idx="6">
                  <c:v>290.763033990561</c:v>
                </c:pt>
                <c:pt idx="7">
                  <c:v>301.279886100547</c:v>
                </c:pt>
                <c:pt idx="8">
                  <c:v>311.90829274221</c:v>
                </c:pt>
                <c:pt idx="9">
                  <c:v>322.651880918172</c:v>
                </c:pt>
                <c:pt idx="10">
                  <c:v>333.514478540795</c:v>
                </c:pt>
                <c:pt idx="11">
                  <c:v>344.500130366774</c:v>
                </c:pt>
                <c:pt idx="12">
                  <c:v>355.613115594411</c:v>
                </c:pt>
                <c:pt idx="13">
                  <c:v>366.85796734066</c:v>
                </c:pt>
                <c:pt idx="14">
                  <c:v>378.239494249367</c:v>
                </c:pt>
                <c:pt idx="15">
                  <c:v>389.762804522825</c:v>
                </c:pt>
                <c:pt idx="16">
                  <c:v>401.43333271735</c:v>
                </c:pt>
                <c:pt idx="17">
                  <c:v>413.256869701634</c:v>
                </c:pt>
                <c:pt idx="18">
                  <c:v>425.239596246506</c:v>
                </c:pt>
                <c:pt idx="19">
                  <c:v>437.388120799012</c:v>
                </c:pt>
                <c:pt idx="20">
                  <c:v>449.70952209614</c:v>
                </c:pt>
                <c:pt idx="21">
                  <c:v>462.211397398293</c:v>
                </c:pt>
                <c:pt idx="22">
                  <c:v>474.901917275787</c:v>
                </c:pt>
                <c:pt idx="23">
                  <c:v>487.789888070537</c:v>
                </c:pt>
                <c:pt idx="24">
                  <c:v>500.88482338948</c:v>
                </c:pt>
                <c:pt idx="25">
                  <c:v>514.197026279152</c:v>
                </c:pt>
                <c:pt idx="26">
                  <c:v>527.737684099075</c:v>
                </c:pt>
                <c:pt idx="27">
                  <c:v>541.518978578114</c:v>
                </c:pt>
                <c:pt idx="28">
                  <c:v>555.554214133612</c:v>
                </c:pt>
                <c:pt idx="29">
                  <c:v>569.857968299775</c:v>
                </c:pt>
                <c:pt idx="30">
                  <c:v>584.446269107588</c:v>
                </c:pt>
                <c:pt idx="31">
                  <c:v>599.336805564118</c:v>
                </c:pt>
                <c:pt idx="32">
                  <c:v>614.549179108578</c:v>
                </c:pt>
                <c:pt idx="33">
                  <c:v>630.105206238876</c:v>
                </c:pt>
                <c:pt idx="34">
                  <c:v>646.029285642228</c:v>
                </c:pt>
                <c:pt idx="35">
                  <c:v>662.34884747497</c:v>
                </c:pt>
              </c:numCache>
            </c:numRef>
          </c:val>
          <c:smooth val="1"/>
        </c:ser>
        <c:hiLowLines>
          <c:spPr>
            <a:ln w="0">
              <a:noFill/>
            </a:ln>
          </c:spPr>
        </c:hiLowLines>
        <c:marker val="0"/>
        <c:axId val="61237256"/>
        <c:axId val="80145934"/>
      </c:lineChart>
      <c:catAx>
        <c:axId val="6123725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145934"/>
        <c:crosses val="autoZero"/>
        <c:auto val="1"/>
        <c:lblAlgn val="ctr"/>
        <c:lblOffset val="100"/>
        <c:noMultiLvlLbl val="0"/>
      </c:catAx>
      <c:valAx>
        <c:axId val="8014593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2372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Probability of a negative total return, by holding period</a:t>
            </a:r>
          </a:p>
        </c:rich>
      </c:tx>
      <c:overlay val="0"/>
      <c:spPr>
        <a:noFill/>
        <a:ln w="0">
          <a:noFill/>
        </a:ln>
      </c:spPr>
    </c:title>
    <c:autoTitleDeleted val="0"/>
    <c:plotArea>
      <c:lineChart>
        <c:grouping val="standard"/>
        <c:varyColors val="0"/>
        <c:ser>
          <c:idx val="0"/>
          <c:order val="0"/>
          <c:tx>
            <c:strRef>
              <c:f>"Probability of loss"</c:f>
              <c:strCache>
                <c:ptCount val="1"/>
                <c:pt idx="0">
                  <c:v>Probability of loss</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Risk'!$D$27:$D$37</c:f>
              <c:numCache>
                <c:formatCode>0.0%</c:formatCode>
                <c:ptCount val="11"/>
                <c:pt idx="0">
                  <c:v>0.330140060930205</c:v>
                </c:pt>
                <c:pt idx="1">
                  <c:v>0.267107635131845</c:v>
                </c:pt>
                <c:pt idx="2">
                  <c:v>0.223244282738041</c:v>
                </c:pt>
                <c:pt idx="3">
                  <c:v>0.140826032080822</c:v>
                </c:pt>
                <c:pt idx="4">
                  <c:v>0.093654891131285</c:v>
                </c:pt>
                <c:pt idx="5">
                  <c:v>0.0639338758907114</c:v>
                </c:pt>
                <c:pt idx="6">
                  <c:v>0.031108031400764</c:v>
                </c:pt>
                <c:pt idx="7">
                  <c:v>0.0156502620444059</c:v>
                </c:pt>
                <c:pt idx="8">
                  <c:v>0.0041801855085321</c:v>
                </c:pt>
                <c:pt idx="9">
                  <c:v>0.00116290433456227</c:v>
                </c:pt>
                <c:pt idx="10">
                  <c:v>0.00033135705643114</c:v>
                </c:pt>
              </c:numCache>
            </c:numRef>
          </c:val>
          <c:smooth val="1"/>
        </c:ser>
        <c:hiLowLines>
          <c:spPr>
            <a:ln w="0">
              <a:noFill/>
            </a:ln>
          </c:spPr>
        </c:hiLowLines>
        <c:marker val="0"/>
        <c:axId val="53533389"/>
        <c:axId val="79655158"/>
      </c:lineChart>
      <c:catAx>
        <c:axId val="5353338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655158"/>
        <c:crosses val="autoZero"/>
        <c:auto val="1"/>
        <c:lblAlgn val="ctr"/>
        <c:lblOffset val="100"/>
        <c:noMultiLvlLbl val="0"/>
      </c:catAx>
      <c:valAx>
        <c:axId val="7965515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333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Carry vs volatility by holding period (%)</a:t>
            </a:r>
          </a:p>
        </c:rich>
      </c:tx>
      <c:overlay val="0"/>
      <c:spPr>
        <a:noFill/>
        <a:ln w="0">
          <a:noFill/>
        </a:ln>
      </c:spPr>
    </c:title>
    <c:autoTitleDeleted val="0"/>
    <c:plotArea>
      <c:lineChart>
        <c:grouping val="standard"/>
        <c:varyColors val="0"/>
        <c:ser>
          <c:idx val="0"/>
          <c:order val="0"/>
          <c:tx>
            <c:strRef>
              <c:f>"Carry + roll"</c:f>
              <c:strCache>
                <c:ptCount val="1"/>
                <c:pt idx="0">
                  <c:v>Carry + roll</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Risk'!$B$27:$B$37</c:f>
              <c:numCache>
                <c:formatCode>#,##0.00;\(#,##0.00\);\-</c:formatCode>
                <c:ptCount val="11"/>
                <c:pt idx="0">
                  <c:v>0.635625</c:v>
                </c:pt>
                <c:pt idx="1">
                  <c:v>1.27125</c:v>
                </c:pt>
                <c:pt idx="2">
                  <c:v>1.906875</c:v>
                </c:pt>
                <c:pt idx="3">
                  <c:v>3.81375</c:v>
                </c:pt>
                <c:pt idx="4">
                  <c:v>5.720625</c:v>
                </c:pt>
                <c:pt idx="5">
                  <c:v>7.6275</c:v>
                </c:pt>
                <c:pt idx="6">
                  <c:v>11.44125</c:v>
                </c:pt>
                <c:pt idx="7">
                  <c:v>15.255</c:v>
                </c:pt>
                <c:pt idx="8">
                  <c:v>22.8825</c:v>
                </c:pt>
                <c:pt idx="9">
                  <c:v>30.51</c:v>
                </c:pt>
                <c:pt idx="10">
                  <c:v>38.1375</c:v>
                </c:pt>
              </c:numCache>
            </c:numRef>
          </c:val>
          <c:smooth val="1"/>
        </c:ser>
        <c:ser>
          <c:idx val="1"/>
          <c:order val="1"/>
          <c:tx>
            <c:strRef>
              <c:f>"Return vol over period"</c:f>
              <c:strCache>
                <c:ptCount val="1"/>
                <c:pt idx="0">
                  <c:v>Return vol over period</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Risk'!$A$27:$A$37</c:f>
              <c:strCache>
                <c:ptCount val="11"/>
                <c:pt idx="0">
                  <c:v>1</c:v>
                </c:pt>
                <c:pt idx="1">
                  <c:v>2</c:v>
                </c:pt>
                <c:pt idx="2">
                  <c:v>3</c:v>
                </c:pt>
                <c:pt idx="3">
                  <c:v>6</c:v>
                </c:pt>
                <c:pt idx="4">
                  <c:v>9</c:v>
                </c:pt>
                <c:pt idx="5">
                  <c:v>12</c:v>
                </c:pt>
                <c:pt idx="6">
                  <c:v>18</c:v>
                </c:pt>
                <c:pt idx="7">
                  <c:v>24</c:v>
                </c:pt>
                <c:pt idx="8">
                  <c:v>36</c:v>
                </c:pt>
                <c:pt idx="9">
                  <c:v>48</c:v>
                </c:pt>
                <c:pt idx="10">
                  <c:v>60</c:v>
                </c:pt>
              </c:strCache>
            </c:strRef>
          </c:cat>
          <c:val>
            <c:numRef>
              <c:f>'7 Risk'!$C$27:$C$37</c:f>
              <c:numCache>
                <c:formatCode>#,##0.00;\(#,##0.00\);\-</c:formatCode>
                <c:ptCount val="11"/>
                <c:pt idx="0">
                  <c:v>1.44615870498365</c:v>
                </c:pt>
                <c:pt idx="1">
                  <c:v>2.0451772539318</c:v>
                </c:pt>
                <c:pt idx="2">
                  <c:v>2.5048203528397</c:v>
                </c:pt>
                <c:pt idx="3">
                  <c:v>3.54235091429407</c:v>
                </c:pt>
                <c:pt idx="4">
                  <c:v>4.33847611495096</c:v>
                </c:pt>
                <c:pt idx="5">
                  <c:v>5.0096407056794</c:v>
                </c:pt>
                <c:pt idx="6">
                  <c:v>6.13553176179539</c:v>
                </c:pt>
                <c:pt idx="7">
                  <c:v>7.08470182858813</c:v>
                </c:pt>
                <c:pt idx="8">
                  <c:v>8.67695222990192</c:v>
                </c:pt>
                <c:pt idx="9">
                  <c:v>10.0192814113588</c:v>
                </c:pt>
                <c:pt idx="10">
                  <c:v>11.2018971607492</c:v>
                </c:pt>
              </c:numCache>
            </c:numRef>
          </c:val>
          <c:smooth val="1"/>
        </c:ser>
        <c:hiLowLines>
          <c:spPr>
            <a:ln w="0">
              <a:noFill/>
            </a:ln>
          </c:spPr>
        </c:hiLowLines>
        <c:marker val="0"/>
        <c:axId val="13003636"/>
        <c:axId val="41527212"/>
      </c:lineChart>
      <c:catAx>
        <c:axId val="1300363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527212"/>
        <c:crosses val="autoZero"/>
        <c:auto val="1"/>
        <c:lblAlgn val="ctr"/>
        <c:lblOffset val="100"/>
        <c:noMultiLvlLbl val="0"/>
      </c:catAx>
      <c:valAx>
        <c:axId val="41527212"/>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0036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Fed funds target midpoint by scenario (%)</a:t>
            </a:r>
          </a:p>
        </c:rich>
      </c:tx>
      <c:overlay val="0"/>
      <c:spPr>
        <a:noFill/>
        <a:ln w="0">
          <a:noFill/>
        </a:ln>
      </c:spPr>
    </c:title>
    <c:autoTitleDeleted val="0"/>
    <c:plotArea>
      <c:lineChart>
        <c:grouping val="standard"/>
        <c:varyColors val="0"/>
        <c:ser>
          <c:idx val="0"/>
          <c:order val="0"/>
          <c:tx>
            <c:strRef>
              <c:f>"Immaculate disinflation"</c:f>
              <c:strCache>
                <c:ptCount val="1"/>
                <c:pt idx="0">
                  <c:v>Immaculate disinflation</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path'!$B$6:$F$6</c:f>
              <c:numCache>
                <c:formatCode>#,##0.00;\(#,##0.00\);\-</c:formatCode>
                <c:ptCount val="5"/>
                <c:pt idx="0">
                  <c:v>3.625</c:v>
                </c:pt>
                <c:pt idx="1">
                  <c:v>3.375</c:v>
                </c:pt>
                <c:pt idx="2">
                  <c:v>3.125</c:v>
                </c:pt>
                <c:pt idx="3">
                  <c:v>2.875</c:v>
                </c:pt>
                <c:pt idx="4">
                  <c:v>2.875</c:v>
                </c:pt>
              </c:numCache>
            </c:numRef>
          </c:val>
          <c:smooth val="1"/>
        </c:ser>
        <c:ser>
          <c:idx val="1"/>
          <c:order val="1"/>
          <c:tx>
            <c:strRef>
              <c:f>"Soft landing (base case)"</c:f>
              <c:strCache>
                <c:ptCount val="1"/>
                <c:pt idx="0">
                  <c:v>Soft landing (base case)</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path'!$B$7:$F$7</c:f>
              <c:numCache>
                <c:formatCode>#,##0.00;\(#,##0.00\);\-</c:formatCode>
                <c:ptCount val="5"/>
                <c:pt idx="0">
                  <c:v>3.625</c:v>
                </c:pt>
                <c:pt idx="1">
                  <c:v>3.375</c:v>
                </c:pt>
                <c:pt idx="2">
                  <c:v>3.375</c:v>
                </c:pt>
                <c:pt idx="3">
                  <c:v>3.375</c:v>
                </c:pt>
                <c:pt idx="4">
                  <c:v>3.375</c:v>
                </c:pt>
              </c:numCache>
            </c:numRef>
          </c:val>
          <c:smooth val="1"/>
        </c:ser>
        <c:ser>
          <c:idx val="2"/>
          <c:order val="2"/>
          <c:tx>
            <c:strRef>
              <c:f>"Higher for longer"</c:f>
              <c:strCache>
                <c:ptCount val="1"/>
                <c:pt idx="0">
                  <c:v>Higher for longer</c:v>
                </c:pt>
              </c:strCache>
            </c:strRef>
          </c:tx>
          <c:spPr>
            <a:solidFill>
              <a:srgbClr val="98b855"/>
            </a:solidFill>
            <a:ln w="28440">
              <a:solidFill>
                <a:srgbClr val="98b855"/>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path'!$B$8:$F$8</c:f>
              <c:numCache>
                <c:formatCode>#,##0.00;\(#,##0.00\);\-</c:formatCode>
                <c:ptCount val="5"/>
                <c:pt idx="0">
                  <c:v>3.625</c:v>
                </c:pt>
                <c:pt idx="1">
                  <c:v>3.625</c:v>
                </c:pt>
                <c:pt idx="2">
                  <c:v>3.625</c:v>
                </c:pt>
                <c:pt idx="3">
                  <c:v>3.625</c:v>
                </c:pt>
                <c:pt idx="4">
                  <c:v>3.625</c:v>
                </c:pt>
              </c:numCache>
            </c:numRef>
          </c:val>
          <c:smooth val="1"/>
        </c:ser>
        <c:ser>
          <c:idx val="3"/>
          <c:order val="3"/>
          <c:tx>
            <c:strRef>
              <c:f>"Growth scare / mild recession"</c:f>
              <c:strCache>
                <c:ptCount val="1"/>
                <c:pt idx="0">
                  <c:v>Growth scare / mild recession</c:v>
                </c:pt>
              </c:strCache>
            </c:strRef>
          </c:tx>
          <c:spPr>
            <a:solidFill>
              <a:srgbClr val="7d5fa0"/>
            </a:solidFill>
            <a:ln w="28440">
              <a:solidFill>
                <a:srgbClr val="7d5fa0"/>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path'!$B$9:$F$9</c:f>
              <c:numCache>
                <c:formatCode>#,##0.00;\(#,##0.00\);\-</c:formatCode>
                <c:ptCount val="5"/>
                <c:pt idx="0">
                  <c:v>3.375</c:v>
                </c:pt>
                <c:pt idx="1">
                  <c:v>3.125</c:v>
                </c:pt>
                <c:pt idx="2">
                  <c:v>2.875</c:v>
                </c:pt>
                <c:pt idx="3">
                  <c:v>2.875</c:v>
                </c:pt>
                <c:pt idx="4">
                  <c:v>2.875</c:v>
                </c:pt>
              </c:numCache>
            </c:numRef>
          </c:val>
          <c:smooth val="1"/>
        </c:ser>
        <c:ser>
          <c:idx val="4"/>
          <c:order val="4"/>
          <c:tx>
            <c:strRef>
              <c:f>"Stagflation — Fed hikes into weakness"</c:f>
              <c:strCache>
                <c:ptCount val="1"/>
                <c:pt idx="0">
                  <c:v>Stagflation — Fed hikes into weakness</c:v>
                </c:pt>
              </c:strCache>
            </c:strRef>
          </c:tx>
          <c:spPr>
            <a:solidFill>
              <a:srgbClr val="46aac4"/>
            </a:solidFill>
            <a:ln w="28440">
              <a:solidFill>
                <a:srgbClr val="46aac4"/>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path'!$B$10:$F$10</c:f>
              <c:numCache>
                <c:formatCode>#,##0.00;\(#,##0.00\);\-</c:formatCode>
                <c:ptCount val="5"/>
                <c:pt idx="0">
                  <c:v>3.875</c:v>
                </c:pt>
                <c:pt idx="1">
                  <c:v>4.125</c:v>
                </c:pt>
                <c:pt idx="2">
                  <c:v>4.375</c:v>
                </c:pt>
                <c:pt idx="3">
                  <c:v>4.375</c:v>
                </c:pt>
                <c:pt idx="4">
                  <c:v>4.125</c:v>
                </c:pt>
              </c:numCache>
            </c:numRef>
          </c:val>
          <c:smooth val="1"/>
        </c:ser>
        <c:ser>
          <c:idx val="5"/>
          <c:order val="5"/>
          <c:tx>
            <c:strRef>
              <c:f>"Hard landing / systemic stress"</c:f>
              <c:strCache>
                <c:ptCount val="1"/>
                <c:pt idx="0">
                  <c:v>Hard landing / systemic stress</c:v>
                </c:pt>
              </c:strCache>
            </c:strRef>
          </c:tx>
          <c:spPr>
            <a:solidFill>
              <a:srgbClr val="f59240"/>
            </a:solidFill>
            <a:ln w="28440">
              <a:solidFill>
                <a:srgbClr val="f59240"/>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'8 Fed path'!$B$5:$F$5</c:f>
              <c:multiLvlStrCache>
                <c:ptCount val="1"/>
                <c:lvl>
                  <c:pt idx="0">
                    <c:v>Sep-27</c:v>
                  </c:pt>
                </c:lvl>
                <c:lvl>
                  <c:pt idx="0">
                    <c:v>Jun-27</c:v>
                  </c:pt>
                </c:lvl>
                <c:lvl>
                  <c:pt idx="0">
                    <c:v>Mar-27</c:v>
                  </c:pt>
                </c:lvl>
                <c:lvl>
                  <c:pt idx="0">
                    <c:v>Dec-26</c:v>
                  </c:pt>
                </c:lvl>
                <c:lvl>
                  <c:pt idx="0">
                    <c:v>Sep-26</c:v>
                  </c:pt>
                </c:lvl>
              </c:multiLvlStrCache>
            </c:multiLvlStrRef>
          </c:cat>
          <c:val>
            <c:numRef>
              <c:f>'8 Fed path'!$B$11:$F$11</c:f>
              <c:numCache>
                <c:formatCode>#,##0.00;\(#,##0.00\);\-</c:formatCode>
                <c:ptCount val="5"/>
                <c:pt idx="0">
                  <c:v>3.375</c:v>
                </c:pt>
                <c:pt idx="1">
                  <c:v>2.625</c:v>
                </c:pt>
                <c:pt idx="2">
                  <c:v>2.125</c:v>
                </c:pt>
                <c:pt idx="3">
                  <c:v>1.875</c:v>
                </c:pt>
                <c:pt idx="4">
                  <c:v>1.875</c:v>
                </c:pt>
              </c:numCache>
            </c:numRef>
          </c:val>
          <c:smooth val="1"/>
        </c:ser>
        <c:hiLowLines>
          <c:spPr>
            <a:ln w="0">
              <a:noFill/>
            </a:ln>
          </c:spPr>
        </c:hiLowLines>
        <c:marker val="0"/>
        <c:axId val="19952171"/>
        <c:axId val="62421608"/>
      </c:lineChart>
      <c:catAx>
        <c:axId val="1995217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421608"/>
        <c:crosses val="autoZero"/>
        <c:auto val="1"/>
        <c:lblAlgn val="ctr"/>
        <c:lblOffset val="100"/>
        <c:noMultiLvlLbl val="0"/>
      </c:catAx>
      <c:valAx>
        <c:axId val="62421608"/>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521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 Treasury curve, 7-Aug-2026 (%)</a:t>
            </a:r>
          </a:p>
        </c:rich>
      </c:tx>
      <c:overlay val="0"/>
      <c:spPr>
        <a:noFill/>
        <a:ln w="0">
          <a:noFill/>
        </a:ln>
      </c:spPr>
    </c:title>
    <c:autoTitleDeleted val="0"/>
    <c:plotArea>
      <c:lineChart>
        <c:grouping val="standard"/>
        <c:varyColors val="0"/>
        <c:ser>
          <c:idx val="0"/>
          <c:order val="0"/>
          <c:tx>
            <c:strRef>
              <c:f>"Treasury yield"</c:f>
              <c:strCache>
                <c:ptCount val="1"/>
                <c:pt idx="0">
                  <c:v>Treasury yield</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'8 Fed path'!$A$17:$A$22</c:f>
              <c:strCache>
                <c:ptCount val="6"/>
                <c:pt idx="0">
                  <c:v>3m</c:v>
                </c:pt>
                <c:pt idx="1">
                  <c:v>2y</c:v>
                </c:pt>
                <c:pt idx="2">
                  <c:v>5y</c:v>
                </c:pt>
                <c:pt idx="3">
                  <c:v>7y</c:v>
                </c:pt>
                <c:pt idx="4">
                  <c:v>10y</c:v>
                </c:pt>
                <c:pt idx="5">
                  <c:v>30y</c:v>
                </c:pt>
              </c:strCache>
            </c:strRef>
          </c:cat>
          <c:val>
            <c:numRef>
              <c:f>'8 Fed path'!$B$17:$B$22</c:f>
              <c:numCache>
                <c:formatCode>#,##0.00;\(#,##0.00\);\-</c:formatCode>
                <c:ptCount val="6"/>
                <c:pt idx="0">
                  <c:v>3.72</c:v>
                </c:pt>
                <c:pt idx="1">
                  <c:v>4.19</c:v>
                </c:pt>
                <c:pt idx="2">
                  <c:v>4.35</c:v>
                </c:pt>
                <c:pt idx="3">
                  <c:v>4.49</c:v>
                </c:pt>
                <c:pt idx="4">
                  <c:v>4.65</c:v>
                </c:pt>
                <c:pt idx="5">
                  <c:v>5.19</c:v>
                </c:pt>
              </c:numCache>
            </c:numRef>
          </c:val>
          <c:smooth val="1"/>
        </c:ser>
        <c:hiLowLines>
          <c:spPr>
            <a:ln w="0">
              <a:noFill/>
            </a:ln>
          </c:spPr>
        </c:hiLowLines>
        <c:marker val="0"/>
        <c:axId val="11417292"/>
        <c:axId val="61682815"/>
      </c:lineChart>
      <c:catAx>
        <c:axId val="1141729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682815"/>
        <c:crosses val="autoZero"/>
        <c:auto val="1"/>
        <c:lblAlgn val="ctr"/>
        <c:lblOffset val="100"/>
        <c:noMultiLvlLbl val="0"/>
      </c:catAx>
      <c:valAx>
        <c:axId val="61682815"/>
        <c:scaling>
          <c:orientation val="minMax"/>
        </c:scaling>
        <c:delete val="0"/>
        <c:axPos val="l"/>
        <c:majorGridlines>
          <c:spPr>
            <a:ln w="9360">
              <a:solidFill>
                <a:srgbClr val="878787"/>
              </a:solidFill>
              <a:round/>
            </a:ln>
          </c:spPr>
        </c:majorGridlines>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4172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6.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7.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24</xdr:row>
      <xdr:rowOff>82440</xdr:rowOff>
    </xdr:from>
    <xdr:to>
      <xdr:col>17</xdr:col>
      <xdr:colOff>507240</xdr:colOff>
      <xdr:row>38</xdr:row>
      <xdr:rowOff>114840</xdr:rowOff>
    </xdr:to>
    <xdr:graphicFrame>
      <xdr:nvGraphicFramePr>
        <xdr:cNvPr id="0" name="Chart 1"/>
        <xdr:cNvGraphicFramePr/>
      </xdr:nvGraphicFramePr>
      <xdr:xfrm>
        <a:off x="15836400" y="476244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43</xdr:row>
      <xdr:rowOff>82440</xdr:rowOff>
    </xdr:from>
    <xdr:to>
      <xdr:col>17</xdr:col>
      <xdr:colOff>507240</xdr:colOff>
      <xdr:row>57</xdr:row>
      <xdr:rowOff>21240</xdr:rowOff>
    </xdr:to>
    <xdr:graphicFrame>
      <xdr:nvGraphicFramePr>
        <xdr:cNvPr id="1" name="Chart 2"/>
        <xdr:cNvGraphicFramePr/>
      </xdr:nvGraphicFramePr>
      <xdr:xfrm>
        <a:off x="15836400" y="838188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12</xdr:row>
      <xdr:rowOff>175680</xdr:rowOff>
    </xdr:from>
    <xdr:to>
      <xdr:col>15</xdr:col>
      <xdr:colOff>507240</xdr:colOff>
      <xdr:row>26</xdr:row>
      <xdr:rowOff>114840</xdr:rowOff>
    </xdr:to>
    <xdr:graphicFrame>
      <xdr:nvGraphicFramePr>
        <xdr:cNvPr id="2" name="Chart 1"/>
        <xdr:cNvGraphicFramePr/>
      </xdr:nvGraphicFramePr>
      <xdr:xfrm>
        <a:off x="7518960" y="247644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28</xdr:row>
      <xdr:rowOff>82440</xdr:rowOff>
    </xdr:from>
    <xdr:to>
      <xdr:col>15</xdr:col>
      <xdr:colOff>507240</xdr:colOff>
      <xdr:row>42</xdr:row>
      <xdr:rowOff>114840</xdr:rowOff>
    </xdr:to>
    <xdr:graphicFrame>
      <xdr:nvGraphicFramePr>
        <xdr:cNvPr id="3" name="Chart 2"/>
        <xdr:cNvGraphicFramePr/>
      </xdr:nvGraphicFramePr>
      <xdr:xfrm>
        <a:off x="7518960" y="552456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11</xdr:row>
      <xdr:rowOff>176040</xdr:rowOff>
    </xdr:from>
    <xdr:to>
      <xdr:col>15</xdr:col>
      <xdr:colOff>507240</xdr:colOff>
      <xdr:row>25</xdr:row>
      <xdr:rowOff>114840</xdr:rowOff>
    </xdr:to>
    <xdr:graphicFrame>
      <xdr:nvGraphicFramePr>
        <xdr:cNvPr id="4" name="Chart 1"/>
        <xdr:cNvGraphicFramePr/>
      </xdr:nvGraphicFramePr>
      <xdr:xfrm>
        <a:off x="12875760" y="228600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36</xdr:row>
      <xdr:rowOff>82440</xdr:rowOff>
    </xdr:from>
    <xdr:to>
      <xdr:col>15</xdr:col>
      <xdr:colOff>507240</xdr:colOff>
      <xdr:row>50</xdr:row>
      <xdr:rowOff>21600</xdr:rowOff>
    </xdr:to>
    <xdr:graphicFrame>
      <xdr:nvGraphicFramePr>
        <xdr:cNvPr id="5" name="Chart 2"/>
        <xdr:cNvGraphicFramePr/>
      </xdr:nvGraphicFramePr>
      <xdr:xfrm>
        <a:off x="12875760" y="704844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2</xdr:row>
      <xdr:rowOff>176040</xdr:rowOff>
    </xdr:from>
    <xdr:to>
      <xdr:col>24</xdr:col>
      <xdr:colOff>507240</xdr:colOff>
      <xdr:row>16</xdr:row>
      <xdr:rowOff>114840</xdr:rowOff>
    </xdr:to>
    <xdr:graphicFrame>
      <xdr:nvGraphicFramePr>
        <xdr:cNvPr id="6" name="Chart 1"/>
        <xdr:cNvGraphicFramePr/>
      </xdr:nvGraphicFramePr>
      <xdr:xfrm>
        <a:off x="14003640" y="57168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18</xdr:row>
      <xdr:rowOff>82440</xdr:rowOff>
    </xdr:from>
    <xdr:to>
      <xdr:col>24</xdr:col>
      <xdr:colOff>507240</xdr:colOff>
      <xdr:row>32</xdr:row>
      <xdr:rowOff>114840</xdr:rowOff>
    </xdr:to>
    <xdr:graphicFrame>
      <xdr:nvGraphicFramePr>
        <xdr:cNvPr id="7" name="Chart 2"/>
        <xdr:cNvGraphicFramePr/>
      </xdr:nvGraphicFramePr>
      <xdr:xfrm>
        <a:off x="14003640" y="361944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176040</xdr:rowOff>
    </xdr:from>
    <xdr:to>
      <xdr:col>16</xdr:col>
      <xdr:colOff>507240</xdr:colOff>
      <xdr:row>16</xdr:row>
      <xdr:rowOff>114840</xdr:rowOff>
    </xdr:to>
    <xdr:graphicFrame>
      <xdr:nvGraphicFramePr>
        <xdr:cNvPr id="8" name="Chart 1"/>
        <xdr:cNvGraphicFramePr/>
      </xdr:nvGraphicFramePr>
      <xdr:xfrm>
        <a:off x="7918920" y="57168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82440</xdr:rowOff>
    </xdr:from>
    <xdr:to>
      <xdr:col>16</xdr:col>
      <xdr:colOff>507240</xdr:colOff>
      <xdr:row>32</xdr:row>
      <xdr:rowOff>114840</xdr:rowOff>
    </xdr:to>
    <xdr:graphicFrame>
      <xdr:nvGraphicFramePr>
        <xdr:cNvPr id="9" name="Chart 2"/>
        <xdr:cNvGraphicFramePr/>
      </xdr:nvGraphicFramePr>
      <xdr:xfrm>
        <a:off x="7918920" y="361944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24</xdr:row>
      <xdr:rowOff>175680</xdr:rowOff>
    </xdr:from>
    <xdr:to>
      <xdr:col>14</xdr:col>
      <xdr:colOff>507240</xdr:colOff>
      <xdr:row>38</xdr:row>
      <xdr:rowOff>114840</xdr:rowOff>
    </xdr:to>
    <xdr:graphicFrame>
      <xdr:nvGraphicFramePr>
        <xdr:cNvPr id="10" name="Chart 1"/>
        <xdr:cNvGraphicFramePr/>
      </xdr:nvGraphicFramePr>
      <xdr:xfrm>
        <a:off x="6179760" y="476244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40</xdr:row>
      <xdr:rowOff>82440</xdr:rowOff>
    </xdr:from>
    <xdr:to>
      <xdr:col>14</xdr:col>
      <xdr:colOff>507240</xdr:colOff>
      <xdr:row>54</xdr:row>
      <xdr:rowOff>114840</xdr:rowOff>
    </xdr:to>
    <xdr:graphicFrame>
      <xdr:nvGraphicFramePr>
        <xdr:cNvPr id="11" name="Chart 2"/>
        <xdr:cNvGraphicFramePr/>
      </xdr:nvGraphicFramePr>
      <xdr:xfrm>
        <a:off x="6179760" y="781056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176040</xdr:rowOff>
    </xdr:from>
    <xdr:to>
      <xdr:col>16</xdr:col>
      <xdr:colOff>507240</xdr:colOff>
      <xdr:row>17</xdr:row>
      <xdr:rowOff>114840</xdr:rowOff>
    </xdr:to>
    <xdr:graphicFrame>
      <xdr:nvGraphicFramePr>
        <xdr:cNvPr id="12" name="Chart 1"/>
        <xdr:cNvGraphicFramePr/>
      </xdr:nvGraphicFramePr>
      <xdr:xfrm>
        <a:off x="6861960" y="76212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30</xdr:row>
      <xdr:rowOff>82440</xdr:rowOff>
    </xdr:from>
    <xdr:to>
      <xdr:col>16</xdr:col>
      <xdr:colOff>507240</xdr:colOff>
      <xdr:row>44</xdr:row>
      <xdr:rowOff>114840</xdr:rowOff>
    </xdr:to>
    <xdr:graphicFrame>
      <xdr:nvGraphicFramePr>
        <xdr:cNvPr id="13" name="Chart 2"/>
        <xdr:cNvGraphicFramePr/>
      </xdr:nvGraphicFramePr>
      <xdr:xfrm>
        <a:off x="6861960" y="590544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8"/>
  </cols>
  <sheetData>
    <row r="1" customFormat="false" ht="16.1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B5" s="5" t="s">
        <v>3</v>
      </c>
    </row>
    <row r="7" customFormat="false" ht="15" hidden="false" customHeight="false" outlineLevel="0" collapsed="false">
      <c r="A7" s="4" t="s">
        <v>4</v>
      </c>
    </row>
    <row r="8" customFormat="false" ht="15" hidden="false" customHeight="false" outlineLevel="0" collapsed="false">
      <c r="A8" s="4" t="s">
        <v>5</v>
      </c>
      <c r="B8" s="5" t="s">
        <v>6</v>
      </c>
    </row>
    <row r="9" customFormat="false" ht="15" hidden="false" customHeight="false" outlineLevel="0" collapsed="false">
      <c r="A9" s="4" t="s">
        <v>7</v>
      </c>
      <c r="B9" s="5" t="s">
        <v>8</v>
      </c>
    </row>
    <row r="10" customFormat="false" ht="15" hidden="false" customHeight="false" outlineLevel="0" collapsed="false">
      <c r="A10" s="4" t="s">
        <v>9</v>
      </c>
      <c r="B10" s="5" t="s">
        <v>10</v>
      </c>
    </row>
    <row r="11" customFormat="false" ht="15" hidden="false" customHeight="false" outlineLevel="0" collapsed="false">
      <c r="A11" s="4" t="s">
        <v>11</v>
      </c>
      <c r="B11" s="5" t="s">
        <v>12</v>
      </c>
    </row>
    <row r="13" customFormat="false" ht="15" hidden="false" customHeight="false" outlineLevel="0" collapsed="false">
      <c r="A13" s="4" t="s">
        <v>13</v>
      </c>
    </row>
    <row r="14" customFormat="false" ht="15" hidden="false" customHeight="false" outlineLevel="0" collapsed="false">
      <c r="A14" s="6" t="s">
        <v>14</v>
      </c>
      <c r="B14" s="7" t="s">
        <v>15</v>
      </c>
    </row>
    <row r="15" customFormat="false" ht="15" hidden="false" customHeight="false" outlineLevel="0" collapsed="false">
      <c r="A15" s="6" t="s">
        <v>16</v>
      </c>
      <c r="B15" s="7" t="s">
        <v>17</v>
      </c>
    </row>
    <row r="16" customFormat="false" ht="15" hidden="false" customHeight="false" outlineLevel="0" collapsed="false">
      <c r="A16" s="6" t="s">
        <v>18</v>
      </c>
      <c r="B16" s="7" t="s">
        <v>19</v>
      </c>
    </row>
    <row r="17" customFormat="false" ht="15" hidden="false" customHeight="false" outlineLevel="0" collapsed="false">
      <c r="A17" s="6" t="s">
        <v>20</v>
      </c>
      <c r="B17" s="7" t="s">
        <v>21</v>
      </c>
    </row>
    <row r="18" customFormat="false" ht="15" hidden="false" customHeight="false" outlineLevel="0" collapsed="false">
      <c r="A18" s="6" t="s">
        <v>22</v>
      </c>
      <c r="B18" s="7" t="s">
        <v>23</v>
      </c>
    </row>
    <row r="19" customFormat="false" ht="15" hidden="false" customHeight="false" outlineLevel="0" collapsed="false">
      <c r="A19" s="6" t="s">
        <v>24</v>
      </c>
      <c r="B19" s="7" t="s">
        <v>25</v>
      </c>
    </row>
    <row r="20" customFormat="false" ht="15" hidden="false" customHeight="false" outlineLevel="0" collapsed="false">
      <c r="A20" s="6" t="s">
        <v>26</v>
      </c>
      <c r="B20" s="7" t="s">
        <v>27</v>
      </c>
    </row>
    <row r="21" customFormat="false" ht="15" hidden="false" customHeight="false" outlineLevel="0" collapsed="false">
      <c r="A21" s="6" t="s">
        <v>28</v>
      </c>
      <c r="B21" s="7" t="s">
        <v>29</v>
      </c>
    </row>
    <row r="22" customFormat="false" ht="15" hidden="false" customHeight="false" outlineLevel="0" collapsed="false">
      <c r="A22" s="6" t="s">
        <v>30</v>
      </c>
      <c r="B22" s="7" t="s">
        <v>31</v>
      </c>
    </row>
    <row r="23" customFormat="false" ht="15" hidden="false" customHeight="false" outlineLevel="0" collapsed="false">
      <c r="A23" s="6" t="s">
        <v>32</v>
      </c>
      <c r="B23" s="7" t="s">
        <v>33</v>
      </c>
    </row>
    <row r="25" customFormat="false" ht="15" hidden="false" customHeight="false" outlineLevel="0" collapsed="false">
      <c r="A25" s="4" t="s">
        <v>34</v>
      </c>
    </row>
    <row r="26" customFormat="false" ht="15" hidden="false" customHeight="false" outlineLevel="0" collapsed="false">
      <c r="A26" s="8" t="s">
        <v>35</v>
      </c>
      <c r="B26" s="7" t="s">
        <v>36</v>
      </c>
    </row>
    <row r="27" customFormat="false" ht="15" hidden="false" customHeight="false" outlineLevel="0" collapsed="false">
      <c r="A27" s="9" t="s">
        <v>37</v>
      </c>
      <c r="B27" s="7" t="s">
        <v>38</v>
      </c>
    </row>
    <row r="28" customFormat="false" ht="15" hidden="false" customHeight="false" outlineLevel="0" collapsed="false">
      <c r="A28" s="10" t="s">
        <v>39</v>
      </c>
      <c r="B28" s="7" t="s">
        <v>40</v>
      </c>
    </row>
    <row r="30" customFormat="false" ht="15" hidden="false" customHeight="false" outlineLevel="0" collapsed="false">
      <c r="A30" s="11" t="s">
        <v>41</v>
      </c>
    </row>
    <row r="31" customFormat="false" ht="15" hidden="false" customHeight="false" outlineLevel="0" collapsed="false">
      <c r="A31"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H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7" min="2" style="1" width="13"/>
    <col collapsed="false" customWidth="true" hidden="false" outlineLevel="0" max="8" min="8" style="1" width="92"/>
  </cols>
  <sheetData>
    <row r="1" customFormat="false" ht="16.15" hidden="false" customHeight="false" outlineLevel="0" collapsed="false">
      <c r="A1" s="2" t="s">
        <v>43</v>
      </c>
    </row>
    <row r="2" customFormat="false" ht="15" hidden="false" customHeight="false" outlineLevel="0" collapsed="false">
      <c r="A2" s="3" t="s">
        <v>44</v>
      </c>
    </row>
    <row r="4" customFormat="false" ht="15" hidden="false" customHeight="false" outlineLevel="0" collapsed="false">
      <c r="A4" s="4" t="s">
        <v>45</v>
      </c>
    </row>
    <row r="5" customFormat="false" ht="15" hidden="false" customHeight="false" outlineLevel="0" collapsed="false">
      <c r="H5" s="5" t="s">
        <v>46</v>
      </c>
    </row>
    <row r="7" customFormat="false" ht="15" hidden="false" customHeight="false" outlineLevel="0" collapsed="false">
      <c r="A7" s="4" t="s">
        <v>47</v>
      </c>
    </row>
    <row r="8" customFormat="false" ht="15" hidden="false" customHeight="false" outlineLevel="0" collapsed="false">
      <c r="A8" s="9" t="s">
        <v>48</v>
      </c>
      <c r="B8" s="12" t="n">
        <f aca="false">'1 Inputs'!B30</f>
        <v>7.6275</v>
      </c>
      <c r="H8" s="5" t="s">
        <v>49</v>
      </c>
    </row>
    <row r="9" customFormat="false" ht="15" hidden="false" customHeight="false" outlineLevel="0" collapsed="false">
      <c r="A9" s="9" t="s">
        <v>50</v>
      </c>
      <c r="B9" s="13" t="s">
        <v>51</v>
      </c>
      <c r="H9" s="5" t="s">
        <v>52</v>
      </c>
    </row>
    <row r="10" customFormat="false" ht="15" hidden="false" customHeight="false" outlineLevel="0" collapsed="false">
      <c r="A10" s="14" t="s">
        <v>53</v>
      </c>
      <c r="H10" s="5" t="s">
        <v>54</v>
      </c>
    </row>
    <row r="12" customFormat="false" ht="15" hidden="false" customHeight="false" outlineLevel="0" collapsed="false">
      <c r="A12" s="4" t="s">
        <v>55</v>
      </c>
    </row>
    <row r="13" customFormat="false" ht="15" hidden="false" customHeight="false" outlineLevel="0" collapsed="false">
      <c r="H13" s="5" t="s">
        <v>56</v>
      </c>
    </row>
    <row r="14" customFormat="false" ht="22.35" hidden="false" customHeight="false" outlineLevel="0" collapsed="false">
      <c r="A14" s="15" t="s">
        <v>57</v>
      </c>
      <c r="B14" s="15" t="s">
        <v>58</v>
      </c>
      <c r="C14" s="15" t="s">
        <v>59</v>
      </c>
      <c r="D14" s="15" t="s">
        <v>60</v>
      </c>
      <c r="E14" s="15" t="s">
        <v>61</v>
      </c>
      <c r="F14" s="15" t="s">
        <v>62</v>
      </c>
      <c r="G14" s="15" t="s">
        <v>63</v>
      </c>
    </row>
    <row r="15" customFormat="false" ht="15" hidden="false" customHeight="false" outlineLevel="0" collapsed="false">
      <c r="A15" s="5" t="s">
        <v>64</v>
      </c>
      <c r="B15" s="16" t="n">
        <v>50</v>
      </c>
      <c r="C15" s="16" t="n">
        <v>0</v>
      </c>
      <c r="D15" s="17" t="n">
        <f aca="false">B15+C15</f>
        <v>50</v>
      </c>
      <c r="E15" s="18" t="n">
        <f aca="false">-'1 Inputs'!B12*D15/100+'1 Inputs'!B14*D15^2/2000000</f>
        <v>-3.175</v>
      </c>
      <c r="F15" s="12" t="n">
        <f aca="false">'1 Inputs'!B30</f>
        <v>7.6275</v>
      </c>
      <c r="G15" s="19" t="n">
        <f aca="false">E15+F15</f>
        <v>4.4525</v>
      </c>
    </row>
    <row r="16" customFormat="false" ht="15" hidden="false" customHeight="false" outlineLevel="0" collapsed="false">
      <c r="A16" s="5" t="s">
        <v>65</v>
      </c>
      <c r="B16" s="16" t="n">
        <v>0</v>
      </c>
      <c r="C16" s="16" t="n">
        <v>50</v>
      </c>
      <c r="D16" s="17" t="n">
        <f aca="false">B16+C16</f>
        <v>50</v>
      </c>
      <c r="E16" s="18" t="n">
        <f aca="false">-'1 Inputs'!B12*D16/100+'1 Inputs'!B14*D16^2/2000000</f>
        <v>-3.175</v>
      </c>
      <c r="F16" s="12" t="n">
        <f aca="false">'1 Inputs'!B30</f>
        <v>7.6275</v>
      </c>
      <c r="G16" s="19" t="n">
        <f aca="false">E16+F16</f>
        <v>4.4525</v>
      </c>
    </row>
    <row r="17" customFormat="false" ht="15" hidden="false" customHeight="false" outlineLevel="0" collapsed="false">
      <c r="A17" s="5" t="s">
        <v>66</v>
      </c>
      <c r="B17" s="16" t="n">
        <v>25</v>
      </c>
      <c r="C17" s="16" t="n">
        <v>25</v>
      </c>
      <c r="D17" s="17" t="n">
        <f aca="false">B17+C17</f>
        <v>50</v>
      </c>
      <c r="E17" s="18" t="n">
        <f aca="false">-'1 Inputs'!B12*D17/100+'1 Inputs'!B14*D17^2/2000000</f>
        <v>-3.175</v>
      </c>
      <c r="F17" s="12" t="n">
        <f aca="false">'1 Inputs'!B30</f>
        <v>7.6275</v>
      </c>
      <c r="G17" s="19" t="n">
        <f aca="false">E17+F17</f>
        <v>4.4525</v>
      </c>
    </row>
    <row r="19" customFormat="false" ht="15" hidden="false" customHeight="false" outlineLevel="0" collapsed="false">
      <c r="H19" s="20" t="s">
        <v>67</v>
      </c>
    </row>
    <row r="21" customFormat="false" ht="15" hidden="false" customHeight="false" outlineLevel="0" collapsed="false">
      <c r="A21" s="4" t="s">
        <v>68</v>
      </c>
    </row>
    <row r="22" customFormat="false" ht="15" hidden="false" customHeight="false" outlineLevel="0" collapsed="false">
      <c r="A22" s="5" t="s">
        <v>69</v>
      </c>
      <c r="B22" s="12" t="n">
        <f aca="false">'1 Inputs'!B30</f>
        <v>7.6275</v>
      </c>
    </row>
    <row r="23" customFormat="false" ht="15" hidden="false" customHeight="false" outlineLevel="0" collapsed="false">
      <c r="A23" s="5" t="s">
        <v>70</v>
      </c>
      <c r="B23" s="18" t="n">
        <f aca="false">'1 Inputs'!B12/100</f>
        <v>0.065</v>
      </c>
      <c r="H23" s="5" t="s">
        <v>71</v>
      </c>
    </row>
    <row r="24" customFormat="false" ht="15" hidden="false" customHeight="false" outlineLevel="0" collapsed="false">
      <c r="A24" s="14" t="s">
        <v>72</v>
      </c>
      <c r="B24" s="17" t="n">
        <f aca="false">'1 Inputs'!B30/('1 Inputs'!B12/100)</f>
        <v>117.346153846154</v>
      </c>
      <c r="H24" s="5" t="s">
        <v>73</v>
      </c>
    </row>
    <row r="26" customFormat="false" ht="15" hidden="false" customHeight="false" outlineLevel="0" collapsed="false">
      <c r="A26" s="15" t="s">
        <v>74</v>
      </c>
      <c r="B26" s="15" t="s">
        <v>75</v>
      </c>
      <c r="C26" s="15" t="s">
        <v>62</v>
      </c>
      <c r="D26" s="15" t="s">
        <v>61</v>
      </c>
      <c r="E26" s="15" t="s">
        <v>63</v>
      </c>
      <c r="F26" s="15"/>
      <c r="G26" s="15"/>
    </row>
    <row r="27" customFormat="false" ht="15" hidden="false" customHeight="false" outlineLevel="0" collapsed="false">
      <c r="A27" s="5" t="s">
        <v>76</v>
      </c>
      <c r="B27" s="16" t="n">
        <v>0</v>
      </c>
      <c r="C27" s="12" t="n">
        <f aca="false">'1 Inputs'!B30</f>
        <v>7.6275</v>
      </c>
      <c r="D27" s="18" t="n">
        <f aca="false">-'1 Inputs'!B12*B27/100+'1 Inputs'!B14*B27^2/2000000</f>
        <v>0</v>
      </c>
      <c r="E27" s="19" t="n">
        <f aca="false">C27+D27</f>
        <v>7.6275</v>
      </c>
    </row>
    <row r="28" customFormat="false" ht="15" hidden="false" customHeight="false" outlineLevel="0" collapsed="false">
      <c r="A28" s="5" t="s">
        <v>77</v>
      </c>
      <c r="B28" s="16" t="n">
        <v>50</v>
      </c>
      <c r="C28" s="12" t="n">
        <f aca="false">'1 Inputs'!B30</f>
        <v>7.6275</v>
      </c>
      <c r="D28" s="18" t="n">
        <f aca="false">-'1 Inputs'!B12*B28/100+'1 Inputs'!B14*B28^2/2000000</f>
        <v>-3.175</v>
      </c>
      <c r="E28" s="19" t="n">
        <f aca="false">C28+D28</f>
        <v>4.4525</v>
      </c>
    </row>
    <row r="29" customFormat="false" ht="15" hidden="false" customHeight="false" outlineLevel="0" collapsed="false">
      <c r="A29" s="5" t="s">
        <v>78</v>
      </c>
      <c r="B29" s="16" t="n">
        <v>5</v>
      </c>
      <c r="C29" s="12" t="n">
        <f aca="false">'1 Inputs'!B30</f>
        <v>7.6275</v>
      </c>
      <c r="D29" s="18" t="n">
        <f aca="false">-'1 Inputs'!B12*B29/100+'1 Inputs'!B14*B29^2/2000000</f>
        <v>-0.32425</v>
      </c>
      <c r="E29" s="19" t="n">
        <f aca="false">C29+D29</f>
        <v>7.30325</v>
      </c>
    </row>
    <row r="30" customFormat="false" ht="15" hidden="false" customHeight="false" outlineLevel="0" collapsed="false">
      <c r="A30" s="5" t="s">
        <v>79</v>
      </c>
      <c r="B30" s="16" t="n">
        <v>75</v>
      </c>
      <c r="C30" s="12" t="n">
        <f aca="false">'1 Inputs'!B30</f>
        <v>7.6275</v>
      </c>
      <c r="D30" s="18" t="n">
        <f aca="false">-'1 Inputs'!B12*B30/100+'1 Inputs'!B14*B30^2/2000000</f>
        <v>-4.70625</v>
      </c>
      <c r="E30" s="19" t="n">
        <f aca="false">C30+D30</f>
        <v>2.92125</v>
      </c>
    </row>
    <row r="31" customFormat="false" ht="15" hidden="false" customHeight="false" outlineLevel="0" collapsed="false">
      <c r="A31" s="5" t="s">
        <v>80</v>
      </c>
      <c r="B31" s="16" t="n">
        <v>120</v>
      </c>
      <c r="C31" s="12" t="n">
        <f aca="false">'1 Inputs'!B30</f>
        <v>7.6275</v>
      </c>
      <c r="D31" s="18" t="n">
        <f aca="false">-'1 Inputs'!B12*B31/100+'1 Inputs'!B14*B31^2/2000000</f>
        <v>-7.368</v>
      </c>
      <c r="E31" s="19" t="n">
        <f aca="false">C31+D31</f>
        <v>0.2595</v>
      </c>
    </row>
    <row r="32" customFormat="false" ht="15" hidden="false" customHeight="false" outlineLevel="0" collapsed="false">
      <c r="A32" s="5" t="s">
        <v>81</v>
      </c>
      <c r="B32" s="16" t="n">
        <v>150</v>
      </c>
      <c r="C32" s="12" t="n">
        <f aca="false">'1 Inputs'!B30</f>
        <v>7.6275</v>
      </c>
      <c r="D32" s="18" t="n">
        <f aca="false">-'1 Inputs'!B12*B32/100+'1 Inputs'!B14*B32^2/2000000</f>
        <v>-9.075</v>
      </c>
      <c r="E32" s="19" t="n">
        <f aca="false">C32+D32</f>
        <v>-1.4475</v>
      </c>
    </row>
    <row r="33" customFormat="false" ht="15" hidden="false" customHeight="false" outlineLevel="0" collapsed="false">
      <c r="A33" s="5" t="s">
        <v>82</v>
      </c>
      <c r="B33" s="16" t="n">
        <v>200</v>
      </c>
      <c r="C33" s="12" t="n">
        <f aca="false">'1 Inputs'!B30</f>
        <v>7.6275</v>
      </c>
      <c r="D33" s="18" t="n">
        <f aca="false">-'1 Inputs'!B12*B33/100+'1 Inputs'!B14*B33^2/2000000</f>
        <v>-11.8</v>
      </c>
      <c r="E33" s="19" t="n">
        <f aca="false">C33+D33</f>
        <v>-4.1725</v>
      </c>
    </row>
    <row r="34" customFormat="false" ht="15" hidden="false" customHeight="false" outlineLevel="0" collapsed="false">
      <c r="A34" s="5" t="s">
        <v>83</v>
      </c>
      <c r="B34" s="16" t="n">
        <v>300</v>
      </c>
      <c r="C34" s="12" t="n">
        <f aca="false">'1 Inputs'!B30</f>
        <v>7.6275</v>
      </c>
      <c r="D34" s="18" t="n">
        <f aca="false">-'1 Inputs'!B12*B34/100+'1 Inputs'!B14*B34^2/2000000</f>
        <v>-16.8</v>
      </c>
      <c r="E34" s="19" t="n">
        <f aca="false">C34+D34</f>
        <v>-9.1725</v>
      </c>
    </row>
    <row r="36" customFormat="false" ht="15" hidden="false" customHeight="false" outlineLevel="0" collapsed="false">
      <c r="H36" s="20" t="s">
        <v>84</v>
      </c>
    </row>
    <row r="38" customFormat="false" ht="15" hidden="false" customHeight="false" outlineLevel="0" collapsed="false">
      <c r="A38" s="4" t="s">
        <v>85</v>
      </c>
    </row>
    <row r="39" customFormat="false" ht="15" hidden="false" customHeight="false" outlineLevel="0" collapsed="false">
      <c r="H39" s="5" t="s">
        <v>86</v>
      </c>
    </row>
    <row r="40" customFormat="false" ht="15" hidden="false" customHeight="false" outlineLevel="0" collapsed="false">
      <c r="A40" s="5" t="s">
        <v>87</v>
      </c>
      <c r="B40" s="12" t="n">
        <f aca="false">'1 Inputs'!B25</f>
        <v>6.75</v>
      </c>
    </row>
    <row r="41" customFormat="false" ht="15" hidden="false" customHeight="false" outlineLevel="0" collapsed="false">
      <c r="A41" s="5" t="s">
        <v>88</v>
      </c>
      <c r="B41" s="19" t="n">
        <f aca="false">B40+1</f>
        <v>7.75</v>
      </c>
      <c r="H41" s="5" t="s">
        <v>89</v>
      </c>
    </row>
    <row r="42" customFormat="false" ht="15" hidden="false" customHeight="false" outlineLevel="0" collapsed="false">
      <c r="A42" s="5" t="s">
        <v>90</v>
      </c>
      <c r="B42" s="12" t="n">
        <f aca="false">'1 Inputs'!B26</f>
        <v>91.268110403655</v>
      </c>
    </row>
    <row r="44" customFormat="false" ht="15" hidden="false" customHeight="false" outlineLevel="0" collapsed="false">
      <c r="A44" s="9" t="s">
        <v>91</v>
      </c>
    </row>
    <row r="45" customFormat="false" ht="22.35" hidden="false" customHeight="false" outlineLevel="0" collapsed="false">
      <c r="A45" s="15" t="s">
        <v>92</v>
      </c>
      <c r="B45" s="15" t="s">
        <v>93</v>
      </c>
      <c r="C45" s="15" t="s">
        <v>76</v>
      </c>
      <c r="D45" s="15" t="s">
        <v>94</v>
      </c>
      <c r="E45" s="15" t="s">
        <v>95</v>
      </c>
      <c r="F45" s="15" t="s">
        <v>96</v>
      </c>
      <c r="G45" s="15"/>
    </row>
    <row r="46" customFormat="false" ht="15" hidden="false" customHeight="false" outlineLevel="0" collapsed="false">
      <c r="A46" s="5" t="s">
        <v>97</v>
      </c>
      <c r="B46" s="21" t="n">
        <f aca="false">((('1 Inputs'!B10*((1+((B40+-1)/100))^1-1)/((B40+-1)/100))+(-PV(((B40+-1)/100),'1 Inputs'!B11-1,'1 Inputs'!B10,100)))/B42)^(1/1)-1</f>
        <v>0.144789691703015</v>
      </c>
      <c r="C46" s="21" t="n">
        <f aca="false">((('1 Inputs'!B10*((1+((B40+0)/100))^1-1)/((B40+0)/100))+(-PV(((B40+0)/100),'1 Inputs'!B11-1,'1 Inputs'!B10,100)))/B42)^(1/1)-1</f>
        <v>0.0674999999999999</v>
      </c>
      <c r="D46" s="22" t="n">
        <f aca="false">((('1 Inputs'!B10*((1+((B40+1)/100))^1-1)/((B40+1)/100))+(-PV(((B40+1)/100),'1 Inputs'!B11-1,'1 Inputs'!B10,100)))/B42)^(1/1)-1</f>
        <v>-0.00283657331884313</v>
      </c>
      <c r="E46" s="21" t="n">
        <f aca="false">((('1 Inputs'!B10*((1+((B40+2)/100))^1-1)/((B40+2)/100))+(-PV(((B40+2)/100),'1 Inputs'!B11-1,'1 Inputs'!B10,100)))/B42)^(1/1)-1</f>
        <v>-0.066924814739911</v>
      </c>
      <c r="F46" s="21" t="n">
        <f aca="false">((('1 Inputs'!B10*((1+((B40+3)/100))^1-1)/((B40+3)/100))+(-PV(((B40+3)/100),'1 Inputs'!B11-1,'1 Inputs'!B10,100)))/B42)^(1/1)-1</f>
        <v>-0.125391471682408</v>
      </c>
    </row>
    <row r="47" customFormat="false" ht="15" hidden="false" customHeight="false" outlineLevel="0" collapsed="false">
      <c r="A47" s="5" t="s">
        <v>98</v>
      </c>
      <c r="B47" s="21" t="n">
        <f aca="false">((('1 Inputs'!B10*((1+((B40+-1)/100))^2-1)/((B40+-1)/100))+(-PV(((B40+-1)/100),'1 Inputs'!B11-2,'1 Inputs'!B10,100)))/B42)^(1/2)-1</f>
        <v>0.100279554920448</v>
      </c>
      <c r="C47" s="21" t="n">
        <f aca="false">((('1 Inputs'!B10*((1+((B40+0)/100))^2-1)/((B40+0)/100))+(-PV(((B40+0)/100),'1 Inputs'!B11-2,'1 Inputs'!B10,100)))/B42)^(1/2)-1</f>
        <v>0.0674999999999999</v>
      </c>
      <c r="D47" s="22" t="n">
        <f aca="false">((('1 Inputs'!B10*((1+((B40+1)/100))^2-1)/((B40+1)/100))+(-PV(((B40+1)/100),'1 Inputs'!B11-2,'1 Inputs'!B10,100)))/B42)^(1/2)-1</f>
        <v>0.0365537092929369</v>
      </c>
      <c r="E47" s="21" t="n">
        <f aca="false">((('1 Inputs'!B10*((1+((B40+2)/100))^2-1)/((B40+2)/100))+(-PV(((B40+2)/100),'1 Inputs'!B11-2,'1 Inputs'!B10,100)))/B42)^(1/2)-1</f>
        <v>0.00733274739300849</v>
      </c>
      <c r="F47" s="21" t="n">
        <f aca="false">((('1 Inputs'!B10*((1+((B40+3)/100))^2-1)/((B40+3)/100))+(-PV(((B40+3)/100),'1 Inputs'!B11-2,'1 Inputs'!B10,100)))/B42)^(1/2)-1</f>
        <v>-0.0202638825537982</v>
      </c>
    </row>
    <row r="48" customFormat="false" ht="15" hidden="false" customHeight="false" outlineLevel="0" collapsed="false">
      <c r="A48" s="5" t="s">
        <v>99</v>
      </c>
      <c r="B48" s="21" t="n">
        <f aca="false">((('1 Inputs'!B10*((1+((B40+-1)/100))^3-1)/((B40+-1)/100))+(-PV(((B40+-1)/100),'1 Inputs'!B11-3,'1 Inputs'!B10,100)))/B42)^(1/3)-1</f>
        <v>0.0858307941503791</v>
      </c>
      <c r="C48" s="21" t="n">
        <f aca="false">((('1 Inputs'!B10*((1+((B40+0)/100))^3-1)/((B40+0)/100))+(-PV(((B40+0)/100),'1 Inputs'!B11-3,'1 Inputs'!B10,100)))/B42)^(1/3)-1</f>
        <v>0.0674999999999999</v>
      </c>
      <c r="D48" s="22" t="n">
        <f aca="false">((('1 Inputs'!B10*((1+((B40+1)/100))^3-1)/((B40+1)/100))+(-PV(((B40+1)/100),'1 Inputs'!B11-3,'1 Inputs'!B10,100)))/B42)^(1/3)-1</f>
        <v>0.0500265966500282</v>
      </c>
      <c r="E48" s="21" t="n">
        <f aca="false">((('1 Inputs'!B10*((1+((B40+2)/100))^3-1)/((B40+2)/100))+(-PV(((B40+2)/100),'1 Inputs'!B11-3,'1 Inputs'!B10,100)))/B42)^(1/3)-1</f>
        <v>0.0333760461975472</v>
      </c>
      <c r="F48" s="21" t="n">
        <f aca="false">((('1 Inputs'!B10*((1+((B40+3)/100))^3-1)/((B40+3)/100))+(-PV(((B40+3)/100),'1 Inputs'!B11-3,'1 Inputs'!B10,100)))/B42)^(1/3)-1</f>
        <v>0.0175152381893573</v>
      </c>
    </row>
    <row r="49" customFormat="false" ht="15" hidden="false" customHeight="false" outlineLevel="0" collapsed="false">
      <c r="A49" s="5" t="s">
        <v>100</v>
      </c>
      <c r="B49" s="21" t="n">
        <f aca="false">((('1 Inputs'!B10*((1+((B40+-1)/100))^4-1)/((B40+-1)/100))+(-PV(((B40+-1)/100),'1 Inputs'!B11-4,'1 Inputs'!B10,100)))/B42)^(1/4)-1</f>
        <v>0.0786777226439663</v>
      </c>
      <c r="C49" s="21" t="n">
        <f aca="false">((('1 Inputs'!B10*((1+((B40+0)/100))^4-1)/((B40+0)/100))+(-PV(((B40+0)/100),'1 Inputs'!B11-4,'1 Inputs'!B10,100)))/B42)^(1/4)-1</f>
        <v>0.0674999999999999</v>
      </c>
      <c r="D49" s="22" t="n">
        <f aca="false">((('1 Inputs'!B10*((1+((B40+1)/100))^4-1)/((B40+1)/100))+(-PV(((B40+1)/100),'1 Inputs'!B11-4,'1 Inputs'!B10,100)))/B42)^(1/4)-1</f>
        <v>0.0568285678212619</v>
      </c>
      <c r="E49" s="21" t="n">
        <f aca="false">((('1 Inputs'!B10*((1+((B40+2)/100))^4-1)/((B40+2)/100))+(-PV(((B40+2)/100),'1 Inputs'!B11-4,'1 Inputs'!B10,100)))/B42)^(1/4)-1</f>
        <v>0.04664911158893</v>
      </c>
      <c r="F49" s="21" t="n">
        <f aca="false">((('1 Inputs'!B10*((1+((B40+3)/100))^4-1)/((B40+3)/100))+(-PV(((B40+3)/100),'1 Inputs'!B11-4,'1 Inputs'!B10,100)))/B42)^(1/4)-1</f>
        <v>0.0369476307399552</v>
      </c>
    </row>
    <row r="50" customFormat="false" ht="15" hidden="false" customHeight="false" outlineLevel="0" collapsed="false">
      <c r="A50" s="5" t="s">
        <v>101</v>
      </c>
      <c r="B50" s="21" t="n">
        <f aca="false">((('1 Inputs'!B10*((1+((B40+-1)/100))^5-1)/((B40+-1)/100))+(-PV(((B40+-1)/100),'1 Inputs'!B11-5,'1 Inputs'!B10,100)))/B42)^(1/5)-1</f>
        <v>0.0744085181747911</v>
      </c>
      <c r="C50" s="21" t="n">
        <f aca="false">((('1 Inputs'!B10*((1+((B40+0)/100))^5-1)/((B40+0)/100))+(-PV(((B40+0)/100),'1 Inputs'!B11-5,'1 Inputs'!B10,100)))/B42)^(1/5)-1</f>
        <v>0.0674999999999999</v>
      </c>
      <c r="D50" s="22" t="n">
        <f aca="false">((('1 Inputs'!B10*((1+((B40+1)/100))^5-1)/((B40+1)/100))+(-PV(((B40+1)/100),'1 Inputs'!B11-5,'1 Inputs'!B10,100)))/B42)^(1/5)-1</f>
        <v>0.0609308823044081</v>
      </c>
      <c r="E50" s="21" t="n">
        <f aca="false">((('1 Inputs'!B10*((1+((B40+2)/100))^5-1)/((B40+2)/100))+(-PV(((B40+2)/100),'1 Inputs'!B11-5,'1 Inputs'!B10,100)))/B42)^(1/5)-1</f>
        <v>0.0546946437101725</v>
      </c>
      <c r="F50" s="21" t="n">
        <f aca="false">((('1 Inputs'!B10*((1+((B40+3)/100))^5-1)/((B40+3)/100))+(-PV(((B40+3)/100),'1 Inputs'!B11-5,'1 Inputs'!B10,100)))/B42)^(1/5)-1</f>
        <v>0.0487847521503859</v>
      </c>
    </row>
    <row r="51" customFormat="false" ht="15" hidden="false" customHeight="false" outlineLevel="0" collapsed="false">
      <c r="A51" s="5" t="s">
        <v>102</v>
      </c>
      <c r="B51" s="21" t="n">
        <f aca="false">((('1 Inputs'!B10*((1+((B40+-1)/100))^6-1)/((B40+-1)/100))+(-PV(((B40+-1)/100),'1 Inputs'!B11-6,'1 Inputs'!B10,100)))/B42)^(1/6)-1</f>
        <v>0.0715717730577015</v>
      </c>
      <c r="C51" s="21" t="n">
        <f aca="false">((('1 Inputs'!B10*((1+((B40+0)/100))^6-1)/((B40+0)/100))+(-PV(((B40+0)/100),'1 Inputs'!B11-6,'1 Inputs'!B10,100)))/B42)^(1/6)-1</f>
        <v>0.0674999999999999</v>
      </c>
      <c r="D51" s="22" t="n">
        <f aca="false">((('1 Inputs'!B10*((1+((B40+1)/100))^6-1)/((B40+1)/100))+(-PV(((B40+1)/100),'1 Inputs'!B11-6,'1 Inputs'!B10,100)))/B42)^(1/6)-1</f>
        <v>0.0636746015066851</v>
      </c>
      <c r="E51" s="21" t="n">
        <f aca="false">((('1 Inputs'!B10*((1+((B40+2)/100))^6-1)/((B40+2)/100))+(-PV(((B40+2)/100),'1 Inputs'!B11-6,'1 Inputs'!B10,100)))/B42)^(1/6)-1</f>
        <v>0.0600926611574257</v>
      </c>
      <c r="F51" s="21" t="n">
        <f aca="false">((('1 Inputs'!B10*((1+((B40+3)/100))^6-1)/((B40+3)/100))+(-PV(((B40+3)/100),'1 Inputs'!B11-6,'1 Inputs'!B10,100)))/B42)^(1/6)-1</f>
        <v>0.0567511409564787</v>
      </c>
    </row>
    <row r="52" customFormat="false" ht="15" hidden="false" customHeight="false" outlineLevel="0" collapsed="false">
      <c r="A52" s="5" t="s">
        <v>103</v>
      </c>
      <c r="B52" s="21" t="n">
        <f aca="false">((('1 Inputs'!B10*((1+((B40+-1)/100))^7-1)/((B40+-1)/100))+(-PV(((B40+-1)/100),'1 Inputs'!B11-7,'1 Inputs'!B10,100)))/B42)^(1/7)-1</f>
        <v>0.0695501133016099</v>
      </c>
      <c r="C52" s="21" t="n">
        <f aca="false">((('1 Inputs'!B10*((1+((B40+0)/100))^7-1)/((B40+0)/100))+(-PV(((B40+0)/100),'1 Inputs'!B11-7,'1 Inputs'!B10,100)))/B42)^(1/7)-1</f>
        <v>0.0674999999999999</v>
      </c>
      <c r="D52" s="22" t="n">
        <f aca="false">((('1 Inputs'!B10*((1+((B40+1)/100))^7-1)/((B40+1)/100))+(-PV(((B40+1)/100),'1 Inputs'!B11-7,'1 Inputs'!B10,100)))/B42)^(1/7)-1</f>
        <v>0.0656387441437771</v>
      </c>
      <c r="E52" s="21" t="n">
        <f aca="false">((('1 Inputs'!B10*((1+((B40+2)/100))^7-1)/((B40+2)/100))+(-PV(((B40+2)/100),'1 Inputs'!B11-7,'1 Inputs'!B10,100)))/B42)^(1/7)-1</f>
        <v>0.0639652944793578</v>
      </c>
      <c r="F52" s="21" t="n">
        <f aca="false">((('1 Inputs'!B10*((1+((B40+3)/100))^7-1)/((B40+3)/100))+(-PV(((B40+3)/100),'1 Inputs'!B11-7,'1 Inputs'!B10,100)))/B42)^(1/7)-1</f>
        <v>0.0624784396869733</v>
      </c>
    </row>
    <row r="53" customFormat="false" ht="15" hidden="false" customHeight="false" outlineLevel="0" collapsed="false">
      <c r="A53" s="5" t="s">
        <v>104</v>
      </c>
      <c r="B53" s="21" t="n">
        <f aca="false">((('1 Inputs'!B10*((1+((B40+-1)/100))^8-1)/((B40+-1)/100))+(-PV(((B40+-1)/100),'1 Inputs'!B11-8,'1 Inputs'!B10,100)))/B42)^(1/8)-1</f>
        <v>0.0680363718975092</v>
      </c>
      <c r="C53" s="21" t="n">
        <f aca="false">((('1 Inputs'!B10*((1+((B40+0)/100))^8-1)/((B40+0)/100))+(-PV(((B40+0)/100),'1 Inputs'!B11-8,'1 Inputs'!B10,100)))/B42)^(1/8)-1</f>
        <v>0.0674999999999999</v>
      </c>
      <c r="D53" s="22" t="n">
        <f aca="false">((('1 Inputs'!B10*((1+((B40+1)/100))^8-1)/((B40+1)/100))+(-PV(((B40+1)/100),'1 Inputs'!B11-8,'1 Inputs'!B10,100)))/B42)^(1/8)-1</f>
        <v>0.067114230917857</v>
      </c>
      <c r="E53" s="21" t="n">
        <f aca="false">((('1 Inputs'!B10*((1+((B40+2)/100))^8-1)/((B40+2)/100))+(-PV(((B40+2)/100),'1 Inputs'!B11-8,'1 Inputs'!B10,100)))/B42)^(1/8)-1</f>
        <v>0.0668790507142605</v>
      </c>
      <c r="F53" s="21" t="n">
        <f aca="false">((('1 Inputs'!B10*((1+((B40+3)/100))^8-1)/((B40+3)/100))+(-PV(((B40+3)/100),'1 Inputs'!B11-8,'1 Inputs'!B10,100)))/B42)^(1/8)-1</f>
        <v>0.0667942747958017</v>
      </c>
    </row>
    <row r="54" customFormat="false" ht="15" hidden="false" customHeight="false" outlineLevel="0" collapsed="false">
      <c r="A54" s="5" t="s">
        <v>105</v>
      </c>
      <c r="B54" s="21" t="n">
        <f aca="false">((('1 Inputs'!B10*((1+((B40+-1)/100))^9-1)/((B40+-1)/100))+(-PV(((B40+-1)/100),'1 Inputs'!B11-9,'1 Inputs'!B10,100)))/B42)^(1/9)-1</f>
        <v>0.0668604987986166</v>
      </c>
      <c r="C54" s="21" t="n">
        <f aca="false">((('1 Inputs'!B10*((1+((B40+0)/100))^9-1)/((B40+0)/100))+(-PV(((B40+0)/100),'1 Inputs'!B11-9,'1 Inputs'!B10,100)))/B42)^(1/9)-1</f>
        <v>0.0674999999999999</v>
      </c>
      <c r="D54" s="22" t="n">
        <f aca="false">((('1 Inputs'!B10*((1+((B40+1)/100))^9-1)/((B40+1)/100))+(-PV(((B40+1)/100),'1 Inputs'!B11-9,'1 Inputs'!B10,100)))/B42)^(1/9)-1</f>
        <v>0.0682632440166553</v>
      </c>
      <c r="E54" s="21" t="n">
        <f aca="false">((('1 Inputs'!B10*((1+((B40+2)/100))^9-1)/((B40+2)/100))+(-PV(((B40+2)/100),'1 Inputs'!B11-9,'1 Inputs'!B10,100)))/B42)^(1/9)-1</f>
        <v>0.06915082117861</v>
      </c>
      <c r="F54" s="21" t="n">
        <f aca="false">((('1 Inputs'!B10*((1+((B40+3)/100))^9-1)/((B40+3)/100))+(-PV(((B40+3)/100),'1 Inputs'!B11-9,'1 Inputs'!B10,100)))/B42)^(1/9)-1</f>
        <v>0.0701631520712946</v>
      </c>
    </row>
    <row r="55" customFormat="false" ht="15" hidden="false" customHeight="false" outlineLevel="0" collapsed="false">
      <c r="A55" s="5" t="s">
        <v>106</v>
      </c>
      <c r="B55" s="21" t="n">
        <f aca="false">((('1 Inputs'!B10*((1+((B40+-1)/100))^10-1)/((B40+-1)/100))+(-PV(((B40+-1)/100),'1 Inputs'!B11-10,'1 Inputs'!B10,100)))/B42)^(1/10)-1</f>
        <v>0.0659207324983606</v>
      </c>
      <c r="C55" s="21" t="n">
        <f aca="false">((('1 Inputs'!B10*((1+((B40+0)/100))^10-1)/((B40+0)/100))+(-PV(((B40+0)/100),'1 Inputs'!B11-10,'1 Inputs'!B10,100)))/B42)^(1/10)-1</f>
        <v>0.0674999999999999</v>
      </c>
      <c r="D55" s="22" t="n">
        <f aca="false">((('1 Inputs'!B10*((1+((B40+1)/100))^10-1)/((B40+1)/100))+(-PV(((B40+1)/100),'1 Inputs'!B11-10,'1 Inputs'!B10,100)))/B42)^(1/10)-1</f>
        <v>0.0691833452140001</v>
      </c>
      <c r="E55" s="21" t="n">
        <f aca="false">((('1 Inputs'!B10*((1+((B40+2)/100))^10-1)/((B40+2)/100))+(-PV(((B40+2)/100),'1 Inputs'!B11-10,'1 Inputs'!B10,100)))/B42)^(1/10)-1</f>
        <v>0.0709717199976909</v>
      </c>
      <c r="F55" s="21" t="n">
        <f aca="false">((('1 Inputs'!B10*((1+((B40+3)/100))^10-1)/((B40+3)/100))+(-PV(((B40+3)/100),'1 Inputs'!B11-10,'1 Inputs'!B10,100)))/B42)^(1/10)-1</f>
        <v>0.0728659121647255</v>
      </c>
    </row>
    <row r="56" customFormat="false" ht="15" hidden="false" customHeight="false" outlineLevel="0" collapsed="false">
      <c r="A56" s="5" t="s">
        <v>107</v>
      </c>
      <c r="B56" s="21" t="n">
        <f aca="false">((('1 Inputs'!B10*((1+((B40+-1)/100))^11-1)/((B40+-1)/100))+(-PV(((B40+-1)/100),'1 Inputs'!B11-11,'1 Inputs'!B10,100)))/B42)^(1/11)-1</f>
        <v>0.0651524485595061</v>
      </c>
      <c r="C56" s="21" t="n">
        <f aca="false">((('1 Inputs'!B10*((1+((B40+0)/100))^11-1)/((B40+0)/100))+(-PV(((B40+0)/100),'1 Inputs'!B11-11,'1 Inputs'!B10,100)))/B42)^(1/11)-1</f>
        <v>0.0674999999999999</v>
      </c>
      <c r="D56" s="22" t="n">
        <f aca="false">((('1 Inputs'!B10*((1+((B40+1)/100))^11-1)/((B40+1)/100))+(-PV(((B40+1)/100),'1 Inputs'!B11-11,'1 Inputs'!B10,100)))/B42)^(1/11)-1</f>
        <v>0.069936744707964</v>
      </c>
      <c r="E56" s="21" t="n">
        <f aca="false">((('1 Inputs'!B10*((1+((B40+2)/100))^11-1)/((B40+2)/100))+(-PV(((B40+2)/100),'1 Inputs'!B11-11,'1 Inputs'!B10,100)))/B42)^(1/11)-1</f>
        <v>0.0724638527592143</v>
      </c>
      <c r="F56" s="21" t="n">
        <f aca="false">((('1 Inputs'!B10*((1+((B40+3)/100))^11-1)/((B40+3)/100))+(-PV(((B40+3)/100),'1 Inputs'!B11-11,'1 Inputs'!B10,100)))/B42)^(1/11)-1</f>
        <v>0.075082337730626</v>
      </c>
    </row>
    <row r="58" customFormat="false" ht="15" hidden="false" customHeight="false" outlineLevel="0" collapsed="false">
      <c r="H58" s="5" t="s">
        <v>108</v>
      </c>
    </row>
    <row r="59" customFormat="false" ht="15" hidden="false" customHeight="false" outlineLevel="0" collapsed="false">
      <c r="H59" s="5" t="s">
        <v>109</v>
      </c>
    </row>
    <row r="60" customFormat="false" ht="15" hidden="false" customHeight="false" outlineLevel="0" collapsed="false">
      <c r="H60" s="20" t="s">
        <v>110</v>
      </c>
    </row>
    <row r="61" customFormat="false" ht="15" hidden="false" customHeight="false" outlineLevel="0" collapsed="false">
      <c r="H61" s="5" t="s">
        <v>111</v>
      </c>
    </row>
    <row r="63" customFormat="false" ht="15" hidden="false" customHeight="false" outlineLevel="0" collapsed="false">
      <c r="A63" s="4" t="s">
        <v>112</v>
      </c>
    </row>
    <row r="64" customFormat="false" ht="15" hidden="false" customHeight="false" outlineLevel="0" collapsed="false">
      <c r="A64" s="4" t="s">
        <v>113</v>
      </c>
      <c r="B64" s="5" t="s">
        <v>114</v>
      </c>
    </row>
    <row r="65" customFormat="false" ht="15" hidden="false" customHeight="false" outlineLevel="0" collapsed="false">
      <c r="A65" s="4" t="s">
        <v>115</v>
      </c>
      <c r="B65" s="5" t="s">
        <v>116</v>
      </c>
    </row>
    <row r="66" customFormat="false" ht="15" hidden="false" customHeight="false" outlineLevel="0" collapsed="false">
      <c r="A66" s="4" t="s">
        <v>117</v>
      </c>
      <c r="B66" s="5" t="s">
        <v>118</v>
      </c>
    </row>
    <row r="67" customFormat="false" ht="15" hidden="false" customHeight="false" outlineLevel="0" collapsed="false">
      <c r="A67" s="4" t="s">
        <v>119</v>
      </c>
      <c r="B67" s="5" t="s">
        <v>120</v>
      </c>
    </row>
    <row r="68" customFormat="false" ht="15" hidden="false" customHeight="false" outlineLevel="0" collapsed="false">
      <c r="A68" s="4" t="s">
        <v>121</v>
      </c>
      <c r="B68" s="5" t="s">
        <v>122</v>
      </c>
    </row>
    <row r="70" customFormat="false" ht="15" hidden="false" customHeight="false" outlineLevel="0" collapsed="false">
      <c r="A70" s="11" t="s">
        <v>123</v>
      </c>
    </row>
    <row r="71" customFormat="false" ht="15" hidden="false" customHeight="false" outlineLevel="0" collapsed="false">
      <c r="A71" s="11"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3"/>
    <col collapsed="false" customWidth="true" hidden="false" outlineLevel="0" max="3" min="3" style="1" width="76"/>
  </cols>
  <sheetData>
    <row r="1" customFormat="false" ht="16.15" hidden="false" customHeight="false" outlineLevel="0" collapsed="false">
      <c r="A1" s="2" t="s">
        <v>125</v>
      </c>
    </row>
    <row r="2" customFormat="false" ht="15" hidden="false" customHeight="false" outlineLevel="0" collapsed="false">
      <c r="A2" s="3" t="s">
        <v>126</v>
      </c>
    </row>
    <row r="4" customFormat="false" ht="15" hidden="false" customHeight="false" outlineLevel="0" collapsed="false">
      <c r="A4" s="4" t="s">
        <v>127</v>
      </c>
    </row>
    <row r="5" customFormat="false" ht="15" hidden="false" customHeight="false" outlineLevel="0" collapsed="false">
      <c r="A5" s="5" t="s">
        <v>128</v>
      </c>
      <c r="B5" s="23" t="n">
        <v>220</v>
      </c>
      <c r="C5" s="11" t="s">
        <v>129</v>
      </c>
    </row>
    <row r="6" customFormat="false" ht="15" hidden="false" customHeight="false" outlineLevel="0" collapsed="false">
      <c r="A6" s="5" t="s">
        <v>130</v>
      </c>
      <c r="B6" s="23" t="n">
        <v>250</v>
      </c>
      <c r="C6" s="11" t="s">
        <v>131</v>
      </c>
    </row>
    <row r="7" customFormat="false" ht="15" hidden="false" customHeight="false" outlineLevel="0" collapsed="false">
      <c r="A7" s="5" t="s">
        <v>132</v>
      </c>
      <c r="B7" s="23" t="n">
        <v>4.55</v>
      </c>
      <c r="C7" s="11" t="s">
        <v>133</v>
      </c>
    </row>
    <row r="9" customFormat="false" ht="15" hidden="false" customHeight="false" outlineLevel="0" collapsed="false">
      <c r="A9" s="4" t="s">
        <v>134</v>
      </c>
    </row>
    <row r="10" customFormat="false" ht="15" hidden="false" customHeight="false" outlineLevel="0" collapsed="false">
      <c r="A10" s="5" t="s">
        <v>135</v>
      </c>
      <c r="B10" s="23" t="n">
        <v>5.6</v>
      </c>
      <c r="C10" s="11" t="s">
        <v>136</v>
      </c>
    </row>
    <row r="11" customFormat="false" ht="15" hidden="false" customHeight="false" outlineLevel="0" collapsed="false">
      <c r="A11" s="5" t="s">
        <v>137</v>
      </c>
      <c r="B11" s="23" t="n">
        <v>11</v>
      </c>
      <c r="C11" s="11" t="s">
        <v>138</v>
      </c>
    </row>
    <row r="12" customFormat="false" ht="15" hidden="false" customHeight="false" outlineLevel="0" collapsed="false">
      <c r="A12" s="5" t="s">
        <v>139</v>
      </c>
      <c r="B12" s="23" t="n">
        <v>6.5</v>
      </c>
      <c r="C12" s="11" t="s">
        <v>140</v>
      </c>
    </row>
    <row r="13" customFormat="false" ht="15" hidden="false" customHeight="false" outlineLevel="0" collapsed="false">
      <c r="A13" s="5" t="s">
        <v>141</v>
      </c>
      <c r="B13" s="23" t="n">
        <v>6.5</v>
      </c>
      <c r="C13" s="11" t="s">
        <v>142</v>
      </c>
    </row>
    <row r="14" customFormat="false" ht="15" hidden="false" customHeight="false" outlineLevel="0" collapsed="false">
      <c r="A14" s="5" t="s">
        <v>143</v>
      </c>
      <c r="B14" s="23" t="n">
        <v>60</v>
      </c>
      <c r="C14" s="11" t="s">
        <v>144</v>
      </c>
    </row>
    <row r="16" customFormat="false" ht="15" hidden="false" customHeight="false" outlineLevel="0" collapsed="false">
      <c r="A16" s="4" t="s">
        <v>145</v>
      </c>
    </row>
    <row r="17" customFormat="false" ht="15" hidden="false" customHeight="false" outlineLevel="0" collapsed="false">
      <c r="A17" s="5" t="s">
        <v>146</v>
      </c>
      <c r="B17" s="23" t="n">
        <v>5.5</v>
      </c>
      <c r="C17" s="11" t="s">
        <v>147</v>
      </c>
    </row>
    <row r="18" customFormat="false" ht="15" hidden="false" customHeight="false" outlineLevel="0" collapsed="false">
      <c r="A18" s="5" t="s">
        <v>148</v>
      </c>
      <c r="B18" s="23" t="n">
        <v>8</v>
      </c>
      <c r="C18" s="11" t="s">
        <v>149</v>
      </c>
    </row>
    <row r="20" customFormat="false" ht="15" hidden="false" customHeight="false" outlineLevel="0" collapsed="false">
      <c r="A20" s="4" t="s">
        <v>150</v>
      </c>
    </row>
    <row r="21" customFormat="false" ht="15" hidden="false" customHeight="false" outlineLevel="0" collapsed="false">
      <c r="A21" s="5" t="s">
        <v>151</v>
      </c>
      <c r="B21" s="16" t="n">
        <v>12</v>
      </c>
      <c r="C21" s="11" t="s">
        <v>152</v>
      </c>
    </row>
    <row r="22" customFormat="false" ht="15" hidden="false" customHeight="false" outlineLevel="0" collapsed="false">
      <c r="A22" s="5" t="s">
        <v>153</v>
      </c>
      <c r="B22" s="18" t="n">
        <f aca="false">B21/12</f>
        <v>1</v>
      </c>
    </row>
    <row r="24" customFormat="false" ht="15" hidden="false" customHeight="false" outlineLevel="0" collapsed="false">
      <c r="A24" s="4" t="s">
        <v>154</v>
      </c>
    </row>
    <row r="25" customFormat="false" ht="15" hidden="false" customHeight="false" outlineLevel="0" collapsed="false">
      <c r="A25" s="5" t="s">
        <v>155</v>
      </c>
      <c r="B25" s="19" t="n">
        <f aca="false">B7+B5/100</f>
        <v>6.75</v>
      </c>
      <c r="C25" s="11" t="s">
        <v>156</v>
      </c>
    </row>
    <row r="26" customFormat="false" ht="15" hidden="false" customHeight="false" outlineLevel="0" collapsed="false">
      <c r="A26" s="5" t="s">
        <v>157</v>
      </c>
      <c r="B26" s="18" t="n">
        <f aca="false">-PV(B25/100,B11,B10,100)</f>
        <v>91.268110403655</v>
      </c>
      <c r="C26" s="11" t="s">
        <v>158</v>
      </c>
    </row>
    <row r="27" customFormat="false" ht="15" hidden="false" customHeight="false" outlineLevel="0" collapsed="false">
      <c r="A27" s="5" t="s">
        <v>159</v>
      </c>
      <c r="B27" s="18" t="n">
        <f aca="false">B10/B26*100</f>
        <v>6.13576853430258</v>
      </c>
      <c r="C27" s="11" t="s">
        <v>160</v>
      </c>
    </row>
    <row r="28" customFormat="false" ht="15" hidden="false" customHeight="false" outlineLevel="0" collapsed="false">
      <c r="A28" s="5" t="s">
        <v>161</v>
      </c>
      <c r="B28" s="18" t="n">
        <f aca="false">B25-B27</f>
        <v>0.614231465697423</v>
      </c>
      <c r="C28" s="11" t="s">
        <v>162</v>
      </c>
    </row>
    <row r="29" customFormat="false" ht="15" hidden="false" customHeight="false" outlineLevel="0" collapsed="false">
      <c r="A29" s="5" t="s">
        <v>163</v>
      </c>
      <c r="B29" s="18" t="n">
        <f aca="false">B17+B18</f>
        <v>13.5</v>
      </c>
      <c r="C29" s="11" t="s">
        <v>164</v>
      </c>
    </row>
    <row r="30" customFormat="false" ht="15" hidden="false" customHeight="false" outlineLevel="0" collapsed="false">
      <c r="A30" s="5" t="s">
        <v>165</v>
      </c>
      <c r="B30" s="19" t="n">
        <f aca="false">(B27+B28)*B22+B12*B29*B22/100</f>
        <v>7.6275</v>
      </c>
      <c r="C30" s="11" t="s">
        <v>166</v>
      </c>
    </row>
    <row r="32" customFormat="false" ht="15" hidden="false" customHeight="false" outlineLevel="0" collapsed="false">
      <c r="A32" s="11" t="s">
        <v>167</v>
      </c>
    </row>
    <row r="33" customFormat="false" ht="15" hidden="false" customHeight="false" outlineLevel="0" collapsed="false">
      <c r="A33" s="11"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5"/>
    <col collapsed="false" customWidth="true" hidden="false" outlineLevel="0" max="4" min="4" style="1" width="14"/>
    <col collapsed="false" customWidth="true" hidden="false" outlineLevel="0" max="6" min="5" style="1" width="17"/>
  </cols>
  <sheetData>
    <row r="1" customFormat="false" ht="16.15" hidden="false" customHeight="false" outlineLevel="0" collapsed="false">
      <c r="A1" s="2" t="s">
        <v>169</v>
      </c>
    </row>
    <row r="2" customFormat="false" ht="15" hidden="false" customHeight="false" outlineLevel="0" collapsed="false">
      <c r="A2" s="3" t="s">
        <v>170</v>
      </c>
    </row>
    <row r="4" customFormat="false" ht="15" hidden="false" customHeight="false" outlineLevel="0" collapsed="false">
      <c r="A4" s="4" t="s">
        <v>171</v>
      </c>
    </row>
    <row r="5" customFormat="false" ht="15" hidden="false" customHeight="false" outlineLevel="0" collapsed="false">
      <c r="A5" s="6" t="s">
        <v>172</v>
      </c>
      <c r="B5" s="24" t="s">
        <v>173</v>
      </c>
      <c r="C5" s="24" t="s">
        <v>174</v>
      </c>
      <c r="D5" s="6" t="s">
        <v>175</v>
      </c>
      <c r="E5" s="6" t="s">
        <v>176</v>
      </c>
    </row>
    <row r="6" customFormat="false" ht="15" hidden="false" customHeight="false" outlineLevel="0" collapsed="false">
      <c r="A6" s="25" t="s">
        <v>177</v>
      </c>
      <c r="B6" s="12" t="n">
        <f aca="false">'1 Inputs'!B27</f>
        <v>6.13576853430258</v>
      </c>
      <c r="C6" s="21" t="n">
        <f aca="false">B6/$B$9</f>
        <v>0.80442720869257</v>
      </c>
      <c r="D6" s="7" t="s">
        <v>178</v>
      </c>
      <c r="E6" s="7" t="s">
        <v>179</v>
      </c>
    </row>
    <row r="7" customFormat="false" ht="15" hidden="false" customHeight="false" outlineLevel="0" collapsed="false">
      <c r="A7" s="25" t="s">
        <v>180</v>
      </c>
      <c r="B7" s="12" t="n">
        <f aca="false">'1 Inputs'!B28</f>
        <v>0.614231465697423</v>
      </c>
      <c r="C7" s="21" t="n">
        <f aca="false">B7/$B$9</f>
        <v>0.0805285435198195</v>
      </c>
      <c r="D7" s="7" t="s">
        <v>181</v>
      </c>
      <c r="E7" s="7" t="s">
        <v>182</v>
      </c>
    </row>
    <row r="8" customFormat="false" ht="15" hidden="false" customHeight="false" outlineLevel="0" collapsed="false">
      <c r="A8" s="5" t="s">
        <v>145</v>
      </c>
      <c r="B8" s="18" t="n">
        <f aca="false">'1 Inputs'!B12*'1 Inputs'!B29/100</f>
        <v>0.8775</v>
      </c>
      <c r="C8" s="21" t="n">
        <f aca="false">B8/$B$9</f>
        <v>0.115044247787611</v>
      </c>
      <c r="D8" s="7" t="s">
        <v>183</v>
      </c>
      <c r="E8" s="7" t="s">
        <v>184</v>
      </c>
    </row>
    <row r="9" customFormat="false" ht="15" hidden="false" customHeight="false" outlineLevel="0" collapsed="false">
      <c r="A9" s="9" t="s">
        <v>185</v>
      </c>
      <c r="B9" s="19" t="n">
        <f aca="false">SUM(B6:B8)</f>
        <v>7.6275</v>
      </c>
      <c r="C9" s="22" t="n">
        <f aca="false">B9/B9</f>
        <v>1</v>
      </c>
    </row>
    <row r="11" customFormat="false" ht="15" hidden="false" customHeight="false" outlineLevel="0" collapsed="false">
      <c r="A11" s="11" t="s">
        <v>186</v>
      </c>
    </row>
    <row r="13" customFormat="false" ht="15" hidden="false" customHeight="false" outlineLevel="0" collapsed="false">
      <c r="A13" s="4" t="s">
        <v>187</v>
      </c>
    </row>
    <row r="14" customFormat="false" ht="22.35" hidden="false" customHeight="false" outlineLevel="0" collapsed="false">
      <c r="A14" s="15" t="s">
        <v>188</v>
      </c>
      <c r="B14" s="15" t="s">
        <v>189</v>
      </c>
      <c r="C14" s="15" t="s">
        <v>190</v>
      </c>
      <c r="D14" s="15" t="s">
        <v>191</v>
      </c>
      <c r="E14" s="15" t="s">
        <v>192</v>
      </c>
      <c r="F14" s="15" t="s">
        <v>193</v>
      </c>
    </row>
    <row r="15" customFormat="false" ht="15" hidden="false" customHeight="false" outlineLevel="0" collapsed="false">
      <c r="A15" s="26" t="s">
        <v>194</v>
      </c>
      <c r="B15" s="18" t="n">
        <f aca="false">'1 Inputs'!B27*A15/12</f>
        <v>0.511314044525215</v>
      </c>
      <c r="C15" s="18" t="n">
        <f aca="false">'1 Inputs'!B28*A15/12</f>
        <v>0.0511859554747853</v>
      </c>
      <c r="D15" s="18" t="n">
        <f aca="false">'1 Inputs'!B12*'1 Inputs'!B29/100*A15/12</f>
        <v>0.073125</v>
      </c>
      <c r="E15" s="19" t="n">
        <f aca="false">SUM(B15:D15)</f>
        <v>0.635625</v>
      </c>
      <c r="F15" s="27" t="n">
        <f aca="false">E15/'1 Inputs'!B13*100</f>
        <v>9.77884615384615</v>
      </c>
    </row>
    <row r="16" customFormat="false" ht="15" hidden="false" customHeight="false" outlineLevel="0" collapsed="false">
      <c r="A16" s="26" t="s">
        <v>195</v>
      </c>
      <c r="B16" s="18" t="n">
        <f aca="false">'1 Inputs'!B27*A16/12</f>
        <v>1.02262808905043</v>
      </c>
      <c r="C16" s="18" t="n">
        <f aca="false">'1 Inputs'!B28*A16/12</f>
        <v>0.102371910949571</v>
      </c>
      <c r="D16" s="18" t="n">
        <f aca="false">'1 Inputs'!B12*'1 Inputs'!B29/100*A16/12</f>
        <v>0.14625</v>
      </c>
      <c r="E16" s="19" t="n">
        <f aca="false">SUM(B16:D16)</f>
        <v>1.27125</v>
      </c>
      <c r="F16" s="27" t="n">
        <f aca="false">E16/'1 Inputs'!B13*100</f>
        <v>19.5576923076923</v>
      </c>
    </row>
    <row r="17" customFormat="false" ht="15" hidden="false" customHeight="false" outlineLevel="0" collapsed="false">
      <c r="A17" s="26" t="s">
        <v>196</v>
      </c>
      <c r="B17" s="18" t="n">
        <f aca="false">'1 Inputs'!B27*A17/12</f>
        <v>1.53394213357564</v>
      </c>
      <c r="C17" s="18" t="n">
        <f aca="false">'1 Inputs'!B28*A17/12</f>
        <v>0.153557866424356</v>
      </c>
      <c r="D17" s="18" t="n">
        <f aca="false">'1 Inputs'!B12*'1 Inputs'!B29/100*A17/12</f>
        <v>0.219375</v>
      </c>
      <c r="E17" s="19" t="n">
        <f aca="false">SUM(B17:D17)</f>
        <v>1.906875</v>
      </c>
      <c r="F17" s="27" t="n">
        <f aca="false">E17/'1 Inputs'!B13*100</f>
        <v>29.3365384615385</v>
      </c>
    </row>
    <row r="18" customFormat="false" ht="15" hidden="false" customHeight="false" outlineLevel="0" collapsed="false">
      <c r="A18" s="26" t="s">
        <v>197</v>
      </c>
      <c r="B18" s="18" t="n">
        <f aca="false">'1 Inputs'!B27*A18/12</f>
        <v>3.06788426715129</v>
      </c>
      <c r="C18" s="18" t="n">
        <f aca="false">'1 Inputs'!B28*A18/12</f>
        <v>0.307115732848712</v>
      </c>
      <c r="D18" s="18" t="n">
        <f aca="false">'1 Inputs'!B12*'1 Inputs'!B29/100*A18/12</f>
        <v>0.43875</v>
      </c>
      <c r="E18" s="19" t="n">
        <f aca="false">SUM(B18:D18)</f>
        <v>3.81375</v>
      </c>
      <c r="F18" s="27" t="n">
        <f aca="false">E18/'1 Inputs'!B13*100</f>
        <v>58.6730769230769</v>
      </c>
    </row>
    <row r="19" customFormat="false" ht="15" hidden="false" customHeight="false" outlineLevel="0" collapsed="false">
      <c r="A19" s="26" t="s">
        <v>198</v>
      </c>
      <c r="B19" s="18" t="n">
        <f aca="false">'1 Inputs'!B27*A19/12</f>
        <v>4.60182640072693</v>
      </c>
      <c r="C19" s="18" t="n">
        <f aca="false">'1 Inputs'!B28*A19/12</f>
        <v>0.460673599273067</v>
      </c>
      <c r="D19" s="18" t="n">
        <f aca="false">'1 Inputs'!B12*'1 Inputs'!B29/100*A19/12</f>
        <v>0.658125</v>
      </c>
      <c r="E19" s="19" t="n">
        <f aca="false">SUM(B19:D19)</f>
        <v>5.720625</v>
      </c>
      <c r="F19" s="27" t="n">
        <f aca="false">E19/'1 Inputs'!B13*100</f>
        <v>88.0096153846154</v>
      </c>
    </row>
    <row r="20" customFormat="false" ht="15" hidden="false" customHeight="false" outlineLevel="0" collapsed="false">
      <c r="A20" s="26" t="s">
        <v>199</v>
      </c>
      <c r="B20" s="18" t="n">
        <f aca="false">'1 Inputs'!B27*A20/12</f>
        <v>6.13576853430258</v>
      </c>
      <c r="C20" s="18" t="n">
        <f aca="false">'1 Inputs'!B28*A20/12</f>
        <v>0.614231465697423</v>
      </c>
      <c r="D20" s="18" t="n">
        <f aca="false">'1 Inputs'!B12*'1 Inputs'!B29/100*A20/12</f>
        <v>0.8775</v>
      </c>
      <c r="E20" s="19" t="n">
        <f aca="false">SUM(B20:D20)</f>
        <v>7.6275</v>
      </c>
      <c r="F20" s="27" t="n">
        <f aca="false">E20/'1 Inputs'!B13*100</f>
        <v>117.346153846154</v>
      </c>
    </row>
    <row r="21" customFormat="false" ht="15" hidden="false" customHeight="false" outlineLevel="0" collapsed="false">
      <c r="A21" s="26" t="s">
        <v>200</v>
      </c>
      <c r="B21" s="18" t="n">
        <f aca="false">'1 Inputs'!B27*A21/12</f>
        <v>9.20365280145387</v>
      </c>
      <c r="C21" s="18" t="n">
        <f aca="false">'1 Inputs'!B28*A21/12</f>
        <v>0.921347198546135</v>
      </c>
      <c r="D21" s="18" t="n">
        <f aca="false">'1 Inputs'!B12*'1 Inputs'!B29/100*A21/12</f>
        <v>1.31625</v>
      </c>
      <c r="E21" s="19" t="n">
        <f aca="false">SUM(B21:D21)</f>
        <v>11.44125</v>
      </c>
      <c r="F21" s="27" t="n">
        <f aca="false">E21/'1 Inputs'!B13*100</f>
        <v>176.019230769231</v>
      </c>
    </row>
    <row r="22" customFormat="false" ht="15" hidden="false" customHeight="false" outlineLevel="0" collapsed="false">
      <c r="A22" s="26" t="s">
        <v>201</v>
      </c>
      <c r="B22" s="18" t="n">
        <f aca="false">'1 Inputs'!B27*A22/12</f>
        <v>12.2715370686052</v>
      </c>
      <c r="C22" s="18" t="n">
        <f aca="false">'1 Inputs'!B28*A22/12</f>
        <v>1.22846293139485</v>
      </c>
      <c r="D22" s="18" t="n">
        <f aca="false">'1 Inputs'!B12*'1 Inputs'!B29/100*A22/12</f>
        <v>1.755</v>
      </c>
      <c r="E22" s="19" t="n">
        <f aca="false">SUM(B22:D22)</f>
        <v>15.255</v>
      </c>
      <c r="F22" s="27" t="n">
        <f aca="false">E22/'1 Inputs'!B13*100</f>
        <v>234.692307692308</v>
      </c>
    </row>
    <row r="23" customFormat="false" ht="15" hidden="false" customHeight="false" outlineLevel="0" collapsed="false">
      <c r="A23" s="26" t="s">
        <v>202</v>
      </c>
      <c r="B23" s="18" t="n">
        <f aca="false">'1 Inputs'!B27*A23/12</f>
        <v>18.4073056029077</v>
      </c>
      <c r="C23" s="18" t="n">
        <f aca="false">'1 Inputs'!B28*A23/12</f>
        <v>1.84269439709227</v>
      </c>
      <c r="D23" s="18" t="n">
        <f aca="false">'1 Inputs'!B12*'1 Inputs'!B29/100*A23/12</f>
        <v>2.6325</v>
      </c>
      <c r="E23" s="19" t="n">
        <f aca="false">SUM(B23:D23)</f>
        <v>22.8825</v>
      </c>
      <c r="F23" s="27" t="n">
        <f aca="false">E23/'1 Inputs'!B13*100</f>
        <v>352.038461538462</v>
      </c>
    </row>
    <row r="24" customFormat="false" ht="15" hidden="false" customHeight="false" outlineLevel="0" collapsed="false">
      <c r="A24" s="11" t="s">
        <v>203</v>
      </c>
    </row>
    <row r="27" customFormat="false" ht="15" hidden="false" customHeight="false" outlineLevel="0" collapsed="false">
      <c r="H27" s="11"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4" min="2" style="1" width="12"/>
    <col collapsed="false" customWidth="true" hidden="false" outlineLevel="0" max="5" min="5" style="1" width="14"/>
    <col collapsed="false" customWidth="true" hidden="false" outlineLevel="0" max="6" min="6" style="1" width="84"/>
  </cols>
  <sheetData>
    <row r="1" customFormat="false" ht="16.15" hidden="false" customHeight="false" outlineLevel="0" collapsed="false">
      <c r="A1" s="2" t="s">
        <v>205</v>
      </c>
    </row>
    <row r="2" customFormat="false" ht="15" hidden="false" customHeight="false" outlineLevel="0" collapsed="false">
      <c r="A2" s="3" t="s">
        <v>206</v>
      </c>
    </row>
    <row r="4" customFormat="false" ht="15" hidden="false" customHeight="false" outlineLevel="0" collapsed="false">
      <c r="A4" s="13" t="s">
        <v>207</v>
      </c>
    </row>
    <row r="6" customFormat="false" ht="15" hidden="false" customHeight="false" outlineLevel="0" collapsed="false">
      <c r="A6" s="4" t="s">
        <v>208</v>
      </c>
    </row>
    <row r="7" customFormat="false" ht="15" hidden="false" customHeight="false" outlineLevel="0" collapsed="false">
      <c r="A7" s="5" t="s">
        <v>209</v>
      </c>
      <c r="B7" s="22" t="n">
        <f aca="false">'1 Inputs'!B27/'1 Inputs'!B30*'1 Inputs'!B22</f>
        <v>0.80442720869257</v>
      </c>
      <c r="F7" s="7" t="s">
        <v>210</v>
      </c>
    </row>
    <row r="8" customFormat="false" ht="15" hidden="false" customHeight="false" outlineLevel="0" collapsed="false">
      <c r="A8" s="5" t="s">
        <v>211</v>
      </c>
      <c r="B8" s="12" t="n">
        <f aca="false">'1 Inputs'!B26</f>
        <v>91.268110403655</v>
      </c>
      <c r="F8" s="7" t="s">
        <v>212</v>
      </c>
    </row>
    <row r="9" customFormat="false" ht="15" hidden="false" customHeight="false" outlineLevel="0" collapsed="false">
      <c r="A9" s="5" t="s">
        <v>213</v>
      </c>
      <c r="B9" s="21" t="n">
        <f aca="false">('1 Inputs'!B10/60)/(('1 Inputs'!B10/60)+('1 Inputs'!B25-'1 Inputs'!B10/60)+'1 Inputs'!B12*'1 Inputs'!B29/100)</f>
        <v>0.0122364252157762</v>
      </c>
      <c r="F9" s="7" t="s">
        <v>214</v>
      </c>
    </row>
    <row r="11" customFormat="false" ht="15" hidden="false" customHeight="false" outlineLevel="0" collapsed="false">
      <c r="A11" s="4" t="s">
        <v>215</v>
      </c>
    </row>
    <row r="12" customFormat="false" ht="15" hidden="false" customHeight="false" outlineLevel="0" collapsed="false">
      <c r="A12" s="3" t="s">
        <v>216</v>
      </c>
    </row>
    <row r="13" customFormat="false" ht="22.35" hidden="false" customHeight="false" outlineLevel="0" collapsed="false">
      <c r="A13" s="15" t="s">
        <v>217</v>
      </c>
      <c r="B13" s="15" t="s">
        <v>218</v>
      </c>
      <c r="C13" s="15" t="s">
        <v>219</v>
      </c>
      <c r="D13" s="15" t="s">
        <v>220</v>
      </c>
      <c r="E13" s="15" t="s">
        <v>221</v>
      </c>
      <c r="F13" s="15" t="s">
        <v>222</v>
      </c>
    </row>
    <row r="14" customFormat="false" ht="15" hidden="false" customHeight="false" outlineLevel="0" collapsed="false">
      <c r="A14" s="5" t="s">
        <v>223</v>
      </c>
      <c r="B14" s="23" t="n">
        <v>17.28</v>
      </c>
      <c r="C14" s="23" t="n">
        <v>0.05</v>
      </c>
      <c r="D14" s="27" t="n">
        <f aca="false">$B$22</f>
        <v>50</v>
      </c>
      <c r="E14" s="28" t="n">
        <f aca="false">B14*C14/100*D14/100*100</f>
        <v>0.432</v>
      </c>
      <c r="F14" s="11" t="s">
        <v>224</v>
      </c>
    </row>
    <row r="15" customFormat="false" ht="15" hidden="false" customHeight="false" outlineLevel="0" collapsed="false">
      <c r="A15" s="5" t="s">
        <v>225</v>
      </c>
      <c r="B15" s="23" t="n">
        <v>33.41</v>
      </c>
      <c r="C15" s="23" t="n">
        <v>0.15</v>
      </c>
      <c r="D15" s="27" t="n">
        <f aca="false">$B$22</f>
        <v>50</v>
      </c>
      <c r="E15" s="28" t="n">
        <f aca="false">B15*C15/100*D15/100*100</f>
        <v>2.50575</v>
      </c>
      <c r="F15" s="11" t="s">
        <v>226</v>
      </c>
    </row>
    <row r="16" customFormat="false" ht="15" hidden="false" customHeight="false" outlineLevel="0" collapsed="false">
      <c r="A16" s="5" t="s">
        <v>227</v>
      </c>
      <c r="B16" s="23" t="n">
        <v>24.95</v>
      </c>
      <c r="C16" s="23" t="n">
        <v>0.65</v>
      </c>
      <c r="D16" s="27" t="n">
        <f aca="false">$B$22</f>
        <v>50</v>
      </c>
      <c r="E16" s="28" t="n">
        <f aca="false">B16*C16/100*D16/100*100</f>
        <v>8.10875</v>
      </c>
      <c r="F16" s="11" t="s">
        <v>228</v>
      </c>
    </row>
    <row r="17" customFormat="false" ht="15" hidden="false" customHeight="false" outlineLevel="0" collapsed="false">
      <c r="A17" s="5" t="s">
        <v>229</v>
      </c>
      <c r="B17" s="23" t="n">
        <v>19.13</v>
      </c>
      <c r="C17" s="23" t="n">
        <v>2</v>
      </c>
      <c r="D17" s="27" t="n">
        <f aca="false">$B$22</f>
        <v>50</v>
      </c>
      <c r="E17" s="28" t="n">
        <f aca="false">B17*C17/100*D17/100*100</f>
        <v>19.13</v>
      </c>
      <c r="F17" s="11" t="s">
        <v>230</v>
      </c>
    </row>
    <row r="18" customFormat="false" ht="15" hidden="false" customHeight="false" outlineLevel="0" collapsed="false">
      <c r="A18" s="5" t="s">
        <v>231</v>
      </c>
      <c r="B18" s="23" t="n">
        <v>3.79</v>
      </c>
      <c r="C18" s="23" t="n">
        <v>12</v>
      </c>
      <c r="D18" s="27" t="n">
        <f aca="false">$B$22</f>
        <v>50</v>
      </c>
      <c r="E18" s="28" t="n">
        <f aca="false">B18*C18/100*D18/100*100</f>
        <v>22.74</v>
      </c>
      <c r="F18" s="11" t="s">
        <v>232</v>
      </c>
    </row>
    <row r="19" customFormat="false" ht="15" hidden="false" customHeight="false" outlineLevel="0" collapsed="false">
      <c r="A19" s="5" t="s">
        <v>233</v>
      </c>
      <c r="B19" s="23" t="n">
        <v>0.32</v>
      </c>
      <c r="F19" s="7" t="s">
        <v>234</v>
      </c>
    </row>
    <row r="20" customFormat="false" ht="15" hidden="false" customHeight="false" outlineLevel="0" collapsed="false">
      <c r="A20" s="5" t="s">
        <v>235</v>
      </c>
      <c r="B20" s="23" t="n">
        <v>1.11</v>
      </c>
    </row>
    <row r="21" customFormat="false" ht="15" hidden="false" customHeight="false" outlineLevel="0" collapsed="false">
      <c r="A21" s="9" t="s">
        <v>236</v>
      </c>
      <c r="B21" s="19" t="n">
        <f aca="false">SUM(B14:B20)</f>
        <v>99.99</v>
      </c>
      <c r="E21" s="29" t="n">
        <f aca="false">SUM(E14:E18)</f>
        <v>52.9165</v>
      </c>
    </row>
    <row r="22" customFormat="false" ht="15" hidden="false" customHeight="false" outlineLevel="0" collapsed="false">
      <c r="A22" s="5" t="s">
        <v>237</v>
      </c>
      <c r="B22" s="16" t="n">
        <v>50</v>
      </c>
      <c r="F22" s="7" t="s">
        <v>238</v>
      </c>
    </row>
    <row r="24" customFormat="false" ht="15" hidden="false" customHeight="false" outlineLevel="0" collapsed="false">
      <c r="A24" s="5" t="s">
        <v>239</v>
      </c>
      <c r="B24" s="30" t="n">
        <f aca="false">'1 Inputs'!B5</f>
        <v>220</v>
      </c>
    </row>
    <row r="25" customFormat="false" ht="15" hidden="false" customHeight="false" outlineLevel="0" collapsed="false">
      <c r="A25" s="5" t="s">
        <v>240</v>
      </c>
      <c r="B25" s="28" t="n">
        <f aca="false">-E21</f>
        <v>-52.9165</v>
      </c>
    </row>
    <row r="26" customFormat="false" ht="15" hidden="false" customHeight="false" outlineLevel="0" collapsed="false">
      <c r="A26" s="9" t="s">
        <v>241</v>
      </c>
      <c r="B26" s="29" t="n">
        <f aca="false">'1 Inputs'!B5-E21</f>
        <v>167.0835</v>
      </c>
      <c r="F26" s="7" t="s">
        <v>242</v>
      </c>
    </row>
    <row r="27" customFormat="false" ht="15" hidden="false" customHeight="false" outlineLevel="0" collapsed="false">
      <c r="A27" s="9" t="s">
        <v>243</v>
      </c>
      <c r="B27" s="22" t="n">
        <f aca="false">B26/'1 Inputs'!B5</f>
        <v>0.759470454545455</v>
      </c>
    </row>
    <row r="29" customFormat="false" ht="15" hidden="false" customHeight="false" outlineLevel="0" collapsed="false">
      <c r="A29" s="5" t="s">
        <v>244</v>
      </c>
      <c r="B29" s="19" t="n">
        <f aca="false">'1 Inputs'!B30-E21/100*'1 Inputs'!B22</f>
        <v>7.098335</v>
      </c>
    </row>
    <row r="30" customFormat="false" ht="15" hidden="false" customHeight="false" outlineLevel="0" collapsed="false">
      <c r="A30" s="5" t="s">
        <v>245</v>
      </c>
      <c r="B30" s="17" t="n">
        <f aca="false">B29/'1 Inputs'!B13*100</f>
        <v>109.205153846154</v>
      </c>
      <c r="F30" s="7" t="s">
        <v>246</v>
      </c>
    </row>
    <row r="32" customFormat="false" ht="15" hidden="false" customHeight="false" outlineLevel="0" collapsed="false">
      <c r="A32" s="4" t="s">
        <v>247</v>
      </c>
    </row>
    <row r="33" customFormat="false" ht="15" hidden="false" customHeight="false" outlineLevel="0" collapsed="false">
      <c r="A33" s="3" t="s">
        <v>248</v>
      </c>
    </row>
    <row r="34" customFormat="false" ht="15" hidden="false" customHeight="false" outlineLevel="0" collapsed="false">
      <c r="A34" s="5" t="s">
        <v>249</v>
      </c>
      <c r="B34" s="16" t="n">
        <v>612</v>
      </c>
      <c r="F34" s="7" t="s">
        <v>250</v>
      </c>
    </row>
    <row r="35" customFormat="false" ht="15" hidden="false" customHeight="false" outlineLevel="0" collapsed="false">
      <c r="A35" s="5" t="s">
        <v>251</v>
      </c>
      <c r="B35" s="23" t="n">
        <v>6.3</v>
      </c>
      <c r="F35" s="7" t="s">
        <v>252</v>
      </c>
    </row>
    <row r="36" customFormat="false" ht="15" hidden="false" customHeight="false" outlineLevel="0" collapsed="false">
      <c r="A36" s="5" t="s">
        <v>253</v>
      </c>
      <c r="B36" s="18" t="n">
        <f aca="false">'1 Inputs'!B30/'1 Inputs'!B22/12</f>
        <v>0.635625</v>
      </c>
    </row>
    <row r="38" customFormat="false" ht="22.35" hidden="false" customHeight="false" outlineLevel="0" collapsed="false">
      <c r="A38" s="15" t="s">
        <v>254</v>
      </c>
      <c r="B38" s="15" t="s">
        <v>255</v>
      </c>
      <c r="C38" s="15" t="s">
        <v>220</v>
      </c>
      <c r="D38" s="15" t="s">
        <v>256</v>
      </c>
      <c r="E38" s="15" t="s">
        <v>257</v>
      </c>
      <c r="F38" s="15" t="s">
        <v>258</v>
      </c>
    </row>
    <row r="39" customFormat="false" ht="15" hidden="false" customHeight="false" outlineLevel="0" collapsed="false">
      <c r="A39" s="5" t="s">
        <v>259</v>
      </c>
      <c r="B39" s="23" t="n">
        <v>1</v>
      </c>
      <c r="C39" s="27" t="n">
        <f aca="false">$B$22</f>
        <v>50</v>
      </c>
      <c r="D39" s="18" t="n">
        <f aca="false">B39*C39/100</f>
        <v>0.5</v>
      </c>
      <c r="E39" s="29" t="n">
        <f aca="false">D39/$B36</f>
        <v>0.786627335299902</v>
      </c>
      <c r="F39" s="11" t="s">
        <v>260</v>
      </c>
    </row>
    <row r="40" customFormat="false" ht="15" hidden="false" customHeight="false" outlineLevel="0" collapsed="false">
      <c r="A40" s="5" t="s">
        <v>261</v>
      </c>
      <c r="B40" s="23" t="n">
        <v>3</v>
      </c>
      <c r="C40" s="27" t="n">
        <f aca="false">$B$22</f>
        <v>50</v>
      </c>
      <c r="D40" s="18" t="n">
        <f aca="false">B40*C40/100</f>
        <v>1.5</v>
      </c>
      <c r="E40" s="29" t="n">
        <f aca="false">D40/$B36</f>
        <v>2.35988200589971</v>
      </c>
      <c r="F40" s="11" t="s">
        <v>262</v>
      </c>
    </row>
    <row r="41" customFormat="false" ht="15" hidden="false" customHeight="false" outlineLevel="0" collapsed="false">
      <c r="A41" s="5" t="s">
        <v>263</v>
      </c>
      <c r="B41" s="18" t="n">
        <f aca="false">B35</f>
        <v>6.3</v>
      </c>
      <c r="C41" s="27" t="n">
        <f aca="false">$B$22</f>
        <v>50</v>
      </c>
      <c r="D41" s="18" t="n">
        <f aca="false">B41*C41/100</f>
        <v>3.15</v>
      </c>
      <c r="E41" s="29" t="n">
        <f aca="false">D41/$B36</f>
        <v>4.95575221238938</v>
      </c>
      <c r="F41" s="11" t="s">
        <v>264</v>
      </c>
    </row>
    <row r="42" customFormat="false" ht="15" hidden="false" customHeight="false" outlineLevel="0" collapsed="false">
      <c r="A42" s="5" t="s">
        <v>265</v>
      </c>
      <c r="B42" s="23" t="n">
        <v>3.79</v>
      </c>
      <c r="C42" s="27" t="n">
        <f aca="false">$B$22</f>
        <v>50</v>
      </c>
      <c r="D42" s="18" t="n">
        <f aca="false">B42*C42/100</f>
        <v>1.895</v>
      </c>
      <c r="E42" s="29" t="n">
        <f aca="false">D42/$B36</f>
        <v>2.98131760078663</v>
      </c>
      <c r="F42" s="11" t="s">
        <v>266</v>
      </c>
    </row>
    <row r="43" customFormat="false" ht="15" hidden="false" customHeight="false" outlineLevel="0" collapsed="false">
      <c r="A43" s="5" t="s">
        <v>267</v>
      </c>
      <c r="B43" s="23" t="n">
        <v>13.36</v>
      </c>
      <c r="C43" s="27" t="n">
        <f aca="false">$B$22</f>
        <v>50</v>
      </c>
      <c r="D43" s="18" t="n">
        <f aca="false">B43*C43/100</f>
        <v>6.68</v>
      </c>
      <c r="E43" s="29" t="n">
        <f aca="false">D43/$B36</f>
        <v>10.5093411996067</v>
      </c>
      <c r="F43" s="11" t="s">
        <v>268</v>
      </c>
    </row>
    <row r="45" customFormat="false" ht="15" hidden="false" customHeight="false" outlineLevel="0" collapsed="false">
      <c r="A45" s="11" t="s">
        <v>269</v>
      </c>
    </row>
    <row r="47" customFormat="false" ht="15" hidden="false" customHeight="false" outlineLevel="0" collapsed="false">
      <c r="A47" s="4" t="s">
        <v>270</v>
      </c>
    </row>
    <row r="48" customFormat="false" ht="15" hidden="false" customHeight="false" outlineLevel="0" collapsed="false">
      <c r="A48" s="3" t="s">
        <v>271</v>
      </c>
    </row>
    <row r="49" customFormat="false" ht="15" hidden="false" customHeight="false" outlineLevel="0" collapsed="false">
      <c r="A49" s="15"/>
      <c r="B49" s="15" t="s">
        <v>272</v>
      </c>
      <c r="C49" s="15" t="s">
        <v>273</v>
      </c>
      <c r="D49" s="15"/>
      <c r="E49" s="15"/>
      <c r="F49" s="15" t="s">
        <v>258</v>
      </c>
    </row>
    <row r="50" customFormat="false" ht="15" hidden="false" customHeight="false" outlineLevel="0" collapsed="false">
      <c r="A50" s="5" t="s">
        <v>274</v>
      </c>
      <c r="B50" s="23" t="n">
        <v>15</v>
      </c>
      <c r="C50" s="28" t="n">
        <f aca="false">100-B50</f>
        <v>85</v>
      </c>
      <c r="F50" s="11" t="s">
        <v>275</v>
      </c>
    </row>
    <row r="51" customFormat="false" ht="15" hidden="false" customHeight="false" outlineLevel="0" collapsed="false">
      <c r="A51" s="5" t="s">
        <v>276</v>
      </c>
      <c r="B51" s="23" t="n">
        <v>51.26</v>
      </c>
      <c r="C51" s="28" t="n">
        <f aca="false">100-B51</f>
        <v>48.74</v>
      </c>
      <c r="F51" s="11" t="s">
        <v>277</v>
      </c>
    </row>
    <row r="53" customFormat="false" ht="15" hidden="false" customHeight="false" outlineLevel="0" collapsed="false">
      <c r="A53" s="5" t="s">
        <v>278</v>
      </c>
      <c r="B53" s="9" t="s">
        <v>279</v>
      </c>
      <c r="F53" s="11" t="s">
        <v>280</v>
      </c>
    </row>
    <row r="55" customFormat="false" ht="15" hidden="false" customHeight="false" outlineLevel="0" collapsed="false">
      <c r="A55" s="4" t="s">
        <v>281</v>
      </c>
    </row>
    <row r="56" customFormat="false" ht="15" hidden="false" customHeight="false" outlineLevel="0" collapsed="false">
      <c r="A56" s="3" t="s">
        <v>282</v>
      </c>
    </row>
    <row r="57" customFormat="false" ht="15" hidden="false" customHeight="false" outlineLevel="0" collapsed="false">
      <c r="A57" s="5" t="s">
        <v>283</v>
      </c>
      <c r="B57" s="16" t="n">
        <v>115</v>
      </c>
      <c r="F57" s="5" t="s">
        <v>284</v>
      </c>
    </row>
    <row r="58" customFormat="false" ht="15" hidden="false" customHeight="false" outlineLevel="0" collapsed="false">
      <c r="A58" s="5" t="s">
        <v>285</v>
      </c>
      <c r="B58" s="27" t="n">
        <f aca="false">('1 Inputs'!B5-B51/100*B57)/(1-B51/100)</f>
        <v>330.428805908904</v>
      </c>
      <c r="F58" s="7" t="s">
        <v>286</v>
      </c>
    </row>
    <row r="59" customFormat="false" ht="15" hidden="false" customHeight="false" outlineLevel="0" collapsed="false">
      <c r="A59" s="9" t="s">
        <v>287</v>
      </c>
      <c r="B59" s="17" t="n">
        <f aca="false">B50/100*B57+(1-B50/100)*B58</f>
        <v>298.114485022569</v>
      </c>
      <c r="F59" s="7" t="s">
        <v>288</v>
      </c>
    </row>
    <row r="60" customFormat="false" ht="15" hidden="false" customHeight="false" outlineLevel="0" collapsed="false">
      <c r="A60" s="9" t="s">
        <v>289</v>
      </c>
      <c r="B60" s="17" t="n">
        <f aca="false">B59-'1 Inputs'!B5</f>
        <v>78.1144850225687</v>
      </c>
      <c r="F60" s="7" t="s">
        <v>290</v>
      </c>
    </row>
    <row r="62" customFormat="false" ht="15" hidden="false" customHeight="false" outlineLevel="0" collapsed="false">
      <c r="A62" s="4" t="s">
        <v>291</v>
      </c>
    </row>
    <row r="63" customFormat="false" ht="15" hidden="false" customHeight="false" outlineLevel="0" collapsed="false">
      <c r="A63" s="14" t="s">
        <v>292</v>
      </c>
      <c r="B63" s="7" t="s">
        <v>293</v>
      </c>
    </row>
    <row r="64" customFormat="false" ht="15" hidden="false" customHeight="false" outlineLevel="0" collapsed="false">
      <c r="A64" s="14" t="s">
        <v>294</v>
      </c>
      <c r="B64" s="7" t="s">
        <v>295</v>
      </c>
    </row>
    <row r="65" customFormat="false" ht="15" hidden="false" customHeight="false" outlineLevel="0" collapsed="false">
      <c r="A65" s="14" t="s">
        <v>296</v>
      </c>
      <c r="B65" s="7" t="s">
        <v>297</v>
      </c>
    </row>
    <row r="66" customFormat="false" ht="15" hidden="false" customHeight="false" outlineLevel="0" collapsed="false">
      <c r="A66" s="14" t="s">
        <v>298</v>
      </c>
      <c r="B66" s="7" t="s">
        <v>299</v>
      </c>
    </row>
    <row r="68" customFormat="false" ht="15" hidden="false" customHeight="false" outlineLevel="0" collapsed="false">
      <c r="A68" s="11" t="s">
        <v>300</v>
      </c>
    </row>
    <row r="69" customFormat="false" ht="15" hidden="false" customHeight="false" outlineLevel="0" collapsed="false">
      <c r="A69" s="11"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O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8"/>
    <col collapsed="false" customWidth="true" hidden="false" outlineLevel="0" max="3" min="3" style="1" width="26"/>
    <col collapsed="false" customWidth="true" hidden="false" outlineLevel="0" max="4" min="4" style="1" width="9"/>
    <col collapsed="false" customWidth="true" hidden="false" outlineLevel="0" max="5" min="5" style="1" width="10"/>
    <col collapsed="false" customWidth="true" hidden="false" outlineLevel="0" max="9" min="6" style="1" width="11"/>
    <col collapsed="false" customWidth="true" hidden="false" outlineLevel="0" max="10" min="10" style="1" width="10"/>
    <col collapsed="false" customWidth="true" hidden="false" outlineLevel="0" max="12" min="11" style="1" width="11"/>
    <col collapsed="false" customWidth="true" hidden="false" outlineLevel="0" max="13" min="13" style="1" width="10"/>
    <col collapsed="false" customWidth="true" hidden="false" outlineLevel="0" max="14" min="14" style="1" width="13"/>
    <col collapsed="false" customWidth="true" hidden="false" outlineLevel="0" max="15" min="15" style="1" width="12"/>
  </cols>
  <sheetData>
    <row r="1" customFormat="false" ht="16.15" hidden="false" customHeight="false" outlineLevel="0" collapsed="false">
      <c r="A1" s="2" t="s">
        <v>302</v>
      </c>
    </row>
    <row r="2" customFormat="false" ht="15" hidden="false" customHeight="false" outlineLevel="0" collapsed="false">
      <c r="A2" s="3" t="s">
        <v>303</v>
      </c>
    </row>
    <row r="4" customFormat="false" ht="22.35" hidden="false" customHeight="false" outlineLevel="0" collapsed="false">
      <c r="A4" s="15" t="s">
        <v>304</v>
      </c>
      <c r="B4" s="15" t="s">
        <v>305</v>
      </c>
      <c r="C4" s="15" t="s">
        <v>306</v>
      </c>
      <c r="D4" s="15" t="s">
        <v>307</v>
      </c>
      <c r="E4" s="15" t="s">
        <v>308</v>
      </c>
      <c r="F4" s="15" t="s">
        <v>309</v>
      </c>
      <c r="G4" s="15" t="s">
        <v>310</v>
      </c>
      <c r="H4" s="15" t="s">
        <v>189</v>
      </c>
      <c r="I4" s="15" t="s">
        <v>190</v>
      </c>
      <c r="J4" s="15" t="s">
        <v>191</v>
      </c>
      <c r="K4" s="15" t="s">
        <v>311</v>
      </c>
      <c r="L4" s="15" t="s">
        <v>312</v>
      </c>
      <c r="M4" s="15" t="s">
        <v>313</v>
      </c>
      <c r="N4" s="15" t="s">
        <v>314</v>
      </c>
      <c r="O4" s="15" t="s">
        <v>315</v>
      </c>
    </row>
    <row r="5" customFormat="false" ht="15" hidden="false" customHeight="false" outlineLevel="0" collapsed="false">
      <c r="A5" s="9" t="s">
        <v>316</v>
      </c>
      <c r="B5" s="31" t="n">
        <v>0.12</v>
      </c>
      <c r="C5" s="7" t="s">
        <v>317</v>
      </c>
      <c r="D5" s="16" t="n">
        <v>-60</v>
      </c>
      <c r="E5" s="16" t="n">
        <v>-20</v>
      </c>
      <c r="F5" s="27" t="n">
        <f aca="false">'1 Inputs'!B5+E5</f>
        <v>200</v>
      </c>
      <c r="G5" s="27" t="n">
        <f aca="false">D5+E5</f>
        <v>-80</v>
      </c>
      <c r="H5" s="18" t="n">
        <f aca="false">'1 Inputs'!B27*'1 Inputs'!B22</f>
        <v>6.13576853430258</v>
      </c>
      <c r="I5" s="18" t="n">
        <f aca="false">'1 Inputs'!B28*'1 Inputs'!B22</f>
        <v>0.614231465697423</v>
      </c>
      <c r="J5" s="18" t="n">
        <f aca="false">'1 Inputs'!B12*'1 Inputs'!B29/100*'1 Inputs'!B22</f>
        <v>0.8775</v>
      </c>
      <c r="K5" s="32" t="n">
        <f aca="false">-'1 Inputs'!B12*D5/100</f>
        <v>3.9</v>
      </c>
      <c r="L5" s="32" t="n">
        <f aca="false">-'1 Inputs'!B13*E5/100</f>
        <v>1.3</v>
      </c>
      <c r="M5" s="18" t="n">
        <f aca="false">'1 Inputs'!B14*G5^2/2000000</f>
        <v>0.192</v>
      </c>
      <c r="N5" s="19" t="n">
        <f aca="false">SUM(H5:M5)</f>
        <v>13.0195</v>
      </c>
      <c r="O5" s="18" t="n">
        <f aca="false">B5*N5</f>
        <v>1.56234</v>
      </c>
    </row>
    <row r="6" customFormat="false" ht="15" hidden="false" customHeight="false" outlineLevel="0" collapsed="false">
      <c r="A6" s="9" t="s">
        <v>318</v>
      </c>
      <c r="B6" s="31" t="n">
        <v>0.35</v>
      </c>
      <c r="C6" s="7" t="s">
        <v>319</v>
      </c>
      <c r="D6" s="16" t="n">
        <v>-25</v>
      </c>
      <c r="E6" s="16" t="n">
        <v>30</v>
      </c>
      <c r="F6" s="27" t="n">
        <f aca="false">'1 Inputs'!B5+E6</f>
        <v>250</v>
      </c>
      <c r="G6" s="27" t="n">
        <f aca="false">D6+E6</f>
        <v>5</v>
      </c>
      <c r="H6" s="18" t="n">
        <f aca="false">'1 Inputs'!B27*'1 Inputs'!B22</f>
        <v>6.13576853430258</v>
      </c>
      <c r="I6" s="18" t="n">
        <f aca="false">'1 Inputs'!B28*'1 Inputs'!B22</f>
        <v>0.614231465697423</v>
      </c>
      <c r="J6" s="18" t="n">
        <f aca="false">'1 Inputs'!B12*'1 Inputs'!B29/100*'1 Inputs'!B22</f>
        <v>0.8775</v>
      </c>
      <c r="K6" s="32" t="n">
        <f aca="false">-'1 Inputs'!B12*D6/100</f>
        <v>1.625</v>
      </c>
      <c r="L6" s="32" t="n">
        <f aca="false">-'1 Inputs'!B13*E6/100</f>
        <v>-1.95</v>
      </c>
      <c r="M6" s="18" t="n">
        <f aca="false">'1 Inputs'!B14*G6^2/2000000</f>
        <v>0.00075</v>
      </c>
      <c r="N6" s="19" t="n">
        <f aca="false">SUM(H6:M6)</f>
        <v>7.30325</v>
      </c>
      <c r="O6" s="18" t="n">
        <f aca="false">B6*N6</f>
        <v>2.5561375</v>
      </c>
    </row>
    <row r="7" customFormat="false" ht="15" hidden="false" customHeight="false" outlineLevel="0" collapsed="false">
      <c r="A7" s="9" t="s">
        <v>320</v>
      </c>
      <c r="B7" s="31" t="n">
        <v>0.2</v>
      </c>
      <c r="C7" s="7" t="s">
        <v>321</v>
      </c>
      <c r="D7" s="16" t="n">
        <v>25</v>
      </c>
      <c r="E7" s="16" t="n">
        <v>20</v>
      </c>
      <c r="F7" s="27" t="n">
        <f aca="false">'1 Inputs'!B5+E7</f>
        <v>240</v>
      </c>
      <c r="G7" s="27" t="n">
        <f aca="false">D7+E7</f>
        <v>45</v>
      </c>
      <c r="H7" s="18" t="n">
        <f aca="false">'1 Inputs'!B27*'1 Inputs'!B22</f>
        <v>6.13576853430258</v>
      </c>
      <c r="I7" s="18" t="n">
        <f aca="false">'1 Inputs'!B28*'1 Inputs'!B22</f>
        <v>0.614231465697423</v>
      </c>
      <c r="J7" s="18" t="n">
        <f aca="false">'1 Inputs'!B12*'1 Inputs'!B29/100*'1 Inputs'!B22</f>
        <v>0.8775</v>
      </c>
      <c r="K7" s="32" t="n">
        <f aca="false">-'1 Inputs'!B12*D7/100</f>
        <v>-1.625</v>
      </c>
      <c r="L7" s="32" t="n">
        <f aca="false">-'1 Inputs'!B13*E7/100</f>
        <v>-1.3</v>
      </c>
      <c r="M7" s="18" t="n">
        <f aca="false">'1 Inputs'!B14*G7^2/2000000</f>
        <v>0.06075</v>
      </c>
      <c r="N7" s="19" t="n">
        <f aca="false">SUM(H7:M7)</f>
        <v>4.76325</v>
      </c>
      <c r="O7" s="18" t="n">
        <f aca="false">B7*N7</f>
        <v>0.95265</v>
      </c>
    </row>
    <row r="8" customFormat="false" ht="15" hidden="false" customHeight="false" outlineLevel="0" collapsed="false">
      <c r="A8" s="9" t="s">
        <v>322</v>
      </c>
      <c r="B8" s="31" t="n">
        <v>0.18</v>
      </c>
      <c r="C8" s="7" t="s">
        <v>317</v>
      </c>
      <c r="D8" s="16" t="n">
        <v>-100</v>
      </c>
      <c r="E8" s="16" t="n">
        <v>150</v>
      </c>
      <c r="F8" s="27" t="n">
        <f aca="false">'1 Inputs'!B5+E8</f>
        <v>370</v>
      </c>
      <c r="G8" s="27" t="n">
        <f aca="false">D8+E8</f>
        <v>50</v>
      </c>
      <c r="H8" s="18" t="n">
        <f aca="false">'1 Inputs'!B27*'1 Inputs'!B22</f>
        <v>6.13576853430258</v>
      </c>
      <c r="I8" s="18" t="n">
        <f aca="false">'1 Inputs'!B28*'1 Inputs'!B22</f>
        <v>0.614231465697423</v>
      </c>
      <c r="J8" s="18" t="n">
        <f aca="false">'1 Inputs'!B12*'1 Inputs'!B29/100*'1 Inputs'!B22</f>
        <v>0.8775</v>
      </c>
      <c r="K8" s="32" t="n">
        <f aca="false">-'1 Inputs'!B12*D8/100</f>
        <v>6.5</v>
      </c>
      <c r="L8" s="32" t="n">
        <f aca="false">-'1 Inputs'!B13*E8/100</f>
        <v>-9.75</v>
      </c>
      <c r="M8" s="18" t="n">
        <f aca="false">'1 Inputs'!B14*G8^2/2000000</f>
        <v>0.075</v>
      </c>
      <c r="N8" s="19" t="n">
        <f aca="false">SUM(H8:M8)</f>
        <v>4.4525</v>
      </c>
      <c r="O8" s="18" t="n">
        <f aca="false">B8*N8</f>
        <v>0.80145</v>
      </c>
    </row>
    <row r="9" customFormat="false" ht="15" hidden="false" customHeight="false" outlineLevel="0" collapsed="false">
      <c r="A9" s="9" t="s">
        <v>323</v>
      </c>
      <c r="B9" s="31" t="n">
        <v>0.08</v>
      </c>
      <c r="C9" s="7" t="s">
        <v>324</v>
      </c>
      <c r="D9" s="16" t="n">
        <v>125</v>
      </c>
      <c r="E9" s="16" t="n">
        <v>200</v>
      </c>
      <c r="F9" s="27" t="n">
        <f aca="false">'1 Inputs'!B5+E9</f>
        <v>420</v>
      </c>
      <c r="G9" s="27" t="n">
        <f aca="false">D9+E9</f>
        <v>325</v>
      </c>
      <c r="H9" s="18" t="n">
        <f aca="false">'1 Inputs'!B27*'1 Inputs'!B22</f>
        <v>6.13576853430258</v>
      </c>
      <c r="I9" s="18" t="n">
        <f aca="false">'1 Inputs'!B28*'1 Inputs'!B22</f>
        <v>0.614231465697423</v>
      </c>
      <c r="J9" s="18" t="n">
        <f aca="false">'1 Inputs'!B12*'1 Inputs'!B29/100*'1 Inputs'!B22</f>
        <v>0.8775</v>
      </c>
      <c r="K9" s="32" t="n">
        <f aca="false">-'1 Inputs'!B12*D9/100</f>
        <v>-8.125</v>
      </c>
      <c r="L9" s="32" t="n">
        <f aca="false">-'1 Inputs'!B13*E9/100</f>
        <v>-13</v>
      </c>
      <c r="M9" s="18" t="n">
        <f aca="false">'1 Inputs'!B14*G9^2/2000000</f>
        <v>3.16875</v>
      </c>
      <c r="N9" s="19" t="n">
        <f aca="false">SUM(H9:M9)</f>
        <v>-10.32875</v>
      </c>
      <c r="O9" s="18" t="n">
        <f aca="false">B9*N9</f>
        <v>-0.8263</v>
      </c>
    </row>
    <row r="10" customFormat="false" ht="15" hidden="false" customHeight="false" outlineLevel="0" collapsed="false">
      <c r="A10" s="9" t="s">
        <v>325</v>
      </c>
      <c r="B10" s="31" t="n">
        <v>0.07</v>
      </c>
      <c r="C10" s="7" t="s">
        <v>326</v>
      </c>
      <c r="D10" s="16" t="n">
        <v>-150</v>
      </c>
      <c r="E10" s="16" t="n">
        <v>400</v>
      </c>
      <c r="F10" s="27" t="n">
        <f aca="false">'1 Inputs'!B5+E10</f>
        <v>620</v>
      </c>
      <c r="G10" s="27" t="n">
        <f aca="false">D10+E10</f>
        <v>250</v>
      </c>
      <c r="H10" s="18" t="n">
        <f aca="false">'1 Inputs'!B27*'1 Inputs'!B22</f>
        <v>6.13576853430258</v>
      </c>
      <c r="I10" s="18" t="n">
        <f aca="false">'1 Inputs'!B28*'1 Inputs'!B22</f>
        <v>0.614231465697423</v>
      </c>
      <c r="J10" s="18" t="n">
        <f aca="false">'1 Inputs'!B12*'1 Inputs'!B29/100*'1 Inputs'!B22</f>
        <v>0.8775</v>
      </c>
      <c r="K10" s="32" t="n">
        <f aca="false">-'1 Inputs'!B12*D10/100</f>
        <v>9.75</v>
      </c>
      <c r="L10" s="32" t="n">
        <f aca="false">-'1 Inputs'!B13*E10/100</f>
        <v>-26</v>
      </c>
      <c r="M10" s="18" t="n">
        <f aca="false">'1 Inputs'!B14*G10^2/2000000</f>
        <v>1.875</v>
      </c>
      <c r="N10" s="19" t="n">
        <f aca="false">SUM(H10:M10)</f>
        <v>-6.7475</v>
      </c>
      <c r="O10" s="18" t="n">
        <f aca="false">B10*N10</f>
        <v>-0.472325</v>
      </c>
    </row>
    <row r="11" customFormat="false" ht="15" hidden="false" customHeight="false" outlineLevel="0" collapsed="false">
      <c r="A11" s="9" t="s">
        <v>327</v>
      </c>
      <c r="B11" s="22" t="n">
        <f aca="false">SUM(B5:B10)</f>
        <v>1</v>
      </c>
      <c r="O11" s="19" t="n">
        <f aca="false">SUM(O5:O10)</f>
        <v>4.5739525</v>
      </c>
    </row>
    <row r="12" customFormat="false" ht="15" hidden="false" customHeight="false" outlineLevel="0" collapsed="false">
      <c r="A12" s="5" t="s">
        <v>328</v>
      </c>
      <c r="O12" s="19" t="n">
        <f aca="false">MIN(N5:N10)</f>
        <v>-10.32875</v>
      </c>
    </row>
    <row r="13" customFormat="false" ht="15" hidden="false" customHeight="false" outlineLevel="0" collapsed="false">
      <c r="A13" s="5" t="s">
        <v>329</v>
      </c>
      <c r="O13" s="19" t="n">
        <f aca="false">MAX(N5:N10)</f>
        <v>13.0195</v>
      </c>
    </row>
    <row r="14" customFormat="false" ht="15" hidden="false" customHeight="false" outlineLevel="0" collapsed="false">
      <c r="A14" s="5" t="s">
        <v>330</v>
      </c>
      <c r="O14" s="22" t="n">
        <f aca="false">SUMIF(N5:N10,"&lt;0",B5:B10)</f>
        <v>0.15</v>
      </c>
    </row>
    <row r="16" customFormat="false" ht="15" hidden="false" customHeight="false" outlineLevel="0" collapsed="false">
      <c r="A16" s="4" t="s">
        <v>331</v>
      </c>
    </row>
    <row r="17" customFormat="false" ht="15" hidden="false" customHeight="false" outlineLevel="0" collapsed="false">
      <c r="A17" s="6" t="s">
        <v>316</v>
      </c>
      <c r="C17" s="7" t="s">
        <v>332</v>
      </c>
    </row>
    <row r="18" customFormat="false" ht="15" hidden="false" customHeight="false" outlineLevel="0" collapsed="false">
      <c r="A18" s="6" t="s">
        <v>318</v>
      </c>
      <c r="C18" s="7" t="s">
        <v>333</v>
      </c>
    </row>
    <row r="19" customFormat="false" ht="15" hidden="false" customHeight="false" outlineLevel="0" collapsed="false">
      <c r="A19" s="6" t="s">
        <v>320</v>
      </c>
      <c r="C19" s="7" t="s">
        <v>334</v>
      </c>
    </row>
    <row r="20" customFormat="false" ht="15" hidden="false" customHeight="false" outlineLevel="0" collapsed="false">
      <c r="A20" s="6" t="s">
        <v>322</v>
      </c>
      <c r="C20" s="7" t="s">
        <v>335</v>
      </c>
    </row>
    <row r="21" customFormat="false" ht="15" hidden="false" customHeight="false" outlineLevel="0" collapsed="false">
      <c r="A21" s="6" t="s">
        <v>323</v>
      </c>
      <c r="C21" s="7" t="s">
        <v>336</v>
      </c>
    </row>
    <row r="22" customFormat="false" ht="15" hidden="false" customHeight="false" outlineLevel="0" collapsed="false">
      <c r="A22" s="6" t="s">
        <v>325</v>
      </c>
      <c r="C22" s="7" t="s">
        <v>337</v>
      </c>
    </row>
    <row r="24" customFormat="false" ht="15" hidden="false" customHeight="false" outlineLevel="0" collapsed="false">
      <c r="A24" s="11" t="s">
        <v>338</v>
      </c>
    </row>
    <row r="25" customFormat="false" ht="15" hidden="false" customHeight="false" outlineLevel="0" collapsed="false">
      <c r="A25" s="11" t="s">
        <v>339</v>
      </c>
    </row>
    <row r="26" customFormat="false" ht="15" hidden="false" customHeight="false" outlineLevel="0" collapsed="false">
      <c r="A26" s="11" t="s">
        <v>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14" min="2" style="1" width="8.5"/>
  </cols>
  <sheetData>
    <row r="1" customFormat="false" ht="16.15" hidden="false" customHeight="false" outlineLevel="0" collapsed="false">
      <c r="A1" s="2" t="s">
        <v>341</v>
      </c>
    </row>
    <row r="2" customFormat="false" ht="15" hidden="false" customHeight="false" outlineLevel="0" collapsed="false">
      <c r="A2" s="3" t="s">
        <v>342</v>
      </c>
    </row>
    <row r="4" customFormat="false" ht="15" hidden="false" customHeight="false" outlineLevel="0" collapsed="false">
      <c r="A4" s="33" t="s">
        <v>343</v>
      </c>
      <c r="B4" s="34" t="n">
        <v>-150</v>
      </c>
      <c r="C4" s="34" t="n">
        <v>-125</v>
      </c>
      <c r="D4" s="34" t="n">
        <v>-100</v>
      </c>
      <c r="E4" s="34" t="n">
        <v>-75</v>
      </c>
      <c r="F4" s="34" t="n">
        <v>-50</v>
      </c>
      <c r="G4" s="34" t="n">
        <v>-25</v>
      </c>
      <c r="H4" s="34" t="n">
        <v>0</v>
      </c>
      <c r="I4" s="34" t="n">
        <v>25</v>
      </c>
      <c r="J4" s="34" t="n">
        <v>50</v>
      </c>
      <c r="K4" s="34" t="n">
        <v>75</v>
      </c>
      <c r="L4" s="34" t="n">
        <v>100</v>
      </c>
      <c r="M4" s="34" t="n">
        <v>125</v>
      </c>
      <c r="N4" s="34" t="n">
        <v>150</v>
      </c>
    </row>
    <row r="5" customFormat="false" ht="15" hidden="false" customHeight="false" outlineLevel="0" collapsed="false">
      <c r="A5" s="34" t="n">
        <v>-50</v>
      </c>
      <c r="B5" s="35" t="n">
        <f aca="false">'1 Inputs'!B30-'1 Inputs'!B12*B$4/100-'1 Inputs'!B13*$A5/100+'1 Inputs'!B14*(B$4+$A5)^2/2000000</f>
        <v>21.8275</v>
      </c>
      <c r="C5" s="35" t="n">
        <f aca="false">'1 Inputs'!B30-'1 Inputs'!B12*C$4/100-'1 Inputs'!B13*$A5/100+'1 Inputs'!B14*(C$4+$A5)^2/2000000</f>
        <v>19.92125</v>
      </c>
      <c r="D5" s="35" t="n">
        <f aca="false">'1 Inputs'!B30-'1 Inputs'!B12*D$4/100-'1 Inputs'!B13*$A5/100+'1 Inputs'!B14*(D$4+$A5)^2/2000000</f>
        <v>18.0525</v>
      </c>
      <c r="E5" s="35" t="n">
        <f aca="false">'1 Inputs'!B30-'1 Inputs'!B12*E$4/100-'1 Inputs'!B13*$A5/100+'1 Inputs'!B14*(E$4+$A5)^2/2000000</f>
        <v>16.22125</v>
      </c>
      <c r="F5" s="35" t="n">
        <f aca="false">'1 Inputs'!B30-'1 Inputs'!B12*F$4/100-'1 Inputs'!B13*$A5/100+'1 Inputs'!B14*(F$4+$A5)^2/2000000</f>
        <v>14.4275</v>
      </c>
      <c r="G5" s="35" t="n">
        <f aca="false">'1 Inputs'!B30-'1 Inputs'!B12*G$4/100-'1 Inputs'!B13*$A5/100+'1 Inputs'!B14*(G$4+$A5)^2/2000000</f>
        <v>12.67125</v>
      </c>
      <c r="H5" s="35" t="n">
        <f aca="false">'1 Inputs'!B30-'1 Inputs'!B12*H$4/100-'1 Inputs'!B13*$A5/100+'1 Inputs'!B14*(H$4+$A5)^2/2000000</f>
        <v>10.9525</v>
      </c>
      <c r="I5" s="35" t="n">
        <f aca="false">'1 Inputs'!B30-'1 Inputs'!B12*I$4/100-'1 Inputs'!B13*$A5/100+'1 Inputs'!B14*(I$4+$A5)^2/2000000</f>
        <v>9.27125</v>
      </c>
      <c r="J5" s="35" t="n">
        <f aca="false">'1 Inputs'!B30-'1 Inputs'!B12*J$4/100-'1 Inputs'!B13*$A5/100+'1 Inputs'!B14*(J$4+$A5)^2/2000000</f>
        <v>7.6275</v>
      </c>
      <c r="K5" s="35" t="n">
        <f aca="false">'1 Inputs'!B30-'1 Inputs'!B12*K$4/100-'1 Inputs'!B13*$A5/100+'1 Inputs'!B14*(K$4+$A5)^2/2000000</f>
        <v>6.02125</v>
      </c>
      <c r="L5" s="35" t="n">
        <f aca="false">'1 Inputs'!B30-'1 Inputs'!B12*L$4/100-'1 Inputs'!B13*$A5/100+'1 Inputs'!B14*(L$4+$A5)^2/2000000</f>
        <v>4.4525</v>
      </c>
      <c r="M5" s="35" t="n">
        <f aca="false">'1 Inputs'!B30-'1 Inputs'!B12*M$4/100-'1 Inputs'!B13*$A5/100+'1 Inputs'!B14*(M$4+$A5)^2/2000000</f>
        <v>2.92125</v>
      </c>
      <c r="N5" s="35" t="n">
        <f aca="false">'1 Inputs'!B30-'1 Inputs'!B12*N$4/100-'1 Inputs'!B13*$A5/100+'1 Inputs'!B14*(N$4+$A5)^2/2000000</f>
        <v>1.4275</v>
      </c>
    </row>
    <row r="6" customFormat="false" ht="15" hidden="false" customHeight="false" outlineLevel="0" collapsed="false">
      <c r="A6" s="34" t="n">
        <v>-25</v>
      </c>
      <c r="B6" s="35" t="n">
        <f aca="false">'1 Inputs'!B30-'1 Inputs'!B12*B$4/100-'1 Inputs'!B13*$A6/100+'1 Inputs'!B14*(B$4+$A6)^2/2000000</f>
        <v>19.92125</v>
      </c>
      <c r="C6" s="35" t="n">
        <f aca="false">'1 Inputs'!B30-'1 Inputs'!B12*C$4/100-'1 Inputs'!B13*$A6/100+'1 Inputs'!B14*(C$4+$A6)^2/2000000</f>
        <v>18.0525</v>
      </c>
      <c r="D6" s="35" t="n">
        <f aca="false">'1 Inputs'!B30-'1 Inputs'!B12*D$4/100-'1 Inputs'!B13*$A6/100+'1 Inputs'!B14*(D$4+$A6)^2/2000000</f>
        <v>16.22125</v>
      </c>
      <c r="E6" s="35" t="n">
        <f aca="false">'1 Inputs'!B30-'1 Inputs'!B12*E$4/100-'1 Inputs'!B13*$A6/100+'1 Inputs'!B14*(E$4+$A6)^2/2000000</f>
        <v>14.4275</v>
      </c>
      <c r="F6" s="35" t="n">
        <f aca="false">'1 Inputs'!B30-'1 Inputs'!B12*F$4/100-'1 Inputs'!B13*$A6/100+'1 Inputs'!B14*(F$4+$A6)^2/2000000</f>
        <v>12.67125</v>
      </c>
      <c r="G6" s="35" t="n">
        <f aca="false">'1 Inputs'!B30-'1 Inputs'!B12*G$4/100-'1 Inputs'!B13*$A6/100+'1 Inputs'!B14*(G$4+$A6)^2/2000000</f>
        <v>10.9525</v>
      </c>
      <c r="H6" s="35" t="n">
        <f aca="false">'1 Inputs'!B30-'1 Inputs'!B12*H$4/100-'1 Inputs'!B13*$A6/100+'1 Inputs'!B14*(H$4+$A6)^2/2000000</f>
        <v>9.27125</v>
      </c>
      <c r="I6" s="35" t="n">
        <f aca="false">'1 Inputs'!B30-'1 Inputs'!B12*I$4/100-'1 Inputs'!B13*$A6/100+'1 Inputs'!B14*(I$4+$A6)^2/2000000</f>
        <v>7.6275</v>
      </c>
      <c r="J6" s="35" t="n">
        <f aca="false">'1 Inputs'!B30-'1 Inputs'!B12*J$4/100-'1 Inputs'!B13*$A6/100+'1 Inputs'!B14*(J$4+$A6)^2/2000000</f>
        <v>6.02125</v>
      </c>
      <c r="K6" s="35" t="n">
        <f aca="false">'1 Inputs'!B30-'1 Inputs'!B12*K$4/100-'1 Inputs'!B13*$A6/100+'1 Inputs'!B14*(K$4+$A6)^2/2000000</f>
        <v>4.4525</v>
      </c>
      <c r="L6" s="35" t="n">
        <f aca="false">'1 Inputs'!B30-'1 Inputs'!B12*L$4/100-'1 Inputs'!B13*$A6/100+'1 Inputs'!B14*(L$4+$A6)^2/2000000</f>
        <v>2.92125</v>
      </c>
      <c r="M6" s="35" t="n">
        <f aca="false">'1 Inputs'!B30-'1 Inputs'!B12*M$4/100-'1 Inputs'!B13*$A6/100+'1 Inputs'!B14*(M$4+$A6)^2/2000000</f>
        <v>1.4275</v>
      </c>
      <c r="N6" s="35" t="n">
        <f aca="false">'1 Inputs'!B30-'1 Inputs'!B12*N$4/100-'1 Inputs'!B13*$A6/100+'1 Inputs'!B14*(N$4+$A6)^2/2000000</f>
        <v>-0.0287500000000005</v>
      </c>
    </row>
    <row r="7" customFormat="false" ht="15" hidden="false" customHeight="false" outlineLevel="0" collapsed="false">
      <c r="A7" s="34" t="n">
        <v>0</v>
      </c>
      <c r="B7" s="35" t="n">
        <f aca="false">'1 Inputs'!B30-'1 Inputs'!B12*B$4/100-'1 Inputs'!B13*$A7/100+'1 Inputs'!B14*(B$4+$A7)^2/2000000</f>
        <v>18.0525</v>
      </c>
      <c r="C7" s="35" t="n">
        <f aca="false">'1 Inputs'!B30-'1 Inputs'!B12*C$4/100-'1 Inputs'!B13*$A7/100+'1 Inputs'!B14*(C$4+$A7)^2/2000000</f>
        <v>16.22125</v>
      </c>
      <c r="D7" s="35" t="n">
        <f aca="false">'1 Inputs'!B30-'1 Inputs'!B12*D$4/100-'1 Inputs'!B13*$A7/100+'1 Inputs'!B14*(D$4+$A7)^2/2000000</f>
        <v>14.4275</v>
      </c>
      <c r="E7" s="35" t="n">
        <f aca="false">'1 Inputs'!B30-'1 Inputs'!B12*E$4/100-'1 Inputs'!B13*$A7/100+'1 Inputs'!B14*(E$4+$A7)^2/2000000</f>
        <v>12.67125</v>
      </c>
      <c r="F7" s="35" t="n">
        <f aca="false">'1 Inputs'!B30-'1 Inputs'!B12*F$4/100-'1 Inputs'!B13*$A7/100+'1 Inputs'!B14*(F$4+$A7)^2/2000000</f>
        <v>10.9525</v>
      </c>
      <c r="G7" s="35" t="n">
        <f aca="false">'1 Inputs'!B30-'1 Inputs'!B12*G$4/100-'1 Inputs'!B13*$A7/100+'1 Inputs'!B14*(G$4+$A7)^2/2000000</f>
        <v>9.27125</v>
      </c>
      <c r="H7" s="35" t="n">
        <f aca="false">'1 Inputs'!B30-'1 Inputs'!B12*H$4/100-'1 Inputs'!B13*$A7/100+'1 Inputs'!B14*(H$4+$A7)^2/2000000</f>
        <v>7.6275</v>
      </c>
      <c r="I7" s="35" t="n">
        <f aca="false">'1 Inputs'!B30-'1 Inputs'!B12*I$4/100-'1 Inputs'!B13*$A7/100+'1 Inputs'!B14*(I$4+$A7)^2/2000000</f>
        <v>6.02125</v>
      </c>
      <c r="J7" s="35" t="n">
        <f aca="false">'1 Inputs'!B30-'1 Inputs'!B12*J$4/100-'1 Inputs'!B13*$A7/100+'1 Inputs'!B14*(J$4+$A7)^2/2000000</f>
        <v>4.4525</v>
      </c>
      <c r="K7" s="35" t="n">
        <f aca="false">'1 Inputs'!B30-'1 Inputs'!B12*K$4/100-'1 Inputs'!B13*$A7/100+'1 Inputs'!B14*(K$4+$A7)^2/2000000</f>
        <v>2.92125</v>
      </c>
      <c r="L7" s="35" t="n">
        <f aca="false">'1 Inputs'!B30-'1 Inputs'!B12*L$4/100-'1 Inputs'!B13*$A7/100+'1 Inputs'!B14*(L$4+$A7)^2/2000000</f>
        <v>1.4275</v>
      </c>
      <c r="M7" s="35" t="n">
        <f aca="false">'1 Inputs'!B30-'1 Inputs'!B12*M$4/100-'1 Inputs'!B13*$A7/100+'1 Inputs'!B14*(M$4+$A7)^2/2000000</f>
        <v>-0.0287500000000005</v>
      </c>
      <c r="N7" s="35" t="n">
        <f aca="false">'1 Inputs'!B30-'1 Inputs'!B12*N$4/100-'1 Inputs'!B13*$A7/100+'1 Inputs'!B14*(N$4+$A7)^2/2000000</f>
        <v>-1.4475</v>
      </c>
    </row>
    <row r="8" customFormat="false" ht="15" hidden="false" customHeight="false" outlineLevel="0" collapsed="false">
      <c r="A8" s="34" t="n">
        <v>25</v>
      </c>
      <c r="B8" s="35" t="n">
        <f aca="false">'1 Inputs'!B30-'1 Inputs'!B12*B$4/100-'1 Inputs'!B13*$A8/100+'1 Inputs'!B14*(B$4+$A8)^2/2000000</f>
        <v>16.22125</v>
      </c>
      <c r="C8" s="35" t="n">
        <f aca="false">'1 Inputs'!B30-'1 Inputs'!B12*C$4/100-'1 Inputs'!B13*$A8/100+'1 Inputs'!B14*(C$4+$A8)^2/2000000</f>
        <v>14.4275</v>
      </c>
      <c r="D8" s="35" t="n">
        <f aca="false">'1 Inputs'!B30-'1 Inputs'!B12*D$4/100-'1 Inputs'!B13*$A8/100+'1 Inputs'!B14*(D$4+$A8)^2/2000000</f>
        <v>12.67125</v>
      </c>
      <c r="E8" s="35" t="n">
        <f aca="false">'1 Inputs'!B30-'1 Inputs'!B12*E$4/100-'1 Inputs'!B13*$A8/100+'1 Inputs'!B14*(E$4+$A8)^2/2000000</f>
        <v>10.9525</v>
      </c>
      <c r="F8" s="35" t="n">
        <f aca="false">'1 Inputs'!B30-'1 Inputs'!B12*F$4/100-'1 Inputs'!B13*$A8/100+'1 Inputs'!B14*(F$4+$A8)^2/2000000</f>
        <v>9.27125</v>
      </c>
      <c r="G8" s="35" t="n">
        <f aca="false">'1 Inputs'!B30-'1 Inputs'!B12*G$4/100-'1 Inputs'!B13*$A8/100+'1 Inputs'!B14*(G$4+$A8)^2/2000000</f>
        <v>7.6275</v>
      </c>
      <c r="H8" s="35" t="n">
        <f aca="false">'1 Inputs'!B30-'1 Inputs'!B12*H$4/100-'1 Inputs'!B13*$A8/100+'1 Inputs'!B14*(H$4+$A8)^2/2000000</f>
        <v>6.02125</v>
      </c>
      <c r="I8" s="35" t="n">
        <f aca="false">'1 Inputs'!B30-'1 Inputs'!B12*I$4/100-'1 Inputs'!B13*$A8/100+'1 Inputs'!B14*(I$4+$A8)^2/2000000</f>
        <v>4.4525</v>
      </c>
      <c r="J8" s="35" t="n">
        <f aca="false">'1 Inputs'!B30-'1 Inputs'!B12*J$4/100-'1 Inputs'!B13*$A8/100+'1 Inputs'!B14*(J$4+$A8)^2/2000000</f>
        <v>2.92125</v>
      </c>
      <c r="K8" s="35" t="n">
        <f aca="false">'1 Inputs'!B30-'1 Inputs'!B12*K$4/100-'1 Inputs'!B13*$A8/100+'1 Inputs'!B14*(K$4+$A8)^2/2000000</f>
        <v>1.4275</v>
      </c>
      <c r="L8" s="35" t="n">
        <f aca="false">'1 Inputs'!B30-'1 Inputs'!B12*L$4/100-'1 Inputs'!B13*$A8/100+'1 Inputs'!B14*(L$4+$A8)^2/2000000</f>
        <v>-0.0287500000000005</v>
      </c>
      <c r="M8" s="35" t="n">
        <f aca="false">'1 Inputs'!B30-'1 Inputs'!B12*M$4/100-'1 Inputs'!B13*$A8/100+'1 Inputs'!B14*(M$4+$A8)^2/2000000</f>
        <v>-1.4475</v>
      </c>
      <c r="N8" s="35" t="n">
        <f aca="false">'1 Inputs'!B30-'1 Inputs'!B12*N$4/100-'1 Inputs'!B13*$A8/100+'1 Inputs'!B14*(N$4+$A8)^2/2000000</f>
        <v>-2.82875</v>
      </c>
    </row>
    <row r="9" customFormat="false" ht="15" hidden="false" customHeight="false" outlineLevel="0" collapsed="false">
      <c r="A9" s="34" t="n">
        <v>50</v>
      </c>
      <c r="B9" s="35" t="n">
        <f aca="false">'1 Inputs'!B30-'1 Inputs'!B12*B$4/100-'1 Inputs'!B13*$A9/100+'1 Inputs'!B14*(B$4+$A9)^2/2000000</f>
        <v>14.4275</v>
      </c>
      <c r="C9" s="35" t="n">
        <f aca="false">'1 Inputs'!B30-'1 Inputs'!B12*C$4/100-'1 Inputs'!B13*$A9/100+'1 Inputs'!B14*(C$4+$A9)^2/2000000</f>
        <v>12.67125</v>
      </c>
      <c r="D9" s="35" t="n">
        <f aca="false">'1 Inputs'!B30-'1 Inputs'!B12*D$4/100-'1 Inputs'!B13*$A9/100+'1 Inputs'!B14*(D$4+$A9)^2/2000000</f>
        <v>10.9525</v>
      </c>
      <c r="E9" s="35" t="n">
        <f aca="false">'1 Inputs'!B30-'1 Inputs'!B12*E$4/100-'1 Inputs'!B13*$A9/100+'1 Inputs'!B14*(E$4+$A9)^2/2000000</f>
        <v>9.27125</v>
      </c>
      <c r="F9" s="35" t="n">
        <f aca="false">'1 Inputs'!B30-'1 Inputs'!B12*F$4/100-'1 Inputs'!B13*$A9/100+'1 Inputs'!B14*(F$4+$A9)^2/2000000</f>
        <v>7.6275</v>
      </c>
      <c r="G9" s="35" t="n">
        <f aca="false">'1 Inputs'!B30-'1 Inputs'!B12*G$4/100-'1 Inputs'!B13*$A9/100+'1 Inputs'!B14*(G$4+$A9)^2/2000000</f>
        <v>6.02125</v>
      </c>
      <c r="H9" s="35" t="n">
        <f aca="false">'1 Inputs'!B30-'1 Inputs'!B12*H$4/100-'1 Inputs'!B13*$A9/100+'1 Inputs'!B14*(H$4+$A9)^2/2000000</f>
        <v>4.4525</v>
      </c>
      <c r="I9" s="35" t="n">
        <f aca="false">'1 Inputs'!B30-'1 Inputs'!B12*I$4/100-'1 Inputs'!B13*$A9/100+'1 Inputs'!B14*(I$4+$A9)^2/2000000</f>
        <v>2.92125</v>
      </c>
      <c r="J9" s="35" t="n">
        <f aca="false">'1 Inputs'!B30-'1 Inputs'!B12*J$4/100-'1 Inputs'!B13*$A9/100+'1 Inputs'!B14*(J$4+$A9)^2/2000000</f>
        <v>1.4275</v>
      </c>
      <c r="K9" s="35" t="n">
        <f aca="false">'1 Inputs'!B30-'1 Inputs'!B12*K$4/100-'1 Inputs'!B13*$A9/100+'1 Inputs'!B14*(K$4+$A9)^2/2000000</f>
        <v>-0.0287500000000005</v>
      </c>
      <c r="L9" s="35" t="n">
        <f aca="false">'1 Inputs'!B30-'1 Inputs'!B12*L$4/100-'1 Inputs'!B13*$A9/100+'1 Inputs'!B14*(L$4+$A9)^2/2000000</f>
        <v>-1.4475</v>
      </c>
      <c r="M9" s="35" t="n">
        <f aca="false">'1 Inputs'!B30-'1 Inputs'!B12*M$4/100-'1 Inputs'!B13*$A9/100+'1 Inputs'!B14*(M$4+$A9)^2/2000000</f>
        <v>-2.82875</v>
      </c>
      <c r="N9" s="35" t="n">
        <f aca="false">'1 Inputs'!B30-'1 Inputs'!B12*N$4/100-'1 Inputs'!B13*$A9/100+'1 Inputs'!B14*(N$4+$A9)^2/2000000</f>
        <v>-4.1725</v>
      </c>
    </row>
    <row r="10" customFormat="false" ht="15" hidden="false" customHeight="false" outlineLevel="0" collapsed="false">
      <c r="A10" s="34" t="n">
        <v>75</v>
      </c>
      <c r="B10" s="35" t="n">
        <f aca="false">'1 Inputs'!B30-'1 Inputs'!B12*B$4/100-'1 Inputs'!B13*$A10/100+'1 Inputs'!B14*(B$4+$A10)^2/2000000</f>
        <v>12.67125</v>
      </c>
      <c r="C10" s="35" t="n">
        <f aca="false">'1 Inputs'!B30-'1 Inputs'!B12*C$4/100-'1 Inputs'!B13*$A10/100+'1 Inputs'!B14*(C$4+$A10)^2/2000000</f>
        <v>10.9525</v>
      </c>
      <c r="D10" s="35" t="n">
        <f aca="false">'1 Inputs'!B30-'1 Inputs'!B12*D$4/100-'1 Inputs'!B13*$A10/100+'1 Inputs'!B14*(D$4+$A10)^2/2000000</f>
        <v>9.27125</v>
      </c>
      <c r="E10" s="35" t="n">
        <f aca="false">'1 Inputs'!B30-'1 Inputs'!B12*E$4/100-'1 Inputs'!B13*$A10/100+'1 Inputs'!B14*(E$4+$A10)^2/2000000</f>
        <v>7.6275</v>
      </c>
      <c r="F10" s="35" t="n">
        <f aca="false">'1 Inputs'!B30-'1 Inputs'!B12*F$4/100-'1 Inputs'!B13*$A10/100+'1 Inputs'!B14*(F$4+$A10)^2/2000000</f>
        <v>6.02125</v>
      </c>
      <c r="G10" s="35" t="n">
        <f aca="false">'1 Inputs'!B30-'1 Inputs'!B12*G$4/100-'1 Inputs'!B13*$A10/100+'1 Inputs'!B14*(G$4+$A10)^2/2000000</f>
        <v>4.4525</v>
      </c>
      <c r="H10" s="35" t="n">
        <f aca="false">'1 Inputs'!B30-'1 Inputs'!B12*H$4/100-'1 Inputs'!B13*$A10/100+'1 Inputs'!B14*(H$4+$A10)^2/2000000</f>
        <v>2.92125</v>
      </c>
      <c r="I10" s="35" t="n">
        <f aca="false">'1 Inputs'!B30-'1 Inputs'!B12*I$4/100-'1 Inputs'!B13*$A10/100+'1 Inputs'!B14*(I$4+$A10)^2/2000000</f>
        <v>1.4275</v>
      </c>
      <c r="J10" s="35" t="n">
        <f aca="false">'1 Inputs'!B30-'1 Inputs'!B12*J$4/100-'1 Inputs'!B13*$A10/100+'1 Inputs'!B14*(J$4+$A10)^2/2000000</f>
        <v>-0.0287500000000005</v>
      </c>
      <c r="K10" s="35" t="n">
        <f aca="false">'1 Inputs'!B30-'1 Inputs'!B12*K$4/100-'1 Inputs'!B13*$A10/100+'1 Inputs'!B14*(K$4+$A10)^2/2000000</f>
        <v>-1.4475</v>
      </c>
      <c r="L10" s="35" t="n">
        <f aca="false">'1 Inputs'!B30-'1 Inputs'!B12*L$4/100-'1 Inputs'!B13*$A10/100+'1 Inputs'!B14*(L$4+$A10)^2/2000000</f>
        <v>-2.82875</v>
      </c>
      <c r="M10" s="35" t="n">
        <f aca="false">'1 Inputs'!B30-'1 Inputs'!B12*M$4/100-'1 Inputs'!B13*$A10/100+'1 Inputs'!B14*(M$4+$A10)^2/2000000</f>
        <v>-4.1725</v>
      </c>
      <c r="N10" s="35" t="n">
        <f aca="false">'1 Inputs'!B30-'1 Inputs'!B12*N$4/100-'1 Inputs'!B13*$A10/100+'1 Inputs'!B14*(N$4+$A10)^2/2000000</f>
        <v>-5.47875</v>
      </c>
    </row>
    <row r="11" customFormat="false" ht="15" hidden="false" customHeight="false" outlineLevel="0" collapsed="false">
      <c r="A11" s="34" t="n">
        <v>100</v>
      </c>
      <c r="B11" s="35" t="n">
        <f aca="false">'1 Inputs'!B30-'1 Inputs'!B12*B$4/100-'1 Inputs'!B13*$A11/100+'1 Inputs'!B14*(B$4+$A11)^2/2000000</f>
        <v>10.9525</v>
      </c>
      <c r="C11" s="35" t="n">
        <f aca="false">'1 Inputs'!B30-'1 Inputs'!B12*C$4/100-'1 Inputs'!B13*$A11/100+'1 Inputs'!B14*(C$4+$A11)^2/2000000</f>
        <v>9.27125</v>
      </c>
      <c r="D11" s="35" t="n">
        <f aca="false">'1 Inputs'!B30-'1 Inputs'!B12*D$4/100-'1 Inputs'!B13*$A11/100+'1 Inputs'!B14*(D$4+$A11)^2/2000000</f>
        <v>7.6275</v>
      </c>
      <c r="E11" s="35" t="n">
        <f aca="false">'1 Inputs'!B30-'1 Inputs'!B12*E$4/100-'1 Inputs'!B13*$A11/100+'1 Inputs'!B14*(E$4+$A11)^2/2000000</f>
        <v>6.02125</v>
      </c>
      <c r="F11" s="35" t="n">
        <f aca="false">'1 Inputs'!B30-'1 Inputs'!B12*F$4/100-'1 Inputs'!B13*$A11/100+'1 Inputs'!B14*(F$4+$A11)^2/2000000</f>
        <v>4.4525</v>
      </c>
      <c r="G11" s="35" t="n">
        <f aca="false">'1 Inputs'!B30-'1 Inputs'!B12*G$4/100-'1 Inputs'!B13*$A11/100+'1 Inputs'!B14*(G$4+$A11)^2/2000000</f>
        <v>2.92125</v>
      </c>
      <c r="H11" s="35" t="n">
        <f aca="false">'1 Inputs'!B30-'1 Inputs'!B12*H$4/100-'1 Inputs'!B13*$A11/100+'1 Inputs'!B14*(H$4+$A11)^2/2000000</f>
        <v>1.4275</v>
      </c>
      <c r="I11" s="35" t="n">
        <f aca="false">'1 Inputs'!B30-'1 Inputs'!B12*I$4/100-'1 Inputs'!B13*$A11/100+'1 Inputs'!B14*(I$4+$A11)^2/2000000</f>
        <v>-0.0287500000000005</v>
      </c>
      <c r="J11" s="35" t="n">
        <f aca="false">'1 Inputs'!B30-'1 Inputs'!B12*J$4/100-'1 Inputs'!B13*$A11/100+'1 Inputs'!B14*(J$4+$A11)^2/2000000</f>
        <v>-1.4475</v>
      </c>
      <c r="K11" s="35" t="n">
        <f aca="false">'1 Inputs'!B30-'1 Inputs'!B12*K$4/100-'1 Inputs'!B13*$A11/100+'1 Inputs'!B14*(K$4+$A11)^2/2000000</f>
        <v>-2.82875</v>
      </c>
      <c r="L11" s="35" t="n">
        <f aca="false">'1 Inputs'!B30-'1 Inputs'!B12*L$4/100-'1 Inputs'!B13*$A11/100+'1 Inputs'!B14*(L$4+$A11)^2/2000000</f>
        <v>-4.1725</v>
      </c>
      <c r="M11" s="35" t="n">
        <f aca="false">'1 Inputs'!B30-'1 Inputs'!B12*M$4/100-'1 Inputs'!B13*$A11/100+'1 Inputs'!B14*(M$4+$A11)^2/2000000</f>
        <v>-5.47875</v>
      </c>
      <c r="N11" s="35" t="n">
        <f aca="false">'1 Inputs'!B30-'1 Inputs'!B12*N$4/100-'1 Inputs'!B13*$A11/100+'1 Inputs'!B14*(N$4+$A11)^2/2000000</f>
        <v>-6.7475</v>
      </c>
    </row>
    <row r="12" customFormat="false" ht="15" hidden="false" customHeight="false" outlineLevel="0" collapsed="false">
      <c r="A12" s="34" t="n">
        <v>125</v>
      </c>
      <c r="B12" s="35" t="n">
        <f aca="false">'1 Inputs'!B30-'1 Inputs'!B12*B$4/100-'1 Inputs'!B13*$A12/100+'1 Inputs'!B14*(B$4+$A12)^2/2000000</f>
        <v>9.27125</v>
      </c>
      <c r="C12" s="35" t="n">
        <f aca="false">'1 Inputs'!B30-'1 Inputs'!B12*C$4/100-'1 Inputs'!B13*$A12/100+'1 Inputs'!B14*(C$4+$A12)^2/2000000</f>
        <v>7.6275</v>
      </c>
      <c r="D12" s="35" t="n">
        <f aca="false">'1 Inputs'!B30-'1 Inputs'!B12*D$4/100-'1 Inputs'!B13*$A12/100+'1 Inputs'!B14*(D$4+$A12)^2/2000000</f>
        <v>6.02125</v>
      </c>
      <c r="E12" s="35" t="n">
        <f aca="false">'1 Inputs'!B30-'1 Inputs'!B12*E$4/100-'1 Inputs'!B13*$A12/100+'1 Inputs'!B14*(E$4+$A12)^2/2000000</f>
        <v>4.4525</v>
      </c>
      <c r="F12" s="35" t="n">
        <f aca="false">'1 Inputs'!B30-'1 Inputs'!B12*F$4/100-'1 Inputs'!B13*$A12/100+'1 Inputs'!B14*(F$4+$A12)^2/2000000</f>
        <v>2.92125</v>
      </c>
      <c r="G12" s="35" t="n">
        <f aca="false">'1 Inputs'!B30-'1 Inputs'!B12*G$4/100-'1 Inputs'!B13*$A12/100+'1 Inputs'!B14*(G$4+$A12)^2/2000000</f>
        <v>1.4275</v>
      </c>
      <c r="H12" s="35" t="n">
        <f aca="false">'1 Inputs'!B30-'1 Inputs'!B12*H$4/100-'1 Inputs'!B13*$A12/100+'1 Inputs'!B14*(H$4+$A12)^2/2000000</f>
        <v>-0.0287500000000005</v>
      </c>
      <c r="I12" s="35" t="n">
        <f aca="false">'1 Inputs'!B30-'1 Inputs'!B12*I$4/100-'1 Inputs'!B13*$A12/100+'1 Inputs'!B14*(I$4+$A12)^2/2000000</f>
        <v>-1.4475</v>
      </c>
      <c r="J12" s="35" t="n">
        <f aca="false">'1 Inputs'!B30-'1 Inputs'!B12*J$4/100-'1 Inputs'!B13*$A12/100+'1 Inputs'!B14*(J$4+$A12)^2/2000000</f>
        <v>-2.82875</v>
      </c>
      <c r="K12" s="35" t="n">
        <f aca="false">'1 Inputs'!B30-'1 Inputs'!B12*K$4/100-'1 Inputs'!B13*$A12/100+'1 Inputs'!B14*(K$4+$A12)^2/2000000</f>
        <v>-4.1725</v>
      </c>
      <c r="L12" s="35" t="n">
        <f aca="false">'1 Inputs'!B30-'1 Inputs'!B12*L$4/100-'1 Inputs'!B13*$A12/100+'1 Inputs'!B14*(L$4+$A12)^2/2000000</f>
        <v>-5.47875</v>
      </c>
      <c r="M12" s="35" t="n">
        <f aca="false">'1 Inputs'!B30-'1 Inputs'!B12*M$4/100-'1 Inputs'!B13*$A12/100+'1 Inputs'!B14*(M$4+$A12)^2/2000000</f>
        <v>-6.7475</v>
      </c>
      <c r="N12" s="35" t="n">
        <f aca="false">'1 Inputs'!B30-'1 Inputs'!B12*N$4/100-'1 Inputs'!B13*$A12/100+'1 Inputs'!B14*(N$4+$A12)^2/2000000</f>
        <v>-7.97875</v>
      </c>
    </row>
    <row r="13" customFormat="false" ht="15" hidden="false" customHeight="false" outlineLevel="0" collapsed="false">
      <c r="A13" s="34" t="n">
        <v>150</v>
      </c>
      <c r="B13" s="35" t="n">
        <f aca="false">'1 Inputs'!B30-'1 Inputs'!B12*B$4/100-'1 Inputs'!B13*$A13/100+'1 Inputs'!B14*(B$4+$A13)^2/2000000</f>
        <v>7.6275</v>
      </c>
      <c r="C13" s="35" t="n">
        <f aca="false">'1 Inputs'!B30-'1 Inputs'!B12*C$4/100-'1 Inputs'!B13*$A13/100+'1 Inputs'!B14*(C$4+$A13)^2/2000000</f>
        <v>6.02125</v>
      </c>
      <c r="D13" s="35" t="n">
        <f aca="false">'1 Inputs'!B30-'1 Inputs'!B12*D$4/100-'1 Inputs'!B13*$A13/100+'1 Inputs'!B14*(D$4+$A13)^2/2000000</f>
        <v>4.4525</v>
      </c>
      <c r="E13" s="35" t="n">
        <f aca="false">'1 Inputs'!B30-'1 Inputs'!B12*E$4/100-'1 Inputs'!B13*$A13/100+'1 Inputs'!B14*(E$4+$A13)^2/2000000</f>
        <v>2.92125</v>
      </c>
      <c r="F13" s="35" t="n">
        <f aca="false">'1 Inputs'!B30-'1 Inputs'!B12*F$4/100-'1 Inputs'!B13*$A13/100+'1 Inputs'!B14*(F$4+$A13)^2/2000000</f>
        <v>1.4275</v>
      </c>
      <c r="G13" s="35" t="n">
        <f aca="false">'1 Inputs'!B30-'1 Inputs'!B12*G$4/100-'1 Inputs'!B13*$A13/100+'1 Inputs'!B14*(G$4+$A13)^2/2000000</f>
        <v>-0.0287500000000005</v>
      </c>
      <c r="H13" s="35" t="n">
        <f aca="false">'1 Inputs'!B30-'1 Inputs'!B12*H$4/100-'1 Inputs'!B13*$A13/100+'1 Inputs'!B14*(H$4+$A13)^2/2000000</f>
        <v>-1.4475</v>
      </c>
      <c r="I13" s="35" t="n">
        <f aca="false">'1 Inputs'!B30-'1 Inputs'!B12*I$4/100-'1 Inputs'!B13*$A13/100+'1 Inputs'!B14*(I$4+$A13)^2/2000000</f>
        <v>-2.82875</v>
      </c>
      <c r="J13" s="35" t="n">
        <f aca="false">'1 Inputs'!B30-'1 Inputs'!B12*J$4/100-'1 Inputs'!B13*$A13/100+'1 Inputs'!B14*(J$4+$A13)^2/2000000</f>
        <v>-4.1725</v>
      </c>
      <c r="K13" s="35" t="n">
        <f aca="false">'1 Inputs'!B30-'1 Inputs'!B12*K$4/100-'1 Inputs'!B13*$A13/100+'1 Inputs'!B14*(K$4+$A13)^2/2000000</f>
        <v>-5.47875</v>
      </c>
      <c r="L13" s="35" t="n">
        <f aca="false">'1 Inputs'!B30-'1 Inputs'!B12*L$4/100-'1 Inputs'!B13*$A13/100+'1 Inputs'!B14*(L$4+$A13)^2/2000000</f>
        <v>-6.7475</v>
      </c>
      <c r="M13" s="35" t="n">
        <f aca="false">'1 Inputs'!B30-'1 Inputs'!B12*M$4/100-'1 Inputs'!B13*$A13/100+'1 Inputs'!B14*(M$4+$A13)^2/2000000</f>
        <v>-7.97875</v>
      </c>
      <c r="N13" s="35" t="n">
        <f aca="false">'1 Inputs'!B30-'1 Inputs'!B12*N$4/100-'1 Inputs'!B13*$A13/100+'1 Inputs'!B14*(N$4+$A13)^2/2000000</f>
        <v>-9.1725</v>
      </c>
    </row>
    <row r="14" customFormat="false" ht="15" hidden="false" customHeight="false" outlineLevel="0" collapsed="false">
      <c r="A14" s="34" t="n">
        <v>175</v>
      </c>
      <c r="B14" s="35" t="n">
        <f aca="false">'1 Inputs'!B30-'1 Inputs'!B12*B$4/100-'1 Inputs'!B13*$A14/100+'1 Inputs'!B14*(B$4+$A14)^2/2000000</f>
        <v>6.02125</v>
      </c>
      <c r="C14" s="35" t="n">
        <f aca="false">'1 Inputs'!B30-'1 Inputs'!B12*C$4/100-'1 Inputs'!B13*$A14/100+'1 Inputs'!B14*(C$4+$A14)^2/2000000</f>
        <v>4.4525</v>
      </c>
      <c r="D14" s="35" t="n">
        <f aca="false">'1 Inputs'!B30-'1 Inputs'!B12*D$4/100-'1 Inputs'!B13*$A14/100+'1 Inputs'!B14*(D$4+$A14)^2/2000000</f>
        <v>2.92125</v>
      </c>
      <c r="E14" s="35" t="n">
        <f aca="false">'1 Inputs'!B30-'1 Inputs'!B12*E$4/100-'1 Inputs'!B13*$A14/100+'1 Inputs'!B14*(E$4+$A14)^2/2000000</f>
        <v>1.4275</v>
      </c>
      <c r="F14" s="35" t="n">
        <f aca="false">'1 Inputs'!B30-'1 Inputs'!B12*F$4/100-'1 Inputs'!B13*$A14/100+'1 Inputs'!B14*(F$4+$A14)^2/2000000</f>
        <v>-0.0287500000000005</v>
      </c>
      <c r="G14" s="35" t="n">
        <f aca="false">'1 Inputs'!B30-'1 Inputs'!B12*G$4/100-'1 Inputs'!B13*$A14/100+'1 Inputs'!B14*(G$4+$A14)^2/2000000</f>
        <v>-1.4475</v>
      </c>
      <c r="H14" s="35" t="n">
        <f aca="false">'1 Inputs'!B30-'1 Inputs'!B12*H$4/100-'1 Inputs'!B13*$A14/100+'1 Inputs'!B14*(H$4+$A14)^2/2000000</f>
        <v>-2.82875</v>
      </c>
      <c r="I14" s="35" t="n">
        <f aca="false">'1 Inputs'!B30-'1 Inputs'!B12*I$4/100-'1 Inputs'!B13*$A14/100+'1 Inputs'!B14*(I$4+$A14)^2/2000000</f>
        <v>-4.1725</v>
      </c>
      <c r="J14" s="35" t="n">
        <f aca="false">'1 Inputs'!B30-'1 Inputs'!B12*J$4/100-'1 Inputs'!B13*$A14/100+'1 Inputs'!B14*(J$4+$A14)^2/2000000</f>
        <v>-5.47875</v>
      </c>
      <c r="K14" s="35" t="n">
        <f aca="false">'1 Inputs'!B30-'1 Inputs'!B12*K$4/100-'1 Inputs'!B13*$A14/100+'1 Inputs'!B14*(K$4+$A14)^2/2000000</f>
        <v>-6.7475</v>
      </c>
      <c r="L14" s="35" t="n">
        <f aca="false">'1 Inputs'!B30-'1 Inputs'!B12*L$4/100-'1 Inputs'!B13*$A14/100+'1 Inputs'!B14*(L$4+$A14)^2/2000000</f>
        <v>-7.97875</v>
      </c>
      <c r="M14" s="35" t="n">
        <f aca="false">'1 Inputs'!B30-'1 Inputs'!B12*M$4/100-'1 Inputs'!B13*$A14/100+'1 Inputs'!B14*(M$4+$A14)^2/2000000</f>
        <v>-9.1725</v>
      </c>
      <c r="N14" s="35" t="n">
        <f aca="false">'1 Inputs'!B30-'1 Inputs'!B12*N$4/100-'1 Inputs'!B13*$A14/100+'1 Inputs'!B14*(N$4+$A14)^2/2000000</f>
        <v>-10.32875</v>
      </c>
    </row>
    <row r="15" customFormat="false" ht="15" hidden="false" customHeight="false" outlineLevel="0" collapsed="false">
      <c r="A15" s="34" t="n">
        <v>200</v>
      </c>
      <c r="B15" s="35" t="n">
        <f aca="false">'1 Inputs'!B30-'1 Inputs'!B12*B$4/100-'1 Inputs'!B13*$A15/100+'1 Inputs'!B14*(B$4+$A15)^2/2000000</f>
        <v>4.4525</v>
      </c>
      <c r="C15" s="35" t="n">
        <f aca="false">'1 Inputs'!B30-'1 Inputs'!B12*C$4/100-'1 Inputs'!B13*$A15/100+'1 Inputs'!B14*(C$4+$A15)^2/2000000</f>
        <v>2.92125</v>
      </c>
      <c r="D15" s="35" t="n">
        <f aca="false">'1 Inputs'!B30-'1 Inputs'!B12*D$4/100-'1 Inputs'!B13*$A15/100+'1 Inputs'!B14*(D$4+$A15)^2/2000000</f>
        <v>1.4275</v>
      </c>
      <c r="E15" s="35" t="n">
        <f aca="false">'1 Inputs'!B30-'1 Inputs'!B12*E$4/100-'1 Inputs'!B13*$A15/100+'1 Inputs'!B14*(E$4+$A15)^2/2000000</f>
        <v>-0.0287500000000005</v>
      </c>
      <c r="F15" s="35" t="n">
        <f aca="false">'1 Inputs'!B30-'1 Inputs'!B12*F$4/100-'1 Inputs'!B13*$A15/100+'1 Inputs'!B14*(F$4+$A15)^2/2000000</f>
        <v>-1.4475</v>
      </c>
      <c r="G15" s="35" t="n">
        <f aca="false">'1 Inputs'!B30-'1 Inputs'!B12*G$4/100-'1 Inputs'!B13*$A15/100+'1 Inputs'!B14*(G$4+$A15)^2/2000000</f>
        <v>-2.82875</v>
      </c>
      <c r="H15" s="35" t="n">
        <f aca="false">'1 Inputs'!B30-'1 Inputs'!B12*H$4/100-'1 Inputs'!B13*$A15/100+'1 Inputs'!B14*(H$4+$A15)^2/2000000</f>
        <v>-4.1725</v>
      </c>
      <c r="I15" s="35" t="n">
        <f aca="false">'1 Inputs'!B30-'1 Inputs'!B12*I$4/100-'1 Inputs'!B13*$A15/100+'1 Inputs'!B14*(I$4+$A15)^2/2000000</f>
        <v>-5.47875</v>
      </c>
      <c r="J15" s="35" t="n">
        <f aca="false">'1 Inputs'!B30-'1 Inputs'!B12*J$4/100-'1 Inputs'!B13*$A15/100+'1 Inputs'!B14*(J$4+$A15)^2/2000000</f>
        <v>-6.7475</v>
      </c>
      <c r="K15" s="35" t="n">
        <f aca="false">'1 Inputs'!B30-'1 Inputs'!B12*K$4/100-'1 Inputs'!B13*$A15/100+'1 Inputs'!B14*(K$4+$A15)^2/2000000</f>
        <v>-7.97875</v>
      </c>
      <c r="L15" s="35" t="n">
        <f aca="false">'1 Inputs'!B30-'1 Inputs'!B12*L$4/100-'1 Inputs'!B13*$A15/100+'1 Inputs'!B14*(L$4+$A15)^2/2000000</f>
        <v>-9.1725</v>
      </c>
      <c r="M15" s="35" t="n">
        <f aca="false">'1 Inputs'!B30-'1 Inputs'!B12*M$4/100-'1 Inputs'!B13*$A15/100+'1 Inputs'!B14*(M$4+$A15)^2/2000000</f>
        <v>-10.32875</v>
      </c>
      <c r="N15" s="35" t="n">
        <f aca="false">'1 Inputs'!B30-'1 Inputs'!B12*N$4/100-'1 Inputs'!B13*$A15/100+'1 Inputs'!B14*(N$4+$A15)^2/2000000</f>
        <v>-11.4475</v>
      </c>
    </row>
    <row r="16" customFormat="false" ht="15" hidden="false" customHeight="false" outlineLevel="0" collapsed="false">
      <c r="A16" s="34" t="n">
        <v>225</v>
      </c>
      <c r="B16" s="35" t="n">
        <f aca="false">'1 Inputs'!B30-'1 Inputs'!B12*B$4/100-'1 Inputs'!B13*$A16/100+'1 Inputs'!B14*(B$4+$A16)^2/2000000</f>
        <v>2.92125</v>
      </c>
      <c r="C16" s="35" t="n">
        <f aca="false">'1 Inputs'!B30-'1 Inputs'!B12*C$4/100-'1 Inputs'!B13*$A16/100+'1 Inputs'!B14*(C$4+$A16)^2/2000000</f>
        <v>1.4275</v>
      </c>
      <c r="D16" s="35" t="n">
        <f aca="false">'1 Inputs'!B30-'1 Inputs'!B12*D$4/100-'1 Inputs'!B13*$A16/100+'1 Inputs'!B14*(D$4+$A16)^2/2000000</f>
        <v>-0.0287500000000005</v>
      </c>
      <c r="E16" s="35" t="n">
        <f aca="false">'1 Inputs'!B30-'1 Inputs'!B12*E$4/100-'1 Inputs'!B13*$A16/100+'1 Inputs'!B14*(E$4+$A16)^2/2000000</f>
        <v>-1.4475</v>
      </c>
      <c r="F16" s="35" t="n">
        <f aca="false">'1 Inputs'!B30-'1 Inputs'!B12*F$4/100-'1 Inputs'!B13*$A16/100+'1 Inputs'!B14*(F$4+$A16)^2/2000000</f>
        <v>-2.82875</v>
      </c>
      <c r="G16" s="35" t="n">
        <f aca="false">'1 Inputs'!B30-'1 Inputs'!B12*G$4/100-'1 Inputs'!B13*$A16/100+'1 Inputs'!B14*(G$4+$A16)^2/2000000</f>
        <v>-4.1725</v>
      </c>
      <c r="H16" s="35" t="n">
        <f aca="false">'1 Inputs'!B30-'1 Inputs'!B12*H$4/100-'1 Inputs'!B13*$A16/100+'1 Inputs'!B14*(H$4+$A16)^2/2000000</f>
        <v>-5.47875</v>
      </c>
      <c r="I16" s="35" t="n">
        <f aca="false">'1 Inputs'!B30-'1 Inputs'!B12*I$4/100-'1 Inputs'!B13*$A16/100+'1 Inputs'!B14*(I$4+$A16)^2/2000000</f>
        <v>-6.7475</v>
      </c>
      <c r="J16" s="35" t="n">
        <f aca="false">'1 Inputs'!B30-'1 Inputs'!B12*J$4/100-'1 Inputs'!B13*$A16/100+'1 Inputs'!B14*(J$4+$A16)^2/2000000</f>
        <v>-7.97875</v>
      </c>
      <c r="K16" s="35" t="n">
        <f aca="false">'1 Inputs'!B30-'1 Inputs'!B12*K$4/100-'1 Inputs'!B13*$A16/100+'1 Inputs'!B14*(K$4+$A16)^2/2000000</f>
        <v>-9.1725</v>
      </c>
      <c r="L16" s="35" t="n">
        <f aca="false">'1 Inputs'!B30-'1 Inputs'!B12*L$4/100-'1 Inputs'!B13*$A16/100+'1 Inputs'!B14*(L$4+$A16)^2/2000000</f>
        <v>-10.32875</v>
      </c>
      <c r="M16" s="35" t="n">
        <f aca="false">'1 Inputs'!B30-'1 Inputs'!B12*M$4/100-'1 Inputs'!B13*$A16/100+'1 Inputs'!B14*(M$4+$A16)^2/2000000</f>
        <v>-11.4475</v>
      </c>
      <c r="N16" s="35" t="n">
        <f aca="false">'1 Inputs'!B30-'1 Inputs'!B12*N$4/100-'1 Inputs'!B13*$A16/100+'1 Inputs'!B14*(N$4+$A16)^2/2000000</f>
        <v>-12.52875</v>
      </c>
    </row>
    <row r="17" customFormat="false" ht="15" hidden="false" customHeight="false" outlineLevel="0" collapsed="false">
      <c r="A17" s="34" t="n">
        <v>250</v>
      </c>
      <c r="B17" s="35" t="n">
        <f aca="false">'1 Inputs'!B30-'1 Inputs'!B12*B$4/100-'1 Inputs'!B13*$A17/100+'1 Inputs'!B14*(B$4+$A17)^2/2000000</f>
        <v>1.4275</v>
      </c>
      <c r="C17" s="35" t="n">
        <f aca="false">'1 Inputs'!B30-'1 Inputs'!B12*C$4/100-'1 Inputs'!B13*$A17/100+'1 Inputs'!B14*(C$4+$A17)^2/2000000</f>
        <v>-0.0287500000000005</v>
      </c>
      <c r="D17" s="35" t="n">
        <f aca="false">'1 Inputs'!B30-'1 Inputs'!B12*D$4/100-'1 Inputs'!B13*$A17/100+'1 Inputs'!B14*(D$4+$A17)^2/2000000</f>
        <v>-1.4475</v>
      </c>
      <c r="E17" s="35" t="n">
        <f aca="false">'1 Inputs'!B30-'1 Inputs'!B12*E$4/100-'1 Inputs'!B13*$A17/100+'1 Inputs'!B14*(E$4+$A17)^2/2000000</f>
        <v>-2.82875</v>
      </c>
      <c r="F17" s="35" t="n">
        <f aca="false">'1 Inputs'!B30-'1 Inputs'!B12*F$4/100-'1 Inputs'!B13*$A17/100+'1 Inputs'!B14*(F$4+$A17)^2/2000000</f>
        <v>-4.1725</v>
      </c>
      <c r="G17" s="35" t="n">
        <f aca="false">'1 Inputs'!B30-'1 Inputs'!B12*G$4/100-'1 Inputs'!B13*$A17/100+'1 Inputs'!B14*(G$4+$A17)^2/2000000</f>
        <v>-5.47875</v>
      </c>
      <c r="H17" s="35" t="n">
        <f aca="false">'1 Inputs'!B30-'1 Inputs'!B12*H$4/100-'1 Inputs'!B13*$A17/100+'1 Inputs'!B14*(H$4+$A17)^2/2000000</f>
        <v>-6.7475</v>
      </c>
      <c r="I17" s="35" t="n">
        <f aca="false">'1 Inputs'!B30-'1 Inputs'!B12*I$4/100-'1 Inputs'!B13*$A17/100+'1 Inputs'!B14*(I$4+$A17)^2/2000000</f>
        <v>-7.97875</v>
      </c>
      <c r="J17" s="35" t="n">
        <f aca="false">'1 Inputs'!B30-'1 Inputs'!B12*J$4/100-'1 Inputs'!B13*$A17/100+'1 Inputs'!B14*(J$4+$A17)^2/2000000</f>
        <v>-9.1725</v>
      </c>
      <c r="K17" s="35" t="n">
        <f aca="false">'1 Inputs'!B30-'1 Inputs'!B12*K$4/100-'1 Inputs'!B13*$A17/100+'1 Inputs'!B14*(K$4+$A17)^2/2000000</f>
        <v>-10.32875</v>
      </c>
      <c r="L17" s="35" t="n">
        <f aca="false">'1 Inputs'!B30-'1 Inputs'!B12*L$4/100-'1 Inputs'!B13*$A17/100+'1 Inputs'!B14*(L$4+$A17)^2/2000000</f>
        <v>-11.4475</v>
      </c>
      <c r="M17" s="35" t="n">
        <f aca="false">'1 Inputs'!B30-'1 Inputs'!B12*M$4/100-'1 Inputs'!B13*$A17/100+'1 Inputs'!B14*(M$4+$A17)^2/2000000</f>
        <v>-12.52875</v>
      </c>
      <c r="N17" s="35" t="n">
        <f aca="false">'1 Inputs'!B30-'1 Inputs'!B12*N$4/100-'1 Inputs'!B13*$A17/100+'1 Inputs'!B14*(N$4+$A17)^2/2000000</f>
        <v>-13.5725</v>
      </c>
    </row>
    <row r="19" customFormat="false" ht="15" hidden="false" customHeight="false" outlineLevel="0" collapsed="false">
      <c r="A19" s="11" t="s">
        <v>344</v>
      </c>
    </row>
    <row r="20" customFormat="false" ht="15" hidden="false" customHeight="false" outlineLevel="0" collapsed="false">
      <c r="A20" s="11" t="s">
        <v>345</v>
      </c>
    </row>
    <row r="22" customFormat="false" ht="15" hidden="false" customHeight="false" outlineLevel="0" collapsed="false">
      <c r="A22" s="4" t="s">
        <v>346</v>
      </c>
      <c r="D22" s="6" t="s">
        <v>347</v>
      </c>
    </row>
    <row r="23" customFormat="false" ht="15" hidden="false" customHeight="false" outlineLevel="0" collapsed="false">
      <c r="A23" s="7" t="s">
        <v>348</v>
      </c>
      <c r="D23" s="36" t="n">
        <v>-25</v>
      </c>
      <c r="E23" s="36" t="n">
        <v>30</v>
      </c>
      <c r="F23" s="37" t="n">
        <f aca="false">'1 Inputs'!B30-'1 Inputs'!B12*D23/100-'1 Inputs'!B13*E23/100+'1 Inputs'!B14*(D23+E23)^2/2000000</f>
        <v>7.30325</v>
      </c>
    </row>
    <row r="24" customFormat="false" ht="15" hidden="false" customHeight="false" outlineLevel="0" collapsed="false">
      <c r="A24" s="7" t="s">
        <v>349</v>
      </c>
      <c r="D24" s="36" t="n">
        <v>0</v>
      </c>
      <c r="E24" s="36" t="n">
        <v>30</v>
      </c>
      <c r="F24" s="37" t="n">
        <f aca="false">'1 Inputs'!B30-'1 Inputs'!B12*D24/100-'1 Inputs'!B13*E24/100+'1 Inputs'!B14*(D24+E24)^2/2000000</f>
        <v>5.7045</v>
      </c>
    </row>
    <row r="25" customFormat="false" ht="15" hidden="false" customHeight="false" outlineLevel="0" collapsed="false">
      <c r="A25" s="7" t="s">
        <v>350</v>
      </c>
      <c r="D25" s="36" t="n">
        <v>0</v>
      </c>
      <c r="E25" s="36" t="n">
        <v>100</v>
      </c>
      <c r="F25" s="37" t="n">
        <f aca="false">'1 Inputs'!B30-'1 Inputs'!B12*D25/100-'1 Inputs'!B13*E25/100+'1 Inputs'!B14*(D25+E25)^2/2000000</f>
        <v>1.4275</v>
      </c>
    </row>
    <row r="26" customFormat="false" ht="15" hidden="false" customHeight="false" outlineLevel="0" collapsed="false">
      <c r="A26" s="7" t="s">
        <v>351</v>
      </c>
      <c r="D26" s="36" t="n">
        <v>100</v>
      </c>
      <c r="E26" s="36" t="n">
        <v>100</v>
      </c>
      <c r="F26" s="37" t="n">
        <f aca="false">'1 Inputs'!B30-'1 Inputs'!B12*D26/100-'1 Inputs'!B13*E26/100+'1 Inputs'!B14*(D26+E26)^2/2000000</f>
        <v>-4.1725</v>
      </c>
    </row>
    <row r="27" customFormat="false" ht="15" hidden="false" customHeight="false" outlineLevel="0" collapsed="false">
      <c r="A27" s="7" t="s">
        <v>352</v>
      </c>
      <c r="D27" s="36" t="n">
        <v>-125</v>
      </c>
      <c r="E27" s="36" t="n">
        <v>150</v>
      </c>
      <c r="F27" s="37" t="n">
        <f aca="false">'1 Inputs'!B30-'1 Inputs'!B12*D27/100-'1 Inputs'!B13*E27/100+'1 Inputs'!B14*(D27+E27)^2/2000000</f>
        <v>6.02125</v>
      </c>
    </row>
  </sheetData>
  <conditionalFormatting sqref="B5:N17">
    <cfRule type="colorScale" priority="2">
      <colorScale>
        <cfvo type="num" val="-6"/>
        <cfvo type="num" val="0"/>
        <cfvo type="num" val="12"/>
        <color rgb="FFF4B7B7"/>
        <color rgb="FFFFFFFF"/>
        <color rgb="FFBFE3C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5"/>
    <col collapsed="false" customWidth="true" hidden="false" outlineLevel="0" max="4" min="3" style="1" width="17"/>
    <col collapsed="false" customWidth="true" hidden="false" outlineLevel="0" max="5" min="5" style="1" width="14"/>
    <col collapsed="false" customWidth="true" hidden="false" outlineLevel="0" max="6" min="6" style="1" width="18"/>
  </cols>
  <sheetData>
    <row r="1" customFormat="false" ht="16.15" hidden="false" customHeight="false" outlineLevel="0" collapsed="false">
      <c r="A1" s="2" t="s">
        <v>353</v>
      </c>
    </row>
    <row r="2" customFormat="false" ht="15" hidden="false" customHeight="false" outlineLevel="0" collapsed="false">
      <c r="A2" s="3" t="s">
        <v>354</v>
      </c>
    </row>
    <row r="4" customFormat="false" ht="22.35" hidden="false" customHeight="false" outlineLevel="0" collapsed="false">
      <c r="A4" s="15" t="s">
        <v>188</v>
      </c>
      <c r="B4" s="15" t="s">
        <v>355</v>
      </c>
      <c r="C4" s="15" t="s">
        <v>356</v>
      </c>
      <c r="D4" s="15" t="s">
        <v>357</v>
      </c>
      <c r="E4" s="15" t="s">
        <v>358</v>
      </c>
      <c r="F4" s="15" t="s">
        <v>359</v>
      </c>
    </row>
    <row r="5" customFormat="false" ht="15" hidden="false" customHeight="false" outlineLevel="0" collapsed="false">
      <c r="A5" s="26" t="s">
        <v>194</v>
      </c>
      <c r="B5" s="18" t="n">
        <f aca="false">('1 Inputs'!B27+'1 Inputs'!B28)*A5/12+'1 Inputs'!B12*'1 Inputs'!B29/100*A5/12</f>
        <v>0.635625</v>
      </c>
      <c r="C5" s="27" t="n">
        <f aca="false">B5/'1 Inputs'!B13*100</f>
        <v>9.77884615384615</v>
      </c>
      <c r="D5" s="27" t="n">
        <f aca="false">('1 Inputs'!B13-SQRT('1 Inputs'!B13^2-2*'1 Inputs'!B14*B5/100))/'1 Inputs'!B14*10000</f>
        <v>9.82338409620069</v>
      </c>
      <c r="E5" s="27" t="n">
        <f aca="false">D5-C5</f>
        <v>0.044537942354534</v>
      </c>
      <c r="F5" s="27" t="n">
        <f aca="false">'1 Inputs'!B5+D5</f>
        <v>229.823384096201</v>
      </c>
    </row>
    <row r="6" customFormat="false" ht="15" hidden="false" customHeight="false" outlineLevel="0" collapsed="false">
      <c r="A6" s="26" t="s">
        <v>195</v>
      </c>
      <c r="B6" s="18" t="n">
        <f aca="false">('1 Inputs'!B27+'1 Inputs'!B28)*A6/12+'1 Inputs'!B12*'1 Inputs'!B29/100*A6/12</f>
        <v>1.27125</v>
      </c>
      <c r="C6" s="27" t="n">
        <f aca="false">B6/'1 Inputs'!B13*100</f>
        <v>19.5576923076923</v>
      </c>
      <c r="D6" s="27" t="n">
        <f aca="false">('1 Inputs'!B13-SQRT('1 Inputs'!B13^2-2*'1 Inputs'!B14*B6/100))/'1 Inputs'!B14*10000</f>
        <v>19.7374932177793</v>
      </c>
      <c r="E6" s="27" t="n">
        <f aca="false">D6-C6</f>
        <v>0.179800910087021</v>
      </c>
      <c r="F6" s="27" t="n">
        <f aca="false">'1 Inputs'!B5+D6</f>
        <v>239.737493217779</v>
      </c>
    </row>
    <row r="7" customFormat="false" ht="15" hidden="false" customHeight="false" outlineLevel="0" collapsed="false">
      <c r="A7" s="26" t="s">
        <v>196</v>
      </c>
      <c r="B7" s="18" t="n">
        <f aca="false">('1 Inputs'!B27+'1 Inputs'!B28)*A7/12+'1 Inputs'!B12*'1 Inputs'!B29/100*A7/12</f>
        <v>1.906875</v>
      </c>
      <c r="C7" s="27" t="n">
        <f aca="false">B7/'1 Inputs'!B13*100</f>
        <v>29.3365384615385</v>
      </c>
      <c r="D7" s="27" t="n">
        <f aca="false">('1 Inputs'!B13-SQRT('1 Inputs'!B13^2-2*'1 Inputs'!B14*B7/100))/'1 Inputs'!B14*10000</f>
        <v>29.7448884882357</v>
      </c>
      <c r="E7" s="27" t="n">
        <f aca="false">D7-C7</f>
        <v>0.408350026697256</v>
      </c>
      <c r="F7" s="27" t="n">
        <f aca="false">'1 Inputs'!B5+D7</f>
        <v>249.744888488236</v>
      </c>
    </row>
    <row r="8" customFormat="false" ht="15" hidden="false" customHeight="false" outlineLevel="0" collapsed="false">
      <c r="A8" s="26" t="s">
        <v>360</v>
      </c>
      <c r="B8" s="18" t="n">
        <f aca="false">('1 Inputs'!B27+'1 Inputs'!B28)*A8/12+'1 Inputs'!B12*'1 Inputs'!B29/100*A8/12</f>
        <v>2.5425</v>
      </c>
      <c r="C8" s="27" t="n">
        <f aca="false">B8/'1 Inputs'!B13*100</f>
        <v>39.1153846153846</v>
      </c>
      <c r="D8" s="27" t="n">
        <f aca="false">('1 Inputs'!B13-SQRT('1 Inputs'!B13^2-2*'1 Inputs'!B14*B8/100))/'1 Inputs'!B14*10000</f>
        <v>39.8482538467548</v>
      </c>
      <c r="E8" s="27" t="n">
        <f aca="false">D8-C8</f>
        <v>0.732869231370216</v>
      </c>
      <c r="F8" s="27" t="n">
        <f aca="false">'1 Inputs'!B5+D8</f>
        <v>259.848253846755</v>
      </c>
    </row>
    <row r="9" customFormat="false" ht="15" hidden="false" customHeight="false" outlineLevel="0" collapsed="false">
      <c r="A9" s="26" t="s">
        <v>361</v>
      </c>
      <c r="B9" s="18" t="n">
        <f aca="false">('1 Inputs'!B27+'1 Inputs'!B28)*A9/12+'1 Inputs'!B12*'1 Inputs'!B29/100*A9/12</f>
        <v>3.178125</v>
      </c>
      <c r="C9" s="27" t="n">
        <f aca="false">B9/'1 Inputs'!B13*100</f>
        <v>48.8942307692308</v>
      </c>
      <c r="D9" s="27" t="n">
        <f aca="false">('1 Inputs'!B13-SQRT('1 Inputs'!B13^2-2*'1 Inputs'!B14*B9/100))/'1 Inputs'!B14*10000</f>
        <v>50.0504044551334</v>
      </c>
      <c r="E9" s="27" t="n">
        <f aca="false">D9-C9</f>
        <v>1.15617368590262</v>
      </c>
      <c r="F9" s="27" t="n">
        <f aca="false">'1 Inputs'!B5+D9</f>
        <v>270.050404455133</v>
      </c>
    </row>
    <row r="10" customFormat="false" ht="15" hidden="false" customHeight="false" outlineLevel="0" collapsed="false">
      <c r="A10" s="26" t="s">
        <v>197</v>
      </c>
      <c r="B10" s="18" t="n">
        <f aca="false">('1 Inputs'!B27+'1 Inputs'!B28)*A10/12+'1 Inputs'!B12*'1 Inputs'!B29/100*A10/12</f>
        <v>3.81375</v>
      </c>
      <c r="C10" s="27" t="n">
        <f aca="false">B10/'1 Inputs'!B13*100</f>
        <v>58.6730769230769</v>
      </c>
      <c r="D10" s="27" t="n">
        <f aca="false">('1 Inputs'!B13-SQRT('1 Inputs'!B13^2-2*'1 Inputs'!B14*B10/100))/'1 Inputs'!B14*10000</f>
        <v>60.3542958593922</v>
      </c>
      <c r="E10" s="27" t="n">
        <f aca="false">D10-C10</f>
        <v>1.68121893631527</v>
      </c>
      <c r="F10" s="27" t="n">
        <f aca="false">'1 Inputs'!B5+D10</f>
        <v>280.354295859392</v>
      </c>
    </row>
    <row r="11" customFormat="false" ht="15" hidden="false" customHeight="false" outlineLevel="0" collapsed="false">
      <c r="A11" s="26" t="s">
        <v>362</v>
      </c>
      <c r="B11" s="18" t="n">
        <f aca="false">('1 Inputs'!B27+'1 Inputs'!B28)*A11/12+'1 Inputs'!B12*'1 Inputs'!B29/100*A11/12</f>
        <v>4.449375</v>
      </c>
      <c r="C11" s="27" t="n">
        <f aca="false">B11/'1 Inputs'!B13*100</f>
        <v>68.4519230769231</v>
      </c>
      <c r="D11" s="27" t="n">
        <f aca="false">('1 Inputs'!B13-SQRT('1 Inputs'!B13^2-2*'1 Inputs'!B14*B11/100))/'1 Inputs'!B14*10000</f>
        <v>70.7630339905612</v>
      </c>
      <c r="E11" s="27" t="n">
        <f aca="false">D11-C11</f>
        <v>2.31111091363817</v>
      </c>
      <c r="F11" s="27" t="n">
        <f aca="false">'1 Inputs'!B5+D11</f>
        <v>290.763033990561</v>
      </c>
    </row>
    <row r="12" customFormat="false" ht="15" hidden="false" customHeight="false" outlineLevel="0" collapsed="false">
      <c r="A12" s="26" t="s">
        <v>363</v>
      </c>
      <c r="B12" s="18" t="n">
        <f aca="false">('1 Inputs'!B27+'1 Inputs'!B28)*A12/12+'1 Inputs'!B12*'1 Inputs'!B29/100*A12/12</f>
        <v>5.085</v>
      </c>
      <c r="C12" s="27" t="n">
        <f aca="false">B12/'1 Inputs'!B13*100</f>
        <v>78.2307692307692</v>
      </c>
      <c r="D12" s="27" t="n">
        <f aca="false">('1 Inputs'!B13-SQRT('1 Inputs'!B13^2-2*'1 Inputs'!B14*B12/100))/'1 Inputs'!B14*10000</f>
        <v>81.2798861005468</v>
      </c>
      <c r="E12" s="27" t="n">
        <f aca="false">D12-C12</f>
        <v>3.04911686977752</v>
      </c>
      <c r="F12" s="27" t="n">
        <f aca="false">'1 Inputs'!B5+D12</f>
        <v>301.279886100547</v>
      </c>
    </row>
    <row r="13" customFormat="false" ht="15" hidden="false" customHeight="false" outlineLevel="0" collapsed="false">
      <c r="A13" s="26" t="s">
        <v>198</v>
      </c>
      <c r="B13" s="18" t="n">
        <f aca="false">('1 Inputs'!B27+'1 Inputs'!B28)*A13/12+'1 Inputs'!B12*'1 Inputs'!B29/100*A13/12</f>
        <v>5.720625</v>
      </c>
      <c r="C13" s="27" t="n">
        <f aca="false">B13/'1 Inputs'!B13*100</f>
        <v>88.0096153846154</v>
      </c>
      <c r="D13" s="27" t="n">
        <f aca="false">('1 Inputs'!B13-SQRT('1 Inputs'!B13^2-2*'1 Inputs'!B14*B13/100))/'1 Inputs'!B14*10000</f>
        <v>91.9082927422097</v>
      </c>
      <c r="E13" s="27" t="n">
        <f aca="false">D13-C13</f>
        <v>3.8986773575943</v>
      </c>
      <c r="F13" s="27" t="n">
        <f aca="false">'1 Inputs'!B5+D13</f>
        <v>311.90829274221</v>
      </c>
    </row>
    <row r="14" customFormat="false" ht="15" hidden="false" customHeight="false" outlineLevel="0" collapsed="false">
      <c r="A14" s="26" t="s">
        <v>364</v>
      </c>
      <c r="B14" s="18" t="n">
        <f aca="false">('1 Inputs'!B27+'1 Inputs'!B28)*A14/12+'1 Inputs'!B12*'1 Inputs'!B29/100*A14/12</f>
        <v>6.35625</v>
      </c>
      <c r="C14" s="27" t="n">
        <f aca="false">B14/'1 Inputs'!B13*100</f>
        <v>97.7884615384616</v>
      </c>
      <c r="D14" s="27" t="n">
        <f aca="false">('1 Inputs'!B13-SQRT('1 Inputs'!B13^2-2*'1 Inputs'!B14*B14/100))/'1 Inputs'!B14*10000</f>
        <v>102.651880918172</v>
      </c>
      <c r="E14" s="27" t="n">
        <f aca="false">D14-C14</f>
        <v>4.86341937971001</v>
      </c>
      <c r="F14" s="27" t="n">
        <f aca="false">'1 Inputs'!B5+D14</f>
        <v>322.651880918172</v>
      </c>
    </row>
    <row r="15" customFormat="false" ht="15" hidden="false" customHeight="false" outlineLevel="0" collapsed="false">
      <c r="A15" s="26" t="s">
        <v>365</v>
      </c>
      <c r="B15" s="18" t="n">
        <f aca="false">('1 Inputs'!B27+'1 Inputs'!B28)*A15/12+'1 Inputs'!B12*'1 Inputs'!B29/100*A15/12</f>
        <v>6.991875</v>
      </c>
      <c r="C15" s="27" t="n">
        <f aca="false">B15/'1 Inputs'!B13*100</f>
        <v>107.567307692308</v>
      </c>
      <c r="D15" s="27" t="n">
        <f aca="false">('1 Inputs'!B13-SQRT('1 Inputs'!B13^2-2*'1 Inputs'!B14*B15/100))/'1 Inputs'!B14*10000</f>
        <v>113.514478540795</v>
      </c>
      <c r="E15" s="27" t="n">
        <f aca="false">D15-C15</f>
        <v>5.94717084848703</v>
      </c>
      <c r="F15" s="27" t="n">
        <f aca="false">'1 Inputs'!B5+D15</f>
        <v>333.514478540795</v>
      </c>
    </row>
    <row r="16" customFormat="false" ht="15" hidden="false" customHeight="false" outlineLevel="0" collapsed="false">
      <c r="A16" s="26" t="s">
        <v>199</v>
      </c>
      <c r="B16" s="18" t="n">
        <f aca="false">('1 Inputs'!B27+'1 Inputs'!B28)*A16/12+'1 Inputs'!B12*'1 Inputs'!B29/100*A16/12</f>
        <v>7.6275</v>
      </c>
      <c r="C16" s="27" t="n">
        <f aca="false">B16/'1 Inputs'!B13*100</f>
        <v>117.346153846154</v>
      </c>
      <c r="D16" s="27" t="n">
        <f aca="false">('1 Inputs'!B13-SQRT('1 Inputs'!B13^2-2*'1 Inputs'!B14*B16/100))/'1 Inputs'!B14*10000</f>
        <v>124.500130366774</v>
      </c>
      <c r="E16" s="27" t="n">
        <f aca="false">D16-C16</f>
        <v>7.15397652062011</v>
      </c>
      <c r="F16" s="27" t="n">
        <f aca="false">'1 Inputs'!B5+D16</f>
        <v>344.500130366774</v>
      </c>
    </row>
    <row r="17" customFormat="false" ht="15" hidden="false" customHeight="false" outlineLevel="0" collapsed="false">
      <c r="A17" s="26" t="s">
        <v>366</v>
      </c>
      <c r="B17" s="18" t="n">
        <f aca="false">('1 Inputs'!B27+'1 Inputs'!B28)*A17/12+'1 Inputs'!B12*'1 Inputs'!B29/100*A17/12</f>
        <v>8.263125</v>
      </c>
      <c r="C17" s="27" t="n">
        <f aca="false">B17/'1 Inputs'!B13*100</f>
        <v>127.125</v>
      </c>
      <c r="D17" s="27" t="n">
        <f aca="false">('1 Inputs'!B13-SQRT('1 Inputs'!B13^2-2*'1 Inputs'!B14*B17/100))/'1 Inputs'!B14*10000</f>
        <v>135.613115594411</v>
      </c>
      <c r="E17" s="27" t="n">
        <f aca="false">D17-C17</f>
        <v>8.48811559441069</v>
      </c>
      <c r="F17" s="27" t="n">
        <f aca="false">'1 Inputs'!B5+D17</f>
        <v>355.613115594411</v>
      </c>
    </row>
    <row r="18" customFormat="false" ht="15" hidden="false" customHeight="false" outlineLevel="0" collapsed="false">
      <c r="A18" s="26" t="s">
        <v>367</v>
      </c>
      <c r="B18" s="18" t="n">
        <f aca="false">('1 Inputs'!B27+'1 Inputs'!B28)*A18/12+'1 Inputs'!B12*'1 Inputs'!B29/100*A18/12</f>
        <v>8.89875</v>
      </c>
      <c r="C18" s="27" t="n">
        <f aca="false">B18/'1 Inputs'!B13*100</f>
        <v>136.903846153846</v>
      </c>
      <c r="D18" s="27" t="n">
        <f aca="false">('1 Inputs'!B13-SQRT('1 Inputs'!B13^2-2*'1 Inputs'!B14*B18/100))/'1 Inputs'!B14*10000</f>
        <v>146.85796734066</v>
      </c>
      <c r="E18" s="27" t="n">
        <f aca="false">D18-C18</f>
        <v>9.95412118681412</v>
      </c>
      <c r="F18" s="27" t="n">
        <f aca="false">'1 Inputs'!B5+D18</f>
        <v>366.85796734066</v>
      </c>
    </row>
    <row r="19" customFormat="false" ht="15" hidden="false" customHeight="false" outlineLevel="0" collapsed="false">
      <c r="A19" s="26" t="s">
        <v>368</v>
      </c>
      <c r="B19" s="18" t="n">
        <f aca="false">('1 Inputs'!B27+'1 Inputs'!B28)*A19/12+'1 Inputs'!B12*'1 Inputs'!B29/100*A19/12</f>
        <v>9.534375</v>
      </c>
      <c r="C19" s="27" t="n">
        <f aca="false">B19/'1 Inputs'!B13*100</f>
        <v>146.682692307692</v>
      </c>
      <c r="D19" s="27" t="n">
        <f aca="false">('1 Inputs'!B13-SQRT('1 Inputs'!B13^2-2*'1 Inputs'!B14*B19/100))/'1 Inputs'!B14*10000</f>
        <v>158.239494249367</v>
      </c>
      <c r="E19" s="27" t="n">
        <f aca="false">D19-C19</f>
        <v>11.5568019416749</v>
      </c>
      <c r="F19" s="27" t="n">
        <f aca="false">'1 Inputs'!B5+D19</f>
        <v>378.239494249367</v>
      </c>
    </row>
    <row r="20" customFormat="false" ht="15" hidden="false" customHeight="false" outlineLevel="0" collapsed="false">
      <c r="A20" s="26" t="s">
        <v>369</v>
      </c>
      <c r="B20" s="18" t="n">
        <f aca="false">('1 Inputs'!B27+'1 Inputs'!B28)*A20/12+'1 Inputs'!B12*'1 Inputs'!B29/100*A20/12</f>
        <v>10.17</v>
      </c>
      <c r="C20" s="27" t="n">
        <f aca="false">B20/'1 Inputs'!B13*100</f>
        <v>156.461538461538</v>
      </c>
      <c r="D20" s="27" t="n">
        <f aca="false">('1 Inputs'!B13-SQRT('1 Inputs'!B13^2-2*'1 Inputs'!B14*B20/100))/'1 Inputs'!B14*10000</f>
        <v>169.762804522825</v>
      </c>
      <c r="E20" s="27" t="n">
        <f aca="false">D20-C20</f>
        <v>13.3012660612869</v>
      </c>
      <c r="F20" s="27" t="n">
        <f aca="false">'1 Inputs'!B5+D20</f>
        <v>389.762804522825</v>
      </c>
    </row>
    <row r="21" customFormat="false" ht="15" hidden="false" customHeight="false" outlineLevel="0" collapsed="false">
      <c r="A21" s="26" t="s">
        <v>370</v>
      </c>
      <c r="B21" s="18" t="n">
        <f aca="false">('1 Inputs'!B27+'1 Inputs'!B28)*A21/12+'1 Inputs'!B12*'1 Inputs'!B29/100*A21/12</f>
        <v>10.805625</v>
      </c>
      <c r="C21" s="27" t="n">
        <f aca="false">B21/'1 Inputs'!B13*100</f>
        <v>166.240384615385</v>
      </c>
      <c r="D21" s="27" t="n">
        <f aca="false">('1 Inputs'!B13-SQRT('1 Inputs'!B13^2-2*'1 Inputs'!B14*B21/100))/'1 Inputs'!B14*10000</f>
        <v>181.43333271735</v>
      </c>
      <c r="E21" s="27" t="n">
        <f aca="false">D21-C21</f>
        <v>15.1929481019651</v>
      </c>
      <c r="F21" s="27" t="n">
        <f aca="false">'1 Inputs'!B5+D21</f>
        <v>401.43333271735</v>
      </c>
    </row>
    <row r="22" customFormat="false" ht="15" hidden="false" customHeight="false" outlineLevel="0" collapsed="false">
      <c r="A22" s="26" t="s">
        <v>200</v>
      </c>
      <c r="B22" s="18" t="n">
        <f aca="false">('1 Inputs'!B27+'1 Inputs'!B28)*A22/12+'1 Inputs'!B12*'1 Inputs'!B29/100*A22/12</f>
        <v>11.44125</v>
      </c>
      <c r="C22" s="27" t="n">
        <f aca="false">B22/'1 Inputs'!B13*100</f>
        <v>176.019230769231</v>
      </c>
      <c r="D22" s="27" t="n">
        <f aca="false">('1 Inputs'!B13-SQRT('1 Inputs'!B13^2-2*'1 Inputs'!B14*B22/100))/'1 Inputs'!B14*10000</f>
        <v>193.256869701634</v>
      </c>
      <c r="E22" s="27" t="n">
        <f aca="false">D22-C22</f>
        <v>17.2376389324037</v>
      </c>
      <c r="F22" s="27" t="n">
        <f aca="false">'1 Inputs'!B5+D22</f>
        <v>413.256869701634</v>
      </c>
    </row>
    <row r="23" customFormat="false" ht="15" hidden="false" customHeight="false" outlineLevel="0" collapsed="false">
      <c r="A23" s="26" t="s">
        <v>371</v>
      </c>
      <c r="B23" s="18" t="n">
        <f aca="false">('1 Inputs'!B27+'1 Inputs'!B28)*A23/12+'1 Inputs'!B12*'1 Inputs'!B29/100*A23/12</f>
        <v>12.076875</v>
      </c>
      <c r="C23" s="27" t="n">
        <f aca="false">B23/'1 Inputs'!B13*100</f>
        <v>185.798076923077</v>
      </c>
      <c r="D23" s="27" t="n">
        <f aca="false">('1 Inputs'!B13-SQRT('1 Inputs'!B13^2-2*'1 Inputs'!B14*B23/100))/'1 Inputs'!B14*10000</f>
        <v>205.239596246506</v>
      </c>
      <c r="E23" s="27" t="n">
        <f aca="false">D23-C23</f>
        <v>19.4415193234286</v>
      </c>
      <c r="F23" s="27" t="n">
        <f aca="false">'1 Inputs'!B5+D23</f>
        <v>425.239596246506</v>
      </c>
    </row>
    <row r="24" customFormat="false" ht="15" hidden="false" customHeight="false" outlineLevel="0" collapsed="false">
      <c r="A24" s="26" t="s">
        <v>372</v>
      </c>
      <c r="B24" s="18" t="n">
        <f aca="false">('1 Inputs'!B27+'1 Inputs'!B28)*A24/12+'1 Inputs'!B12*'1 Inputs'!B29/100*A24/12</f>
        <v>12.7125</v>
      </c>
      <c r="C24" s="27" t="n">
        <f aca="false">B24/'1 Inputs'!B13*100</f>
        <v>195.576923076923</v>
      </c>
      <c r="D24" s="27" t="n">
        <f aca="false">('1 Inputs'!B13-SQRT('1 Inputs'!B13^2-2*'1 Inputs'!B14*B24/100))/'1 Inputs'!B14*10000</f>
        <v>217.388120799012</v>
      </c>
      <c r="E24" s="27" t="n">
        <f aca="false">D24-C24</f>
        <v>21.8111977220889</v>
      </c>
      <c r="F24" s="27" t="n">
        <f aca="false">'1 Inputs'!B5+D24</f>
        <v>437.388120799012</v>
      </c>
    </row>
    <row r="25" customFormat="false" ht="15" hidden="false" customHeight="false" outlineLevel="0" collapsed="false">
      <c r="A25" s="26" t="s">
        <v>373</v>
      </c>
      <c r="B25" s="18" t="n">
        <f aca="false">('1 Inputs'!B27+'1 Inputs'!B28)*A25/12+'1 Inputs'!B12*'1 Inputs'!B29/100*A25/12</f>
        <v>13.348125</v>
      </c>
      <c r="C25" s="27" t="n">
        <f aca="false">B25/'1 Inputs'!B13*100</f>
        <v>205.355769230769</v>
      </c>
      <c r="D25" s="27" t="n">
        <f aca="false">('1 Inputs'!B13-SQRT('1 Inputs'!B13^2-2*'1 Inputs'!B14*B25/100))/'1 Inputs'!B14*10000</f>
        <v>229.70952209614</v>
      </c>
      <c r="E25" s="27" t="n">
        <f aca="false">D25-C25</f>
        <v>24.353752865371</v>
      </c>
      <c r="F25" s="27" t="n">
        <f aca="false">'1 Inputs'!B5+D25</f>
        <v>449.70952209614</v>
      </c>
    </row>
    <row r="26" customFormat="false" ht="15" hidden="false" customHeight="false" outlineLevel="0" collapsed="false">
      <c r="A26" s="26" t="s">
        <v>374</v>
      </c>
      <c r="B26" s="18" t="n">
        <f aca="false">('1 Inputs'!B27+'1 Inputs'!B28)*A26/12+'1 Inputs'!B12*'1 Inputs'!B29/100*A26/12</f>
        <v>13.98375</v>
      </c>
      <c r="C26" s="27" t="n">
        <f aca="false">B26/'1 Inputs'!B13*100</f>
        <v>215.134615384615</v>
      </c>
      <c r="D26" s="27" t="n">
        <f aca="false">('1 Inputs'!B13-SQRT('1 Inputs'!B13^2-2*'1 Inputs'!B14*B26/100))/'1 Inputs'!B14*10000</f>
        <v>242.211397398293</v>
      </c>
      <c r="E26" s="27" t="n">
        <f aca="false">D26-C26</f>
        <v>27.0767820136771</v>
      </c>
      <c r="F26" s="27" t="n">
        <f aca="false">'1 Inputs'!B5+D26</f>
        <v>462.211397398293</v>
      </c>
    </row>
    <row r="27" customFormat="false" ht="15" hidden="false" customHeight="false" outlineLevel="0" collapsed="false">
      <c r="A27" s="26" t="s">
        <v>375</v>
      </c>
      <c r="B27" s="18" t="n">
        <f aca="false">('1 Inputs'!B27+'1 Inputs'!B28)*A27/12+'1 Inputs'!B12*'1 Inputs'!B29/100*A27/12</f>
        <v>14.619375</v>
      </c>
      <c r="C27" s="27" t="n">
        <f aca="false">B27/'1 Inputs'!B13*100</f>
        <v>224.913461538462</v>
      </c>
      <c r="D27" s="27" t="n">
        <f aca="false">('1 Inputs'!B13-SQRT('1 Inputs'!B13^2-2*'1 Inputs'!B14*B27/100))/'1 Inputs'!B14*10000</f>
        <v>254.901917275787</v>
      </c>
      <c r="E27" s="27" t="n">
        <f aca="false">D27-C27</f>
        <v>29.9884557373256</v>
      </c>
      <c r="F27" s="27" t="n">
        <f aca="false">'1 Inputs'!B5+D27</f>
        <v>474.901917275787</v>
      </c>
    </row>
    <row r="28" customFormat="false" ht="15" hidden="false" customHeight="false" outlineLevel="0" collapsed="false">
      <c r="A28" s="26" t="s">
        <v>201</v>
      </c>
      <c r="B28" s="18" t="n">
        <f aca="false">('1 Inputs'!B27+'1 Inputs'!B28)*A28/12+'1 Inputs'!B12*'1 Inputs'!B29/100*A28/12</f>
        <v>15.255</v>
      </c>
      <c r="C28" s="27" t="n">
        <f aca="false">B28/'1 Inputs'!B13*100</f>
        <v>234.692307692308</v>
      </c>
      <c r="D28" s="27" t="n">
        <f aca="false">('1 Inputs'!B13-SQRT('1 Inputs'!B13^2-2*'1 Inputs'!B14*B28/100))/'1 Inputs'!B14*10000</f>
        <v>267.789888070537</v>
      </c>
      <c r="E28" s="27" t="n">
        <f aca="false">D28-C28</f>
        <v>33.0975803782296</v>
      </c>
      <c r="F28" s="27" t="n">
        <f aca="false">'1 Inputs'!B5+D28</f>
        <v>487.789888070537</v>
      </c>
    </row>
    <row r="29" customFormat="false" ht="15" hidden="false" customHeight="false" outlineLevel="0" collapsed="false">
      <c r="A29" s="26" t="s">
        <v>376</v>
      </c>
      <c r="B29" s="18" t="n">
        <f aca="false">('1 Inputs'!B27+'1 Inputs'!B28)*A29/12+'1 Inputs'!B12*'1 Inputs'!B29/100*A29/12</f>
        <v>15.890625</v>
      </c>
      <c r="C29" s="27" t="n">
        <f aca="false">B29/'1 Inputs'!B13*100</f>
        <v>244.471153846154</v>
      </c>
      <c r="D29" s="27" t="n">
        <f aca="false">('1 Inputs'!B13-SQRT('1 Inputs'!B13^2-2*'1 Inputs'!B14*B29/100))/'1 Inputs'!B14*10000</f>
        <v>280.88482338948</v>
      </c>
      <c r="E29" s="27" t="n">
        <f aca="false">D29-C29</f>
        <v>36.4136695433258</v>
      </c>
      <c r="F29" s="27" t="n">
        <f aca="false">'1 Inputs'!B5+D29</f>
        <v>500.88482338948</v>
      </c>
    </row>
    <row r="30" customFormat="false" ht="15" hidden="false" customHeight="false" outlineLevel="0" collapsed="false">
      <c r="A30" s="26" t="s">
        <v>377</v>
      </c>
      <c r="B30" s="18" t="n">
        <f aca="false">('1 Inputs'!B27+'1 Inputs'!B28)*A30/12+'1 Inputs'!B12*'1 Inputs'!B29/100*A30/12</f>
        <v>16.52625</v>
      </c>
      <c r="C30" s="27" t="n">
        <f aca="false">B30/'1 Inputs'!B13*100</f>
        <v>254.25</v>
      </c>
      <c r="D30" s="27" t="n">
        <f aca="false">('1 Inputs'!B13-SQRT('1 Inputs'!B13^2-2*'1 Inputs'!B14*B30/100))/'1 Inputs'!B14*10000</f>
        <v>294.197026279152</v>
      </c>
      <c r="E30" s="27" t="n">
        <f aca="false">D30-C30</f>
        <v>39.9470262791521</v>
      </c>
      <c r="F30" s="27" t="n">
        <f aca="false">'1 Inputs'!B5+D30</f>
        <v>514.197026279152</v>
      </c>
    </row>
    <row r="31" customFormat="false" ht="15" hidden="false" customHeight="false" outlineLevel="0" collapsed="false">
      <c r="A31" s="26" t="s">
        <v>378</v>
      </c>
      <c r="B31" s="18" t="n">
        <f aca="false">('1 Inputs'!B27+'1 Inputs'!B28)*A31/12+'1 Inputs'!B12*'1 Inputs'!B29/100*A31/12</f>
        <v>17.161875</v>
      </c>
      <c r="C31" s="27" t="n">
        <f aca="false">B31/'1 Inputs'!B13*100</f>
        <v>264.028846153846</v>
      </c>
      <c r="D31" s="27" t="n">
        <f aca="false">('1 Inputs'!B13-SQRT('1 Inputs'!B13^2-2*'1 Inputs'!B14*B31/100))/'1 Inputs'!B14*10000</f>
        <v>307.737684099075</v>
      </c>
      <c r="E31" s="27" t="n">
        <f aca="false">D31-C31</f>
        <v>43.7088379452285</v>
      </c>
      <c r="F31" s="27" t="n">
        <f aca="false">'1 Inputs'!B5+D31</f>
        <v>527.737684099075</v>
      </c>
    </row>
    <row r="32" customFormat="false" ht="15" hidden="false" customHeight="false" outlineLevel="0" collapsed="false">
      <c r="A32" s="26" t="s">
        <v>379</v>
      </c>
      <c r="B32" s="18" t="n">
        <f aca="false">('1 Inputs'!B27+'1 Inputs'!B28)*A32/12+'1 Inputs'!B12*'1 Inputs'!B29/100*A32/12</f>
        <v>17.7975</v>
      </c>
      <c r="C32" s="27" t="n">
        <f aca="false">B32/'1 Inputs'!B13*100</f>
        <v>273.807692307692</v>
      </c>
      <c r="D32" s="27" t="n">
        <f aca="false">('1 Inputs'!B13-SQRT('1 Inputs'!B13^2-2*'1 Inputs'!B14*B32/100))/'1 Inputs'!B14*10000</f>
        <v>321.518978578114</v>
      </c>
      <c r="E32" s="27" t="n">
        <f aca="false">D32-C32</f>
        <v>47.7112862704217</v>
      </c>
      <c r="F32" s="27" t="n">
        <f aca="false">'1 Inputs'!B5+D32</f>
        <v>541.518978578114</v>
      </c>
    </row>
    <row r="33" customFormat="false" ht="15" hidden="false" customHeight="false" outlineLevel="0" collapsed="false">
      <c r="A33" s="26" t="s">
        <v>380</v>
      </c>
      <c r="B33" s="18" t="n">
        <f aca="false">('1 Inputs'!B27+'1 Inputs'!B28)*A33/12+'1 Inputs'!B12*'1 Inputs'!B29/100*A33/12</f>
        <v>18.433125</v>
      </c>
      <c r="C33" s="27" t="n">
        <f aca="false">B33/'1 Inputs'!B13*100</f>
        <v>283.586538461538</v>
      </c>
      <c r="D33" s="27" t="n">
        <f aca="false">('1 Inputs'!B13-SQRT('1 Inputs'!B13^2-2*'1 Inputs'!B14*B33/100))/'1 Inputs'!B14*10000</f>
        <v>335.554214133612</v>
      </c>
      <c r="E33" s="27" t="n">
        <f aca="false">D33-C33</f>
        <v>51.9676756720735</v>
      </c>
      <c r="F33" s="27" t="n">
        <f aca="false">'1 Inputs'!B5+D33</f>
        <v>555.554214133612</v>
      </c>
    </row>
    <row r="34" customFormat="false" ht="15" hidden="false" customHeight="false" outlineLevel="0" collapsed="false">
      <c r="A34" s="26" t="s">
        <v>381</v>
      </c>
      <c r="B34" s="18" t="n">
        <f aca="false">('1 Inputs'!B27+'1 Inputs'!B28)*A34/12+'1 Inputs'!B12*'1 Inputs'!B29/100*A34/12</f>
        <v>19.06875</v>
      </c>
      <c r="C34" s="27" t="n">
        <f aca="false">B34/'1 Inputs'!B13*100</f>
        <v>293.365384615385</v>
      </c>
      <c r="D34" s="27" t="n">
        <f aca="false">('1 Inputs'!B13-SQRT('1 Inputs'!B13^2-2*'1 Inputs'!B14*B34/100))/'1 Inputs'!B14*10000</f>
        <v>349.857968299775</v>
      </c>
      <c r="E34" s="27" t="n">
        <f aca="false">D34-C34</f>
        <v>56.4925836843908</v>
      </c>
      <c r="F34" s="27" t="n">
        <f aca="false">'1 Inputs'!B5+D34</f>
        <v>569.857968299775</v>
      </c>
    </row>
    <row r="35" customFormat="false" ht="15" hidden="false" customHeight="false" outlineLevel="0" collapsed="false">
      <c r="A35" s="26" t="s">
        <v>382</v>
      </c>
      <c r="B35" s="18" t="n">
        <f aca="false">('1 Inputs'!B27+'1 Inputs'!B28)*A35/12+'1 Inputs'!B12*'1 Inputs'!B29/100*A35/12</f>
        <v>19.704375</v>
      </c>
      <c r="C35" s="27" t="n">
        <f aca="false">B35/'1 Inputs'!B13*100</f>
        <v>303.144230769231</v>
      </c>
      <c r="D35" s="27" t="n">
        <f aca="false">('1 Inputs'!B13-SQRT('1 Inputs'!B13^2-2*'1 Inputs'!B14*B35/100))/'1 Inputs'!B14*10000</f>
        <v>364.446269107588</v>
      </c>
      <c r="E35" s="27" t="n">
        <f aca="false">D35-C35</f>
        <v>61.3020383383571</v>
      </c>
      <c r="F35" s="27" t="n">
        <f aca="false">'1 Inputs'!B5+D35</f>
        <v>584.446269107588</v>
      </c>
    </row>
    <row r="36" customFormat="false" ht="15" hidden="false" customHeight="false" outlineLevel="0" collapsed="false">
      <c r="A36" s="26" t="s">
        <v>383</v>
      </c>
      <c r="B36" s="18" t="n">
        <f aca="false">('1 Inputs'!B27+'1 Inputs'!B28)*A36/12+'1 Inputs'!B12*'1 Inputs'!B29/100*A36/12</f>
        <v>20.34</v>
      </c>
      <c r="C36" s="27" t="n">
        <f aca="false">B36/'1 Inputs'!B13*100</f>
        <v>312.923076923077</v>
      </c>
      <c r="D36" s="27" t="n">
        <f aca="false">('1 Inputs'!B13-SQRT('1 Inputs'!B13^2-2*'1 Inputs'!B14*B36/100))/'1 Inputs'!B14*10000</f>
        <v>379.336805564118</v>
      </c>
      <c r="E36" s="27" t="n">
        <f aca="false">D36-C36</f>
        <v>66.4137286410415</v>
      </c>
      <c r="F36" s="27" t="n">
        <f aca="false">'1 Inputs'!B5+D36</f>
        <v>599.336805564118</v>
      </c>
    </row>
    <row r="37" customFormat="false" ht="15" hidden="false" customHeight="false" outlineLevel="0" collapsed="false">
      <c r="A37" s="26" t="s">
        <v>384</v>
      </c>
      <c r="B37" s="18" t="n">
        <f aca="false">('1 Inputs'!B27+'1 Inputs'!B28)*A37/12+'1 Inputs'!B12*'1 Inputs'!B29/100*A37/12</f>
        <v>20.975625</v>
      </c>
      <c r="C37" s="27" t="n">
        <f aca="false">B37/'1 Inputs'!B13*100</f>
        <v>322.701923076923</v>
      </c>
      <c r="D37" s="27" t="n">
        <f aca="false">('1 Inputs'!B13-SQRT('1 Inputs'!B13^2-2*'1 Inputs'!B14*B37/100))/'1 Inputs'!B14*10000</f>
        <v>394.549179108578</v>
      </c>
      <c r="E37" s="27" t="n">
        <f aca="false">D37-C37</f>
        <v>71.8472560316553</v>
      </c>
      <c r="F37" s="27" t="n">
        <f aca="false">'1 Inputs'!B5+D37</f>
        <v>614.549179108578</v>
      </c>
    </row>
    <row r="38" customFormat="false" ht="15" hidden="false" customHeight="false" outlineLevel="0" collapsed="false">
      <c r="A38" s="26" t="s">
        <v>385</v>
      </c>
      <c r="B38" s="18" t="n">
        <f aca="false">('1 Inputs'!B27+'1 Inputs'!B28)*A38/12+'1 Inputs'!B12*'1 Inputs'!B29/100*A38/12</f>
        <v>21.61125</v>
      </c>
      <c r="C38" s="27" t="n">
        <f aca="false">B38/'1 Inputs'!B13*100</f>
        <v>332.480769230769</v>
      </c>
      <c r="D38" s="27" t="n">
        <f aca="false">('1 Inputs'!B13-SQRT('1 Inputs'!B13^2-2*'1 Inputs'!B14*B38/100))/'1 Inputs'!B14*10000</f>
        <v>410.105206238876</v>
      </c>
      <c r="E38" s="27" t="n">
        <f aca="false">D38-C38</f>
        <v>77.6244370081066</v>
      </c>
      <c r="F38" s="27" t="n">
        <f aca="false">'1 Inputs'!B5+D38</f>
        <v>630.105206238876</v>
      </c>
    </row>
    <row r="39" customFormat="false" ht="15" hidden="false" customHeight="false" outlineLevel="0" collapsed="false">
      <c r="A39" s="26" t="s">
        <v>386</v>
      </c>
      <c r="B39" s="18" t="n">
        <f aca="false">('1 Inputs'!B27+'1 Inputs'!B28)*A39/12+'1 Inputs'!B12*'1 Inputs'!B29/100*A39/12</f>
        <v>22.246875</v>
      </c>
      <c r="C39" s="27" t="n">
        <f aca="false">B39/'1 Inputs'!B13*100</f>
        <v>342.259615384615</v>
      </c>
      <c r="D39" s="27" t="n">
        <f aca="false">('1 Inputs'!B13-SQRT('1 Inputs'!B13^2-2*'1 Inputs'!B14*B39/100))/'1 Inputs'!B14*10000</f>
        <v>426.029285642228</v>
      </c>
      <c r="E39" s="27" t="n">
        <f aca="false">D39-C39</f>
        <v>83.7696702576124</v>
      </c>
      <c r="F39" s="27" t="n">
        <f aca="false">'1 Inputs'!B5+D39</f>
        <v>646.029285642228</v>
      </c>
    </row>
    <row r="40" customFormat="false" ht="15" hidden="false" customHeight="false" outlineLevel="0" collapsed="false">
      <c r="A40" s="26" t="s">
        <v>202</v>
      </c>
      <c r="B40" s="18" t="n">
        <f aca="false">('1 Inputs'!B27+'1 Inputs'!B28)*A40/12+'1 Inputs'!B12*'1 Inputs'!B29/100*A40/12</f>
        <v>22.8825</v>
      </c>
      <c r="C40" s="27" t="n">
        <f aca="false">B40/'1 Inputs'!B13*100</f>
        <v>352.038461538462</v>
      </c>
      <c r="D40" s="27" t="n">
        <f aca="false">('1 Inputs'!B13-SQRT('1 Inputs'!B13^2-2*'1 Inputs'!B14*B40/100))/'1 Inputs'!B14*10000</f>
        <v>442.348847474969</v>
      </c>
      <c r="E40" s="27" t="n">
        <f aca="false">D40-C40</f>
        <v>90.3103859365079</v>
      </c>
      <c r="F40" s="27" t="n">
        <f aca="false">'1 Inputs'!B5+D40</f>
        <v>662.34884747497</v>
      </c>
    </row>
    <row r="42" customFormat="false" ht="15" hidden="false" customHeight="false" outlineLevel="0" collapsed="false">
      <c r="A42" s="9" t="s">
        <v>387</v>
      </c>
      <c r="B42" s="29" t="n">
        <f aca="false">'1 Inputs'!B13*('1 Inputs'!B6-'1 Inputs'!B5)/100/(($B$16)/12)</f>
        <v>3.06784660766962</v>
      </c>
      <c r="C42" s="3" t="s">
        <v>388</v>
      </c>
    </row>
    <row r="43" customFormat="false" ht="15" hidden="false" customHeight="false" outlineLevel="0" collapsed="false">
      <c r="A43" s="11" t="s">
        <v>389</v>
      </c>
    </row>
    <row r="44" customFormat="false" ht="15" hidden="false" customHeight="false" outlineLevel="0" collapsed="false">
      <c r="A44" s="11" t="s">
        <v>390</v>
      </c>
    </row>
    <row r="45" customFormat="false" ht="15" hidden="false" customHeight="false" outlineLevel="0" collapsed="false">
      <c r="A45" s="11" t="s">
        <v>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5"/>
    <col collapsed="false" customWidth="true" hidden="false" outlineLevel="0" max="4" min="4" style="1" width="17"/>
    <col collapsed="false" customWidth="true" hidden="false" outlineLevel="0" max="5" min="5" style="1" width="18"/>
  </cols>
  <sheetData>
    <row r="1" customFormat="false" ht="16.15" hidden="false" customHeight="false" outlineLevel="0" collapsed="false">
      <c r="A1" s="2" t="s">
        <v>392</v>
      </c>
    </row>
    <row r="2" customFormat="false" ht="15" hidden="false" customHeight="false" outlineLevel="0" collapsed="false">
      <c r="A2" s="3" t="s">
        <v>393</v>
      </c>
    </row>
    <row r="4" customFormat="false" ht="15" hidden="false" customHeight="false" outlineLevel="0" collapsed="false">
      <c r="A4" s="4" t="s">
        <v>394</v>
      </c>
    </row>
    <row r="5" customFormat="false" ht="15" hidden="false" customHeight="false" outlineLevel="0" collapsed="false">
      <c r="A5" s="5" t="s">
        <v>395</v>
      </c>
      <c r="B5" s="16" t="n">
        <v>70</v>
      </c>
      <c r="C5" s="11" t="s">
        <v>396</v>
      </c>
    </row>
    <row r="6" customFormat="false" ht="15" hidden="false" customHeight="false" outlineLevel="0" collapsed="false">
      <c r="A6" s="5" t="s">
        <v>397</v>
      </c>
      <c r="B6" s="16" t="n">
        <v>65</v>
      </c>
      <c r="C6" s="11" t="s">
        <v>398</v>
      </c>
    </row>
    <row r="7" customFormat="false" ht="15" hidden="false" customHeight="false" outlineLevel="0" collapsed="false">
      <c r="A7" s="5" t="s">
        <v>399</v>
      </c>
      <c r="B7" s="23" t="n">
        <v>-0.35</v>
      </c>
      <c r="C7" s="11" t="s">
        <v>400</v>
      </c>
    </row>
    <row r="9" customFormat="false" ht="15" hidden="false" customHeight="false" outlineLevel="0" collapsed="false">
      <c r="A9" s="4" t="s">
        <v>401</v>
      </c>
    </row>
    <row r="10" customFormat="false" ht="15" hidden="false" customHeight="false" outlineLevel="0" collapsed="false">
      <c r="A10" s="5" t="s">
        <v>402</v>
      </c>
      <c r="B10" s="28" t="n">
        <f aca="false">SQRT(B5^2+B6^2+2*B7*B5*B6)</f>
        <v>77.0713954719908</v>
      </c>
      <c r="C10" s="11" t="s">
        <v>403</v>
      </c>
    </row>
    <row r="11" customFormat="false" ht="15" hidden="false" customHeight="false" outlineLevel="0" collapsed="false">
      <c r="A11" s="5" t="s">
        <v>404</v>
      </c>
      <c r="B11" s="19" t="n">
        <f aca="false">'1 Inputs'!B12*B10/100</f>
        <v>5.0096407056794</v>
      </c>
    </row>
    <row r="12" customFormat="false" ht="15" hidden="false" customHeight="false" outlineLevel="0" collapsed="false">
      <c r="A12" s="5" t="s">
        <v>405</v>
      </c>
      <c r="B12" s="18" t="n">
        <f aca="false">'1 Inputs'!B12*SQRT(B5^2+B6^2)/100</f>
        <v>6.20911628172641</v>
      </c>
    </row>
    <row r="13" customFormat="false" ht="15" hidden="false" customHeight="false" outlineLevel="0" collapsed="false">
      <c r="A13" s="5" t="s">
        <v>406</v>
      </c>
      <c r="B13" s="22" t="n">
        <f aca="false">B11/B12-1</f>
        <v>-0.193179757250979</v>
      </c>
      <c r="C13" s="11" t="s">
        <v>407</v>
      </c>
    </row>
    <row r="15" customFormat="false" ht="15" hidden="false" customHeight="false" outlineLevel="0" collapsed="false">
      <c r="A15" s="4" t="s">
        <v>408</v>
      </c>
    </row>
    <row r="16" customFormat="false" ht="15" hidden="false" customHeight="false" outlineLevel="0" collapsed="false">
      <c r="A16" s="5" t="s">
        <v>165</v>
      </c>
      <c r="B16" s="12" t="n">
        <f aca="false">'1 Inputs'!B30</f>
        <v>7.6275</v>
      </c>
    </row>
    <row r="17" customFormat="false" ht="15" hidden="false" customHeight="false" outlineLevel="0" collapsed="false">
      <c r="A17" s="5" t="s">
        <v>409</v>
      </c>
      <c r="B17" s="18" t="n">
        <f aca="false">B11*SQRT('1 Inputs'!B22)</f>
        <v>5.0096407056794</v>
      </c>
      <c r="C17" s="11" t="s">
        <v>410</v>
      </c>
    </row>
    <row r="18" customFormat="false" ht="15" hidden="false" customHeight="false" outlineLevel="0" collapsed="false">
      <c r="A18" s="5" t="s">
        <v>411</v>
      </c>
      <c r="B18" s="18" t="n">
        <f aca="false">1.645*B17</f>
        <v>8.24085896084261</v>
      </c>
    </row>
    <row r="19" customFormat="false" ht="15" hidden="false" customHeight="false" outlineLevel="0" collapsed="false">
      <c r="A19" s="5" t="s">
        <v>412</v>
      </c>
      <c r="B19" s="19" t="n">
        <f aca="false">B16-B18</f>
        <v>-0.613358960842612</v>
      </c>
      <c r="C19" s="11" t="s">
        <v>413</v>
      </c>
    </row>
    <row r="20" customFormat="false" ht="15" hidden="false" customHeight="false" outlineLevel="0" collapsed="false">
      <c r="A20" s="5" t="s">
        <v>414</v>
      </c>
      <c r="B20" s="18" t="n">
        <f aca="false">2.326*B17</f>
        <v>11.6524242814103</v>
      </c>
    </row>
    <row r="21" customFormat="false" ht="15" hidden="false" customHeight="false" outlineLevel="0" collapsed="false">
      <c r="A21" s="5" t="s">
        <v>415</v>
      </c>
      <c r="B21" s="19" t="n">
        <f aca="false">B16-B20</f>
        <v>-4.02492428141028</v>
      </c>
    </row>
    <row r="22" customFormat="false" ht="15" hidden="false" customHeight="false" outlineLevel="0" collapsed="false">
      <c r="A22" s="5" t="s">
        <v>416</v>
      </c>
      <c r="B22" s="22" t="n">
        <f aca="false">NORMSDIST(-B16/B17)</f>
        <v>0.0639338758907114</v>
      </c>
    </row>
    <row r="23" customFormat="false" ht="15" hidden="false" customHeight="false" outlineLevel="0" collapsed="false">
      <c r="A23" s="5" t="s">
        <v>417</v>
      </c>
      <c r="B23" s="19" t="n">
        <f aca="false">'1 Inputs'!B30/'1 Inputs'!B22/B11</f>
        <v>1.52256428117744</v>
      </c>
      <c r="C23" s="11" t="s">
        <v>418</v>
      </c>
    </row>
    <row r="25" customFormat="false" ht="15" hidden="false" customHeight="false" outlineLevel="0" collapsed="false">
      <c r="A25" s="4" t="s">
        <v>419</v>
      </c>
    </row>
    <row r="26" customFormat="false" ht="22.35" hidden="false" customHeight="false" outlineLevel="0" collapsed="false">
      <c r="A26" s="15" t="s">
        <v>188</v>
      </c>
      <c r="B26" s="15" t="s">
        <v>355</v>
      </c>
      <c r="C26" s="15" t="s">
        <v>420</v>
      </c>
      <c r="D26" s="15" t="s">
        <v>421</v>
      </c>
      <c r="E26" s="15" t="s">
        <v>422</v>
      </c>
    </row>
    <row r="27" customFormat="false" ht="15" hidden="false" customHeight="false" outlineLevel="0" collapsed="false">
      <c r="A27" s="26" t="s">
        <v>194</v>
      </c>
      <c r="B27" s="18" t="n">
        <f aca="false">('1 Inputs'!B27+'1 Inputs'!B28)*A27/12+'1 Inputs'!B12*'1 Inputs'!B29/100*A27/12</f>
        <v>0.635625</v>
      </c>
      <c r="C27" s="18" t="n">
        <f aca="false">B11*SQRT(A27/12)</f>
        <v>1.44615870498365</v>
      </c>
      <c r="D27" s="21" t="n">
        <f aca="false">NORMSDIST(-B27/C27)</f>
        <v>0.330140060930205</v>
      </c>
      <c r="E27" s="18" t="n">
        <f aca="false">B27-1.645*C27</f>
        <v>-1.74330606969811</v>
      </c>
    </row>
    <row r="28" customFormat="false" ht="15" hidden="false" customHeight="false" outlineLevel="0" collapsed="false">
      <c r="A28" s="26" t="s">
        <v>195</v>
      </c>
      <c r="B28" s="18" t="n">
        <f aca="false">('1 Inputs'!B27+'1 Inputs'!B28)*A28/12+'1 Inputs'!B12*'1 Inputs'!B29/100*A28/12</f>
        <v>1.27125</v>
      </c>
      <c r="C28" s="18" t="n">
        <f aca="false">B11*SQRT(A28/12)</f>
        <v>2.0451772539318</v>
      </c>
      <c r="D28" s="21" t="n">
        <f aca="false">NORMSDIST(-B28/C28)</f>
        <v>0.267107635131845</v>
      </c>
      <c r="E28" s="18" t="n">
        <f aca="false">B28-1.645*C28</f>
        <v>-2.0930665827178</v>
      </c>
    </row>
    <row r="29" customFormat="false" ht="15" hidden="false" customHeight="false" outlineLevel="0" collapsed="false">
      <c r="A29" s="26" t="s">
        <v>196</v>
      </c>
      <c r="B29" s="18" t="n">
        <f aca="false">('1 Inputs'!B27+'1 Inputs'!B28)*A29/12+'1 Inputs'!B12*'1 Inputs'!B29/100*A29/12</f>
        <v>1.906875</v>
      </c>
      <c r="C29" s="18" t="n">
        <f aca="false">B11*SQRT(A29/12)</f>
        <v>2.5048203528397</v>
      </c>
      <c r="D29" s="21" t="n">
        <f aca="false">NORMSDIST(-B29/C29)</f>
        <v>0.223244282738041</v>
      </c>
      <c r="E29" s="18" t="n">
        <f aca="false">B29-1.645*C29</f>
        <v>-2.21355448042131</v>
      </c>
    </row>
    <row r="30" customFormat="false" ht="15" hidden="false" customHeight="false" outlineLevel="0" collapsed="false">
      <c r="A30" s="26" t="s">
        <v>197</v>
      </c>
      <c r="B30" s="18" t="n">
        <f aca="false">('1 Inputs'!B27+'1 Inputs'!B28)*A30/12+'1 Inputs'!B12*'1 Inputs'!B29/100*A30/12</f>
        <v>3.81375</v>
      </c>
      <c r="C30" s="18" t="n">
        <f aca="false">B11*SQRT(A30/12)</f>
        <v>3.54235091429407</v>
      </c>
      <c r="D30" s="21" t="n">
        <f aca="false">NORMSDIST(-B30/C30)</f>
        <v>0.140826032080822</v>
      </c>
      <c r="E30" s="18" t="n">
        <f aca="false">B30-1.645*C30</f>
        <v>-2.01341725401374</v>
      </c>
    </row>
    <row r="31" customFormat="false" ht="15" hidden="false" customHeight="false" outlineLevel="0" collapsed="false">
      <c r="A31" s="26" t="s">
        <v>198</v>
      </c>
      <c r="B31" s="18" t="n">
        <f aca="false">('1 Inputs'!B27+'1 Inputs'!B28)*A31/12+'1 Inputs'!B12*'1 Inputs'!B29/100*A31/12</f>
        <v>5.720625</v>
      </c>
      <c r="C31" s="18" t="n">
        <f aca="false">B11*SQRT(A31/12)</f>
        <v>4.33847611495096</v>
      </c>
      <c r="D31" s="21" t="n">
        <f aca="false">NORMSDIST(-B31/C31)</f>
        <v>0.093654891131285</v>
      </c>
      <c r="E31" s="18" t="n">
        <f aca="false">B31-1.645*C31</f>
        <v>-1.41616820909433</v>
      </c>
    </row>
    <row r="32" customFormat="false" ht="15" hidden="false" customHeight="false" outlineLevel="0" collapsed="false">
      <c r="A32" s="26" t="s">
        <v>199</v>
      </c>
      <c r="B32" s="18" t="n">
        <f aca="false">('1 Inputs'!B27+'1 Inputs'!B28)*A32/12+'1 Inputs'!B12*'1 Inputs'!B29/100*A32/12</f>
        <v>7.6275</v>
      </c>
      <c r="C32" s="18" t="n">
        <f aca="false">B11*SQRT(A32/12)</f>
        <v>5.0096407056794</v>
      </c>
      <c r="D32" s="21" t="n">
        <f aca="false">NORMSDIST(-B32/C32)</f>
        <v>0.0639338758907114</v>
      </c>
      <c r="E32" s="18" t="n">
        <f aca="false">B32-1.645*C32</f>
        <v>-0.613358960842612</v>
      </c>
    </row>
    <row r="33" customFormat="false" ht="15" hidden="false" customHeight="false" outlineLevel="0" collapsed="false">
      <c r="A33" s="26" t="s">
        <v>200</v>
      </c>
      <c r="B33" s="18" t="n">
        <f aca="false">('1 Inputs'!B27+'1 Inputs'!B28)*A33/12+'1 Inputs'!B12*'1 Inputs'!B29/100*A33/12</f>
        <v>11.44125</v>
      </c>
      <c r="C33" s="18" t="n">
        <f aca="false">B11*SQRT(A33/12)</f>
        <v>6.13553176179539</v>
      </c>
      <c r="D33" s="21" t="n">
        <f aca="false">NORMSDIST(-B33/C33)</f>
        <v>0.031108031400764</v>
      </c>
      <c r="E33" s="18" t="n">
        <f aca="false">B33-1.645*C33</f>
        <v>1.34830025184659</v>
      </c>
    </row>
    <row r="34" customFormat="false" ht="15" hidden="false" customHeight="false" outlineLevel="0" collapsed="false">
      <c r="A34" s="26" t="s">
        <v>201</v>
      </c>
      <c r="B34" s="18" t="n">
        <f aca="false">('1 Inputs'!B27+'1 Inputs'!B28)*A34/12+'1 Inputs'!B12*'1 Inputs'!B29/100*A34/12</f>
        <v>15.255</v>
      </c>
      <c r="C34" s="18" t="n">
        <f aca="false">B11*SQRT(A34/12)</f>
        <v>7.08470182858813</v>
      </c>
      <c r="D34" s="21" t="n">
        <f aca="false">NORMSDIST(-B34/C34)</f>
        <v>0.0156502620444059</v>
      </c>
      <c r="E34" s="18" t="n">
        <f aca="false">B34-1.645*C34</f>
        <v>3.60066549197253</v>
      </c>
    </row>
    <row r="35" customFormat="false" ht="15" hidden="false" customHeight="false" outlineLevel="0" collapsed="false">
      <c r="A35" s="26" t="s">
        <v>202</v>
      </c>
      <c r="B35" s="18" t="n">
        <f aca="false">('1 Inputs'!B27+'1 Inputs'!B28)*A35/12+'1 Inputs'!B12*'1 Inputs'!B29/100*A35/12</f>
        <v>22.8825</v>
      </c>
      <c r="C35" s="18" t="n">
        <f aca="false">B11*SQRT(A35/12)</f>
        <v>8.67695222990192</v>
      </c>
      <c r="D35" s="21" t="n">
        <f aca="false">NORMSDIST(-B35/C35)</f>
        <v>0.0041801855085321</v>
      </c>
      <c r="E35" s="18" t="n">
        <f aca="false">B35-1.645*C35</f>
        <v>8.60891358181134</v>
      </c>
    </row>
    <row r="36" customFormat="false" ht="15" hidden="false" customHeight="false" outlineLevel="0" collapsed="false">
      <c r="A36" s="26" t="s">
        <v>423</v>
      </c>
      <c r="B36" s="18" t="n">
        <f aca="false">('1 Inputs'!B27+'1 Inputs'!B28)*A36/12+'1 Inputs'!B12*'1 Inputs'!B29/100*A36/12</f>
        <v>30.51</v>
      </c>
      <c r="C36" s="18" t="n">
        <f aca="false">B11*SQRT(A36/12)</f>
        <v>10.0192814113588</v>
      </c>
      <c r="D36" s="21" t="n">
        <f aca="false">NORMSDIST(-B36/C36)</f>
        <v>0.00116290433456227</v>
      </c>
      <c r="E36" s="18" t="n">
        <f aca="false">B36-1.645*C36</f>
        <v>14.0282820783148</v>
      </c>
    </row>
    <row r="37" customFormat="false" ht="15" hidden="false" customHeight="false" outlineLevel="0" collapsed="false">
      <c r="A37" s="26" t="s">
        <v>424</v>
      </c>
      <c r="B37" s="18" t="n">
        <f aca="false">('1 Inputs'!B27+'1 Inputs'!B28)*A37/12+'1 Inputs'!B12*'1 Inputs'!B29/100*A37/12</f>
        <v>38.1375</v>
      </c>
      <c r="C37" s="18" t="n">
        <f aca="false">B11*SQRT(A37/12)</f>
        <v>11.2018971607492</v>
      </c>
      <c r="D37" s="21" t="n">
        <f aca="false">NORMSDIST(-B37/C37)</f>
        <v>0.00033135705643114</v>
      </c>
      <c r="E37" s="18" t="n">
        <f aca="false">B37-1.645*C37</f>
        <v>19.7103791705676</v>
      </c>
    </row>
    <row r="38" customFormat="false" ht="15" hidden="false" customHeight="false" outlineLevel="0" collapsed="false">
      <c r="A38" s="11" t="s">
        <v>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22"/>
    <col collapsed="false" customWidth="true" hidden="false" outlineLevel="0" max="4" min="4" style="1" width="10"/>
    <col collapsed="false" customWidth="true" hidden="false" outlineLevel="0" max="6" min="5" style="1" width="11"/>
  </cols>
  <sheetData>
    <row r="1" customFormat="false" ht="16.15" hidden="false" customHeight="false" outlineLevel="0" collapsed="false">
      <c r="A1" s="2" t="s">
        <v>426</v>
      </c>
    </row>
    <row r="2" customFormat="false" ht="15" hidden="false" customHeight="false" outlineLevel="0" collapsed="false">
      <c r="A2" s="3" t="s">
        <v>427</v>
      </c>
    </row>
    <row r="4" customFormat="false" ht="15" hidden="false" customHeight="false" outlineLevel="0" collapsed="false">
      <c r="A4" s="4" t="s">
        <v>428</v>
      </c>
    </row>
    <row r="5" customFormat="false" ht="15" hidden="false" customHeight="false" outlineLevel="0" collapsed="false">
      <c r="A5" s="15" t="s">
        <v>304</v>
      </c>
      <c r="B5" s="15" t="s">
        <v>429</v>
      </c>
      <c r="C5" s="15" t="s">
        <v>430</v>
      </c>
      <c r="D5" s="15" t="s">
        <v>431</v>
      </c>
      <c r="E5" s="15" t="s">
        <v>432</v>
      </c>
      <c r="F5" s="15" t="s">
        <v>433</v>
      </c>
    </row>
    <row r="6" customFormat="false" ht="15" hidden="false" customHeight="false" outlineLevel="0" collapsed="false">
      <c r="A6" s="5" t="s">
        <v>316</v>
      </c>
      <c r="B6" s="23" t="n">
        <v>3.625</v>
      </c>
      <c r="C6" s="23" t="n">
        <v>3.375</v>
      </c>
      <c r="D6" s="23" t="n">
        <v>3.125</v>
      </c>
      <c r="E6" s="23" t="n">
        <v>2.875</v>
      </c>
      <c r="F6" s="23" t="n">
        <v>2.875</v>
      </c>
    </row>
    <row r="7" customFormat="false" ht="15" hidden="false" customHeight="false" outlineLevel="0" collapsed="false">
      <c r="A7" s="5" t="s">
        <v>318</v>
      </c>
      <c r="B7" s="23" t="n">
        <v>3.625</v>
      </c>
      <c r="C7" s="23" t="n">
        <v>3.375</v>
      </c>
      <c r="D7" s="23" t="n">
        <v>3.375</v>
      </c>
      <c r="E7" s="23" t="n">
        <v>3.375</v>
      </c>
      <c r="F7" s="23" t="n">
        <v>3.375</v>
      </c>
    </row>
    <row r="8" customFormat="false" ht="15" hidden="false" customHeight="false" outlineLevel="0" collapsed="false">
      <c r="A8" s="5" t="s">
        <v>320</v>
      </c>
      <c r="B8" s="23" t="n">
        <v>3.625</v>
      </c>
      <c r="C8" s="23" t="n">
        <v>3.625</v>
      </c>
      <c r="D8" s="23" t="n">
        <v>3.625</v>
      </c>
      <c r="E8" s="23" t="n">
        <v>3.625</v>
      </c>
      <c r="F8" s="23" t="n">
        <v>3.625</v>
      </c>
    </row>
    <row r="9" customFormat="false" ht="15" hidden="false" customHeight="false" outlineLevel="0" collapsed="false">
      <c r="A9" s="5" t="s">
        <v>322</v>
      </c>
      <c r="B9" s="23" t="n">
        <v>3.375</v>
      </c>
      <c r="C9" s="23" t="n">
        <v>3.125</v>
      </c>
      <c r="D9" s="23" t="n">
        <v>2.875</v>
      </c>
      <c r="E9" s="23" t="n">
        <v>2.875</v>
      </c>
      <c r="F9" s="23" t="n">
        <v>2.875</v>
      </c>
    </row>
    <row r="10" customFormat="false" ht="15" hidden="false" customHeight="false" outlineLevel="0" collapsed="false">
      <c r="A10" s="5" t="s">
        <v>323</v>
      </c>
      <c r="B10" s="23" t="n">
        <v>3.875</v>
      </c>
      <c r="C10" s="23" t="n">
        <v>4.125</v>
      </c>
      <c r="D10" s="23" t="n">
        <v>4.375</v>
      </c>
      <c r="E10" s="23" t="n">
        <v>4.375</v>
      </c>
      <c r="F10" s="23" t="n">
        <v>4.125</v>
      </c>
    </row>
    <row r="11" customFormat="false" ht="15" hidden="false" customHeight="false" outlineLevel="0" collapsed="false">
      <c r="A11" s="5" t="s">
        <v>325</v>
      </c>
      <c r="B11" s="23" t="n">
        <v>3.375</v>
      </c>
      <c r="C11" s="23" t="n">
        <v>2.625</v>
      </c>
      <c r="D11" s="23" t="n">
        <v>2.125</v>
      </c>
      <c r="E11" s="23" t="n">
        <v>1.875</v>
      </c>
      <c r="F11" s="23" t="n">
        <v>1.875</v>
      </c>
    </row>
    <row r="13" customFormat="false" ht="15" hidden="false" customHeight="false" outlineLevel="0" collapsed="false">
      <c r="A13" s="11" t="s">
        <v>434</v>
      </c>
    </row>
    <row r="15" customFormat="false" ht="15" hidden="false" customHeight="false" outlineLevel="0" collapsed="false">
      <c r="A15" s="4" t="s">
        <v>435</v>
      </c>
    </row>
    <row r="16" customFormat="false" ht="22.35" hidden="false" customHeight="false" outlineLevel="0" collapsed="false">
      <c r="A16" s="15" t="s">
        <v>436</v>
      </c>
      <c r="B16" s="15" t="s">
        <v>437</v>
      </c>
      <c r="C16" s="15" t="s">
        <v>438</v>
      </c>
      <c r="D16" s="24" t="s">
        <v>439</v>
      </c>
    </row>
    <row r="17" customFormat="false" ht="15" hidden="false" customHeight="false" outlineLevel="0" collapsed="false">
      <c r="A17" s="26" t="s">
        <v>440</v>
      </c>
      <c r="B17" s="23" t="n">
        <v>3.72</v>
      </c>
      <c r="D17" s="18" t="n">
        <v>0.25</v>
      </c>
    </row>
    <row r="18" customFormat="false" ht="15" hidden="false" customHeight="false" outlineLevel="0" collapsed="false">
      <c r="A18" s="26" t="s">
        <v>441</v>
      </c>
      <c r="B18" s="23" t="n">
        <v>4.19</v>
      </c>
      <c r="C18" s="28" t="n">
        <f aca="false">(B18-B17)/(D18-D17)*100</f>
        <v>26.8571428571429</v>
      </c>
      <c r="D18" s="18" t="n">
        <v>2</v>
      </c>
    </row>
    <row r="19" customFormat="false" ht="15" hidden="false" customHeight="false" outlineLevel="0" collapsed="false">
      <c r="A19" s="26" t="s">
        <v>442</v>
      </c>
      <c r="B19" s="23" t="n">
        <v>4.35</v>
      </c>
      <c r="C19" s="28" t="n">
        <f aca="false">(B19-B18)/(D19-D18)*100</f>
        <v>5.33333333333331</v>
      </c>
      <c r="D19" s="18" t="n">
        <v>5</v>
      </c>
    </row>
    <row r="20" customFormat="false" ht="15" hidden="false" customHeight="false" outlineLevel="0" collapsed="false">
      <c r="A20" s="26" t="s">
        <v>443</v>
      </c>
      <c r="B20" s="23" t="n">
        <v>4.49</v>
      </c>
      <c r="C20" s="28" t="n">
        <f aca="false">(B20-B19)/(D20-D19)*100</f>
        <v>7.00000000000003</v>
      </c>
      <c r="D20" s="18" t="n">
        <v>7</v>
      </c>
    </row>
    <row r="21" customFormat="false" ht="15" hidden="false" customHeight="false" outlineLevel="0" collapsed="false">
      <c r="A21" s="26" t="s">
        <v>444</v>
      </c>
      <c r="B21" s="23" t="n">
        <v>4.65</v>
      </c>
      <c r="C21" s="28" t="n">
        <f aca="false">(B21-B20)/(D21-D20)*100</f>
        <v>5.33333333333334</v>
      </c>
      <c r="D21" s="18" t="n">
        <v>10</v>
      </c>
    </row>
    <row r="22" customFormat="false" ht="15" hidden="false" customHeight="false" outlineLevel="0" collapsed="false">
      <c r="A22" s="26" t="s">
        <v>445</v>
      </c>
      <c r="B22" s="23" t="n">
        <v>5.19</v>
      </c>
      <c r="C22" s="28" t="n">
        <f aca="false">(B22-B21)/(D22-D21)*100</f>
        <v>2.7</v>
      </c>
      <c r="D22" s="18" t="n">
        <v>30</v>
      </c>
    </row>
    <row r="24" customFormat="false" ht="15" hidden="false" customHeight="false" outlineLevel="0" collapsed="false">
      <c r="A24" s="5" t="s">
        <v>446</v>
      </c>
      <c r="B24" s="29" t="n">
        <f aca="false">(B21-B19)/5*100</f>
        <v>6.00000000000001</v>
      </c>
      <c r="C24" s="11" t="s">
        <v>447</v>
      </c>
    </row>
    <row r="25" customFormat="false" ht="15" hidden="false" customHeight="false" outlineLevel="0" collapsed="false">
      <c r="A25" s="5" t="s">
        <v>448</v>
      </c>
      <c r="B25" s="27" t="n">
        <f aca="false">(B21-B18)*100</f>
        <v>46</v>
      </c>
    </row>
    <row r="26" customFormat="false" ht="15" hidden="false" customHeight="false" outlineLevel="0" collapsed="false">
      <c r="A26" s="5" t="s">
        <v>449</v>
      </c>
      <c r="B26" s="27" t="n">
        <f aca="false">('1 Inputs'!B25-B21)*100</f>
        <v>210</v>
      </c>
    </row>
    <row r="28" customFormat="false" ht="15" hidden="false" customHeight="false" outlineLevel="0" collapsed="false">
      <c r="A28" s="11" t="s">
        <v>450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70"/>
  </cols>
  <sheetData>
    <row r="1" customFormat="false" ht="16.15" hidden="false" customHeight="false" outlineLevel="0" collapsed="false">
      <c r="A1" s="2" t="s">
        <v>451</v>
      </c>
    </row>
    <row r="2" customFormat="false" ht="15" hidden="false" customHeight="false" outlineLevel="0" collapsed="false">
      <c r="A2" s="3" t="s">
        <v>452</v>
      </c>
    </row>
    <row r="4" customFormat="false" ht="15" hidden="false" customHeight="false" outlineLevel="0" collapsed="false">
      <c r="A4" s="15" t="s">
        <v>453</v>
      </c>
      <c r="B4" s="15" t="s">
        <v>454</v>
      </c>
      <c r="C4" s="15" t="s">
        <v>455</v>
      </c>
    </row>
    <row r="5" customFormat="false" ht="15" hidden="false" customHeight="false" outlineLevel="0" collapsed="false">
      <c r="A5" s="7" t="s">
        <v>456</v>
      </c>
      <c r="B5" s="38" t="s">
        <v>457</v>
      </c>
      <c r="C5" s="7" t="s">
        <v>458</v>
      </c>
    </row>
    <row r="6" customFormat="false" ht="15" hidden="false" customHeight="false" outlineLevel="0" collapsed="false">
      <c r="A6" s="7" t="s">
        <v>459</v>
      </c>
      <c r="B6" s="38" t="s">
        <v>460</v>
      </c>
      <c r="C6" s="7" t="s">
        <v>461</v>
      </c>
    </row>
    <row r="7" customFormat="false" ht="15" hidden="false" customHeight="false" outlineLevel="0" collapsed="false">
      <c r="A7" s="7" t="s">
        <v>462</v>
      </c>
      <c r="B7" s="38" t="s">
        <v>463</v>
      </c>
      <c r="C7" s="7" t="s">
        <v>464</v>
      </c>
    </row>
    <row r="8" customFormat="false" ht="15" hidden="false" customHeight="false" outlineLevel="0" collapsed="false">
      <c r="A8" s="7" t="s">
        <v>465</v>
      </c>
      <c r="B8" s="38" t="s">
        <v>466</v>
      </c>
      <c r="C8" s="7" t="s">
        <v>467</v>
      </c>
    </row>
    <row r="9" customFormat="false" ht="15" hidden="false" customHeight="false" outlineLevel="0" collapsed="false">
      <c r="A9" s="7" t="s">
        <v>468</v>
      </c>
      <c r="B9" s="38" t="s">
        <v>469</v>
      </c>
      <c r="C9" s="7" t="s">
        <v>470</v>
      </c>
    </row>
    <row r="10" customFormat="false" ht="15" hidden="false" customHeight="false" outlineLevel="0" collapsed="false">
      <c r="A10" s="7" t="s">
        <v>471</v>
      </c>
      <c r="B10" s="38" t="s">
        <v>472</v>
      </c>
      <c r="C10" s="7" t="s">
        <v>473</v>
      </c>
    </row>
    <row r="11" customFormat="false" ht="15" hidden="false" customHeight="false" outlineLevel="0" collapsed="false">
      <c r="A11" s="7" t="s">
        <v>474</v>
      </c>
      <c r="B11" s="38" t="s">
        <v>475</v>
      </c>
      <c r="C11" s="7" t="s">
        <v>476</v>
      </c>
    </row>
    <row r="12" customFormat="false" ht="15" hidden="false" customHeight="false" outlineLevel="0" collapsed="false">
      <c r="A12" s="7" t="s">
        <v>477</v>
      </c>
      <c r="B12" s="38" t="s">
        <v>478</v>
      </c>
      <c r="C12" s="7" t="s">
        <v>479</v>
      </c>
    </row>
    <row r="13" customFormat="false" ht="15" hidden="false" customHeight="false" outlineLevel="0" collapsed="false">
      <c r="A13" s="7" t="s">
        <v>480</v>
      </c>
      <c r="B13" s="38" t="s">
        <v>481</v>
      </c>
      <c r="C13" s="7" t="s">
        <v>482</v>
      </c>
    </row>
    <row r="14" customFormat="false" ht="15" hidden="false" customHeight="false" outlineLevel="0" collapsed="false">
      <c r="A14" s="7" t="s">
        <v>483</v>
      </c>
      <c r="B14" s="38" t="s">
        <v>484</v>
      </c>
      <c r="C14" s="7" t="s">
        <v>485</v>
      </c>
    </row>
    <row r="15" customFormat="false" ht="15" hidden="false" customHeight="false" outlineLevel="0" collapsed="false">
      <c r="A15" s="7" t="s">
        <v>486</v>
      </c>
      <c r="B15" s="38" t="s">
        <v>487</v>
      </c>
      <c r="C15" s="7" t="s">
        <v>488</v>
      </c>
    </row>
    <row r="16" customFormat="false" ht="15" hidden="false" customHeight="false" outlineLevel="0" collapsed="false">
      <c r="A16" s="7" t="s">
        <v>489</v>
      </c>
      <c r="B16" s="38" t="s">
        <v>475</v>
      </c>
      <c r="C16" s="7" t="s">
        <v>490</v>
      </c>
    </row>
    <row r="17" customFormat="false" ht="15" hidden="false" customHeight="false" outlineLevel="0" collapsed="false">
      <c r="A17" s="7" t="s">
        <v>491</v>
      </c>
      <c r="B17" s="38" t="s">
        <v>28</v>
      </c>
      <c r="C17" s="7" t="s">
        <v>492</v>
      </c>
    </row>
    <row r="18" customFormat="false" ht="15" hidden="false" customHeight="false" outlineLevel="0" collapsed="false">
      <c r="A18" s="7" t="s">
        <v>493</v>
      </c>
      <c r="B18" s="38" t="s">
        <v>494</v>
      </c>
      <c r="C18" s="7" t="s">
        <v>495</v>
      </c>
    </row>
    <row r="19" customFormat="false" ht="15" hidden="false" customHeight="false" outlineLevel="0" collapsed="false">
      <c r="A19" s="7" t="s">
        <v>496</v>
      </c>
      <c r="B19" s="38" t="s">
        <v>494</v>
      </c>
      <c r="C19" s="7" t="s">
        <v>497</v>
      </c>
    </row>
    <row r="21" customFormat="false" ht="15" hidden="false" customHeight="false" outlineLevel="0" collapsed="false">
      <c r="A21" s="11" t="s">
        <v>498</v>
      </c>
    </row>
    <row r="22" customFormat="false" ht="15" hidden="false" customHeight="false" outlineLevel="0" collapsed="false">
      <c r="A22" s="11" t="s">
        <v>499</v>
      </c>
    </row>
    <row r="23" customFormat="false" ht="15" hidden="false" customHeight="false" outlineLevel="0" collapsed="false">
      <c r="A23" s="11" t="s">
        <v>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A1:B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2"/>
  </cols>
  <sheetData>
    <row r="1" customFormat="false" ht="16.15" hidden="false" customHeight="false" outlineLevel="0" collapsed="false">
      <c r="A1" s="2" t="s">
        <v>501</v>
      </c>
    </row>
    <row r="2" customFormat="false" ht="15" hidden="false" customHeight="false" outlineLevel="0" collapsed="false">
      <c r="A2" s="3" t="s">
        <v>502</v>
      </c>
    </row>
    <row r="4" customFormat="false" ht="15" hidden="false" customHeight="false" outlineLevel="0" collapsed="false">
      <c r="A4" s="4" t="s">
        <v>503</v>
      </c>
    </row>
    <row r="5" customFormat="false" ht="15" hidden="false" customHeight="false" outlineLevel="0" collapsed="false">
      <c r="B5" s="7" t="s">
        <v>504</v>
      </c>
    </row>
    <row r="6" customFormat="false" ht="15" hidden="false" customHeight="false" outlineLevel="0" collapsed="false">
      <c r="B6" s="7" t="s">
        <v>505</v>
      </c>
    </row>
    <row r="7" customFormat="false" ht="15" hidden="false" customHeight="false" outlineLevel="0" collapsed="false">
      <c r="B7" s="7" t="s">
        <v>506</v>
      </c>
    </row>
    <row r="8" customFormat="false" ht="15" hidden="false" customHeight="false" outlineLevel="0" collapsed="false">
      <c r="B8" s="7" t="s">
        <v>507</v>
      </c>
    </row>
    <row r="9" customFormat="false" ht="15" hidden="false" customHeight="false" outlineLevel="0" collapsed="false">
      <c r="B9" s="7" t="s">
        <v>508</v>
      </c>
    </row>
    <row r="11" customFormat="false" ht="15" hidden="false" customHeight="false" outlineLevel="0" collapsed="false">
      <c r="A11" s="4" t="s">
        <v>509</v>
      </c>
    </row>
    <row r="12" customFormat="false" ht="15" hidden="false" customHeight="false" outlineLevel="0" collapsed="false">
      <c r="B12" s="7" t="s">
        <v>510</v>
      </c>
    </row>
    <row r="13" customFormat="false" ht="15" hidden="false" customHeight="false" outlineLevel="0" collapsed="false">
      <c r="B13" s="7" t="s">
        <v>511</v>
      </c>
    </row>
    <row r="14" customFormat="false" ht="15" hidden="false" customHeight="false" outlineLevel="0" collapsed="false">
      <c r="B14" s="7" t="s">
        <v>512</v>
      </c>
    </row>
    <row r="16" customFormat="false" ht="15" hidden="false" customHeight="false" outlineLevel="0" collapsed="false">
      <c r="A16" s="4" t="s">
        <v>513</v>
      </c>
    </row>
    <row r="17" customFormat="false" ht="15" hidden="false" customHeight="false" outlineLevel="0" collapsed="false">
      <c r="B17" s="7" t="s">
        <v>514</v>
      </c>
    </row>
    <row r="18" customFormat="false" ht="15" hidden="false" customHeight="false" outlineLevel="0" collapsed="false">
      <c r="B18" s="7" t="s">
        <v>515</v>
      </c>
    </row>
    <row r="19" customFormat="false" ht="15" hidden="false" customHeight="false" outlineLevel="0" collapsed="false">
      <c r="B19" s="7" t="s">
        <v>516</v>
      </c>
    </row>
    <row r="20" customFormat="false" ht="15" hidden="false" customHeight="false" outlineLevel="0" collapsed="false">
      <c r="B20" s="7" t="s">
        <v>517</v>
      </c>
    </row>
    <row r="22" customFormat="false" ht="15" hidden="false" customHeight="false" outlineLevel="0" collapsed="false">
      <c r="A22" s="4" t="s">
        <v>518</v>
      </c>
    </row>
    <row r="23" customFormat="false" ht="15" hidden="false" customHeight="false" outlineLevel="0" collapsed="false">
      <c r="B23" s="7" t="s">
        <v>519</v>
      </c>
    </row>
    <row r="24" customFormat="false" ht="15" hidden="false" customHeight="false" outlineLevel="0" collapsed="false">
      <c r="B24" s="7" t="s">
        <v>520</v>
      </c>
    </row>
    <row r="25" customFormat="false" ht="15" hidden="false" customHeight="false" outlineLevel="0" collapsed="false">
      <c r="B25" s="7" t="s">
        <v>521</v>
      </c>
    </row>
    <row r="26" customFormat="false" ht="15" hidden="false" customHeight="false" outlineLevel="0" collapsed="false">
      <c r="B26" s="7" t="s">
        <v>522</v>
      </c>
    </row>
    <row r="27" customFormat="false" ht="15" hidden="false" customHeight="false" outlineLevel="0" collapsed="false">
      <c r="B27" s="7" t="s">
        <v>523</v>
      </c>
    </row>
    <row r="28" customFormat="false" ht="15" hidden="false" customHeight="false" outlineLevel="0" collapsed="false">
      <c r="B28" s="7" t="s">
        <v>524</v>
      </c>
    </row>
    <row r="30" customFormat="false" ht="15" hidden="false" customHeight="false" outlineLevel="0" collapsed="false">
      <c r="A30" s="4" t="s">
        <v>525</v>
      </c>
    </row>
    <row r="31" customFormat="false" ht="15" hidden="false" customHeight="false" outlineLevel="0" collapsed="false">
      <c r="B31" s="7" t="s">
        <v>526</v>
      </c>
    </row>
    <row r="32" customFormat="false" ht="15" hidden="false" customHeight="false" outlineLevel="0" collapsed="false">
      <c r="B32" s="7" t="s">
        <v>527</v>
      </c>
    </row>
    <row r="33" customFormat="false" ht="15" hidden="false" customHeight="false" outlineLevel="0" collapsed="false">
      <c r="B33" s="7" t="s">
        <v>528</v>
      </c>
    </row>
    <row r="34" customFormat="false" ht="15" hidden="false" customHeight="false" outlineLevel="0" collapsed="false">
      <c r="B34" s="7" t="s">
        <v>529</v>
      </c>
    </row>
    <row r="35" customFormat="false" ht="15" hidden="false" customHeight="false" outlineLevel="0" collapsed="false">
      <c r="B35" s="7" t="s">
        <v>530</v>
      </c>
    </row>
    <row r="36" customFormat="false" ht="15" hidden="false" customHeight="false" outlineLevel="0" collapsed="false">
      <c r="B36" s="7" t="s">
        <v>531</v>
      </c>
    </row>
    <row r="38" customFormat="false" ht="15" hidden="false" customHeight="false" outlineLevel="0" collapsed="false">
      <c r="A38" s="4" t="s">
        <v>532</v>
      </c>
    </row>
    <row r="39" customFormat="false" ht="15" hidden="false" customHeight="false" outlineLevel="0" collapsed="false">
      <c r="B39" s="7" t="s">
        <v>533</v>
      </c>
    </row>
    <row r="40" customFormat="false" ht="15" hidden="false" customHeight="false" outlineLevel="0" collapsed="false">
      <c r="B40" s="7" t="s">
        <v>534</v>
      </c>
    </row>
    <row r="41" customFormat="false" ht="15" hidden="false" customHeight="false" outlineLevel="0" collapsed="false">
      <c r="B41" s="7" t="s">
        <v>535</v>
      </c>
    </row>
    <row r="42" customFormat="false" ht="15" hidden="false" customHeight="false" outlineLevel="0" collapsed="false">
      <c r="B42" s="7" t="s">
        <v>536</v>
      </c>
    </row>
    <row r="44" customFormat="false" ht="15" hidden="false" customHeight="false" outlineLevel="0" collapsed="false">
      <c r="A44" s="4" t="s">
        <v>537</v>
      </c>
    </row>
    <row r="45" customFormat="false" ht="15" hidden="false" customHeight="false" outlineLevel="0" collapsed="false">
      <c r="B45" s="7" t="s">
        <v>538</v>
      </c>
    </row>
    <row r="46" customFormat="false" ht="15" hidden="false" customHeight="false" outlineLevel="0" collapsed="false">
      <c r="B46" s="7" t="s">
        <v>539</v>
      </c>
    </row>
    <row r="47" customFormat="false" ht="15" hidden="false" customHeight="false" outlineLevel="0" collapsed="false">
      <c r="B47" s="7" t="s">
        <v>540</v>
      </c>
    </row>
    <row r="48" customFormat="false" ht="15" hidden="false" customHeight="false" outlineLevel="0" collapsed="false">
      <c r="B48" s="7" t="s">
        <v>541</v>
      </c>
    </row>
    <row r="49" customFormat="false" ht="15" hidden="false" customHeight="false" outlineLevel="0" collapsed="false">
      <c r="B49" s="7" t="s">
        <v>542</v>
      </c>
    </row>
    <row r="50" customFormat="false" ht="15" hidden="false" customHeight="false" outlineLevel="0" collapsed="false">
      <c r="B50" s="7" t="s">
        <v>543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2026-08-11T16:39:31Z</dcterms:created>
  <dc:creator>openpyxl</dc:creator>
  <dc:description/>
  <dc:language>en-US</dc:language>
  <cp:lastModifiedBy/>
  <dcterms:modified xsi:type="dcterms:W3CDTF">2026-08-11T16:42:04Z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