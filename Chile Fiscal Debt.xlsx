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lances 2001-2025" sheetId="2" state="visible" r:id="rId4"/>
    <sheet name="2025 close" sheetId="3" state="visible" r:id="rId5"/>
    <sheet name="Projections" sheetId="4" state="visible" r:id="rId6"/>
    <sheet name="Debt burden" sheetId="5" state="visible" r:id="rId7"/>
    <sheet name="Fiscal rule" sheetId="6" state="visible" r:id="rId8"/>
    <sheet name="Macro assumptions"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<sst xmlns="http://schemas.openxmlformats.org/spreadsheetml/2006/main" count="233" uniqueCount="180">
  <si>
    <t xml:space="preserve">Chile — fiscal balance, the structural rule and the debt burden</t>
  </si>
  <si>
    <t xml:space="preserve">Source: DIPRES, Informe de Finanzas Publicas, primer trimestre 2026, published 25 May 2026. The first IFP of the Kast administration.</t>
  </si>
  <si>
    <t xml:space="preserve">THE SHORT VERSION</t>
  </si>
  <si>
    <t xml:space="preserve">2025 breached the rule</t>
  </si>
  <si>
    <t xml:space="preserve">The definitive close is a structural deficit of 3.7% of GDP against a target of 1.6%. Under the Fiscal Responsibility Law this formally triggers corrective action. The effective deficit was 2.8%.</t>
  </si>
  <si>
    <t xml:space="preserve">The problem is revenue, not spending</t>
  </si>
  <si>
    <t xml:space="preserve">Spending came in BELOW the approved budget. Revenue missed the Budget Law projection by 2.9% of GDP, and DIPRES's own decomposition shows the miss cannot be attributed to the macro scenario — the unexplained idiosyncratic component dominates in 2023, 2024 and 2025 alike.</t>
  </si>
  <si>
    <t xml:space="preserve">Debt breaches the prudent level</t>
  </si>
  <si>
    <t xml:space="preserve">The projected path reaches 46.5% of GDP by 2030 against a prudent level of 45% set in the fiscal policy decree. It crosses in 2028.</t>
  </si>
  <si>
    <t xml:space="preserve">The previous debt path did not add up</t>
  </si>
  <si>
    <t xml:space="preserve">DIPRES found the IFP 4T25 projection inconsistent: deficits deepened by $13.5 trillion over 2026-30 while projected gross debt rose only $3.9 trillion. A $9.6 trillion gap was never reflected in the debt. The series here is the re-estimated one.</t>
  </si>
  <si>
    <t xml:space="preserve">WHY CHILE NEEDS A DIFFERENT FRAMEWORK</t>
  </si>
  <si>
    <t xml:space="preserve">The structural balance is the operative target</t>
  </si>
  <si>
    <t xml:space="preserve">Not the effective balance. Chile has run a structural rule since 2001. Revenue is adjusted for the output gap, the copper price and lithium. Both series are here; the rule binds on the structural one.</t>
  </si>
  <si>
    <t xml:space="preserve">Copper does the heavy lifting</t>
  </si>
  <si>
    <t xml:space="preserve">In 2025 the cyclical adjustment removed 0.9% of GDP from revenue, of which Codelco transfers alone accounted for 1.68 trillion pesos — an adjustment equal to 96% of the line's effective value, because the copper price ran far above the reference price.</t>
  </si>
  <si>
    <t xml:space="preserve">Net position, not gross debt</t>
  </si>
  <si>
    <t xml:space="preserve">Chile holds Treasury assets including the sovereign wealth funds. The net financial position is the meaningful solvency measure and is tracked alongside gross debt.</t>
  </si>
  <si>
    <t xml:space="preserve">The methodology is itself in play</t>
  </si>
  <si>
    <t xml:space="preserve">The Autonomous Fiscal Council has proposed changes that would put the 2025 structural deficit at 3.1% rather than 3.7%, and 1.6% rather than 1.8% by 2030. Both are shown.</t>
  </si>
  <si>
    <t xml:space="preserve">HEALTH WARNING</t>
  </si>
  <si>
    <t xml:space="preserve">Not a forecast</t>
  </si>
  <si>
    <t xml:space="preserve">DIPRES states explicitly that the trajectory in this report is NOT the administration's target. The binding targets were to be set in a new fiscal policy decree in June 2026 — after this report. Check for that decree before using the medium-term path in a note.</t>
  </si>
  <si>
    <t xml:space="preserve">Real pesos, mixed bases</t>
  </si>
  <si>
    <t xml:space="preserve">2025 tables are in millions of pesos of 2025; 2026-2030 tables in pesos of 2026. Percent-of-GDP ratios are comparable across both; the peso levels are not.</t>
  </si>
  <si>
    <t xml:space="preserve">Effective and structural balance, 2001-2025</t>
  </si>
  <si>
    <t xml:space="preserve">Percent of GDP. The structural balance is what the fiscal rule targets.</t>
  </si>
  <si>
    <t xml:space="preserve">Year</t>
  </si>
  <si>
    <t xml:space="preserve">Effective balance
(% GDP)</t>
  </si>
  <si>
    <t xml:space="preserve">Structural balance
(% GDP)</t>
  </si>
  <si>
    <t xml:space="preserve">Gap: structural less
effective (pp)</t>
  </si>
  <si>
    <t xml:space="preserve">Era</t>
  </si>
  <si>
    <t xml:space="preserve">Lagos</t>
  </si>
  <si>
    <t xml:space="preserve">Bachelet I</t>
  </si>
  <si>
    <t xml:space="preserve">Pinera I</t>
  </si>
  <si>
    <t xml:space="preserve">Bachelet II</t>
  </si>
  <si>
    <t xml:space="preserve">Pinera II</t>
  </si>
  <si>
    <t xml:space="preserve">Boric</t>
  </si>
  <si>
    <t xml:space="preserve">Note the copper supercycle: structural balances stayed near +1% of GDP through 2001-2007 while effective balances reached +8.2%. The rule saved the windfall. That is the institutional achievement Chile is now drawing down.</t>
  </si>
  <si>
    <t xml:space="preserve">2025 at -3.7% is the worst structural balance on record outside 2021's pandemic -10.6%. The deterioration is not cyclical.</t>
  </si>
  <si>
    <t xml:space="preserve">National accounts bases change across the series (2003, 2008, 2013 and 2018 benchmarks). Levels are comparable in direction, not to the decimal, across those breaks.</t>
  </si>
  <si>
    <t xml:space="preserve">The definitive 2025 close</t>
  </si>
  <si>
    <t xml:space="preserve">Millions of pesos of 2025 and percent of GDP.</t>
  </si>
  <si>
    <t xml:space="preserve">Headline</t>
  </si>
  <si>
    <t xml:space="preserve">Line</t>
  </si>
  <si>
    <t xml:space="preserve">MM$ 2025</t>
  </si>
  <si>
    <t xml:space="preserve">% of GDP</t>
  </si>
  <si>
    <t xml:space="preserve">Real y/y %</t>
  </si>
  <si>
    <t xml:space="preserve">Total revenue</t>
  </si>
  <si>
    <t xml:space="preserve">Total spending</t>
  </si>
  <si>
    <t xml:space="preserve">Effective balance</t>
  </si>
  <si>
    <t xml:space="preserve">Structural balance</t>
  </si>
  <si>
    <t xml:space="preserve">Primary balance, effective</t>
  </si>
  <si>
    <t xml:space="preserve">Primary balance, structural</t>
  </si>
  <si>
    <t xml:space="preserve">Revenue detail</t>
  </si>
  <si>
    <t xml:space="preserve">2024</t>
  </si>
  <si>
    <t xml:space="preserve">2025</t>
  </si>
  <si>
    <t xml:space="preserve">vs Budget projection</t>
  </si>
  <si>
    <t xml:space="preserve">Net tax revenue</t>
  </si>
  <si>
    <t xml:space="preserve">  Private mining (GMP10)</t>
  </si>
  <si>
    <t xml:space="preserve">  All other taxpayers</t>
  </si>
  <si>
    <t xml:space="preserve">Codelco transfers</t>
  </si>
  <si>
    <t xml:space="preserve">Social security contributions</t>
  </si>
  <si>
    <t xml:space="preserve">Property income</t>
  </si>
  <si>
    <t xml:space="preserve">  of which lithium (Corfo)</t>
  </si>
  <si>
    <t xml:space="preserve">Operating income</t>
  </si>
  <si>
    <t xml:space="preserve">Other income</t>
  </si>
  <si>
    <t xml:space="preserve">TOTAL REVENUE</t>
  </si>
  <si>
    <t xml:space="preserve">Private mining tax up 47.2% on a copper price up 8.7% — and everything else up just 1.5%. Chile's revenue growth in 2025 was almost entirely a copper story.</t>
  </si>
  <si>
    <t xml:space="preserve">Revenue came in 6.68 trillion pesos below the Budget Law projection, a miss of 2.9% of GDP. The mining line hit its target almost exactly; the shortfall is entirely in the rest.</t>
  </si>
  <si>
    <t xml:space="preserve">Spending detail</t>
  </si>
  <si>
    <t xml:space="preserve">Personnel</t>
  </si>
  <si>
    <t xml:space="preserve">Goods and services</t>
  </si>
  <si>
    <t xml:space="preserve">Interest</t>
  </si>
  <si>
    <t xml:space="preserve">Subsidies and grants</t>
  </si>
  <si>
    <t xml:space="preserve">Pension benefits</t>
  </si>
  <si>
    <t xml:space="preserve">Other current</t>
  </si>
  <si>
    <t xml:space="preserve">  Current subtotal</t>
  </si>
  <si>
    <t xml:space="preserve">Investment</t>
  </si>
  <si>
    <t xml:space="preserve">Capital transfers</t>
  </si>
  <si>
    <t xml:space="preserve">  Capital subtotal</t>
  </si>
  <si>
    <t xml:space="preserve">TOTAL SPENDING</t>
  </si>
  <si>
    <t xml:space="preserve">Total spending finished 399,632 million pesos BELOW the approved Budget Law, held down by under-execution of capital. Personnel at +8.4% is the pressure point, driven by the transfer of schools to Local Public Education Services and new health hires.</t>
  </si>
  <si>
    <t xml:space="preserve">Interest at +7.1% real and 4.2 trillion pesos is now larger than total public investment (4.9 trillion) is only just above it — a ratio worth watching.</t>
  </si>
  <si>
    <t xml:space="preserve">2026 and the medium-term frame 2027-2030</t>
  </si>
  <si>
    <t xml:space="preserve">DIPRES states this trajectory is NOT the administration's target. New decree due June 2026.</t>
  </si>
  <si>
    <t xml:space="preserve">2026 — with and without the corrective measures</t>
  </si>
  <si>
    <t xml:space="preserve">IFP 4T25
MM$</t>
  </si>
  <si>
    <t xml:space="preserve">IFP 4T25
% GDP</t>
  </si>
  <si>
    <t xml:space="preserve">Counterfactual
(no actions) % GDP</t>
  </si>
  <si>
    <t xml:space="preserve">IFP 1T26
MM$</t>
  </si>
  <si>
    <t xml:space="preserve">IFP 1T26
% GDP</t>
  </si>
  <si>
    <t xml:space="preserve">Effective revenue</t>
  </si>
  <si>
    <t xml:space="preserve">Structural revenue</t>
  </si>
  <si>
    <t xml:space="preserve">Committed spending</t>
  </si>
  <si>
    <t xml:space="preserve">The corrective measures are worth 0.5pp of GDP on the effective balance and 0.4pp on the structural. Without them 2026 would print -2.9% effective and -4.1% structural.</t>
  </si>
  <si>
    <t xml:space="preserve">Medium term 2027-2030 (MM$ of 2026)</t>
  </si>
  <si>
    <t xml:space="preserve">2027</t>
  </si>
  <si>
    <t xml:space="preserve">2028</t>
  </si>
  <si>
    <t xml:space="preserve">2029</t>
  </si>
  <si>
    <t xml:space="preserve">2030</t>
  </si>
  <si>
    <t xml:space="preserve">Structural, CFA methodology</t>
  </si>
  <si>
    <t xml:space="preserve">Convergence is real but slow: the structural deficit only reaches -1.8% by 2030 on current methodology, or -1.6% under the CFA's proposed changes. Neither returns to balance inside the projection horizon.</t>
  </si>
  <si>
    <t xml:space="preserve">Gross debt and the net financial position</t>
  </si>
  <si>
    <t xml:space="preserve">Chile holds sovereign wealth assets, so the net position is the meaningful solvency measure.</t>
  </si>
  <si>
    <t xml:space="preserve">Gross debt
(US$ mn)</t>
  </si>
  <si>
    <t xml:space="preserve">Gross debt
(% GDP)</t>
  </si>
  <si>
    <t xml:space="preserve">Prudent level
(% GDP)</t>
  </si>
  <si>
    <t xml:space="preserve">Headroom
(pp)</t>
  </si>
  <si>
    <t xml:space="preserve">Net financial
position (% GDP)</t>
  </si>
  <si>
    <t xml:space="preserve">Treasury assets
(% GDP)</t>
  </si>
  <si>
    <t xml:space="preserve">The prudent debt level of 45% of GDP is set in the fiscal policy decree. On this path it is breached in 2028 and exceeded by 1.5pp in 2030.</t>
  </si>
  <si>
    <t xml:space="preserve">The net financial position deteriorates from -37.5% to -43.5% of GDP, and Treasury assets fall from 3.6% to 3.1%. Chile is drawing down the buffer at the same time as the debt rises — the two move together, which is why gross debt understates the deterioration.</t>
  </si>
  <si>
    <t xml:space="preserve">IMPORTANT: DIPRES re-estimated this path after finding the IFP 4T25 projection internally inconsistent. Deficits over 2026-2030 had deepened by $13.5 trillion pesos while projected debt rose only $3.9 trillion, leaving $9.6 trillion unexplained. Treat any debt path published before May 2026 as superseded.</t>
  </si>
  <si>
    <t xml:space="preserve">The structural rule, the breach and the corrective actions</t>
  </si>
  <si>
    <t xml:space="preserve">The breach</t>
  </si>
  <si>
    <t xml:space="preserve">Structural deficit target 2025 (% GDP)</t>
  </si>
  <si>
    <t xml:space="preserve">Structural deficit actual 2025 (% GDP)</t>
  </si>
  <si>
    <t xml:space="preserve">Deviation as stated by DIPRES (pp)</t>
  </si>
  <si>
    <t xml:space="preserve">Structural deficit under CFA methodology (% GDP)</t>
  </si>
  <si>
    <t xml:space="preserve">The breach triggers mandatory corrective action under Law 21.683. Note DIPRES reports the deviation as 1.2pp rather than the 2.1pp implied by the two headline figures — the decree contains methodological detail not reproduced in the summary. Use the published figures, not the subtraction.</t>
  </si>
  <si>
    <t xml:space="preserve">Cyclical adjustment 2025 — what the rule removes from revenue</t>
  </si>
  <si>
    <t xml:space="preserve">Component</t>
  </si>
  <si>
    <t xml:space="preserve">Non-mining tax revenue</t>
  </si>
  <si>
    <t xml:space="preserve">Health contributions</t>
  </si>
  <si>
    <t xml:space="preserve">Private mining tax</t>
  </si>
  <si>
    <t xml:space="preserve">Lithium</t>
  </si>
  <si>
    <t xml:space="preserve">TOTAL cyclical effect</t>
  </si>
  <si>
    <t xml:space="preserve">The Codelco adjustment of 1.68 trillion pesos equals 96% of the line's effective value. With the copper price far above the reference price, the rule treats almost the entire Codelco transfer as windfall. This single mechanism is the largest source of difference between Chile's effective and structural balances.</t>
  </si>
  <si>
    <t xml:space="preserve">Structural parameters</t>
  </si>
  <si>
    <t xml:space="preserve">Parameter</t>
  </si>
  <si>
    <t xml:space="preserve">Reference copper price (USc/lb)</t>
  </si>
  <si>
    <t xml:space="preserve">Trend non-mining GDP growth (%)</t>
  </si>
  <si>
    <t xml:space="preserve">Non-mining output gap, year t (%)</t>
  </si>
  <si>
    <t xml:space="preserve">Codelco sales (MTFM)</t>
  </si>
  <si>
    <t xml:space="preserve">GMP10 production (MTFM)</t>
  </si>
  <si>
    <t xml:space="preserve">Corrective actions taken</t>
  </si>
  <si>
    <t xml:space="preserve">Measure</t>
  </si>
  <si>
    <t xml:space="preserve">Amount</t>
  </si>
  <si>
    <t xml:space="preserve">Spending cut, above the line</t>
  </si>
  <si>
    <t xml:space="preserve">$1,307,729 mn</t>
  </si>
  <si>
    <t xml:space="preserve">Spending cut including below-the-line</t>
  </si>
  <si>
    <t xml:space="preserve">$1,762,261 mn</t>
  </si>
  <si>
    <t xml:space="preserve">Revenue measures (CAE, diesel credit, SOEs)</t>
  </si>
  <si>
    <t xml:space="preserve">$360,009 mn</t>
  </si>
  <si>
    <t xml:space="preserve">Mepco parametric adjustment</t>
  </si>
  <si>
    <t xml:space="preserve">US$1,200 mn</t>
  </si>
  <si>
    <t xml:space="preserve">The first stage of the adjustment totalled US$1,937 million and touched 26 of 33 budget items, split 48.9% current spending, 25.3% capital and 25.8% financial transactions. A second stage, centred on re-screening the social benefit rolls, is still in implementation.</t>
  </si>
  <si>
    <t xml:space="preserve">Macroeconomic assumptions underpinning the projections</t>
  </si>
  <si>
    <t xml:space="preserve">IFP 1T26, cut-off 31 March 2026.</t>
  </si>
  <si>
    <t xml:space="preserve">Variable</t>
  </si>
  <si>
    <t xml:space="preserve">2026</t>
  </si>
  <si>
    <t xml:space="preserve">GDP (real y/y %)</t>
  </si>
  <si>
    <t xml:space="preserve">Mining GDP (real y/y %)</t>
  </si>
  <si>
    <t xml:space="preserve">Non-mining GDP (real y/y %)</t>
  </si>
  <si>
    <t xml:space="preserve">Domestic demand (real y/y %)</t>
  </si>
  <si>
    <t xml:space="preserve">CPI (avg y/y %)</t>
  </si>
  <si>
    <t xml:space="preserve">Exchange rate ($/US$, avg)</t>
  </si>
  <si>
    <t xml:space="preserve">Copper (USc/lb, LME avg)</t>
  </si>
  <si>
    <t xml:space="preserve">WTI (US$/bbl)</t>
  </si>
  <si>
    <t xml:space="preserve">Nominal GDP (bn pesos)</t>
  </si>
  <si>
    <t xml:space="preserve">The 2026 growth forecast was cut from 2.4% to 2.1% entirely on mining, which was revised from +2.7% to zero. Non-mining was revised UP. The copper price was revised up sharply, from 515 to 546 US cents.</t>
  </si>
  <si>
    <t xml:space="preserve">2025 current account deficit came in at 1.2% of GDP against 2.4% expected — a large favourable surprise on the external side that does not show up in the fiscal accounts.</t>
  </si>
  <si>
    <t xml:space="preserve">Sources and caveats</t>
  </si>
  <si>
    <t xml:space="preserve">Primary source</t>
  </si>
  <si>
    <t xml:space="preserve">DIPRES, Informe de Finanzas Publicas, primer trimestre 2026, published 25 May 2026. Macro cut-off 14 April 2026; fiscal projection cut-off 30 April 2026.</t>
  </si>
  <si>
    <t xml:space="preserve">Q1-2026 execution</t>
  </si>
  <si>
    <t xml:space="preserve">DIPRES Panorama Fiscal, first quarter 2026, published 30 April 2026: revenue +0.9% real y/y, spending +0.7% real at $20,698,442 mn, accumulated deficit 0.6% of GDP and 2.8% on a twelve-month rolling basis. Mining revenue +71.7% with an incidence of 3.7pp.</t>
  </si>
  <si>
    <t xml:space="preserve">Base-year mixing</t>
  </si>
  <si>
    <t xml:space="preserve">2025 tables are in pesos of 2025; 2026-2030 tables in pesos of 2026. Ratios to GDP are comparable; peso levels across the two blocks are not.</t>
  </si>
  <si>
    <t xml:space="preserve">National accounts breaks</t>
  </si>
  <si>
    <t xml:space="preserve">The 2001-2025 balance series spans four national accounts benchmarks (2003, 2008, 2013, 2018). Comparable in direction, not to the decimal, across breaks.</t>
  </si>
  <si>
    <t xml:space="preserve">Superseded debt path</t>
  </si>
  <si>
    <t xml:space="preserve">Any gross debt projection published before May 2026 is superseded by the re-estimation in this report.</t>
  </si>
  <si>
    <t xml:space="preserve">Targets not yet set</t>
  </si>
  <si>
    <t xml:space="preserve">The medium-term path here is explicitly NOT the administration's target. The binding structural targets were due in a new fiscal policy decree in June 2026. Verify before use.</t>
  </si>
  <si>
    <t xml:space="preserve">Not yet included</t>
  </si>
  <si>
    <t xml:space="preserve">The National Reconstruction and Economic and Social Development bill is excluded from the macro scenario and from the fiscal projections.</t>
  </si>
  <si>
    <t xml:space="preserve">Prepared</t>
  </si>
  <si>
    <t xml:space="preserve">4 August 2026.</t>
  </si>
</sst>
</file>

<file path=xl/styles.xml><?xml version="1.0" encoding="utf-8"?>
<styleSheet xmlns="http://schemas.openxmlformats.org/spreadsheetml/2006/main">
  <numFmts count="7">
    <numFmt numFmtId="164" formatCode="General"/>
    <numFmt numFmtId="165" formatCode="0"/>
    <numFmt numFmtId="166" formatCode="\+0.0;\-0.0;\-"/>
    <numFmt numFmtId="167" formatCode="0.0"/>
    <numFmt numFmtId="168" formatCode="#,##0;\(#,##0\);\-"/>
    <numFmt numFmtId="169" formatCode="#,##0"/>
    <numFmt numFmtId="170"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9"/>
      <color rgb="FF1A1A1A"/>
      <name val="Arial"/>
      <family val="0"/>
      <charset val="1"/>
    </font>
    <font>
      <sz val="9"/>
      <color rgb="FF1A1A1A"/>
      <name val="Arial"/>
      <family val="0"/>
      <charset val="1"/>
    </font>
    <font>
      <sz val="9"/>
      <color rgb="FF0000FF"/>
      <name val="Arial"/>
      <family val="0"/>
      <charset val="1"/>
    </font>
    <font>
      <sz val="8"/>
      <color rgb="FF6B6B6B"/>
      <name val="Arial"/>
      <family val="0"/>
      <charset val="1"/>
    </font>
    <font>
      <b val="true"/>
      <sz val="9"/>
      <color rgb="FF0000FF"/>
      <name val="Arial"/>
      <family val="0"/>
      <charset val="1"/>
    </font>
    <font>
      <i val="true"/>
      <sz val="8"/>
      <color rgb="FF6B6B6B"/>
      <name val="Arial"/>
      <family val="0"/>
      <charset val="1"/>
    </font>
    <font>
      <b val="true"/>
      <sz val="18"/>
      <color rgb="FF000000"/>
      <name val="Calibri"/>
      <family val="2"/>
    </font>
    <font>
      <sz val="10"/>
      <color rgb="FF000000"/>
      <name val="Calibri"/>
      <family val="2"/>
    </font>
    <font>
      <sz val="9"/>
      <color rgb="FF6B6B6B"/>
      <name val="Arial"/>
      <family val="0"/>
      <charset val="1"/>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C00000"/>
        <sz val="9"/>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1F3B63"/>
      <rgbColor rgb="FF339966"/>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Effective vs structural balance, 2001-2025 (% of GDP)</a:t>
            </a:r>
          </a:p>
        </c:rich>
      </c:tx>
      <c:overlay val="0"/>
      <c:spPr>
        <a:noFill/>
        <a:ln w="0">
          <a:noFill/>
        </a:ln>
      </c:spPr>
    </c:title>
    <c:autoTitleDeleted val="0"/>
    <c:plotArea>
      <c:lineChart>
        <c:grouping val="standard"/>
        <c:varyColors val="0"/>
        <c:ser>
          <c:idx val="0"/>
          <c:order val="0"/>
          <c:tx>
            <c:strRef>
              <c:f>'Balances 2001-2025'!C7</c:f>
              <c:strCache>
                <c:ptCount val="1"/>
                <c:pt idx="0">
                  <c:v>Effective balance
(% GDP)</c:v>
                </c:pt>
              </c:strCache>
            </c:strRef>
          </c:tx>
          <c:spPr>
            <a:solidFill>
              <a:srgbClr val="2f5c8f"/>
            </a:solidFill>
            <a:ln w="280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'Balances 2001-2025'!$B$8:$B$32</c:f>
              <c:strCach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strCache>
            </c:strRef>
          </c:cat>
          <c:val>
            <c:numRef>
              <c:f>'Balances 2001-2025'!$C$8:$C$32</c:f>
              <c:numCache>
                <c:formatCode>\+0.0;\-0.0;\-</c:formatCode>
                <c:ptCount val="25"/>
                <c:pt idx="0">
                  <c:v>-0.5</c:v>
                </c:pt>
                <c:pt idx="1">
                  <c:v>-1.2</c:v>
                </c:pt>
                <c:pt idx="2">
                  <c:v>-0.5</c:v>
                </c:pt>
                <c:pt idx="3">
                  <c:v>2.1</c:v>
                </c:pt>
                <c:pt idx="4">
                  <c:v>4.6</c:v>
                </c:pt>
                <c:pt idx="5">
                  <c:v>7.7</c:v>
                </c:pt>
                <c:pt idx="6">
                  <c:v>8.2</c:v>
                </c:pt>
                <c:pt idx="7">
                  <c:v>4.1</c:v>
                </c:pt>
                <c:pt idx="8">
                  <c:v>-4.7</c:v>
                </c:pt>
                <c:pt idx="9">
                  <c:v>-0.5</c:v>
                </c:pt>
                <c:pt idx="10">
                  <c:v>1.3</c:v>
                </c:pt>
                <c:pt idx="11">
                  <c:v>0.6</c:v>
                </c:pt>
                <c:pt idx="12">
                  <c:v>-0.6</c:v>
                </c:pt>
                <c:pt idx="13">
                  <c:v>-1.6</c:v>
                </c:pt>
                <c:pt idx="14">
                  <c:v>-2.2</c:v>
                </c:pt>
                <c:pt idx="15">
                  <c:v>-2.7</c:v>
                </c:pt>
                <c:pt idx="16">
                  <c:v>-2.8</c:v>
                </c:pt>
                <c:pt idx="17">
                  <c:v>-1.7</c:v>
                </c:pt>
                <c:pt idx="18">
                  <c:v>-2.9</c:v>
                </c:pt>
                <c:pt idx="19">
                  <c:v>-7.3</c:v>
                </c:pt>
                <c:pt idx="20">
                  <c:v>-7.7</c:v>
                </c:pt>
                <c:pt idx="21">
                  <c:v>1.1</c:v>
                </c:pt>
                <c:pt idx="22">
                  <c:v>-2.4</c:v>
                </c:pt>
                <c:pt idx="23">
                  <c:v>-2.9</c:v>
                </c:pt>
                <c:pt idx="24">
                  <c:v>-2.8</c:v>
                </c:pt>
              </c:numCache>
            </c:numRef>
          </c:val>
          <c:smooth val="0"/>
        </c:ser>
        <c:ser>
          <c:idx val="1"/>
          <c:order val="1"/>
          <c:tx>
            <c:strRef>
              <c:f>'Balances 2001-2025'!D7</c:f>
              <c:strCache>
                <c:ptCount val="1"/>
                <c:pt idx="0">
                  <c:v>Structural balance
(% GDP)</c:v>
                </c:pt>
              </c:strCache>
            </c:strRef>
          </c:tx>
          <c:spPr>
            <a:solidFill>
              <a:srgbClr val="d1495b"/>
            </a:solidFill>
            <a:ln w="2808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'Balances 2001-2025'!$B$8:$B$32</c:f>
              <c:strCach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strCache>
            </c:strRef>
          </c:cat>
          <c:val>
            <c:numRef>
              <c:f>'Balances 2001-2025'!$D$8:$D$32</c:f>
              <c:numCache>
                <c:formatCode>\+0.0;\-0.0;\-</c:formatCode>
                <c:ptCount val="25"/>
                <c:pt idx="0">
                  <c:v>1.1</c:v>
                </c:pt>
                <c:pt idx="1">
                  <c:v>0.8</c:v>
                </c:pt>
                <c:pt idx="2">
                  <c:v>0.8</c:v>
                </c:pt>
                <c:pt idx="3">
                  <c:v>1.1</c:v>
                </c:pt>
                <c:pt idx="4">
                  <c:v>1.1</c:v>
                </c:pt>
                <c:pt idx="5">
                  <c:v>1.4</c:v>
                </c:pt>
                <c:pt idx="6">
                  <c:v>1.1</c:v>
                </c:pt>
                <c:pt idx="7">
                  <c:v>-1</c:v>
                </c:pt>
                <c:pt idx="8">
                  <c:v>-3.4</c:v>
                </c:pt>
                <c:pt idx="9">
                  <c:v>-2.1</c:v>
                </c:pt>
                <c:pt idx="10">
                  <c:v>-1</c:v>
                </c:pt>
                <c:pt idx="11">
                  <c:v>-0.4</c:v>
                </c:pt>
                <c:pt idx="12">
                  <c:v>-0.5</c:v>
                </c:pt>
                <c:pt idx="13">
                  <c:v>-0.5</c:v>
                </c:pt>
                <c:pt idx="14">
                  <c:v>0.5</c:v>
                </c:pt>
                <c:pt idx="15">
                  <c:v>-1.1</c:v>
                </c:pt>
                <c:pt idx="16">
                  <c:v>-2</c:v>
                </c:pt>
                <c:pt idx="17">
                  <c:v>-1.4</c:v>
                </c:pt>
                <c:pt idx="18">
                  <c:v>-1.4</c:v>
                </c:pt>
                <c:pt idx="19">
                  <c:v>-2.7</c:v>
                </c:pt>
                <c:pt idx="20">
                  <c:v>-10.6</c:v>
                </c:pt>
                <c:pt idx="21">
                  <c:v>0.5</c:v>
                </c:pt>
                <c:pt idx="22">
                  <c:v>-2.8</c:v>
                </c:pt>
                <c:pt idx="23">
                  <c:v>-3.3</c:v>
                </c:pt>
                <c:pt idx="24">
                  <c:v>-3.7</c:v>
                </c:pt>
              </c:numCache>
            </c:numRef>
          </c:val>
          <c:smooth val="0"/>
        </c:ser>
        <c:hiLowLines>
          <c:spPr>
            <a:ln w="0">
              <a:noFill/>
            </a:ln>
          </c:spPr>
        </c:hiLowLines>
        <c:marker val="0"/>
        <c:axId val="82270406"/>
        <c:axId val="44187418"/>
      </c:lineChart>
      <c:catAx>
        <c:axId val="82270406"/>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187418"/>
        <c:crosses val="autoZero"/>
        <c:auto val="1"/>
        <c:lblAlgn val="ctr"/>
        <c:lblOffset val="100"/>
        <c:noMultiLvlLbl val="0"/>
      </c:catAx>
      <c:valAx>
        <c:axId val="4418741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2704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2025 spending by line (MM$)</a:t>
            </a:r>
          </a:p>
        </c:rich>
      </c:tx>
      <c:overlay val="0"/>
      <c:spPr>
        <a:noFill/>
        <a:ln w="0">
          <a:noFill/>
        </a:ln>
      </c:spPr>
    </c:title>
    <c:autoTitleDeleted val="0"/>
    <c:plotArea>
      <c:barChart>
        <c:barDir val="col"/>
        <c:grouping val="clustered"/>
        <c:varyColors val="0"/>
        <c:ser>
          <c:idx val="0"/>
          <c:order val="0"/>
          <c:tx>
            <c:strRef>
              <c:f>"2025"</c:f>
              <c:strCache>
                <c:ptCount val="1"/>
                <c:pt idx="0">
                  <c:v>2025</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'2025 close'!$B$34:$B$39</c:f>
              <c:strCache>
                <c:ptCount val="6"/>
                <c:pt idx="0">
                  <c:v>Personnel</c:v>
                </c:pt>
                <c:pt idx="1">
                  <c:v>Goods and services</c:v>
                </c:pt>
                <c:pt idx="2">
                  <c:v>Interest</c:v>
                </c:pt>
                <c:pt idx="3">
                  <c:v>Subsidies and grants</c:v>
                </c:pt>
                <c:pt idx="4">
                  <c:v>Pension benefits</c:v>
                </c:pt>
                <c:pt idx="5">
                  <c:v>Other current</c:v>
                </c:pt>
              </c:strCache>
            </c:strRef>
          </c:cat>
          <c:val>
            <c:numRef>
              <c:f>'2025 close'!$D$33:$D$39</c:f>
              <c:numCache>
                <c:formatCode>#,##0;\(#,##0\);\-</c:formatCode>
                <c:ptCount val="7"/>
                <c:pt idx="1">
                  <c:v>17168267</c:v>
                </c:pt>
                <c:pt idx="2">
                  <c:v>6826696</c:v>
                </c:pt>
                <c:pt idx="3">
                  <c:v>4205784</c:v>
                </c:pt>
                <c:pt idx="4">
                  <c:v>26578973</c:v>
                </c:pt>
                <c:pt idx="5">
                  <c:v>16312818</c:v>
                </c:pt>
                <c:pt idx="6">
                  <c:v>340463</c:v>
                </c:pt>
              </c:numCache>
            </c:numRef>
          </c:val>
        </c:ser>
        <c:gapWidth val="150"/>
        <c:overlap val="0"/>
        <c:axId val="49147567"/>
        <c:axId val="24359261"/>
      </c:barChart>
      <c:catAx>
        <c:axId val="491475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359261"/>
        <c:crosses val="autoZero"/>
        <c:auto val="1"/>
        <c:lblAlgn val="ctr"/>
        <c:lblOffset val="100"/>
        <c:noMultiLvlLbl val="0"/>
      </c:catAx>
      <c:valAx>
        <c:axId val="2435926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475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debt vs the prudent level (% of GDP)</a:t>
            </a:r>
          </a:p>
        </c:rich>
      </c:tx>
      <c:overlay val="0"/>
      <c:spPr>
        <a:noFill/>
        <a:ln w="0">
          <a:noFill/>
        </a:ln>
      </c:spPr>
    </c:title>
    <c:autoTitleDeleted val="0"/>
    <c:plotArea>
      <c:lineChart>
        <c:grouping val="standard"/>
        <c:varyColors val="0"/>
        <c:ser>
          <c:idx val="0"/>
          <c:order val="0"/>
          <c:tx>
            <c:strRef>
              <c:f>'Debt burden'!D7</c:f>
              <c:strCache>
                <c:ptCount val="1"/>
                <c:pt idx="0">
                  <c:v>Gross debt
(% GDP)</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'Debt burden'!$B$8:$B$13</c:f>
              <c:strCache>
                <c:ptCount val="6"/>
                <c:pt idx="0">
                  <c:v>2025</c:v>
                </c:pt>
                <c:pt idx="1">
                  <c:v>2026</c:v>
                </c:pt>
                <c:pt idx="2">
                  <c:v>2027</c:v>
                </c:pt>
                <c:pt idx="3">
                  <c:v>2028</c:v>
                </c:pt>
                <c:pt idx="4">
                  <c:v>2029</c:v>
                </c:pt>
                <c:pt idx="5">
                  <c:v>2030</c:v>
                </c:pt>
              </c:strCache>
            </c:strRef>
          </c:cat>
          <c:val>
            <c:numRef>
              <c:f>'Debt burden'!$D$8:$D$13</c:f>
              <c:numCache>
                <c:formatCode>#,##0.0;\(#,##0.0\);\-</c:formatCode>
                <c:ptCount val="6"/>
                <c:pt idx="0">
                  <c:v>41.5</c:v>
                </c:pt>
                <c:pt idx="1">
                  <c:v>43.1</c:v>
                </c:pt>
                <c:pt idx="2">
                  <c:v>44.4</c:v>
                </c:pt>
                <c:pt idx="3">
                  <c:v>45.4</c:v>
                </c:pt>
                <c:pt idx="4">
                  <c:v>46.3</c:v>
                </c:pt>
                <c:pt idx="5">
                  <c:v>46.5</c:v>
                </c:pt>
              </c:numCache>
            </c:numRef>
          </c:val>
          <c:smooth val="0"/>
        </c:ser>
        <c:ser>
          <c:idx val="1"/>
          <c:order val="1"/>
          <c:tx>
            <c:strRef>
              <c:f>'Debt burden'!E7</c:f>
              <c:strCache>
                <c:ptCount val="1"/>
                <c:pt idx="0">
                  <c:v>Prudent level
(% GDP)</c:v>
                </c:pt>
              </c:strCache>
            </c:strRef>
          </c:tx>
          <c:spPr>
            <a:solidFill>
              <a:srgbClr val="d1495b"/>
            </a:solidFill>
            <a:ln w="201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'Debt burden'!$B$8:$B$13</c:f>
              <c:strCache>
                <c:ptCount val="6"/>
                <c:pt idx="0">
                  <c:v>2025</c:v>
                </c:pt>
                <c:pt idx="1">
                  <c:v>2026</c:v>
                </c:pt>
                <c:pt idx="2">
                  <c:v>2027</c:v>
                </c:pt>
                <c:pt idx="3">
                  <c:v>2028</c:v>
                </c:pt>
                <c:pt idx="4">
                  <c:v>2029</c:v>
                </c:pt>
                <c:pt idx="5">
                  <c:v>2030</c:v>
                </c:pt>
              </c:strCache>
            </c:strRef>
          </c:cat>
          <c:val>
            <c:numRef>
              <c:f>'Debt burden'!$E$8:$E$13</c:f>
              <c:numCache>
                <c:formatCode>#,##0.0;\(#,##0.0\);\-</c:formatCode>
                <c:ptCount val="6"/>
                <c:pt idx="0">
                  <c:v>45</c:v>
                </c:pt>
                <c:pt idx="1">
                  <c:v>45</c:v>
                </c:pt>
                <c:pt idx="2">
                  <c:v>45</c:v>
                </c:pt>
                <c:pt idx="3">
                  <c:v>45</c:v>
                </c:pt>
                <c:pt idx="4">
                  <c:v>45</c:v>
                </c:pt>
                <c:pt idx="5">
                  <c:v>45</c:v>
                </c:pt>
              </c:numCache>
            </c:numRef>
          </c:val>
          <c:smooth val="0"/>
        </c:ser>
        <c:hiLowLines>
          <c:spPr>
            <a:ln w="0">
              <a:noFill/>
            </a:ln>
          </c:spPr>
        </c:hiLowLines>
        <c:marker val="0"/>
        <c:axId val="76490009"/>
        <c:axId val="85622167"/>
      </c:lineChart>
      <c:catAx>
        <c:axId val="7649000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22167"/>
        <c:crosses val="autoZero"/>
        <c:auto val="1"/>
        <c:lblAlgn val="ctr"/>
        <c:lblOffset val="100"/>
        <c:noMultiLvlLbl val="0"/>
      </c:catAx>
      <c:valAx>
        <c:axId val="8562216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4900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25</xdr:col>
      <xdr:colOff>512280</xdr:colOff>
      <xdr:row>27</xdr:row>
      <xdr:rowOff>60120</xdr:rowOff>
    </xdr:to>
    <xdr:graphicFrame>
      <xdr:nvGraphicFramePr>
        <xdr:cNvPr id="0" name="Chart 1"/>
        <xdr:cNvGraphicFramePr/>
      </xdr:nvGraphicFramePr>
      <xdr:xfrm>
        <a:off x="7095960" y="895320"/>
        <a:ext cx="115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32</xdr:row>
      <xdr:rowOff>0</xdr:rowOff>
    </xdr:from>
    <xdr:to>
      <xdr:col>24</xdr:col>
      <xdr:colOff>403920</xdr:colOff>
      <xdr:row>53</xdr:row>
      <xdr:rowOff>81000</xdr:rowOff>
    </xdr:to>
    <xdr:graphicFrame>
      <xdr:nvGraphicFramePr>
        <xdr:cNvPr id="1" name="Chart 1"/>
        <xdr:cNvGraphicFramePr/>
      </xdr:nvGraphicFramePr>
      <xdr:xfrm>
        <a:off x="7589520" y="67057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26</xdr:col>
      <xdr:colOff>404280</xdr:colOff>
      <xdr:row>25</xdr:row>
      <xdr:rowOff>81000</xdr:rowOff>
    </xdr:to>
    <xdr:graphicFrame>
      <xdr:nvGraphicFramePr>
        <xdr:cNvPr id="2" name="Chart 1"/>
        <xdr:cNvGraphicFramePr/>
      </xdr:nvGraphicFramePr>
      <xdr:xfrm>
        <a:off x="773064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04"/>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1.75" hidden="false" customHeight="true" outlineLevel="0" collapsed="false">
      <c r="B6" s="4" t="s">
        <v>3</v>
      </c>
      <c r="C6" s="5" t="s">
        <v>4</v>
      </c>
    </row>
    <row r="7" customFormat="false" ht="33" hidden="false" customHeight="true" outlineLevel="0" collapsed="false">
      <c r="B7" s="4" t="s">
        <v>5</v>
      </c>
      <c r="C7" s="5" t="s">
        <v>6</v>
      </c>
    </row>
    <row r="8" customFormat="false" ht="21.75" hidden="false" customHeight="true" outlineLevel="0" collapsed="false">
      <c r="B8" s="4" t="s">
        <v>7</v>
      </c>
      <c r="C8" s="5" t="s">
        <v>8</v>
      </c>
    </row>
    <row r="9" customFormat="false" ht="33" hidden="false" customHeight="true" outlineLevel="0" collapsed="false">
      <c r="B9" s="4" t="s">
        <v>9</v>
      </c>
      <c r="C9" s="5" t="s">
        <v>10</v>
      </c>
    </row>
    <row r="10" customFormat="false" ht="15" hidden="false" customHeight="false" outlineLevel="0" collapsed="false">
      <c r="B10" s="3"/>
    </row>
    <row r="11" customFormat="false" ht="15" hidden="false" customHeight="false" outlineLevel="0" collapsed="false">
      <c r="B11" s="3" t="s">
        <v>11</v>
      </c>
    </row>
    <row r="12" customFormat="false" ht="33" hidden="false" customHeight="true" outlineLevel="0" collapsed="false">
      <c r="B12" s="4" t="s">
        <v>12</v>
      </c>
      <c r="C12" s="5" t="s">
        <v>13</v>
      </c>
    </row>
    <row r="13" customFormat="false" ht="33" hidden="false" customHeight="true" outlineLevel="0" collapsed="false">
      <c r="B13" s="4" t="s">
        <v>14</v>
      </c>
      <c r="C13" s="5" t="s">
        <v>15</v>
      </c>
    </row>
    <row r="14" customFormat="false" ht="21.75" hidden="false" customHeight="true" outlineLevel="0" collapsed="false">
      <c r="B14" s="4" t="s">
        <v>16</v>
      </c>
      <c r="C14" s="5" t="s">
        <v>17</v>
      </c>
    </row>
    <row r="15" customFormat="false" ht="21.75" hidden="false" customHeight="true" outlineLevel="0" collapsed="false">
      <c r="B15" s="4" t="s">
        <v>18</v>
      </c>
      <c r="C15" s="5" t="s">
        <v>19</v>
      </c>
    </row>
    <row r="16" customFormat="false" ht="15" hidden="false" customHeight="false" outlineLevel="0" collapsed="false">
      <c r="B16" s="3"/>
    </row>
    <row r="17" customFormat="false" ht="15" hidden="false" customHeight="false" outlineLevel="0" collapsed="false">
      <c r="B17" s="3" t="s">
        <v>20</v>
      </c>
    </row>
    <row r="18" customFormat="false" ht="33" hidden="false" customHeight="true" outlineLevel="0" collapsed="false">
      <c r="B18" s="4" t="s">
        <v>21</v>
      </c>
      <c r="C18" s="5" t="s">
        <v>22</v>
      </c>
    </row>
    <row r="19" customFormat="false" ht="21.75" hidden="false" customHeight="true" outlineLevel="0" collapsed="false">
      <c r="B19" s="4" t="s">
        <v>23</v>
      </c>
      <c r="C19"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4" min="3" style="0" width="16"/>
    <col collapsed="false" customWidth="true" hidden="false" outlineLevel="0" max="5" min="5" style="0" width="18"/>
    <col collapsed="false" customWidth="true" hidden="false" outlineLevel="0" max="6" min="6" style="0" width="30"/>
  </cols>
  <sheetData>
    <row r="2" customFormat="false" ht="25.5" hidden="false" customHeight="true" outlineLevel="0" collapsed="false">
      <c r="B2" s="1" t="s">
        <v>25</v>
      </c>
    </row>
    <row r="3" customFormat="false" ht="15" hidden="false" customHeight="false" outlineLevel="0" collapsed="false">
      <c r="B3" s="2" t="s">
        <v>26</v>
      </c>
    </row>
    <row r="7" customFormat="false" ht="33.75" hidden="false" customHeight="true" outlineLevel="0" collapsed="false">
      <c r="B7" s="6" t="s">
        <v>27</v>
      </c>
      <c r="C7" s="6" t="s">
        <v>28</v>
      </c>
      <c r="D7" s="6" t="s">
        <v>29</v>
      </c>
      <c r="E7" s="6" t="s">
        <v>30</v>
      </c>
      <c r="F7" s="6" t="s">
        <v>31</v>
      </c>
    </row>
    <row r="8" customFormat="false" ht="15" hidden="false" customHeight="false" outlineLevel="0" collapsed="false">
      <c r="B8" s="7" t="n">
        <v>2001</v>
      </c>
      <c r="C8" s="8" t="n">
        <v>-0.5</v>
      </c>
      <c r="D8" s="8" t="n">
        <v>1.1</v>
      </c>
      <c r="E8" s="9" t="n">
        <f aca="false">D8-C8</f>
        <v>1.6</v>
      </c>
      <c r="F8" s="10" t="s">
        <v>32</v>
      </c>
    </row>
    <row r="9" customFormat="false" ht="15" hidden="false" customHeight="false" outlineLevel="0" collapsed="false">
      <c r="B9" s="7" t="n">
        <v>2002</v>
      </c>
      <c r="C9" s="8" t="n">
        <v>-1.2</v>
      </c>
      <c r="D9" s="8" t="n">
        <v>0.8</v>
      </c>
      <c r="E9" s="9" t="n">
        <f aca="false">D9-C9</f>
        <v>2</v>
      </c>
      <c r="F9" s="10" t="s">
        <v>32</v>
      </c>
    </row>
    <row r="10" customFormat="false" ht="15" hidden="false" customHeight="false" outlineLevel="0" collapsed="false">
      <c r="B10" s="7" t="n">
        <v>2003</v>
      </c>
      <c r="C10" s="8" t="n">
        <v>-0.5</v>
      </c>
      <c r="D10" s="8" t="n">
        <v>0.8</v>
      </c>
      <c r="E10" s="9" t="n">
        <f aca="false">D10-C10</f>
        <v>1.3</v>
      </c>
      <c r="F10" s="10" t="s">
        <v>32</v>
      </c>
    </row>
    <row r="11" customFormat="false" ht="15" hidden="false" customHeight="false" outlineLevel="0" collapsed="false">
      <c r="B11" s="7" t="n">
        <v>2004</v>
      </c>
      <c r="C11" s="8" t="n">
        <v>2.1</v>
      </c>
      <c r="D11" s="8" t="n">
        <v>1.1</v>
      </c>
      <c r="E11" s="9" t="n">
        <f aca="false">D11-C11</f>
        <v>-1</v>
      </c>
      <c r="F11" s="10" t="s">
        <v>32</v>
      </c>
    </row>
    <row r="12" customFormat="false" ht="15" hidden="false" customHeight="false" outlineLevel="0" collapsed="false">
      <c r="B12" s="7" t="n">
        <v>2005</v>
      </c>
      <c r="C12" s="8" t="n">
        <v>4.6</v>
      </c>
      <c r="D12" s="8" t="n">
        <v>1.1</v>
      </c>
      <c r="E12" s="9" t="n">
        <f aca="false">D12-C12</f>
        <v>-3.5</v>
      </c>
      <c r="F12" s="10" t="s">
        <v>32</v>
      </c>
    </row>
    <row r="13" customFormat="false" ht="15" hidden="false" customHeight="false" outlineLevel="0" collapsed="false">
      <c r="B13" s="7" t="n">
        <v>2006</v>
      </c>
      <c r="C13" s="8" t="n">
        <v>7.7</v>
      </c>
      <c r="D13" s="8" t="n">
        <v>1.4</v>
      </c>
      <c r="E13" s="9" t="n">
        <f aca="false">D13-C13</f>
        <v>-6.3</v>
      </c>
      <c r="F13" s="10" t="s">
        <v>33</v>
      </c>
    </row>
    <row r="14" customFormat="false" ht="15" hidden="false" customHeight="false" outlineLevel="0" collapsed="false">
      <c r="B14" s="7" t="n">
        <v>2007</v>
      </c>
      <c r="C14" s="8" t="n">
        <v>8.2</v>
      </c>
      <c r="D14" s="8" t="n">
        <v>1.1</v>
      </c>
      <c r="E14" s="9" t="n">
        <f aca="false">D14-C14</f>
        <v>-7.1</v>
      </c>
      <c r="F14" s="10" t="s">
        <v>33</v>
      </c>
    </row>
    <row r="15" customFormat="false" ht="15" hidden="false" customHeight="false" outlineLevel="0" collapsed="false">
      <c r="B15" s="7" t="n">
        <v>2008</v>
      </c>
      <c r="C15" s="8" t="n">
        <v>4.1</v>
      </c>
      <c r="D15" s="8" t="n">
        <v>-1</v>
      </c>
      <c r="E15" s="9" t="n">
        <f aca="false">D15-C15</f>
        <v>-5.1</v>
      </c>
      <c r="F15" s="10" t="s">
        <v>33</v>
      </c>
    </row>
    <row r="16" customFormat="false" ht="15" hidden="false" customHeight="false" outlineLevel="0" collapsed="false">
      <c r="B16" s="7" t="n">
        <v>2009</v>
      </c>
      <c r="C16" s="8" t="n">
        <v>-4.7</v>
      </c>
      <c r="D16" s="8" t="n">
        <v>-3.4</v>
      </c>
      <c r="E16" s="9" t="n">
        <f aca="false">D16-C16</f>
        <v>1.3</v>
      </c>
      <c r="F16" s="10" t="s">
        <v>33</v>
      </c>
    </row>
    <row r="17" customFormat="false" ht="15" hidden="false" customHeight="false" outlineLevel="0" collapsed="false">
      <c r="B17" s="7" t="n">
        <v>2010</v>
      </c>
      <c r="C17" s="8" t="n">
        <v>-0.5</v>
      </c>
      <c r="D17" s="8" t="n">
        <v>-2.1</v>
      </c>
      <c r="E17" s="9" t="n">
        <f aca="false">D17-C17</f>
        <v>-1.6</v>
      </c>
      <c r="F17" s="10" t="s">
        <v>34</v>
      </c>
    </row>
    <row r="18" customFormat="false" ht="15" hidden="false" customHeight="false" outlineLevel="0" collapsed="false">
      <c r="B18" s="7" t="n">
        <v>2011</v>
      </c>
      <c r="C18" s="8" t="n">
        <v>1.3</v>
      </c>
      <c r="D18" s="8" t="n">
        <v>-1</v>
      </c>
      <c r="E18" s="9" t="n">
        <f aca="false">D18-C18</f>
        <v>-2.3</v>
      </c>
      <c r="F18" s="10" t="s">
        <v>34</v>
      </c>
    </row>
    <row r="19" customFormat="false" ht="15" hidden="false" customHeight="false" outlineLevel="0" collapsed="false">
      <c r="B19" s="7" t="n">
        <v>2012</v>
      </c>
      <c r="C19" s="8" t="n">
        <v>0.6</v>
      </c>
      <c r="D19" s="8" t="n">
        <v>-0.4</v>
      </c>
      <c r="E19" s="9" t="n">
        <f aca="false">D19-C19</f>
        <v>-1</v>
      </c>
      <c r="F19" s="10" t="s">
        <v>34</v>
      </c>
    </row>
    <row r="20" customFormat="false" ht="15" hidden="false" customHeight="false" outlineLevel="0" collapsed="false">
      <c r="B20" s="7" t="n">
        <v>2013</v>
      </c>
      <c r="C20" s="8" t="n">
        <v>-0.6</v>
      </c>
      <c r="D20" s="8" t="n">
        <v>-0.5</v>
      </c>
      <c r="E20" s="9" t="n">
        <f aca="false">D20-C20</f>
        <v>0.1</v>
      </c>
      <c r="F20" s="10" t="s">
        <v>34</v>
      </c>
    </row>
    <row r="21" customFormat="false" ht="15" hidden="false" customHeight="false" outlineLevel="0" collapsed="false">
      <c r="B21" s="7" t="n">
        <v>2014</v>
      </c>
      <c r="C21" s="8" t="n">
        <v>-1.6</v>
      </c>
      <c r="D21" s="8" t="n">
        <v>-0.5</v>
      </c>
      <c r="E21" s="9" t="n">
        <f aca="false">D21-C21</f>
        <v>1.1</v>
      </c>
      <c r="F21" s="10" t="s">
        <v>35</v>
      </c>
    </row>
    <row r="22" customFormat="false" ht="15" hidden="false" customHeight="false" outlineLevel="0" collapsed="false">
      <c r="B22" s="7" t="n">
        <v>2015</v>
      </c>
      <c r="C22" s="8" t="n">
        <v>-2.2</v>
      </c>
      <c r="D22" s="8" t="n">
        <v>0.5</v>
      </c>
      <c r="E22" s="9" t="n">
        <f aca="false">D22-C22</f>
        <v>2.7</v>
      </c>
      <c r="F22" s="10" t="s">
        <v>35</v>
      </c>
    </row>
    <row r="23" customFormat="false" ht="15" hidden="false" customHeight="false" outlineLevel="0" collapsed="false">
      <c r="B23" s="7" t="n">
        <v>2016</v>
      </c>
      <c r="C23" s="8" t="n">
        <v>-2.7</v>
      </c>
      <c r="D23" s="8" t="n">
        <v>-1.1</v>
      </c>
      <c r="E23" s="9" t="n">
        <f aca="false">D23-C23</f>
        <v>1.6</v>
      </c>
      <c r="F23" s="10" t="s">
        <v>35</v>
      </c>
    </row>
    <row r="24" customFormat="false" ht="15" hidden="false" customHeight="false" outlineLevel="0" collapsed="false">
      <c r="B24" s="7" t="n">
        <v>2017</v>
      </c>
      <c r="C24" s="8" t="n">
        <v>-2.8</v>
      </c>
      <c r="D24" s="8" t="n">
        <v>-2</v>
      </c>
      <c r="E24" s="9" t="n">
        <f aca="false">D24-C24</f>
        <v>0.8</v>
      </c>
      <c r="F24" s="10" t="s">
        <v>35</v>
      </c>
    </row>
    <row r="25" customFormat="false" ht="15" hidden="false" customHeight="false" outlineLevel="0" collapsed="false">
      <c r="B25" s="7" t="n">
        <v>2018</v>
      </c>
      <c r="C25" s="8" t="n">
        <v>-1.7</v>
      </c>
      <c r="D25" s="8" t="n">
        <v>-1.4</v>
      </c>
      <c r="E25" s="9" t="n">
        <f aca="false">D25-C25</f>
        <v>0.3</v>
      </c>
      <c r="F25" s="10" t="s">
        <v>36</v>
      </c>
    </row>
    <row r="26" customFormat="false" ht="15" hidden="false" customHeight="false" outlineLevel="0" collapsed="false">
      <c r="B26" s="7" t="n">
        <v>2019</v>
      </c>
      <c r="C26" s="8" t="n">
        <v>-2.9</v>
      </c>
      <c r="D26" s="8" t="n">
        <v>-1.4</v>
      </c>
      <c r="E26" s="9" t="n">
        <f aca="false">D26-C26</f>
        <v>1.5</v>
      </c>
      <c r="F26" s="10" t="s">
        <v>36</v>
      </c>
    </row>
    <row r="27" customFormat="false" ht="15" hidden="false" customHeight="false" outlineLevel="0" collapsed="false">
      <c r="B27" s="7" t="n">
        <v>2020</v>
      </c>
      <c r="C27" s="8" t="n">
        <v>-7.3</v>
      </c>
      <c r="D27" s="8" t="n">
        <v>-2.7</v>
      </c>
      <c r="E27" s="9" t="n">
        <f aca="false">D27-C27</f>
        <v>4.6</v>
      </c>
      <c r="F27" s="10" t="s">
        <v>36</v>
      </c>
    </row>
    <row r="28" customFormat="false" ht="15" hidden="false" customHeight="false" outlineLevel="0" collapsed="false">
      <c r="B28" s="7" t="n">
        <v>2021</v>
      </c>
      <c r="C28" s="8" t="n">
        <v>-7.7</v>
      </c>
      <c r="D28" s="8" t="n">
        <v>-10.6</v>
      </c>
      <c r="E28" s="9" t="n">
        <f aca="false">D28-C28</f>
        <v>-2.9</v>
      </c>
      <c r="F28" s="10" t="s">
        <v>36</v>
      </c>
    </row>
    <row r="29" customFormat="false" ht="15" hidden="false" customHeight="false" outlineLevel="0" collapsed="false">
      <c r="B29" s="7" t="n">
        <v>2022</v>
      </c>
      <c r="C29" s="8" t="n">
        <v>1.1</v>
      </c>
      <c r="D29" s="8" t="n">
        <v>0.5</v>
      </c>
      <c r="E29" s="9" t="n">
        <f aca="false">D29-C29</f>
        <v>-0.6</v>
      </c>
      <c r="F29" s="10" t="s">
        <v>37</v>
      </c>
    </row>
    <row r="30" customFormat="false" ht="15" hidden="false" customHeight="false" outlineLevel="0" collapsed="false">
      <c r="B30" s="7" t="n">
        <v>2023</v>
      </c>
      <c r="C30" s="8" t="n">
        <v>-2.4</v>
      </c>
      <c r="D30" s="8" t="n">
        <v>-2.8</v>
      </c>
      <c r="E30" s="9" t="n">
        <f aca="false">D30-C30</f>
        <v>-0.4</v>
      </c>
      <c r="F30" s="10" t="s">
        <v>37</v>
      </c>
    </row>
    <row r="31" customFormat="false" ht="15" hidden="false" customHeight="false" outlineLevel="0" collapsed="false">
      <c r="B31" s="7" t="n">
        <v>2024</v>
      </c>
      <c r="C31" s="8" t="n">
        <v>-2.9</v>
      </c>
      <c r="D31" s="8" t="n">
        <v>-3.3</v>
      </c>
      <c r="E31" s="9" t="n">
        <f aca="false">D31-C31</f>
        <v>-0.4</v>
      </c>
      <c r="F31" s="10" t="s">
        <v>37</v>
      </c>
    </row>
    <row r="32" customFormat="false" ht="15" hidden="false" customHeight="false" outlineLevel="0" collapsed="false">
      <c r="B32" s="7" t="n">
        <v>2025</v>
      </c>
      <c r="C32" s="8" t="n">
        <v>-2.8</v>
      </c>
      <c r="D32" s="11" t="n">
        <v>-3.7</v>
      </c>
      <c r="E32" s="9" t="n">
        <f aca="false">D32-C32</f>
        <v>-0.9</v>
      </c>
      <c r="F32" s="10" t="s">
        <v>37</v>
      </c>
    </row>
    <row r="34" customFormat="false" ht="15" hidden="false" customHeight="false" outlineLevel="0" collapsed="false">
      <c r="B34" s="12" t="s">
        <v>38</v>
      </c>
    </row>
    <row r="35" customFormat="false" ht="15" hidden="false" customHeight="false" outlineLevel="0" collapsed="false">
      <c r="B35" s="12" t="s">
        <v>39</v>
      </c>
    </row>
    <row r="36" customFormat="false" ht="15" hidden="false" customHeight="false" outlineLevel="0" collapsed="false">
      <c r="B36" s="12" t="s">
        <v>40</v>
      </c>
    </row>
  </sheetData>
  <conditionalFormatting sqref="C8:E32">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4" min="3" style="0" width="16"/>
    <col collapsed="false" customWidth="true" hidden="false" outlineLevel="0" max="5" min="5" style="0" width="13"/>
    <col collapsed="false" customWidth="true" hidden="false" outlineLevel="0" max="6" min="6" style="0" width="18"/>
  </cols>
  <sheetData>
    <row r="2" customFormat="false" ht="25.5" hidden="false" customHeight="true" outlineLevel="0" collapsed="false">
      <c r="B2" s="1" t="s">
        <v>41</v>
      </c>
    </row>
    <row r="3" customFormat="false" ht="15" hidden="false" customHeight="false" outlineLevel="0" collapsed="false">
      <c r="B3" s="2" t="s">
        <v>42</v>
      </c>
    </row>
    <row r="5" customFormat="false" ht="15" hidden="false" customHeight="false" outlineLevel="0" collapsed="false">
      <c r="B5" s="3" t="s">
        <v>43</v>
      </c>
    </row>
    <row r="6" customFormat="false" ht="33.75" hidden="false" customHeight="true" outlineLevel="0" collapsed="false">
      <c r="B6" s="6" t="s">
        <v>44</v>
      </c>
      <c r="C6" s="6" t="s">
        <v>45</v>
      </c>
      <c r="D6" s="6" t="s">
        <v>46</v>
      </c>
      <c r="E6" s="6" t="s">
        <v>47</v>
      </c>
    </row>
    <row r="7" customFormat="false" ht="15" hidden="false" customHeight="false" outlineLevel="0" collapsed="false">
      <c r="B7" s="13" t="s">
        <v>48</v>
      </c>
      <c r="C7" s="14" t="n">
        <v>73416241</v>
      </c>
      <c r="D7" s="9" t="n">
        <v>21.6</v>
      </c>
      <c r="E7" s="9" t="n">
        <v>3.7</v>
      </c>
    </row>
    <row r="8" customFormat="false" ht="15" hidden="false" customHeight="false" outlineLevel="0" collapsed="false">
      <c r="B8" s="13" t="s">
        <v>49</v>
      </c>
      <c r="C8" s="14" t="n">
        <v>82941751</v>
      </c>
      <c r="D8" s="9" t="n">
        <v>24.4</v>
      </c>
      <c r="E8" s="9" t="n">
        <v>3.6</v>
      </c>
    </row>
    <row r="9" customFormat="false" ht="15" hidden="false" customHeight="false" outlineLevel="0" collapsed="false">
      <c r="B9" s="4" t="s">
        <v>50</v>
      </c>
      <c r="C9" s="15" t="n">
        <v>-9525510</v>
      </c>
      <c r="D9" s="16" t="n">
        <v>-2.8</v>
      </c>
    </row>
    <row r="10" customFormat="false" ht="15" hidden="false" customHeight="false" outlineLevel="0" collapsed="false">
      <c r="B10" s="4" t="s">
        <v>51</v>
      </c>
      <c r="C10" s="15" t="n">
        <v>-12494031</v>
      </c>
      <c r="D10" s="16" t="n">
        <v>-3.7</v>
      </c>
    </row>
    <row r="11" customFormat="false" ht="15" hidden="false" customHeight="false" outlineLevel="0" collapsed="false">
      <c r="B11" s="4" t="s">
        <v>52</v>
      </c>
      <c r="C11" s="15" t="n">
        <v>-5941574</v>
      </c>
      <c r="D11" s="16" t="n">
        <v>-1.7</v>
      </c>
    </row>
    <row r="12" customFormat="false" ht="15" hidden="false" customHeight="false" outlineLevel="0" collapsed="false">
      <c r="B12" s="4" t="s">
        <v>53</v>
      </c>
      <c r="C12" s="15" t="n">
        <v>-8910096</v>
      </c>
      <c r="D12" s="16" t="n">
        <v>-2.6</v>
      </c>
    </row>
    <row r="15" customFormat="false" ht="15" hidden="false" customHeight="false" outlineLevel="0" collapsed="false">
      <c r="B15" s="3" t="s">
        <v>54</v>
      </c>
    </row>
    <row r="16" customFormat="false" ht="33.75" hidden="false" customHeight="true" outlineLevel="0" collapsed="false">
      <c r="B16" s="6" t="s">
        <v>44</v>
      </c>
      <c r="C16" s="6" t="s">
        <v>55</v>
      </c>
      <c r="D16" s="6" t="s">
        <v>56</v>
      </c>
      <c r="E16" s="6" t="s">
        <v>47</v>
      </c>
      <c r="F16" s="6" t="s">
        <v>57</v>
      </c>
    </row>
    <row r="17" customFormat="false" ht="15" hidden="false" customHeight="false" outlineLevel="0" collapsed="false">
      <c r="B17" s="13" t="s">
        <v>58</v>
      </c>
      <c r="C17" s="14" t="n">
        <v>58124140</v>
      </c>
      <c r="D17" s="14" t="n">
        <v>60644084</v>
      </c>
      <c r="E17" s="9" t="n">
        <v>4.3</v>
      </c>
      <c r="F17" s="17" t="n">
        <v>-4659623</v>
      </c>
    </row>
    <row r="18" customFormat="false" ht="15" hidden="false" customHeight="false" outlineLevel="0" collapsed="false">
      <c r="B18" s="13" t="s">
        <v>59</v>
      </c>
      <c r="C18" s="14" t="n">
        <v>3592406</v>
      </c>
      <c r="D18" s="14" t="n">
        <v>5288286</v>
      </c>
      <c r="E18" s="9" t="n">
        <v>47.2</v>
      </c>
      <c r="F18" s="17" t="n">
        <v>2439</v>
      </c>
    </row>
    <row r="19" customFormat="false" ht="15" hidden="false" customHeight="false" outlineLevel="0" collapsed="false">
      <c r="B19" s="13" t="s">
        <v>60</v>
      </c>
      <c r="C19" s="14" t="n">
        <v>54531734</v>
      </c>
      <c r="D19" s="14" t="n">
        <v>55355797</v>
      </c>
      <c r="E19" s="9" t="n">
        <v>1.5</v>
      </c>
      <c r="F19" s="17" t="n">
        <v>-4662063</v>
      </c>
    </row>
    <row r="20" customFormat="false" ht="15" hidden="false" customHeight="false" outlineLevel="0" collapsed="false">
      <c r="B20" s="13" t="s">
        <v>61</v>
      </c>
      <c r="C20" s="14" t="n">
        <v>1401752</v>
      </c>
      <c r="D20" s="14" t="n">
        <v>1754209</v>
      </c>
      <c r="E20" s="9" t="n">
        <v>25.1</v>
      </c>
      <c r="F20" s="17" t="n">
        <v>-19846</v>
      </c>
    </row>
    <row r="21" customFormat="false" ht="15" hidden="false" customHeight="false" outlineLevel="0" collapsed="false">
      <c r="B21" s="13" t="s">
        <v>62</v>
      </c>
      <c r="C21" s="14" t="n">
        <v>3842290</v>
      </c>
      <c r="D21" s="14" t="n">
        <v>4366802</v>
      </c>
      <c r="E21" s="9" t="n">
        <v>13.7</v>
      </c>
      <c r="F21" s="17" t="n">
        <v>123756</v>
      </c>
    </row>
    <row r="22" customFormat="false" ht="15" hidden="false" customHeight="false" outlineLevel="0" collapsed="false">
      <c r="B22" s="13" t="s">
        <v>63</v>
      </c>
      <c r="C22" s="14" t="n">
        <v>2026307</v>
      </c>
      <c r="D22" s="14" t="n">
        <v>1765199</v>
      </c>
      <c r="E22" s="9" t="n">
        <v>-12.9</v>
      </c>
      <c r="F22" s="17" t="n">
        <v>-870254</v>
      </c>
    </row>
    <row r="23" customFormat="false" ht="15" hidden="false" customHeight="false" outlineLevel="0" collapsed="false">
      <c r="B23" s="13" t="s">
        <v>64</v>
      </c>
      <c r="C23" s="14" t="n">
        <v>664952</v>
      </c>
      <c r="D23" s="14" t="n">
        <v>320194</v>
      </c>
      <c r="E23" s="9" t="n">
        <v>-51.8</v>
      </c>
      <c r="F23" s="17" t="n">
        <v>-499756</v>
      </c>
    </row>
    <row r="24" customFormat="false" ht="15" hidden="false" customHeight="false" outlineLevel="0" collapsed="false">
      <c r="B24" s="13" t="s">
        <v>65</v>
      </c>
      <c r="C24" s="14" t="n">
        <v>1535849</v>
      </c>
      <c r="D24" s="14" t="n">
        <v>1525751</v>
      </c>
      <c r="E24" s="9" t="n">
        <v>-0.7</v>
      </c>
      <c r="F24" s="17" t="n">
        <v>-39368</v>
      </c>
    </row>
    <row r="25" customFormat="false" ht="15" hidden="false" customHeight="false" outlineLevel="0" collapsed="false">
      <c r="B25" s="13" t="s">
        <v>66</v>
      </c>
      <c r="C25" s="14" t="n">
        <v>3760914</v>
      </c>
      <c r="D25" s="14" t="n">
        <v>3275882</v>
      </c>
      <c r="E25" s="9" t="n">
        <v>-12.9</v>
      </c>
      <c r="F25" s="17" t="n">
        <v>-1127608</v>
      </c>
    </row>
    <row r="26" customFormat="false" ht="15" hidden="false" customHeight="false" outlineLevel="0" collapsed="false">
      <c r="B26" s="4" t="s">
        <v>67</v>
      </c>
      <c r="C26" s="14" t="n">
        <v>70789058</v>
      </c>
      <c r="D26" s="15" t="n">
        <v>73416241</v>
      </c>
      <c r="E26" s="16" t="n">
        <v>3.7</v>
      </c>
      <c r="F26" s="17" t="n">
        <v>-6680201</v>
      </c>
    </row>
    <row r="28" customFormat="false" ht="15" hidden="false" customHeight="false" outlineLevel="0" collapsed="false">
      <c r="B28" s="12" t="s">
        <v>68</v>
      </c>
    </row>
    <row r="29" customFormat="false" ht="15" hidden="false" customHeight="false" outlineLevel="0" collapsed="false">
      <c r="B29" s="12" t="s">
        <v>69</v>
      </c>
    </row>
    <row r="32" customFormat="false" ht="15" hidden="false" customHeight="false" outlineLevel="0" collapsed="false">
      <c r="B32" s="3" t="s">
        <v>70</v>
      </c>
    </row>
    <row r="33" customFormat="false" ht="33.75" hidden="false" customHeight="true" outlineLevel="0" collapsed="false">
      <c r="B33" s="6" t="s">
        <v>44</v>
      </c>
      <c r="C33" s="6" t="s">
        <v>55</v>
      </c>
      <c r="D33" s="6" t="s">
        <v>56</v>
      </c>
      <c r="E33" s="6" t="s">
        <v>47</v>
      </c>
    </row>
    <row r="34" customFormat="false" ht="15" hidden="false" customHeight="false" outlineLevel="0" collapsed="false">
      <c r="B34" s="13" t="s">
        <v>71</v>
      </c>
      <c r="C34" s="14" t="n">
        <v>15835515</v>
      </c>
      <c r="D34" s="14" t="n">
        <v>17168267</v>
      </c>
      <c r="E34" s="9" t="n">
        <v>8.4</v>
      </c>
    </row>
    <row r="35" customFormat="false" ht="15" hidden="false" customHeight="false" outlineLevel="0" collapsed="false">
      <c r="B35" s="13" t="s">
        <v>72</v>
      </c>
      <c r="C35" s="14" t="n">
        <v>6285935</v>
      </c>
      <c r="D35" s="14" t="n">
        <v>6826696</v>
      </c>
      <c r="E35" s="9" t="n">
        <v>8.6</v>
      </c>
    </row>
    <row r="36" customFormat="false" ht="15" hidden="false" customHeight="false" outlineLevel="0" collapsed="false">
      <c r="B36" s="13" t="s">
        <v>73</v>
      </c>
      <c r="C36" s="14" t="n">
        <v>3928609</v>
      </c>
      <c r="D36" s="14" t="n">
        <v>4205784</v>
      </c>
      <c r="E36" s="9" t="n">
        <v>7.1</v>
      </c>
    </row>
    <row r="37" customFormat="false" ht="15" hidden="false" customHeight="false" outlineLevel="0" collapsed="false">
      <c r="B37" s="13" t="s">
        <v>74</v>
      </c>
      <c r="C37" s="14" t="n">
        <v>27154635</v>
      </c>
      <c r="D37" s="14" t="n">
        <v>26578973</v>
      </c>
      <c r="E37" s="9" t="n">
        <v>-2.1</v>
      </c>
    </row>
    <row r="38" customFormat="false" ht="15" hidden="false" customHeight="false" outlineLevel="0" collapsed="false">
      <c r="B38" s="13" t="s">
        <v>75</v>
      </c>
      <c r="C38" s="14" t="n">
        <v>15626335</v>
      </c>
      <c r="D38" s="14" t="n">
        <v>16312818</v>
      </c>
      <c r="E38" s="9" t="n">
        <v>4.4</v>
      </c>
    </row>
    <row r="39" customFormat="false" ht="15" hidden="false" customHeight="false" outlineLevel="0" collapsed="false">
      <c r="B39" s="13" t="s">
        <v>76</v>
      </c>
      <c r="C39" s="14" t="n">
        <v>356243</v>
      </c>
      <c r="D39" s="14" t="n">
        <v>340463</v>
      </c>
      <c r="E39" s="9" t="n">
        <v>-4.4</v>
      </c>
    </row>
    <row r="40" customFormat="false" ht="15" hidden="false" customHeight="false" outlineLevel="0" collapsed="false">
      <c r="B40" s="4" t="s">
        <v>77</v>
      </c>
      <c r="C40" s="14" t="n">
        <v>69187273</v>
      </c>
      <c r="D40" s="15" t="n">
        <v>71433000</v>
      </c>
      <c r="E40" s="16" t="n">
        <v>3.2</v>
      </c>
    </row>
    <row r="41" customFormat="false" ht="15" hidden="false" customHeight="false" outlineLevel="0" collapsed="false">
      <c r="B41" s="13" t="s">
        <v>78</v>
      </c>
      <c r="C41" s="14" t="n">
        <v>4602440</v>
      </c>
      <c r="D41" s="14" t="n">
        <v>4911091</v>
      </c>
      <c r="E41" s="9" t="n">
        <v>6.7</v>
      </c>
    </row>
    <row r="42" customFormat="false" ht="15" hidden="false" customHeight="false" outlineLevel="0" collapsed="false">
      <c r="B42" s="13" t="s">
        <v>79</v>
      </c>
      <c r="C42" s="14" t="n">
        <v>6254129</v>
      </c>
      <c r="D42" s="14" t="n">
        <v>6597659</v>
      </c>
      <c r="E42" s="9" t="n">
        <v>5.5</v>
      </c>
    </row>
    <row r="43" customFormat="false" ht="15" hidden="false" customHeight="false" outlineLevel="0" collapsed="false">
      <c r="B43" s="4" t="s">
        <v>80</v>
      </c>
      <c r="C43" s="14" t="n">
        <v>10856570</v>
      </c>
      <c r="D43" s="15" t="n">
        <v>11508750</v>
      </c>
      <c r="E43" s="16" t="n">
        <v>6</v>
      </c>
    </row>
    <row r="44" customFormat="false" ht="15" hidden="false" customHeight="false" outlineLevel="0" collapsed="false">
      <c r="B44" s="4" t="s">
        <v>81</v>
      </c>
      <c r="C44" s="14" t="n">
        <v>80043843</v>
      </c>
      <c r="D44" s="15" t="n">
        <v>82941751</v>
      </c>
      <c r="E44" s="16" t="n">
        <v>3.6</v>
      </c>
    </row>
    <row r="46" customFormat="false" ht="15" hidden="false" customHeight="false" outlineLevel="0" collapsed="false">
      <c r="B46" s="12" t="s">
        <v>82</v>
      </c>
    </row>
    <row r="47" customFormat="false" ht="15" hidden="false" customHeight="false" outlineLevel="0" collapsed="false">
      <c r="B47" s="12" t="s">
        <v>83</v>
      </c>
    </row>
  </sheetData>
  <conditionalFormatting sqref="D7:D12">
    <cfRule type="cellIs" priority="2" operator="lessThan" aboveAverage="0" equalAverage="0" bottom="0" percent="0" rank="0" text="" dxfId="0">
      <formula>0</formula>
    </cfRule>
  </conditionalFormatting>
  <conditionalFormatting sqref="E17:F26">
    <cfRule type="cellIs" priority="3" operator="lessThan" aboveAverage="0" equalAverage="0" bottom="0" percent="0" rank="0" text="" dxfId="0">
      <formula>0</formula>
    </cfRule>
  </conditionalFormatting>
  <conditionalFormatting sqref="E34:E44">
    <cfRule type="cellIs" priority="4"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6" min="3" style="0" width="16"/>
    <col collapsed="false" customWidth="true" hidden="false" outlineLevel="0" max="7" min="7" style="0" width="13"/>
  </cols>
  <sheetData>
    <row r="2" customFormat="false" ht="25.5" hidden="false" customHeight="true" outlineLevel="0" collapsed="false">
      <c r="B2" s="1" t="s">
        <v>84</v>
      </c>
    </row>
    <row r="3" customFormat="false" ht="15" hidden="false" customHeight="false" outlineLevel="0" collapsed="false">
      <c r="B3" s="2" t="s">
        <v>85</v>
      </c>
    </row>
    <row r="5" customFormat="false" ht="15" hidden="false" customHeight="false" outlineLevel="0" collapsed="false">
      <c r="B5" s="3" t="s">
        <v>86</v>
      </c>
    </row>
    <row r="6" customFormat="false" ht="33.75" hidden="false" customHeight="true" outlineLevel="0" collapsed="false">
      <c r="B6" s="6" t="s">
        <v>44</v>
      </c>
      <c r="C6" s="6" t="s">
        <v>87</v>
      </c>
      <c r="D6" s="6" t="s">
        <v>88</v>
      </c>
      <c r="E6" s="6" t="s">
        <v>89</v>
      </c>
      <c r="F6" s="6" t="s">
        <v>90</v>
      </c>
      <c r="G6" s="6" t="s">
        <v>91</v>
      </c>
    </row>
    <row r="7" customFormat="false" ht="15" hidden="false" customHeight="false" outlineLevel="0" collapsed="false">
      <c r="B7" s="13" t="s">
        <v>92</v>
      </c>
      <c r="C7" s="14" t="n">
        <v>79162530</v>
      </c>
      <c r="D7" s="9" t="n">
        <v>22</v>
      </c>
      <c r="E7" s="9" t="n">
        <v>21.6</v>
      </c>
      <c r="F7" s="14" t="n">
        <v>78814783</v>
      </c>
      <c r="G7" s="9" t="n">
        <v>21.7</v>
      </c>
    </row>
    <row r="8" customFormat="false" ht="15" hidden="false" customHeight="false" outlineLevel="0" collapsed="false">
      <c r="B8" s="13" t="s">
        <v>93</v>
      </c>
      <c r="C8" s="14" t="n">
        <v>76186261</v>
      </c>
      <c r="D8" s="9" t="n">
        <v>21.2</v>
      </c>
      <c r="E8" s="9" t="n">
        <v>20.3</v>
      </c>
      <c r="F8" s="14" t="n">
        <v>74183545</v>
      </c>
      <c r="G8" s="9" t="n">
        <v>20.4</v>
      </c>
    </row>
    <row r="9" customFormat="false" ht="15" hidden="false" customHeight="false" outlineLevel="0" collapsed="false">
      <c r="B9" s="13" t="s">
        <v>94</v>
      </c>
      <c r="C9" s="14" t="n">
        <v>85808105</v>
      </c>
      <c r="D9" s="9" t="n">
        <v>23.8</v>
      </c>
      <c r="E9" s="9" t="n">
        <v>24.4</v>
      </c>
      <c r="F9" s="14" t="n">
        <v>87550259</v>
      </c>
      <c r="G9" s="9" t="n">
        <v>24.1</v>
      </c>
    </row>
    <row r="10" customFormat="false" ht="15" hidden="false" customHeight="false" outlineLevel="0" collapsed="false">
      <c r="B10" s="4" t="s">
        <v>50</v>
      </c>
      <c r="C10" s="14" t="n">
        <v>-6645575</v>
      </c>
      <c r="D10" s="9" t="n">
        <v>-1.8</v>
      </c>
      <c r="E10" s="16" t="n">
        <v>-2.9</v>
      </c>
      <c r="F10" s="15" t="n">
        <v>-8735476</v>
      </c>
      <c r="G10" s="16" t="n">
        <v>-2.4</v>
      </c>
    </row>
    <row r="11" customFormat="false" ht="15" hidden="false" customHeight="false" outlineLevel="0" collapsed="false">
      <c r="B11" s="4" t="s">
        <v>51</v>
      </c>
      <c r="C11" s="14" t="n">
        <v>-9621844</v>
      </c>
      <c r="D11" s="9" t="n">
        <v>-2.7</v>
      </c>
      <c r="E11" s="16" t="n">
        <v>-4.1</v>
      </c>
      <c r="F11" s="15" t="n">
        <v>-13366714</v>
      </c>
      <c r="G11" s="16" t="n">
        <v>-3.7</v>
      </c>
    </row>
    <row r="13" customFormat="false" ht="15" hidden="false" customHeight="false" outlineLevel="0" collapsed="false">
      <c r="B13" s="12" t="s">
        <v>95</v>
      </c>
    </row>
    <row r="15" customFormat="false" ht="15" hidden="false" customHeight="false" outlineLevel="0" collapsed="false">
      <c r="B15" s="3" t="s">
        <v>96</v>
      </c>
    </row>
    <row r="16" customFormat="false" ht="33.75" hidden="false" customHeight="true" outlineLevel="0" collapsed="false">
      <c r="B16" s="6" t="s">
        <v>44</v>
      </c>
      <c r="C16" s="6" t="s">
        <v>97</v>
      </c>
      <c r="D16" s="6" t="s">
        <v>98</v>
      </c>
      <c r="E16" s="6" t="s">
        <v>99</v>
      </c>
      <c r="F16" s="6" t="s">
        <v>100</v>
      </c>
    </row>
    <row r="17" customFormat="false" ht="15" hidden="false" customHeight="false" outlineLevel="0" collapsed="false">
      <c r="B17" s="13" t="s">
        <v>92</v>
      </c>
      <c r="C17" s="14" t="n">
        <v>81001675</v>
      </c>
      <c r="D17" s="14" t="n">
        <v>82255422</v>
      </c>
      <c r="E17" s="14" t="n">
        <v>83512159</v>
      </c>
      <c r="F17" s="14" t="n">
        <v>85102920</v>
      </c>
    </row>
    <row r="18" customFormat="false" ht="15" hidden="false" customHeight="false" outlineLevel="0" collapsed="false">
      <c r="B18" s="13" t="s">
        <v>93</v>
      </c>
      <c r="C18" s="14" t="n">
        <v>77701643</v>
      </c>
      <c r="D18" s="14" t="n">
        <v>79710766</v>
      </c>
      <c r="E18" s="14" t="n">
        <v>81684517</v>
      </c>
      <c r="F18" s="14" t="n">
        <v>83853714</v>
      </c>
    </row>
    <row r="19" customFormat="false" ht="15" hidden="false" customHeight="false" outlineLevel="0" collapsed="false">
      <c r="B19" s="13" t="s">
        <v>94</v>
      </c>
      <c r="C19" s="14" t="n">
        <v>87375271</v>
      </c>
      <c r="D19" s="14" t="n">
        <v>88986310</v>
      </c>
      <c r="E19" s="14" t="n">
        <v>90148927</v>
      </c>
      <c r="F19" s="14" t="n">
        <v>90693783</v>
      </c>
    </row>
    <row r="20" customFormat="false" ht="15" hidden="false" customHeight="false" outlineLevel="0" collapsed="false">
      <c r="B20" s="4" t="s">
        <v>50</v>
      </c>
      <c r="C20" s="15" t="n">
        <v>-6373596</v>
      </c>
      <c r="D20" s="15" t="n">
        <v>-6730887</v>
      </c>
      <c r="E20" s="15" t="n">
        <v>-6636768</v>
      </c>
      <c r="F20" s="15" t="n">
        <v>-5590863</v>
      </c>
    </row>
    <row r="21" customFormat="false" ht="15" hidden="false" customHeight="false" outlineLevel="0" collapsed="false">
      <c r="B21" s="4" t="s">
        <v>51</v>
      </c>
      <c r="C21" s="15" t="n">
        <v>-9673628</v>
      </c>
      <c r="D21" s="15" t="n">
        <v>-9275544</v>
      </c>
      <c r="E21" s="15" t="n">
        <v>-8464410</v>
      </c>
      <c r="F21" s="15" t="n">
        <v>-6840069</v>
      </c>
    </row>
    <row r="23" customFormat="false" ht="33.75" hidden="false" customHeight="true" outlineLevel="0" collapsed="false">
      <c r="B23" s="6" t="s">
        <v>46</v>
      </c>
      <c r="C23" s="6" t="s">
        <v>97</v>
      </c>
      <c r="D23" s="6" t="s">
        <v>98</v>
      </c>
      <c r="E23" s="6" t="s">
        <v>99</v>
      </c>
      <c r="F23" s="6" t="s">
        <v>100</v>
      </c>
    </row>
    <row r="24" customFormat="false" ht="15" hidden="false" customHeight="false" outlineLevel="0" collapsed="false">
      <c r="B24" s="13" t="s">
        <v>50</v>
      </c>
      <c r="C24" s="9" t="n">
        <v>-1.7</v>
      </c>
      <c r="D24" s="9" t="n">
        <v>-1.8</v>
      </c>
      <c r="E24" s="9" t="n">
        <v>-1.8</v>
      </c>
      <c r="F24" s="9" t="n">
        <v>-1.4</v>
      </c>
    </row>
    <row r="25" customFormat="false" ht="15" hidden="false" customHeight="false" outlineLevel="0" collapsed="false">
      <c r="B25" s="4" t="s">
        <v>51</v>
      </c>
      <c r="C25" s="16" t="n">
        <v>-2.6</v>
      </c>
      <c r="D25" s="16" t="n">
        <v>-2.5</v>
      </c>
      <c r="E25" s="16" t="n">
        <v>-2.2</v>
      </c>
      <c r="F25" s="16" t="n">
        <v>-1.8</v>
      </c>
    </row>
    <row r="26" customFormat="false" ht="15" hidden="false" customHeight="false" outlineLevel="0" collapsed="false">
      <c r="B26" s="13" t="s">
        <v>101</v>
      </c>
      <c r="C26" s="9" t="n">
        <v>-2</v>
      </c>
      <c r="D26" s="9" t="n">
        <v>-2</v>
      </c>
      <c r="E26" s="9" t="n">
        <v>-1.9</v>
      </c>
      <c r="F26" s="9" t="n">
        <v>-1.6</v>
      </c>
    </row>
    <row r="28" customFormat="false" ht="15" hidden="false" customHeight="false" outlineLevel="0" collapsed="false">
      <c r="B28" s="12" t="s">
        <v>102</v>
      </c>
    </row>
  </sheetData>
  <conditionalFormatting sqref="D7:G11">
    <cfRule type="cellIs" priority="2" operator="lessThan" aboveAverage="0" equalAverage="0" bottom="0" percent="0" rank="0" text="" dxfId="0">
      <formula>0</formula>
    </cfRule>
  </conditionalFormatting>
  <conditionalFormatting sqref="C24:F26">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6"/>
    <col collapsed="false" customWidth="true" hidden="false" outlineLevel="0" max="5" min="4" style="0" width="14"/>
    <col collapsed="false" customWidth="true" hidden="false" outlineLevel="0" max="6" min="6" style="0" width="12"/>
    <col collapsed="false" customWidth="true" hidden="false" outlineLevel="0" max="7" min="7" style="0" width="17"/>
    <col collapsed="false" customWidth="true" hidden="false" outlineLevel="0" max="8" min="8" style="0" width="16"/>
  </cols>
  <sheetData>
    <row r="2" customFormat="false" ht="25.5" hidden="false" customHeight="true" outlineLevel="0" collapsed="false">
      <c r="B2" s="1" t="s">
        <v>103</v>
      </c>
    </row>
    <row r="3" customFormat="false" ht="15" hidden="false" customHeight="false" outlineLevel="0" collapsed="false">
      <c r="B3" s="2" t="s">
        <v>104</v>
      </c>
    </row>
    <row r="7" customFormat="false" ht="33.75" hidden="false" customHeight="true" outlineLevel="0" collapsed="false">
      <c r="B7" s="6" t="s">
        <v>27</v>
      </c>
      <c r="C7" s="6" t="s">
        <v>105</v>
      </c>
      <c r="D7" s="6" t="s">
        <v>106</v>
      </c>
      <c r="E7" s="6" t="s">
        <v>107</v>
      </c>
      <c r="F7" s="6" t="s">
        <v>108</v>
      </c>
      <c r="G7" s="6" t="s">
        <v>109</v>
      </c>
      <c r="H7" s="6" t="s">
        <v>110</v>
      </c>
    </row>
    <row r="8" customFormat="false" ht="15" hidden="false" customHeight="false" outlineLevel="0" collapsed="false">
      <c r="B8" s="7" t="n">
        <v>2025</v>
      </c>
      <c r="C8" s="14" t="n">
        <v>154980</v>
      </c>
      <c r="D8" s="18" t="n">
        <v>41.5</v>
      </c>
      <c r="E8" s="19" t="n">
        <v>45</v>
      </c>
      <c r="F8" s="16" t="n">
        <f aca="false">E8-D8</f>
        <v>3.5</v>
      </c>
      <c r="G8" s="8" t="n">
        <v>-37.5</v>
      </c>
    </row>
    <row r="9" customFormat="false" ht="15" hidden="false" customHeight="false" outlineLevel="0" collapsed="false">
      <c r="B9" s="7" t="n">
        <v>2026</v>
      </c>
      <c r="C9" s="14" t="n">
        <v>170587</v>
      </c>
      <c r="D9" s="18" t="n">
        <v>43.1</v>
      </c>
      <c r="E9" s="19" t="n">
        <v>45</v>
      </c>
      <c r="F9" s="16" t="n">
        <f aca="false">E9-D9</f>
        <v>1.9</v>
      </c>
      <c r="G9" s="8" t="n">
        <v>-39.4</v>
      </c>
    </row>
    <row r="10" customFormat="false" ht="15" hidden="false" customHeight="false" outlineLevel="0" collapsed="false">
      <c r="B10" s="7" t="n">
        <v>2027</v>
      </c>
      <c r="D10" s="18" t="n">
        <v>44.4</v>
      </c>
      <c r="E10" s="19" t="n">
        <v>45</v>
      </c>
      <c r="F10" s="16" t="n">
        <f aca="false">E10-D10</f>
        <v>0.600000000000001</v>
      </c>
      <c r="G10" s="8" t="n">
        <v>-40.8</v>
      </c>
      <c r="H10" s="20" t="n">
        <v>3.6</v>
      </c>
    </row>
    <row r="11" customFormat="false" ht="15" hidden="false" customHeight="false" outlineLevel="0" collapsed="false">
      <c r="B11" s="7" t="n">
        <v>2028</v>
      </c>
      <c r="D11" s="18" t="n">
        <v>45.4</v>
      </c>
      <c r="E11" s="19" t="n">
        <v>45</v>
      </c>
      <c r="F11" s="16" t="n">
        <f aca="false">E11-D11</f>
        <v>-0.399999999999999</v>
      </c>
    </row>
    <row r="12" customFormat="false" ht="15" hidden="false" customHeight="false" outlineLevel="0" collapsed="false">
      <c r="B12" s="7" t="n">
        <v>2029</v>
      </c>
      <c r="D12" s="18" t="n">
        <v>46.3</v>
      </c>
      <c r="E12" s="19" t="n">
        <v>45</v>
      </c>
      <c r="F12" s="16" t="n">
        <f aca="false">E12-D12</f>
        <v>-1.3</v>
      </c>
    </row>
    <row r="13" customFormat="false" ht="15" hidden="false" customHeight="false" outlineLevel="0" collapsed="false">
      <c r="B13" s="7" t="n">
        <v>2030</v>
      </c>
      <c r="D13" s="18" t="n">
        <v>46.5</v>
      </c>
      <c r="E13" s="19" t="n">
        <v>45</v>
      </c>
      <c r="F13" s="16" t="n">
        <f aca="false">E13-D13</f>
        <v>-1.5</v>
      </c>
      <c r="G13" s="8" t="n">
        <v>-43.5</v>
      </c>
      <c r="H13" s="20" t="n">
        <v>3.1</v>
      </c>
    </row>
    <row r="15" customFormat="false" ht="15" hidden="false" customHeight="false" outlineLevel="0" collapsed="false">
      <c r="B15" s="12" t="s">
        <v>111</v>
      </c>
    </row>
    <row r="16" customFormat="false" ht="15" hidden="false" customHeight="false" outlineLevel="0" collapsed="false">
      <c r="B16" s="12" t="s">
        <v>112</v>
      </c>
    </row>
    <row r="17" customFormat="false" ht="15" hidden="false" customHeight="false" outlineLevel="0" collapsed="false">
      <c r="B17" s="12" t="s">
        <v>113</v>
      </c>
    </row>
  </sheetData>
  <conditionalFormatting sqref="F8:G13">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20"/>
    <col collapsed="false" customWidth="true" hidden="false" outlineLevel="0" max="4" min="4" style="0" width="13"/>
  </cols>
  <sheetData>
    <row r="2" customFormat="false" ht="25.5" hidden="false" customHeight="true" outlineLevel="0" collapsed="false">
      <c r="B2" s="1" t="s">
        <v>114</v>
      </c>
    </row>
    <row r="5" customFormat="false" ht="15" hidden="false" customHeight="false" outlineLevel="0" collapsed="false">
      <c r="B5" s="3" t="s">
        <v>115</v>
      </c>
    </row>
    <row r="6" customFormat="false" ht="15" hidden="false" customHeight="false" outlineLevel="0" collapsed="false">
      <c r="B6" s="13" t="s">
        <v>116</v>
      </c>
      <c r="F6" s="9" t="n">
        <v>-1.6</v>
      </c>
    </row>
    <row r="7" customFormat="false" ht="15" hidden="false" customHeight="false" outlineLevel="0" collapsed="false">
      <c r="B7" s="13" t="s">
        <v>117</v>
      </c>
      <c r="F7" s="16" t="n">
        <v>-3.7</v>
      </c>
    </row>
    <row r="8" customFormat="false" ht="15" hidden="false" customHeight="false" outlineLevel="0" collapsed="false">
      <c r="B8" s="13" t="s">
        <v>118</v>
      </c>
      <c r="F8" s="21" t="n">
        <v>1.2</v>
      </c>
    </row>
    <row r="9" customFormat="false" ht="15" hidden="false" customHeight="false" outlineLevel="0" collapsed="false">
      <c r="B9" s="13" t="s">
        <v>119</v>
      </c>
      <c r="F9" s="9" t="n">
        <v>-3.1</v>
      </c>
    </row>
    <row r="11" customFormat="false" ht="15" hidden="false" customHeight="false" outlineLevel="0" collapsed="false">
      <c r="B11" s="12" t="s">
        <v>120</v>
      </c>
    </row>
    <row r="13" customFormat="false" ht="15" hidden="false" customHeight="false" outlineLevel="0" collapsed="false">
      <c r="B13" s="3" t="s">
        <v>121</v>
      </c>
    </row>
    <row r="14" customFormat="false" ht="33.75" hidden="false" customHeight="true" outlineLevel="0" collapsed="false">
      <c r="B14" s="6" t="s">
        <v>122</v>
      </c>
      <c r="C14" s="6" t="s">
        <v>45</v>
      </c>
      <c r="D14" s="6" t="s">
        <v>46</v>
      </c>
    </row>
    <row r="15" customFormat="false" ht="15" hidden="false" customHeight="false" outlineLevel="0" collapsed="false">
      <c r="B15" s="13" t="s">
        <v>123</v>
      </c>
      <c r="C15" s="14" t="n">
        <v>535486</v>
      </c>
      <c r="D15" s="21" t="n">
        <v>0.2</v>
      </c>
    </row>
    <row r="16" customFormat="false" ht="15" hidden="false" customHeight="false" outlineLevel="0" collapsed="false">
      <c r="B16" s="13" t="s">
        <v>124</v>
      </c>
      <c r="C16" s="14" t="n">
        <v>27205</v>
      </c>
      <c r="D16" s="21" t="n">
        <v>0</v>
      </c>
    </row>
    <row r="17" customFormat="false" ht="15" hidden="false" customHeight="false" outlineLevel="0" collapsed="false">
      <c r="B17" s="13" t="s">
        <v>61</v>
      </c>
      <c r="C17" s="14" t="n">
        <v>1680448</v>
      </c>
      <c r="D17" s="21" t="n">
        <v>0.5</v>
      </c>
    </row>
    <row r="18" customFormat="false" ht="15" hidden="false" customHeight="false" outlineLevel="0" collapsed="false">
      <c r="B18" s="13" t="s">
        <v>125</v>
      </c>
      <c r="C18" s="14" t="n">
        <v>725384</v>
      </c>
      <c r="D18" s="21" t="n">
        <v>0.2</v>
      </c>
    </row>
    <row r="19" customFormat="false" ht="15" hidden="false" customHeight="false" outlineLevel="0" collapsed="false">
      <c r="B19" s="13" t="s">
        <v>126</v>
      </c>
      <c r="C19" s="14" t="n">
        <v>0</v>
      </c>
      <c r="D19" s="21" t="n">
        <v>0</v>
      </c>
    </row>
    <row r="20" customFormat="false" ht="15" hidden="false" customHeight="false" outlineLevel="0" collapsed="false">
      <c r="B20" s="4" t="s">
        <v>127</v>
      </c>
      <c r="C20" s="15" t="n">
        <v>2968522</v>
      </c>
      <c r="D20" s="22" t="n">
        <v>0.9</v>
      </c>
    </row>
    <row r="22" customFormat="false" ht="15" hidden="false" customHeight="false" outlineLevel="0" collapsed="false">
      <c r="B22" s="12" t="s">
        <v>128</v>
      </c>
    </row>
    <row r="25" customFormat="false" ht="15" hidden="false" customHeight="false" outlineLevel="0" collapsed="false">
      <c r="B25" s="3" t="s">
        <v>129</v>
      </c>
    </row>
    <row r="26" customFormat="false" ht="33.75" hidden="false" customHeight="true" outlineLevel="0" collapsed="false">
      <c r="B26" s="6" t="s">
        <v>130</v>
      </c>
      <c r="C26" s="6" t="s">
        <v>55</v>
      </c>
      <c r="D26" s="6" t="s">
        <v>56</v>
      </c>
    </row>
    <row r="27" customFormat="false" ht="15" hidden="false" customHeight="false" outlineLevel="0" collapsed="false">
      <c r="B27" s="13" t="s">
        <v>131</v>
      </c>
      <c r="C27" s="20" t="n">
        <v>386</v>
      </c>
      <c r="D27" s="20" t="n">
        <v>409</v>
      </c>
    </row>
    <row r="28" customFormat="false" ht="15" hidden="false" customHeight="false" outlineLevel="0" collapsed="false">
      <c r="B28" s="13" t="s">
        <v>132</v>
      </c>
      <c r="C28" s="20" t="n">
        <v>2.3</v>
      </c>
      <c r="D28" s="20" t="n">
        <v>2.2</v>
      </c>
    </row>
    <row r="29" customFormat="false" ht="15" hidden="false" customHeight="false" outlineLevel="0" collapsed="false">
      <c r="B29" s="13" t="s">
        <v>133</v>
      </c>
      <c r="C29" s="20" t="n">
        <v>-0.6</v>
      </c>
      <c r="D29" s="20" t="n">
        <v>-0.6</v>
      </c>
    </row>
    <row r="30" customFormat="false" ht="15" hidden="false" customHeight="false" outlineLevel="0" collapsed="false">
      <c r="B30" s="13" t="s">
        <v>134</v>
      </c>
      <c r="C30" s="20" t="n">
        <v>1284</v>
      </c>
      <c r="D30" s="20" t="n">
        <v>1255</v>
      </c>
    </row>
    <row r="31" customFormat="false" ht="15" hidden="false" customHeight="false" outlineLevel="0" collapsed="false">
      <c r="B31" s="13" t="s">
        <v>135</v>
      </c>
      <c r="C31" s="20" t="n">
        <v>3022</v>
      </c>
      <c r="D31" s="20" t="n">
        <v>2903</v>
      </c>
    </row>
    <row r="33" customFormat="false" ht="15" hidden="false" customHeight="false" outlineLevel="0" collapsed="false">
      <c r="B33" s="3" t="s">
        <v>136</v>
      </c>
    </row>
    <row r="34" customFormat="false" ht="33.75" hidden="false" customHeight="true" outlineLevel="0" collapsed="false">
      <c r="B34" s="6" t="s">
        <v>137</v>
      </c>
      <c r="C34" s="6" t="s">
        <v>138</v>
      </c>
      <c r="D34" s="6" t="s">
        <v>46</v>
      </c>
    </row>
    <row r="35" customFormat="false" ht="15" hidden="false" customHeight="false" outlineLevel="0" collapsed="false">
      <c r="B35" s="13" t="s">
        <v>139</v>
      </c>
      <c r="C35" s="23" t="s">
        <v>140</v>
      </c>
      <c r="D35" s="21" t="n">
        <v>0.4</v>
      </c>
    </row>
    <row r="36" customFormat="false" ht="15" hidden="false" customHeight="false" outlineLevel="0" collapsed="false">
      <c r="B36" s="13" t="s">
        <v>141</v>
      </c>
      <c r="C36" s="23" t="s">
        <v>142</v>
      </c>
      <c r="D36" s="21" t="n">
        <v>0.5</v>
      </c>
    </row>
    <row r="37" customFormat="false" ht="15" hidden="false" customHeight="false" outlineLevel="0" collapsed="false">
      <c r="B37" s="13" t="s">
        <v>143</v>
      </c>
      <c r="C37" s="23" t="s">
        <v>144</v>
      </c>
    </row>
    <row r="38" customFormat="false" ht="15" hidden="false" customHeight="false" outlineLevel="0" collapsed="false">
      <c r="B38" s="13" t="s">
        <v>145</v>
      </c>
      <c r="C38" s="23" t="s">
        <v>146</v>
      </c>
      <c r="D38" s="21" t="n">
        <v>0.3</v>
      </c>
    </row>
    <row r="40" customFormat="false" ht="15" hidden="false" customHeight="false" outlineLevel="0" collapsed="false">
      <c r="B40" s="12"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3"/>
  </cols>
  <sheetData>
    <row r="2" customFormat="false" ht="25.5" hidden="false" customHeight="true" outlineLevel="0" collapsed="false">
      <c r="B2" s="1" t="s">
        <v>148</v>
      </c>
    </row>
    <row r="3" customFormat="false" ht="15" hidden="false" customHeight="false" outlineLevel="0" collapsed="false">
      <c r="B3" s="2" t="s">
        <v>149</v>
      </c>
    </row>
    <row r="7" customFormat="false" ht="33.75" hidden="false" customHeight="true" outlineLevel="0" collapsed="false">
      <c r="B7" s="6" t="s">
        <v>150</v>
      </c>
      <c r="C7" s="6" t="s">
        <v>56</v>
      </c>
      <c r="D7" s="6" t="s">
        <v>151</v>
      </c>
      <c r="E7" s="6" t="s">
        <v>97</v>
      </c>
      <c r="F7" s="6" t="s">
        <v>98</v>
      </c>
      <c r="G7" s="6" t="s">
        <v>99</v>
      </c>
      <c r="H7" s="6" t="s">
        <v>100</v>
      </c>
    </row>
    <row r="8" customFormat="false" ht="15" hidden="false" customHeight="false" outlineLevel="0" collapsed="false">
      <c r="B8" s="13" t="s">
        <v>152</v>
      </c>
      <c r="C8" s="20" t="n">
        <v>2.5</v>
      </c>
      <c r="D8" s="20" t="n">
        <v>2.1</v>
      </c>
      <c r="E8" s="20" t="n">
        <v>2.2</v>
      </c>
      <c r="F8" s="20" t="n">
        <v>2.2</v>
      </c>
      <c r="G8" s="20" t="n">
        <v>2.2</v>
      </c>
      <c r="H8" s="20" t="n">
        <v>2.3</v>
      </c>
    </row>
    <row r="9" customFormat="false" ht="15" hidden="false" customHeight="false" outlineLevel="0" collapsed="false">
      <c r="B9" s="13" t="s">
        <v>153</v>
      </c>
      <c r="C9" s="20" t="n">
        <v>-1.3</v>
      </c>
      <c r="D9" s="20" t="n">
        <v>0</v>
      </c>
      <c r="E9" s="20" t="n">
        <v>1.3</v>
      </c>
      <c r="F9" s="20" t="n">
        <v>1.6</v>
      </c>
      <c r="G9" s="20" t="n">
        <v>2.3</v>
      </c>
      <c r="H9" s="20" t="n">
        <v>3.2</v>
      </c>
    </row>
    <row r="10" customFormat="false" ht="15" hidden="false" customHeight="false" outlineLevel="0" collapsed="false">
      <c r="B10" s="13" t="s">
        <v>154</v>
      </c>
      <c r="C10" s="20" t="n">
        <v>3</v>
      </c>
      <c r="D10" s="20" t="n">
        <v>2.4</v>
      </c>
      <c r="E10" s="20" t="n">
        <v>2.4</v>
      </c>
      <c r="F10" s="20" t="n">
        <v>2.3</v>
      </c>
      <c r="G10" s="20" t="n">
        <v>2.2</v>
      </c>
      <c r="H10" s="20" t="n">
        <v>2.2</v>
      </c>
    </row>
    <row r="11" customFormat="false" ht="15" hidden="false" customHeight="false" outlineLevel="0" collapsed="false">
      <c r="B11" s="13" t="s">
        <v>155</v>
      </c>
      <c r="C11" s="20" t="n">
        <v>4.2</v>
      </c>
      <c r="D11" s="20" t="n">
        <v>2.6</v>
      </c>
      <c r="E11" s="20" t="n">
        <v>2.4</v>
      </c>
      <c r="F11" s="20" t="n">
        <v>2.1</v>
      </c>
      <c r="G11" s="20" t="n">
        <v>2.1</v>
      </c>
      <c r="H11" s="20" t="n">
        <v>2.1</v>
      </c>
    </row>
    <row r="12" customFormat="false" ht="15" hidden="false" customHeight="false" outlineLevel="0" collapsed="false">
      <c r="B12" s="13" t="s">
        <v>156</v>
      </c>
      <c r="C12" s="20" t="n">
        <v>4.2</v>
      </c>
      <c r="D12" s="20" t="n">
        <v>3.7</v>
      </c>
      <c r="E12" s="20" t="n">
        <v>2.5</v>
      </c>
      <c r="F12" s="20" t="n">
        <v>3</v>
      </c>
      <c r="G12" s="20" t="n">
        <v>3</v>
      </c>
      <c r="H12" s="20" t="n">
        <v>3</v>
      </c>
    </row>
    <row r="13" customFormat="false" ht="15" hidden="false" customHeight="false" outlineLevel="0" collapsed="false">
      <c r="B13" s="13" t="s">
        <v>157</v>
      </c>
      <c r="C13" s="20" t="n">
        <v>952</v>
      </c>
      <c r="D13" s="20" t="n">
        <v>910</v>
      </c>
      <c r="E13" s="20" t="n">
        <v>902</v>
      </c>
      <c r="F13" s="20" t="n">
        <v>896</v>
      </c>
      <c r="G13" s="20" t="n">
        <v>896</v>
      </c>
      <c r="H13" s="20" t="n">
        <v>896</v>
      </c>
    </row>
    <row r="14" customFormat="false" ht="15" hidden="false" customHeight="false" outlineLevel="0" collapsed="false">
      <c r="B14" s="13" t="s">
        <v>158</v>
      </c>
      <c r="C14" s="20" t="n">
        <v>451</v>
      </c>
      <c r="D14" s="20" t="n">
        <v>546</v>
      </c>
      <c r="E14" s="20" t="n">
        <v>506</v>
      </c>
      <c r="F14" s="20" t="n">
        <v>504</v>
      </c>
      <c r="G14" s="20" t="n">
        <v>504</v>
      </c>
      <c r="H14" s="20" t="n">
        <v>504</v>
      </c>
    </row>
    <row r="15" customFormat="false" ht="15" hidden="false" customHeight="false" outlineLevel="0" collapsed="false">
      <c r="B15" s="13" t="s">
        <v>159</v>
      </c>
      <c r="C15" s="20" t="n">
        <v>65</v>
      </c>
      <c r="D15" s="20" t="n">
        <v>84</v>
      </c>
      <c r="E15" s="20" t="n">
        <v>73</v>
      </c>
      <c r="F15" s="20" t="n">
        <v>71</v>
      </c>
      <c r="G15" s="20" t="n">
        <v>70</v>
      </c>
      <c r="H15" s="20" t="n">
        <v>70</v>
      </c>
    </row>
    <row r="16" customFormat="false" ht="15" hidden="false" customHeight="false" outlineLevel="0" collapsed="false">
      <c r="B16" s="4" t="s">
        <v>160</v>
      </c>
      <c r="C16" s="15" t="n">
        <v>339978</v>
      </c>
      <c r="D16" s="15" t="n">
        <v>364022</v>
      </c>
      <c r="E16" s="15" t="n">
        <v>376252</v>
      </c>
      <c r="F16" s="15" t="n">
        <v>393532</v>
      </c>
      <c r="G16" s="15" t="n">
        <v>412130</v>
      </c>
      <c r="H16" s="15" t="n">
        <v>432313</v>
      </c>
    </row>
    <row r="18" customFormat="false" ht="15" hidden="false" customHeight="false" outlineLevel="0" collapsed="false">
      <c r="B18" s="12" t="s">
        <v>161</v>
      </c>
    </row>
    <row r="19" customFormat="false" ht="15" hidden="false" customHeight="false" outlineLevel="0" collapsed="false">
      <c r="B19" s="1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6"/>
  </cols>
  <sheetData>
    <row r="2" customFormat="false" ht="25.5" hidden="false" customHeight="true" outlineLevel="0" collapsed="false">
      <c r="B2" s="1" t="s">
        <v>163</v>
      </c>
    </row>
    <row r="4" customFormat="false" ht="21.75" hidden="false" customHeight="true" outlineLevel="0" collapsed="false">
      <c r="B4" s="4" t="s">
        <v>164</v>
      </c>
      <c r="C4" s="5" t="s">
        <v>165</v>
      </c>
    </row>
    <row r="5" customFormat="false" ht="33" hidden="false" customHeight="true" outlineLevel="0" collapsed="false">
      <c r="B5" s="4" t="s">
        <v>166</v>
      </c>
      <c r="C5" s="5" t="s">
        <v>167</v>
      </c>
    </row>
    <row r="6" customFormat="false" ht="21.75" hidden="false" customHeight="true" outlineLevel="0" collapsed="false">
      <c r="B6" s="4" t="s">
        <v>168</v>
      </c>
      <c r="C6" s="5" t="s">
        <v>169</v>
      </c>
    </row>
    <row r="7" customFormat="false" ht="21.75" hidden="false" customHeight="true" outlineLevel="0" collapsed="false">
      <c r="B7" s="4" t="s">
        <v>170</v>
      </c>
      <c r="C7" s="5" t="s">
        <v>171</v>
      </c>
    </row>
    <row r="8" customFormat="false" ht="21.75" hidden="false" customHeight="true" outlineLevel="0" collapsed="false">
      <c r="B8" s="4" t="s">
        <v>172</v>
      </c>
      <c r="C8" s="5" t="s">
        <v>173</v>
      </c>
    </row>
    <row r="9" customFormat="false" ht="21.75" hidden="false" customHeight="true" outlineLevel="0" collapsed="false">
      <c r="B9" s="4" t="s">
        <v>174</v>
      </c>
      <c r="C9" s="5" t="s">
        <v>175</v>
      </c>
    </row>
    <row r="10" customFormat="false" ht="21.75" hidden="false" customHeight="true" outlineLevel="0" collapsed="false">
      <c r="B10" s="4" t="s">
        <v>176</v>
      </c>
      <c r="C10" s="5" t="s">
        <v>177</v>
      </c>
    </row>
    <row r="12" customFormat="false" ht="12" hidden="false" customHeight="true" outlineLevel="0" collapsed="false">
      <c r="B12" s="4" t="s">
        <v>178</v>
      </c>
      <c r="C12" s="5"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2026-08-04T22:27:23Z</dcterms:created>
  <dc:creator>openpyxl</dc:creator>
  <dc:description/>
  <dc:language>en-US</dc:language>
  <cp:lastModifiedBy/>
  <dcterms:modified xsi:type="dcterms:W3CDTF">2026-08-04T22:27:27Z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