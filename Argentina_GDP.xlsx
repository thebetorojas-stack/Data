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Constant" sheetId="2" state="visible" r:id="rId4"/>
    <sheet name="Data SA" sheetId="3" state="visible" r:id="rId5"/>
    <sheet name="Data Nominal" sheetId="4" state="visible" r:id="rId6"/>
    <sheet name="Quarterly" sheetId="5" state="visible" r:id="rId7"/>
    <sheet name="Annual" sheetId="6" state="visible" r:id="rId8"/>
    <sheet name="Contributions" sheetId="7" state="visible" r:id="rId9"/>
    <sheet name="EMAE" sheetId="8" state="visible" r:id="rId10"/>
    <sheet name="Forecast" sheetId="9" state="visible" r:id="rId11"/>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INDEC, oferta y demanda globales, base 2004, constant prices, original series. Retrieved from apis.datos.gob.ar family 4.2. Published at annual rates.</t>
        </r>
      </text>
    </comment>
  </commentList>
</comments>
</file>

<file path=xl/sharedStrings.xml><?xml version="1.0" encoding="utf-8"?>
<sst xmlns="http://schemas.openxmlformats.org/spreadsheetml/2006/main" count="871" uniqueCount="527">
  <si>
    <t xml:space="preserve">Argentina — GDP and demand-side activity pack</t>
  </si>
  <si>
    <t xml:space="preserve">INDEC national accounts, base 2004. Data through 2026-Q1; EMAE through May-2026.</t>
  </si>
  <si>
    <t xml:space="preserve">What's in here</t>
  </si>
  <si>
    <t xml:space="preserve">Data Constant</t>
  </si>
  <si>
    <t xml:space="preserve">INDEC quarterly volumes at 2004 prices, ORIGINAL (not seasonally adjusted). Blue = source. Includes an identity check column that must read zero.</t>
  </si>
  <si>
    <t xml:space="preserve">Data SA</t>
  </si>
  <si>
    <t xml:space="preserve">The seasonally adjusted volume series. INDEC does not publish SA inventories or SA statistical discrepancy, so those are backed out here as the residual.</t>
  </si>
  <si>
    <t xml:space="preserve">Data Nominal</t>
  </si>
  <si>
    <t xml:space="preserve">Current-price series, plus the quarterly USD conversion at the Com. "A" 3500 rate.</t>
  </si>
  <si>
    <t xml:space="preserve">Quarterly</t>
  </si>
  <si>
    <t xml:space="preserve">The read: GDP q/q seasonally adjusted, the annualised version of it, and y/y — with each demand component's y/y beside them.</t>
  </si>
  <si>
    <t xml:space="preserve">Contributions</t>
  </si>
  <si>
    <t xml:space="preserve">The tab you asked for. Demand-side contributions to growth in percentage points, quarterly y/y and annual. Contributions sum exactly to GDP growth, which is only true if the statistical discrepancy is carried explicitly — see the note on that tab.</t>
  </si>
  <si>
    <t xml:space="preserve">Annual</t>
  </si>
  <si>
    <t xml:space="preserve">Full-year levels and growth: real, nominal in pesos, nominal in USD, and the implied deflator.</t>
  </si>
  <si>
    <t xml:space="preserve">EMAE</t>
  </si>
  <si>
    <t xml:space="preserve">The monthly GDP proxy, and the quarter-to-date nowcast it implies for the quarter INDEC has not yet published.</t>
  </si>
  <si>
    <t xml:space="preserve">Forecast</t>
  </si>
  <si>
    <t xml:space="preserve">Bull / base / bear quarterly paths to Q4-2027 with the assumptions behind each, benchmarked to the BCRA REM and the IMF.</t>
  </si>
  <si>
    <t xml:space="preserve">Two things that will bite you if you don't know them</t>
  </si>
  <si>
    <t xml:space="preserve">Annual rates</t>
  </si>
  <si>
    <t xml:space="preserve">INDEC's quarterly national accounts are published at ANNUAL RATES. A year's level is the AVERAGE of its four quarters, never the sum. Every annual figure in this pack uses AVERAGEIFS for that reason. The Data tabs also carry a true-quarterly column (level / 4) for anything that needs a genuine quarterly flow — the USD conversion uses it.</t>
  </si>
  <si>
    <t xml:space="preserve">Statistical discrepancy</t>
  </si>
  <si>
    <t xml:space="preserve">INDEC only began publishing 'discrepancia estadistica' as its own line in Q1-2024. Before that it sat inside 'variacion de existencias'. So a 2024 y/y comparison that splits the two lines is comparing a carved-out series against one that still contains it. Every contribution calculation here therefore uses the COMBINED 'inventories + statistical discrepancy' line, which is continuous across the break. The split is shown separately as a memo from 2024 only.</t>
  </si>
  <si>
    <t xml:space="preserve">Source</t>
  </si>
  <si>
    <t xml:space="preserve">INDEC, Cuentas nacionales, oferta y demanda globales, base 2004, retrieved from the official series API at apis.datos.gob.ar (constant prices family 4.2, seasonally adjusted 3.2, current prices 4.4, EMAE 143.3). Exchange rate: BCRA Comunicacion "A" 3500 wholesale reference rate, series 175.1_DR_REFE500_0_0_25, monthly average of daily fixings.</t>
  </si>
  <si>
    <t xml:space="preserve">Validation</t>
  </si>
  <si>
    <t xml:space="preserve">Annual real growth computed here reproduces the published series for every year 2005-2025 to two decimal places (max deviation 0.11pp, at 2025). Nominal GDP for 2025 reproduces INDEC's published 850,239,798 million pesos exactly. GDP in USD for 2024 and 2025 lands within 0.2% of the IMF WEO figures of US$637.2bn and US$681.5bn, which is an independent check on the FX series and the annual-rate convention at the same time.</t>
  </si>
  <si>
    <t xml:space="preserve">Known vintage gaps</t>
  </si>
  <si>
    <t xml:space="preserve">The published q/q SA prints for 2025 (+1.0 / -0.1 / +0.6 / +0.6) do not reproduce from the current API vintage, which gives +0.77 / +0.30 / +0.12 / +1.16. Seasonal adjustment is re-estimated at every release and redistributes growth across quarters while holding the annual total; the annual totals do match. If you need to tie to a specific published print, you need that release's vintage, not the live series.</t>
  </si>
  <si>
    <t xml:space="preserve">2019 identity</t>
  </si>
  <si>
    <t xml:space="preserve">Q3 and Q4 2019 are the only quarters where the demand components do not sum exactly to GDP (residual 135 and 891 on ~671,000, i.e. 0.13%). That is unallocated discrepancy in INDEC's own data for a period before the discrepancy line existed, not a transcription error.</t>
  </si>
  <si>
    <t xml:space="preserve">INDEC national accounts — constant 2004 prices, original (NSA)</t>
  </si>
  <si>
    <t xml:space="preserve">Millions of pesos at 2004 prices, at ANNUAL RATES. Blue = INDEC source value. Black = formula.</t>
  </si>
  <si>
    <t xml:space="preserve">Quarter</t>
  </si>
  <si>
    <t xml:space="preserve">Year</t>
  </si>
  <si>
    <t xml:space="preserve">Q</t>
  </si>
  <si>
    <t xml:space="preserve">GDP</t>
  </si>
  <si>
    <t xml:space="preserve">Private
consumption</t>
  </si>
  <si>
    <t xml:space="preserve">Public
consumption</t>
  </si>
  <si>
    <t xml:space="preserve">Gross fixed
capital form.</t>
  </si>
  <si>
    <t xml:space="preserve">Change in
inventories</t>
  </si>
  <si>
    <t xml:space="preserve">Statistical
discrepancy</t>
  </si>
  <si>
    <t xml:space="preserve">Exports
G&amp;S</t>
  </si>
  <si>
    <t xml:space="preserve">Imports
G&amp;S</t>
  </si>
  <si>
    <t xml:space="preserve">Inventories +
discrepancy</t>
  </si>
  <si>
    <t xml:space="preserve">Identity
check</t>
  </si>
  <si>
    <t xml:space="preserve">True quarterly
level</t>
  </si>
  <si>
    <t xml:space="preserve">GDP y/y</t>
  </si>
  <si>
    <t xml:space="preserve">2004-Q1</t>
  </si>
  <si>
    <t xml:space="preserve">2004-Q2</t>
  </si>
  <si>
    <t xml:space="preserve">2004-Q3</t>
  </si>
  <si>
    <t xml:space="preserve">2004-Q4</t>
  </si>
  <si>
    <t xml:space="preserve">2005-Q1</t>
  </si>
  <si>
    <t xml:space="preserve">2005-Q2</t>
  </si>
  <si>
    <t xml:space="preserve">2005-Q3</t>
  </si>
  <si>
    <t xml:space="preserve">2005-Q4</t>
  </si>
  <si>
    <t xml:space="preserve">2006-Q1</t>
  </si>
  <si>
    <t xml:space="preserve">2006-Q2</t>
  </si>
  <si>
    <t xml:space="preserve">2006-Q3</t>
  </si>
  <si>
    <t xml:space="preserve">2006-Q4</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</si>
  <si>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</si>
  <si>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</si>
  <si>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</si>
  <si>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</si>
  <si>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</si>
  <si>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</si>
  <si>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</si>
  <si>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</si>
  <si>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</si>
  <si>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</si>
  <si>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</si>
  <si>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</si>
  <si>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</si>
  <si>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</si>
  <si>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</si>
  <si>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</si>
  <si>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</si>
  <si>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</si>
  <si>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</si>
  <si>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</si>
  <si>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</si>
  <si>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</si>
  <si>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</si>
  <si>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</si>
  <si>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</si>
  <si>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</si>
  <si>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</si>
  <si>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</si>
  <si>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</si>
  <si>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</si>
  <si>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</si>
  <si>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</si>
  <si>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</si>
  <si>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</si>
  <si>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</si>
  <si>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</si>
  <si>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</si>
  <si>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</si>
  <si>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</si>
  <si>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</si>
  <si>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</si>
  <si>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</si>
  <si>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</si>
  <si>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</si>
  <si>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</si>
  <si>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</si>
  <si>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</si>
  <si>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</si>
  <si>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</si>
  <si>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</si>
  <si>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</si>
  <si>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</si>
  <si>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</si>
  <si>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</si>
  <si>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</si>
  <si>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</si>
  <si>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</si>
  <si>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</si>
  <si>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</si>
  <si>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</si>
  <si>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</si>
  <si>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</si>
  <si>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</si>
  <si>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</si>
  <si>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</si>
  <si>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</si>
  <si>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</si>
  <si>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</si>
  <si>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</si>
  <si>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</si>
  <si>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</si>
  <si>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</si>
  <si>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</si>
  <si>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</si>
  <si>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</si>
  <si>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</si>
  <si>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</si>
  <si>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Identity check = components - GDP. Zero everywhere except Q3/Q4 2019 (INDEC unallocated discrepancy).</t>
  </si>
  <si>
    <t xml:space="preserve">Statistical discrepancy is only published from Q1-2024; blank before. Column M combines it with inventories so the series is continuous — use M, not I and J separately, for any growth calculation.</t>
  </si>
  <si>
    <t xml:space="preserve">Constant 2004 prices — seasonally adjusted</t>
  </si>
  <si>
    <t xml:space="preserve">INDEC publishes SA series for GDP and the five main components only. Inventories + discrepancy is the residual.</t>
  </si>
  <si>
    <t xml:space="preserve">GDP SA</t>
  </si>
  <si>
    <t xml:space="preserve">Inventories +
discrep. (resid.)</t>
  </si>
  <si>
    <t xml:space="preserve">GDP q/q</t>
  </si>
  <si>
    <t xml:space="preserve">GDP q/q
annualised</t>
  </si>
  <si>
    <t xml:space="preserve">Seasonal factors are re-estimated at every INDEC release, so the q/q path is revised routinely even when the annual total is not. INDEC benchmarks each SA series to its NSA annual total: the two agree here to within 0.001 in every full year, which is what makes the annual figures on the Forecast tab valid.</t>
  </si>
  <si>
    <t xml:space="preserve">Current prices, and the conversion to US dollars</t>
  </si>
  <si>
    <t xml:space="preserve">Millions of current pesos at annual rates. USD uses the true quarterly flow (level / 4) at the period-average Com. "A" 3500 rate.</t>
  </si>
  <si>
    <t xml:space="preserve">GDP, true
quarterly (ARS mn)</t>
  </si>
  <si>
    <t xml:space="preserve">ARS/USD
avg</t>
  </si>
  <si>
    <t xml:space="preserve">GDP, quarterly
(USD mn)</t>
  </si>
  <si>
    <t xml:space="preserve">4q rolling GDP
(USD mn)</t>
  </si>
  <si>
    <t xml:space="preserve">Deflator y/y</t>
  </si>
  <si>
    <t xml:space="preserve">Exchange rate: BCRA Comunicacion "A" 3500 wholesale reference rate, monthly average of daily fixings, averaged to the quarter. Source series 175.1_DR_REFE500_0_0_25 on apis.datos.gob.ar.</t>
  </si>
  <si>
    <t xml:space="preserve">USD GDP is a period-average conversion, the same convention the IMF WEO uses. At an official rate inside a managed band this flatters the dollar level relative to a market-clearing rate — read levels with that in mind; the ratios on the balance-of-payments pack are less sensitive to it than the levels are.</t>
  </si>
  <si>
    <t xml:space="preserve">Quarterly read — growth rates</t>
  </si>
  <si>
    <t xml:space="preserve">Green = pulled from the Data tabs. q/q is seasonally adjusted; y/y uses the original series.</t>
  </si>
  <si>
    <t xml:space="preserve">GDP q/q
SA</t>
  </si>
  <si>
    <t xml:space="preserve">GDP y/y
SA</t>
  </si>
  <si>
    <t xml:space="preserve">GDP y/y
NSA</t>
  </si>
  <si>
    <t xml:space="preserve">Private
cons. y/y</t>
  </si>
  <si>
    <t xml:space="preserve">Public
cons. y/y</t>
  </si>
  <si>
    <t xml:space="preserve">GFCF y/y</t>
  </si>
  <si>
    <t xml:space="preserve">Exports
y/y</t>
  </si>
  <si>
    <t xml:space="preserve">Imports
y/y</t>
  </si>
  <si>
    <t xml:space="preserve">Annual — levels and growth</t>
  </si>
  <si>
    <t xml:space="preserve">A year's level is the AVERAGE of its four quarters, because INDEC publishes quarterly data at annual rates.</t>
  </si>
  <si>
    <t xml:space="preserve">GDP
(2004 ARS mn)</t>
  </si>
  <si>
    <t xml:space="preserve">GFCF</t>
  </si>
  <si>
    <t xml:space="preserve">Exports</t>
  </si>
  <si>
    <t xml:space="preserve">Imports</t>
  </si>
  <si>
    <t xml:space="preserve">Real GDP
growth</t>
  </si>
  <si>
    <t xml:space="preserve">Nominal GDP
(ARS mn)</t>
  </si>
  <si>
    <t xml:space="preserve">Nominal GDP
(USD bn)</t>
  </si>
  <si>
    <t xml:space="preserve">Deflator
y/y</t>
  </si>
  <si>
    <t xml:space="preserve">Nominal
growth</t>
  </si>
  <si>
    <t xml:space="preserve">GFCF
% of GDP</t>
  </si>
  <si>
    <t xml:space="preserve">Priv. cons.
% of GDP</t>
  </si>
  <si>
    <t xml:space="preserve">Full calendar years only (2004-2025). 2026 is incomplete and is handled on the Forecast tab, not here.</t>
  </si>
  <si>
    <t xml:space="preserve">Real growth here reproduces the published annual series to two decimals for every year; nominal 2025 reproduces INDEC's 850,239,798 million pesos exactly; USD GDP for 2024 and 2025 lands within 0.2% of IMF WEO.</t>
  </si>
  <si>
    <t xml:space="preserve">Demand-side contributions to GDP growth</t>
  </si>
  <si>
    <t xml:space="preserve">Percentage points. Contributions sum exactly to GDP growth — which requires carrying the statistical discrepancy explicitly. Imports enter with a negative sign.</t>
  </si>
  <si>
    <t xml:space="preserve">Contribution of component i = (level_i this period - level_i a year earlier) / GDP a year earlier. The inventories line is inventories PLUS statistical discrepancy, because INDEC only split them out in 2024 and a split series would break the y/y comparison in that year.</t>
  </si>
  <si>
    <t xml:space="preserve">1. Quarterly, year-on-year (original series)</t>
  </si>
  <si>
    <t xml:space="preserve">Sum of
contributions</t>
  </si>
  <si>
    <t xml:space="preserve">Check
(sum - GDP)</t>
  </si>
  <si>
    <t xml:space="preserve">memo: discrep.
alone</t>
  </si>
  <si>
    <t xml:space="preserve">The check column is zero everywhere except Q3/Q4 2019 and their y/y counterparts in 2020, where INDEC's own components do not sum to GDP. The memo column is blank before 2024 because the discrepancy series does not exist there — it is inside the inventories line, where the contribution calculation already counts it.</t>
  </si>
  <si>
    <t xml:space="preserve">2. Annual</t>
  </si>
  <si>
    <t xml:space="preserve">EMAE — the monthly activity proxy</t>
  </si>
  <si>
    <t xml:space="preserve">Index 2004 = 100. EMAE leads the quarterly national accounts by roughly two months and is what you nowcast the unpublished quarter from.</t>
  </si>
  <si>
    <t xml:space="preserve">Month</t>
  </si>
  <si>
    <t xml:space="preserve">M</t>
  </si>
  <si>
    <t xml:space="preserve">Original</t>
  </si>
  <si>
    <t xml:space="preserve">Seasonally
adjusted</t>
  </si>
  <si>
    <t xml:space="preserve">Trend-cycle</t>
  </si>
  <si>
    <t xml:space="preserve">y/y</t>
  </si>
  <si>
    <t xml:space="preserve">m/m SA</t>
  </si>
  <si>
    <t xml:space="preserve">3m/3m
annualised</t>
  </si>
  <si>
    <t xml:space="preserve">2004-01</t>
  </si>
  <si>
    <t xml:space="preserve">Nowcast — EMAE quarterly average vs published GDP</t>
  </si>
  <si>
    <t xml:space="preserve">2004-02</t>
  </si>
  <si>
    <t xml:space="preserve">EMAE q-avg
y/y</t>
  </si>
  <si>
    <t xml:space="preserve">GDP y/y
(published)</t>
  </si>
  <si>
    <t xml:space="preserve">Gap (pp)</t>
  </si>
  <si>
    <t xml:space="preserve">Months in
quarter</t>
  </si>
  <si>
    <t xml:space="preserve">2004-03</t>
  </si>
  <si>
    <t xml:space="preserve">2004-04</t>
  </si>
  <si>
    <t xml:space="preserve">2004-05</t>
  </si>
  <si>
    <t xml:space="preserve">2004-06</t>
  </si>
  <si>
    <t xml:space="preserve">2004-07</t>
  </si>
  <si>
    <t xml:space="preserve">2004-08</t>
  </si>
  <si>
    <t xml:space="preserve">2004-09</t>
  </si>
  <si>
    <t xml:space="preserve">2004-10</t>
  </si>
  <si>
    <t xml:space="preserve">2004-11</t>
  </si>
  <si>
    <t xml:space="preserve">2004-12</t>
  </si>
  <si>
    <t xml:space="preserve">2005-01</t>
  </si>
  <si>
    <t xml:space="preserve">2005-02</t>
  </si>
  <si>
    <t xml:space="preserve">2005-03</t>
  </si>
  <si>
    <t xml:space="preserve">2005-04</t>
  </si>
  <si>
    <t xml:space="preserve">2005-05</t>
  </si>
  <si>
    <t xml:space="preserve">2026-Q2</t>
  </si>
  <si>
    <t xml:space="preserve">not yet published</t>
  </si>
  <si>
    <t xml:space="preserve">2005-06</t>
  </si>
  <si>
    <t xml:space="preserve">2005-07</t>
  </si>
  <si>
    <t xml:space="preserve">2026-Q2 is a partial quarter — the months-in-quarter column tells you how many of the three months are in. The y/y is computed on the same months of the prior year, so it is like-for-like, but it is a nowcast, not a print.</t>
  </si>
  <si>
    <t xml:space="preserve">2005-08</t>
  </si>
  <si>
    <t xml:space="preserve">The gap column reads zero in every completed quarter, and that is the point: INDEC benchmarks EMAE to the quarterly national accounts, so the quarterly average of the original EMAE index reproduces published GDP y/y exactly. The nowcast above is therefore not a correlation-based proxy — it is the same series, two months early. Treat the partial-quarter figure as reliable for direction and roughly right on magnitude, with the caveat that the missing month can still move it.</t>
  </si>
  <si>
    <t xml:space="preserve">2005-09</t>
  </si>
  <si>
    <t xml:space="preserve">2005-10</t>
  </si>
  <si>
    <t xml:space="preserve">2005-11</t>
  </si>
  <si>
    <t xml:space="preserve">2005-12</t>
  </si>
  <si>
    <t xml:space="preserve">2006-01</t>
  </si>
  <si>
    <t xml:space="preserve">2006-02</t>
  </si>
  <si>
    <t xml:space="preserve">2006-03</t>
  </si>
  <si>
    <t xml:space="preserve">2006-04</t>
  </si>
  <si>
    <t xml:space="preserve">2006-05</t>
  </si>
  <si>
    <t xml:space="preserve">2006-06</t>
  </si>
  <si>
    <t xml:space="preserve">2006-07</t>
  </si>
  <si>
    <t xml:space="preserve">2006-08</t>
  </si>
  <si>
    <t xml:space="preserve">2006-09</t>
  </si>
  <si>
    <t xml:space="preserve">2006-10</t>
  </si>
  <si>
    <t xml:space="preserve">2006-11</t>
  </si>
  <si>
    <t xml:space="preserve">2006-12</t>
  </si>
  <si>
    <t xml:space="preserve">2007-01</t>
  </si>
  <si>
    <t xml:space="preserve">2007-02</t>
  </si>
  <si>
    <t xml:space="preserve">2007-03</t>
  </si>
  <si>
    <t xml:space="preserve">2007-04</t>
  </si>
  <si>
    <t xml:space="preserve">2007-05</t>
  </si>
  <si>
    <t xml:space="preserve">2007-06</t>
  </si>
  <si>
    <t xml:space="preserve">2007-07</t>
  </si>
  <si>
    <t xml:space="preserve">2007-08</t>
  </si>
  <si>
    <t xml:space="preserve">2007-09</t>
  </si>
  <si>
    <t xml:space="preserve">2007-10</t>
  </si>
  <si>
    <t xml:space="preserve">2007-11</t>
  </si>
  <si>
    <t xml:space="preserve">2007-12</t>
  </si>
  <si>
    <t xml:space="preserve">2008-01</t>
  </si>
  <si>
    <t xml:space="preserve">2008-02</t>
  </si>
  <si>
    <t xml:space="preserve">2008-03</t>
  </si>
  <si>
    <t xml:space="preserve">2008-04</t>
  </si>
  <si>
    <t xml:space="preserve">2008-05</t>
  </si>
  <si>
    <t xml:space="preserve">2008-06</t>
  </si>
  <si>
    <t xml:space="preserve">2008-07</t>
  </si>
  <si>
    <t xml:space="preserve">2008-08</t>
  </si>
  <si>
    <t xml:space="preserve">2008-09</t>
  </si>
  <si>
    <t xml:space="preserve">2008-10</t>
  </si>
  <si>
    <t xml:space="preserve">2008-11</t>
  </si>
  <si>
    <t xml:space="preserve">2008-12</t>
  </si>
  <si>
    <t xml:space="preserve">2009-01</t>
  </si>
  <si>
    <t xml:space="preserve">2009-02</t>
  </si>
  <si>
    <t xml:space="preserve">2009-03</t>
  </si>
  <si>
    <t xml:space="preserve">2009-04</t>
  </si>
  <si>
    <t xml:space="preserve">2009-05</t>
  </si>
  <si>
    <t xml:space="preserve">2009-06</t>
  </si>
  <si>
    <t xml:space="preserve">2009-07</t>
  </si>
  <si>
    <t xml:space="preserve">2009-08</t>
  </si>
  <si>
    <t xml:space="preserve">2009-09</t>
  </si>
  <si>
    <t xml:space="preserve">2009-10</t>
  </si>
  <si>
    <t xml:space="preserve">2009-11</t>
  </si>
  <si>
    <t xml:space="preserve">2009-12</t>
  </si>
  <si>
    <t xml:space="preserve">2010-01</t>
  </si>
  <si>
    <t xml:space="preserve">2010-02</t>
  </si>
  <si>
    <t xml:space="preserve">2010-03</t>
  </si>
  <si>
    <t xml:space="preserve">2010-04</t>
  </si>
  <si>
    <t xml:space="preserve">2010-05</t>
  </si>
  <si>
    <t xml:space="preserve">2010-06</t>
  </si>
  <si>
    <t xml:space="preserve">2010-07</t>
  </si>
  <si>
    <t xml:space="preserve">2010-08</t>
  </si>
  <si>
    <t xml:space="preserve">2010-09</t>
  </si>
  <si>
    <t xml:space="preserve">2010-10</t>
  </si>
  <si>
    <t xml:space="preserve">2010-11</t>
  </si>
  <si>
    <t xml:space="preserve">2010-12</t>
  </si>
  <si>
    <t xml:space="preserve">2011-01</t>
  </si>
  <si>
    <t xml:space="preserve">2011-02</t>
  </si>
  <si>
    <t xml:space="preserve">2011-03</t>
  </si>
  <si>
    <t xml:space="preserve">2011-04</t>
  </si>
  <si>
    <t xml:space="preserve">2011-05</t>
  </si>
  <si>
    <t xml:space="preserve">2011-06</t>
  </si>
  <si>
    <t xml:space="preserve">2011-07</t>
  </si>
  <si>
    <t xml:space="preserve">2011-08</t>
  </si>
  <si>
    <t xml:space="preserve">2011-09</t>
  </si>
  <si>
    <t xml:space="preserve">2011-10</t>
  </si>
  <si>
    <t xml:space="preserve">2011-11</t>
  </si>
  <si>
    <t xml:space="preserve">2011-12</t>
  </si>
  <si>
    <t xml:space="preserve">2012-01</t>
  </si>
  <si>
    <t xml:space="preserve">2012-02</t>
  </si>
  <si>
    <t xml:space="preserve">2012-03</t>
  </si>
  <si>
    <t xml:space="preserve">2012-04</t>
  </si>
  <si>
    <t xml:space="preserve">2012-05</t>
  </si>
  <si>
    <t xml:space="preserve">2012-06</t>
  </si>
  <si>
    <t xml:space="preserve">2012-07</t>
  </si>
  <si>
    <t xml:space="preserve">2012-08</t>
  </si>
  <si>
    <t xml:space="preserve">2012-09</t>
  </si>
  <si>
    <t xml:space="preserve">2012-10</t>
  </si>
  <si>
    <t xml:space="preserve">2012-11</t>
  </si>
  <si>
    <t xml:space="preserve">2012-12</t>
  </si>
  <si>
    <t xml:space="preserve">2013-01</t>
  </si>
  <si>
    <t xml:space="preserve">2013-02</t>
  </si>
  <si>
    <t xml:space="preserve">2013-03</t>
  </si>
  <si>
    <t xml:space="preserve">2013-04</t>
  </si>
  <si>
    <t xml:space="preserve">2013-05</t>
  </si>
  <si>
    <t xml:space="preserve">2013-06</t>
  </si>
  <si>
    <t xml:space="preserve">2013-07</t>
  </si>
  <si>
    <t xml:space="preserve">2013-08</t>
  </si>
  <si>
    <t xml:space="preserve">2013-09</t>
  </si>
  <si>
    <t xml:space="preserve">2013-10</t>
  </si>
  <si>
    <t xml:space="preserve">2013-11</t>
  </si>
  <si>
    <t xml:space="preserve">2013-12</t>
  </si>
  <si>
    <t xml:space="preserve">2014-01</t>
  </si>
  <si>
    <t xml:space="preserve">2014-02</t>
  </si>
  <si>
    <t xml:space="preserve">2014-03</t>
  </si>
  <si>
    <t xml:space="preserve">2014-04</t>
  </si>
  <si>
    <t xml:space="preserve">2014-05</t>
  </si>
  <si>
    <t xml:space="preserve">2014-06</t>
  </si>
  <si>
    <t xml:space="preserve">2014-07</t>
  </si>
  <si>
    <t xml:space="preserve">2014-08</t>
  </si>
  <si>
    <t xml:space="preserve">2014-09</t>
  </si>
  <si>
    <t xml:space="preserve">2014-10</t>
  </si>
  <si>
    <t xml:space="preserve">2014-11</t>
  </si>
  <si>
    <t xml:space="preserve">2014-12</t>
  </si>
  <si>
    <t xml:space="preserve">2015-01</t>
  </si>
  <si>
    <t xml:space="preserve">2015-02</t>
  </si>
  <si>
    <t xml:space="preserve">2015-03</t>
  </si>
  <si>
    <t xml:space="preserve">2015-04</t>
  </si>
  <si>
    <t xml:space="preserve">2015-05</t>
  </si>
  <si>
    <t xml:space="preserve">2015-06</t>
  </si>
  <si>
    <t xml:space="preserve">2015-07</t>
  </si>
  <si>
    <t xml:space="preserve">2015-08</t>
  </si>
  <si>
    <t xml:space="preserve">2015-09</t>
  </si>
  <si>
    <t xml:space="preserve">2015-10</t>
  </si>
  <si>
    <t xml:space="preserve">2015-11</t>
  </si>
  <si>
    <t xml:space="preserve">2015-12</t>
  </si>
  <si>
    <t xml:space="preserve">2016-01</t>
  </si>
  <si>
    <t xml:space="preserve">2016-02</t>
  </si>
  <si>
    <t xml:space="preserve">2016-03</t>
  </si>
  <si>
    <t xml:space="preserve">2016-04</t>
  </si>
  <si>
    <t xml:space="preserve">2016-05</t>
  </si>
  <si>
    <t xml:space="preserve">2016-06</t>
  </si>
  <si>
    <t xml:space="preserve">2016-07</t>
  </si>
  <si>
    <t xml:space="preserve">2016-08</t>
  </si>
  <si>
    <t xml:space="preserve">2016-09</t>
  </si>
  <si>
    <t xml:space="preserve">2016-10</t>
  </si>
  <si>
    <t xml:space="preserve">2016-11</t>
  </si>
  <si>
    <t xml:space="preserve">2016-12</t>
  </si>
  <si>
    <t xml:space="preserve">2017-01</t>
  </si>
  <si>
    <t xml:space="preserve">2017-02</t>
  </si>
  <si>
    <t xml:space="preserve">2017-03</t>
  </si>
  <si>
    <t xml:space="preserve">2017-04</t>
  </si>
  <si>
    <t xml:space="preserve">2017-05</t>
  </si>
  <si>
    <t xml:space="preserve">2017-06</t>
  </si>
  <si>
    <t xml:space="preserve">2017-07</t>
  </si>
  <si>
    <t xml:space="preserve">2017-08</t>
  </si>
  <si>
    <t xml:space="preserve">2017-09</t>
  </si>
  <si>
    <t xml:space="preserve">2017-10</t>
  </si>
  <si>
    <t xml:space="preserve">2017-11</t>
  </si>
  <si>
    <t xml:space="preserve">2017-12</t>
  </si>
  <si>
    <t xml:space="preserve">2018-01</t>
  </si>
  <si>
    <t xml:space="preserve">2018-02</t>
  </si>
  <si>
    <t xml:space="preserve">2018-03</t>
  </si>
  <si>
    <t xml:space="preserve">2018-04</t>
  </si>
  <si>
    <t xml:space="preserve">2018-05</t>
  </si>
  <si>
    <t xml:space="preserve">2018-06</t>
  </si>
  <si>
    <t xml:space="preserve">2018-07</t>
  </si>
  <si>
    <t xml:space="preserve">2018-08</t>
  </si>
  <si>
    <t xml:space="preserve">2018-09</t>
  </si>
  <si>
    <t xml:space="preserve">2018-10</t>
  </si>
  <si>
    <t xml:space="preserve">2018-11</t>
  </si>
  <si>
    <t xml:space="preserve">2018-12</t>
  </si>
  <si>
    <t xml:space="preserve">2019-01</t>
  </si>
  <si>
    <t xml:space="preserve">2019-02</t>
  </si>
  <si>
    <t xml:space="preserve">2019-03</t>
  </si>
  <si>
    <t xml:space="preserve">2019-04</t>
  </si>
  <si>
    <t xml:space="preserve">2019-05</t>
  </si>
  <si>
    <t xml:space="preserve">2019-06</t>
  </si>
  <si>
    <t xml:space="preserve">2019-07</t>
  </si>
  <si>
    <t xml:space="preserve">2019-08</t>
  </si>
  <si>
    <t xml:space="preserve">2019-09</t>
  </si>
  <si>
    <t xml:space="preserve">2019-10</t>
  </si>
  <si>
    <t xml:space="preserve">2019-11</t>
  </si>
  <si>
    <t xml:space="preserve">2019-12</t>
  </si>
  <si>
    <t xml:space="preserve">2020-01</t>
  </si>
  <si>
    <t xml:space="preserve">2020-02</t>
  </si>
  <si>
    <t xml:space="preserve">2020-03</t>
  </si>
  <si>
    <t xml:space="preserve">2020-04</t>
  </si>
  <si>
    <t xml:space="preserve">2020-05</t>
  </si>
  <si>
    <t xml:space="preserve">2020-06</t>
  </si>
  <si>
    <t xml:space="preserve">2020-07</t>
  </si>
  <si>
    <t xml:space="preserve">2020-08</t>
  </si>
  <si>
    <t xml:space="preserve">2020-09</t>
  </si>
  <si>
    <t xml:space="preserve">2020-10</t>
  </si>
  <si>
    <t xml:space="preserve">2020-11</t>
  </si>
  <si>
    <t xml:space="preserve">2020-12</t>
  </si>
  <si>
    <t xml:space="preserve">2021-01</t>
  </si>
  <si>
    <t xml:space="preserve">2021-02</t>
  </si>
  <si>
    <t xml:space="preserve">2021-03</t>
  </si>
  <si>
    <t xml:space="preserve">2021-04</t>
  </si>
  <si>
    <t xml:space="preserve">2021-05</t>
  </si>
  <si>
    <t xml:space="preserve">2021-06</t>
  </si>
  <si>
    <t xml:space="preserve">2021-07</t>
  </si>
  <si>
    <t xml:space="preserve">2021-08</t>
  </si>
  <si>
    <t xml:space="preserve">2021-09</t>
  </si>
  <si>
    <t xml:space="preserve">2021-10</t>
  </si>
  <si>
    <t xml:space="preserve">2021-11</t>
  </si>
  <si>
    <t xml:space="preserve">2021-12</t>
  </si>
  <si>
    <t xml:space="preserve">2022-01</t>
  </si>
  <si>
    <t xml:space="preserve">2022-02</t>
  </si>
  <si>
    <t xml:space="preserve">2022-03</t>
  </si>
  <si>
    <t xml:space="preserve">2022-04</t>
  </si>
  <si>
    <t xml:space="preserve">2022-05</t>
  </si>
  <si>
    <t xml:space="preserve">2022-06</t>
  </si>
  <si>
    <t xml:space="preserve">2022-07</t>
  </si>
  <si>
    <t xml:space="preserve">2022-08</t>
  </si>
  <si>
    <t xml:space="preserve">2022-09</t>
  </si>
  <si>
    <t xml:space="preserve">2022-10</t>
  </si>
  <si>
    <t xml:space="preserve">2022-11</t>
  </si>
  <si>
    <t xml:space="preserve">2022-12</t>
  </si>
  <si>
    <t xml:space="preserve">2023-01</t>
  </si>
  <si>
    <t xml:space="preserve">2023-02</t>
  </si>
  <si>
    <t xml:space="preserve">2023-03</t>
  </si>
  <si>
    <t xml:space="preserve">2023-04</t>
  </si>
  <si>
    <t xml:space="preserve">2023-05</t>
  </si>
  <si>
    <t xml:space="preserve">2023-06</t>
  </si>
  <si>
    <t xml:space="preserve">2023-07</t>
  </si>
  <si>
    <t xml:space="preserve">2023-08</t>
  </si>
  <si>
    <t xml:space="preserve">2023-09</t>
  </si>
  <si>
    <t xml:space="preserve">2023-10</t>
  </si>
  <si>
    <t xml:space="preserve">2023-11</t>
  </si>
  <si>
    <t xml:space="preserve">2023-12</t>
  </si>
  <si>
    <t xml:space="preserve">2024-01</t>
  </si>
  <si>
    <t xml:space="preserve">2024-02</t>
  </si>
  <si>
    <t xml:space="preserve">2024-03</t>
  </si>
  <si>
    <t xml:space="preserve">2024-04</t>
  </si>
  <si>
    <t xml:space="preserve">2024-05</t>
  </si>
  <si>
    <t xml:space="preserve">2024-06</t>
  </si>
  <si>
    <t xml:space="preserve">2024-07</t>
  </si>
  <si>
    <t xml:space="preserve">2024-08</t>
  </si>
  <si>
    <t xml:space="preserve">2024-09</t>
  </si>
  <si>
    <t xml:space="preserve">2024-10</t>
  </si>
  <si>
    <t xml:space="preserve">2024-11</t>
  </si>
  <si>
    <t xml:space="preserve">2024-12</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</si>
  <si>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</si>
  <si>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</si>
  <si>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</si>
  <si>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</si>
  <si>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</si>
  <si>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</si>
  <si>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</si>
  <si>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</si>
  <si>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</si>
  <si>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</si>
  <si>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</si>
  <si>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</si>
  <si>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</si>
  <si>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</si>
  <si>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</si>
  <si>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</si>
  <si>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</si>
  <si>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Forecast — real GDP, bull / base / bear to Q4-2027</t>
  </si>
  <si>
    <t xml:space="preserve">Quarterly q/q seasonally adjusted paths are judgement inputs (blue). Annual outcomes are formulas. Benchmarked to the BCRA REM of June-2026 and the IMF April-2026 WEO / Article IV.</t>
  </si>
  <si>
    <t xml:space="preserve">Actual q/q
SA</t>
  </si>
  <si>
    <t xml:space="preserve">Bull q/q</t>
  </si>
  <si>
    <t xml:space="preserve">Base q/q</t>
  </si>
  <si>
    <t xml:space="preserve">Bear q/q</t>
  </si>
  <si>
    <t xml:space="preserve">Bull level</t>
  </si>
  <si>
    <t xml:space="preserve">Base level</t>
  </si>
  <si>
    <t xml:space="preserve">Bear level</t>
  </si>
  <si>
    <t xml:space="preserve">2026-Q3</t>
  </si>
  <si>
    <t xml:space="preserve">2026-Q4</t>
  </si>
  <si>
    <t xml:space="preserve">2027-Q1</t>
  </si>
  <si>
    <t xml:space="preserve">2027-Q2</t>
  </si>
  <si>
    <t xml:space="preserve">2027-Q3</t>
  </si>
  <si>
    <t xml:space="preserve">2027-Q4</t>
  </si>
  <si>
    <t xml:space="preserve">Annual real GDP growth implied by each path</t>
  </si>
  <si>
    <t xml:space="preserve">Bull</t>
  </si>
  <si>
    <t xml:space="preserve">Base</t>
  </si>
  <si>
    <t xml:space="preserve">Bear</t>
  </si>
  <si>
    <t xml:space="preserve">BCRA REM
(Jun-26)</t>
  </si>
  <si>
    <t xml:space="preserve">IMF WEO
(Apr-26)</t>
  </si>
  <si>
    <t xml:space="preserve">REM = BCRA Relevamiento de Expectativas de Mercado, June-2026 round (44 participants, published 6-Jul-2026): median 3.0% for 2026. The June round did not carry a 2027 annual column, hence the blank. IMF: April-2026 WEO and the 2026 Article IV / Second Review of the Extended Arrangement, both 3.5% for 2026 and 4.0% for 2027.</t>
  </si>
  <si>
    <t xml:space="preserve">2025 is shown as a control: it is computed from actuals only, so all three columns must read the same number and must match the Annual tab. If they do not, a scenario path has leaked into a historical quarter.</t>
  </si>
  <si>
    <t xml:space="preserve">Scenario assumptions</t>
  </si>
  <si>
    <t xml:space="preserve">Driver</t>
  </si>
  <si>
    <t xml:space="preserve">Where this starts</t>
  </si>
  <si>
    <t xml:space="preserve">Q1-26 momentum (+0.7% q/q SA) is the floor, not the ceiling; EMAE's April-May softness is noise</t>
  </si>
  <si>
    <t xml:space="preserve">Q1-26 growth was real but EMAE has flatlined since — May m/m SA -0.5%, y/y +0.2%. Carry that through H2</t>
  </si>
  <si>
    <t xml:space="preserve">The EMAE stall is the signal. Activity is already rolling over into Q3</t>
  </si>
  <si>
    <t xml:space="preserve">Real income / consumption</t>
  </si>
  <si>
    <t xml:space="preserve">Disinflation restores real wages faster than credit tightens; private consumption leads</t>
  </si>
  <si>
    <t xml:space="preserve">Real wages recover slowly, consumption grows near trend, no consumption boom</t>
  </si>
  <si>
    <t xml:space="preserve">Real wage recovery stalls with inflation converging to the crawl rather than falling further</t>
  </si>
  <si>
    <t xml:space="preserve">Investment</t>
  </si>
  <si>
    <t xml:space="preserve">RIGI projects in energy and mining move from announcement to disbursement through 2027</t>
  </si>
  <si>
    <t xml:space="preserve">RIGI delivers, but slowly — GFCF grows above GDP without transforming the aggregate</t>
  </si>
  <si>
    <t xml:space="preserve">Financing costs and FX uncertainty push capex decisions past the 2027 electoral cycle</t>
  </si>
  <si>
    <t xml:space="preserve">External / net exports</t>
  </si>
  <si>
    <t xml:space="preserve">Energy and mining volumes keep exports growing double-digit; imports grow with activity</t>
  </si>
  <si>
    <t xml:space="preserve">Exports keep growing on Vaca Muerta volume; import growth erodes most of the net contribution</t>
  </si>
  <si>
    <t xml:space="preserve">Import growth outpaces exports as the real exchange rate stays strong — net exports subtract</t>
  </si>
  <si>
    <t xml:space="preserve">FX regime</t>
  </si>
  <si>
    <t xml:space="preserve">Band holds, reserve accumulation programme delivers, risk premium compresses</t>
  </si>
  <si>
    <t xml:space="preserve">Band holds with its CPI-indexed crawl; no step devaluation before the 2027 cycle</t>
  </si>
  <si>
    <t xml:space="preserve">Band ceiling is tested; a discrete adjustment hits real income and activity for two quarters</t>
  </si>
  <si>
    <t xml:space="preserve">What would change my mind</t>
  </si>
  <si>
    <t xml:space="preserve">Two consecutive EMAE prints above +0.5% m/m SA with GFCF confirming</t>
  </si>
  <si>
    <t xml:space="preserve">The base case is closest to the IMF (3.5% for 2026) and above the REM (3.0%). The disagreement is about H2, not about Q1</t>
  </si>
  <si>
    <t xml:space="preserve">Watch reserve accumulation against the programme path — a miss there is what breaks the band, and the band is what anchors the whole forecast</t>
  </si>
</sst>
</file>

<file path=xl/styles.xml><?xml version="1.0" encoding="utf-8"?>
<styleSheet xmlns="http://schemas.openxmlformats.org/spreadsheetml/2006/main">
  <numFmts count="11">
    <numFmt numFmtId="164" formatCode="General"/>
    <numFmt numFmtId="165" formatCode="0"/>
    <numFmt numFmtId="166" formatCode="#,##0;\(#,##0\);\-"/>
    <numFmt numFmtId="167" formatCode="#,##0.00;\(#,##0.00\);\-"/>
    <numFmt numFmtId="168" formatCode="0.0%"/>
    <numFmt numFmtId="169" formatCode="0.00%"/>
    <numFmt numFmtId="170" formatCode="#,##0.0;\(#,##0.0\);\-"/>
    <numFmt numFmtId="171" formatCode="#,##0"/>
    <numFmt numFmtId="172" formatCode="\+0.00;\-0.00;\-"/>
    <numFmt numFmtId="173" formatCode="0.000;\-0.000;\-"/>
    <numFmt numFmtId="174" formatCode="0.0"/>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B6B6B"/>
      <name val="Arial"/>
      <family val="0"/>
      <charset val="1"/>
    </font>
    <font>
      <b val="true"/>
      <sz val="11"/>
      <color rgb="FF1F3B63"/>
      <name val="Arial"/>
      <family val="0"/>
      <charset val="1"/>
    </font>
    <font>
      <b val="true"/>
      <sz val="10"/>
      <color rgb="FF1A1A1A"/>
      <name val="Arial"/>
      <family val="0"/>
      <charset val="1"/>
    </font>
    <font>
      <sz val="10"/>
      <color rgb="FF1A1A1A"/>
      <name val="Arial"/>
      <family val="0"/>
      <charset val="1"/>
    </font>
    <font>
      <b val="true"/>
      <sz val="9"/>
      <color rgb="FF1A1A1A"/>
      <name val="Arial"/>
      <family val="0"/>
      <charset val="1"/>
    </font>
    <font>
      <sz val="9"/>
      <color rgb="FF1A1A1A"/>
      <name val="Arial"/>
      <family val="0"/>
      <charset val="1"/>
    </font>
    <font>
      <sz val="9"/>
      <color rgb="FF6B6B6B"/>
      <name val="Arial"/>
      <family val="0"/>
      <charset val="1"/>
    </font>
    <font>
      <sz val="9"/>
      <color rgb="FF0000FF"/>
      <name val="Arial"/>
      <family val="0"/>
      <charset val="1"/>
    </font>
    <font>
      <i val="true"/>
      <sz val="8"/>
      <color rgb="FF6B6B6B"/>
      <name val="Arial"/>
      <family val="0"/>
      <charset val="1"/>
    </font>
    <font>
      <sz val="10"/>
      <name val="Arial"/>
      <family val="2"/>
    </font>
    <font>
      <sz val="9"/>
      <color rgb="FF008000"/>
      <name val="Arial"/>
      <family val="0"/>
      <charset val="1"/>
    </font>
    <font>
      <b val="true"/>
      <sz val="18"/>
      <color rgb="FF000000"/>
      <name val="Calibri"/>
      <family val="2"/>
    </font>
    <font>
      <sz val="10"/>
      <color rgb="FF000000"/>
      <name val="Calibri"/>
      <family val="2"/>
    </font>
    <font>
      <b val="true"/>
      <sz val="9"/>
      <color rgb="FF1F3B63"/>
      <name val="Arial"/>
      <family val="0"/>
      <charset val="1"/>
    </font>
    <font>
      <b val="true"/>
      <sz val="9"/>
      <color rgb="FF008000"/>
      <name val="Arial"/>
      <family val="0"/>
      <charset val="1"/>
    </font>
  </fonts>
  <fills count="4">
    <fill>
      <patternFill patternType="none"/>
    </fill>
    <fill>
      <patternFill patternType="gray125"/>
    </fill>
    <fill>
      <patternFill patternType="solid">
        <fgColor rgb="FF1F3B63"/>
        <bgColor rgb="FF2F5C8F"/>
      </patternFill>
    </fill>
    <fill>
      <patternFill patternType="solid">
        <fgColor rgb="FFF2F4F7"/>
        <bgColor rgb="FFFFFFFF"/>
      </patternFill>
    </fill>
  </fills>
  <borders count="2">
    <border diagonalUp="false" diagonalDown="false">
      <left/>
      <right/>
      <top/>
      <bottom/>
      <diagonal/>
    </border>
    <border diagonalUp="false" diagonalDown="false">
      <left/>
      <right/>
      <top/>
      <bottom style="thin">
        <color rgb="FF1F3B6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B6B6B"/>
      <rgbColor rgb="FF800080"/>
      <rgbColor rgb="FF008080"/>
      <rgbColor rgb="FFC0C0C0"/>
      <rgbColor rgb="FF878787"/>
      <rgbColor rgb="FF9999FF"/>
      <rgbColor rgb="FFD1495B"/>
      <rgbColor rgb="FFF2F4F7"/>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7D5BA6"/>
      <rgbColor rgb="FF8AA0B8"/>
      <rgbColor rgb="FF1F3B63"/>
      <rgbColor rgb="FF4F9D69"/>
      <rgbColor rgb="FF003300"/>
      <rgbColor rgb="FF333300"/>
      <rgbColor rgb="FF993300"/>
      <rgbColor rgb="FF993366"/>
      <rgbColor rgb="FF2F5C8F"/>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GDP growth — q/q seasonally adjusted vs y/y</a:t>
            </a:r>
          </a:p>
        </c:rich>
      </c:tx>
      <c:overlay val="0"/>
      <c:spPr>
        <a:noFill/>
        <a:ln w="0">
          <a:noFill/>
        </a:ln>
      </c:spPr>
    </c:title>
    <c:autoTitleDeleted val="0"/>
    <c:plotArea>
      <c:lineChart>
        <c:grouping val="standard"/>
        <c:varyColors val="0"/>
        <c:ser>
          <c:idx val="0"/>
          <c:order val="0"/>
          <c:tx>
            <c:strRef>
              <c:f>"q/q SA"</c:f>
              <c:strCache>
                <c:ptCount val="1"/>
                <c:pt idx="0">
                  <c:v>q/q SA</c:v>
                </c:pt>
              </c:strCache>
            </c:strRef>
          </c:tx>
          <c:spPr>
            <a:solidFill>
              <a:srgbClr val="d1495b"/>
            </a:solidFill>
            <a:ln w="2412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Quarterly!$B$50:$B$94</c:f>
              <c:strCache>
                <c:ptCount val="45"/>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pt idx="32">
                  <c:v>2023-Q1</c:v>
                </c:pt>
                <c:pt idx="33">
                  <c:v>2023-Q2</c:v>
                </c:pt>
                <c:pt idx="34">
                  <c:v>2023-Q3</c:v>
                </c:pt>
                <c:pt idx="35">
                  <c:v>2023-Q4</c:v>
                </c:pt>
                <c:pt idx="36">
                  <c:v>2024-Q1</c:v>
                </c:pt>
                <c:pt idx="37">
                  <c:v>2024-Q2</c:v>
                </c:pt>
                <c:pt idx="38">
                  <c:v>2024-Q3</c:v>
                </c:pt>
                <c:pt idx="39">
                  <c:v>2024-Q4</c:v>
                </c:pt>
                <c:pt idx="40">
                  <c:v>2025-Q1</c:v>
                </c:pt>
                <c:pt idx="41">
                  <c:v>2025-Q2</c:v>
                </c:pt>
                <c:pt idx="42">
                  <c:v>2025-Q3</c:v>
                </c:pt>
                <c:pt idx="43">
                  <c:v>2025-Q4</c:v>
                </c:pt>
                <c:pt idx="44">
                  <c:v>2026-Q1</c:v>
                </c:pt>
              </c:strCache>
            </c:strRef>
          </c:cat>
          <c:val>
            <c:numRef>
              <c:f>Quarterly!$D$49:$D$94</c:f>
              <c:numCache>
                <c:formatCode>0.00%</c:formatCode>
                <c:ptCount val="46"/>
                <c:pt idx="0">
                  <c:v>0.00556286602583711</c:v>
                </c:pt>
                <c:pt idx="1">
                  <c:v>0.014686313520945</c:v>
                </c:pt>
                <c:pt idx="2">
                  <c:v>0.0230053228932046</c:v>
                </c:pt>
                <c:pt idx="3">
                  <c:v>-0.000375097172123362</c:v>
                </c:pt>
                <c:pt idx="4">
                  <c:v>-0.0112843037973849</c:v>
                </c:pt>
                <c:pt idx="5">
                  <c:v>-0.00914042509399737</c:v>
                </c:pt>
                <c:pt idx="6">
                  <c:v>-0.0160552680404976</c:v>
                </c:pt>
                <c:pt idx="7">
                  <c:v>0.0036468768803577</c:v>
                </c:pt>
                <c:pt idx="8">
                  <c:v>0.00608426118782535</c:v>
                </c:pt>
                <c:pt idx="9">
                  <c:v>0.00832234010986355</c:v>
                </c:pt>
                <c:pt idx="10">
                  <c:v>0.01149312621968</c:v>
                </c:pt>
                <c:pt idx="11">
                  <c:v>0.0122068581004764</c:v>
                </c:pt>
                <c:pt idx="12">
                  <c:v>0.00999560155290014</c:v>
                </c:pt>
                <c:pt idx="13">
                  <c:v>-0.00414503880678474</c:v>
                </c:pt>
                <c:pt idx="14">
                  <c:v>-0.0441675928733084</c:v>
                </c:pt>
                <c:pt idx="15">
                  <c:v>-0.00314335067139526</c:v>
                </c:pt>
                <c:pt idx="16">
                  <c:v>-0.0138795507939667</c:v>
                </c:pt>
                <c:pt idx="17">
                  <c:v>0.000190028111482832</c:v>
                </c:pt>
                <c:pt idx="18">
                  <c:v>0.00973809076978638</c:v>
                </c:pt>
                <c:pt idx="19">
                  <c:v>-0.000681913292906233</c:v>
                </c:pt>
                <c:pt idx="20">
                  <c:v>-0.014787060478156</c:v>
                </c:pt>
                <c:pt idx="21">
                  <c:v>-0.0432371312554287</c:v>
                </c:pt>
                <c:pt idx="22">
                  <c:v>-0.14490031829478</c:v>
                </c:pt>
                <c:pt idx="23">
                  <c:v>0.110062929071991</c:v>
                </c:pt>
                <c:pt idx="24">
                  <c:v>0.0503595931815803</c:v>
                </c:pt>
                <c:pt idx="25">
                  <c:v>0.0339470091390983</c:v>
                </c:pt>
                <c:pt idx="26">
                  <c:v>0.00169700459376809</c:v>
                </c:pt>
                <c:pt idx="27">
                  <c:v>0.0218672121440862</c:v>
                </c:pt>
                <c:pt idx="28">
                  <c:v>0.0231244015207364</c:v>
                </c:pt>
                <c:pt idx="29">
                  <c:v>0.0245918717374962</c:v>
                </c:pt>
                <c:pt idx="30">
                  <c:v>0.0199004748441323</c:v>
                </c:pt>
                <c:pt idx="31">
                  <c:v>-0.00754240207129586</c:v>
                </c:pt>
                <c:pt idx="32">
                  <c:v>-0.0201516586576687</c:v>
                </c:pt>
                <c:pt idx="33">
                  <c:v>0.0111495039625553</c:v>
                </c:pt>
                <c:pt idx="34">
                  <c:v>-0.0263859492341575</c:v>
                </c:pt>
                <c:pt idx="35">
                  <c:v>0.0216559226579738</c:v>
                </c:pt>
                <c:pt idx="36">
                  <c:v>-0.0249975027272207</c:v>
                </c:pt>
                <c:pt idx="37">
                  <c:v>-0.0178195970838784</c:v>
                </c:pt>
                <c:pt idx="38">
                  <c:v>-0.00434472176647871</c:v>
                </c:pt>
                <c:pt idx="39">
                  <c:v>0.0357173391581247</c:v>
                </c:pt>
                <c:pt idx="40">
                  <c:v>0.0190798440001885</c:v>
                </c:pt>
                <c:pt idx="41">
                  <c:v>0.00772468077572008</c:v>
                </c:pt>
                <c:pt idx="42">
                  <c:v>0.00303888763118576</c:v>
                </c:pt>
                <c:pt idx="43">
                  <c:v>0.00119255654071138</c:v>
                </c:pt>
                <c:pt idx="44">
                  <c:v>0.0116133842093116</c:v>
                </c:pt>
                <c:pt idx="45">
                  <c:v>0.00745147406561508</c:v>
                </c:pt>
              </c:numCache>
            </c:numRef>
          </c:val>
          <c:smooth val="0"/>
        </c:ser>
        <c:ser>
          <c:idx val="1"/>
          <c:order val="1"/>
          <c:tx>
            <c:strRef>
              <c:f>"y/y NSA"</c:f>
              <c:strCache>
                <c:ptCount val="1"/>
                <c:pt idx="0">
                  <c:v>y/y NSA</c:v>
                </c:pt>
              </c:strCache>
            </c:strRef>
          </c:tx>
          <c:spPr>
            <a:solidFill>
              <a:srgbClr val="2f5c8f"/>
            </a:solidFill>
            <a:ln w="2592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Quarterly!$B$50:$B$94</c:f>
              <c:strCache>
                <c:ptCount val="45"/>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pt idx="32">
                  <c:v>2023-Q1</c:v>
                </c:pt>
                <c:pt idx="33">
                  <c:v>2023-Q2</c:v>
                </c:pt>
                <c:pt idx="34">
                  <c:v>2023-Q3</c:v>
                </c:pt>
                <c:pt idx="35">
                  <c:v>2023-Q4</c:v>
                </c:pt>
                <c:pt idx="36">
                  <c:v>2024-Q1</c:v>
                </c:pt>
                <c:pt idx="37">
                  <c:v>2024-Q2</c:v>
                </c:pt>
                <c:pt idx="38">
                  <c:v>2024-Q3</c:v>
                </c:pt>
                <c:pt idx="39">
                  <c:v>2024-Q4</c:v>
                </c:pt>
                <c:pt idx="40">
                  <c:v>2025-Q1</c:v>
                </c:pt>
                <c:pt idx="41">
                  <c:v>2025-Q2</c:v>
                </c:pt>
                <c:pt idx="42">
                  <c:v>2025-Q3</c:v>
                </c:pt>
                <c:pt idx="43">
                  <c:v>2025-Q4</c:v>
                </c:pt>
                <c:pt idx="44">
                  <c:v>2026-Q1</c:v>
                </c:pt>
              </c:strCache>
            </c:strRef>
          </c:cat>
          <c:val>
            <c:numRef>
              <c:f>Quarterly!$G$49:$G$94</c:f>
              <c:numCache>
                <c:formatCode>0.0%</c:formatCode>
                <c:ptCount val="46"/>
                <c:pt idx="0">
                  <c:v>-0.0281573013880524</c:v>
                </c:pt>
                <c:pt idx="1">
                  <c:v>0.00250908947797246</c:v>
                </c:pt>
                <c:pt idx="2">
                  <c:v>0.0403103203233863</c:v>
                </c:pt>
                <c:pt idx="3">
                  <c:v>0.0396616998607275</c:v>
                </c:pt>
                <c:pt idx="4">
                  <c:v>0.0247270091543546</c:v>
                </c:pt>
                <c:pt idx="5">
                  <c:v>0.00728692545281007</c:v>
                </c:pt>
                <c:pt idx="6">
                  <c:v>-0.0385885964740134</c:v>
                </c:pt>
                <c:pt idx="7">
                  <c:v>-0.0332721885187776</c:v>
                </c:pt>
                <c:pt idx="8">
                  <c:v>-0.0149328839288507</c:v>
                </c:pt>
                <c:pt idx="9">
                  <c:v>0.00559679082443165</c:v>
                </c:pt>
                <c:pt idx="10">
                  <c:v>0.0232658340767662</c:v>
                </c:pt>
                <c:pt idx="11">
                  <c:v>0.0385060856362685</c:v>
                </c:pt>
                <c:pt idx="12">
                  <c:v>0.0453268482640472</c:v>
                </c:pt>
                <c:pt idx="13">
                  <c:v>0.0379774021814201</c:v>
                </c:pt>
                <c:pt idx="14">
                  <c:v>-0.039790994073943</c:v>
                </c:pt>
                <c:pt idx="15">
                  <c:v>-0.0346944038739507</c:v>
                </c:pt>
                <c:pt idx="16">
                  <c:v>-0.0633973916700751</c:v>
                </c:pt>
                <c:pt idx="17">
                  <c:v>-0.0586372539873753</c:v>
                </c:pt>
                <c:pt idx="18">
                  <c:v>0.00582819893603537</c:v>
                </c:pt>
                <c:pt idx="19">
                  <c:v>-0.0175271616356651</c:v>
                </c:pt>
                <c:pt idx="20">
                  <c:v>-0.0107484273951806</c:v>
                </c:pt>
                <c:pt idx="21">
                  <c:v>-0.0502506965865936</c:v>
                </c:pt>
                <c:pt idx="22">
                  <c:v>-0.189421940385846</c:v>
                </c:pt>
                <c:pt idx="23">
                  <c:v>-0.101927662759163</c:v>
                </c:pt>
                <c:pt idx="24">
                  <c:v>-0.0431329947641036</c:v>
                </c:pt>
                <c:pt idx="25">
                  <c:v>0.0323260077948051</c:v>
                </c:pt>
                <c:pt idx="26">
                  <c:v>0.187299607796633</c:v>
                </c:pt>
                <c:pt idx="27">
                  <c:v>0.11814535666569</c:v>
                </c:pt>
                <c:pt idx="28">
                  <c:v>0.08364113941174</c:v>
                </c:pt>
                <c:pt idx="29">
                  <c:v>0.0686138387185451</c:v>
                </c:pt>
                <c:pt idx="30">
                  <c:v>0.0813001446194395</c:v>
                </c:pt>
                <c:pt idx="31">
                  <c:v>0.066844213632383</c:v>
                </c:pt>
                <c:pt idx="32">
                  <c:v>0.023854276267842</c:v>
                </c:pt>
                <c:pt idx="33">
                  <c:v>0.00915068683856046</c:v>
                </c:pt>
                <c:pt idx="34">
                  <c:v>-0.0565103341366259</c:v>
                </c:pt>
                <c:pt idx="35">
                  <c:v>-0.00562320293192431</c:v>
                </c:pt>
                <c:pt idx="36">
                  <c:v>-0.0171131847465702</c:v>
                </c:pt>
                <c:pt idx="37">
                  <c:v>-0.0508365696484984</c:v>
                </c:pt>
                <c:pt idx="38">
                  <c:v>-0.0111349764925249</c:v>
                </c:pt>
                <c:pt idx="39">
                  <c:v>-0.0195500504973152</c:v>
                </c:pt>
                <c:pt idx="40">
                  <c:v>0.0270934355920698</c:v>
                </c:pt>
                <c:pt idx="41">
                  <c:v>0.0611707468381002</c:v>
                </c:pt>
                <c:pt idx="42">
                  <c:v>0.0651768410241327</c:v>
                </c:pt>
                <c:pt idx="43">
                  <c:v>0.0319695852206128</c:v>
                </c:pt>
                <c:pt idx="44">
                  <c:v>0.0217905164785197</c:v>
                </c:pt>
                <c:pt idx="45">
                  <c:v>0.0232763127213582</c:v>
                </c:pt>
              </c:numCache>
            </c:numRef>
          </c:val>
          <c:smooth val="0"/>
        </c:ser>
        <c:hiLowLines>
          <c:spPr>
            <a:ln w="0">
              <a:noFill/>
            </a:ln>
          </c:spPr>
        </c:hiLowLines>
        <c:marker val="0"/>
        <c:axId val="28804449"/>
        <c:axId val="95754723"/>
      </c:lineChart>
      <c:catAx>
        <c:axId val="288044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754723"/>
        <c:crosses val="autoZero"/>
        <c:auto val="1"/>
        <c:lblAlgn val="ctr"/>
        <c:lblOffset val="100"/>
        <c:noMultiLvlLbl val="0"/>
      </c:catAx>
      <c:valAx>
        <c:axId val="957547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044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Demand components, y/y (since 2015)</a:t>
            </a:r>
          </a:p>
        </c:rich>
      </c:tx>
      <c:overlay val="0"/>
      <c:spPr>
        <a:noFill/>
        <a:ln w="0">
          <a:noFill/>
        </a:ln>
      </c:spPr>
    </c:title>
    <c:autoTitleDeleted val="0"/>
    <c:plotArea>
      <c:lineChart>
        <c:grouping val="standard"/>
        <c:varyColors val="0"/>
        <c:ser>
          <c:idx val="0"/>
          <c:order val="0"/>
          <c:tx>
            <c:strRef>
              <c:f>"Private consumption"</c:f>
              <c:strCache>
                <c:ptCount val="1"/>
                <c:pt idx="0">
                  <c:v>Private consumption</c:v>
                </c:pt>
              </c:strCache>
            </c:strRef>
          </c:tx>
          <c:spPr>
            <a:solidFill>
              <a:srgbClr val="2f5c8f"/>
            </a:solidFill>
            <a:ln w="2196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Quarterly!$B$50:$B$94</c:f>
              <c:strCache>
                <c:ptCount val="45"/>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pt idx="32">
                  <c:v>2023-Q1</c:v>
                </c:pt>
                <c:pt idx="33">
                  <c:v>2023-Q2</c:v>
                </c:pt>
                <c:pt idx="34">
                  <c:v>2023-Q3</c:v>
                </c:pt>
                <c:pt idx="35">
                  <c:v>2023-Q4</c:v>
                </c:pt>
                <c:pt idx="36">
                  <c:v>2024-Q1</c:v>
                </c:pt>
                <c:pt idx="37">
                  <c:v>2024-Q2</c:v>
                </c:pt>
                <c:pt idx="38">
                  <c:v>2024-Q3</c:v>
                </c:pt>
                <c:pt idx="39">
                  <c:v>2024-Q4</c:v>
                </c:pt>
                <c:pt idx="40">
                  <c:v>2025-Q1</c:v>
                </c:pt>
                <c:pt idx="41">
                  <c:v>2025-Q2</c:v>
                </c:pt>
                <c:pt idx="42">
                  <c:v>2025-Q3</c:v>
                </c:pt>
                <c:pt idx="43">
                  <c:v>2025-Q4</c:v>
                </c:pt>
                <c:pt idx="44">
                  <c:v>2026-Q1</c:v>
                </c:pt>
              </c:strCache>
            </c:strRef>
          </c:cat>
          <c:val>
            <c:numRef>
              <c:f>Quarterly!$H$49:$H$94</c:f>
              <c:numCache>
                <c:formatCode>0.0%</c:formatCode>
                <c:ptCount val="46"/>
                <c:pt idx="0">
                  <c:v>-0.0743903668639023</c:v>
                </c:pt>
                <c:pt idx="1">
                  <c:v>-0.02</c:v>
                </c:pt>
                <c:pt idx="2">
                  <c:v>0.079</c:v>
                </c:pt>
                <c:pt idx="3">
                  <c:v>0.0569999999999999</c:v>
                </c:pt>
                <c:pt idx="4">
                  <c:v>0.03</c:v>
                </c:pt>
                <c:pt idx="5">
                  <c:v>0.026139687452605</c:v>
                </c:pt>
                <c:pt idx="6">
                  <c:v>-0.018757397501351</c:v>
                </c:pt>
                <c:pt idx="7">
                  <c:v>-0.0234907983080513</c:v>
                </c:pt>
                <c:pt idx="8">
                  <c:v>-0.0136372030328974</c:v>
                </c:pt>
                <c:pt idx="9">
                  <c:v>0.0293079265685057</c:v>
                </c:pt>
                <c:pt idx="10">
                  <c:v>0.0383138206282136</c:v>
                </c:pt>
                <c:pt idx="11">
                  <c:v>0.047467754778177</c:v>
                </c:pt>
                <c:pt idx="12">
                  <c:v>0.0524375818066418</c:v>
                </c:pt>
                <c:pt idx="13">
                  <c:v>0.0315321927601888</c:v>
                </c:pt>
                <c:pt idx="14">
                  <c:v>0.0149959778358182</c:v>
                </c:pt>
                <c:pt idx="15">
                  <c:v>-0.0322980320566232</c:v>
                </c:pt>
                <c:pt idx="16">
                  <c:v>-0.111872914250448</c:v>
                </c:pt>
                <c:pt idx="17">
                  <c:v>-0.0877559005087939</c:v>
                </c:pt>
                <c:pt idx="18">
                  <c:v>-0.0641993398993321</c:v>
                </c:pt>
                <c:pt idx="19">
                  <c:v>-0.0640943732595761</c:v>
                </c:pt>
                <c:pt idx="20">
                  <c:v>-0.0217813362218087</c:v>
                </c:pt>
                <c:pt idx="21">
                  <c:v>-0.0664247435062484</c:v>
                </c:pt>
                <c:pt idx="22">
                  <c:v>-0.211350761272367</c:v>
                </c:pt>
                <c:pt idx="23">
                  <c:v>-0.148713619821761</c:v>
                </c:pt>
                <c:pt idx="24">
                  <c:v>-0.043684091683515</c:v>
                </c:pt>
                <c:pt idx="25">
                  <c:v>0.00537591825144435</c:v>
                </c:pt>
                <c:pt idx="26">
                  <c:v>0.185236467065796</c:v>
                </c:pt>
                <c:pt idx="27">
                  <c:v>0.099079016973618</c:v>
                </c:pt>
                <c:pt idx="28">
                  <c:v>0.0967974100467195</c:v>
                </c:pt>
                <c:pt idx="29">
                  <c:v>0.0911742115310472</c:v>
                </c:pt>
                <c:pt idx="30">
                  <c:v>0.119862279480017</c:v>
                </c:pt>
                <c:pt idx="31">
                  <c:v>0.106582261219266</c:v>
                </c:pt>
                <c:pt idx="32">
                  <c:v>0.0586419851493161</c:v>
                </c:pt>
                <c:pt idx="33">
                  <c:v>0.037539496647685</c:v>
                </c:pt>
                <c:pt idx="34">
                  <c:v>0.0202131795329457</c:v>
                </c:pt>
                <c:pt idx="35">
                  <c:v>-0.00206235076692041</c:v>
                </c:pt>
                <c:pt idx="36">
                  <c:v>-0.0193409487778908</c:v>
                </c:pt>
                <c:pt idx="37">
                  <c:v>-0.0516591112618867</c:v>
                </c:pt>
                <c:pt idx="38">
                  <c:v>-0.0844995116941595</c:v>
                </c:pt>
                <c:pt idx="39">
                  <c:v>-0.0126003029164191</c:v>
                </c:pt>
                <c:pt idx="40">
                  <c:v>0.0486964197602462</c:v>
                </c:pt>
                <c:pt idx="41">
                  <c:v>0.114706924652036</c:v>
                </c:pt>
                <c:pt idx="42">
                  <c:v>0.116587306863953</c:v>
                </c:pt>
                <c:pt idx="43">
                  <c:v>0.0661379067229602</c:v>
                </c:pt>
                <c:pt idx="44">
                  <c:v>0.0423543363812411</c:v>
                </c:pt>
                <c:pt idx="45">
                  <c:v>0.0274696276862398</c:v>
                </c:pt>
              </c:numCache>
            </c:numRef>
          </c:val>
          <c:smooth val="0"/>
        </c:ser>
        <c:ser>
          <c:idx val="1"/>
          <c:order val="1"/>
          <c:tx>
            <c:strRef>
              <c:f>"GFCF"</c:f>
              <c:strCache>
                <c:ptCount val="1"/>
                <c:pt idx="0">
                  <c:v>GFCF</c:v>
                </c:pt>
              </c:strCache>
            </c:strRef>
          </c:tx>
          <c:spPr>
            <a:solidFill>
              <a:srgbClr val="d1495b"/>
            </a:solidFill>
            <a:ln w="2196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Quarterly!$B$50:$B$94</c:f>
              <c:strCache>
                <c:ptCount val="45"/>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pt idx="32">
                  <c:v>2023-Q1</c:v>
                </c:pt>
                <c:pt idx="33">
                  <c:v>2023-Q2</c:v>
                </c:pt>
                <c:pt idx="34">
                  <c:v>2023-Q3</c:v>
                </c:pt>
                <c:pt idx="35">
                  <c:v>2023-Q4</c:v>
                </c:pt>
                <c:pt idx="36">
                  <c:v>2024-Q1</c:v>
                </c:pt>
                <c:pt idx="37">
                  <c:v>2024-Q2</c:v>
                </c:pt>
                <c:pt idx="38">
                  <c:v>2024-Q3</c:v>
                </c:pt>
                <c:pt idx="39">
                  <c:v>2024-Q4</c:v>
                </c:pt>
                <c:pt idx="40">
                  <c:v>2025-Q1</c:v>
                </c:pt>
                <c:pt idx="41">
                  <c:v>2025-Q2</c:v>
                </c:pt>
                <c:pt idx="42">
                  <c:v>2025-Q3</c:v>
                </c:pt>
                <c:pt idx="43">
                  <c:v>2025-Q4</c:v>
                </c:pt>
                <c:pt idx="44">
                  <c:v>2026-Q1</c:v>
                </c:pt>
              </c:strCache>
            </c:strRef>
          </c:cat>
          <c:val>
            <c:numRef>
              <c:f>Quarterly!$J$49:$J$94</c:f>
              <c:numCache>
                <c:formatCode>0.0%</c:formatCode>
                <c:ptCount val="46"/>
                <c:pt idx="0">
                  <c:v>-0.106352477587412</c:v>
                </c:pt>
                <c:pt idx="1">
                  <c:v>-0.0196412610424902</c:v>
                </c:pt>
                <c:pt idx="2">
                  <c:v>0.0173594241561403</c:v>
                </c:pt>
                <c:pt idx="3">
                  <c:v>0.0622087461958325</c:v>
                </c:pt>
                <c:pt idx="4">
                  <c:v>0.0777598068562753</c:v>
                </c:pt>
                <c:pt idx="5">
                  <c:v>-0.0338902579125577</c:v>
                </c:pt>
                <c:pt idx="6">
                  <c:v>-0.0622391840357539</c:v>
                </c:pt>
                <c:pt idx="7">
                  <c:v>-0.0793425656439473</c:v>
                </c:pt>
                <c:pt idx="8">
                  <c:v>-0.0523437499039818</c:v>
                </c:pt>
                <c:pt idx="9">
                  <c:v>0.0567466197765538</c:v>
                </c:pt>
                <c:pt idx="10">
                  <c:v>0.0990292208798416</c:v>
                </c:pt>
                <c:pt idx="11">
                  <c:v>0.170622279112013</c:v>
                </c:pt>
                <c:pt idx="12">
                  <c:v>0.202162116103047</c:v>
                </c:pt>
                <c:pt idx="13">
                  <c:v>0.158300650064668</c:v>
                </c:pt>
                <c:pt idx="14">
                  <c:v>0.0252940801203829</c:v>
                </c:pt>
                <c:pt idx="15">
                  <c:v>-0.115360266228003</c:v>
                </c:pt>
                <c:pt idx="16">
                  <c:v>-0.250595391820462</c:v>
                </c:pt>
                <c:pt idx="17">
                  <c:v>-0.250247058472427</c:v>
                </c:pt>
                <c:pt idx="18">
                  <c:v>-0.185065898138294</c:v>
                </c:pt>
                <c:pt idx="19">
                  <c:v>-0.10082549871185</c:v>
                </c:pt>
                <c:pt idx="20">
                  <c:v>-0.0825081059883627</c:v>
                </c:pt>
                <c:pt idx="21">
                  <c:v>-0.181709625975332</c:v>
                </c:pt>
                <c:pt idx="22">
                  <c:v>-0.383204274076476</c:v>
                </c:pt>
                <c:pt idx="23">
                  <c:v>-0.0915106495559175</c:v>
                </c:pt>
                <c:pt idx="24">
                  <c:v>0.156792899200144</c:v>
                </c:pt>
                <c:pt idx="25">
                  <c:v>0.387949501979662</c:v>
                </c:pt>
                <c:pt idx="26">
                  <c:v>0.786378440865212</c:v>
                </c:pt>
                <c:pt idx="27">
                  <c:v>0.221234406908671</c:v>
                </c:pt>
                <c:pt idx="28">
                  <c:v>0.14877669230011</c:v>
                </c:pt>
                <c:pt idx="29">
                  <c:v>0.107915543735956</c:v>
                </c:pt>
                <c:pt idx="30">
                  <c:v>0.179110488402522</c:v>
                </c:pt>
                <c:pt idx="31">
                  <c:v>0.135649866834333</c:v>
                </c:pt>
                <c:pt idx="32">
                  <c:v>0.00323183586037423</c:v>
                </c:pt>
                <c:pt idx="33">
                  <c:v>-0.0134156527109034</c:v>
                </c:pt>
                <c:pt idx="34">
                  <c:v>-0.0185626306758392</c:v>
                </c:pt>
                <c:pt idx="35">
                  <c:v>0.00760606177857137</c:v>
                </c:pt>
                <c:pt idx="36">
                  <c:v>-0.0777301846553579</c:v>
                </c:pt>
                <c:pt idx="37">
                  <c:v>-0.239734766595198</c:v>
                </c:pt>
                <c:pt idx="38">
                  <c:v>-0.294040834443625</c:v>
                </c:pt>
                <c:pt idx="39">
                  <c:v>-0.167578621695387</c:v>
                </c:pt>
                <c:pt idx="40">
                  <c:v>0.018718222888916</c:v>
                </c:pt>
                <c:pt idx="41">
                  <c:v>0.314072613666944</c:v>
                </c:pt>
                <c:pt idx="42">
                  <c:v>0.323580515139185</c:v>
                </c:pt>
                <c:pt idx="43">
                  <c:v>0.10244343530406</c:v>
                </c:pt>
                <c:pt idx="44">
                  <c:v>-0.0261030735743939</c:v>
                </c:pt>
                <c:pt idx="45">
                  <c:v>-0.116403378932908</c:v>
                </c:pt>
              </c:numCache>
            </c:numRef>
          </c:val>
          <c:smooth val="0"/>
        </c:ser>
        <c:ser>
          <c:idx val="2"/>
          <c:order val="2"/>
          <c:tx>
            <c:strRef>
              <c:f>"Exports"</c:f>
              <c:strCache>
                <c:ptCount val="1"/>
                <c:pt idx="0">
                  <c:v>Exports</c:v>
                </c:pt>
              </c:strCache>
            </c:strRef>
          </c:tx>
          <c:spPr>
            <a:solidFill>
              <a:srgbClr val="4f9d69"/>
            </a:solidFill>
            <a:ln w="21960">
              <a:solidFill>
                <a:srgbClr val="4f9d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Quarterly!$B$50:$B$94</c:f>
              <c:strCache>
                <c:ptCount val="45"/>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pt idx="32">
                  <c:v>2023-Q1</c:v>
                </c:pt>
                <c:pt idx="33">
                  <c:v>2023-Q2</c:v>
                </c:pt>
                <c:pt idx="34">
                  <c:v>2023-Q3</c:v>
                </c:pt>
                <c:pt idx="35">
                  <c:v>2023-Q4</c:v>
                </c:pt>
                <c:pt idx="36">
                  <c:v>2024-Q1</c:v>
                </c:pt>
                <c:pt idx="37">
                  <c:v>2024-Q2</c:v>
                </c:pt>
                <c:pt idx="38">
                  <c:v>2024-Q3</c:v>
                </c:pt>
                <c:pt idx="39">
                  <c:v>2024-Q4</c:v>
                </c:pt>
                <c:pt idx="40">
                  <c:v>2025-Q1</c:v>
                </c:pt>
                <c:pt idx="41">
                  <c:v>2025-Q2</c:v>
                </c:pt>
                <c:pt idx="42">
                  <c:v>2025-Q3</c:v>
                </c:pt>
                <c:pt idx="43">
                  <c:v>2025-Q4</c:v>
                </c:pt>
                <c:pt idx="44">
                  <c:v>2026-Q1</c:v>
                </c:pt>
              </c:strCache>
            </c:strRef>
          </c:cat>
          <c:val>
            <c:numRef>
              <c:f>Quarterly!$K$49:$K$94</c:f>
              <c:numCache>
                <c:formatCode>0.0%</c:formatCode>
                <c:ptCount val="46"/>
                <c:pt idx="0">
                  <c:v>-0.00364317798902813</c:v>
                </c:pt>
                <c:pt idx="1">
                  <c:v>-0.0237548216063493</c:v>
                </c:pt>
                <c:pt idx="2">
                  <c:v>-0.0202838991010366</c:v>
                </c:pt>
                <c:pt idx="3">
                  <c:v>0.00139952780869845</c:v>
                </c:pt>
                <c:pt idx="4">
                  <c:v>-0.0709391147499575</c:v>
                </c:pt>
                <c:pt idx="5">
                  <c:v>0.147447114106724</c:v>
                </c:pt>
                <c:pt idx="6">
                  <c:v>-0.00890087559725705</c:v>
                </c:pt>
                <c:pt idx="7">
                  <c:v>-0.00332875019079637</c:v>
                </c:pt>
                <c:pt idx="8">
                  <c:v>0.10540974216675</c:v>
                </c:pt>
                <c:pt idx="9">
                  <c:v>0.00927451962527015</c:v>
                </c:pt>
                <c:pt idx="10">
                  <c:v>0.013674276525576</c:v>
                </c:pt>
                <c:pt idx="11">
                  <c:v>0.0473272763780053</c:v>
                </c:pt>
                <c:pt idx="12">
                  <c:v>0.0331994620655065</c:v>
                </c:pt>
                <c:pt idx="13">
                  <c:v>0.0762793705828446</c:v>
                </c:pt>
                <c:pt idx="14">
                  <c:v>-0.0835827075874456</c:v>
                </c:pt>
                <c:pt idx="15">
                  <c:v>-0.0610442392447104</c:v>
                </c:pt>
                <c:pt idx="16">
                  <c:v>0.106270504113575</c:v>
                </c:pt>
                <c:pt idx="17">
                  <c:v>0.00717231413299579</c:v>
                </c:pt>
                <c:pt idx="18">
                  <c:v>0.15714486857321</c:v>
                </c:pt>
                <c:pt idx="19">
                  <c:v>0.15227418439426</c:v>
                </c:pt>
                <c:pt idx="20">
                  <c:v>0.0786680776239828</c:v>
                </c:pt>
                <c:pt idx="21">
                  <c:v>-0.0455963524461791</c:v>
                </c:pt>
                <c:pt idx="22">
                  <c:v>-0.142911951933769</c:v>
                </c:pt>
                <c:pt idx="23">
                  <c:v>-0.180966713169763</c:v>
                </c:pt>
                <c:pt idx="24">
                  <c:v>-0.305269120339805</c:v>
                </c:pt>
                <c:pt idx="25">
                  <c:v>-0.100860063247403</c:v>
                </c:pt>
                <c:pt idx="26">
                  <c:v>0.0706420710633624</c:v>
                </c:pt>
                <c:pt idx="27">
                  <c:v>0.18450874590397</c:v>
                </c:pt>
                <c:pt idx="28">
                  <c:v>0.201425358771155</c:v>
                </c:pt>
                <c:pt idx="29">
                  <c:v>0.0803971777462986</c:v>
                </c:pt>
                <c:pt idx="30">
                  <c:v>0.0777963503861732</c:v>
                </c:pt>
                <c:pt idx="31">
                  <c:v>-0.0271795590746201</c:v>
                </c:pt>
                <c:pt idx="32">
                  <c:v>0.0640244071150471</c:v>
                </c:pt>
                <c:pt idx="33">
                  <c:v>-0.0657283216075517</c:v>
                </c:pt>
                <c:pt idx="34">
                  <c:v>-0.13137587838476</c:v>
                </c:pt>
                <c:pt idx="35">
                  <c:v>-0.0840105221397224</c:v>
                </c:pt>
                <c:pt idx="36">
                  <c:v>-0.116895539959588</c:v>
                </c:pt>
                <c:pt idx="37">
                  <c:v>0.165567577657184</c:v>
                </c:pt>
                <c:pt idx="38">
                  <c:v>0.199160284696309</c:v>
                </c:pt>
                <c:pt idx="39">
                  <c:v>0.195748142640655</c:v>
                </c:pt>
                <c:pt idx="40">
                  <c:v>0.267983666318009</c:v>
                </c:pt>
                <c:pt idx="41">
                  <c:v>0.0644516091694278</c:v>
                </c:pt>
                <c:pt idx="42">
                  <c:v>0.0353074020111217</c:v>
                </c:pt>
                <c:pt idx="43">
                  <c:v>0.102671931208313</c:v>
                </c:pt>
                <c:pt idx="44">
                  <c:v>0.118060997352838</c:v>
                </c:pt>
                <c:pt idx="45">
                  <c:v>0.098326332343968</c:v>
                </c:pt>
              </c:numCache>
            </c:numRef>
          </c:val>
          <c:smooth val="0"/>
        </c:ser>
        <c:ser>
          <c:idx val="3"/>
          <c:order val="3"/>
          <c:tx>
            <c:strRef>
              <c:f>"Imports"</c:f>
              <c:strCache>
                <c:ptCount val="1"/>
                <c:pt idx="0">
                  <c:v>Imports</c:v>
                </c:pt>
              </c:strCache>
            </c:strRef>
          </c:tx>
          <c:spPr>
            <a:solidFill>
              <a:srgbClr val="e8a33d"/>
            </a:solidFill>
            <a:ln w="21960">
              <a:solidFill>
                <a:srgbClr val="e8a33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Quarterly!$B$50:$B$94</c:f>
              <c:strCache>
                <c:ptCount val="45"/>
                <c:pt idx="0">
                  <c:v>2015-Q1</c:v>
                </c:pt>
                <c:pt idx="1">
                  <c:v>2015-Q2</c:v>
                </c:pt>
                <c:pt idx="2">
                  <c:v>2015-Q3</c:v>
                </c:pt>
                <c:pt idx="3">
                  <c:v>2015-Q4</c:v>
                </c:pt>
                <c:pt idx="4">
                  <c:v>2016-Q1</c:v>
                </c:pt>
                <c:pt idx="5">
                  <c:v>2016-Q2</c:v>
                </c:pt>
                <c:pt idx="6">
                  <c:v>2016-Q3</c:v>
                </c:pt>
                <c:pt idx="7">
                  <c:v>2016-Q4</c:v>
                </c:pt>
                <c:pt idx="8">
                  <c:v>2017-Q1</c:v>
                </c:pt>
                <c:pt idx="9">
                  <c:v>2017-Q2</c:v>
                </c:pt>
                <c:pt idx="10">
                  <c:v>2017-Q3</c:v>
                </c:pt>
                <c:pt idx="11">
                  <c:v>2017-Q4</c:v>
                </c:pt>
                <c:pt idx="12">
                  <c:v>2018-Q1</c:v>
                </c:pt>
                <c:pt idx="13">
                  <c:v>2018-Q2</c:v>
                </c:pt>
                <c:pt idx="14">
                  <c:v>2018-Q3</c:v>
                </c:pt>
                <c:pt idx="15">
                  <c:v>2018-Q4</c:v>
                </c:pt>
                <c:pt idx="16">
                  <c:v>2019-Q1</c:v>
                </c:pt>
                <c:pt idx="17">
                  <c:v>2019-Q2</c:v>
                </c:pt>
                <c:pt idx="18">
                  <c:v>2019-Q3</c:v>
                </c:pt>
                <c:pt idx="19">
                  <c:v>2019-Q4</c:v>
                </c:pt>
                <c:pt idx="20">
                  <c:v>2020-Q1</c:v>
                </c:pt>
                <c:pt idx="21">
                  <c:v>2020-Q2</c:v>
                </c:pt>
                <c:pt idx="22">
                  <c:v>2020-Q3</c:v>
                </c:pt>
                <c:pt idx="23">
                  <c:v>2020-Q4</c:v>
                </c:pt>
                <c:pt idx="24">
                  <c:v>2021-Q1</c:v>
                </c:pt>
                <c:pt idx="25">
                  <c:v>2021-Q2</c:v>
                </c:pt>
                <c:pt idx="26">
                  <c:v>2021-Q3</c:v>
                </c:pt>
                <c:pt idx="27">
                  <c:v>2021-Q4</c:v>
                </c:pt>
                <c:pt idx="28">
                  <c:v>2022-Q1</c:v>
                </c:pt>
                <c:pt idx="29">
                  <c:v>2022-Q2</c:v>
                </c:pt>
                <c:pt idx="30">
                  <c:v>2022-Q3</c:v>
                </c:pt>
                <c:pt idx="31">
                  <c:v>2022-Q4</c:v>
                </c:pt>
                <c:pt idx="32">
                  <c:v>2023-Q1</c:v>
                </c:pt>
                <c:pt idx="33">
                  <c:v>2023-Q2</c:v>
                </c:pt>
                <c:pt idx="34">
                  <c:v>2023-Q3</c:v>
                </c:pt>
                <c:pt idx="35">
                  <c:v>2023-Q4</c:v>
                </c:pt>
                <c:pt idx="36">
                  <c:v>2024-Q1</c:v>
                </c:pt>
                <c:pt idx="37">
                  <c:v>2024-Q2</c:v>
                </c:pt>
                <c:pt idx="38">
                  <c:v>2024-Q3</c:v>
                </c:pt>
                <c:pt idx="39">
                  <c:v>2024-Q4</c:v>
                </c:pt>
                <c:pt idx="40">
                  <c:v>2025-Q1</c:v>
                </c:pt>
                <c:pt idx="41">
                  <c:v>2025-Q2</c:v>
                </c:pt>
                <c:pt idx="42">
                  <c:v>2025-Q3</c:v>
                </c:pt>
                <c:pt idx="43">
                  <c:v>2025-Q4</c:v>
                </c:pt>
                <c:pt idx="44">
                  <c:v>2026-Q1</c:v>
                </c:pt>
              </c:strCache>
            </c:strRef>
          </c:cat>
          <c:val>
            <c:numRef>
              <c:f>Quarterly!$L$49:$L$94</c:f>
              <c:numCache>
                <c:formatCode>0.0%</c:formatCode>
                <c:ptCount val="46"/>
                <c:pt idx="0">
                  <c:v>-0.178048769577274</c:v>
                </c:pt>
                <c:pt idx="1">
                  <c:v>-0.0788044438000242</c:v>
                </c:pt>
                <c:pt idx="2">
                  <c:v>0.0263420283913656</c:v>
                </c:pt>
                <c:pt idx="3">
                  <c:v>0.114911088508382</c:v>
                </c:pt>
                <c:pt idx="4">
                  <c:v>0.134683204131372</c:v>
                </c:pt>
                <c:pt idx="5">
                  <c:v>0.11881822255875</c:v>
                </c:pt>
                <c:pt idx="6">
                  <c:v>0.0797526907348325</c:v>
                </c:pt>
                <c:pt idx="7">
                  <c:v>0.000206422868458622</c:v>
                </c:pt>
                <c:pt idx="8">
                  <c:v>0.0455185779683633</c:v>
                </c:pt>
                <c:pt idx="9">
                  <c:v>0.082077157801566</c:v>
                </c:pt>
                <c:pt idx="10">
                  <c:v>0.124050722604475</c:v>
                </c:pt>
                <c:pt idx="11">
                  <c:v>0.186756898014905</c:v>
                </c:pt>
                <c:pt idx="12">
                  <c:v>0.227120669745758</c:v>
                </c:pt>
                <c:pt idx="13">
                  <c:v>0.160803943984349</c:v>
                </c:pt>
                <c:pt idx="14">
                  <c:v>0.0422649682023293</c:v>
                </c:pt>
                <c:pt idx="15">
                  <c:v>-0.0975680838434154</c:v>
                </c:pt>
                <c:pt idx="16">
                  <c:v>-0.246882548139103</c:v>
                </c:pt>
                <c:pt idx="17">
                  <c:v>-0.250949113683651</c:v>
                </c:pt>
                <c:pt idx="18">
                  <c:v>-0.222688052616929</c:v>
                </c:pt>
                <c:pt idx="19">
                  <c:v>-0.146724438411492</c:v>
                </c:pt>
                <c:pt idx="20">
                  <c:v>-0.105636345621127</c:v>
                </c:pt>
                <c:pt idx="21">
                  <c:v>-0.123886736828216</c:v>
                </c:pt>
                <c:pt idx="22">
                  <c:v>-0.305539244603835</c:v>
                </c:pt>
                <c:pt idx="23">
                  <c:v>-0.223708594190412</c:v>
                </c:pt>
                <c:pt idx="24">
                  <c:v>-0.0171693308561153</c:v>
                </c:pt>
                <c:pt idx="25">
                  <c:v>-0.00290477950028611</c:v>
                </c:pt>
                <c:pt idx="26">
                  <c:v>0.372169436469916</c:v>
                </c:pt>
                <c:pt idx="27">
                  <c:v>0.204247911331032</c:v>
                </c:pt>
                <c:pt idx="28">
                  <c:v>0.20651996005426</c:v>
                </c:pt>
                <c:pt idx="29">
                  <c:v>0.237651314709232</c:v>
                </c:pt>
                <c:pt idx="30">
                  <c:v>0.254559192896832</c:v>
                </c:pt>
                <c:pt idx="31">
                  <c:v>0.220713900799324</c:v>
                </c:pt>
                <c:pt idx="32">
                  <c:v>0.0128940559693491</c:v>
                </c:pt>
                <c:pt idx="33">
                  <c:v>0.0396666038486688</c:v>
                </c:pt>
                <c:pt idx="34">
                  <c:v>0.0384051092547439</c:v>
                </c:pt>
                <c:pt idx="35">
                  <c:v>0.01824787676644</c:v>
                </c:pt>
                <c:pt idx="36">
                  <c:v>-0.0090510330720347</c:v>
                </c:pt>
                <c:pt idx="37">
                  <c:v>-0.13765234502408</c:v>
                </c:pt>
                <c:pt idx="38">
                  <c:v>-0.227857499525172</c:v>
                </c:pt>
                <c:pt idx="39">
                  <c:v>-0.119971404809525</c:v>
                </c:pt>
                <c:pt idx="40">
                  <c:v>0.091903569424145</c:v>
                </c:pt>
                <c:pt idx="41">
                  <c:v>0.405797568181458</c:v>
                </c:pt>
                <c:pt idx="42">
                  <c:v>0.391143189735411</c:v>
                </c:pt>
                <c:pt idx="43">
                  <c:v>0.252109703180934</c:v>
                </c:pt>
                <c:pt idx="44">
                  <c:v>0.110989268657829</c:v>
                </c:pt>
                <c:pt idx="45">
                  <c:v>-0.0745531100581428</c:v>
                </c:pt>
              </c:numCache>
            </c:numRef>
          </c:val>
          <c:smooth val="0"/>
        </c:ser>
        <c:hiLowLines>
          <c:spPr>
            <a:ln w="0">
              <a:noFill/>
            </a:ln>
          </c:spPr>
        </c:hiLowLines>
        <c:marker val="0"/>
        <c:axId val="99550612"/>
        <c:axId val="21101030"/>
      </c:lineChart>
      <c:catAx>
        <c:axId val="995506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01030"/>
        <c:crosses val="autoZero"/>
        <c:auto val="1"/>
        <c:lblAlgn val="ctr"/>
        <c:lblOffset val="100"/>
        <c:noMultiLvlLbl val="0"/>
      </c:catAx>
      <c:valAx>
        <c:axId val="2110103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5506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growth by year</a:t>
            </a:r>
          </a:p>
        </c:rich>
      </c:tx>
      <c:overlay val="0"/>
      <c:spPr>
        <a:noFill/>
        <a:ln w="0">
          <a:noFill/>
        </a:ln>
      </c:spPr>
    </c:title>
    <c:autoTitleDeleted val="0"/>
    <c:plotArea>
      <c:barChart>
        <c:barDir val="col"/>
        <c:grouping val="clustered"/>
        <c:varyColors val="0"/>
        <c:ser>
          <c:idx val="0"/>
          <c:order val="0"/>
          <c:tx>
            <c:strRef>
              <c:f>Annual!J5</c:f>
              <c:strCache>
                <c:ptCount val="1"/>
                <c:pt idx="0">
                  <c:v>Real GDP
growth</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Annual!$B$6:$B$27</c:f>
              <c:strCache>
                <c:ptCount val="2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strCache>
            </c:strRef>
          </c:cat>
          <c:val>
            <c:numRef>
              <c:f>Annual!$J$6:$J$27</c:f>
              <c:numCache>
                <c:formatCode>0.00%</c:formatCode>
                <c:ptCount val="22"/>
                <c:pt idx="1">
                  <c:v>0.0885165991941441</c:v>
                </c:pt>
                <c:pt idx="2">
                  <c:v>0.0804715150365769</c:v>
                </c:pt>
                <c:pt idx="3">
                  <c:v>0.0900765087916498</c:v>
                </c:pt>
                <c:pt idx="4">
                  <c:v>0.0405723310237889</c:v>
                </c:pt>
                <c:pt idx="5">
                  <c:v>-0.0591852508035117</c:v>
                </c:pt>
                <c:pt idx="6">
                  <c:v>0.101253981606365</c:v>
                </c:pt>
                <c:pt idx="7">
                  <c:v>0.0600395168927028</c:v>
                </c:pt>
                <c:pt idx="8">
                  <c:v>-0.0102642046307625</c:v>
                </c:pt>
                <c:pt idx="9">
                  <c:v>0.0240532378717027</c:v>
                </c:pt>
                <c:pt idx="10">
                  <c:v>-0.0251261532628019</c:v>
                </c:pt>
                <c:pt idx="11">
                  <c:v>0.0273115983906469</c:v>
                </c:pt>
                <c:pt idx="12">
                  <c:v>-0.0208032784926491</c:v>
                </c:pt>
                <c:pt idx="13">
                  <c:v>0.0281850297283732</c:v>
                </c:pt>
                <c:pt idx="14">
                  <c:v>-0.0261739646065688</c:v>
                </c:pt>
                <c:pt idx="15">
                  <c:v>-0.020008610017216</c:v>
                </c:pt>
                <c:pt idx="16">
                  <c:v>-0.0990048481923708</c:v>
                </c:pt>
                <c:pt idx="17">
                  <c:v>0.104418120024566</c:v>
                </c:pt>
                <c:pt idx="18">
                  <c:v>0.0602074537391237</c:v>
                </c:pt>
                <c:pt idx="19">
                  <c:v>-0.018508324789034</c:v>
                </c:pt>
                <c:pt idx="20">
                  <c:v>-0.0136775736576618</c:v>
                </c:pt>
                <c:pt idx="21">
                  <c:v>0.0448324462975642</c:v>
                </c:pt>
              </c:numCache>
            </c:numRef>
          </c:val>
        </c:ser>
        <c:gapWidth val="150"/>
        <c:overlap val="0"/>
        <c:axId val="50361091"/>
        <c:axId val="14702066"/>
      </c:barChart>
      <c:catAx>
        <c:axId val="5036109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702066"/>
        <c:crosses val="autoZero"/>
        <c:auto val="1"/>
        <c:lblAlgn val="ctr"/>
        <c:lblOffset val="100"/>
        <c:noMultiLvlLbl val="0"/>
      </c:catAx>
      <c:valAx>
        <c:axId val="1470206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36109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Nominal GDP in US dollars (bn, period-average FX)</a:t>
            </a:r>
          </a:p>
        </c:rich>
      </c:tx>
      <c:overlay val="0"/>
      <c:spPr>
        <a:noFill/>
        <a:ln w="0">
          <a:noFill/>
        </a:ln>
      </c:spPr>
    </c:title>
    <c:autoTitleDeleted val="0"/>
    <c:plotArea>
      <c:lineChart>
        <c:grouping val="standard"/>
        <c:varyColors val="0"/>
        <c:ser>
          <c:idx val="0"/>
          <c:order val="0"/>
          <c:tx>
            <c:strRef>
              <c:f>Annual!L5</c:f>
              <c:strCache>
                <c:ptCount val="1"/>
                <c:pt idx="0">
                  <c:v>Nominal GDP
(USD bn)</c:v>
                </c:pt>
              </c:strCache>
            </c:strRef>
          </c:tx>
          <c:spPr>
            <a:solidFill>
              <a:srgbClr val="d1495b"/>
            </a:solidFill>
            <a:ln w="2808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Annual!$B$6:$B$27</c:f>
              <c:strCache>
                <c:ptCount val="2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strCache>
            </c:strRef>
          </c:cat>
          <c:val>
            <c:numRef>
              <c:f>Annual!$L$6:$L$27</c:f>
              <c:numCache>
                <c:formatCode>#,##0.0;\(#,##0.0\);\-</c:formatCode>
                <c:ptCount val="22"/>
                <c:pt idx="0">
                  <c:v>164.872219072854</c:v>
                </c:pt>
                <c:pt idx="1">
                  <c:v>199.284573924683</c:v>
                </c:pt>
                <c:pt idx="2">
                  <c:v>232.86649231365</c:v>
                </c:pt>
                <c:pt idx="3">
                  <c:v>287.786135161681</c:v>
                </c:pt>
                <c:pt idx="4">
                  <c:v>363.878372470707</c:v>
                </c:pt>
                <c:pt idx="5">
                  <c:v>334.281740236008</c:v>
                </c:pt>
                <c:pt idx="6">
                  <c:v>424.344798046367</c:v>
                </c:pt>
                <c:pt idx="7">
                  <c:v>527.114685451885</c:v>
                </c:pt>
                <c:pt idx="8">
                  <c:v>579.081646333818</c:v>
                </c:pt>
                <c:pt idx="9">
                  <c:v>611.147697364878</c:v>
                </c:pt>
                <c:pt idx="10">
                  <c:v>562.846495561959</c:v>
                </c:pt>
                <c:pt idx="11">
                  <c:v>642.060065400035</c:v>
                </c:pt>
                <c:pt idx="12">
                  <c:v>556.847223981279</c:v>
                </c:pt>
                <c:pt idx="13">
                  <c:v>643.383691007967</c:v>
                </c:pt>
                <c:pt idx="14">
                  <c:v>544.293679422175</c:v>
                </c:pt>
                <c:pt idx="15">
                  <c:v>449.577441494506</c:v>
                </c:pt>
                <c:pt idx="16">
                  <c:v>385.168428379703</c:v>
                </c:pt>
                <c:pt idx="17">
                  <c:v>484.181787196657</c:v>
                </c:pt>
                <c:pt idx="18">
                  <c:v>631.279828713288</c:v>
                </c:pt>
                <c:pt idx="19">
                  <c:v>658.221498274765</c:v>
                </c:pt>
                <c:pt idx="20">
                  <c:v>633.194650166078</c:v>
                </c:pt>
                <c:pt idx="21">
                  <c:v>685.480119293686</c:v>
                </c:pt>
              </c:numCache>
            </c:numRef>
          </c:val>
          <c:smooth val="0"/>
        </c:ser>
        <c:hiLowLines>
          <c:spPr>
            <a:ln w="0">
              <a:noFill/>
            </a:ln>
          </c:spPr>
        </c:hiLowLines>
        <c:marker val="0"/>
        <c:axId val="77070421"/>
        <c:axId val="13632589"/>
      </c:lineChart>
      <c:catAx>
        <c:axId val="7707042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632589"/>
        <c:crosses val="autoZero"/>
        <c:auto val="1"/>
        <c:lblAlgn val="ctr"/>
        <c:lblOffset val="100"/>
        <c:noMultiLvlLbl val="0"/>
      </c:catAx>
      <c:valAx>
        <c:axId val="1363258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0704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Contributions to y/y GDP growth (pp)</a:t>
            </a:r>
          </a:p>
        </c:rich>
      </c:tx>
      <c:overlay val="0"/>
      <c:spPr>
        <a:noFill/>
        <a:ln w="0">
          <a:noFill/>
        </a:ln>
      </c:spPr>
    </c:title>
    <c:autoTitleDeleted val="0"/>
    <c:plotArea>
      <c:barChart>
        <c:barDir val="col"/>
        <c:grouping val="stacked"/>
        <c:varyColors val="0"/>
        <c:ser>
          <c:idx val="0"/>
          <c:order val="0"/>
          <c:tx>
            <c:strRef>
              <c:f>Contributions!D7</c:f>
              <c:strCache>
                <c:ptCount val="1"/>
                <c:pt idx="0">
                  <c:v>Private
consumption</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Contributions!$B$8:$B$92</c:f>
              <c:strCache>
                <c:ptCount val="85"/>
                <c:pt idx="0">
                  <c:v>2005-Q1</c:v>
                </c:pt>
                <c:pt idx="1">
                  <c:v>2005-Q2</c:v>
                </c:pt>
                <c:pt idx="2">
                  <c:v>2005-Q3</c:v>
                </c:pt>
                <c:pt idx="3">
                  <c:v>2005-Q4</c:v>
                </c:pt>
                <c:pt idx="4">
                  <c:v>2006-Q1</c:v>
                </c:pt>
                <c:pt idx="5">
                  <c:v>2006-Q2</c:v>
                </c:pt>
                <c:pt idx="6">
                  <c:v>2006-Q3</c:v>
                </c:pt>
                <c:pt idx="7">
                  <c:v>2006-Q4</c:v>
                </c:pt>
                <c:pt idx="8">
                  <c:v>2007-Q1</c:v>
                </c:pt>
                <c:pt idx="9">
                  <c:v>2007-Q2</c:v>
                </c:pt>
                <c:pt idx="10">
                  <c:v>2007-Q3</c:v>
                </c:pt>
                <c:pt idx="11">
                  <c:v>2007-Q4</c:v>
                </c:pt>
                <c:pt idx="12">
                  <c:v>2008-Q1</c:v>
                </c:pt>
                <c:pt idx="13">
                  <c:v>2008-Q2</c:v>
                </c:pt>
                <c:pt idx="14">
                  <c:v>2008-Q3</c:v>
                </c:pt>
                <c:pt idx="15">
                  <c:v>2008-Q4</c:v>
                </c:pt>
                <c:pt idx="16">
                  <c:v>2009-Q1</c:v>
                </c:pt>
                <c:pt idx="17">
                  <c:v>2009-Q2</c:v>
                </c:pt>
                <c:pt idx="18">
                  <c:v>2009-Q3</c:v>
                </c:pt>
                <c:pt idx="19">
                  <c:v>2009-Q4</c:v>
                </c:pt>
                <c:pt idx="20">
                  <c:v>2010-Q1</c:v>
                </c:pt>
                <c:pt idx="21">
                  <c:v>2010-Q2</c:v>
                </c:pt>
                <c:pt idx="22">
                  <c:v>2010-Q3</c:v>
                </c:pt>
                <c:pt idx="23">
                  <c:v>2010-Q4</c:v>
                </c:pt>
                <c:pt idx="24">
                  <c:v>2011-Q1</c:v>
                </c:pt>
                <c:pt idx="25">
                  <c:v>2011-Q2</c:v>
                </c:pt>
                <c:pt idx="26">
                  <c:v>2011-Q3</c:v>
                </c:pt>
                <c:pt idx="27">
                  <c:v>2011-Q4</c:v>
                </c:pt>
                <c:pt idx="28">
                  <c:v>2012-Q1</c:v>
                </c:pt>
                <c:pt idx="29">
                  <c:v>2012-Q2</c:v>
                </c:pt>
                <c:pt idx="30">
                  <c:v>2012-Q3</c:v>
                </c:pt>
                <c:pt idx="31">
                  <c:v>2012-Q4</c:v>
                </c:pt>
                <c:pt idx="32">
                  <c:v>2013-Q1</c:v>
                </c:pt>
                <c:pt idx="33">
                  <c:v>2013-Q2</c:v>
                </c:pt>
                <c:pt idx="34">
                  <c:v>2013-Q3</c:v>
                </c:pt>
                <c:pt idx="35">
                  <c:v>2013-Q4</c:v>
                </c:pt>
                <c:pt idx="36">
                  <c:v>2014-Q1</c:v>
                </c:pt>
                <c:pt idx="37">
                  <c:v>2014-Q2</c:v>
                </c:pt>
                <c:pt idx="38">
                  <c:v>2014-Q3</c:v>
                </c:pt>
                <c:pt idx="39">
                  <c:v>2014-Q4</c:v>
                </c:pt>
                <c:pt idx="40">
                  <c:v>2015-Q1</c:v>
                </c:pt>
                <c:pt idx="41">
                  <c:v>2015-Q2</c:v>
                </c:pt>
                <c:pt idx="42">
                  <c:v>2015-Q3</c:v>
                </c:pt>
                <c:pt idx="43">
                  <c:v>2015-Q4</c:v>
                </c:pt>
                <c:pt idx="44">
                  <c:v>2016-Q1</c:v>
                </c:pt>
                <c:pt idx="45">
                  <c:v>2016-Q2</c:v>
                </c:pt>
                <c:pt idx="46">
                  <c:v>2016-Q3</c:v>
                </c:pt>
                <c:pt idx="47">
                  <c:v>2016-Q4</c:v>
                </c:pt>
                <c:pt idx="48">
                  <c:v>2017-Q1</c:v>
                </c:pt>
                <c:pt idx="49">
                  <c:v>2017-Q2</c:v>
                </c:pt>
                <c:pt idx="50">
                  <c:v>2017-Q3</c:v>
                </c:pt>
                <c:pt idx="51">
                  <c:v>2017-Q4</c:v>
                </c:pt>
                <c:pt idx="52">
                  <c:v>2018-Q1</c:v>
                </c:pt>
                <c:pt idx="53">
                  <c:v>2018-Q2</c:v>
                </c:pt>
                <c:pt idx="54">
                  <c:v>2018-Q3</c:v>
                </c:pt>
                <c:pt idx="55">
                  <c:v>2018-Q4</c:v>
                </c:pt>
                <c:pt idx="56">
                  <c:v>2019-Q1</c:v>
                </c:pt>
                <c:pt idx="57">
                  <c:v>2019-Q2</c:v>
                </c:pt>
                <c:pt idx="58">
                  <c:v>2019-Q3</c:v>
                </c:pt>
                <c:pt idx="59">
                  <c:v>2019-Q4</c:v>
                </c:pt>
                <c:pt idx="60">
                  <c:v>2020-Q1</c:v>
                </c:pt>
                <c:pt idx="61">
                  <c:v>2020-Q2</c:v>
                </c:pt>
                <c:pt idx="62">
                  <c:v>2020-Q3</c:v>
                </c:pt>
                <c:pt idx="63">
                  <c:v>2020-Q4</c:v>
                </c:pt>
                <c:pt idx="64">
                  <c:v>2021-Q1</c:v>
                </c:pt>
                <c:pt idx="65">
                  <c:v>2021-Q2</c:v>
                </c:pt>
                <c:pt idx="66">
                  <c:v>2021-Q3</c:v>
                </c:pt>
                <c:pt idx="67">
                  <c:v>2021-Q4</c:v>
                </c:pt>
                <c:pt idx="68">
                  <c:v>2022-Q1</c:v>
                </c:pt>
                <c:pt idx="69">
                  <c:v>2022-Q2</c:v>
                </c:pt>
                <c:pt idx="70">
                  <c:v>2022-Q3</c:v>
                </c:pt>
                <c:pt idx="71">
                  <c:v>2022-Q4</c:v>
                </c:pt>
                <c:pt idx="72">
                  <c:v>2023-Q1</c:v>
                </c:pt>
                <c:pt idx="73">
                  <c:v>2023-Q2</c:v>
                </c:pt>
                <c:pt idx="74">
                  <c:v>2023-Q3</c:v>
                </c:pt>
                <c:pt idx="75">
                  <c:v>2023-Q4</c:v>
                </c:pt>
                <c:pt idx="76">
                  <c:v>2024-Q1</c:v>
                </c:pt>
                <c:pt idx="77">
                  <c:v>2024-Q2</c:v>
                </c:pt>
                <c:pt idx="78">
                  <c:v>2024-Q3</c:v>
                </c:pt>
                <c:pt idx="79">
                  <c:v>2024-Q4</c:v>
                </c:pt>
                <c:pt idx="80">
                  <c:v>2025-Q1</c:v>
                </c:pt>
                <c:pt idx="81">
                  <c:v>2025-Q2</c:v>
                </c:pt>
                <c:pt idx="82">
                  <c:v>2025-Q3</c:v>
                </c:pt>
                <c:pt idx="83">
                  <c:v>2025-Q4</c:v>
                </c:pt>
                <c:pt idx="84">
                  <c:v>2026-Q1</c:v>
                </c:pt>
              </c:strCache>
            </c:strRef>
          </c:cat>
          <c:val>
            <c:numRef>
              <c:f>Contributions!$D$8:$D$92</c:f>
              <c:numCache>
                <c:formatCode>\+0.00;\-0.00;\-</c:formatCode>
                <c:ptCount val="85"/>
                <c:pt idx="0">
                  <c:v>3.16323973242659</c:v>
                </c:pt>
                <c:pt idx="1">
                  <c:v>9.1326720069529</c:v>
                </c:pt>
                <c:pt idx="2">
                  <c:v>2.78306898611631</c:v>
                </c:pt>
                <c:pt idx="3">
                  <c:v>3.58113044175276</c:v>
                </c:pt>
                <c:pt idx="4">
                  <c:v>7.10862589737274</c:v>
                </c:pt>
                <c:pt idx="5">
                  <c:v>4.64811249119204</c:v>
                </c:pt>
                <c:pt idx="6">
                  <c:v>9.55157164862056</c:v>
                </c:pt>
                <c:pt idx="7">
                  <c:v>6.81540718798402</c:v>
                </c:pt>
                <c:pt idx="8">
                  <c:v>7.44978599367357</c:v>
                </c:pt>
                <c:pt idx="9">
                  <c:v>5.08592177460837</c:v>
                </c:pt>
                <c:pt idx="10">
                  <c:v>5.36253505508544</c:v>
                </c:pt>
                <c:pt idx="11">
                  <c:v>6.6052232062447</c:v>
                </c:pt>
                <c:pt idx="12">
                  <c:v>6.96198581143877</c:v>
                </c:pt>
                <c:pt idx="13">
                  <c:v>6.15640109077931</c:v>
                </c:pt>
                <c:pt idx="14">
                  <c:v>3.62529075060135</c:v>
                </c:pt>
                <c:pt idx="15">
                  <c:v>2.23771875466041</c:v>
                </c:pt>
                <c:pt idx="16">
                  <c:v>-3.93561880266382</c:v>
                </c:pt>
                <c:pt idx="17">
                  <c:v>-8.66160307890571</c:v>
                </c:pt>
                <c:pt idx="18">
                  <c:v>-0.926412106501153</c:v>
                </c:pt>
                <c:pt idx="19">
                  <c:v>-0.368721680497606</c:v>
                </c:pt>
                <c:pt idx="20">
                  <c:v>5.01701401946861</c:v>
                </c:pt>
                <c:pt idx="21">
                  <c:v>10.0346143245583</c:v>
                </c:pt>
                <c:pt idx="22">
                  <c:v>6.13592222484309</c:v>
                </c:pt>
                <c:pt idx="23">
                  <c:v>8.90564482262823</c:v>
                </c:pt>
                <c:pt idx="24">
                  <c:v>7.36628523073775</c:v>
                </c:pt>
                <c:pt idx="25">
                  <c:v>4.72571510986213</c:v>
                </c:pt>
                <c:pt idx="26">
                  <c:v>7.8794235807247</c:v>
                </c:pt>
                <c:pt idx="27">
                  <c:v>5.90879679131643</c:v>
                </c:pt>
                <c:pt idx="28">
                  <c:v>1.51693853799571</c:v>
                </c:pt>
                <c:pt idx="29">
                  <c:v>-0.710316958004108</c:v>
                </c:pt>
                <c:pt idx="30">
                  <c:v>1.148302764451</c:v>
                </c:pt>
                <c:pt idx="31">
                  <c:v>1.35209120395628</c:v>
                </c:pt>
                <c:pt idx="32">
                  <c:v>1.84177875579143</c:v>
                </c:pt>
                <c:pt idx="33">
                  <c:v>3.74845188231475</c:v>
                </c:pt>
                <c:pt idx="34">
                  <c:v>2.95589656416959</c:v>
                </c:pt>
                <c:pt idx="35">
                  <c:v>1.87459780745122</c:v>
                </c:pt>
                <c:pt idx="36">
                  <c:v>1.60837691376066</c:v>
                </c:pt>
                <c:pt idx="37">
                  <c:v>-2.13063892556546</c:v>
                </c:pt>
                <c:pt idx="38">
                  <c:v>-6.62464429191703</c:v>
                </c:pt>
                <c:pt idx="39">
                  <c:v>-5.40509478490148</c:v>
                </c:pt>
                <c:pt idx="40">
                  <c:v>-1.54333701232801</c:v>
                </c:pt>
                <c:pt idx="41">
                  <c:v>5.47781041763333</c:v>
                </c:pt>
                <c:pt idx="42">
                  <c:v>4.04784428080252</c:v>
                </c:pt>
                <c:pt idx="43">
                  <c:v>2.07605931759186</c:v>
                </c:pt>
                <c:pt idx="44">
                  <c:v>1.97182751800048</c:v>
                </c:pt>
                <c:pt idx="45">
                  <c:v>-1.34899713110448</c:v>
                </c:pt>
                <c:pt idx="46">
                  <c:v>-1.69601488453156</c:v>
                </c:pt>
                <c:pt idx="47">
                  <c:v>-0.948577570237412</c:v>
                </c:pt>
                <c:pt idx="48">
                  <c:v>2.2521997993223</c:v>
                </c:pt>
                <c:pt idx="49">
                  <c:v>2.81229602085396</c:v>
                </c:pt>
                <c:pt idx="50">
                  <c:v>3.46180579525702</c:v>
                </c:pt>
                <c:pt idx="51">
                  <c:v>3.65225474924335</c:v>
                </c:pt>
                <c:pt idx="52">
                  <c:v>2.48026127190089</c:v>
                </c:pt>
                <c:pt idx="53">
                  <c:v>1.11691602402135</c:v>
                </c:pt>
                <c:pt idx="54">
                  <c:v>-2.37580990414382</c:v>
                </c:pt>
                <c:pt idx="55">
                  <c:v>-7.84490341999533</c:v>
                </c:pt>
                <c:pt idx="56">
                  <c:v>-6.85984770422631</c:v>
                </c:pt>
                <c:pt idx="57">
                  <c:v>-5.05446089363393</c:v>
                </c:pt>
                <c:pt idx="58">
                  <c:v>-4.72642023250814</c:v>
                </c:pt>
                <c:pt idx="59">
                  <c:v>-1.4483279808353</c:v>
                </c:pt>
                <c:pt idx="60">
                  <c:v>-5.03178514532469</c:v>
                </c:pt>
                <c:pt idx="61">
                  <c:v>-15.4813074168168</c:v>
                </c:pt>
                <c:pt idx="62">
                  <c:v>-10.4465930768028</c:v>
                </c:pt>
                <c:pt idx="63">
                  <c:v>-2.87233379044852</c:v>
                </c:pt>
                <c:pt idx="64">
                  <c:v>0.400299647389837</c:v>
                </c:pt>
                <c:pt idx="65">
                  <c:v>13.2013805861898</c:v>
                </c:pt>
                <c:pt idx="66">
                  <c:v>6.59735703885057</c:v>
                </c:pt>
                <c:pt idx="67">
                  <c:v>6.36099619178677</c:v>
                </c:pt>
                <c:pt idx="68">
                  <c:v>6.61174624602789</c:v>
                </c:pt>
                <c:pt idx="69">
                  <c:v>8.52746755920239</c:v>
                </c:pt>
                <c:pt idx="70">
                  <c:v>6.97595838111061</c:v>
                </c:pt>
                <c:pt idx="71">
                  <c:v>3.9004165801646</c:v>
                </c:pt>
                <c:pt idx="72">
                  <c:v>2.77975106629046</c:v>
                </c:pt>
                <c:pt idx="73">
                  <c:v>1.48932860897348</c:v>
                </c:pt>
                <c:pt idx="74">
                  <c:v>-0.140011652561374</c:v>
                </c:pt>
                <c:pt idx="75">
                  <c:v>-1.33012075564091</c:v>
                </c:pt>
                <c:pt idx="76">
                  <c:v>-3.93290095060775</c:v>
                </c:pt>
                <c:pt idx="77">
                  <c:v>-6.73230650207461</c:v>
                </c:pt>
                <c:pt idx="78">
                  <c:v>-0.858489644135215</c:v>
                </c:pt>
                <c:pt idx="79">
                  <c:v>3.34137223662556</c:v>
                </c:pt>
                <c:pt idx="80">
                  <c:v>8.72527640365971</c:v>
                </c:pt>
                <c:pt idx="81">
                  <c:v>8.59968443725671</c:v>
                </c:pt>
                <c:pt idx="82">
                  <c:v>4.5380793067727</c:v>
                </c:pt>
                <c:pt idx="83">
                  <c:v>2.96732790449491</c:v>
                </c:pt>
                <c:pt idx="84">
                  <c:v>2.19491527171436</c:v>
                </c:pt>
              </c:numCache>
            </c:numRef>
          </c:val>
        </c:ser>
        <c:ser>
          <c:idx val="1"/>
          <c:order val="1"/>
          <c:tx>
            <c:strRef>
              <c:f>Contributions!E7</c:f>
              <c:strCache>
                <c:ptCount val="1"/>
                <c:pt idx="0">
                  <c:v>Public
consumption</c:v>
                </c:pt>
              </c:strCache>
            </c:strRef>
          </c:tx>
          <c:spPr>
            <a:solidFill>
              <a:srgbClr val="8aa0b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Contributions!$B$8:$B$92</c:f>
              <c:strCache>
                <c:ptCount val="85"/>
                <c:pt idx="0">
                  <c:v>2005-Q1</c:v>
                </c:pt>
                <c:pt idx="1">
                  <c:v>2005-Q2</c:v>
                </c:pt>
                <c:pt idx="2">
                  <c:v>2005-Q3</c:v>
                </c:pt>
                <c:pt idx="3">
                  <c:v>2005-Q4</c:v>
                </c:pt>
                <c:pt idx="4">
                  <c:v>2006-Q1</c:v>
                </c:pt>
                <c:pt idx="5">
                  <c:v>2006-Q2</c:v>
                </c:pt>
                <c:pt idx="6">
                  <c:v>2006-Q3</c:v>
                </c:pt>
                <c:pt idx="7">
                  <c:v>2006-Q4</c:v>
                </c:pt>
                <c:pt idx="8">
                  <c:v>2007-Q1</c:v>
                </c:pt>
                <c:pt idx="9">
                  <c:v>2007-Q2</c:v>
                </c:pt>
                <c:pt idx="10">
                  <c:v>2007-Q3</c:v>
                </c:pt>
                <c:pt idx="11">
                  <c:v>2007-Q4</c:v>
                </c:pt>
                <c:pt idx="12">
                  <c:v>2008-Q1</c:v>
                </c:pt>
                <c:pt idx="13">
                  <c:v>2008-Q2</c:v>
                </c:pt>
                <c:pt idx="14">
                  <c:v>2008-Q3</c:v>
                </c:pt>
                <c:pt idx="15">
                  <c:v>2008-Q4</c:v>
                </c:pt>
                <c:pt idx="16">
                  <c:v>2009-Q1</c:v>
                </c:pt>
                <c:pt idx="17">
                  <c:v>2009-Q2</c:v>
                </c:pt>
                <c:pt idx="18">
                  <c:v>2009-Q3</c:v>
                </c:pt>
                <c:pt idx="19">
                  <c:v>2009-Q4</c:v>
                </c:pt>
                <c:pt idx="20">
                  <c:v>2010-Q1</c:v>
                </c:pt>
                <c:pt idx="21">
                  <c:v>2010-Q2</c:v>
                </c:pt>
                <c:pt idx="22">
                  <c:v>2010-Q3</c:v>
                </c:pt>
                <c:pt idx="23">
                  <c:v>2010-Q4</c:v>
                </c:pt>
                <c:pt idx="24">
                  <c:v>2011-Q1</c:v>
                </c:pt>
                <c:pt idx="25">
                  <c:v>2011-Q2</c:v>
                </c:pt>
                <c:pt idx="26">
                  <c:v>2011-Q3</c:v>
                </c:pt>
                <c:pt idx="27">
                  <c:v>2011-Q4</c:v>
                </c:pt>
                <c:pt idx="28">
                  <c:v>2012-Q1</c:v>
                </c:pt>
                <c:pt idx="29">
                  <c:v>2012-Q2</c:v>
                </c:pt>
                <c:pt idx="30">
                  <c:v>2012-Q3</c:v>
                </c:pt>
                <c:pt idx="31">
                  <c:v>2012-Q4</c:v>
                </c:pt>
                <c:pt idx="32">
                  <c:v>2013-Q1</c:v>
                </c:pt>
                <c:pt idx="33">
                  <c:v>2013-Q2</c:v>
                </c:pt>
                <c:pt idx="34">
                  <c:v>2013-Q3</c:v>
                </c:pt>
                <c:pt idx="35">
                  <c:v>2013-Q4</c:v>
                </c:pt>
                <c:pt idx="36">
                  <c:v>2014-Q1</c:v>
                </c:pt>
                <c:pt idx="37">
                  <c:v>2014-Q2</c:v>
                </c:pt>
                <c:pt idx="38">
                  <c:v>2014-Q3</c:v>
                </c:pt>
                <c:pt idx="39">
                  <c:v>2014-Q4</c:v>
                </c:pt>
                <c:pt idx="40">
                  <c:v>2015-Q1</c:v>
                </c:pt>
                <c:pt idx="41">
                  <c:v>2015-Q2</c:v>
                </c:pt>
                <c:pt idx="42">
                  <c:v>2015-Q3</c:v>
                </c:pt>
                <c:pt idx="43">
                  <c:v>2015-Q4</c:v>
                </c:pt>
                <c:pt idx="44">
                  <c:v>2016-Q1</c:v>
                </c:pt>
                <c:pt idx="45">
                  <c:v>2016-Q2</c:v>
                </c:pt>
                <c:pt idx="46">
                  <c:v>2016-Q3</c:v>
                </c:pt>
                <c:pt idx="47">
                  <c:v>2016-Q4</c:v>
                </c:pt>
                <c:pt idx="48">
                  <c:v>2017-Q1</c:v>
                </c:pt>
                <c:pt idx="49">
                  <c:v>2017-Q2</c:v>
                </c:pt>
                <c:pt idx="50">
                  <c:v>2017-Q3</c:v>
                </c:pt>
                <c:pt idx="51">
                  <c:v>2017-Q4</c:v>
                </c:pt>
                <c:pt idx="52">
                  <c:v>2018-Q1</c:v>
                </c:pt>
                <c:pt idx="53">
                  <c:v>2018-Q2</c:v>
                </c:pt>
                <c:pt idx="54">
                  <c:v>2018-Q3</c:v>
                </c:pt>
                <c:pt idx="55">
                  <c:v>2018-Q4</c:v>
                </c:pt>
                <c:pt idx="56">
                  <c:v>2019-Q1</c:v>
                </c:pt>
                <c:pt idx="57">
                  <c:v>2019-Q2</c:v>
                </c:pt>
                <c:pt idx="58">
                  <c:v>2019-Q3</c:v>
                </c:pt>
                <c:pt idx="59">
                  <c:v>2019-Q4</c:v>
                </c:pt>
                <c:pt idx="60">
                  <c:v>2020-Q1</c:v>
                </c:pt>
                <c:pt idx="61">
                  <c:v>2020-Q2</c:v>
                </c:pt>
                <c:pt idx="62">
                  <c:v>2020-Q3</c:v>
                </c:pt>
                <c:pt idx="63">
                  <c:v>2020-Q4</c:v>
                </c:pt>
                <c:pt idx="64">
                  <c:v>2021-Q1</c:v>
                </c:pt>
                <c:pt idx="65">
                  <c:v>2021-Q2</c:v>
                </c:pt>
                <c:pt idx="66">
                  <c:v>2021-Q3</c:v>
                </c:pt>
                <c:pt idx="67">
                  <c:v>2021-Q4</c:v>
                </c:pt>
                <c:pt idx="68">
                  <c:v>2022-Q1</c:v>
                </c:pt>
                <c:pt idx="69">
                  <c:v>2022-Q2</c:v>
                </c:pt>
                <c:pt idx="70">
                  <c:v>2022-Q3</c:v>
                </c:pt>
                <c:pt idx="71">
                  <c:v>2022-Q4</c:v>
                </c:pt>
                <c:pt idx="72">
                  <c:v>2023-Q1</c:v>
                </c:pt>
                <c:pt idx="73">
                  <c:v>2023-Q2</c:v>
                </c:pt>
                <c:pt idx="74">
                  <c:v>2023-Q3</c:v>
                </c:pt>
                <c:pt idx="75">
                  <c:v>2023-Q4</c:v>
                </c:pt>
                <c:pt idx="76">
                  <c:v>2024-Q1</c:v>
                </c:pt>
                <c:pt idx="77">
                  <c:v>2024-Q2</c:v>
                </c:pt>
                <c:pt idx="78">
                  <c:v>2024-Q3</c:v>
                </c:pt>
                <c:pt idx="79">
                  <c:v>2024-Q4</c:v>
                </c:pt>
                <c:pt idx="80">
                  <c:v>2025-Q1</c:v>
                </c:pt>
                <c:pt idx="81">
                  <c:v>2025-Q2</c:v>
                </c:pt>
                <c:pt idx="82">
                  <c:v>2025-Q3</c:v>
                </c:pt>
                <c:pt idx="83">
                  <c:v>2025-Q4</c:v>
                </c:pt>
                <c:pt idx="84">
                  <c:v>2026-Q1</c:v>
                </c:pt>
              </c:strCache>
            </c:strRef>
          </c:cat>
          <c:val>
            <c:numRef>
              <c:f>Contributions!$E$8:$E$92</c:f>
              <c:numCache>
                <c:formatCode>\+0.00;\-0.00;\-</c:formatCode>
                <c:ptCount val="85"/>
                <c:pt idx="0">
                  <c:v>0.975740974308355</c:v>
                </c:pt>
                <c:pt idx="1">
                  <c:v>1.19361305827795</c:v>
                </c:pt>
                <c:pt idx="2">
                  <c:v>1.09259095988794</c:v>
                </c:pt>
                <c:pt idx="3">
                  <c:v>1.10759766423287</c:v>
                </c:pt>
                <c:pt idx="4">
                  <c:v>0.546902411130017</c:v>
                </c:pt>
                <c:pt idx="5">
                  <c:v>0.307871468065194</c:v>
                </c:pt>
                <c:pt idx="6">
                  <c:v>0.361814681267438</c:v>
                </c:pt>
                <c:pt idx="7">
                  <c:v>0.472420294395841</c:v>
                </c:pt>
                <c:pt idx="8">
                  <c:v>0.816256166934257</c:v>
                </c:pt>
                <c:pt idx="9">
                  <c:v>0.856066340467182</c:v>
                </c:pt>
                <c:pt idx="10">
                  <c:v>0.812014678304438</c:v>
                </c:pt>
                <c:pt idx="11">
                  <c:v>0.884792069188436</c:v>
                </c:pt>
                <c:pt idx="12">
                  <c:v>0.401126459774985</c:v>
                </c:pt>
                <c:pt idx="13">
                  <c:v>0.576400385318905</c:v>
                </c:pt>
                <c:pt idx="14">
                  <c:v>0.689890045965823</c:v>
                </c:pt>
                <c:pt idx="15">
                  <c:v>0.459501036218464</c:v>
                </c:pt>
                <c:pt idx="16">
                  <c:v>0.373096905281911</c:v>
                </c:pt>
                <c:pt idx="17">
                  <c:v>0.312073770624861</c:v>
                </c:pt>
                <c:pt idx="18">
                  <c:v>0.727595414641043</c:v>
                </c:pt>
                <c:pt idx="19">
                  <c:v>1.05133737168121</c:v>
                </c:pt>
                <c:pt idx="20">
                  <c:v>0.817548543788939</c:v>
                </c:pt>
                <c:pt idx="21">
                  <c:v>0.921567301429996</c:v>
                </c:pt>
                <c:pt idx="22">
                  <c:v>0.324370005444939</c:v>
                </c:pt>
                <c:pt idx="23">
                  <c:v>0.568912575254248</c:v>
                </c:pt>
                <c:pt idx="24">
                  <c:v>0.571708108433303</c:v>
                </c:pt>
                <c:pt idx="25">
                  <c:v>0.496751784470209</c:v>
                </c:pt>
                <c:pt idx="26">
                  <c:v>0.823069715027312</c:v>
                </c:pt>
                <c:pt idx="27">
                  <c:v>0.225458541425811</c:v>
                </c:pt>
                <c:pt idx="28">
                  <c:v>0.452910876248358</c:v>
                </c:pt>
                <c:pt idx="29">
                  <c:v>0.211868588692258</c:v>
                </c:pt>
                <c:pt idx="30">
                  <c:v>0.311386929128947</c:v>
                </c:pt>
                <c:pt idx="31">
                  <c:v>0.414718495701044</c:v>
                </c:pt>
                <c:pt idx="32">
                  <c:v>0.579416643230745</c:v>
                </c:pt>
                <c:pt idx="33">
                  <c:v>0.629107158299066</c:v>
                </c:pt>
                <c:pt idx="34">
                  <c:v>0.563625305751553</c:v>
                </c:pt>
                <c:pt idx="35">
                  <c:v>0.75131316948484</c:v>
                </c:pt>
                <c:pt idx="36">
                  <c:v>0.667490119761122</c:v>
                </c:pt>
                <c:pt idx="37">
                  <c:v>0.230592883922737</c:v>
                </c:pt>
                <c:pt idx="38">
                  <c:v>0.369711752182524</c:v>
                </c:pt>
                <c:pt idx="39">
                  <c:v>0.195206691808467</c:v>
                </c:pt>
                <c:pt idx="40">
                  <c:v>0.496294186309568</c:v>
                </c:pt>
                <c:pt idx="41">
                  <c:v>1.10252363521851</c:v>
                </c:pt>
                <c:pt idx="42">
                  <c:v>1.07474207661989</c:v>
                </c:pt>
                <c:pt idx="43">
                  <c:v>0.874452632627922</c:v>
                </c:pt>
                <c:pt idx="44">
                  <c:v>0.260622418946763</c:v>
                </c:pt>
                <c:pt idx="45">
                  <c:v>-0.397090953088086</c:v>
                </c:pt>
                <c:pt idx="46">
                  <c:v>-0.168848718366428</c:v>
                </c:pt>
                <c:pt idx="47">
                  <c:v>0.0811708217173738</c:v>
                </c:pt>
                <c:pt idx="48">
                  <c:v>0.228461654952486</c:v>
                </c:pt>
                <c:pt idx="49">
                  <c:v>0.56318583299089</c:v>
                </c:pt>
                <c:pt idx="50">
                  <c:v>0.3663149625076</c:v>
                </c:pt>
                <c:pt idx="51">
                  <c:v>0.256874226800236</c:v>
                </c:pt>
                <c:pt idx="52">
                  <c:v>-0.00855148582350393</c:v>
                </c:pt>
                <c:pt idx="53">
                  <c:v>-0.0958021546852896</c:v>
                </c:pt>
                <c:pt idx="54">
                  <c:v>-0.345857864054053</c:v>
                </c:pt>
                <c:pt idx="55">
                  <c:v>-0.576679698248382</c:v>
                </c:pt>
                <c:pt idx="56">
                  <c:v>-0.579692898149087</c:v>
                </c:pt>
                <c:pt idx="57">
                  <c:v>-0.567588387738141</c:v>
                </c:pt>
                <c:pt idx="58">
                  <c:v>-1.18620376154208</c:v>
                </c:pt>
                <c:pt idx="59">
                  <c:v>-1.21136753556839</c:v>
                </c:pt>
                <c:pt idx="60">
                  <c:v>-0.0329714437858366</c:v>
                </c:pt>
                <c:pt idx="61">
                  <c:v>-0.725383375662034</c:v>
                </c:pt>
                <c:pt idx="62">
                  <c:v>-0.245900565637085</c:v>
                </c:pt>
                <c:pt idx="63">
                  <c:v>0.002432914377494</c:v>
                </c:pt>
                <c:pt idx="64">
                  <c:v>0.0974321345834623</c:v>
                </c:pt>
                <c:pt idx="65">
                  <c:v>0.965129852333918</c:v>
                </c:pt>
                <c:pt idx="66">
                  <c:v>1.32270969195491</c:v>
                </c:pt>
                <c:pt idx="67">
                  <c:v>1.6683831155218</c:v>
                </c:pt>
                <c:pt idx="68">
                  <c:v>0.999310669326526</c:v>
                </c:pt>
                <c:pt idx="69">
                  <c:v>0.807362172520445</c:v>
                </c:pt>
                <c:pt idx="70">
                  <c:v>0.148549256042066</c:v>
                </c:pt>
                <c:pt idx="71">
                  <c:v>-0.40860510383342</c:v>
                </c:pt>
                <c:pt idx="72">
                  <c:v>0.404666742587792</c:v>
                </c:pt>
                <c:pt idx="73">
                  <c:v>0.55763555796942</c:v>
                </c:pt>
                <c:pt idx="74">
                  <c:v>0.465213094154101</c:v>
                </c:pt>
                <c:pt idx="75">
                  <c:v>-0.225829847547047</c:v>
                </c:pt>
                <c:pt idx="76">
                  <c:v>-0.626211931034806</c:v>
                </c:pt>
                <c:pt idx="77">
                  <c:v>-0.779317327050423</c:v>
                </c:pt>
                <c:pt idx="78">
                  <c:v>-0.538452334651884</c:v>
                </c:pt>
                <c:pt idx="79">
                  <c:v>0.277875724793777</c:v>
                </c:pt>
                <c:pt idx="80">
                  <c:v>-0.239889925712595</c:v>
                </c:pt>
                <c:pt idx="81">
                  <c:v>0.201462785997926</c:v>
                </c:pt>
                <c:pt idx="82">
                  <c:v>0.171195474802181</c:v>
                </c:pt>
                <c:pt idx="83">
                  <c:v>0.0518301211021977</c:v>
                </c:pt>
                <c:pt idx="84">
                  <c:v>-0.117153731055719</c:v>
                </c:pt>
              </c:numCache>
            </c:numRef>
          </c:val>
        </c:ser>
        <c:ser>
          <c:idx val="2"/>
          <c:order val="2"/>
          <c:tx>
            <c:strRef>
              <c:f>Contributions!F7</c:f>
              <c:strCache>
                <c:ptCount val="1"/>
                <c:pt idx="0">
                  <c:v>GFCF</c:v>
                </c:pt>
              </c:strCache>
            </c:strRef>
          </c:tx>
          <c:spPr>
            <a:solidFill>
              <a:srgbClr val="d149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Contributions!$B$8:$B$92</c:f>
              <c:strCache>
                <c:ptCount val="85"/>
                <c:pt idx="0">
                  <c:v>2005-Q1</c:v>
                </c:pt>
                <c:pt idx="1">
                  <c:v>2005-Q2</c:v>
                </c:pt>
                <c:pt idx="2">
                  <c:v>2005-Q3</c:v>
                </c:pt>
                <c:pt idx="3">
                  <c:v>2005-Q4</c:v>
                </c:pt>
                <c:pt idx="4">
                  <c:v>2006-Q1</c:v>
                </c:pt>
                <c:pt idx="5">
                  <c:v>2006-Q2</c:v>
                </c:pt>
                <c:pt idx="6">
                  <c:v>2006-Q3</c:v>
                </c:pt>
                <c:pt idx="7">
                  <c:v>2006-Q4</c:v>
                </c:pt>
                <c:pt idx="8">
                  <c:v>2007-Q1</c:v>
                </c:pt>
                <c:pt idx="9">
                  <c:v>2007-Q2</c:v>
                </c:pt>
                <c:pt idx="10">
                  <c:v>2007-Q3</c:v>
                </c:pt>
                <c:pt idx="11">
                  <c:v>2007-Q4</c:v>
                </c:pt>
                <c:pt idx="12">
                  <c:v>2008-Q1</c:v>
                </c:pt>
                <c:pt idx="13">
                  <c:v>2008-Q2</c:v>
                </c:pt>
                <c:pt idx="14">
                  <c:v>2008-Q3</c:v>
                </c:pt>
                <c:pt idx="15">
                  <c:v>2008-Q4</c:v>
                </c:pt>
                <c:pt idx="16">
                  <c:v>2009-Q1</c:v>
                </c:pt>
                <c:pt idx="17">
                  <c:v>2009-Q2</c:v>
                </c:pt>
                <c:pt idx="18">
                  <c:v>2009-Q3</c:v>
                </c:pt>
                <c:pt idx="19">
                  <c:v>2009-Q4</c:v>
                </c:pt>
                <c:pt idx="20">
                  <c:v>2010-Q1</c:v>
                </c:pt>
                <c:pt idx="21">
                  <c:v>2010-Q2</c:v>
                </c:pt>
                <c:pt idx="22">
                  <c:v>2010-Q3</c:v>
                </c:pt>
                <c:pt idx="23">
                  <c:v>2010-Q4</c:v>
                </c:pt>
                <c:pt idx="24">
                  <c:v>2011-Q1</c:v>
                </c:pt>
                <c:pt idx="25">
                  <c:v>2011-Q2</c:v>
                </c:pt>
                <c:pt idx="26">
                  <c:v>2011-Q3</c:v>
                </c:pt>
                <c:pt idx="27">
                  <c:v>2011-Q4</c:v>
                </c:pt>
                <c:pt idx="28">
                  <c:v>2012-Q1</c:v>
                </c:pt>
                <c:pt idx="29">
                  <c:v>2012-Q2</c:v>
                </c:pt>
                <c:pt idx="30">
                  <c:v>2012-Q3</c:v>
                </c:pt>
                <c:pt idx="31">
                  <c:v>2012-Q4</c:v>
                </c:pt>
                <c:pt idx="32">
                  <c:v>2013-Q1</c:v>
                </c:pt>
                <c:pt idx="33">
                  <c:v>2013-Q2</c:v>
                </c:pt>
                <c:pt idx="34">
                  <c:v>2013-Q3</c:v>
                </c:pt>
                <c:pt idx="35">
                  <c:v>2013-Q4</c:v>
                </c:pt>
                <c:pt idx="36">
                  <c:v>2014-Q1</c:v>
                </c:pt>
                <c:pt idx="37">
                  <c:v>2014-Q2</c:v>
                </c:pt>
                <c:pt idx="38">
                  <c:v>2014-Q3</c:v>
                </c:pt>
                <c:pt idx="39">
                  <c:v>2014-Q4</c:v>
                </c:pt>
                <c:pt idx="40">
                  <c:v>2015-Q1</c:v>
                </c:pt>
                <c:pt idx="41">
                  <c:v>2015-Q2</c:v>
                </c:pt>
                <c:pt idx="42">
                  <c:v>2015-Q3</c:v>
                </c:pt>
                <c:pt idx="43">
                  <c:v>2015-Q4</c:v>
                </c:pt>
                <c:pt idx="44">
                  <c:v>2016-Q1</c:v>
                </c:pt>
                <c:pt idx="45">
                  <c:v>2016-Q2</c:v>
                </c:pt>
                <c:pt idx="46">
                  <c:v>2016-Q3</c:v>
                </c:pt>
                <c:pt idx="47">
                  <c:v>2016-Q4</c:v>
                </c:pt>
                <c:pt idx="48">
                  <c:v>2017-Q1</c:v>
                </c:pt>
                <c:pt idx="49">
                  <c:v>2017-Q2</c:v>
                </c:pt>
                <c:pt idx="50">
                  <c:v>2017-Q3</c:v>
                </c:pt>
                <c:pt idx="51">
                  <c:v>2017-Q4</c:v>
                </c:pt>
                <c:pt idx="52">
                  <c:v>2018-Q1</c:v>
                </c:pt>
                <c:pt idx="53">
                  <c:v>2018-Q2</c:v>
                </c:pt>
                <c:pt idx="54">
                  <c:v>2018-Q3</c:v>
                </c:pt>
                <c:pt idx="55">
                  <c:v>2018-Q4</c:v>
                </c:pt>
                <c:pt idx="56">
                  <c:v>2019-Q1</c:v>
                </c:pt>
                <c:pt idx="57">
                  <c:v>2019-Q2</c:v>
                </c:pt>
                <c:pt idx="58">
                  <c:v>2019-Q3</c:v>
                </c:pt>
                <c:pt idx="59">
                  <c:v>2019-Q4</c:v>
                </c:pt>
                <c:pt idx="60">
                  <c:v>2020-Q1</c:v>
                </c:pt>
                <c:pt idx="61">
                  <c:v>2020-Q2</c:v>
                </c:pt>
                <c:pt idx="62">
                  <c:v>2020-Q3</c:v>
                </c:pt>
                <c:pt idx="63">
                  <c:v>2020-Q4</c:v>
                </c:pt>
                <c:pt idx="64">
                  <c:v>2021-Q1</c:v>
                </c:pt>
                <c:pt idx="65">
                  <c:v>2021-Q2</c:v>
                </c:pt>
                <c:pt idx="66">
                  <c:v>2021-Q3</c:v>
                </c:pt>
                <c:pt idx="67">
                  <c:v>2021-Q4</c:v>
                </c:pt>
                <c:pt idx="68">
                  <c:v>2022-Q1</c:v>
                </c:pt>
                <c:pt idx="69">
                  <c:v>2022-Q2</c:v>
                </c:pt>
                <c:pt idx="70">
                  <c:v>2022-Q3</c:v>
                </c:pt>
                <c:pt idx="71">
                  <c:v>2022-Q4</c:v>
                </c:pt>
                <c:pt idx="72">
                  <c:v>2023-Q1</c:v>
                </c:pt>
                <c:pt idx="73">
                  <c:v>2023-Q2</c:v>
                </c:pt>
                <c:pt idx="74">
                  <c:v>2023-Q3</c:v>
                </c:pt>
                <c:pt idx="75">
                  <c:v>2023-Q4</c:v>
                </c:pt>
                <c:pt idx="76">
                  <c:v>2024-Q1</c:v>
                </c:pt>
                <c:pt idx="77">
                  <c:v>2024-Q2</c:v>
                </c:pt>
                <c:pt idx="78">
                  <c:v>2024-Q3</c:v>
                </c:pt>
                <c:pt idx="79">
                  <c:v>2024-Q4</c:v>
                </c:pt>
                <c:pt idx="80">
                  <c:v>2025-Q1</c:v>
                </c:pt>
                <c:pt idx="81">
                  <c:v>2025-Q2</c:v>
                </c:pt>
                <c:pt idx="82">
                  <c:v>2025-Q3</c:v>
                </c:pt>
                <c:pt idx="83">
                  <c:v>2025-Q4</c:v>
                </c:pt>
                <c:pt idx="84">
                  <c:v>2026-Q1</c:v>
                </c:pt>
              </c:strCache>
            </c:strRef>
          </c:cat>
          <c:val>
            <c:numRef>
              <c:f>Contributions!$F$8:$F$92</c:f>
              <c:numCache>
                <c:formatCode>\+0.00;\-0.00;\-</c:formatCode>
                <c:ptCount val="85"/>
                <c:pt idx="0">
                  <c:v>1.92845138186125</c:v>
                </c:pt>
                <c:pt idx="1">
                  <c:v>2.43253954795172</c:v>
                </c:pt>
                <c:pt idx="2">
                  <c:v>2.22264290717498</c:v>
                </c:pt>
                <c:pt idx="3">
                  <c:v>3.45305145133155</c:v>
                </c:pt>
                <c:pt idx="4">
                  <c:v>2.66695116614677</c:v>
                </c:pt>
                <c:pt idx="5">
                  <c:v>1.8648867900115</c:v>
                </c:pt>
                <c:pt idx="6">
                  <c:v>3.16302080694347</c:v>
                </c:pt>
                <c:pt idx="7">
                  <c:v>2.18467246588359</c:v>
                </c:pt>
                <c:pt idx="8">
                  <c:v>3.31041348331884</c:v>
                </c:pt>
                <c:pt idx="9">
                  <c:v>3.25973202540691</c:v>
                </c:pt>
                <c:pt idx="10">
                  <c:v>4.02592323885976</c:v>
                </c:pt>
                <c:pt idx="11">
                  <c:v>4.07373488098413</c:v>
                </c:pt>
                <c:pt idx="12">
                  <c:v>3.36428528155893</c:v>
                </c:pt>
                <c:pt idx="13">
                  <c:v>3.20173314384223</c:v>
                </c:pt>
                <c:pt idx="14">
                  <c:v>1.56575717805511</c:v>
                </c:pt>
                <c:pt idx="15">
                  <c:v>-1.23554815863374</c:v>
                </c:pt>
                <c:pt idx="16">
                  <c:v>-5.73447957721778</c:v>
                </c:pt>
                <c:pt idx="17">
                  <c:v>-6.62095207709025</c:v>
                </c:pt>
                <c:pt idx="18">
                  <c:v>-4.59557435759426</c:v>
                </c:pt>
                <c:pt idx="19">
                  <c:v>-1.41002323397673</c:v>
                </c:pt>
                <c:pt idx="20">
                  <c:v>2.29629506432967</c:v>
                </c:pt>
                <c:pt idx="21">
                  <c:v>4.77950124039203</c:v>
                </c:pt>
                <c:pt idx="22">
                  <c:v>5.09236155830833</c:v>
                </c:pt>
                <c:pt idx="23">
                  <c:v>5.5742580345761</c:v>
                </c:pt>
                <c:pt idx="24">
                  <c:v>5.03241259027257</c:v>
                </c:pt>
                <c:pt idx="25">
                  <c:v>3.20718787005649</c:v>
                </c:pt>
                <c:pt idx="26">
                  <c:v>3.70459615468633</c:v>
                </c:pt>
                <c:pt idx="27">
                  <c:v>1.77717215408415</c:v>
                </c:pt>
                <c:pt idx="28">
                  <c:v>-0.797103534903217</c:v>
                </c:pt>
                <c:pt idx="29">
                  <c:v>-2.50048904564785</c:v>
                </c:pt>
                <c:pt idx="30">
                  <c:v>-2.01581100955239</c:v>
                </c:pt>
                <c:pt idx="31">
                  <c:v>-0.666127105568135</c:v>
                </c:pt>
                <c:pt idx="32">
                  <c:v>-0.150430979799803</c:v>
                </c:pt>
                <c:pt idx="33">
                  <c:v>2.1975405413471</c:v>
                </c:pt>
                <c:pt idx="34">
                  <c:v>0.356280616180754</c:v>
                </c:pt>
                <c:pt idx="35">
                  <c:v>-0.594005998530136</c:v>
                </c:pt>
                <c:pt idx="36">
                  <c:v>-0.280995019676226</c:v>
                </c:pt>
                <c:pt idx="37">
                  <c:v>-1.21009504106222</c:v>
                </c:pt>
                <c:pt idx="38">
                  <c:v>-1.72645451498837</c:v>
                </c:pt>
                <c:pt idx="39">
                  <c:v>-2.22378703006857</c:v>
                </c:pt>
                <c:pt idx="40">
                  <c:v>-0.384505073665024</c:v>
                </c:pt>
                <c:pt idx="41">
                  <c:v>0.321985776097833</c:v>
                </c:pt>
                <c:pt idx="42">
                  <c:v>1.26313337925917</c:v>
                </c:pt>
                <c:pt idx="43">
                  <c:v>1.49510272800185</c:v>
                </c:pt>
                <c:pt idx="44">
                  <c:v>-0.648790208111822</c:v>
                </c:pt>
                <c:pt idx="45">
                  <c:v>-1.12895535549963</c:v>
                </c:pt>
                <c:pt idx="46">
                  <c:v>-1.64596968092227</c:v>
                </c:pt>
                <c:pt idx="47">
                  <c:v>-1.0585088490862</c:v>
                </c:pt>
                <c:pt idx="48">
                  <c:v>1.0419399124137</c:v>
                </c:pt>
                <c:pt idx="49">
                  <c:v>1.75210065830591</c:v>
                </c:pt>
                <c:pt idx="50">
                  <c:v>3.3708946650939</c:v>
                </c:pt>
                <c:pt idx="51">
                  <c:v>3.93291395916963</c:v>
                </c:pt>
                <c:pt idx="52">
                  <c:v>3.05444538585876</c:v>
                </c:pt>
                <c:pt idx="53">
                  <c:v>0.480657082834921</c:v>
                </c:pt>
                <c:pt idx="54">
                  <c:v>-2.56905517743847</c:v>
                </c:pt>
                <c:pt idx="55">
                  <c:v>-5.60658852665331</c:v>
                </c:pt>
                <c:pt idx="56">
                  <c:v>-5.38830348802522</c:v>
                </c:pt>
                <c:pt idx="57">
                  <c:v>-3.75513479012941</c:v>
                </c:pt>
                <c:pt idx="58">
                  <c:v>-2.05773374269066</c:v>
                </c:pt>
                <c:pt idx="59">
                  <c:v>-1.47700925833905</c:v>
                </c:pt>
                <c:pt idx="60">
                  <c:v>-3.11617739544862</c:v>
                </c:pt>
                <c:pt idx="61">
                  <c:v>-6.29982028190476</c:v>
                </c:pt>
                <c:pt idx="62">
                  <c:v>-1.70928258756968</c:v>
                </c:pt>
                <c:pt idx="63">
                  <c:v>2.60320564299756</c:v>
                </c:pt>
                <c:pt idx="64">
                  <c:v>5.7321546096022</c:v>
                </c:pt>
                <c:pt idx="65">
                  <c:v>9.83730022382869</c:v>
                </c:pt>
                <c:pt idx="66">
                  <c:v>4.18026123069748</c:v>
                </c:pt>
                <c:pt idx="67">
                  <c:v>2.98621463851656</c:v>
                </c:pt>
                <c:pt idx="68">
                  <c:v>2.14379620096377</c:v>
                </c:pt>
                <c:pt idx="69">
                  <c:v>3.37115320491794</c:v>
                </c:pt>
                <c:pt idx="70">
                  <c:v>2.79943823919628</c:v>
                </c:pt>
                <c:pt idx="71">
                  <c:v>0.068767866058841</c:v>
                </c:pt>
                <c:pt idx="72">
                  <c:v>-0.276310355927923</c:v>
                </c:pt>
                <c:pt idx="73">
                  <c:v>-0.380982684075347</c:v>
                </c:pt>
                <c:pt idx="74">
                  <c:v>0.167091676185225</c:v>
                </c:pt>
                <c:pt idx="75">
                  <c:v>-1.62064953358042</c:v>
                </c:pt>
                <c:pt idx="76">
                  <c:v>-4.82719203518398</c:v>
                </c:pt>
                <c:pt idx="77">
                  <c:v>-6.27767462499936</c:v>
                </c:pt>
                <c:pt idx="78">
                  <c:v>-3.7303825502016</c:v>
                </c:pt>
                <c:pt idx="79">
                  <c:v>0.366200142672366</c:v>
                </c:pt>
                <c:pt idx="80">
                  <c:v>5.06544679471949</c:v>
                </c:pt>
                <c:pt idx="81">
                  <c:v>4.93192067574688</c:v>
                </c:pt>
                <c:pt idx="82">
                  <c:v>1.93613968659142</c:v>
                </c:pt>
                <c:pt idx="83">
                  <c:v>-0.506511912256233</c:v>
                </c:pt>
                <c:pt idx="84">
                  <c:v>-2.32480949932348</c:v>
                </c:pt>
              </c:numCache>
            </c:numRef>
          </c:val>
        </c:ser>
        <c:ser>
          <c:idx val="3"/>
          <c:order val="3"/>
          <c:tx>
            <c:strRef>
              <c:f>Contributions!G7</c:f>
              <c:strCache>
                <c:ptCount val="1"/>
                <c:pt idx="0">
                  <c:v>Inventories +
discrepancy</c:v>
                </c:pt>
              </c:strCache>
            </c:strRef>
          </c:tx>
          <c:spPr>
            <a:solidFill>
              <a:srgbClr val="e8a33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Contributions!$B$8:$B$92</c:f>
              <c:strCache>
                <c:ptCount val="85"/>
                <c:pt idx="0">
                  <c:v>2005-Q1</c:v>
                </c:pt>
                <c:pt idx="1">
                  <c:v>2005-Q2</c:v>
                </c:pt>
                <c:pt idx="2">
                  <c:v>2005-Q3</c:v>
                </c:pt>
                <c:pt idx="3">
                  <c:v>2005-Q4</c:v>
                </c:pt>
                <c:pt idx="4">
                  <c:v>2006-Q1</c:v>
                </c:pt>
                <c:pt idx="5">
                  <c:v>2006-Q2</c:v>
                </c:pt>
                <c:pt idx="6">
                  <c:v>2006-Q3</c:v>
                </c:pt>
                <c:pt idx="7">
                  <c:v>2006-Q4</c:v>
                </c:pt>
                <c:pt idx="8">
                  <c:v>2007-Q1</c:v>
                </c:pt>
                <c:pt idx="9">
                  <c:v>2007-Q2</c:v>
                </c:pt>
                <c:pt idx="10">
                  <c:v>2007-Q3</c:v>
                </c:pt>
                <c:pt idx="11">
                  <c:v>2007-Q4</c:v>
                </c:pt>
                <c:pt idx="12">
                  <c:v>2008-Q1</c:v>
                </c:pt>
                <c:pt idx="13">
                  <c:v>2008-Q2</c:v>
                </c:pt>
                <c:pt idx="14">
                  <c:v>2008-Q3</c:v>
                </c:pt>
                <c:pt idx="15">
                  <c:v>2008-Q4</c:v>
                </c:pt>
                <c:pt idx="16">
                  <c:v>2009-Q1</c:v>
                </c:pt>
                <c:pt idx="17">
                  <c:v>2009-Q2</c:v>
                </c:pt>
                <c:pt idx="18">
                  <c:v>2009-Q3</c:v>
                </c:pt>
                <c:pt idx="19">
                  <c:v>2009-Q4</c:v>
                </c:pt>
                <c:pt idx="20">
                  <c:v>2010-Q1</c:v>
                </c:pt>
                <c:pt idx="21">
                  <c:v>2010-Q2</c:v>
                </c:pt>
                <c:pt idx="22">
                  <c:v>2010-Q3</c:v>
                </c:pt>
                <c:pt idx="23">
                  <c:v>2010-Q4</c:v>
                </c:pt>
                <c:pt idx="24">
                  <c:v>2011-Q1</c:v>
                </c:pt>
                <c:pt idx="25">
                  <c:v>2011-Q2</c:v>
                </c:pt>
                <c:pt idx="26">
                  <c:v>2011-Q3</c:v>
                </c:pt>
                <c:pt idx="27">
                  <c:v>2011-Q4</c:v>
                </c:pt>
                <c:pt idx="28">
                  <c:v>2012-Q1</c:v>
                </c:pt>
                <c:pt idx="29">
                  <c:v>2012-Q2</c:v>
                </c:pt>
                <c:pt idx="30">
                  <c:v>2012-Q3</c:v>
                </c:pt>
                <c:pt idx="31">
                  <c:v>2012-Q4</c:v>
                </c:pt>
                <c:pt idx="32">
                  <c:v>2013-Q1</c:v>
                </c:pt>
                <c:pt idx="33">
                  <c:v>2013-Q2</c:v>
                </c:pt>
                <c:pt idx="34">
                  <c:v>2013-Q3</c:v>
                </c:pt>
                <c:pt idx="35">
                  <c:v>2013-Q4</c:v>
                </c:pt>
                <c:pt idx="36">
                  <c:v>2014-Q1</c:v>
                </c:pt>
                <c:pt idx="37">
                  <c:v>2014-Q2</c:v>
                </c:pt>
                <c:pt idx="38">
                  <c:v>2014-Q3</c:v>
                </c:pt>
                <c:pt idx="39">
                  <c:v>2014-Q4</c:v>
                </c:pt>
                <c:pt idx="40">
                  <c:v>2015-Q1</c:v>
                </c:pt>
                <c:pt idx="41">
                  <c:v>2015-Q2</c:v>
                </c:pt>
                <c:pt idx="42">
                  <c:v>2015-Q3</c:v>
                </c:pt>
                <c:pt idx="43">
                  <c:v>2015-Q4</c:v>
                </c:pt>
                <c:pt idx="44">
                  <c:v>2016-Q1</c:v>
                </c:pt>
                <c:pt idx="45">
                  <c:v>2016-Q2</c:v>
                </c:pt>
                <c:pt idx="46">
                  <c:v>2016-Q3</c:v>
                </c:pt>
                <c:pt idx="47">
                  <c:v>2016-Q4</c:v>
                </c:pt>
                <c:pt idx="48">
                  <c:v>2017-Q1</c:v>
                </c:pt>
                <c:pt idx="49">
                  <c:v>2017-Q2</c:v>
                </c:pt>
                <c:pt idx="50">
                  <c:v>2017-Q3</c:v>
                </c:pt>
                <c:pt idx="51">
                  <c:v>2017-Q4</c:v>
                </c:pt>
                <c:pt idx="52">
                  <c:v>2018-Q1</c:v>
                </c:pt>
                <c:pt idx="53">
                  <c:v>2018-Q2</c:v>
                </c:pt>
                <c:pt idx="54">
                  <c:v>2018-Q3</c:v>
                </c:pt>
                <c:pt idx="55">
                  <c:v>2018-Q4</c:v>
                </c:pt>
                <c:pt idx="56">
                  <c:v>2019-Q1</c:v>
                </c:pt>
                <c:pt idx="57">
                  <c:v>2019-Q2</c:v>
                </c:pt>
                <c:pt idx="58">
                  <c:v>2019-Q3</c:v>
                </c:pt>
                <c:pt idx="59">
                  <c:v>2019-Q4</c:v>
                </c:pt>
                <c:pt idx="60">
                  <c:v>2020-Q1</c:v>
                </c:pt>
                <c:pt idx="61">
                  <c:v>2020-Q2</c:v>
                </c:pt>
                <c:pt idx="62">
                  <c:v>2020-Q3</c:v>
                </c:pt>
                <c:pt idx="63">
                  <c:v>2020-Q4</c:v>
                </c:pt>
                <c:pt idx="64">
                  <c:v>2021-Q1</c:v>
                </c:pt>
                <c:pt idx="65">
                  <c:v>2021-Q2</c:v>
                </c:pt>
                <c:pt idx="66">
                  <c:v>2021-Q3</c:v>
                </c:pt>
                <c:pt idx="67">
                  <c:v>2021-Q4</c:v>
                </c:pt>
                <c:pt idx="68">
                  <c:v>2022-Q1</c:v>
                </c:pt>
                <c:pt idx="69">
                  <c:v>2022-Q2</c:v>
                </c:pt>
                <c:pt idx="70">
                  <c:v>2022-Q3</c:v>
                </c:pt>
                <c:pt idx="71">
                  <c:v>2022-Q4</c:v>
                </c:pt>
                <c:pt idx="72">
                  <c:v>2023-Q1</c:v>
                </c:pt>
                <c:pt idx="73">
                  <c:v>2023-Q2</c:v>
                </c:pt>
                <c:pt idx="74">
                  <c:v>2023-Q3</c:v>
                </c:pt>
                <c:pt idx="75">
                  <c:v>2023-Q4</c:v>
                </c:pt>
                <c:pt idx="76">
                  <c:v>2024-Q1</c:v>
                </c:pt>
                <c:pt idx="77">
                  <c:v>2024-Q2</c:v>
                </c:pt>
                <c:pt idx="78">
                  <c:v>2024-Q3</c:v>
                </c:pt>
                <c:pt idx="79">
                  <c:v>2024-Q4</c:v>
                </c:pt>
                <c:pt idx="80">
                  <c:v>2025-Q1</c:v>
                </c:pt>
                <c:pt idx="81">
                  <c:v>2025-Q2</c:v>
                </c:pt>
                <c:pt idx="82">
                  <c:v>2025-Q3</c:v>
                </c:pt>
                <c:pt idx="83">
                  <c:v>2025-Q4</c:v>
                </c:pt>
                <c:pt idx="84">
                  <c:v>2026-Q1</c:v>
                </c:pt>
              </c:strCache>
            </c:strRef>
          </c:cat>
          <c:val>
            <c:numRef>
              <c:f>Contributions!$G$8:$G$92</c:f>
              <c:numCache>
                <c:formatCode>\+0.00;\-0.00;\-</c:formatCode>
                <c:ptCount val="85"/>
                <c:pt idx="0">
                  <c:v>0.156180459100574</c:v>
                </c:pt>
                <c:pt idx="1">
                  <c:v>0.0327314669027161</c:v>
                </c:pt>
                <c:pt idx="2">
                  <c:v>-0.0376118952679729</c:v>
                </c:pt>
                <c:pt idx="3">
                  <c:v>0.17946060653621</c:v>
                </c:pt>
                <c:pt idx="4">
                  <c:v>-1.44084358285674</c:v>
                </c:pt>
                <c:pt idx="5">
                  <c:v>-1.03579406506424</c:v>
                </c:pt>
                <c:pt idx="6">
                  <c:v>-1.91675307359476</c:v>
                </c:pt>
                <c:pt idx="7">
                  <c:v>-0.354785611530761</c:v>
                </c:pt>
                <c:pt idx="8">
                  <c:v>-1.06307901737212</c:v>
                </c:pt>
                <c:pt idx="9">
                  <c:v>1.55533159623477</c:v>
                </c:pt>
                <c:pt idx="10">
                  <c:v>0.298282162092358</c:v>
                </c:pt>
                <c:pt idx="11">
                  <c:v>-0.745196549206251</c:v>
                </c:pt>
                <c:pt idx="12">
                  <c:v>-0.672430161691656</c:v>
                </c:pt>
                <c:pt idx="13">
                  <c:v>0.476370699920508</c:v>
                </c:pt>
                <c:pt idx="14">
                  <c:v>0.388329404230038</c:v>
                </c:pt>
                <c:pt idx="15">
                  <c:v>-1.74714028077267</c:v>
                </c:pt>
                <c:pt idx="16">
                  <c:v>-0.00226615227454688</c:v>
                </c:pt>
                <c:pt idx="17">
                  <c:v>-2.26355815677187</c:v>
                </c:pt>
                <c:pt idx="18">
                  <c:v>0.328982972038734</c:v>
                </c:pt>
                <c:pt idx="19">
                  <c:v>1.80893003355191</c:v>
                </c:pt>
                <c:pt idx="20">
                  <c:v>1.9111915952085</c:v>
                </c:pt>
                <c:pt idx="21">
                  <c:v>3.48664807725893</c:v>
                </c:pt>
                <c:pt idx="22">
                  <c:v>-0.0228069596850618</c:v>
                </c:pt>
                <c:pt idx="23">
                  <c:v>-1.21751732693286</c:v>
                </c:pt>
                <c:pt idx="24">
                  <c:v>-0.241892996008826</c:v>
                </c:pt>
                <c:pt idx="25">
                  <c:v>1.35458611478663</c:v>
                </c:pt>
                <c:pt idx="26">
                  <c:v>-0.663494521406589</c:v>
                </c:pt>
                <c:pt idx="27">
                  <c:v>-1.0428735159993</c:v>
                </c:pt>
                <c:pt idx="28">
                  <c:v>-0.125073867538026</c:v>
                </c:pt>
                <c:pt idx="29">
                  <c:v>-1.86330208655977</c:v>
                </c:pt>
                <c:pt idx="30">
                  <c:v>-1.86864608867805</c:v>
                </c:pt>
                <c:pt idx="31">
                  <c:v>0.121434240665215</c:v>
                </c:pt>
                <c:pt idx="32">
                  <c:v>0.591724874356569</c:v>
                </c:pt>
                <c:pt idx="33">
                  <c:v>0.879755515137772</c:v>
                </c:pt>
                <c:pt idx="34">
                  <c:v>0.529905686023796</c:v>
                </c:pt>
                <c:pt idx="35">
                  <c:v>-0.164863474596544</c:v>
                </c:pt>
                <c:pt idx="36">
                  <c:v>-1.37840346810444</c:v>
                </c:pt>
                <c:pt idx="37">
                  <c:v>0.408763552034838</c:v>
                </c:pt>
                <c:pt idx="38">
                  <c:v>1.34261451269592</c:v>
                </c:pt>
                <c:pt idx="39">
                  <c:v>-0.112011251917715</c:v>
                </c:pt>
                <c:pt idx="40">
                  <c:v>0.0591136205445451</c:v>
                </c:pt>
                <c:pt idx="41">
                  <c:v>-1.87684036844461</c:v>
                </c:pt>
                <c:pt idx="42">
                  <c:v>0.429717784585001</c:v>
                </c:pt>
                <c:pt idx="43">
                  <c:v>2.51452158029643</c:v>
                </c:pt>
                <c:pt idx="44">
                  <c:v>-0.57031543917309</c:v>
                </c:pt>
                <c:pt idx="45">
                  <c:v>0.938510662391715</c:v>
                </c:pt>
                <c:pt idx="46">
                  <c:v>0.257472831121723</c:v>
                </c:pt>
                <c:pt idx="47">
                  <c:v>-0.3255162335928</c:v>
                </c:pt>
                <c:pt idx="48">
                  <c:v>-0.971672876267178</c:v>
                </c:pt>
                <c:pt idx="49">
                  <c:v>-0.00335930658808977</c:v>
                </c:pt>
                <c:pt idx="50">
                  <c:v>0.8418864398285</c:v>
                </c:pt>
                <c:pt idx="51">
                  <c:v>2.10369223998878</c:v>
                </c:pt>
                <c:pt idx="52">
                  <c:v>1.34705722092075</c:v>
                </c:pt>
                <c:pt idx="53">
                  <c:v>-2.72031971706163</c:v>
                </c:pt>
                <c:pt idx="54">
                  <c:v>0.0243317419099821</c:v>
                </c:pt>
                <c:pt idx="55">
                  <c:v>-2.2123052393564</c:v>
                </c:pt>
                <c:pt idx="56">
                  <c:v>-1.18121779429846</c:v>
                </c:pt>
                <c:pt idx="57">
                  <c:v>0.505652973648528</c:v>
                </c:pt>
                <c:pt idx="58">
                  <c:v>-1.28074819617967</c:v>
                </c:pt>
                <c:pt idx="59">
                  <c:v>-1.3443992431699</c:v>
                </c:pt>
                <c:pt idx="60">
                  <c:v>1.01359326161527</c:v>
                </c:pt>
                <c:pt idx="61">
                  <c:v>-0.360515162200338</c:v>
                </c:pt>
                <c:pt idx="62">
                  <c:v>0.824205259584576</c:v>
                </c:pt>
                <c:pt idx="63">
                  <c:v>3.3194873059567</c:v>
                </c:pt>
                <c:pt idx="64">
                  <c:v>-0.843168171601725</c:v>
                </c:pt>
                <c:pt idx="65">
                  <c:v>0.400174901269663</c:v>
                </c:pt>
                <c:pt idx="66">
                  <c:v>0.171943412132085</c:v>
                </c:pt>
                <c:pt idx="67">
                  <c:v>-1.58025621040616</c:v>
                </c:pt>
                <c:pt idx="68">
                  <c:v>0.933883924154232</c:v>
                </c:pt>
                <c:pt idx="69">
                  <c:v>-0.41149555928019</c:v>
                </c:pt>
                <c:pt idx="70">
                  <c:v>2.69944382987329</c:v>
                </c:pt>
                <c:pt idx="71">
                  <c:v>-2.1701796874463</c:v>
                </c:pt>
                <c:pt idx="72">
                  <c:v>0.320232453114122</c:v>
                </c:pt>
                <c:pt idx="73">
                  <c:v>-3.66593862476848</c:v>
                </c:pt>
                <c:pt idx="74">
                  <c:v>1.24831270703501</c:v>
                </c:pt>
                <c:pt idx="75">
                  <c:v>3.75901306485223</c:v>
                </c:pt>
                <c:pt idx="76">
                  <c:v>-2.38252577724434</c:v>
                </c:pt>
                <c:pt idx="77">
                  <c:v>2.42428404310959</c:v>
                </c:pt>
                <c:pt idx="78">
                  <c:v>-4.06986003674351</c:v>
                </c:pt>
                <c:pt idx="79">
                  <c:v>-4.08538396213131</c:v>
                </c:pt>
                <c:pt idx="80">
                  <c:v>1.08517998891142</c:v>
                </c:pt>
                <c:pt idx="81">
                  <c:v>0.779919261296637</c:v>
                </c:pt>
                <c:pt idx="82">
                  <c:v>0.444552450056138</c:v>
                </c:pt>
                <c:pt idx="83">
                  <c:v>-0.0872010479028236</c:v>
                </c:pt>
                <c:pt idx="84">
                  <c:v>-2.02007207895712</c:v>
                </c:pt>
              </c:numCache>
            </c:numRef>
          </c:val>
        </c:ser>
        <c:ser>
          <c:idx val="4"/>
          <c:order val="4"/>
          <c:tx>
            <c:strRef>
              <c:f>Contributions!H7</c:f>
              <c:strCache>
                <c:ptCount val="1"/>
                <c:pt idx="0">
                  <c:v>Exports</c:v>
                </c:pt>
              </c:strCache>
            </c:strRef>
          </c:tx>
          <c:spPr>
            <a:solidFill>
              <a:srgbClr val="4f9d6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Contributions!$B$8:$B$92</c:f>
              <c:strCache>
                <c:ptCount val="85"/>
                <c:pt idx="0">
                  <c:v>2005-Q1</c:v>
                </c:pt>
                <c:pt idx="1">
                  <c:v>2005-Q2</c:v>
                </c:pt>
                <c:pt idx="2">
                  <c:v>2005-Q3</c:v>
                </c:pt>
                <c:pt idx="3">
                  <c:v>2005-Q4</c:v>
                </c:pt>
                <c:pt idx="4">
                  <c:v>2006-Q1</c:v>
                </c:pt>
                <c:pt idx="5">
                  <c:v>2006-Q2</c:v>
                </c:pt>
                <c:pt idx="6">
                  <c:v>2006-Q3</c:v>
                </c:pt>
                <c:pt idx="7">
                  <c:v>2006-Q4</c:v>
                </c:pt>
                <c:pt idx="8">
                  <c:v>2007-Q1</c:v>
                </c:pt>
                <c:pt idx="9">
                  <c:v>2007-Q2</c:v>
                </c:pt>
                <c:pt idx="10">
                  <c:v>2007-Q3</c:v>
                </c:pt>
                <c:pt idx="11">
                  <c:v>2007-Q4</c:v>
                </c:pt>
                <c:pt idx="12">
                  <c:v>2008-Q1</c:v>
                </c:pt>
                <c:pt idx="13">
                  <c:v>2008-Q2</c:v>
                </c:pt>
                <c:pt idx="14">
                  <c:v>2008-Q3</c:v>
                </c:pt>
                <c:pt idx="15">
                  <c:v>2008-Q4</c:v>
                </c:pt>
                <c:pt idx="16">
                  <c:v>2009-Q1</c:v>
                </c:pt>
                <c:pt idx="17">
                  <c:v>2009-Q2</c:v>
                </c:pt>
                <c:pt idx="18">
                  <c:v>2009-Q3</c:v>
                </c:pt>
                <c:pt idx="19">
                  <c:v>2009-Q4</c:v>
                </c:pt>
                <c:pt idx="20">
                  <c:v>2010-Q1</c:v>
                </c:pt>
                <c:pt idx="21">
                  <c:v>2010-Q2</c:v>
                </c:pt>
                <c:pt idx="22">
                  <c:v>2010-Q3</c:v>
                </c:pt>
                <c:pt idx="23">
                  <c:v>2010-Q4</c:v>
                </c:pt>
                <c:pt idx="24">
                  <c:v>2011-Q1</c:v>
                </c:pt>
                <c:pt idx="25">
                  <c:v>2011-Q2</c:v>
                </c:pt>
                <c:pt idx="26">
                  <c:v>2011-Q3</c:v>
                </c:pt>
                <c:pt idx="27">
                  <c:v>2011-Q4</c:v>
                </c:pt>
                <c:pt idx="28">
                  <c:v>2012-Q1</c:v>
                </c:pt>
                <c:pt idx="29">
                  <c:v>2012-Q2</c:v>
                </c:pt>
                <c:pt idx="30">
                  <c:v>2012-Q3</c:v>
                </c:pt>
                <c:pt idx="31">
                  <c:v>2012-Q4</c:v>
                </c:pt>
                <c:pt idx="32">
                  <c:v>2013-Q1</c:v>
                </c:pt>
                <c:pt idx="33">
                  <c:v>2013-Q2</c:v>
                </c:pt>
                <c:pt idx="34">
                  <c:v>2013-Q3</c:v>
                </c:pt>
                <c:pt idx="35">
                  <c:v>2013-Q4</c:v>
                </c:pt>
                <c:pt idx="36">
                  <c:v>2014-Q1</c:v>
                </c:pt>
                <c:pt idx="37">
                  <c:v>2014-Q2</c:v>
                </c:pt>
                <c:pt idx="38">
                  <c:v>2014-Q3</c:v>
                </c:pt>
                <c:pt idx="39">
                  <c:v>2014-Q4</c:v>
                </c:pt>
                <c:pt idx="40">
                  <c:v>2015-Q1</c:v>
                </c:pt>
                <c:pt idx="41">
                  <c:v>2015-Q2</c:v>
                </c:pt>
                <c:pt idx="42">
                  <c:v>2015-Q3</c:v>
                </c:pt>
                <c:pt idx="43">
                  <c:v>2015-Q4</c:v>
                </c:pt>
                <c:pt idx="44">
                  <c:v>2016-Q1</c:v>
                </c:pt>
                <c:pt idx="45">
                  <c:v>2016-Q2</c:v>
                </c:pt>
                <c:pt idx="46">
                  <c:v>2016-Q3</c:v>
                </c:pt>
                <c:pt idx="47">
                  <c:v>2016-Q4</c:v>
                </c:pt>
                <c:pt idx="48">
                  <c:v>2017-Q1</c:v>
                </c:pt>
                <c:pt idx="49">
                  <c:v>2017-Q2</c:v>
                </c:pt>
                <c:pt idx="50">
                  <c:v>2017-Q3</c:v>
                </c:pt>
                <c:pt idx="51">
                  <c:v>2017-Q4</c:v>
                </c:pt>
                <c:pt idx="52">
                  <c:v>2018-Q1</c:v>
                </c:pt>
                <c:pt idx="53">
                  <c:v>2018-Q2</c:v>
                </c:pt>
                <c:pt idx="54">
                  <c:v>2018-Q3</c:v>
                </c:pt>
                <c:pt idx="55">
                  <c:v>2018-Q4</c:v>
                </c:pt>
                <c:pt idx="56">
                  <c:v>2019-Q1</c:v>
                </c:pt>
                <c:pt idx="57">
                  <c:v>2019-Q2</c:v>
                </c:pt>
                <c:pt idx="58">
                  <c:v>2019-Q3</c:v>
                </c:pt>
                <c:pt idx="59">
                  <c:v>2019-Q4</c:v>
                </c:pt>
                <c:pt idx="60">
                  <c:v>2020-Q1</c:v>
                </c:pt>
                <c:pt idx="61">
                  <c:v>2020-Q2</c:v>
                </c:pt>
                <c:pt idx="62">
                  <c:v>2020-Q3</c:v>
                </c:pt>
                <c:pt idx="63">
                  <c:v>2020-Q4</c:v>
                </c:pt>
                <c:pt idx="64">
                  <c:v>2021-Q1</c:v>
                </c:pt>
                <c:pt idx="65">
                  <c:v>2021-Q2</c:v>
                </c:pt>
                <c:pt idx="66">
                  <c:v>2021-Q3</c:v>
                </c:pt>
                <c:pt idx="67">
                  <c:v>2021-Q4</c:v>
                </c:pt>
                <c:pt idx="68">
                  <c:v>2022-Q1</c:v>
                </c:pt>
                <c:pt idx="69">
                  <c:v>2022-Q2</c:v>
                </c:pt>
                <c:pt idx="70">
                  <c:v>2022-Q3</c:v>
                </c:pt>
                <c:pt idx="71">
                  <c:v>2022-Q4</c:v>
                </c:pt>
                <c:pt idx="72">
                  <c:v>2023-Q1</c:v>
                </c:pt>
                <c:pt idx="73">
                  <c:v>2023-Q2</c:v>
                </c:pt>
                <c:pt idx="74">
                  <c:v>2023-Q3</c:v>
                </c:pt>
                <c:pt idx="75">
                  <c:v>2023-Q4</c:v>
                </c:pt>
                <c:pt idx="76">
                  <c:v>2024-Q1</c:v>
                </c:pt>
                <c:pt idx="77">
                  <c:v>2024-Q2</c:v>
                </c:pt>
                <c:pt idx="78">
                  <c:v>2024-Q3</c:v>
                </c:pt>
                <c:pt idx="79">
                  <c:v>2024-Q4</c:v>
                </c:pt>
                <c:pt idx="80">
                  <c:v>2025-Q1</c:v>
                </c:pt>
                <c:pt idx="81">
                  <c:v>2025-Q2</c:v>
                </c:pt>
                <c:pt idx="82">
                  <c:v>2025-Q3</c:v>
                </c:pt>
                <c:pt idx="83">
                  <c:v>2025-Q4</c:v>
                </c:pt>
                <c:pt idx="84">
                  <c:v>2026-Q1</c:v>
                </c:pt>
              </c:strCache>
            </c:strRef>
          </c:cat>
          <c:val>
            <c:numRef>
              <c:f>Contributions!$H$8:$H$92</c:f>
              <c:numCache>
                <c:formatCode>\+0.00;\-0.00;\-</c:formatCode>
                <c:ptCount val="85"/>
                <c:pt idx="0">
                  <c:v>3.56512019685184</c:v>
                </c:pt>
                <c:pt idx="1">
                  <c:v>3.64607854158419</c:v>
                </c:pt>
                <c:pt idx="2">
                  <c:v>3.28659602533806</c:v>
                </c:pt>
                <c:pt idx="3">
                  <c:v>1.78575610951636</c:v>
                </c:pt>
                <c:pt idx="4">
                  <c:v>1.34010984551949</c:v>
                </c:pt>
                <c:pt idx="5">
                  <c:v>0.552522311504594</c:v>
                </c:pt>
                <c:pt idx="6">
                  <c:v>0.746528741686305</c:v>
                </c:pt>
                <c:pt idx="7">
                  <c:v>2.94492569904269</c:v>
                </c:pt>
                <c:pt idx="8">
                  <c:v>0.78755782803596</c:v>
                </c:pt>
                <c:pt idx="9">
                  <c:v>1.69703961682189</c:v>
                </c:pt>
                <c:pt idx="10">
                  <c:v>2.60843351893683</c:v>
                </c:pt>
                <c:pt idx="11">
                  <c:v>2.74503093953966</c:v>
                </c:pt>
                <c:pt idx="12">
                  <c:v>1.42349067752001</c:v>
                </c:pt>
                <c:pt idx="13">
                  <c:v>-0.605222783579095</c:v>
                </c:pt>
                <c:pt idx="14">
                  <c:v>2.50010431500237</c:v>
                </c:pt>
                <c:pt idx="15">
                  <c:v>-2.39290204221861</c:v>
                </c:pt>
                <c:pt idx="16">
                  <c:v>-1.710248089857</c:v>
                </c:pt>
                <c:pt idx="17">
                  <c:v>0.0115366072217856</c:v>
                </c:pt>
                <c:pt idx="18">
                  <c:v>-5.81005072792942</c:v>
                </c:pt>
                <c:pt idx="19">
                  <c:v>-1.32077369510425</c:v>
                </c:pt>
                <c:pt idx="20">
                  <c:v>-0.49035167886481</c:v>
                </c:pt>
                <c:pt idx="21">
                  <c:v>4.3936625123732</c:v>
                </c:pt>
                <c:pt idx="22">
                  <c:v>5.96614265354703</c:v>
                </c:pt>
                <c:pt idx="23">
                  <c:v>2.33698230402459</c:v>
                </c:pt>
                <c:pt idx="24">
                  <c:v>2.20047816924941</c:v>
                </c:pt>
                <c:pt idx="25">
                  <c:v>-0.628712581952124</c:v>
                </c:pt>
                <c:pt idx="26">
                  <c:v>0.716732423392016</c:v>
                </c:pt>
                <c:pt idx="27">
                  <c:v>1.81123613656153</c:v>
                </c:pt>
                <c:pt idx="28">
                  <c:v>1.1632579239246</c:v>
                </c:pt>
                <c:pt idx="29">
                  <c:v>-1.99371641124472</c:v>
                </c:pt>
                <c:pt idx="30">
                  <c:v>-1.22714569543547</c:v>
                </c:pt>
                <c:pt idx="31">
                  <c:v>-1.45674573544821</c:v>
                </c:pt>
                <c:pt idx="32">
                  <c:v>-2.11347466873443</c:v>
                </c:pt>
                <c:pt idx="33">
                  <c:v>1.78253800805049</c:v>
                </c:pt>
                <c:pt idx="34">
                  <c:v>-0.622306942394503</c:v>
                </c:pt>
                <c:pt idx="35">
                  <c:v>-2.29775870352567</c:v>
                </c:pt>
                <c:pt idx="36">
                  <c:v>-1.86877953906937</c:v>
                </c:pt>
                <c:pt idx="37">
                  <c:v>-2.06460763474489</c:v>
                </c:pt>
                <c:pt idx="38">
                  <c:v>-1.73744271676692</c:v>
                </c:pt>
                <c:pt idx="39">
                  <c:v>-0.0709298534234846</c:v>
                </c:pt>
                <c:pt idx="40">
                  <c:v>-0.421646652069709</c:v>
                </c:pt>
                <c:pt idx="41">
                  <c:v>-0.4072073461804</c:v>
                </c:pt>
                <c:pt idx="42">
                  <c:v>0.0298183084082812</c:v>
                </c:pt>
                <c:pt idx="43">
                  <c:v>-1.41596774391807</c:v>
                </c:pt>
                <c:pt idx="44">
                  <c:v>2.5486121125159</c:v>
                </c:pt>
                <c:pt idx="45">
                  <c:v>-0.168280669967181</c:v>
                </c:pt>
                <c:pt idx="46">
                  <c:v>-0.0683121589860282</c:v>
                </c:pt>
                <c:pt idx="47">
                  <c:v>1.90758693542881</c:v>
                </c:pt>
                <c:pt idx="48">
                  <c:v>0.182615809054991</c:v>
                </c:pt>
                <c:pt idx="49">
                  <c:v>0.266510106394499</c:v>
                </c:pt>
                <c:pt idx="50">
                  <c:v>1.00132725404563</c:v>
                </c:pt>
                <c:pt idx="51">
                  <c:v>0.674205205657408</c:v>
                </c:pt>
                <c:pt idx="52">
                  <c:v>1.50743806754117</c:v>
                </c:pt>
                <c:pt idx="53">
                  <c:v>-1.61374798238745</c:v>
                </c:pt>
                <c:pt idx="54">
                  <c:v>-1.30251453716053</c:v>
                </c:pt>
                <c:pt idx="55">
                  <c:v>2.13307370343541</c:v>
                </c:pt>
                <c:pt idx="56">
                  <c:v>0.14697003499539</c:v>
                </c:pt>
                <c:pt idx="57">
                  <c:v>2.89565609570637</c:v>
                </c:pt>
                <c:pt idx="58">
                  <c:v>3.16041767692285</c:v>
                </c:pt>
                <c:pt idx="59">
                  <c:v>1.86508070402886</c:v>
                </c:pt>
                <c:pt idx="60">
                  <c:v>-0.999646313594425</c:v>
                </c:pt>
                <c:pt idx="61">
                  <c:v>-3.02955788525706</c:v>
                </c:pt>
                <c:pt idx="62">
                  <c:v>-4.40506354986358</c:v>
                </c:pt>
                <c:pt idx="63">
                  <c:v>-7.89156328281254</c:v>
                </c:pt>
                <c:pt idx="64">
                  <c:v>-2.22207447028772</c:v>
                </c:pt>
                <c:pt idx="65">
                  <c:v>1.58345134007003</c:v>
                </c:pt>
                <c:pt idx="66">
                  <c:v>4.09600680849889</c:v>
                </c:pt>
                <c:pt idx="67">
                  <c:v>3.78058787944172</c:v>
                </c:pt>
                <c:pt idx="68">
                  <c:v>1.54273238499584</c:v>
                </c:pt>
                <c:pt idx="69">
                  <c:v>1.57247772819994</c:v>
                </c:pt>
                <c:pt idx="70">
                  <c:v>-0.639184341111031</c:v>
                </c:pt>
                <c:pt idx="71">
                  <c:v>1.33230012139003</c:v>
                </c:pt>
                <c:pt idx="72">
                  <c:v>-1.2751608844566</c:v>
                </c:pt>
                <c:pt idx="73">
                  <c:v>-2.64686237003</c:v>
                </c:pt>
                <c:pt idx="74">
                  <c:v>-1.80156147116508</c:v>
                </c:pt>
                <c:pt idx="75">
                  <c:v>-2.52794653749475</c:v>
                </c:pt>
                <c:pt idx="76">
                  <c:v>2.97375303467884</c:v>
                </c:pt>
                <c:pt idx="77">
                  <c:v>3.69413874940059</c:v>
                </c:pt>
                <c:pt idx="78">
                  <c:v>3.86680751819958</c:v>
                </c:pt>
                <c:pt idx="79">
                  <c:v>5.20699111802493</c:v>
                </c:pt>
                <c:pt idx="80">
                  <c:v>1.42154243751419</c:v>
                </c:pt>
                <c:pt idx="81">
                  <c:v>0.794175431816797</c:v>
                </c:pt>
                <c:pt idx="82">
                  <c:v>2.47355129999837</c:v>
                </c:pt>
                <c:pt idx="83">
                  <c:v>2.83197011302369</c:v>
                </c:pt>
                <c:pt idx="84">
                  <c:v>2.17538714485356</c:v>
                </c:pt>
              </c:numCache>
            </c:numRef>
          </c:val>
        </c:ser>
        <c:ser>
          <c:idx val="5"/>
          <c:order val="5"/>
          <c:tx>
            <c:strRef>
              <c:f>Contributions!I7</c:f>
              <c:strCache>
                <c:ptCount val="1"/>
                <c:pt idx="0">
                  <c:v>Imports</c:v>
                </c:pt>
              </c:strCache>
            </c:strRef>
          </c:tx>
          <c:spPr>
            <a:solidFill>
              <a:srgbClr val="7d5ba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Contributions!$B$8:$B$92</c:f>
              <c:strCache>
                <c:ptCount val="85"/>
                <c:pt idx="0">
                  <c:v>2005-Q1</c:v>
                </c:pt>
                <c:pt idx="1">
                  <c:v>2005-Q2</c:v>
                </c:pt>
                <c:pt idx="2">
                  <c:v>2005-Q3</c:v>
                </c:pt>
                <c:pt idx="3">
                  <c:v>2005-Q4</c:v>
                </c:pt>
                <c:pt idx="4">
                  <c:v>2006-Q1</c:v>
                </c:pt>
                <c:pt idx="5">
                  <c:v>2006-Q2</c:v>
                </c:pt>
                <c:pt idx="6">
                  <c:v>2006-Q3</c:v>
                </c:pt>
                <c:pt idx="7">
                  <c:v>2006-Q4</c:v>
                </c:pt>
                <c:pt idx="8">
                  <c:v>2007-Q1</c:v>
                </c:pt>
                <c:pt idx="9">
                  <c:v>2007-Q2</c:v>
                </c:pt>
                <c:pt idx="10">
                  <c:v>2007-Q3</c:v>
                </c:pt>
                <c:pt idx="11">
                  <c:v>2007-Q4</c:v>
                </c:pt>
                <c:pt idx="12">
                  <c:v>2008-Q1</c:v>
                </c:pt>
                <c:pt idx="13">
                  <c:v>2008-Q2</c:v>
                </c:pt>
                <c:pt idx="14">
                  <c:v>2008-Q3</c:v>
                </c:pt>
                <c:pt idx="15">
                  <c:v>2008-Q4</c:v>
                </c:pt>
                <c:pt idx="16">
                  <c:v>2009-Q1</c:v>
                </c:pt>
                <c:pt idx="17">
                  <c:v>2009-Q2</c:v>
                </c:pt>
                <c:pt idx="18">
                  <c:v>2009-Q3</c:v>
                </c:pt>
                <c:pt idx="19">
                  <c:v>2009-Q4</c:v>
                </c:pt>
                <c:pt idx="20">
                  <c:v>2010-Q1</c:v>
                </c:pt>
                <c:pt idx="21">
                  <c:v>2010-Q2</c:v>
                </c:pt>
                <c:pt idx="22">
                  <c:v>2010-Q3</c:v>
                </c:pt>
                <c:pt idx="23">
                  <c:v>2010-Q4</c:v>
                </c:pt>
                <c:pt idx="24">
                  <c:v>2011-Q1</c:v>
                </c:pt>
                <c:pt idx="25">
                  <c:v>2011-Q2</c:v>
                </c:pt>
                <c:pt idx="26">
                  <c:v>2011-Q3</c:v>
                </c:pt>
                <c:pt idx="27">
                  <c:v>2011-Q4</c:v>
                </c:pt>
                <c:pt idx="28">
                  <c:v>2012-Q1</c:v>
                </c:pt>
                <c:pt idx="29">
                  <c:v>2012-Q2</c:v>
                </c:pt>
                <c:pt idx="30">
                  <c:v>2012-Q3</c:v>
                </c:pt>
                <c:pt idx="31">
                  <c:v>2012-Q4</c:v>
                </c:pt>
                <c:pt idx="32">
                  <c:v>2013-Q1</c:v>
                </c:pt>
                <c:pt idx="33">
                  <c:v>2013-Q2</c:v>
                </c:pt>
                <c:pt idx="34">
                  <c:v>2013-Q3</c:v>
                </c:pt>
                <c:pt idx="35">
                  <c:v>2013-Q4</c:v>
                </c:pt>
                <c:pt idx="36">
                  <c:v>2014-Q1</c:v>
                </c:pt>
                <c:pt idx="37">
                  <c:v>2014-Q2</c:v>
                </c:pt>
                <c:pt idx="38">
                  <c:v>2014-Q3</c:v>
                </c:pt>
                <c:pt idx="39">
                  <c:v>2014-Q4</c:v>
                </c:pt>
                <c:pt idx="40">
                  <c:v>2015-Q1</c:v>
                </c:pt>
                <c:pt idx="41">
                  <c:v>2015-Q2</c:v>
                </c:pt>
                <c:pt idx="42">
                  <c:v>2015-Q3</c:v>
                </c:pt>
                <c:pt idx="43">
                  <c:v>2015-Q4</c:v>
                </c:pt>
                <c:pt idx="44">
                  <c:v>2016-Q1</c:v>
                </c:pt>
                <c:pt idx="45">
                  <c:v>2016-Q2</c:v>
                </c:pt>
                <c:pt idx="46">
                  <c:v>2016-Q3</c:v>
                </c:pt>
                <c:pt idx="47">
                  <c:v>2016-Q4</c:v>
                </c:pt>
                <c:pt idx="48">
                  <c:v>2017-Q1</c:v>
                </c:pt>
                <c:pt idx="49">
                  <c:v>2017-Q2</c:v>
                </c:pt>
                <c:pt idx="50">
                  <c:v>2017-Q3</c:v>
                </c:pt>
                <c:pt idx="51">
                  <c:v>2017-Q4</c:v>
                </c:pt>
                <c:pt idx="52">
                  <c:v>2018-Q1</c:v>
                </c:pt>
                <c:pt idx="53">
                  <c:v>2018-Q2</c:v>
                </c:pt>
                <c:pt idx="54">
                  <c:v>2018-Q3</c:v>
                </c:pt>
                <c:pt idx="55">
                  <c:v>2018-Q4</c:v>
                </c:pt>
                <c:pt idx="56">
                  <c:v>2019-Q1</c:v>
                </c:pt>
                <c:pt idx="57">
                  <c:v>2019-Q2</c:v>
                </c:pt>
                <c:pt idx="58">
                  <c:v>2019-Q3</c:v>
                </c:pt>
                <c:pt idx="59">
                  <c:v>2019-Q4</c:v>
                </c:pt>
                <c:pt idx="60">
                  <c:v>2020-Q1</c:v>
                </c:pt>
                <c:pt idx="61">
                  <c:v>2020-Q2</c:v>
                </c:pt>
                <c:pt idx="62">
                  <c:v>2020-Q3</c:v>
                </c:pt>
                <c:pt idx="63">
                  <c:v>2020-Q4</c:v>
                </c:pt>
                <c:pt idx="64">
                  <c:v>2021-Q1</c:v>
                </c:pt>
                <c:pt idx="65">
                  <c:v>2021-Q2</c:v>
                </c:pt>
                <c:pt idx="66">
                  <c:v>2021-Q3</c:v>
                </c:pt>
                <c:pt idx="67">
                  <c:v>2021-Q4</c:v>
                </c:pt>
                <c:pt idx="68">
                  <c:v>2022-Q1</c:v>
                </c:pt>
                <c:pt idx="69">
                  <c:v>2022-Q2</c:v>
                </c:pt>
                <c:pt idx="70">
                  <c:v>2022-Q3</c:v>
                </c:pt>
                <c:pt idx="71">
                  <c:v>2022-Q4</c:v>
                </c:pt>
                <c:pt idx="72">
                  <c:v>2023-Q1</c:v>
                </c:pt>
                <c:pt idx="73">
                  <c:v>2023-Q2</c:v>
                </c:pt>
                <c:pt idx="74">
                  <c:v>2023-Q3</c:v>
                </c:pt>
                <c:pt idx="75">
                  <c:v>2023-Q4</c:v>
                </c:pt>
                <c:pt idx="76">
                  <c:v>2024-Q1</c:v>
                </c:pt>
                <c:pt idx="77">
                  <c:v>2024-Q2</c:v>
                </c:pt>
                <c:pt idx="78">
                  <c:v>2024-Q3</c:v>
                </c:pt>
                <c:pt idx="79">
                  <c:v>2024-Q4</c:v>
                </c:pt>
                <c:pt idx="80">
                  <c:v>2025-Q1</c:v>
                </c:pt>
                <c:pt idx="81">
                  <c:v>2025-Q2</c:v>
                </c:pt>
                <c:pt idx="82">
                  <c:v>2025-Q3</c:v>
                </c:pt>
                <c:pt idx="83">
                  <c:v>2025-Q4</c:v>
                </c:pt>
                <c:pt idx="84">
                  <c:v>2026-Q1</c:v>
                </c:pt>
              </c:strCache>
            </c:strRef>
          </c:cat>
          <c:val>
            <c:numRef>
              <c:f>Contributions!$I$8:$I$92</c:f>
              <c:numCache>
                <c:formatCode>\+0.00;\-0.00;\-</c:formatCode>
                <c:ptCount val="85"/>
                <c:pt idx="0">
                  <c:v>-2.56996697726689</c:v>
                </c:pt>
                <c:pt idx="1">
                  <c:v>-3.35965030247786</c:v>
                </c:pt>
                <c:pt idx="2">
                  <c:v>-2.37530364465988</c:v>
                </c:pt>
                <c:pt idx="3">
                  <c:v>-2.32409107549577</c:v>
                </c:pt>
                <c:pt idx="4">
                  <c:v>-2.37217466771038</c:v>
                </c:pt>
                <c:pt idx="5">
                  <c:v>-0.766013691603254</c:v>
                </c:pt>
                <c:pt idx="6">
                  <c:v>-2.52569252385111</c:v>
                </c:pt>
                <c:pt idx="7">
                  <c:v>-2.38559965879043</c:v>
                </c:pt>
                <c:pt idx="8">
                  <c:v>-2.94199331831489</c:v>
                </c:pt>
                <c:pt idx="9">
                  <c:v>-2.59470396677531</c:v>
                </c:pt>
                <c:pt idx="10">
                  <c:v>-4.67939094059784</c:v>
                </c:pt>
                <c:pt idx="11">
                  <c:v>-4.29623591677387</c:v>
                </c:pt>
                <c:pt idx="12">
                  <c:v>-4.56614349196875</c:v>
                </c:pt>
                <c:pt idx="13">
                  <c:v>-4.35299706152941</c:v>
                </c:pt>
                <c:pt idx="14">
                  <c:v>-2.76335555018488</c:v>
                </c:pt>
                <c:pt idx="15">
                  <c:v>0.699379806607054</c:v>
                </c:pt>
                <c:pt idx="16">
                  <c:v>4.82076057270679</c:v>
                </c:pt>
                <c:pt idx="17">
                  <c:v>5.94795578230026</c:v>
                </c:pt>
                <c:pt idx="18">
                  <c:v>4.62427884129212</c:v>
                </c:pt>
                <c:pt idx="19">
                  <c:v>0.521249430472942</c:v>
                </c:pt>
                <c:pt idx="20">
                  <c:v>-3.83842843640955</c:v>
                </c:pt>
                <c:pt idx="21">
                  <c:v>-7.37179394695506</c:v>
                </c:pt>
                <c:pt idx="22">
                  <c:v>-7.9882471152302</c:v>
                </c:pt>
                <c:pt idx="23">
                  <c:v>-7.55848729912735</c:v>
                </c:pt>
                <c:pt idx="24">
                  <c:v>-6.63637485223736</c:v>
                </c:pt>
                <c:pt idx="25">
                  <c:v>-4.71218453144979</c:v>
                </c:pt>
                <c:pt idx="26">
                  <c:v>-6.0509601716071</c:v>
                </c:pt>
                <c:pt idx="27">
                  <c:v>-3.46265821522324</c:v>
                </c:pt>
                <c:pt idx="28">
                  <c:v>-0.646683003821004</c:v>
                </c:pt>
                <c:pt idx="29">
                  <c:v>2.22419868934185</c:v>
                </c:pt>
                <c:pt idx="30">
                  <c:v>2.53361890456113</c:v>
                </c:pt>
                <c:pt idx="31">
                  <c:v>0.790432917135294</c:v>
                </c:pt>
                <c:pt idx="32">
                  <c:v>-0.0949894802295346</c:v>
                </c:pt>
                <c:pt idx="33">
                  <c:v>-2.99136961151103</c:v>
                </c:pt>
                <c:pt idx="34">
                  <c:v>-1.22501135570553</c:v>
                </c:pt>
                <c:pt idx="35">
                  <c:v>0.379696624254688</c:v>
                </c:pt>
                <c:pt idx="36">
                  <c:v>0.363282609360384</c:v>
                </c:pt>
                <c:pt idx="37">
                  <c:v>2.71704647232517</c:v>
                </c:pt>
                <c:pt idx="38">
                  <c:v>4.13770020403612</c:v>
                </c:pt>
                <c:pt idx="39">
                  <c:v>4.80088608969756</c:v>
                </c:pt>
                <c:pt idx="40">
                  <c:v>2.04498987900588</c:v>
                </c:pt>
                <c:pt idx="41">
                  <c:v>-0.587240081986006</c:v>
                </c:pt>
                <c:pt idx="42">
                  <c:v>-2.87908584360206</c:v>
                </c:pt>
                <c:pt idx="43">
                  <c:v>-3.07146759916452</c:v>
                </c:pt>
                <c:pt idx="44">
                  <c:v>-2.83326385689721</c:v>
                </c:pt>
                <c:pt idx="45">
                  <c:v>-1.75404620013366</c:v>
                </c:pt>
                <c:pt idx="46">
                  <c:v>-0.00554624019321447</c:v>
                </c:pt>
                <c:pt idx="47">
                  <c:v>-1.14944349711485</c:v>
                </c:pt>
                <c:pt idx="48">
                  <c:v>-2.17386521703313</c:v>
                </c:pt>
                <c:pt idx="49">
                  <c:v>-3.06414990428054</c:v>
                </c:pt>
                <c:pt idx="50">
                  <c:v>-5.1916205531058</c:v>
                </c:pt>
                <c:pt idx="51">
                  <c:v>-6.08725555445465</c:v>
                </c:pt>
                <c:pt idx="52">
                  <c:v>-4.58291024225605</c:v>
                </c:pt>
                <c:pt idx="53">
                  <c:v>-1.14680266011622</c:v>
                </c:pt>
                <c:pt idx="54">
                  <c:v>3.09946535349184</c:v>
                </c:pt>
                <c:pt idx="55">
                  <c:v>7.76766401381047</c:v>
                </c:pt>
                <c:pt idx="56">
                  <c:v>7.99836645096616</c:v>
                </c:pt>
                <c:pt idx="57">
                  <c:v>6.55869489575011</c:v>
                </c:pt>
                <c:pt idx="58">
                  <c:v>4.35743671852406</c:v>
                </c:pt>
                <c:pt idx="59">
                  <c:v>2.67251873495336</c:v>
                </c:pt>
                <c:pt idx="60">
                  <c:v>3.14191737787894</c:v>
                </c:pt>
                <c:pt idx="61">
                  <c:v>6.95439008325639</c:v>
                </c:pt>
                <c:pt idx="62">
                  <c:v>5.77005637239702</c:v>
                </c:pt>
                <c:pt idx="63">
                  <c:v>0.392706556060822</c:v>
                </c:pt>
                <c:pt idx="64">
                  <c:v>0.0679570297944267</c:v>
                </c:pt>
                <c:pt idx="65">
                  <c:v>-7.25747612402877</c:v>
                </c:pt>
                <c:pt idx="66">
                  <c:v>-4.55374251556491</c:v>
                </c:pt>
                <c:pt idx="67">
                  <c:v>-4.85181167368669</c:v>
                </c:pt>
                <c:pt idx="68">
                  <c:v>-5.37008555361374</c:v>
                </c:pt>
                <c:pt idx="69">
                  <c:v>-5.73695064361661</c:v>
                </c:pt>
                <c:pt idx="70">
                  <c:v>-5.29978400187287</c:v>
                </c:pt>
                <c:pt idx="71">
                  <c:v>-0.337272149549579</c:v>
                </c:pt>
                <c:pt idx="72">
                  <c:v>-1.0381103377518</c:v>
                </c:pt>
                <c:pt idx="73">
                  <c:v>-1.00421390173166</c:v>
                </c:pt>
                <c:pt idx="74">
                  <c:v>-0.501364646840324</c:v>
                </c:pt>
                <c:pt idx="75">
                  <c:v>0.234215134753905</c:v>
                </c:pt>
                <c:pt idx="76">
                  <c:v>3.71142069454222</c:v>
                </c:pt>
                <c:pt idx="77">
                  <c:v>6.55737801236174</c:v>
                </c:pt>
                <c:pt idx="78">
                  <c:v>3.37537199780109</c:v>
                </c:pt>
                <c:pt idx="79">
                  <c:v>-2.39771170077836</c:v>
                </c:pt>
                <c:pt idx="80">
                  <c:v>-9.94048101528221</c:v>
                </c:pt>
                <c:pt idx="81">
                  <c:v>-8.78947848970171</c:v>
                </c:pt>
                <c:pt idx="82">
                  <c:v>-6.36655969615951</c:v>
                </c:pt>
                <c:pt idx="83">
                  <c:v>-3.07836353060979</c:v>
                </c:pt>
                <c:pt idx="84">
                  <c:v>2.4193641649042</c:v>
                </c:pt>
              </c:numCache>
            </c:numRef>
          </c:val>
        </c:ser>
        <c:gapWidth val="150"/>
        <c:overlap val="100"/>
        <c:axId val="64405662"/>
        <c:axId val="79012386"/>
      </c:barChart>
      <c:catAx>
        <c:axId val="644056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012386"/>
        <c:crosses val="autoZero"/>
        <c:auto val="1"/>
        <c:lblAlgn val="ctr"/>
        <c:lblOffset val="100"/>
        <c:noMultiLvlLbl val="0"/>
      </c:catAx>
      <c:valAx>
        <c:axId val="79012386"/>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056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contributions to GDP growth (pp)</a:t>
            </a:r>
          </a:p>
        </c:rich>
      </c:tx>
      <c:overlay val="0"/>
      <c:spPr>
        <a:noFill/>
        <a:ln w="0">
          <a:noFill/>
        </a:ln>
      </c:spPr>
    </c:title>
    <c:autoTitleDeleted val="0"/>
    <c:plotArea>
      <c:barChart>
        <c:barDir val="col"/>
        <c:grouping val="stacked"/>
        <c:varyColors val="0"/>
        <c:ser>
          <c:idx val="0"/>
          <c:order val="0"/>
          <c:tx>
            <c:strRef>
              <c:f>Contributions!D98</c:f>
              <c:strCache>
                <c:ptCount val="1"/>
                <c:pt idx="0">
                  <c:v>Private
consumption</c:v>
                </c:pt>
              </c:strCache>
            </c:strRef>
          </c:tx>
          <c:spPr>
            <a:solidFill>
              <a:srgbClr val="2f5c8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Contributions!$B$99:$B$119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Contributions!$D$99:$D$119</c:f>
              <c:numCache>
                <c:formatCode>\+0.00;\-0.00;\-</c:formatCode>
                <c:ptCount val="21"/>
                <c:pt idx="0">
                  <c:v>4.75575662774881</c:v>
                </c:pt>
                <c:pt idx="1">
                  <c:v>6.95383228643927</c:v>
                </c:pt>
                <c:pt idx="2">
                  <c:v>6.08687504314715</c:v>
                </c:pt>
                <c:pt idx="3">
                  <c:v>4.73626644794531</c:v>
                </c:pt>
                <c:pt idx="4">
                  <c:v>-3.63686364649594</c:v>
                </c:pt>
                <c:pt idx="5">
                  <c:v>7.58018472236112</c:v>
                </c:pt>
                <c:pt idx="6">
                  <c:v>6.40872032122044</c:v>
                </c:pt>
                <c:pt idx="7">
                  <c:v>0.783601748252657</c:v>
                </c:pt>
                <c:pt idx="8">
                  <c:v>2.62374548084329</c:v>
                </c:pt>
                <c:pt idx="9">
                  <c:v>-3.18015962125666</c:v>
                </c:pt>
                <c:pt idx="10">
                  <c:v>2.6173851464678</c:v>
                </c:pt>
                <c:pt idx="11">
                  <c:v>-0.563606957920748</c:v>
                </c:pt>
                <c:pt idx="12">
                  <c:v>3.04361785384716</c:v>
                </c:pt>
                <c:pt idx="13">
                  <c:v>-1.66509606454961</c:v>
                </c:pt>
                <c:pt idx="14">
                  <c:v>-4.56014272505492</c:v>
                </c:pt>
                <c:pt idx="15">
                  <c:v>-8.67750846763856</c:v>
                </c:pt>
                <c:pt idx="16">
                  <c:v>6.5787719606734</c:v>
                </c:pt>
                <c:pt idx="17">
                  <c:v>6.52068155058354</c:v>
                </c:pt>
                <c:pt idx="18">
                  <c:v>0.702056234362999</c:v>
                </c:pt>
                <c:pt idx="19">
                  <c:v>-2.09763403992054</c:v>
                </c:pt>
                <c:pt idx="20">
                  <c:v>6.17383422966297</c:v>
                </c:pt>
              </c:numCache>
            </c:numRef>
          </c:val>
        </c:ser>
        <c:ser>
          <c:idx val="1"/>
          <c:order val="1"/>
          <c:tx>
            <c:strRef>
              <c:f>Contributions!E98</c:f>
              <c:strCache>
                <c:ptCount val="1"/>
                <c:pt idx="0">
                  <c:v>Public
consumption</c:v>
                </c:pt>
              </c:strCache>
            </c:strRef>
          </c:tx>
          <c:spPr>
            <a:solidFill>
              <a:srgbClr val="8aa0b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Contributions!$B$99:$B$119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Contributions!$E$99:$E$119</c:f>
              <c:numCache>
                <c:formatCode>\+0.00;\-0.00;\-</c:formatCode>
                <c:ptCount val="21"/>
                <c:pt idx="0">
                  <c:v>1.09539574328994</c:v>
                </c:pt>
                <c:pt idx="1">
                  <c:v>0.417560230439625</c:v>
                </c:pt>
                <c:pt idx="2">
                  <c:v>0.843123067157421</c:v>
                </c:pt>
                <c:pt idx="3">
                  <c:v>0.534196398915823</c:v>
                </c:pt>
                <c:pt idx="4">
                  <c:v>0.605674162449015</c:v>
                </c:pt>
                <c:pt idx="5">
                  <c:v>0.658071528253518</c:v>
                </c:pt>
                <c:pt idx="6">
                  <c:v>0.527598427710398</c:v>
                </c:pt>
                <c:pt idx="7">
                  <c:v>0.34308374455593</c:v>
                </c:pt>
                <c:pt idx="8">
                  <c:v>0.631560809270395</c:v>
                </c:pt>
                <c:pt idx="9">
                  <c:v>0.35940253745286</c:v>
                </c:pt>
                <c:pt idx="10">
                  <c:v>0.895124591216956</c:v>
                </c:pt>
                <c:pt idx="11">
                  <c:v>-0.0703482464517649</c:v>
                </c:pt>
                <c:pt idx="12">
                  <c:v>0.359408274574833</c:v>
                </c:pt>
                <c:pt idx="13">
                  <c:v>-0.257321540356801</c:v>
                </c:pt>
                <c:pt idx="14">
                  <c:v>-0.877212797209577</c:v>
                </c:pt>
                <c:pt idx="15">
                  <c:v>-0.264641878005891</c:v>
                </c:pt>
                <c:pt idx="16">
                  <c:v>1.0142308745441</c:v>
                </c:pt>
                <c:pt idx="17">
                  <c:v>0.382023671813393</c:v>
                </c:pt>
                <c:pt idx="18">
                  <c:v>0.307124437813303</c:v>
                </c:pt>
                <c:pt idx="19">
                  <c:v>-0.422717597754833</c:v>
                </c:pt>
                <c:pt idx="20">
                  <c:v>0.0516704435058627</c:v>
                </c:pt>
              </c:numCache>
            </c:numRef>
          </c:val>
        </c:ser>
        <c:ser>
          <c:idx val="2"/>
          <c:order val="2"/>
          <c:tx>
            <c:strRef>
              <c:f>Contributions!F98</c:f>
              <c:strCache>
                <c:ptCount val="1"/>
                <c:pt idx="0">
                  <c:v>GFCF</c:v>
                </c:pt>
              </c:strCache>
            </c:strRef>
          </c:tx>
          <c:spPr>
            <a:solidFill>
              <a:srgbClr val="d149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Contributions!$B$99:$B$119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Contributions!$F$99:$F$119</c:f>
              <c:numCache>
                <c:formatCode>\+0.00;\-0.00;\-</c:formatCode>
                <c:ptCount val="21"/>
                <c:pt idx="0">
                  <c:v>2.5157278398268</c:v>
                </c:pt>
                <c:pt idx="1">
                  <c:v>2.4477120873811</c:v>
                </c:pt>
                <c:pt idx="2">
                  <c:v>3.66486158259296</c:v>
                </c:pt>
                <c:pt idx="3">
                  <c:v>1.72166634600346</c:v>
                </c:pt>
                <c:pt idx="4">
                  <c:v>-4.66856240907371</c:v>
                </c:pt>
                <c:pt idx="5">
                  <c:v>4.46880087428798</c:v>
                </c:pt>
                <c:pt idx="6">
                  <c:v>3.39112955048663</c:v>
                </c:pt>
                <c:pt idx="7">
                  <c:v>-1.52879352029253</c:v>
                </c:pt>
                <c:pt idx="8">
                  <c:v>0.474617254352651</c:v>
                </c:pt>
                <c:pt idx="9">
                  <c:v>-1.36963124148916</c:v>
                </c:pt>
                <c:pt idx="10">
                  <c:v>0.671441325564368</c:v>
                </c:pt>
                <c:pt idx="11">
                  <c:v>-1.1285252664669</c:v>
                </c:pt>
                <c:pt idx="12">
                  <c:v>2.51451039898035</c:v>
                </c:pt>
                <c:pt idx="13">
                  <c:v>-1.19065263676001</c:v>
                </c:pt>
                <c:pt idx="14">
                  <c:v>-3.19940375331256</c:v>
                </c:pt>
                <c:pt idx="15">
                  <c:v>-2.24757807899761</c:v>
                </c:pt>
                <c:pt idx="16">
                  <c:v>5.64587074006732</c:v>
                </c:pt>
                <c:pt idx="17">
                  <c:v>2.10530024952476</c:v>
                </c:pt>
                <c:pt idx="18">
                  <c:v>-0.520789201828856</c:v>
                </c:pt>
                <c:pt idx="19">
                  <c:v>-3.65465150754194</c:v>
                </c:pt>
                <c:pt idx="20">
                  <c:v>2.82604483762909</c:v>
                </c:pt>
              </c:numCache>
            </c:numRef>
          </c:val>
        </c:ser>
        <c:ser>
          <c:idx val="3"/>
          <c:order val="3"/>
          <c:tx>
            <c:strRef>
              <c:f>Contributions!G98</c:f>
              <c:strCache>
                <c:ptCount val="1"/>
                <c:pt idx="0">
                  <c:v>Inventories +
discrepancy</c:v>
                </c:pt>
              </c:strCache>
            </c:strRef>
          </c:tx>
          <c:spPr>
            <a:solidFill>
              <a:srgbClr val="e8a33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Contributions!$B$99:$B$119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Contributions!$G$99:$G$119</c:f>
              <c:numCache>
                <c:formatCode>\+0.00;\-0.00;\-</c:formatCode>
                <c:ptCount val="21"/>
                <c:pt idx="0">
                  <c:v>0.0812163285658139</c:v>
                </c:pt>
                <c:pt idx="1">
                  <c:v>-1.17673600474753</c:v>
                </c:pt>
                <c:pt idx="2">
                  <c:v>0.0570707098089907</c:v>
                </c:pt>
                <c:pt idx="3">
                  <c:v>-0.371002227488889</c:v>
                </c:pt>
                <c:pt idx="4">
                  <c:v>-0.111662956199752</c:v>
                </c:pt>
                <c:pt idx="5">
                  <c:v>1.04435757014204</c:v>
                </c:pt>
                <c:pt idx="6">
                  <c:v>-0.109791046332056</c:v>
                </c:pt>
                <c:pt idx="7">
                  <c:v>-0.968920113842406</c:v>
                </c:pt>
                <c:pt idx="8">
                  <c:v>0.460997385287573</c:v>
                </c:pt>
                <c:pt idx="9">
                  <c:v>0.0949451962090145</c:v>
                </c:pt>
                <c:pt idx="10">
                  <c:v>0.226324684546731</c:v>
                </c:pt>
                <c:pt idx="11">
                  <c:v>0.109073991306841</c:v>
                </c:pt>
                <c:pt idx="12">
                  <c:v>0.488976200669335</c:v>
                </c:pt>
                <c:pt idx="13">
                  <c:v>-0.958517854218388</c:v>
                </c:pt>
                <c:pt idx="14">
                  <c:v>-0.799247856156175</c:v>
                </c:pt>
                <c:pt idx="15">
                  <c:v>1.15262904864443</c:v>
                </c:pt>
                <c:pt idx="16">
                  <c:v>-0.479876807062168</c:v>
                </c:pt>
                <c:pt idx="17">
                  <c:v>0.237409092615844</c:v>
                </c:pt>
                <c:pt idx="18">
                  <c:v>0.32446841477952</c:v>
                </c:pt>
                <c:pt idx="19">
                  <c:v>-1.99042007627487</c:v>
                </c:pt>
                <c:pt idx="20">
                  <c:v>0.547046517632213</c:v>
                </c:pt>
              </c:numCache>
            </c:numRef>
          </c:val>
        </c:ser>
        <c:ser>
          <c:idx val="4"/>
          <c:order val="4"/>
          <c:tx>
            <c:strRef>
              <c:f>Contributions!H98</c:f>
              <c:strCache>
                <c:ptCount val="1"/>
                <c:pt idx="0">
                  <c:v>Exports</c:v>
                </c:pt>
              </c:strCache>
            </c:strRef>
          </c:tx>
          <c:spPr>
            <a:solidFill>
              <a:srgbClr val="4f9d6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Contributions!$B$99:$B$119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Contributions!$H$99:$H$119</c:f>
              <c:numCache>
                <c:formatCode>\+0.00;\-0.00;\-</c:formatCode>
                <c:ptCount val="21"/>
                <c:pt idx="0">
                  <c:v>3.07320226660341</c:v>
                </c:pt>
                <c:pt idx="1">
                  <c:v>1.37537783232628</c:v>
                </c:pt>
                <c:pt idx="2">
                  <c:v>1.97274658368913</c:v>
                </c:pt>
                <c:pt idx="3">
                  <c:v>0.17739031485073</c:v>
                </c:pt>
                <c:pt idx="4">
                  <c:v>-2.16959244144829</c:v>
                </c:pt>
                <c:pt idx="5">
                  <c:v>3.10811358718001</c:v>
                </c:pt>
                <c:pt idx="6">
                  <c:v>0.959681308618582</c:v>
                </c:pt>
                <c:pt idx="7">
                  <c:v>-0.933681195682626</c:v>
                </c:pt>
                <c:pt idx="8">
                  <c:v>-0.775120577738919</c:v>
                </c:pt>
                <c:pt idx="9">
                  <c:v>-1.44781893286869</c:v>
                </c:pt>
                <c:pt idx="10">
                  <c:v>-0.549764420399123</c:v>
                </c:pt>
                <c:pt idx="11">
                  <c:v>0.996100550569288</c:v>
                </c:pt>
                <c:pt idx="12">
                  <c:v>0.526955803609286</c:v>
                </c:pt>
                <c:pt idx="13">
                  <c:v>0.129899895879248</c:v>
                </c:pt>
                <c:pt idx="14">
                  <c:v>2.02648886176687</c:v>
                </c:pt>
                <c:pt idx="15">
                  <c:v>-4.05853908083077</c:v>
                </c:pt>
                <c:pt idx="16">
                  <c:v>1.80282138644106</c:v>
                </c:pt>
                <c:pt idx="17">
                  <c:v>0.954377068638836</c:v>
                </c:pt>
                <c:pt idx="18">
                  <c:v>-2.07906693990375</c:v>
                </c:pt>
                <c:pt idx="19">
                  <c:v>3.93043418978859</c:v>
                </c:pt>
                <c:pt idx="20">
                  <c:v>1.88354316024567</c:v>
                </c:pt>
              </c:numCache>
            </c:numRef>
          </c:val>
        </c:ser>
        <c:ser>
          <c:idx val="5"/>
          <c:order val="5"/>
          <c:tx>
            <c:strRef>
              <c:f>Contributions!I98</c:f>
              <c:strCache>
                <c:ptCount val="1"/>
                <c:pt idx="0">
                  <c:v>Imports</c:v>
                </c:pt>
              </c:strCache>
            </c:strRef>
          </c:tx>
          <c:spPr>
            <a:solidFill>
              <a:srgbClr val="7d5ba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Contributions!$B$99:$B$119</c:f>
              <c:strCach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strCache>
            </c:strRef>
          </c:cat>
          <c:val>
            <c:numRef>
              <c:f>Contributions!$I$99:$I$119</c:f>
              <c:numCache>
                <c:formatCode>\+0.00;\-0.00;\-</c:formatCode>
                <c:ptCount val="21"/>
                <c:pt idx="0">
                  <c:v>-2.66963888662036</c:v>
                </c:pt>
                <c:pt idx="1">
                  <c:v>-1.97059492818107</c:v>
                </c:pt>
                <c:pt idx="2">
                  <c:v>-3.61702610723071</c:v>
                </c:pt>
                <c:pt idx="3">
                  <c:v>-2.74128417784755</c:v>
                </c:pt>
                <c:pt idx="4">
                  <c:v>4.06248221041751</c:v>
                </c:pt>
                <c:pt idx="5">
                  <c:v>-6.73413012158813</c:v>
                </c:pt>
                <c:pt idx="6">
                  <c:v>-5.17338687243372</c:v>
                </c:pt>
                <c:pt idx="7">
                  <c:v>1.27828887393271</c:v>
                </c:pt>
                <c:pt idx="8">
                  <c:v>-1.01047656484472</c:v>
                </c:pt>
                <c:pt idx="9">
                  <c:v>3.03064673567245</c:v>
                </c:pt>
                <c:pt idx="10">
                  <c:v>-1.12935148833202</c:v>
                </c:pt>
                <c:pt idx="11">
                  <c:v>-1.42302192030164</c:v>
                </c:pt>
                <c:pt idx="12">
                  <c:v>-4.11496555884365</c:v>
                </c:pt>
                <c:pt idx="13">
                  <c:v>1.32429173934868</c:v>
                </c:pt>
                <c:pt idx="14">
                  <c:v>5.44494720755465</c:v>
                </c:pt>
                <c:pt idx="15">
                  <c:v>4.15812276193178</c:v>
                </c:pt>
                <c:pt idx="16">
                  <c:v>-4.1200061522071</c:v>
                </c:pt>
                <c:pt idx="17">
                  <c:v>-4.17904625926401</c:v>
                </c:pt>
                <c:pt idx="18">
                  <c:v>-0.584625424126608</c:v>
                </c:pt>
                <c:pt idx="19">
                  <c:v>2.86723166593741</c:v>
                </c:pt>
                <c:pt idx="20">
                  <c:v>-6.99889455891938</c:v>
                </c:pt>
              </c:numCache>
            </c:numRef>
          </c:val>
        </c:ser>
        <c:gapWidth val="150"/>
        <c:overlap val="100"/>
        <c:axId val="46830027"/>
        <c:axId val="80449578"/>
      </c:barChart>
      <c:catAx>
        <c:axId val="4683002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449578"/>
        <c:crosses val="autoZero"/>
        <c:auto val="1"/>
        <c:lblAlgn val="ctr"/>
        <c:lblOffset val="100"/>
        <c:noMultiLvlLbl val="0"/>
      </c:catAx>
      <c:valAx>
        <c:axId val="8044957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300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EMAE — seasonally adjusted level and trend-cycle</a:t>
            </a:r>
          </a:p>
        </c:rich>
      </c:tx>
      <c:overlay val="0"/>
      <c:spPr>
        <a:noFill/>
        <a:ln w="0">
          <a:noFill/>
        </a:ln>
      </c:spPr>
    </c:title>
    <c:autoTitleDeleted val="0"/>
    <c:plotArea>
      <c:lineChart>
        <c:grouping val="standard"/>
        <c:varyColors val="0"/>
        <c:ser>
          <c:idx val="0"/>
          <c:order val="0"/>
          <c:tx>
            <c:strRef>
              <c:f>"Seasonally adjusted"</c:f>
              <c:strCache>
                <c:ptCount val="1"/>
                <c:pt idx="0">
                  <c:v>Seasonally adjusted</c:v>
                </c:pt>
              </c:strCache>
            </c:strRef>
          </c:tx>
          <c:spPr>
            <a:solidFill>
              <a:srgbClr val="2f5c8f"/>
            </a:solidFill>
            <a:ln w="2412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EMAE!$B$178:$B$274</c:f>
              <c:strCache>
                <c:ptCount val="97"/>
                <c:pt idx="0">
                  <c:v>2018-05</c:v>
                </c:pt>
                <c:pt idx="1">
                  <c:v>2018-06</c:v>
                </c:pt>
                <c:pt idx="2">
                  <c:v>2018-07</c:v>
                </c:pt>
                <c:pt idx="3">
                  <c:v>2018-08</c:v>
                </c:pt>
                <c:pt idx="4">
                  <c:v>2018-09</c:v>
                </c:pt>
                <c:pt idx="5">
                  <c:v>2018-10</c:v>
                </c:pt>
                <c:pt idx="6">
                  <c:v>2018-11</c:v>
                </c:pt>
                <c:pt idx="7">
                  <c:v>2018-12</c:v>
                </c:pt>
                <c:pt idx="8">
                  <c:v>2019-01</c:v>
                </c:pt>
                <c:pt idx="9">
                  <c:v>2019-02</c:v>
                </c:pt>
                <c:pt idx="10">
                  <c:v>2019-03</c:v>
                </c:pt>
                <c:pt idx="11">
                  <c:v>2019-04</c:v>
                </c:pt>
                <c:pt idx="12">
                  <c:v>2019-05</c:v>
                </c:pt>
                <c:pt idx="13">
                  <c:v>2019-06</c:v>
                </c:pt>
                <c:pt idx="14">
                  <c:v>2019-07</c:v>
                </c:pt>
                <c:pt idx="15">
                  <c:v>2019-08</c:v>
                </c:pt>
                <c:pt idx="16">
                  <c:v>2019-09</c:v>
                </c:pt>
                <c:pt idx="17">
                  <c:v>2019-10</c:v>
                </c:pt>
                <c:pt idx="18">
                  <c:v>2019-11</c:v>
                </c:pt>
                <c:pt idx="19">
                  <c:v>2019-12</c:v>
                </c:pt>
                <c:pt idx="20">
                  <c:v>2020-01</c:v>
                </c:pt>
                <c:pt idx="21">
                  <c:v>2020-02</c:v>
                </c:pt>
                <c:pt idx="22">
                  <c:v>2020-03</c:v>
                </c:pt>
                <c:pt idx="23">
                  <c:v>2020-04</c:v>
                </c:pt>
                <c:pt idx="24">
                  <c:v>2020-05</c:v>
                </c:pt>
                <c:pt idx="25">
                  <c:v>2020-06</c:v>
                </c:pt>
                <c:pt idx="26">
                  <c:v>2020-07</c:v>
                </c:pt>
                <c:pt idx="27">
                  <c:v>2020-08</c:v>
                </c:pt>
                <c:pt idx="28">
                  <c:v>2020-09</c:v>
                </c:pt>
                <c:pt idx="29">
                  <c:v>2020-10</c:v>
                </c:pt>
                <c:pt idx="30">
                  <c:v>2020-11</c:v>
                </c:pt>
                <c:pt idx="31">
                  <c:v>2020-12</c:v>
                </c:pt>
                <c:pt idx="32">
                  <c:v>2021-01</c:v>
                </c:pt>
                <c:pt idx="33">
                  <c:v>2021-02</c:v>
                </c:pt>
                <c:pt idx="34">
                  <c:v>2021-03</c:v>
                </c:pt>
                <c:pt idx="35">
                  <c:v>2021-04</c:v>
                </c:pt>
                <c:pt idx="36">
                  <c:v>2021-05</c:v>
                </c:pt>
                <c:pt idx="37">
                  <c:v>2021-06</c:v>
                </c:pt>
                <c:pt idx="38">
                  <c:v>2021-07</c:v>
                </c:pt>
                <c:pt idx="39">
                  <c:v>2021-08</c:v>
                </c:pt>
                <c:pt idx="40">
                  <c:v>2021-09</c:v>
                </c:pt>
                <c:pt idx="41">
                  <c:v>2021-10</c:v>
                </c:pt>
                <c:pt idx="42">
                  <c:v>2021-11</c:v>
                </c:pt>
                <c:pt idx="43">
                  <c:v>2021-12</c:v>
                </c:pt>
                <c:pt idx="44">
                  <c:v>2022-01</c:v>
                </c:pt>
                <c:pt idx="45">
                  <c:v>2022-02</c:v>
                </c:pt>
                <c:pt idx="46">
                  <c:v>2022-03</c:v>
                </c:pt>
                <c:pt idx="47">
                  <c:v>2022-04</c:v>
                </c:pt>
                <c:pt idx="48">
                  <c:v>2022-05</c:v>
                </c:pt>
                <c:pt idx="49">
                  <c:v>2022-06</c:v>
                </c:pt>
                <c:pt idx="50">
                  <c:v>2022-07</c:v>
                </c:pt>
                <c:pt idx="51">
                  <c:v>2022-08</c:v>
                </c:pt>
                <c:pt idx="52">
                  <c:v>2022-09</c:v>
                </c:pt>
                <c:pt idx="53">
                  <c:v>2022-10</c:v>
                </c:pt>
                <c:pt idx="54">
                  <c:v>2022-11</c:v>
                </c:pt>
                <c:pt idx="55">
                  <c:v>2022-12</c:v>
                </c:pt>
                <c:pt idx="56">
                  <c:v>2023-01</c:v>
                </c:pt>
                <c:pt idx="57">
                  <c:v>2023-02</c:v>
                </c:pt>
                <c:pt idx="58">
                  <c:v>2023-03</c:v>
                </c:pt>
                <c:pt idx="59">
                  <c:v>2023-04</c:v>
                </c:pt>
                <c:pt idx="60">
                  <c:v>2023-05</c:v>
                </c:pt>
                <c:pt idx="61">
                  <c:v>2023-06</c:v>
                </c:pt>
                <c:pt idx="62">
                  <c:v>2023-07</c:v>
                </c:pt>
                <c:pt idx="63">
                  <c:v>2023-08</c:v>
                </c:pt>
                <c:pt idx="64">
                  <c:v>2023-09</c:v>
                </c:pt>
                <c:pt idx="65">
                  <c:v>2023-10</c:v>
                </c:pt>
                <c:pt idx="66">
                  <c:v>2023-11</c:v>
                </c:pt>
                <c:pt idx="67">
                  <c:v>2023-12</c:v>
                </c:pt>
                <c:pt idx="68">
                  <c:v>2024-01</c:v>
                </c:pt>
                <c:pt idx="69">
                  <c:v>2024-02</c:v>
                </c:pt>
                <c:pt idx="70">
                  <c:v>2024-03</c:v>
                </c:pt>
                <c:pt idx="71">
                  <c:v>2024-04</c:v>
                </c:pt>
                <c:pt idx="72">
                  <c:v>2024-05</c:v>
                </c:pt>
                <c:pt idx="73">
                  <c:v>2024-06</c:v>
                </c:pt>
                <c:pt idx="74">
                  <c:v>2024-07</c:v>
                </c:pt>
                <c:pt idx="75">
                  <c:v>2024-08</c:v>
                </c:pt>
                <c:pt idx="76">
                  <c:v>2024-09</c:v>
                </c:pt>
                <c:pt idx="77">
                  <c:v>2024-10</c:v>
                </c:pt>
                <c:pt idx="78">
                  <c:v>2024-11</c:v>
                </c:pt>
                <c:pt idx="79">
                  <c:v>2024-12</c:v>
                </c:pt>
                <c:pt idx="80">
                  <c:v>2025-01</c:v>
                </c:pt>
                <c:pt idx="81">
                  <c:v>2025-02</c:v>
                </c:pt>
                <c:pt idx="82">
                  <c:v>2025-03</c:v>
                </c:pt>
                <c:pt idx="83">
                  <c:v>2025-04</c:v>
                </c:pt>
                <c:pt idx="84">
                  <c:v>2025-05</c:v>
                </c:pt>
                <c:pt idx="85">
                  <c:v>2025-06</c:v>
                </c:pt>
                <c:pt idx="86">
                  <c:v>2025-07</c:v>
                </c:pt>
                <c:pt idx="87">
                  <c:v>2025-08</c:v>
                </c:pt>
                <c:pt idx="88">
                  <c:v>2025-09</c:v>
                </c:pt>
                <c:pt idx="89">
                  <c:v>2025-10</c:v>
                </c:pt>
                <c:pt idx="90">
                  <c:v>2025-11</c:v>
                </c:pt>
                <c:pt idx="91">
                  <c:v>2025-12</c:v>
                </c:pt>
                <c:pt idx="92">
                  <c:v>2026-01</c:v>
                </c:pt>
                <c:pt idx="93">
                  <c:v>2026-02</c:v>
                </c:pt>
                <c:pt idx="94">
                  <c:v>2026-03</c:v>
                </c:pt>
                <c:pt idx="95">
                  <c:v>2026-04</c:v>
                </c:pt>
                <c:pt idx="96">
                  <c:v>2026-05</c:v>
                </c:pt>
              </c:strCache>
            </c:strRef>
          </c:cat>
          <c:val>
            <c:numRef>
              <c:f>EMAE!$F$177:$F$274</c:f>
              <c:numCache>
                <c:formatCode>#,##0.00;\(#,##0.00\);\-</c:formatCode>
                <c:ptCount val="98"/>
                <c:pt idx="0">
                  <c:v>146.79265782594</c:v>
                </c:pt>
                <c:pt idx="1">
                  <c:v>144.563087407417</c:v>
                </c:pt>
                <c:pt idx="2">
                  <c:v>143.259082889478</c:v>
                </c:pt>
                <c:pt idx="3">
                  <c:v>143.579209000728</c:v>
                </c:pt>
                <c:pt idx="4">
                  <c:v>146.537230877005</c:v>
                </c:pt>
                <c:pt idx="5">
                  <c:v>143.132241433321</c:v>
                </c:pt>
                <c:pt idx="6">
                  <c:v>143.595585095494</c:v>
                </c:pt>
                <c:pt idx="7">
                  <c:v>141.666150377382</c:v>
                </c:pt>
                <c:pt idx="8">
                  <c:v>141.973648759504</c:v>
                </c:pt>
                <c:pt idx="9">
                  <c:v>141.397729240628</c:v>
                </c:pt>
                <c:pt idx="10">
                  <c:v>143.658901683707</c:v>
                </c:pt>
                <c:pt idx="11">
                  <c:v>142.259940041268</c:v>
                </c:pt>
                <c:pt idx="12">
                  <c:v>142.605787253334</c:v>
                </c:pt>
                <c:pt idx="13">
                  <c:v>144.838249971983</c:v>
                </c:pt>
                <c:pt idx="14">
                  <c:v>144.033781295784</c:v>
                </c:pt>
                <c:pt idx="15">
                  <c:v>145.83568077856</c:v>
                </c:pt>
                <c:pt idx="16">
                  <c:v>144.790593285846</c:v>
                </c:pt>
                <c:pt idx="17">
                  <c:v>140.55731399665</c:v>
                </c:pt>
                <c:pt idx="18">
                  <c:v>143.797274073401</c:v>
                </c:pt>
                <c:pt idx="19">
                  <c:v>140.883689537146</c:v>
                </c:pt>
                <c:pt idx="20">
                  <c:v>140.126686656662</c:v>
                </c:pt>
                <c:pt idx="21">
                  <c:v>140.930177145382</c:v>
                </c:pt>
                <c:pt idx="22">
                  <c:v>139.549761275606</c:v>
                </c:pt>
                <c:pt idx="23">
                  <c:v>125.960247713308</c:v>
                </c:pt>
                <c:pt idx="24">
                  <c:v>105.992279092236</c:v>
                </c:pt>
                <c:pt idx="25">
                  <c:v>117.209621767521</c:v>
                </c:pt>
                <c:pt idx="26">
                  <c:v>124.344972935887</c:v>
                </c:pt>
                <c:pt idx="27">
                  <c:v>126.158194908386</c:v>
                </c:pt>
                <c:pt idx="28">
                  <c:v>128.844157875003</c:v>
                </c:pt>
                <c:pt idx="29">
                  <c:v>130.796547932016</c:v>
                </c:pt>
                <c:pt idx="30">
                  <c:v>133.39866145683</c:v>
                </c:pt>
                <c:pt idx="31">
                  <c:v>134.871321016984</c:v>
                </c:pt>
                <c:pt idx="32">
                  <c:v>136.95759393152</c:v>
                </c:pt>
                <c:pt idx="33">
                  <c:v>139.849767776997</c:v>
                </c:pt>
                <c:pt idx="34">
                  <c:v>138.242679569702</c:v>
                </c:pt>
                <c:pt idx="35">
                  <c:v>140.891393298284</c:v>
                </c:pt>
                <c:pt idx="36">
                  <c:v>139.3115864823</c:v>
                </c:pt>
                <c:pt idx="37">
                  <c:v>138.859164396742</c:v>
                </c:pt>
                <c:pt idx="38">
                  <c:v>141.524107268231</c:v>
                </c:pt>
                <c:pt idx="39">
                  <c:v>141.379165811089</c:v>
                </c:pt>
                <c:pt idx="40">
                  <c:v>143.315902384153</c:v>
                </c:pt>
                <c:pt idx="41">
                  <c:v>144.177346450918</c:v>
                </c:pt>
                <c:pt idx="42">
                  <c:v>143.355861783136</c:v>
                </c:pt>
                <c:pt idx="43">
                  <c:v>145.713566991104</c:v>
                </c:pt>
                <c:pt idx="44">
                  <c:v>149.720403789366</c:v>
                </c:pt>
                <c:pt idx="45">
                  <c:v>148.524545672033</c:v>
                </c:pt>
                <c:pt idx="46">
                  <c:v>150.709226388273</c:v>
                </c:pt>
                <c:pt idx="47">
                  <c:v>150.346723785422</c:v>
                </c:pt>
                <c:pt idx="48">
                  <c:v>152.09770494153</c:v>
                </c:pt>
                <c:pt idx="49">
                  <c:v>152.126681744061</c:v>
                </c:pt>
                <c:pt idx="50">
                  <c:v>154.302974508127</c:v>
                </c:pt>
                <c:pt idx="51">
                  <c:v>152.558197358768</c:v>
                </c:pt>
                <c:pt idx="52">
                  <c:v>151.723014990957</c:v>
                </c:pt>
                <c:pt idx="53">
                  <c:v>150.787751125179</c:v>
                </c:pt>
                <c:pt idx="54">
                  <c:v>149.085759213899</c:v>
                </c:pt>
                <c:pt idx="55">
                  <c:v>148.327566132046</c:v>
                </c:pt>
                <c:pt idx="56">
                  <c:v>148.485243711314</c:v>
                </c:pt>
                <c:pt idx="57">
                  <c:v>149.957729660816</c:v>
                </c:pt>
                <c:pt idx="58">
                  <c:v>150.15642424124</c:v>
                </c:pt>
                <c:pt idx="59">
                  <c:v>150.755963017803</c:v>
                </c:pt>
                <c:pt idx="60">
                  <c:v>147.357487354051</c:v>
                </c:pt>
                <c:pt idx="61">
                  <c:v>145.552726052802</c:v>
                </c:pt>
                <c:pt idx="62">
                  <c:v>146.063267496761</c:v>
                </c:pt>
                <c:pt idx="63">
                  <c:v>148.724663808793</c:v>
                </c:pt>
                <c:pt idx="64">
                  <c:v>150.056945840458</c:v>
                </c:pt>
                <c:pt idx="65">
                  <c:v>149.698247005709</c:v>
                </c:pt>
                <c:pt idx="66">
                  <c:v>148.013211371601</c:v>
                </c:pt>
                <c:pt idx="67">
                  <c:v>146.388298540618</c:v>
                </c:pt>
                <c:pt idx="68">
                  <c:v>142.867470302908</c:v>
                </c:pt>
                <c:pt idx="69">
                  <c:v>143.553673105494</c:v>
                </c:pt>
                <c:pt idx="70">
                  <c:v>143.808819647812</c:v>
                </c:pt>
                <c:pt idx="71">
                  <c:v>142.114530417108</c:v>
                </c:pt>
                <c:pt idx="72">
                  <c:v>141.056115880009</c:v>
                </c:pt>
                <c:pt idx="73">
                  <c:v>142.836197278762</c:v>
                </c:pt>
                <c:pt idx="74">
                  <c:v>143.718751840871</c:v>
                </c:pt>
                <c:pt idx="75">
                  <c:v>147.282943313062</c:v>
                </c:pt>
                <c:pt idx="76">
                  <c:v>147.774598454863</c:v>
                </c:pt>
                <c:pt idx="77">
                  <c:v>147.826652668076</c:v>
                </c:pt>
                <c:pt idx="78">
                  <c:v>149.047022108281</c:v>
                </c:pt>
                <c:pt idx="79">
                  <c:v>150.802058920112</c:v>
                </c:pt>
                <c:pt idx="80">
                  <c:v>151.485274747597</c:v>
                </c:pt>
                <c:pt idx="81">
                  <c:v>151.930933398711</c:v>
                </c:pt>
                <c:pt idx="82">
                  <c:v>153.542654381892</c:v>
                </c:pt>
                <c:pt idx="83">
                  <c:v>149.34718181687</c:v>
                </c:pt>
                <c:pt idx="84">
                  <c:v>152.384098030815</c:v>
                </c:pt>
                <c:pt idx="85">
                  <c:v>152.270518826338</c:v>
                </c:pt>
                <c:pt idx="86">
                  <c:v>151.548301951458</c:v>
                </c:pt>
                <c:pt idx="87">
                  <c:v>151.293300948977</c:v>
                </c:pt>
                <c:pt idx="88">
                  <c:v>152.175943810366</c:v>
                </c:pt>
                <c:pt idx="89">
                  <c:v>153.277721823983</c:v>
                </c:pt>
                <c:pt idx="90">
                  <c:v>153.090734729268</c:v>
                </c:pt>
                <c:pt idx="91">
                  <c:v>153.012787837257</c:v>
                </c:pt>
                <c:pt idx="92">
                  <c:v>155.947822026171</c:v>
                </c:pt>
                <c:pt idx="93">
                  <c:v>156.300870710309</c:v>
                </c:pt>
                <c:pt idx="94">
                  <c:v>152.462325180149</c:v>
                </c:pt>
                <c:pt idx="95">
                  <c:v>156.731112313453</c:v>
                </c:pt>
                <c:pt idx="96">
                  <c:v>154.336402014869</c:v>
                </c:pt>
                <c:pt idx="97">
                  <c:v>153.62027214485</c:v>
                </c:pt>
              </c:numCache>
            </c:numRef>
          </c:val>
          <c:smooth val="0"/>
        </c:ser>
        <c:ser>
          <c:idx val="1"/>
          <c:order val="1"/>
          <c:tx>
            <c:strRef>
              <c:f>"Trend-cycle"</c:f>
              <c:strCache>
                <c:ptCount val="1"/>
                <c:pt idx="0">
                  <c:v>Trend-cycle</c:v>
                </c:pt>
              </c:strCache>
            </c:strRef>
          </c:tx>
          <c:spPr>
            <a:solidFill>
              <a:srgbClr val="d1495b"/>
            </a:solidFill>
            <a:ln w="24120">
              <a:solidFill>
                <a:srgbClr val="d1495b"/>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EMAE!$B$178:$B$274</c:f>
              <c:strCache>
                <c:ptCount val="97"/>
                <c:pt idx="0">
                  <c:v>2018-05</c:v>
                </c:pt>
                <c:pt idx="1">
                  <c:v>2018-06</c:v>
                </c:pt>
                <c:pt idx="2">
                  <c:v>2018-07</c:v>
                </c:pt>
                <c:pt idx="3">
                  <c:v>2018-08</c:v>
                </c:pt>
                <c:pt idx="4">
                  <c:v>2018-09</c:v>
                </c:pt>
                <c:pt idx="5">
                  <c:v>2018-10</c:v>
                </c:pt>
                <c:pt idx="6">
                  <c:v>2018-11</c:v>
                </c:pt>
                <c:pt idx="7">
                  <c:v>2018-12</c:v>
                </c:pt>
                <c:pt idx="8">
                  <c:v>2019-01</c:v>
                </c:pt>
                <c:pt idx="9">
                  <c:v>2019-02</c:v>
                </c:pt>
                <c:pt idx="10">
                  <c:v>2019-03</c:v>
                </c:pt>
                <c:pt idx="11">
                  <c:v>2019-04</c:v>
                </c:pt>
                <c:pt idx="12">
                  <c:v>2019-05</c:v>
                </c:pt>
                <c:pt idx="13">
                  <c:v>2019-06</c:v>
                </c:pt>
                <c:pt idx="14">
                  <c:v>2019-07</c:v>
                </c:pt>
                <c:pt idx="15">
                  <c:v>2019-08</c:v>
                </c:pt>
                <c:pt idx="16">
                  <c:v>2019-09</c:v>
                </c:pt>
                <c:pt idx="17">
                  <c:v>2019-10</c:v>
                </c:pt>
                <c:pt idx="18">
                  <c:v>2019-11</c:v>
                </c:pt>
                <c:pt idx="19">
                  <c:v>2019-12</c:v>
                </c:pt>
                <c:pt idx="20">
                  <c:v>2020-01</c:v>
                </c:pt>
                <c:pt idx="21">
                  <c:v>2020-02</c:v>
                </c:pt>
                <c:pt idx="22">
                  <c:v>2020-03</c:v>
                </c:pt>
                <c:pt idx="23">
                  <c:v>2020-04</c:v>
                </c:pt>
                <c:pt idx="24">
                  <c:v>2020-05</c:v>
                </c:pt>
                <c:pt idx="25">
                  <c:v>2020-06</c:v>
                </c:pt>
                <c:pt idx="26">
                  <c:v>2020-07</c:v>
                </c:pt>
                <c:pt idx="27">
                  <c:v>2020-08</c:v>
                </c:pt>
                <c:pt idx="28">
                  <c:v>2020-09</c:v>
                </c:pt>
                <c:pt idx="29">
                  <c:v>2020-10</c:v>
                </c:pt>
                <c:pt idx="30">
                  <c:v>2020-11</c:v>
                </c:pt>
                <c:pt idx="31">
                  <c:v>2020-12</c:v>
                </c:pt>
                <c:pt idx="32">
                  <c:v>2021-01</c:v>
                </c:pt>
                <c:pt idx="33">
                  <c:v>2021-02</c:v>
                </c:pt>
                <c:pt idx="34">
                  <c:v>2021-03</c:v>
                </c:pt>
                <c:pt idx="35">
                  <c:v>2021-04</c:v>
                </c:pt>
                <c:pt idx="36">
                  <c:v>2021-05</c:v>
                </c:pt>
                <c:pt idx="37">
                  <c:v>2021-06</c:v>
                </c:pt>
                <c:pt idx="38">
                  <c:v>2021-07</c:v>
                </c:pt>
                <c:pt idx="39">
                  <c:v>2021-08</c:v>
                </c:pt>
                <c:pt idx="40">
                  <c:v>2021-09</c:v>
                </c:pt>
                <c:pt idx="41">
                  <c:v>2021-10</c:v>
                </c:pt>
                <c:pt idx="42">
                  <c:v>2021-11</c:v>
                </c:pt>
                <c:pt idx="43">
                  <c:v>2021-12</c:v>
                </c:pt>
                <c:pt idx="44">
                  <c:v>2022-01</c:v>
                </c:pt>
                <c:pt idx="45">
                  <c:v>2022-02</c:v>
                </c:pt>
                <c:pt idx="46">
                  <c:v>2022-03</c:v>
                </c:pt>
                <c:pt idx="47">
                  <c:v>2022-04</c:v>
                </c:pt>
                <c:pt idx="48">
                  <c:v>2022-05</c:v>
                </c:pt>
                <c:pt idx="49">
                  <c:v>2022-06</c:v>
                </c:pt>
                <c:pt idx="50">
                  <c:v>2022-07</c:v>
                </c:pt>
                <c:pt idx="51">
                  <c:v>2022-08</c:v>
                </c:pt>
                <c:pt idx="52">
                  <c:v>2022-09</c:v>
                </c:pt>
                <c:pt idx="53">
                  <c:v>2022-10</c:v>
                </c:pt>
                <c:pt idx="54">
                  <c:v>2022-11</c:v>
                </c:pt>
                <c:pt idx="55">
                  <c:v>2022-12</c:v>
                </c:pt>
                <c:pt idx="56">
                  <c:v>2023-01</c:v>
                </c:pt>
                <c:pt idx="57">
                  <c:v>2023-02</c:v>
                </c:pt>
                <c:pt idx="58">
                  <c:v>2023-03</c:v>
                </c:pt>
                <c:pt idx="59">
                  <c:v>2023-04</c:v>
                </c:pt>
                <c:pt idx="60">
                  <c:v>2023-05</c:v>
                </c:pt>
                <c:pt idx="61">
                  <c:v>2023-06</c:v>
                </c:pt>
                <c:pt idx="62">
                  <c:v>2023-07</c:v>
                </c:pt>
                <c:pt idx="63">
                  <c:v>2023-08</c:v>
                </c:pt>
                <c:pt idx="64">
                  <c:v>2023-09</c:v>
                </c:pt>
                <c:pt idx="65">
                  <c:v>2023-10</c:v>
                </c:pt>
                <c:pt idx="66">
                  <c:v>2023-11</c:v>
                </c:pt>
                <c:pt idx="67">
                  <c:v>2023-12</c:v>
                </c:pt>
                <c:pt idx="68">
                  <c:v>2024-01</c:v>
                </c:pt>
                <c:pt idx="69">
                  <c:v>2024-02</c:v>
                </c:pt>
                <c:pt idx="70">
                  <c:v>2024-03</c:v>
                </c:pt>
                <c:pt idx="71">
                  <c:v>2024-04</c:v>
                </c:pt>
                <c:pt idx="72">
                  <c:v>2024-05</c:v>
                </c:pt>
                <c:pt idx="73">
                  <c:v>2024-06</c:v>
                </c:pt>
                <c:pt idx="74">
                  <c:v>2024-07</c:v>
                </c:pt>
                <c:pt idx="75">
                  <c:v>2024-08</c:v>
                </c:pt>
                <c:pt idx="76">
                  <c:v>2024-09</c:v>
                </c:pt>
                <c:pt idx="77">
                  <c:v>2024-10</c:v>
                </c:pt>
                <c:pt idx="78">
                  <c:v>2024-11</c:v>
                </c:pt>
                <c:pt idx="79">
                  <c:v>2024-12</c:v>
                </c:pt>
                <c:pt idx="80">
                  <c:v>2025-01</c:v>
                </c:pt>
                <c:pt idx="81">
                  <c:v>2025-02</c:v>
                </c:pt>
                <c:pt idx="82">
                  <c:v>2025-03</c:v>
                </c:pt>
                <c:pt idx="83">
                  <c:v>2025-04</c:v>
                </c:pt>
                <c:pt idx="84">
                  <c:v>2025-05</c:v>
                </c:pt>
                <c:pt idx="85">
                  <c:v>2025-06</c:v>
                </c:pt>
                <c:pt idx="86">
                  <c:v>2025-07</c:v>
                </c:pt>
                <c:pt idx="87">
                  <c:v>2025-08</c:v>
                </c:pt>
                <c:pt idx="88">
                  <c:v>2025-09</c:v>
                </c:pt>
                <c:pt idx="89">
                  <c:v>2025-10</c:v>
                </c:pt>
                <c:pt idx="90">
                  <c:v>2025-11</c:v>
                </c:pt>
                <c:pt idx="91">
                  <c:v>2025-12</c:v>
                </c:pt>
                <c:pt idx="92">
                  <c:v>2026-01</c:v>
                </c:pt>
                <c:pt idx="93">
                  <c:v>2026-02</c:v>
                </c:pt>
                <c:pt idx="94">
                  <c:v>2026-03</c:v>
                </c:pt>
                <c:pt idx="95">
                  <c:v>2026-04</c:v>
                </c:pt>
                <c:pt idx="96">
                  <c:v>2026-05</c:v>
                </c:pt>
              </c:strCache>
            </c:strRef>
          </c:cat>
          <c:val>
            <c:numRef>
              <c:f>EMAE!$G$177:$G$274</c:f>
              <c:numCache>
                <c:formatCode>#,##0.00;\(#,##0.00\);\-</c:formatCode>
                <c:ptCount val="98"/>
                <c:pt idx="0">
                  <c:v>147.628453571972</c:v>
                </c:pt>
                <c:pt idx="1">
                  <c:v>146.665546605311</c:v>
                </c:pt>
                <c:pt idx="2">
                  <c:v>145.715980876351</c:v>
                </c:pt>
                <c:pt idx="3">
                  <c:v>144.832918425098</c:v>
                </c:pt>
                <c:pt idx="4">
                  <c:v>144.06472199993</c:v>
                </c:pt>
                <c:pt idx="5">
                  <c:v>143.445952345238</c:v>
                </c:pt>
                <c:pt idx="6">
                  <c:v>142.993160830408</c:v>
                </c:pt>
                <c:pt idx="7">
                  <c:v>142.707890042376</c:v>
                </c:pt>
                <c:pt idx="8">
                  <c:v>142.5771326797</c:v>
                </c:pt>
                <c:pt idx="9">
                  <c:v>142.572453666645</c:v>
                </c:pt>
                <c:pt idx="10">
                  <c:v>142.655694349073</c:v>
                </c:pt>
                <c:pt idx="11">
                  <c:v>142.78455876893</c:v>
                </c:pt>
                <c:pt idx="12">
                  <c:v>142.91282858002</c:v>
                </c:pt>
                <c:pt idx="13">
                  <c:v>142.998202870719</c:v>
                </c:pt>
                <c:pt idx="14">
                  <c:v>143.004742504236</c:v>
                </c:pt>
                <c:pt idx="15">
                  <c:v>142.904912776184</c:v>
                </c:pt>
                <c:pt idx="16">
                  <c:v>142.682084315883</c:v>
                </c:pt>
                <c:pt idx="17">
                  <c:v>142.331479853225</c:v>
                </c:pt>
                <c:pt idx="18">
                  <c:v>141.859560897374</c:v>
                </c:pt>
                <c:pt idx="19">
                  <c:v>141.28341184211</c:v>
                </c:pt>
                <c:pt idx="20">
                  <c:v>140.630426316349</c:v>
                </c:pt>
                <c:pt idx="21">
                  <c:v>139.932375774692</c:v>
                </c:pt>
                <c:pt idx="22">
                  <c:v>139.224483581077</c:v>
                </c:pt>
                <c:pt idx="23">
                  <c:v>138.54271042735</c:v>
                </c:pt>
                <c:pt idx="24">
                  <c:v>137.922429352654</c:v>
                </c:pt>
                <c:pt idx="25">
                  <c:v>137.397126683024</c:v>
                </c:pt>
                <c:pt idx="26">
                  <c:v>136.991652834453</c:v>
                </c:pt>
                <c:pt idx="27">
                  <c:v>136.722091038419</c:v>
                </c:pt>
                <c:pt idx="28">
                  <c:v>136.596793307264</c:v>
                </c:pt>
                <c:pt idx="29">
                  <c:v>136.615366039281</c:v>
                </c:pt>
                <c:pt idx="30">
                  <c:v>136.771126636052</c:v>
                </c:pt>
                <c:pt idx="31">
                  <c:v>137.050767534126</c:v>
                </c:pt>
                <c:pt idx="32">
                  <c:v>137.437903895569</c:v>
                </c:pt>
                <c:pt idx="33">
                  <c:v>137.916424053989</c:v>
                </c:pt>
                <c:pt idx="34">
                  <c:v>138.475034257967</c:v>
                </c:pt>
                <c:pt idx="35">
                  <c:v>139.104763447101</c:v>
                </c:pt>
                <c:pt idx="36">
                  <c:v>139.802731848646</c:v>
                </c:pt>
                <c:pt idx="37">
                  <c:v>140.567951964597</c:v>
                </c:pt>
                <c:pt idx="38">
                  <c:v>141.397675173066</c:v>
                </c:pt>
                <c:pt idx="39">
                  <c:v>142.291854414489</c:v>
                </c:pt>
                <c:pt idx="40">
                  <c:v>143.249490897188</c:v>
                </c:pt>
                <c:pt idx="41">
                  <c:v>144.263236099306</c:v>
                </c:pt>
                <c:pt idx="42">
                  <c:v>145.320063107092</c:v>
                </c:pt>
                <c:pt idx="43">
                  <c:v>146.395017683194</c:v>
                </c:pt>
                <c:pt idx="44">
                  <c:v>147.451153303643</c:v>
                </c:pt>
                <c:pt idx="45">
                  <c:v>148.445908746338</c:v>
                </c:pt>
                <c:pt idx="46">
                  <c:v>149.334371920862</c:v>
                </c:pt>
                <c:pt idx="47">
                  <c:v>150.078769325279</c:v>
                </c:pt>
                <c:pt idx="48">
                  <c:v>150.651688699202</c:v>
                </c:pt>
                <c:pt idx="49">
                  <c:v>151.03686923588</c:v>
                </c:pt>
                <c:pt idx="50">
                  <c:v>151.230127513296</c:v>
                </c:pt>
                <c:pt idx="51">
                  <c:v>151.243939620177</c:v>
                </c:pt>
                <c:pt idx="52">
                  <c:v>151.104034813825</c:v>
                </c:pt>
                <c:pt idx="53">
                  <c:v>150.845261354454</c:v>
                </c:pt>
                <c:pt idx="54">
                  <c:v>150.506455890495</c:v>
                </c:pt>
                <c:pt idx="55">
                  <c:v>150.124867580783</c:v>
                </c:pt>
                <c:pt idx="56">
                  <c:v>149.733369176475</c:v>
                </c:pt>
                <c:pt idx="57">
                  <c:v>149.355039716359</c:v>
                </c:pt>
                <c:pt idx="58">
                  <c:v>148.999905222474</c:v>
                </c:pt>
                <c:pt idx="59">
                  <c:v>148.663738700249</c:v>
                </c:pt>
                <c:pt idx="60">
                  <c:v>148.332214298471</c:v>
                </c:pt>
                <c:pt idx="61">
                  <c:v>147.982971452392</c:v>
                </c:pt>
                <c:pt idx="62">
                  <c:v>147.59607526378</c:v>
                </c:pt>
                <c:pt idx="63">
                  <c:v>147.15967189693</c:v>
                </c:pt>
                <c:pt idx="64">
                  <c:v>146.670091442488</c:v>
                </c:pt>
                <c:pt idx="65">
                  <c:v>146.136766119307</c:v>
                </c:pt>
                <c:pt idx="66">
                  <c:v>145.582622676322</c:v>
                </c:pt>
                <c:pt idx="67">
                  <c:v>145.038680204669</c:v>
                </c:pt>
                <c:pt idx="68">
                  <c:v>144.548224394054</c:v>
                </c:pt>
                <c:pt idx="69">
                  <c:v>144.158953321793</c:v>
                </c:pt>
                <c:pt idx="70">
                  <c:v>143.916703474042</c:v>
                </c:pt>
                <c:pt idx="71">
                  <c:v>143.86036158327</c:v>
                </c:pt>
                <c:pt idx="72">
                  <c:v>144.011259264449</c:v>
                </c:pt>
                <c:pt idx="73">
                  <c:v>144.370345915319</c:v>
                </c:pt>
                <c:pt idx="74">
                  <c:v>144.920870859941</c:v>
                </c:pt>
                <c:pt idx="75">
                  <c:v>145.629500947586</c:v>
                </c:pt>
                <c:pt idx="76">
                  <c:v>146.449799460046</c:v>
                </c:pt>
                <c:pt idx="77">
                  <c:v>147.329668840771</c:v>
                </c:pt>
                <c:pt idx="78">
                  <c:v>148.212645994451</c:v>
                </c:pt>
                <c:pt idx="79">
                  <c:v>149.049515316086</c:v>
                </c:pt>
                <c:pt idx="80">
                  <c:v>149.803997146575</c:v>
                </c:pt>
                <c:pt idx="81">
                  <c:v>150.451088612135</c:v>
                </c:pt>
                <c:pt idx="82">
                  <c:v>150.980348913238</c:v>
                </c:pt>
                <c:pt idx="83">
                  <c:v>151.39565416408</c:v>
                </c:pt>
                <c:pt idx="84">
                  <c:v>151.712066880801</c:v>
                </c:pt>
                <c:pt idx="85">
                  <c:v>151.955394632273</c:v>
                </c:pt>
                <c:pt idx="86">
                  <c:v>152.151798129168</c:v>
                </c:pt>
                <c:pt idx="87">
                  <c:v>152.324982897744</c:v>
                </c:pt>
                <c:pt idx="88">
                  <c:v>152.495333156898</c:v>
                </c:pt>
                <c:pt idx="89">
                  <c:v>152.674676605044</c:v>
                </c:pt>
                <c:pt idx="90">
                  <c:v>152.867032129812</c:v>
                </c:pt>
                <c:pt idx="91">
                  <c:v>153.074967271097</c:v>
                </c:pt>
                <c:pt idx="92">
                  <c:v>153.301798671806</c:v>
                </c:pt>
                <c:pt idx="93">
                  <c:v>153.547925245156</c:v>
                </c:pt>
                <c:pt idx="94">
                  <c:v>153.811460810159</c:v>
                </c:pt>
                <c:pt idx="95">
                  <c:v>154.088014581613</c:v>
                </c:pt>
                <c:pt idx="96">
                  <c:v>154.369942010638</c:v>
                </c:pt>
                <c:pt idx="97">
                  <c:v>154.655612627235</c:v>
                </c:pt>
              </c:numCache>
            </c:numRef>
          </c:val>
          <c:smooth val="0"/>
        </c:ser>
        <c:hiLowLines>
          <c:spPr>
            <a:ln w="0">
              <a:noFill/>
            </a:ln>
          </c:spPr>
        </c:hiLowLines>
        <c:marker val="0"/>
        <c:axId val="40847683"/>
        <c:axId val="13249053"/>
      </c:lineChart>
      <c:catAx>
        <c:axId val="408476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249053"/>
        <c:crosses val="autoZero"/>
        <c:auto val="1"/>
        <c:lblAlgn val="ctr"/>
        <c:lblOffset val="100"/>
        <c:noMultiLvlLbl val="0"/>
      </c:catAx>
      <c:valAx>
        <c:axId val="1324905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84768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EMAE momentum — y/y vs 3m/3m annualised</a:t>
            </a:r>
          </a:p>
        </c:rich>
      </c:tx>
      <c:overlay val="0"/>
      <c:spPr>
        <a:noFill/>
        <a:ln w="0">
          <a:noFill/>
        </a:ln>
      </c:spPr>
    </c:title>
    <c:autoTitleDeleted val="0"/>
    <c:plotArea>
      <c:lineChart>
        <c:grouping val="standard"/>
        <c:varyColors val="0"/>
        <c:ser>
          <c:idx val="0"/>
          <c:order val="0"/>
          <c:tx>
            <c:strRef>
              <c:f>"y/y"</c:f>
              <c:strCache>
                <c:ptCount val="1"/>
                <c:pt idx="0">
                  <c:v>y/y</c:v>
                </c:pt>
              </c:strCache>
            </c:strRef>
          </c:tx>
          <c:spPr>
            <a:solidFill>
              <a:srgbClr val="2f5c8f"/>
            </a:solidFill>
            <a:ln w="2412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EMAE!$B$178:$B$274</c:f>
              <c:strCache>
                <c:ptCount val="97"/>
                <c:pt idx="0">
                  <c:v>2018-05</c:v>
                </c:pt>
                <c:pt idx="1">
                  <c:v>2018-06</c:v>
                </c:pt>
                <c:pt idx="2">
                  <c:v>2018-07</c:v>
                </c:pt>
                <c:pt idx="3">
                  <c:v>2018-08</c:v>
                </c:pt>
                <c:pt idx="4">
                  <c:v>2018-09</c:v>
                </c:pt>
                <c:pt idx="5">
                  <c:v>2018-10</c:v>
                </c:pt>
                <c:pt idx="6">
                  <c:v>2018-11</c:v>
                </c:pt>
                <c:pt idx="7">
                  <c:v>2018-12</c:v>
                </c:pt>
                <c:pt idx="8">
                  <c:v>2019-01</c:v>
                </c:pt>
                <c:pt idx="9">
                  <c:v>2019-02</c:v>
                </c:pt>
                <c:pt idx="10">
                  <c:v>2019-03</c:v>
                </c:pt>
                <c:pt idx="11">
                  <c:v>2019-04</c:v>
                </c:pt>
                <c:pt idx="12">
                  <c:v>2019-05</c:v>
                </c:pt>
                <c:pt idx="13">
                  <c:v>2019-06</c:v>
                </c:pt>
                <c:pt idx="14">
                  <c:v>2019-07</c:v>
                </c:pt>
                <c:pt idx="15">
                  <c:v>2019-08</c:v>
                </c:pt>
                <c:pt idx="16">
                  <c:v>2019-09</c:v>
                </c:pt>
                <c:pt idx="17">
                  <c:v>2019-10</c:v>
                </c:pt>
                <c:pt idx="18">
                  <c:v>2019-11</c:v>
                </c:pt>
                <c:pt idx="19">
                  <c:v>2019-12</c:v>
                </c:pt>
                <c:pt idx="20">
                  <c:v>2020-01</c:v>
                </c:pt>
                <c:pt idx="21">
                  <c:v>2020-02</c:v>
                </c:pt>
                <c:pt idx="22">
                  <c:v>2020-03</c:v>
                </c:pt>
                <c:pt idx="23">
                  <c:v>2020-04</c:v>
                </c:pt>
                <c:pt idx="24">
                  <c:v>2020-05</c:v>
                </c:pt>
                <c:pt idx="25">
                  <c:v>2020-06</c:v>
                </c:pt>
                <c:pt idx="26">
                  <c:v>2020-07</c:v>
                </c:pt>
                <c:pt idx="27">
                  <c:v>2020-08</c:v>
                </c:pt>
                <c:pt idx="28">
                  <c:v>2020-09</c:v>
                </c:pt>
                <c:pt idx="29">
                  <c:v>2020-10</c:v>
                </c:pt>
                <c:pt idx="30">
                  <c:v>2020-11</c:v>
                </c:pt>
                <c:pt idx="31">
                  <c:v>2020-12</c:v>
                </c:pt>
                <c:pt idx="32">
                  <c:v>2021-01</c:v>
                </c:pt>
                <c:pt idx="33">
                  <c:v>2021-02</c:v>
                </c:pt>
                <c:pt idx="34">
                  <c:v>2021-03</c:v>
                </c:pt>
                <c:pt idx="35">
                  <c:v>2021-04</c:v>
                </c:pt>
                <c:pt idx="36">
                  <c:v>2021-05</c:v>
                </c:pt>
                <c:pt idx="37">
                  <c:v>2021-06</c:v>
                </c:pt>
                <c:pt idx="38">
                  <c:v>2021-07</c:v>
                </c:pt>
                <c:pt idx="39">
                  <c:v>2021-08</c:v>
                </c:pt>
                <c:pt idx="40">
                  <c:v>2021-09</c:v>
                </c:pt>
                <c:pt idx="41">
                  <c:v>2021-10</c:v>
                </c:pt>
                <c:pt idx="42">
                  <c:v>2021-11</c:v>
                </c:pt>
                <c:pt idx="43">
                  <c:v>2021-12</c:v>
                </c:pt>
                <c:pt idx="44">
                  <c:v>2022-01</c:v>
                </c:pt>
                <c:pt idx="45">
                  <c:v>2022-02</c:v>
                </c:pt>
                <c:pt idx="46">
                  <c:v>2022-03</c:v>
                </c:pt>
                <c:pt idx="47">
                  <c:v>2022-04</c:v>
                </c:pt>
                <c:pt idx="48">
                  <c:v>2022-05</c:v>
                </c:pt>
                <c:pt idx="49">
                  <c:v>2022-06</c:v>
                </c:pt>
                <c:pt idx="50">
                  <c:v>2022-07</c:v>
                </c:pt>
                <c:pt idx="51">
                  <c:v>2022-08</c:v>
                </c:pt>
                <c:pt idx="52">
                  <c:v>2022-09</c:v>
                </c:pt>
                <c:pt idx="53">
                  <c:v>2022-10</c:v>
                </c:pt>
                <c:pt idx="54">
                  <c:v>2022-11</c:v>
                </c:pt>
                <c:pt idx="55">
                  <c:v>2022-12</c:v>
                </c:pt>
                <c:pt idx="56">
                  <c:v>2023-01</c:v>
                </c:pt>
                <c:pt idx="57">
                  <c:v>2023-02</c:v>
                </c:pt>
                <c:pt idx="58">
                  <c:v>2023-03</c:v>
                </c:pt>
                <c:pt idx="59">
                  <c:v>2023-04</c:v>
                </c:pt>
                <c:pt idx="60">
                  <c:v>2023-05</c:v>
                </c:pt>
                <c:pt idx="61">
                  <c:v>2023-06</c:v>
                </c:pt>
                <c:pt idx="62">
                  <c:v>2023-07</c:v>
                </c:pt>
                <c:pt idx="63">
                  <c:v>2023-08</c:v>
                </c:pt>
                <c:pt idx="64">
                  <c:v>2023-09</c:v>
                </c:pt>
                <c:pt idx="65">
                  <c:v>2023-10</c:v>
                </c:pt>
                <c:pt idx="66">
                  <c:v>2023-11</c:v>
                </c:pt>
                <c:pt idx="67">
                  <c:v>2023-12</c:v>
                </c:pt>
                <c:pt idx="68">
                  <c:v>2024-01</c:v>
                </c:pt>
                <c:pt idx="69">
                  <c:v>2024-02</c:v>
                </c:pt>
                <c:pt idx="70">
                  <c:v>2024-03</c:v>
                </c:pt>
                <c:pt idx="71">
                  <c:v>2024-04</c:v>
                </c:pt>
                <c:pt idx="72">
                  <c:v>2024-05</c:v>
                </c:pt>
                <c:pt idx="73">
                  <c:v>2024-06</c:v>
                </c:pt>
                <c:pt idx="74">
                  <c:v>2024-07</c:v>
                </c:pt>
                <c:pt idx="75">
                  <c:v>2024-08</c:v>
                </c:pt>
                <c:pt idx="76">
                  <c:v>2024-09</c:v>
                </c:pt>
                <c:pt idx="77">
                  <c:v>2024-10</c:v>
                </c:pt>
                <c:pt idx="78">
                  <c:v>2024-11</c:v>
                </c:pt>
                <c:pt idx="79">
                  <c:v>2024-12</c:v>
                </c:pt>
                <c:pt idx="80">
                  <c:v>2025-01</c:v>
                </c:pt>
                <c:pt idx="81">
                  <c:v>2025-02</c:v>
                </c:pt>
                <c:pt idx="82">
                  <c:v>2025-03</c:v>
                </c:pt>
                <c:pt idx="83">
                  <c:v>2025-04</c:v>
                </c:pt>
                <c:pt idx="84">
                  <c:v>2025-05</c:v>
                </c:pt>
                <c:pt idx="85">
                  <c:v>2025-06</c:v>
                </c:pt>
                <c:pt idx="86">
                  <c:v>2025-07</c:v>
                </c:pt>
                <c:pt idx="87">
                  <c:v>2025-08</c:v>
                </c:pt>
                <c:pt idx="88">
                  <c:v>2025-09</c:v>
                </c:pt>
                <c:pt idx="89">
                  <c:v>2025-10</c:v>
                </c:pt>
                <c:pt idx="90">
                  <c:v>2025-11</c:v>
                </c:pt>
                <c:pt idx="91">
                  <c:v>2025-12</c:v>
                </c:pt>
                <c:pt idx="92">
                  <c:v>2026-01</c:v>
                </c:pt>
                <c:pt idx="93">
                  <c:v>2026-02</c:v>
                </c:pt>
                <c:pt idx="94">
                  <c:v>2026-03</c:v>
                </c:pt>
                <c:pt idx="95">
                  <c:v>2026-04</c:v>
                </c:pt>
                <c:pt idx="96">
                  <c:v>2026-05</c:v>
                </c:pt>
              </c:strCache>
            </c:strRef>
          </c:cat>
          <c:val>
            <c:numRef>
              <c:f>EMAE!$H$177:$H$274</c:f>
              <c:numCache>
                <c:formatCode>0.0%</c:formatCode>
                <c:ptCount val="98"/>
                <c:pt idx="0">
                  <c:v>-0.00277598530643663</c:v>
                </c:pt>
                <c:pt idx="1">
                  <c:v>-0.0523936012245252</c:v>
                </c:pt>
                <c:pt idx="2">
                  <c:v>-0.0615386720471779</c:v>
                </c:pt>
                <c:pt idx="3">
                  <c:v>-0.0288912235424669</c:v>
                </c:pt>
                <c:pt idx="4">
                  <c:v>-0.0166786842831712</c:v>
                </c:pt>
                <c:pt idx="5">
                  <c:v>-0.0590217432481902</c:v>
                </c:pt>
                <c:pt idx="6">
                  <c:v>-0.043797115432037</c:v>
                </c:pt>
                <c:pt idx="7">
                  <c:v>-0.0745996888613103</c:v>
                </c:pt>
                <c:pt idx="8">
                  <c:v>-0.0717504160752349</c:v>
                </c:pt>
                <c:pt idx="9">
                  <c:v>-0.0574794752231508</c:v>
                </c:pt>
                <c:pt idx="10">
                  <c:v>-0.0471851621181785</c:v>
                </c:pt>
                <c:pt idx="11">
                  <c:v>-0.0698976770065675</c:v>
                </c:pt>
                <c:pt idx="12">
                  <c:v>-0.0106142710489934</c:v>
                </c:pt>
                <c:pt idx="13">
                  <c:v>0.0286338372370498</c:v>
                </c:pt>
                <c:pt idx="14">
                  <c:v>-0.00176536076057299</c:v>
                </c:pt>
                <c:pt idx="15">
                  <c:v>0.00557334589749381</c:v>
                </c:pt>
                <c:pt idx="16">
                  <c:v>-0.037399853154114</c:v>
                </c:pt>
                <c:pt idx="17">
                  <c:v>-0.0208317582395886</c:v>
                </c:pt>
                <c:pt idx="18">
                  <c:v>-0.00842839370110693</c:v>
                </c:pt>
                <c:pt idx="19">
                  <c:v>-0.0200620909027988</c:v>
                </c:pt>
                <c:pt idx="20">
                  <c:v>-0.00357031685797959</c:v>
                </c:pt>
                <c:pt idx="21">
                  <c:v>-0.00479539020720798</c:v>
                </c:pt>
                <c:pt idx="22">
                  <c:v>-0.024905892886697</c:v>
                </c:pt>
                <c:pt idx="23">
                  <c:v>-0.115561658853523</c:v>
                </c:pt>
                <c:pt idx="24">
                  <c:v>-0.244277681326757</c:v>
                </c:pt>
                <c:pt idx="25">
                  <c:v>-0.201699752491127</c:v>
                </c:pt>
                <c:pt idx="26">
                  <c:v>-0.121550652659288</c:v>
                </c:pt>
                <c:pt idx="27">
                  <c:v>-0.13158285201463</c:v>
                </c:pt>
                <c:pt idx="28">
                  <c:v>-0.113911311548129</c:v>
                </c:pt>
                <c:pt idx="29">
                  <c:v>-0.0571037804097659</c:v>
                </c:pt>
                <c:pt idx="30">
                  <c:v>-0.0726763833293003</c:v>
                </c:pt>
                <c:pt idx="31">
                  <c:v>-0.0413957949896072</c:v>
                </c:pt>
                <c:pt idx="32">
                  <c:v>-0.0140742220614491</c:v>
                </c:pt>
                <c:pt idx="33">
                  <c:v>-0.0176975836215734</c:v>
                </c:pt>
                <c:pt idx="34">
                  <c:v>-0.0212010128954063</c:v>
                </c:pt>
                <c:pt idx="35">
                  <c:v>0.138411142228532</c:v>
                </c:pt>
                <c:pt idx="36">
                  <c:v>0.299976161702094</c:v>
                </c:pt>
                <c:pt idx="37">
                  <c:v>0.153703879702648</c:v>
                </c:pt>
                <c:pt idx="38">
                  <c:v>0.124188105789332</c:v>
                </c:pt>
                <c:pt idx="39">
                  <c:v>0.117384202927139</c:v>
                </c:pt>
                <c:pt idx="40">
                  <c:v>0.126142800752183</c:v>
                </c:pt>
                <c:pt idx="41">
                  <c:v>0.111036009811905</c:v>
                </c:pt>
                <c:pt idx="42">
                  <c:v>0.0621967002091257</c:v>
                </c:pt>
                <c:pt idx="43">
                  <c:v>0.088463249235869</c:v>
                </c:pt>
                <c:pt idx="44">
                  <c:v>0.0999258609467923</c:v>
                </c:pt>
                <c:pt idx="45">
                  <c:v>0.0617117498440043</c:v>
                </c:pt>
                <c:pt idx="46">
                  <c:v>0.0919701677261884</c:v>
                </c:pt>
                <c:pt idx="47">
                  <c:v>0.0546322283149583</c:v>
                </c:pt>
                <c:pt idx="48">
                  <c:v>0.070483355957446</c:v>
                </c:pt>
                <c:pt idx="49">
                  <c:v>0.0894364052584651</c:v>
                </c:pt>
                <c:pt idx="50">
                  <c:v>0.0837377449005134</c:v>
                </c:pt>
                <c:pt idx="51">
                  <c:v>0.0703486757445369</c:v>
                </c:pt>
                <c:pt idx="52">
                  <c:v>0.0744160496477324</c:v>
                </c:pt>
                <c:pt idx="53">
                  <c:v>0.0557571031563637</c:v>
                </c:pt>
                <c:pt idx="54">
                  <c:v>0.0504580126693119</c:v>
                </c:pt>
                <c:pt idx="55">
                  <c:v>0.0297639055677559</c:v>
                </c:pt>
                <c:pt idx="56">
                  <c:v>-0.00712540139377671</c:v>
                </c:pt>
                <c:pt idx="57">
                  <c:v>0.0243247741758439</c:v>
                </c:pt>
                <c:pt idx="58">
                  <c:v>-0.00422961783035059</c:v>
                </c:pt>
                <c:pt idx="59">
                  <c:v>0.00736800237821877</c:v>
                </c:pt>
                <c:pt idx="60">
                  <c:v>-0.0482182146937318</c:v>
                </c:pt>
                <c:pt idx="61">
                  <c:v>-0.0660547148630547</c:v>
                </c:pt>
                <c:pt idx="62">
                  <c:v>-0.0548720530578297</c:v>
                </c:pt>
                <c:pt idx="63">
                  <c:v>-0.0147086244567465</c:v>
                </c:pt>
                <c:pt idx="64">
                  <c:v>0.00301348968587889</c:v>
                </c:pt>
                <c:pt idx="65">
                  <c:v>-0.00510791611904538</c:v>
                </c:pt>
                <c:pt idx="66">
                  <c:v>0.00654649002399577</c:v>
                </c:pt>
                <c:pt idx="67">
                  <c:v>-0.0112418904166028</c:v>
                </c:pt>
                <c:pt idx="68">
                  <c:v>-0.0467789121670261</c:v>
                </c:pt>
                <c:pt idx="69">
                  <c:v>-0.0395797336055074</c:v>
                </c:pt>
                <c:pt idx="70">
                  <c:v>-0.0276976391620671</c:v>
                </c:pt>
                <c:pt idx="71">
                  <c:v>-0.0817030838410703</c:v>
                </c:pt>
                <c:pt idx="72">
                  <c:v>-0.0186767666297574</c:v>
                </c:pt>
                <c:pt idx="73">
                  <c:v>0.0192330035424979</c:v>
                </c:pt>
                <c:pt idx="74">
                  <c:v>-0.0343283737107417</c:v>
                </c:pt>
                <c:pt idx="75">
                  <c:v>-0.00367119526815407</c:v>
                </c:pt>
                <c:pt idx="76">
                  <c:v>-0.0305480855673461</c:v>
                </c:pt>
                <c:pt idx="77">
                  <c:v>-0.0243623729580976</c:v>
                </c:pt>
                <c:pt idx="78">
                  <c:v>0.00400056330835574</c:v>
                </c:pt>
                <c:pt idx="79">
                  <c:v>0.0123824988560759</c:v>
                </c:pt>
                <c:pt idx="80">
                  <c:v>0.0669929545298007</c:v>
                </c:pt>
                <c:pt idx="81">
                  <c:v>0.0664123366737808</c:v>
                </c:pt>
                <c:pt idx="82">
                  <c:v>0.059492175708362</c:v>
                </c:pt>
                <c:pt idx="83">
                  <c:v>0.057687319937239</c:v>
                </c:pt>
                <c:pt idx="84">
                  <c:v>0.079333455195413</c:v>
                </c:pt>
                <c:pt idx="85">
                  <c:v>0.0529794749699692</c:v>
                </c:pt>
                <c:pt idx="86">
                  <c:v>0.0640062899737099</c:v>
                </c:pt>
                <c:pt idx="87">
                  <c:v>0.0275207100374999</c:v>
                </c:pt>
                <c:pt idx="88">
                  <c:v>0.0210111396649437</c:v>
                </c:pt>
                <c:pt idx="89">
                  <c:v>0.0477141100611516</c:v>
                </c:pt>
                <c:pt idx="90">
                  <c:v>0.0319667179570291</c:v>
                </c:pt>
                <c:pt idx="91">
                  <c:v>-0.00139727991037042</c:v>
                </c:pt>
                <c:pt idx="92">
                  <c:v>0.034763571147868</c:v>
                </c:pt>
                <c:pt idx="93">
                  <c:v>0.020022287253102</c:v>
                </c:pt>
                <c:pt idx="94">
                  <c:v>-0.0148012728951289</c:v>
                </c:pt>
                <c:pt idx="95">
                  <c:v>0.062191681145205</c:v>
                </c:pt>
                <c:pt idx="96">
                  <c:v>0.016785730513188</c:v>
                </c:pt>
                <c:pt idx="97">
                  <c:v>0.00240358313621503</c:v>
                </c:pt>
              </c:numCache>
            </c:numRef>
          </c:val>
          <c:smooth val="0"/>
        </c:ser>
        <c:ser>
          <c:idx val="1"/>
          <c:order val="1"/>
          <c:tx>
            <c:strRef>
              <c:f>"3m/3m annualised"</c:f>
              <c:strCache>
                <c:ptCount val="1"/>
                <c:pt idx="0">
                  <c:v>3m/3m annualised</c:v>
                </c:pt>
              </c:strCache>
            </c:strRef>
          </c:tx>
          <c:spPr>
            <a:solidFill>
              <a:srgbClr val="d1495b"/>
            </a:solidFill>
            <a:ln w="24120">
              <a:solidFill>
                <a:srgbClr val="d149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EMAE!$B$178:$B$274</c:f>
              <c:strCache>
                <c:ptCount val="97"/>
                <c:pt idx="0">
                  <c:v>2018-05</c:v>
                </c:pt>
                <c:pt idx="1">
                  <c:v>2018-06</c:v>
                </c:pt>
                <c:pt idx="2">
                  <c:v>2018-07</c:v>
                </c:pt>
                <c:pt idx="3">
                  <c:v>2018-08</c:v>
                </c:pt>
                <c:pt idx="4">
                  <c:v>2018-09</c:v>
                </c:pt>
                <c:pt idx="5">
                  <c:v>2018-10</c:v>
                </c:pt>
                <c:pt idx="6">
                  <c:v>2018-11</c:v>
                </c:pt>
                <c:pt idx="7">
                  <c:v>2018-12</c:v>
                </c:pt>
                <c:pt idx="8">
                  <c:v>2019-01</c:v>
                </c:pt>
                <c:pt idx="9">
                  <c:v>2019-02</c:v>
                </c:pt>
                <c:pt idx="10">
                  <c:v>2019-03</c:v>
                </c:pt>
                <c:pt idx="11">
                  <c:v>2019-04</c:v>
                </c:pt>
                <c:pt idx="12">
                  <c:v>2019-05</c:v>
                </c:pt>
                <c:pt idx="13">
                  <c:v>2019-06</c:v>
                </c:pt>
                <c:pt idx="14">
                  <c:v>2019-07</c:v>
                </c:pt>
                <c:pt idx="15">
                  <c:v>2019-08</c:v>
                </c:pt>
                <c:pt idx="16">
                  <c:v>2019-09</c:v>
                </c:pt>
                <c:pt idx="17">
                  <c:v>2019-10</c:v>
                </c:pt>
                <c:pt idx="18">
                  <c:v>2019-11</c:v>
                </c:pt>
                <c:pt idx="19">
                  <c:v>2019-12</c:v>
                </c:pt>
                <c:pt idx="20">
                  <c:v>2020-01</c:v>
                </c:pt>
                <c:pt idx="21">
                  <c:v>2020-02</c:v>
                </c:pt>
                <c:pt idx="22">
                  <c:v>2020-03</c:v>
                </c:pt>
                <c:pt idx="23">
                  <c:v>2020-04</c:v>
                </c:pt>
                <c:pt idx="24">
                  <c:v>2020-05</c:v>
                </c:pt>
                <c:pt idx="25">
                  <c:v>2020-06</c:v>
                </c:pt>
                <c:pt idx="26">
                  <c:v>2020-07</c:v>
                </c:pt>
                <c:pt idx="27">
                  <c:v>2020-08</c:v>
                </c:pt>
                <c:pt idx="28">
                  <c:v>2020-09</c:v>
                </c:pt>
                <c:pt idx="29">
                  <c:v>2020-10</c:v>
                </c:pt>
                <c:pt idx="30">
                  <c:v>2020-11</c:v>
                </c:pt>
                <c:pt idx="31">
                  <c:v>2020-12</c:v>
                </c:pt>
                <c:pt idx="32">
                  <c:v>2021-01</c:v>
                </c:pt>
                <c:pt idx="33">
                  <c:v>2021-02</c:v>
                </c:pt>
                <c:pt idx="34">
                  <c:v>2021-03</c:v>
                </c:pt>
                <c:pt idx="35">
                  <c:v>2021-04</c:v>
                </c:pt>
                <c:pt idx="36">
                  <c:v>2021-05</c:v>
                </c:pt>
                <c:pt idx="37">
                  <c:v>2021-06</c:v>
                </c:pt>
                <c:pt idx="38">
                  <c:v>2021-07</c:v>
                </c:pt>
                <c:pt idx="39">
                  <c:v>2021-08</c:v>
                </c:pt>
                <c:pt idx="40">
                  <c:v>2021-09</c:v>
                </c:pt>
                <c:pt idx="41">
                  <c:v>2021-10</c:v>
                </c:pt>
                <c:pt idx="42">
                  <c:v>2021-11</c:v>
                </c:pt>
                <c:pt idx="43">
                  <c:v>2021-12</c:v>
                </c:pt>
                <c:pt idx="44">
                  <c:v>2022-01</c:v>
                </c:pt>
                <c:pt idx="45">
                  <c:v>2022-02</c:v>
                </c:pt>
                <c:pt idx="46">
                  <c:v>2022-03</c:v>
                </c:pt>
                <c:pt idx="47">
                  <c:v>2022-04</c:v>
                </c:pt>
                <c:pt idx="48">
                  <c:v>2022-05</c:v>
                </c:pt>
                <c:pt idx="49">
                  <c:v>2022-06</c:v>
                </c:pt>
                <c:pt idx="50">
                  <c:v>2022-07</c:v>
                </c:pt>
                <c:pt idx="51">
                  <c:v>2022-08</c:v>
                </c:pt>
                <c:pt idx="52">
                  <c:v>2022-09</c:v>
                </c:pt>
                <c:pt idx="53">
                  <c:v>2022-10</c:v>
                </c:pt>
                <c:pt idx="54">
                  <c:v>2022-11</c:v>
                </c:pt>
                <c:pt idx="55">
                  <c:v>2022-12</c:v>
                </c:pt>
                <c:pt idx="56">
                  <c:v>2023-01</c:v>
                </c:pt>
                <c:pt idx="57">
                  <c:v>2023-02</c:v>
                </c:pt>
                <c:pt idx="58">
                  <c:v>2023-03</c:v>
                </c:pt>
                <c:pt idx="59">
                  <c:v>2023-04</c:v>
                </c:pt>
                <c:pt idx="60">
                  <c:v>2023-05</c:v>
                </c:pt>
                <c:pt idx="61">
                  <c:v>2023-06</c:v>
                </c:pt>
                <c:pt idx="62">
                  <c:v>2023-07</c:v>
                </c:pt>
                <c:pt idx="63">
                  <c:v>2023-08</c:v>
                </c:pt>
                <c:pt idx="64">
                  <c:v>2023-09</c:v>
                </c:pt>
                <c:pt idx="65">
                  <c:v>2023-10</c:v>
                </c:pt>
                <c:pt idx="66">
                  <c:v>2023-11</c:v>
                </c:pt>
                <c:pt idx="67">
                  <c:v>2023-12</c:v>
                </c:pt>
                <c:pt idx="68">
                  <c:v>2024-01</c:v>
                </c:pt>
                <c:pt idx="69">
                  <c:v>2024-02</c:v>
                </c:pt>
                <c:pt idx="70">
                  <c:v>2024-03</c:v>
                </c:pt>
                <c:pt idx="71">
                  <c:v>2024-04</c:v>
                </c:pt>
                <c:pt idx="72">
                  <c:v>2024-05</c:v>
                </c:pt>
                <c:pt idx="73">
                  <c:v>2024-06</c:v>
                </c:pt>
                <c:pt idx="74">
                  <c:v>2024-07</c:v>
                </c:pt>
                <c:pt idx="75">
                  <c:v>2024-08</c:v>
                </c:pt>
                <c:pt idx="76">
                  <c:v>2024-09</c:v>
                </c:pt>
                <c:pt idx="77">
                  <c:v>2024-10</c:v>
                </c:pt>
                <c:pt idx="78">
                  <c:v>2024-11</c:v>
                </c:pt>
                <c:pt idx="79">
                  <c:v>2024-12</c:v>
                </c:pt>
                <c:pt idx="80">
                  <c:v>2025-01</c:v>
                </c:pt>
                <c:pt idx="81">
                  <c:v>2025-02</c:v>
                </c:pt>
                <c:pt idx="82">
                  <c:v>2025-03</c:v>
                </c:pt>
                <c:pt idx="83">
                  <c:v>2025-04</c:v>
                </c:pt>
                <c:pt idx="84">
                  <c:v>2025-05</c:v>
                </c:pt>
                <c:pt idx="85">
                  <c:v>2025-06</c:v>
                </c:pt>
                <c:pt idx="86">
                  <c:v>2025-07</c:v>
                </c:pt>
                <c:pt idx="87">
                  <c:v>2025-08</c:v>
                </c:pt>
                <c:pt idx="88">
                  <c:v>2025-09</c:v>
                </c:pt>
                <c:pt idx="89">
                  <c:v>2025-10</c:v>
                </c:pt>
                <c:pt idx="90">
                  <c:v>2025-11</c:v>
                </c:pt>
                <c:pt idx="91">
                  <c:v>2025-12</c:v>
                </c:pt>
                <c:pt idx="92">
                  <c:v>2026-01</c:v>
                </c:pt>
                <c:pt idx="93">
                  <c:v>2026-02</c:v>
                </c:pt>
                <c:pt idx="94">
                  <c:v>2026-03</c:v>
                </c:pt>
                <c:pt idx="95">
                  <c:v>2026-04</c:v>
                </c:pt>
                <c:pt idx="96">
                  <c:v>2026-05</c:v>
                </c:pt>
              </c:strCache>
            </c:strRef>
          </c:cat>
          <c:val>
            <c:numRef>
              <c:f>EMAE!$J$177:$J$274</c:f>
              <c:numCache>
                <c:formatCode>0.0%</c:formatCode>
                <c:ptCount val="98"/>
                <c:pt idx="0">
                  <c:v>-0.0460584596431989</c:v>
                </c:pt>
                <c:pt idx="1">
                  <c:v>-0.105592976765524</c:v>
                </c:pt>
                <c:pt idx="2">
                  <c:v>-0.165306552770463</c:v>
                </c:pt>
                <c:pt idx="3">
                  <c:v>-0.159191220227963</c:v>
                </c:pt>
                <c:pt idx="4">
                  <c:v>-0.0831557084351828</c:v>
                </c:pt>
                <c:pt idx="5">
                  <c:v>-0.0125142429007435</c:v>
                </c:pt>
                <c:pt idx="6">
                  <c:v>0.0173925240670929</c:v>
                </c:pt>
                <c:pt idx="7">
                  <c:v>-0.0451923049667869</c:v>
                </c:pt>
                <c:pt idx="8">
                  <c:v>-0.0543730096173177</c:v>
                </c:pt>
                <c:pt idx="9">
                  <c:v>-0.0738220218485638</c:v>
                </c:pt>
                <c:pt idx="10">
                  <c:v>-0.0126724423002544</c:v>
                </c:pt>
                <c:pt idx="11">
                  <c:v>0.000760329137473592</c:v>
                </c:pt>
                <c:pt idx="12">
                  <c:v>0.0332229411424401</c:v>
                </c:pt>
                <c:pt idx="13">
                  <c:v>0.0252807661940724</c:v>
                </c:pt>
                <c:pt idx="14">
                  <c:v>0.0395250484116418</c:v>
                </c:pt>
                <c:pt idx="15">
                  <c:v>0.0589762730668426</c:v>
                </c:pt>
                <c:pt idx="16">
                  <c:v>0.0469391250725506</c:v>
                </c:pt>
                <c:pt idx="17">
                  <c:v>-0.00272486440535635</c:v>
                </c:pt>
                <c:pt idx="18">
                  <c:v>-0.0502100239136853</c:v>
                </c:pt>
                <c:pt idx="19">
                  <c:v>-0.0839261676237887</c:v>
                </c:pt>
                <c:pt idx="20">
                  <c:v>-0.0578491843426267</c:v>
                </c:pt>
                <c:pt idx="21">
                  <c:v>-0.0654810537038676</c:v>
                </c:pt>
                <c:pt idx="22">
                  <c:v>-0.0428609511644922</c:v>
                </c:pt>
                <c:pt idx="23">
                  <c:v>-0.162051651601957</c:v>
                </c:pt>
                <c:pt idx="24">
                  <c:v>-0.399046457821638</c:v>
                </c:pt>
                <c:pt idx="25">
                  <c:v>-0.52509778768865</c:v>
                </c:pt>
                <c:pt idx="26">
                  <c:v>-0.465353191009431</c:v>
                </c:pt>
                <c:pt idx="27">
                  <c:v>-0.0401818225431326</c:v>
                </c:pt>
                <c:pt idx="28">
                  <c:v>0.393283448744947</c:v>
                </c:pt>
                <c:pt idx="29">
                  <c:v>0.518414694274899</c:v>
                </c:pt>
                <c:pt idx="30">
                  <c:v>0.305296777043157</c:v>
                </c:pt>
                <c:pt idx="31">
                  <c:v>0.224709575871254</c:v>
                </c:pt>
                <c:pt idx="32">
                  <c:v>0.217172201790133</c:v>
                </c:pt>
                <c:pt idx="33">
                  <c:v>0.203619760020305</c:v>
                </c:pt>
                <c:pt idx="34">
                  <c:v>0.170093656588595</c:v>
                </c:pt>
                <c:pt idx="35">
                  <c:v>0.142860243213655</c:v>
                </c:pt>
                <c:pt idx="36">
                  <c:v>0.067389070984103</c:v>
                </c:pt>
                <c:pt idx="37">
                  <c:v>0.0392304840709368</c:v>
                </c:pt>
                <c:pt idx="38">
                  <c:v>0.00680531687923258</c:v>
                </c:pt>
                <c:pt idx="39">
                  <c:v>0.0320846651451927</c:v>
                </c:pt>
                <c:pt idx="40">
                  <c:v>0.0700848494534068</c:v>
                </c:pt>
                <c:pt idx="41">
                  <c:v>0.090379952443131</c:v>
                </c:pt>
                <c:pt idx="42">
                  <c:v>0.0890033336208267</c:v>
                </c:pt>
                <c:pt idx="43">
                  <c:v>0.067602094021999</c:v>
                </c:pt>
                <c:pt idx="44">
                  <c:v>0.0957557816816352</c:v>
                </c:pt>
                <c:pt idx="45">
                  <c:v>0.127375941780761</c:v>
                </c:pt>
                <c:pt idx="46">
                  <c:v>0.153099294281924</c:v>
                </c:pt>
                <c:pt idx="47">
                  <c:v>0.102055902354857</c:v>
                </c:pt>
                <c:pt idx="48">
                  <c:v>0.0854563995815953</c:v>
                </c:pt>
                <c:pt idx="49">
                  <c:v>0.0509916458227655</c:v>
                </c:pt>
                <c:pt idx="50">
                  <c:v>0.0820097542621188</c:v>
                </c:pt>
                <c:pt idx="51">
                  <c:v>0.0525017381468649</c:v>
                </c:pt>
                <c:pt idx="52">
                  <c:v>0.0357834674255575</c:v>
                </c:pt>
                <c:pt idx="53">
                  <c:v>-0.0298299943584538</c:v>
                </c:pt>
                <c:pt idx="54">
                  <c:v>-0.062874844757486</c:v>
                </c:pt>
                <c:pt idx="55">
                  <c:v>-0.0875369627272596</c:v>
                </c:pt>
                <c:pt idx="56">
                  <c:v>-0.0782026671377721</c:v>
                </c:pt>
                <c:pt idx="57">
                  <c:v>-0.0420656571210764</c:v>
                </c:pt>
                <c:pt idx="58">
                  <c:v>0.00355958489444452</c:v>
                </c:pt>
                <c:pt idx="59">
                  <c:v>0.0453494439787152</c:v>
                </c:pt>
                <c:pt idx="60">
                  <c:v>0.0134914851699131</c:v>
                </c:pt>
                <c:pt idx="61">
                  <c:v>-0.0432674733612711</c:v>
                </c:pt>
                <c:pt idx="62">
                  <c:v>-0.101439483839426</c:v>
                </c:pt>
                <c:pt idx="63">
                  <c:v>-0.0688987042324583</c:v>
                </c:pt>
                <c:pt idx="64">
                  <c:v>0.0106693396211899</c:v>
                </c:pt>
                <c:pt idx="65">
                  <c:v>0.0894784091807672</c:v>
                </c:pt>
                <c:pt idx="66">
                  <c:v>0.0691992255976297</c:v>
                </c:pt>
                <c:pt idx="67">
                  <c:v>-0.00668323030041995</c:v>
                </c:pt>
                <c:pt idx="68">
                  <c:v>-0.096302850856658</c:v>
                </c:pt>
                <c:pt idx="69">
                  <c:v>-0.127082651144844</c:v>
                </c:pt>
                <c:pt idx="70">
                  <c:v>-0.119193580728226</c:v>
                </c:pt>
                <c:pt idx="71">
                  <c:v>-0.0693956928634706</c:v>
                </c:pt>
                <c:pt idx="72">
                  <c:v>-0.0528013889517963</c:v>
                </c:pt>
                <c:pt idx="73">
                  <c:v>-0.0386894898163843</c:v>
                </c:pt>
                <c:pt idx="74">
                  <c:v>-0.0172659551206477</c:v>
                </c:pt>
                <c:pt idx="75">
                  <c:v>0.0658153429993329</c:v>
                </c:pt>
                <c:pt idx="76">
                  <c:v>0.125398462978479</c:v>
                </c:pt>
                <c:pt idx="77">
                  <c:v>0.150707616498277</c:v>
                </c:pt>
                <c:pt idx="78">
                  <c:v>0.103459794231396</c:v>
                </c:pt>
                <c:pt idx="79">
                  <c:v>0.0836314351762246</c:v>
                </c:pt>
                <c:pt idx="80">
                  <c:v>0.0785315345483972</c:v>
                </c:pt>
                <c:pt idx="81">
                  <c:v>0.0889098936932624</c:v>
                </c:pt>
                <c:pt idx="82">
                  <c:v>0.0855609255405621</c:v>
                </c:pt>
                <c:pt idx="83">
                  <c:v>0.0312585945701875</c:v>
                </c:pt>
                <c:pt idx="84">
                  <c:v>0.00932902284331627</c:v>
                </c:pt>
                <c:pt idx="85">
                  <c:v>-0.0256345520620876</c:v>
                </c:pt>
                <c:pt idx="86">
                  <c:v>0.0122110718928015</c:v>
                </c:pt>
                <c:pt idx="87">
                  <c:v>-0.00142091382346898</c:v>
                </c:pt>
                <c:pt idx="88">
                  <c:v>0.00897936492401885</c:v>
                </c:pt>
                <c:pt idx="89">
                  <c:v>0.00477876609563932</c:v>
                </c:pt>
                <c:pt idx="90">
                  <c:v>0.0305094188372572</c:v>
                </c:pt>
                <c:pt idx="91">
                  <c:v>0.0389160632852696</c:v>
                </c:pt>
                <c:pt idx="92">
                  <c:v>0.0472690444048083</c:v>
                </c:pt>
                <c:pt idx="93">
                  <c:v>0.0598949338156225</c:v>
                </c:pt>
                <c:pt idx="94">
                  <c:v>0.0472221947666436</c:v>
                </c:pt>
                <c:pt idx="95">
                  <c:v>0.0301407010964005</c:v>
                </c:pt>
                <c:pt idx="96">
                  <c:v>-0.0148045578413785</c:v>
                </c:pt>
                <c:pt idx="97">
                  <c:v>-0.000199949651021547</c:v>
                </c:pt>
              </c:numCache>
            </c:numRef>
          </c:val>
          <c:smooth val="0"/>
        </c:ser>
        <c:hiLowLines>
          <c:spPr>
            <a:ln w="0">
              <a:noFill/>
            </a:ln>
          </c:spPr>
        </c:hiLowLines>
        <c:marker val="0"/>
        <c:axId val="42576410"/>
        <c:axId val="64986108"/>
      </c:lineChart>
      <c:catAx>
        <c:axId val="425764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986108"/>
        <c:crosses val="autoZero"/>
        <c:auto val="1"/>
        <c:lblAlgn val="ctr"/>
        <c:lblOffset val="100"/>
        <c:noMultiLvlLbl val="0"/>
      </c:catAx>
      <c:valAx>
        <c:axId val="64986108"/>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57641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Real GDP, seasonally adjusted level — realised and scenario paths</a:t>
            </a:r>
          </a:p>
        </c:rich>
      </c:tx>
      <c:overlay val="0"/>
      <c:spPr>
        <a:noFill/>
        <a:ln w="0">
          <a:noFill/>
        </a:ln>
      </c:spPr>
    </c:title>
    <c:autoTitleDeleted val="0"/>
    <c:plotArea>
      <c:lineChart>
        <c:grouping val="standard"/>
        <c:varyColors val="0"/>
        <c:ser>
          <c:idx val="0"/>
          <c:order val="0"/>
          <c:tx>
            <c:strRef>
              <c:f>"Bull"</c:f>
              <c:strCache>
                <c:ptCount val="1"/>
                <c:pt idx="0">
                  <c:v>Bull</c:v>
                </c:pt>
              </c:strCache>
            </c:strRef>
          </c:tx>
          <c:spPr>
            <a:solidFill>
              <a:srgbClr val="4f9d69"/>
            </a:solidFill>
            <a:ln w="25920">
              <a:solidFill>
                <a:srgbClr val="4f9d6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Forecast!$B$7:$B$22</c:f>
              <c:strCache>
                <c:ptCount val="16"/>
                <c:pt idx="0">
                  <c:v>2024-Q1</c:v>
                </c:pt>
                <c:pt idx="1">
                  <c:v>2024-Q2</c:v>
                </c:pt>
                <c:pt idx="2">
                  <c:v>2024-Q3</c:v>
                </c:pt>
                <c:pt idx="3">
                  <c:v>2024-Q4</c:v>
                </c:pt>
                <c:pt idx="4">
                  <c:v>2025-Q1</c:v>
                </c:pt>
                <c:pt idx="5">
                  <c:v>2025-Q2</c:v>
                </c:pt>
                <c:pt idx="6">
                  <c:v>2025-Q3</c:v>
                </c:pt>
                <c:pt idx="7">
                  <c:v>2025-Q4</c:v>
                </c:pt>
                <c:pt idx="8">
                  <c:v>2026-Q1</c:v>
                </c:pt>
                <c:pt idx="9">
                  <c:v>2026-Q2</c:v>
                </c:pt>
                <c:pt idx="10">
                  <c:v>2026-Q3</c:v>
                </c:pt>
                <c:pt idx="11">
                  <c:v>2026-Q4</c:v>
                </c:pt>
                <c:pt idx="12">
                  <c:v>2027-Q1</c:v>
                </c:pt>
                <c:pt idx="13">
                  <c:v>2027-Q2</c:v>
                </c:pt>
                <c:pt idx="14">
                  <c:v>2027-Q3</c:v>
                </c:pt>
                <c:pt idx="15">
                  <c:v>2027-Q4</c:v>
                </c:pt>
              </c:strCache>
            </c:strRef>
          </c:cat>
          <c:val>
            <c:numRef>
              <c:f>Forecast!$G$6:$G$22</c:f>
              <c:numCache>
                <c:formatCode>#,##0;\(#,##0\);\-</c:formatCode>
                <c:ptCount val="17"/>
                <c:pt idx="1">
                  <c:v>694486.099548666</c:v>
                </c:pt>
                <c:pt idx="2">
                  <c:v>691468.75067544</c:v>
                </c:pt>
                <c:pt idx="3">
                  <c:v>716166.17456056</c:v>
                </c:pt>
                <c:pt idx="4">
                  <c:v>729830.513449387</c:v>
                </c:pt>
                <c:pt idx="5">
                  <c:v>735468.221186163</c:v>
                </c:pt>
                <c:pt idx="6">
                  <c:v>737703.226466656</c:v>
                </c:pt>
                <c:pt idx="7">
                  <c:v>738582.979274483</c:v>
                </c:pt>
                <c:pt idx="8">
                  <c:v>747160.427183255</c:v>
                </c:pt>
                <c:pt idx="9">
                  <c:v>752727.873729265</c:v>
                </c:pt>
                <c:pt idx="10">
                  <c:v>762513.336087746</c:v>
                </c:pt>
                <c:pt idx="11">
                  <c:v>773188.522792974</c:v>
                </c:pt>
                <c:pt idx="12">
                  <c:v>784013.162112076</c:v>
                </c:pt>
                <c:pt idx="13">
                  <c:v>794205.333219533</c:v>
                </c:pt>
                <c:pt idx="14">
                  <c:v>803735.797218167</c:v>
                </c:pt>
                <c:pt idx="15">
                  <c:v>813380.626784785</c:v>
                </c:pt>
                <c:pt idx="16">
                  <c:v>822327.813679418</c:v>
                </c:pt>
              </c:numCache>
            </c:numRef>
          </c:val>
          <c:smooth val="0"/>
        </c:ser>
        <c:ser>
          <c:idx val="1"/>
          <c:order val="1"/>
          <c:tx>
            <c:strRef>
              <c:f>"Base"</c:f>
              <c:strCache>
                <c:ptCount val="1"/>
                <c:pt idx="0">
                  <c:v>Base</c:v>
                </c:pt>
              </c:strCache>
            </c:strRef>
          </c:tx>
          <c:spPr>
            <a:solidFill>
              <a:srgbClr val="2f5c8f"/>
            </a:solidFill>
            <a:ln w="25920">
              <a:solidFill>
                <a:srgbClr val="2f5c8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Forecast!$B$7:$B$22</c:f>
              <c:strCache>
                <c:ptCount val="16"/>
                <c:pt idx="0">
                  <c:v>2024-Q1</c:v>
                </c:pt>
                <c:pt idx="1">
                  <c:v>2024-Q2</c:v>
                </c:pt>
                <c:pt idx="2">
                  <c:v>2024-Q3</c:v>
                </c:pt>
                <c:pt idx="3">
                  <c:v>2024-Q4</c:v>
                </c:pt>
                <c:pt idx="4">
                  <c:v>2025-Q1</c:v>
                </c:pt>
                <c:pt idx="5">
                  <c:v>2025-Q2</c:v>
                </c:pt>
                <c:pt idx="6">
                  <c:v>2025-Q3</c:v>
                </c:pt>
                <c:pt idx="7">
                  <c:v>2025-Q4</c:v>
                </c:pt>
                <c:pt idx="8">
                  <c:v>2026-Q1</c:v>
                </c:pt>
                <c:pt idx="9">
                  <c:v>2026-Q2</c:v>
                </c:pt>
                <c:pt idx="10">
                  <c:v>2026-Q3</c:v>
                </c:pt>
                <c:pt idx="11">
                  <c:v>2026-Q4</c:v>
                </c:pt>
                <c:pt idx="12">
                  <c:v>2027-Q1</c:v>
                </c:pt>
                <c:pt idx="13">
                  <c:v>2027-Q2</c:v>
                </c:pt>
                <c:pt idx="14">
                  <c:v>2027-Q3</c:v>
                </c:pt>
                <c:pt idx="15">
                  <c:v>2027-Q4</c:v>
                </c:pt>
              </c:strCache>
            </c:strRef>
          </c:cat>
          <c:val>
            <c:numRef>
              <c:f>Forecast!$H$6:$H$22</c:f>
              <c:numCache>
                <c:formatCode>#,##0;\(#,##0\);\-</c:formatCode>
                <c:ptCount val="17"/>
                <c:pt idx="1">
                  <c:v>694486.099548666</c:v>
                </c:pt>
                <c:pt idx="2">
                  <c:v>691468.75067544</c:v>
                </c:pt>
                <c:pt idx="3">
                  <c:v>716166.17456056</c:v>
                </c:pt>
                <c:pt idx="4">
                  <c:v>729830.513449387</c:v>
                </c:pt>
                <c:pt idx="5">
                  <c:v>735468.221186163</c:v>
                </c:pt>
                <c:pt idx="6">
                  <c:v>737703.226466656</c:v>
                </c:pt>
                <c:pt idx="7">
                  <c:v>738582.979274483</c:v>
                </c:pt>
                <c:pt idx="8">
                  <c:v>747160.427183255</c:v>
                </c:pt>
                <c:pt idx="9">
                  <c:v>752727.873729265</c:v>
                </c:pt>
                <c:pt idx="10">
                  <c:v>758749.6967191</c:v>
                </c:pt>
                <c:pt idx="11">
                  <c:v>765578.443989571</c:v>
                </c:pt>
                <c:pt idx="12">
                  <c:v>772468.649985477</c:v>
                </c:pt>
                <c:pt idx="13">
                  <c:v>778648.399185361</c:v>
                </c:pt>
                <c:pt idx="14">
                  <c:v>784877.586378844</c:v>
                </c:pt>
                <c:pt idx="15">
                  <c:v>791156.607069875</c:v>
                </c:pt>
                <c:pt idx="16">
                  <c:v>796694.703319364</c:v>
                </c:pt>
              </c:numCache>
            </c:numRef>
          </c:val>
          <c:smooth val="0"/>
        </c:ser>
        <c:ser>
          <c:idx val="2"/>
          <c:order val="2"/>
          <c:tx>
            <c:strRef>
              <c:f>"Bear"</c:f>
              <c:strCache>
                <c:ptCount val="1"/>
                <c:pt idx="0">
                  <c:v>Bear</c:v>
                </c:pt>
              </c:strCache>
            </c:strRef>
          </c:tx>
          <c:spPr>
            <a:solidFill>
              <a:srgbClr val="d1495b"/>
            </a:solidFill>
            <a:ln w="25920">
              <a:solidFill>
                <a:srgbClr val="d1495b"/>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Forecast!$B$7:$B$22</c:f>
              <c:strCache>
                <c:ptCount val="16"/>
                <c:pt idx="0">
                  <c:v>2024-Q1</c:v>
                </c:pt>
                <c:pt idx="1">
                  <c:v>2024-Q2</c:v>
                </c:pt>
                <c:pt idx="2">
                  <c:v>2024-Q3</c:v>
                </c:pt>
                <c:pt idx="3">
                  <c:v>2024-Q4</c:v>
                </c:pt>
                <c:pt idx="4">
                  <c:v>2025-Q1</c:v>
                </c:pt>
                <c:pt idx="5">
                  <c:v>2025-Q2</c:v>
                </c:pt>
                <c:pt idx="6">
                  <c:v>2025-Q3</c:v>
                </c:pt>
                <c:pt idx="7">
                  <c:v>2025-Q4</c:v>
                </c:pt>
                <c:pt idx="8">
                  <c:v>2026-Q1</c:v>
                </c:pt>
                <c:pt idx="9">
                  <c:v>2026-Q2</c:v>
                </c:pt>
                <c:pt idx="10">
                  <c:v>2026-Q3</c:v>
                </c:pt>
                <c:pt idx="11">
                  <c:v>2026-Q4</c:v>
                </c:pt>
                <c:pt idx="12">
                  <c:v>2027-Q1</c:v>
                </c:pt>
                <c:pt idx="13">
                  <c:v>2027-Q2</c:v>
                </c:pt>
                <c:pt idx="14">
                  <c:v>2027-Q3</c:v>
                </c:pt>
                <c:pt idx="15">
                  <c:v>2027-Q4</c:v>
                </c:pt>
              </c:strCache>
            </c:strRef>
          </c:cat>
          <c:val>
            <c:numRef>
              <c:f>Forecast!$I$6:$I$22</c:f>
              <c:numCache>
                <c:formatCode>#,##0;\(#,##0\);\-</c:formatCode>
                <c:ptCount val="17"/>
                <c:pt idx="1">
                  <c:v>694486.099548666</c:v>
                </c:pt>
                <c:pt idx="2">
                  <c:v>691468.75067544</c:v>
                </c:pt>
                <c:pt idx="3">
                  <c:v>716166.17456056</c:v>
                </c:pt>
                <c:pt idx="4">
                  <c:v>729830.513449387</c:v>
                </c:pt>
                <c:pt idx="5">
                  <c:v>735468.221186163</c:v>
                </c:pt>
                <c:pt idx="6">
                  <c:v>737703.226466656</c:v>
                </c:pt>
                <c:pt idx="7">
                  <c:v>738582.979274483</c:v>
                </c:pt>
                <c:pt idx="8">
                  <c:v>747160.427183255</c:v>
                </c:pt>
                <c:pt idx="9">
                  <c:v>752727.873729265</c:v>
                </c:pt>
                <c:pt idx="10">
                  <c:v>752727.873729265</c:v>
                </c:pt>
                <c:pt idx="11">
                  <c:v>750469.690108078</c:v>
                </c:pt>
                <c:pt idx="12">
                  <c:v>751220.159798186</c:v>
                </c:pt>
                <c:pt idx="13">
                  <c:v>753473.82027758</c:v>
                </c:pt>
                <c:pt idx="14">
                  <c:v>756487.71555869</c:v>
                </c:pt>
                <c:pt idx="15">
                  <c:v>760270.154136484</c:v>
                </c:pt>
                <c:pt idx="16">
                  <c:v>764071.504907166</c:v>
                </c:pt>
              </c:numCache>
            </c:numRef>
          </c:val>
          <c:smooth val="0"/>
        </c:ser>
        <c:hiLowLines>
          <c:spPr>
            <a:ln w="0">
              <a:noFill/>
            </a:ln>
          </c:spPr>
        </c:hiLowLines>
        <c:marker val="0"/>
        <c:axId val="9872922"/>
        <c:axId val="46109504"/>
      </c:lineChart>
      <c:catAx>
        <c:axId val="98729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109504"/>
        <c:crosses val="autoZero"/>
        <c:auto val="1"/>
        <c:lblAlgn val="ctr"/>
        <c:lblOffset val="100"/>
        <c:noMultiLvlLbl val="0"/>
      </c:catAx>
      <c:valAx>
        <c:axId val="4610950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729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4</xdr:row>
      <xdr:rowOff>0</xdr:rowOff>
    </xdr:from>
    <xdr:to>
      <xdr:col>31</xdr:col>
      <xdr:colOff>512640</xdr:colOff>
      <xdr:row>27</xdr:row>
      <xdr:rowOff>107640</xdr:rowOff>
    </xdr:to>
    <xdr:graphicFrame>
      <xdr:nvGraphicFramePr>
        <xdr:cNvPr id="0" name="Chart 1"/>
        <xdr:cNvGraphicFramePr/>
      </xdr:nvGraphicFramePr>
      <xdr:xfrm>
        <a:off x="8999280" y="895320"/>
        <a:ext cx="1151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31</xdr:row>
      <xdr:rowOff>0</xdr:rowOff>
    </xdr:from>
    <xdr:to>
      <xdr:col>31</xdr:col>
      <xdr:colOff>512640</xdr:colOff>
      <xdr:row>55</xdr:row>
      <xdr:rowOff>107640</xdr:rowOff>
    </xdr:to>
    <xdr:graphicFrame>
      <xdr:nvGraphicFramePr>
        <xdr:cNvPr id="1" name="Chart 2"/>
        <xdr:cNvGraphicFramePr/>
      </xdr:nvGraphicFramePr>
      <xdr:xfrm>
        <a:off x="8999280" y="6229440"/>
        <a:ext cx="1151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4</xdr:row>
      <xdr:rowOff>0</xdr:rowOff>
    </xdr:from>
    <xdr:to>
      <xdr:col>34</xdr:col>
      <xdr:colOff>403920</xdr:colOff>
      <xdr:row>25</xdr:row>
      <xdr:rowOff>109440</xdr:rowOff>
    </xdr:to>
    <xdr:graphicFrame>
      <xdr:nvGraphicFramePr>
        <xdr:cNvPr id="2" name="Chart 1"/>
        <xdr:cNvGraphicFramePr/>
      </xdr:nvGraphicFramePr>
      <xdr:xfrm>
        <a:off x="14003640" y="89532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28</xdr:row>
      <xdr:rowOff>0</xdr:rowOff>
    </xdr:from>
    <xdr:to>
      <xdr:col>34</xdr:col>
      <xdr:colOff>403920</xdr:colOff>
      <xdr:row>50</xdr:row>
      <xdr:rowOff>128520</xdr:rowOff>
    </xdr:to>
    <xdr:graphicFrame>
      <xdr:nvGraphicFramePr>
        <xdr:cNvPr id="3" name="Chart 2"/>
        <xdr:cNvGraphicFramePr/>
      </xdr:nvGraphicFramePr>
      <xdr:xfrm>
        <a:off x="14003640" y="5676840"/>
        <a:ext cx="1079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6</xdr:row>
      <xdr:rowOff>0</xdr:rowOff>
    </xdr:from>
    <xdr:to>
      <xdr:col>33</xdr:col>
      <xdr:colOff>9360</xdr:colOff>
      <xdr:row>31</xdr:row>
      <xdr:rowOff>86400</xdr:rowOff>
    </xdr:to>
    <xdr:graphicFrame>
      <xdr:nvGraphicFramePr>
        <xdr:cNvPr id="4" name="Chart 1"/>
        <xdr:cNvGraphicFramePr/>
      </xdr:nvGraphicFramePr>
      <xdr:xfrm>
        <a:off x="9563040" y="1276200"/>
        <a:ext cx="1223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97</xdr:row>
      <xdr:rowOff>0</xdr:rowOff>
    </xdr:from>
    <xdr:to>
      <xdr:col>33</xdr:col>
      <xdr:colOff>9360</xdr:colOff>
      <xdr:row>120</xdr:row>
      <xdr:rowOff>107640</xdr:rowOff>
    </xdr:to>
    <xdr:graphicFrame>
      <xdr:nvGraphicFramePr>
        <xdr:cNvPr id="5" name="Chart 2"/>
        <xdr:cNvGraphicFramePr/>
      </xdr:nvGraphicFramePr>
      <xdr:xfrm>
        <a:off x="9563040" y="18802440"/>
        <a:ext cx="12239640" cy="46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27</xdr:row>
      <xdr:rowOff>0</xdr:rowOff>
    </xdr:from>
    <xdr:to>
      <xdr:col>27</xdr:col>
      <xdr:colOff>196560</xdr:colOff>
      <xdr:row>49</xdr:row>
      <xdr:rowOff>128520</xdr:rowOff>
    </xdr:to>
    <xdr:graphicFrame>
      <xdr:nvGraphicFramePr>
        <xdr:cNvPr id="6" name="Chart 1"/>
        <xdr:cNvGraphicFramePr/>
      </xdr:nvGraphicFramePr>
      <xdr:xfrm>
        <a:off x="6955200" y="5657760"/>
        <a:ext cx="107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53</xdr:row>
      <xdr:rowOff>0</xdr:rowOff>
    </xdr:from>
    <xdr:to>
      <xdr:col>27</xdr:col>
      <xdr:colOff>196560</xdr:colOff>
      <xdr:row>75</xdr:row>
      <xdr:rowOff>128880</xdr:rowOff>
    </xdr:to>
    <xdr:graphicFrame>
      <xdr:nvGraphicFramePr>
        <xdr:cNvPr id="7" name="Chart 2"/>
        <xdr:cNvGraphicFramePr/>
      </xdr:nvGraphicFramePr>
      <xdr:xfrm>
        <a:off x="6955200" y="10611000"/>
        <a:ext cx="1079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5</xdr:row>
      <xdr:rowOff>0</xdr:rowOff>
    </xdr:from>
    <xdr:to>
      <xdr:col>26</xdr:col>
      <xdr:colOff>403920</xdr:colOff>
      <xdr:row>27</xdr:row>
      <xdr:rowOff>107640</xdr:rowOff>
    </xdr:to>
    <xdr:graphicFrame>
      <xdr:nvGraphicFramePr>
        <xdr:cNvPr id="8" name="Chart 1"/>
        <xdr:cNvGraphicFramePr/>
      </xdr:nvGraphicFramePr>
      <xdr:xfrm>
        <a:off x="12828240" y="1085760"/>
        <a:ext cx="1079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08"/>
  </cols>
  <sheetData>
    <row r="2" customFormat="false" ht="25.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7.75" hidden="false" customHeight="true" outlineLevel="0" collapsed="false">
      <c r="B6" s="4" t="s">
        <v>3</v>
      </c>
      <c r="C6" s="5" t="s">
        <v>4</v>
      </c>
    </row>
    <row r="7" customFormat="false" ht="27.75" hidden="false" customHeight="true" outlineLevel="0" collapsed="false">
      <c r="B7" s="4" t="s">
        <v>5</v>
      </c>
      <c r="C7" s="5" t="s">
        <v>6</v>
      </c>
    </row>
    <row r="8" customFormat="false" ht="13.5" hidden="false" customHeight="true" outlineLevel="0" collapsed="false">
      <c r="B8" s="4" t="s">
        <v>7</v>
      </c>
      <c r="C8" s="5" t="s">
        <v>8</v>
      </c>
    </row>
    <row r="9" customFormat="false" ht="27.75" hidden="false" customHeight="true" outlineLevel="0" collapsed="false">
      <c r="B9" s="4" t="s">
        <v>9</v>
      </c>
      <c r="C9" s="5" t="s">
        <v>10</v>
      </c>
    </row>
    <row r="10" customFormat="false" ht="42" hidden="false" customHeight="true" outlineLevel="0" collapsed="false">
      <c r="B10" s="4" t="s">
        <v>11</v>
      </c>
      <c r="C10" s="5" t="s">
        <v>12</v>
      </c>
    </row>
    <row r="11" customFormat="false" ht="13.5" hidden="false" customHeight="true" outlineLevel="0" collapsed="false">
      <c r="B11" s="4" t="s">
        <v>13</v>
      </c>
      <c r="C11" s="5" t="s">
        <v>14</v>
      </c>
    </row>
    <row r="12" customFormat="false" ht="27.75" hidden="false" customHeight="true" outlineLevel="0" collapsed="false">
      <c r="B12" s="4" t="s">
        <v>15</v>
      </c>
      <c r="C12" s="5" t="s">
        <v>16</v>
      </c>
    </row>
    <row r="13" customFormat="false" ht="27.75" hidden="false" customHeight="true" outlineLevel="0" collapsed="false">
      <c r="B13" s="4" t="s">
        <v>17</v>
      </c>
      <c r="C13" s="5" t="s">
        <v>18</v>
      </c>
    </row>
    <row r="14" customFormat="false" ht="15" hidden="false" customHeight="false" outlineLevel="0" collapsed="false">
      <c r="B14" s="3"/>
    </row>
    <row r="15" customFormat="false" ht="15" hidden="false" customHeight="false" outlineLevel="0" collapsed="false">
      <c r="B15" s="3" t="s">
        <v>19</v>
      </c>
    </row>
    <row r="16" customFormat="false" ht="55.5" hidden="false" customHeight="true" outlineLevel="0" collapsed="false">
      <c r="B16" s="4" t="s">
        <v>20</v>
      </c>
      <c r="C16" s="5" t="s">
        <v>21</v>
      </c>
    </row>
    <row r="17" customFormat="false" ht="69.75" hidden="false" customHeight="true" outlineLevel="0" collapsed="false">
      <c r="B17" s="4" t="s">
        <v>22</v>
      </c>
      <c r="C17" s="5" t="s">
        <v>23</v>
      </c>
    </row>
    <row r="18" customFormat="false" ht="15" hidden="false" customHeight="false" outlineLevel="0" collapsed="false">
      <c r="B18" s="3"/>
    </row>
    <row r="19" customFormat="false" ht="55.5" hidden="false" customHeight="true" outlineLevel="0" collapsed="false">
      <c r="B19" s="4" t="s">
        <v>24</v>
      </c>
      <c r="C19" s="5" t="s">
        <v>25</v>
      </c>
    </row>
    <row r="20" customFormat="false" ht="69.75" hidden="false" customHeight="true" outlineLevel="0" collapsed="false">
      <c r="B20" s="4" t="s">
        <v>26</v>
      </c>
      <c r="C20" s="5" t="s">
        <v>27</v>
      </c>
    </row>
    <row r="21" customFormat="false" ht="69.75" hidden="false" customHeight="true" outlineLevel="0" collapsed="false">
      <c r="B21" s="4" t="s">
        <v>28</v>
      </c>
      <c r="C21" s="5" t="s">
        <v>29</v>
      </c>
    </row>
    <row r="22" customFormat="false" ht="42" hidden="false" customHeight="true" outlineLevel="0" collapsed="false">
      <c r="B22" s="4" t="s">
        <v>30</v>
      </c>
      <c r="C22"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P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6" min="5" style="0" width="13"/>
    <col collapsed="false" customWidth="true" hidden="false" outlineLevel="0" max="7" min="7" style="0" width="12"/>
    <col collapsed="false" customWidth="true" hidden="false" outlineLevel="0" max="8" min="8" style="0" width="13"/>
    <col collapsed="false" customWidth="true" hidden="false" outlineLevel="0" max="12" min="9" style="0" width="12"/>
    <col collapsed="false" customWidth="true" hidden="false" outlineLevel="0" max="13" min="13" style="0" width="13"/>
    <col collapsed="false" customWidth="true" hidden="false" outlineLevel="0" max="14" min="14" style="0" width="11"/>
    <col collapsed="false" customWidth="true" hidden="false" outlineLevel="0" max="15" min="15" style="0" width="13"/>
    <col collapsed="false" customWidth="true" hidden="false" outlineLevel="0" max="16" min="16" style="0" width="10"/>
  </cols>
  <sheetData>
    <row r="2" customFormat="false" ht="25.5" hidden="false" customHeight="true" outlineLevel="0" collapsed="false">
      <c r="B2" s="1" t="s">
        <v>32</v>
      </c>
    </row>
    <row r="3" customFormat="false" ht="15" hidden="false" customHeight="false" outlineLevel="0" collapsed="false">
      <c r="B3" s="2" t="s">
        <v>33</v>
      </c>
    </row>
    <row r="5" customFormat="false" ht="30" hidden="false" customHeight="true" outlineLevel="0" collapsed="false">
      <c r="B5" s="6" t="s">
        <v>34</v>
      </c>
      <c r="C5" s="6" t="s">
        <v>35</v>
      </c>
      <c r="D5" s="6" t="s">
        <v>36</v>
      </c>
      <c r="E5" s="6" t="s">
        <v>37</v>
      </c>
      <c r="F5" s="6" t="s">
        <v>38</v>
      </c>
      <c r="G5" s="6" t="s">
        <v>39</v>
      </c>
      <c r="H5" s="6" t="s">
        <v>40</v>
      </c>
      <c r="I5" s="6" t="s">
        <v>41</v>
      </c>
      <c r="J5" s="6" t="s">
        <v>42</v>
      </c>
      <c r="K5" s="6" t="s">
        <v>43</v>
      </c>
      <c r="L5" s="6" t="s">
        <v>44</v>
      </c>
      <c r="M5" s="6" t="s">
        <v>45</v>
      </c>
      <c r="N5" s="6" t="s">
        <v>46</v>
      </c>
      <c r="O5" s="6" t="s">
        <v>47</v>
      </c>
      <c r="P5" s="6" t="s">
        <v>48</v>
      </c>
    </row>
    <row r="6" customFormat="false" ht="15" hidden="false" customHeight="false" outlineLevel="0" collapsed="false">
      <c r="B6" s="7" t="s">
        <v>49</v>
      </c>
      <c r="C6" s="8" t="n">
        <v>2004</v>
      </c>
      <c r="D6" s="8" t="n">
        <v>1</v>
      </c>
      <c r="E6" s="9" t="n">
        <v>460369.442232949</v>
      </c>
      <c r="F6" s="9" t="n">
        <v>305237.173405658</v>
      </c>
      <c r="G6" s="9" t="n">
        <v>49687.3421905805</v>
      </c>
      <c r="H6" s="9" t="n">
        <v>71794.4338534495</v>
      </c>
      <c r="I6" s="9" t="n">
        <v>3949.82125897095</v>
      </c>
      <c r="J6" s="9"/>
      <c r="K6" s="9" t="n">
        <v>102774.202981385</v>
      </c>
      <c r="L6" s="9" t="n">
        <v>73073.4348111269</v>
      </c>
      <c r="M6" s="10" t="n">
        <f aca="false">N(I6)+N(J6)</f>
        <v>3949.82125897095</v>
      </c>
      <c r="N6" s="11" t="n">
        <f aca="false">F6+G6+H6+M6+K6-L6-E6</f>
        <v>0.0966459686751477</v>
      </c>
      <c r="O6" s="10" t="n">
        <f aca="false">E6/4</f>
        <v>115092.360558237</v>
      </c>
    </row>
    <row r="7" customFormat="false" ht="15" hidden="false" customHeight="false" outlineLevel="0" collapsed="false">
      <c r="B7" s="7" t="s">
        <v>50</v>
      </c>
      <c r="C7" s="8" t="n">
        <v>2004</v>
      </c>
      <c r="D7" s="8" t="n">
        <v>2</v>
      </c>
      <c r="E7" s="9" t="n">
        <v>514395.681772362</v>
      </c>
      <c r="F7" s="9" t="n">
        <v>338800.001676425</v>
      </c>
      <c r="G7" s="9" t="n">
        <v>52072.2779572574</v>
      </c>
      <c r="H7" s="9" t="n">
        <v>81995.480315906</v>
      </c>
      <c r="I7" s="9" t="n">
        <v>2071.93313494791</v>
      </c>
      <c r="J7" s="9"/>
      <c r="K7" s="9" t="n">
        <v>119462.277411736</v>
      </c>
      <c r="L7" s="9" t="n">
        <v>80006.3072174586</v>
      </c>
      <c r="M7" s="10" t="n">
        <f aca="false">N(I7)+N(J7)</f>
        <v>2071.93313494791</v>
      </c>
      <c r="N7" s="11" t="n">
        <f aca="false">F7+G7+H7+M7+K7-L7-E7</f>
        <v>-0.018493547628168</v>
      </c>
      <c r="O7" s="10" t="n">
        <f aca="false">E7/4</f>
        <v>128598.92044309</v>
      </c>
    </row>
    <row r="8" customFormat="false" ht="15" hidden="false" customHeight="false" outlineLevel="0" collapsed="false">
      <c r="B8" s="7" t="s">
        <v>51</v>
      </c>
      <c r="C8" s="8" t="n">
        <v>2004</v>
      </c>
      <c r="D8" s="8" t="n">
        <v>3</v>
      </c>
      <c r="E8" s="9" t="n">
        <v>481151.979943508</v>
      </c>
      <c r="F8" s="9" t="n">
        <v>310440.574131467</v>
      </c>
      <c r="G8" s="9" t="n">
        <v>53720.8162568706</v>
      </c>
      <c r="H8" s="9" t="n">
        <v>79254.3138121634</v>
      </c>
      <c r="I8" s="9" t="n">
        <v>3533.15072300721</v>
      </c>
      <c r="J8" s="9"/>
      <c r="K8" s="9" t="n">
        <v>119619.171228104</v>
      </c>
      <c r="L8" s="9" t="n">
        <v>85416.0725211391</v>
      </c>
      <c r="M8" s="10" t="n">
        <f aca="false">N(I8)+N(J8)</f>
        <v>3533.15072300721</v>
      </c>
      <c r="N8" s="11" t="n">
        <f aca="false">F8+G8+H8+M8+K8-L8-E8</f>
        <v>-0.0263130345847458</v>
      </c>
      <c r="O8" s="10" t="n">
        <f aca="false">E8/4</f>
        <v>120287.994985877</v>
      </c>
    </row>
    <row r="9" customFormat="false" ht="15" hidden="false" customHeight="false" outlineLevel="0" collapsed="false">
      <c r="B9" s="7" t="s">
        <v>52</v>
      </c>
      <c r="C9" s="8" t="n">
        <v>2004</v>
      </c>
      <c r="D9" s="8" t="n">
        <v>4</v>
      </c>
      <c r="E9" s="9" t="n">
        <v>484543.676876562</v>
      </c>
      <c r="F9" s="9" t="n">
        <v>293849.793952049</v>
      </c>
      <c r="G9" s="9" t="n">
        <v>60194.7181754385</v>
      </c>
      <c r="H9" s="9" t="n">
        <v>75368.4804708384</v>
      </c>
      <c r="I9" s="9" t="n">
        <v>22607.9038444129</v>
      </c>
      <c r="J9" s="9"/>
      <c r="K9" s="9" t="n">
        <v>120898.050167106</v>
      </c>
      <c r="L9" s="9" t="n">
        <v>88375.3215726686</v>
      </c>
      <c r="M9" s="10" t="n">
        <f aca="false">N(I9)+N(J9)</f>
        <v>22607.9038444129</v>
      </c>
      <c r="N9" s="11" t="n">
        <f aca="false">F9+G9+H9+M9+K9-L9-E9</f>
        <v>-0.0518393864040263</v>
      </c>
      <c r="O9" s="10" t="n">
        <f aca="false">E9/4</f>
        <v>121135.919219141</v>
      </c>
    </row>
    <row r="10" customFormat="false" ht="15" hidden="false" customHeight="false" outlineLevel="0" collapsed="false">
      <c r="B10" s="7" t="s">
        <v>53</v>
      </c>
      <c r="C10" s="8" t="n">
        <v>2005</v>
      </c>
      <c r="D10" s="8" t="n">
        <v>1</v>
      </c>
      <c r="E10" s="9" t="n">
        <v>493602.530577855</v>
      </c>
      <c r="F10" s="9" t="n">
        <v>319799.762518322</v>
      </c>
      <c r="G10" s="9" t="n">
        <v>54179.3554716423</v>
      </c>
      <c r="H10" s="9" t="n">
        <v>80672.4347238578</v>
      </c>
      <c r="I10" s="9" t="n">
        <v>4668.82836740912</v>
      </c>
      <c r="J10" s="9"/>
      <c r="K10" s="9" t="n">
        <v>119186.926946566</v>
      </c>
      <c r="L10" s="9" t="n">
        <v>84904.7774499414</v>
      </c>
      <c r="M10" s="10" t="n">
        <f aca="false">N(I10)+N(J10)</f>
        <v>4668.82836740912</v>
      </c>
      <c r="N10" s="11" t="n">
        <f aca="false">F10+G10+H10+M10+K10-L10-E10</f>
        <v>0</v>
      </c>
      <c r="O10" s="10" t="n">
        <f aca="false">E10/4</f>
        <v>123400.632644464</v>
      </c>
      <c r="P10" s="12" t="n">
        <f aca="false">E10/E6-1</f>
        <v>0.0721878676041452</v>
      </c>
    </row>
    <row r="11" customFormat="false" ht="15" hidden="false" customHeight="false" outlineLevel="0" collapsed="false">
      <c r="B11" s="7" t="s">
        <v>54</v>
      </c>
      <c r="C11" s="8" t="n">
        <v>2005</v>
      </c>
      <c r="D11" s="8" t="n">
        <v>2</v>
      </c>
      <c r="E11" s="9" t="n">
        <v>581668.249879603</v>
      </c>
      <c r="F11" s="9" t="n">
        <v>385778.072110624</v>
      </c>
      <c r="G11" s="9" t="n">
        <v>58212.1719861102</v>
      </c>
      <c r="H11" s="9" t="n">
        <v>94508.3587079746</v>
      </c>
      <c r="I11" s="9" t="n">
        <v>2240.30238727623</v>
      </c>
      <c r="J11" s="9"/>
      <c r="K11" s="9" t="n">
        <v>138217.547983674</v>
      </c>
      <c r="L11" s="9" t="n">
        <v>97288.2032960568</v>
      </c>
      <c r="M11" s="10" t="n">
        <f aca="false">N(I11)+N(J11)</f>
        <v>2240.30238727623</v>
      </c>
      <c r="N11" s="11" t="n">
        <f aca="false">F11+G11+H11+M11+K11-L11-E11</f>
        <v>0</v>
      </c>
      <c r="O11" s="10" t="n">
        <f aca="false">E11/4</f>
        <v>145417.062469901</v>
      </c>
      <c r="P11" s="12" t="n">
        <f aca="false">E11/E7-1</f>
        <v>0.130779807239928</v>
      </c>
    </row>
    <row r="12" customFormat="false" ht="15" hidden="false" customHeight="false" outlineLevel="0" collapsed="false">
      <c r="B12" s="7" t="s">
        <v>55</v>
      </c>
      <c r="C12" s="8" t="n">
        <v>2005</v>
      </c>
      <c r="D12" s="8" t="n">
        <v>3</v>
      </c>
      <c r="E12" s="9" t="n">
        <v>514697.789505428</v>
      </c>
      <c r="F12" s="9" t="n">
        <v>323831.36566136</v>
      </c>
      <c r="G12" s="9" t="n">
        <v>58977.8392930552</v>
      </c>
      <c r="H12" s="9" t="n">
        <v>89948.6041671098</v>
      </c>
      <c r="I12" s="9" t="n">
        <v>3352.18034423108</v>
      </c>
      <c r="J12" s="9"/>
      <c r="K12" s="9" t="n">
        <v>135432.693076763</v>
      </c>
      <c r="L12" s="9" t="n">
        <v>96844.8930370905</v>
      </c>
      <c r="M12" s="10" t="n">
        <f aca="false">N(I12)+N(J12)</f>
        <v>3352.18034423108</v>
      </c>
      <c r="N12" s="11" t="n">
        <f aca="false">F12+G12+H12+M12+K12-L12-E12</f>
        <v>0</v>
      </c>
      <c r="O12" s="10" t="n">
        <f aca="false">E12/4</f>
        <v>128674.447376357</v>
      </c>
      <c r="P12" s="12" t="n">
        <f aca="false">E12/E8-1</f>
        <v>0.0697197786983206</v>
      </c>
    </row>
    <row r="13" customFormat="false" ht="15" hidden="false" customHeight="false" outlineLevel="0" collapsed="false">
      <c r="B13" s="7" t="s">
        <v>56</v>
      </c>
      <c r="C13" s="8" t="n">
        <v>2005</v>
      </c>
      <c r="D13" s="8" t="n">
        <v>4</v>
      </c>
      <c r="E13" s="9" t="n">
        <v>522255.200050771</v>
      </c>
      <c r="F13" s="9" t="n">
        <v>311201.935068264</v>
      </c>
      <c r="G13" s="9" t="n">
        <v>65561.5126227114</v>
      </c>
      <c r="H13" s="9" t="n">
        <v>92100.0229375597</v>
      </c>
      <c r="I13" s="9" t="n">
        <v>23477.4688658684</v>
      </c>
      <c r="J13" s="9"/>
      <c r="K13" s="9" t="n">
        <v>129550.818480204</v>
      </c>
      <c r="L13" s="9" t="n">
        <v>99636.5579238358</v>
      </c>
      <c r="M13" s="10" t="n">
        <f aca="false">N(I13)+N(J13)</f>
        <v>23477.4688658684</v>
      </c>
      <c r="N13" s="11" t="n">
        <f aca="false">F13+G13+H13+M13+K13-L13-E13</f>
        <v>0</v>
      </c>
      <c r="O13" s="10" t="n">
        <f aca="false">E13/4</f>
        <v>130563.800012693</v>
      </c>
      <c r="P13" s="12" t="n">
        <f aca="false">E13/E9-1</f>
        <v>0.0778289449927465</v>
      </c>
    </row>
    <row r="14" customFormat="false" ht="15" hidden="false" customHeight="false" outlineLevel="0" collapsed="false">
      <c r="B14" s="7" t="s">
        <v>57</v>
      </c>
      <c r="C14" s="8" t="n">
        <v>2006</v>
      </c>
      <c r="D14" s="8" t="n">
        <v>1</v>
      </c>
      <c r="E14" s="9" t="n">
        <v>532348.212016917</v>
      </c>
      <c r="F14" s="9" t="n">
        <v>354888.119837066</v>
      </c>
      <c r="G14" s="9" t="n">
        <v>56878.8796127713</v>
      </c>
      <c r="H14" s="9" t="n">
        <v>93836.5731692338</v>
      </c>
      <c r="I14" s="9" t="n">
        <v>-2443.21201924036</v>
      </c>
      <c r="J14" s="9"/>
      <c r="K14" s="9" t="n">
        <v>125801.743056573</v>
      </c>
      <c r="L14" s="9" t="n">
        <v>96613.8916394867</v>
      </c>
      <c r="M14" s="10" t="n">
        <f aca="false">N(I14)+N(J14)</f>
        <v>-2443.21201924036</v>
      </c>
      <c r="N14" s="11" t="n">
        <f aca="false">F14+G14+H14+M14+K14-L14-E14</f>
        <v>0</v>
      </c>
      <c r="O14" s="10" t="n">
        <f aca="false">E14/4</f>
        <v>133087.053004229</v>
      </c>
      <c r="P14" s="12" t="n">
        <f aca="false">E14/E10-1</f>
        <v>0.0784957106960191</v>
      </c>
    </row>
    <row r="15" customFormat="false" ht="15" hidden="false" customHeight="false" outlineLevel="0" collapsed="false">
      <c r="B15" s="7" t="s">
        <v>58</v>
      </c>
      <c r="C15" s="8" t="n">
        <v>2006</v>
      </c>
      <c r="D15" s="8" t="n">
        <v>2</v>
      </c>
      <c r="E15" s="9" t="n">
        <v>614076.392608544</v>
      </c>
      <c r="F15" s="9" t="n">
        <v>412814.666690576</v>
      </c>
      <c r="G15" s="9" t="n">
        <v>60002.9625662837</v>
      </c>
      <c r="H15" s="9" t="n">
        <v>105355.81306167</v>
      </c>
      <c r="I15" s="9" t="n">
        <v>-3784.58282333974</v>
      </c>
      <c r="J15" s="9"/>
      <c r="K15" s="9" t="n">
        <v>141431.394843197</v>
      </c>
      <c r="L15" s="9" t="n">
        <v>101743.861729844</v>
      </c>
      <c r="M15" s="10" t="n">
        <f aca="false">N(I15)+N(J15)</f>
        <v>-3784.58282333974</v>
      </c>
      <c r="N15" s="11" t="n">
        <f aca="false">F15+G15+H15+M15+K15-L15-E15</f>
        <v>0</v>
      </c>
      <c r="O15" s="10" t="n">
        <f aca="false">E15/4</f>
        <v>153519.098152136</v>
      </c>
      <c r="P15" s="12" t="n">
        <f aca="false">E15/E11-1</f>
        <v>0.0557158530410582</v>
      </c>
    </row>
    <row r="16" customFormat="false" ht="15" hidden="false" customHeight="false" outlineLevel="0" collapsed="false">
      <c r="B16" s="7" t="s">
        <v>59</v>
      </c>
      <c r="C16" s="8" t="n">
        <v>2006</v>
      </c>
      <c r="D16" s="8" t="n">
        <v>3</v>
      </c>
      <c r="E16" s="9" t="n">
        <v>562978.965626877</v>
      </c>
      <c r="F16" s="9" t="n">
        <v>372993.093799837</v>
      </c>
      <c r="G16" s="9" t="n">
        <v>60840.0914596448</v>
      </c>
      <c r="H16" s="9" t="n">
        <v>106228.602342045</v>
      </c>
      <c r="I16" s="9" t="n">
        <v>-6513.30535583851</v>
      </c>
      <c r="J16" s="9"/>
      <c r="K16" s="9" t="n">
        <v>139275.060008245</v>
      </c>
      <c r="L16" s="9" t="n">
        <v>109844.576627056</v>
      </c>
      <c r="M16" s="10" t="n">
        <f aca="false">N(I16)+N(J16)</f>
        <v>-6513.30535583851</v>
      </c>
      <c r="N16" s="11" t="n">
        <f aca="false">F16+G16+H16+M16+K16-L16-E16</f>
        <v>0</v>
      </c>
      <c r="O16" s="10" t="n">
        <f aca="false">E16/4</f>
        <v>140744.741406719</v>
      </c>
      <c r="P16" s="12" t="n">
        <f aca="false">E16/E12-1</f>
        <v>0.0938049028107184</v>
      </c>
    </row>
    <row r="17" customFormat="false" ht="15" hidden="false" customHeight="false" outlineLevel="0" collapsed="false">
      <c r="B17" s="7" t="s">
        <v>60</v>
      </c>
      <c r="C17" s="8" t="n">
        <v>2006</v>
      </c>
      <c r="D17" s="8" t="n">
        <v>4</v>
      </c>
      <c r="E17" s="9" t="n">
        <v>572794.046630588</v>
      </c>
      <c r="F17" s="9" t="n">
        <v>346795.753512145</v>
      </c>
      <c r="G17" s="9" t="n">
        <v>68028.7521762888</v>
      </c>
      <c r="H17" s="9" t="n">
        <v>103509.588494714</v>
      </c>
      <c r="I17" s="9" t="n">
        <v>21624.5825606171</v>
      </c>
      <c r="J17" s="9"/>
      <c r="K17" s="9" t="n">
        <v>144930.846081086</v>
      </c>
      <c r="L17" s="9" t="n">
        <v>112095.476194262</v>
      </c>
      <c r="M17" s="10" t="n">
        <f aca="false">N(I17)+N(J17)</f>
        <v>21624.5825606171</v>
      </c>
      <c r="N17" s="11" t="n">
        <f aca="false">F17+G17+H17+M17+K17-L17-E17</f>
        <v>0</v>
      </c>
      <c r="O17" s="10" t="n">
        <f aca="false">E17/4</f>
        <v>143198.511657647</v>
      </c>
      <c r="P17" s="12" t="n">
        <f aca="false">E17/E13-1</f>
        <v>0.09677040376985</v>
      </c>
    </row>
    <row r="18" customFormat="false" ht="15" hidden="false" customHeight="false" outlineLevel="0" collapsed="false">
      <c r="B18" s="7" t="s">
        <v>61</v>
      </c>
      <c r="C18" s="8" t="n">
        <v>2007</v>
      </c>
      <c r="D18" s="8" t="n">
        <v>1</v>
      </c>
      <c r="E18" s="9" t="n">
        <v>576846.885699427</v>
      </c>
      <c r="F18" s="9" t="n">
        <v>394546.922373474</v>
      </c>
      <c r="G18" s="9" t="n">
        <v>61224.2047229237</v>
      </c>
      <c r="H18" s="9" t="n">
        <v>111459.500158049</v>
      </c>
      <c r="I18" s="9" t="n">
        <v>-8102.49416054784</v>
      </c>
      <c r="J18" s="9"/>
      <c r="K18" s="9" t="n">
        <v>129994.293072722</v>
      </c>
      <c r="L18" s="9" t="n">
        <v>112275.540467193</v>
      </c>
      <c r="M18" s="10" t="n">
        <f aca="false">N(I18)+N(J18)</f>
        <v>-8102.49416054784</v>
      </c>
      <c r="N18" s="11" t="n">
        <f aca="false">F18+G18+H18+M18+K18-L18-E18</f>
        <v>0</v>
      </c>
      <c r="O18" s="10" t="n">
        <f aca="false">E18/4</f>
        <v>144211.721424857</v>
      </c>
      <c r="P18" s="12" t="n">
        <f aca="false">E18/E14-1</f>
        <v>0.0835894113627564</v>
      </c>
    </row>
    <row r="19" customFormat="false" ht="15" hidden="false" customHeight="false" outlineLevel="0" collapsed="false">
      <c r="B19" s="7" t="s">
        <v>62</v>
      </c>
      <c r="C19" s="8" t="n">
        <v>2007</v>
      </c>
      <c r="D19" s="8" t="n">
        <v>2</v>
      </c>
      <c r="E19" s="9" t="n">
        <v>674620.563006485</v>
      </c>
      <c r="F19" s="9" t="n">
        <v>444046.111654984</v>
      </c>
      <c r="G19" s="9" t="n">
        <v>65259.8638681605</v>
      </c>
      <c r="H19" s="9" t="n">
        <v>125373.057891995</v>
      </c>
      <c r="I19" s="9" t="n">
        <v>5766.34133591964</v>
      </c>
      <c r="J19" s="9"/>
      <c r="K19" s="9" t="n">
        <v>151852.514503315</v>
      </c>
      <c r="L19" s="9" t="n">
        <v>117677.326247888</v>
      </c>
      <c r="M19" s="10" t="n">
        <f aca="false">N(I19)+N(J19)</f>
        <v>5766.34133591964</v>
      </c>
      <c r="N19" s="11" t="n">
        <f aca="false">F19+G19+H19+M19+K19-L19-E19</f>
        <v>0</v>
      </c>
      <c r="O19" s="10" t="n">
        <f aca="false">E19/4</f>
        <v>168655.140751621</v>
      </c>
      <c r="P19" s="12" t="n">
        <f aca="false">E19/E15-1</f>
        <v>0.0985938738676382</v>
      </c>
    </row>
    <row r="20" customFormat="false" ht="15" hidden="false" customHeight="false" outlineLevel="0" collapsed="false">
      <c r="B20" s="7" t="s">
        <v>63</v>
      </c>
      <c r="C20" s="8" t="n">
        <v>2007</v>
      </c>
      <c r="D20" s="8" t="n">
        <v>3</v>
      </c>
      <c r="E20" s="9" t="n">
        <v>610425.694014854</v>
      </c>
      <c r="F20" s="9" t="n">
        <v>403183.038184336</v>
      </c>
      <c r="G20" s="9" t="n">
        <v>65411.5632963015</v>
      </c>
      <c r="H20" s="9" t="n">
        <v>128893.703349109</v>
      </c>
      <c r="I20" s="9" t="n">
        <v>-4834.03952504147</v>
      </c>
      <c r="J20" s="9"/>
      <c r="K20" s="9" t="n">
        <v>153959.99205222</v>
      </c>
      <c r="L20" s="9" t="n">
        <v>136188.563342072</v>
      </c>
      <c r="M20" s="10" t="n">
        <f aca="false">N(I20)+N(J20)</f>
        <v>-4834.03952504147</v>
      </c>
      <c r="N20" s="11" t="n">
        <f aca="false">F20+G20+H20+M20+K20-L20-E20</f>
        <v>0</v>
      </c>
      <c r="O20" s="10" t="n">
        <f aca="false">E20/4</f>
        <v>152606.423503713</v>
      </c>
      <c r="P20" s="12" t="n">
        <f aca="false">E20/E16-1</f>
        <v>0.0842779771268098</v>
      </c>
    </row>
    <row r="21" customFormat="false" ht="15" hidden="false" customHeight="false" outlineLevel="0" collapsed="false">
      <c r="B21" s="7" t="s">
        <v>64</v>
      </c>
      <c r="C21" s="8" t="n">
        <v>2007</v>
      </c>
      <c r="D21" s="8" t="n">
        <v>4</v>
      </c>
      <c r="E21" s="9" t="n">
        <v>625876.867863597</v>
      </c>
      <c r="F21" s="9" t="n">
        <v>384630.078804176</v>
      </c>
      <c r="G21" s="9" t="n">
        <v>73096.7884736598</v>
      </c>
      <c r="H21" s="9" t="n">
        <v>126843.699368505</v>
      </c>
      <c r="I21" s="9" t="n">
        <v>17356.1410910671</v>
      </c>
      <c r="J21" s="9"/>
      <c r="K21" s="9" t="n">
        <v>160654.219880937</v>
      </c>
      <c r="L21" s="9" t="n">
        <v>136704.059754748</v>
      </c>
      <c r="M21" s="10" t="n">
        <f aca="false">N(I21)+N(J21)</f>
        <v>17356.1410910671</v>
      </c>
      <c r="N21" s="11" t="n">
        <f aca="false">F21+G21+H21+M21+K21-L21-E21</f>
        <v>0</v>
      </c>
      <c r="O21" s="10" t="n">
        <f aca="false">E21/4</f>
        <v>156469.216965899</v>
      </c>
      <c r="P21" s="12" t="n">
        <f aca="false">E21/E17-1</f>
        <v>0.092673486299768</v>
      </c>
    </row>
    <row r="22" customFormat="false" ht="15" hidden="false" customHeight="false" outlineLevel="0" collapsed="false">
      <c r="B22" s="7" t="s">
        <v>65</v>
      </c>
      <c r="C22" s="8" t="n">
        <v>2008</v>
      </c>
      <c r="D22" s="8" t="n">
        <v>1</v>
      </c>
      <c r="E22" s="9" t="n">
        <v>616720.357064478</v>
      </c>
      <c r="F22" s="9" t="n">
        <v>434706.920709595</v>
      </c>
      <c r="G22" s="9" t="n">
        <v>63538.090213852</v>
      </c>
      <c r="H22" s="9" t="n">
        <v>130866.275030766</v>
      </c>
      <c r="I22" s="9" t="n">
        <v>-11981.3866067698</v>
      </c>
      <c r="J22" s="9"/>
      <c r="K22" s="9" t="n">
        <v>138205.654714218</v>
      </c>
      <c r="L22" s="9" t="n">
        <v>138615.196997182</v>
      </c>
      <c r="M22" s="10" t="n">
        <f aca="false">N(I22)+N(J22)</f>
        <v>-11981.3866067698</v>
      </c>
      <c r="N22" s="11" t="n">
        <f aca="false">F22+G22+H22+M22+K22-L22-E22</f>
        <v>0</v>
      </c>
      <c r="O22" s="10" t="n">
        <f aca="false">E22/4</f>
        <v>154180.08926612</v>
      </c>
      <c r="P22" s="12" t="n">
        <f aca="false">E22/E18-1</f>
        <v>0.0691231457663233</v>
      </c>
    </row>
    <row r="23" customFormat="false" ht="15" hidden="false" customHeight="false" outlineLevel="0" collapsed="false">
      <c r="B23" s="7" t="s">
        <v>66</v>
      </c>
      <c r="C23" s="8" t="n">
        <v>2008</v>
      </c>
      <c r="D23" s="8" t="n">
        <v>2</v>
      </c>
      <c r="E23" s="9" t="n">
        <v>711405.500455233</v>
      </c>
      <c r="F23" s="9" t="n">
        <v>485578.459354537</v>
      </c>
      <c r="G23" s="9" t="n">
        <v>69148.3793927705</v>
      </c>
      <c r="H23" s="9" t="n">
        <v>146972.608052948</v>
      </c>
      <c r="I23" s="9" t="n">
        <v>8980.03603372131</v>
      </c>
      <c r="J23" s="9"/>
      <c r="K23" s="9" t="n">
        <v>147769.55715329</v>
      </c>
      <c r="L23" s="9" t="n">
        <v>147043.539532034</v>
      </c>
      <c r="M23" s="10" t="n">
        <f aca="false">N(I23)+N(J23)</f>
        <v>8980.03603372131</v>
      </c>
      <c r="N23" s="11" t="n">
        <f aca="false">F23+G23+H23+M23+K23-L23-E23</f>
        <v>0</v>
      </c>
      <c r="O23" s="10" t="n">
        <f aca="false">E23/4</f>
        <v>177851.375113808</v>
      </c>
      <c r="P23" s="12" t="n">
        <f aca="false">E23/E19-1</f>
        <v>0.0545268547475248</v>
      </c>
    </row>
    <row r="24" customFormat="false" ht="15" hidden="false" customHeight="false" outlineLevel="0" collapsed="false">
      <c r="B24" s="7" t="s">
        <v>67</v>
      </c>
      <c r="C24" s="8" t="n">
        <v>2008</v>
      </c>
      <c r="D24" s="8" t="n">
        <v>3</v>
      </c>
      <c r="E24" s="9" t="n">
        <v>647087.959742494</v>
      </c>
      <c r="F24" s="9" t="n">
        <v>425312.74440875</v>
      </c>
      <c r="G24" s="9" t="n">
        <v>69622.8293973278</v>
      </c>
      <c r="H24" s="9" t="n">
        <v>138451.48746984</v>
      </c>
      <c r="I24" s="9" t="n">
        <v>-2463.57706420652</v>
      </c>
      <c r="J24" s="9"/>
      <c r="K24" s="9" t="n">
        <v>169221.271168169</v>
      </c>
      <c r="L24" s="9" t="n">
        <v>153056.795637386</v>
      </c>
      <c r="M24" s="10" t="n">
        <f aca="false">N(I24)+N(J24)</f>
        <v>-2463.57706420652</v>
      </c>
      <c r="N24" s="11" t="n">
        <f aca="false">F24+G24+H24+M24+K24-L24-E24</f>
        <v>0</v>
      </c>
      <c r="O24" s="10" t="n">
        <f aca="false">E24/4</f>
        <v>161771.989935624</v>
      </c>
      <c r="P24" s="12" t="n">
        <f aca="false">E24/E20-1</f>
        <v>0.060060161436698</v>
      </c>
    </row>
    <row r="25" customFormat="false" ht="15" hidden="false" customHeight="false" outlineLevel="0" collapsed="false">
      <c r="B25" s="7" t="s">
        <v>68</v>
      </c>
      <c r="C25" s="8" t="n">
        <v>2008</v>
      </c>
      <c r="D25" s="8" t="n">
        <v>4</v>
      </c>
      <c r="E25" s="9" t="n">
        <v>613490.821702641</v>
      </c>
      <c r="F25" s="9" t="n">
        <v>398635.442857441</v>
      </c>
      <c r="G25" s="9" t="n">
        <v>75972.6991669446</v>
      </c>
      <c r="H25" s="9" t="n">
        <v>119110.689252302</v>
      </c>
      <c r="I25" s="9" t="n">
        <v>6421.19422458382</v>
      </c>
      <c r="J25" s="9"/>
      <c r="K25" s="9" t="n">
        <v>145677.599528055</v>
      </c>
      <c r="L25" s="9" t="n">
        <v>132326.803326685</v>
      </c>
      <c r="M25" s="10" t="n">
        <f aca="false">N(I25)+N(J25)</f>
        <v>6421.19422458382</v>
      </c>
      <c r="N25" s="11" t="n">
        <f aca="false">F25+G25+H25+M25+K25-L25-E25</f>
        <v>0</v>
      </c>
      <c r="O25" s="10" t="n">
        <f aca="false">E25/4</f>
        <v>153372.70542566</v>
      </c>
      <c r="P25" s="12" t="n">
        <f aca="false">E25/E21-1</f>
        <v>-0.019789908841391</v>
      </c>
    </row>
    <row r="26" customFormat="false" ht="15" hidden="false" customHeight="false" outlineLevel="0" collapsed="false">
      <c r="B26" s="7" t="s">
        <v>69</v>
      </c>
      <c r="C26" s="8" t="n">
        <v>2009</v>
      </c>
      <c r="D26" s="8" t="n">
        <v>1</v>
      </c>
      <c r="E26" s="9" t="n">
        <v>578553.044242405</v>
      </c>
      <c r="F26" s="9" t="n">
        <v>410435.15837711</v>
      </c>
      <c r="G26" s="9" t="n">
        <v>65839.0547803032</v>
      </c>
      <c r="H26" s="9" t="n">
        <v>95500.5721063584</v>
      </c>
      <c r="I26" s="9" t="n">
        <v>-11995.362429169</v>
      </c>
      <c r="J26" s="9"/>
      <c r="K26" s="9" t="n">
        <v>127658.206587763</v>
      </c>
      <c r="L26" s="9" t="n">
        <v>108884.585179961</v>
      </c>
      <c r="M26" s="10" t="n">
        <f aca="false">N(I26)+N(J26)</f>
        <v>-11995.362429169</v>
      </c>
      <c r="N26" s="11" t="n">
        <f aca="false">F26+G26+H26+M26+K26-L26-E26</f>
        <v>0</v>
      </c>
      <c r="O26" s="10" t="n">
        <f aca="false">E26/4</f>
        <v>144638.261060601</v>
      </c>
      <c r="P26" s="12" t="n">
        <f aca="false">E26/E22-1</f>
        <v>-0.0618875514402444</v>
      </c>
    </row>
    <row r="27" customFormat="false" ht="15" hidden="false" customHeight="false" outlineLevel="0" collapsed="false">
      <c r="B27" s="7" t="s">
        <v>70</v>
      </c>
      <c r="C27" s="8" t="n">
        <v>2009</v>
      </c>
      <c r="D27" s="8" t="n">
        <v>2</v>
      </c>
      <c r="E27" s="9" t="n">
        <v>631197.751860069</v>
      </c>
      <c r="F27" s="9" t="n">
        <v>423959.338623602</v>
      </c>
      <c r="G27" s="9" t="n">
        <v>71368.4893624738</v>
      </c>
      <c r="H27" s="9" t="n">
        <v>99870.7907940232</v>
      </c>
      <c r="I27" s="9" t="n">
        <v>-7123.04119955688</v>
      </c>
      <c r="J27" s="9"/>
      <c r="K27" s="9" t="n">
        <v>147851.629211632</v>
      </c>
      <c r="L27" s="9" t="n">
        <v>104729.454932105</v>
      </c>
      <c r="M27" s="10" t="n">
        <f aca="false">N(I27)+N(J27)</f>
        <v>-7123.04119955688</v>
      </c>
      <c r="N27" s="11" t="n">
        <f aca="false">F27+G27+H27+M27+K27-L27-E27</f>
        <v>0</v>
      </c>
      <c r="O27" s="10" t="n">
        <f aca="false">E27/4</f>
        <v>157799.437965017</v>
      </c>
      <c r="P27" s="12" t="n">
        <f aca="false">E27/E23-1</f>
        <v>-0.112745471526209</v>
      </c>
    </row>
    <row r="28" customFormat="false" ht="15" hidden="false" customHeight="false" outlineLevel="0" collapsed="false">
      <c r="B28" s="7" t="s">
        <v>71</v>
      </c>
      <c r="C28" s="8" t="n">
        <v>2009</v>
      </c>
      <c r="D28" s="8" t="n">
        <v>3</v>
      </c>
      <c r="E28" s="9" t="n">
        <v>610519.854611727</v>
      </c>
      <c r="F28" s="9" t="n">
        <v>419318.043209984</v>
      </c>
      <c r="G28" s="9" t="n">
        <v>74331.0117211084</v>
      </c>
      <c r="H28" s="9" t="n">
        <v>108714.079120834</v>
      </c>
      <c r="I28" s="9" t="n">
        <v>-334.76786254085</v>
      </c>
      <c r="J28" s="9"/>
      <c r="K28" s="9" t="n">
        <v>131625.132452806</v>
      </c>
      <c r="L28" s="9" t="n">
        <v>123133.644030465</v>
      </c>
      <c r="M28" s="10" t="n">
        <f aca="false">N(I28)+N(J28)</f>
        <v>-334.76786254085</v>
      </c>
      <c r="N28" s="11" t="n">
        <f aca="false">F28+G28+H28+M28+K28-L28-E28</f>
        <v>0</v>
      </c>
      <c r="O28" s="10" t="n">
        <f aca="false">E28/4</f>
        <v>152629.963652932</v>
      </c>
      <c r="P28" s="12" t="n">
        <f aca="false">E28/E24-1</f>
        <v>-0.0565117996405296</v>
      </c>
    </row>
    <row r="29" customFormat="false" ht="15" hidden="false" customHeight="false" outlineLevel="0" collapsed="false">
      <c r="B29" s="7" t="s">
        <v>72</v>
      </c>
      <c r="C29" s="8" t="n">
        <v>2009</v>
      </c>
      <c r="D29" s="8" t="n">
        <v>4</v>
      </c>
      <c r="E29" s="9" t="n">
        <v>615220.854937297</v>
      </c>
      <c r="F29" s="9" t="n">
        <v>396373.369189961</v>
      </c>
      <c r="G29" s="9" t="n">
        <v>82422.5574473386</v>
      </c>
      <c r="H29" s="9" t="n">
        <v>110460.32612798</v>
      </c>
      <c r="I29" s="9" t="n">
        <v>17518.8139514473</v>
      </c>
      <c r="J29" s="9"/>
      <c r="K29" s="9" t="n">
        <v>137574.774133128</v>
      </c>
      <c r="L29" s="9" t="n">
        <v>129128.985912557</v>
      </c>
      <c r="M29" s="10" t="n">
        <f aca="false">N(I29)+N(J29)</f>
        <v>17518.8139514473</v>
      </c>
      <c r="N29" s="11" t="n">
        <f aca="false">F29+G29+H29+M29+K29-L29-E29</f>
        <v>0</v>
      </c>
      <c r="O29" s="10" t="n">
        <f aca="false">E29/4</f>
        <v>153805.213734324</v>
      </c>
      <c r="P29" s="12" t="n">
        <f aca="false">E29/E25-1</f>
        <v>0.00281998226127467</v>
      </c>
    </row>
    <row r="30" customFormat="false" ht="15" hidden="false" customHeight="false" outlineLevel="0" collapsed="false">
      <c r="B30" s="7" t="s">
        <v>73</v>
      </c>
      <c r="C30" s="8" t="n">
        <v>2010</v>
      </c>
      <c r="D30" s="8" t="n">
        <v>1</v>
      </c>
      <c r="E30" s="9" t="n">
        <v>611607.33658973</v>
      </c>
      <c r="F30" s="9" t="n">
        <v>439461.245716814</v>
      </c>
      <c r="G30" s="9" t="n">
        <v>70569.0067685535</v>
      </c>
      <c r="H30" s="9" t="n">
        <v>108785.857105826</v>
      </c>
      <c r="I30" s="9" t="n">
        <v>-938.105273785256</v>
      </c>
      <c r="J30" s="9"/>
      <c r="K30" s="9" t="n">
        <v>124821.262022197</v>
      </c>
      <c r="L30" s="9" t="n">
        <v>131091.929749875</v>
      </c>
      <c r="M30" s="10" t="n">
        <f aca="false">N(I30)+N(J30)</f>
        <v>-938.105273785256</v>
      </c>
      <c r="N30" s="11" t="n">
        <f aca="false">F30+G30+H30+M30+K30-L30-E30</f>
        <v>0</v>
      </c>
      <c r="O30" s="10" t="n">
        <f aca="false">E30/4</f>
        <v>152901.834147433</v>
      </c>
      <c r="P30" s="12" t="n">
        <f aca="false">E30/E26-1</f>
        <v>0.0571326910752132</v>
      </c>
    </row>
    <row r="31" customFormat="false" ht="15" hidden="false" customHeight="false" outlineLevel="0" collapsed="false">
      <c r="B31" s="7" t="s">
        <v>74</v>
      </c>
      <c r="C31" s="8" t="n">
        <v>2010</v>
      </c>
      <c r="D31" s="8" t="n">
        <v>2</v>
      </c>
      <c r="E31" s="9" t="n">
        <v>733730.773968903</v>
      </c>
      <c r="F31" s="9" t="n">
        <v>487297.598648042</v>
      </c>
      <c r="G31" s="9" t="n">
        <v>77185.4014509774</v>
      </c>
      <c r="H31" s="9" t="n">
        <v>130038.895173502</v>
      </c>
      <c r="I31" s="9" t="n">
        <v>14884.6030793738</v>
      </c>
      <c r="J31" s="9"/>
      <c r="K31" s="9" t="n">
        <v>175584.32821405</v>
      </c>
      <c r="L31" s="9" t="n">
        <v>151260.052597042</v>
      </c>
      <c r="M31" s="10" t="n">
        <f aca="false">N(I31)+N(J31)</f>
        <v>14884.6030793738</v>
      </c>
      <c r="N31" s="11" t="n">
        <f aca="false">F31+G31+H31+M31+K31-L31-E31</f>
        <v>0</v>
      </c>
      <c r="O31" s="10" t="n">
        <f aca="false">E31/4</f>
        <v>183432.693492226</v>
      </c>
      <c r="P31" s="12" t="n">
        <f aca="false">E31/E27-1</f>
        <v>0.162441995090574</v>
      </c>
    </row>
    <row r="32" customFormat="false" ht="15" hidden="false" customHeight="false" outlineLevel="0" collapsed="false">
      <c r="B32" s="7" t="s">
        <v>75</v>
      </c>
      <c r="C32" s="8" t="n">
        <v>2010</v>
      </c>
      <c r="D32" s="8" t="n">
        <v>3</v>
      </c>
      <c r="E32" s="9" t="n">
        <v>668566.509488986</v>
      </c>
      <c r="F32" s="9" t="n">
        <v>456779.066656185</v>
      </c>
      <c r="G32" s="9" t="n">
        <v>76311.3550067549</v>
      </c>
      <c r="H32" s="9" t="n">
        <v>139803.957502921</v>
      </c>
      <c r="I32" s="9" t="n">
        <v>-474.008879651445</v>
      </c>
      <c r="J32" s="9"/>
      <c r="K32" s="9" t="n">
        <v>168049.61790717</v>
      </c>
      <c r="L32" s="9" t="n">
        <v>171903.478704393</v>
      </c>
      <c r="M32" s="10" t="n">
        <f aca="false">N(I32)+N(J32)</f>
        <v>-474.008879651445</v>
      </c>
      <c r="N32" s="11" t="n">
        <f aca="false">F32+G32+H32+M32+K32-L32-E32</f>
        <v>0</v>
      </c>
      <c r="O32" s="10" t="n">
        <f aca="false">E32/4</f>
        <v>167141.627372246</v>
      </c>
      <c r="P32" s="12" t="n">
        <f aca="false">E32/E28-1</f>
        <v>0.0950774236722809</v>
      </c>
    </row>
    <row r="33" customFormat="false" ht="15" hidden="false" customHeight="false" outlineLevel="0" collapsed="false">
      <c r="B33" s="7" t="s">
        <v>76</v>
      </c>
      <c r="C33" s="8" t="n">
        <v>2010</v>
      </c>
      <c r="D33" s="8" t="n">
        <v>4</v>
      </c>
      <c r="E33" s="9" t="n">
        <v>668190.097719574</v>
      </c>
      <c r="F33" s="9" t="n">
        <v>451162.753405413</v>
      </c>
      <c r="G33" s="9" t="n">
        <v>85922.6262566636</v>
      </c>
      <c r="H33" s="9" t="n">
        <v>144754.32406471</v>
      </c>
      <c r="I33" s="9" t="n">
        <v>10028.3934436812</v>
      </c>
      <c r="J33" s="9"/>
      <c r="K33" s="9" t="n">
        <v>151952.376643681</v>
      </c>
      <c r="L33" s="9" t="n">
        <v>175630.376094575</v>
      </c>
      <c r="M33" s="10" t="n">
        <f aca="false">N(I33)+N(J33)</f>
        <v>10028.3934436812</v>
      </c>
      <c r="N33" s="11" t="n">
        <f aca="false">F33+G33+H33+M33+K33-L33-E33</f>
        <v>0</v>
      </c>
      <c r="O33" s="10" t="n">
        <f aca="false">E33/4</f>
        <v>167047.524429893</v>
      </c>
      <c r="P33" s="12" t="n">
        <f aca="false">E33/E29-1</f>
        <v>0.0860979311042298</v>
      </c>
    </row>
    <row r="34" customFormat="false" ht="15" hidden="false" customHeight="false" outlineLevel="0" collapsed="false">
      <c r="B34" s="7" t="s">
        <v>77</v>
      </c>
      <c r="C34" s="8" t="n">
        <v>2011</v>
      </c>
      <c r="D34" s="8" t="n">
        <v>1</v>
      </c>
      <c r="E34" s="9" t="n">
        <v>662325.585972695</v>
      </c>
      <c r="F34" s="9" t="n">
        <v>484513.986622131</v>
      </c>
      <c r="G34" s="9" t="n">
        <v>74065.61550361</v>
      </c>
      <c r="H34" s="9" t="n">
        <v>139564.461715398</v>
      </c>
      <c r="I34" s="9" t="n">
        <v>-2417.54058407194</v>
      </c>
      <c r="J34" s="9"/>
      <c r="K34" s="9" t="n">
        <v>138279.547945382</v>
      </c>
      <c r="L34" s="9" t="n">
        <v>171680.485229754</v>
      </c>
      <c r="M34" s="10" t="n">
        <f aca="false">N(I34)+N(J34)</f>
        <v>-2417.54058407194</v>
      </c>
      <c r="N34" s="11" t="n">
        <f aca="false">F34+G34+H34+M34+K34-L34-E34</f>
        <v>0</v>
      </c>
      <c r="O34" s="10" t="n">
        <f aca="false">E34/4</f>
        <v>165581.396493174</v>
      </c>
      <c r="P34" s="12" t="n">
        <f aca="false">E34/E30-1</f>
        <v>0.0829261625044686</v>
      </c>
    </row>
    <row r="35" customFormat="false" ht="15" hidden="false" customHeight="false" outlineLevel="0" collapsed="false">
      <c r="B35" s="7" t="s">
        <v>78</v>
      </c>
      <c r="C35" s="8" t="n">
        <v>2011</v>
      </c>
      <c r="D35" s="8" t="n">
        <v>2</v>
      </c>
      <c r="E35" s="9" t="n">
        <v>766332.954571613</v>
      </c>
      <c r="F35" s="9" t="n">
        <v>521971.624699199</v>
      </c>
      <c r="G35" s="9" t="n">
        <v>80830.222163875</v>
      </c>
      <c r="H35" s="9" t="n">
        <v>153571.019555104</v>
      </c>
      <c r="I35" s="9" t="n">
        <v>24823.618263473</v>
      </c>
      <c r="J35" s="9"/>
      <c r="K35" s="9" t="n">
        <v>170971.270520453</v>
      </c>
      <c r="L35" s="9" t="n">
        <v>185834.800630491</v>
      </c>
      <c r="M35" s="10" t="n">
        <f aca="false">N(I35)+N(J35)</f>
        <v>24823.618263473</v>
      </c>
      <c r="N35" s="11" t="n">
        <f aca="false">F35+G35+H35+M35+K35-L35-E35</f>
        <v>0</v>
      </c>
      <c r="O35" s="10" t="n">
        <f aca="false">E35/4</f>
        <v>191583.238642903</v>
      </c>
      <c r="P35" s="12" t="n">
        <f aca="false">E35/E31-1</f>
        <v>0.0444334376577356</v>
      </c>
    </row>
    <row r="36" customFormat="false" ht="15" hidden="false" customHeight="false" outlineLevel="0" collapsed="false">
      <c r="B36" s="7" t="s">
        <v>79</v>
      </c>
      <c r="C36" s="8" t="n">
        <v>2011</v>
      </c>
      <c r="D36" s="8" t="n">
        <v>3</v>
      </c>
      <c r="E36" s="9" t="n">
        <v>711417.391930105</v>
      </c>
      <c r="F36" s="9" t="n">
        <v>509458.253857688</v>
      </c>
      <c r="G36" s="9" t="n">
        <v>81814.123471174</v>
      </c>
      <c r="H36" s="9" t="n">
        <v>164571.646704971</v>
      </c>
      <c r="I36" s="9" t="n">
        <v>-4909.91104207013</v>
      </c>
      <c r="J36" s="9"/>
      <c r="K36" s="9" t="n">
        <v>172841.450852618</v>
      </c>
      <c r="L36" s="9" t="n">
        <v>212358.171914276</v>
      </c>
      <c r="M36" s="10" t="n">
        <f aca="false">N(I36)+N(J36)</f>
        <v>-4909.91104207013</v>
      </c>
      <c r="N36" s="11" t="n">
        <f aca="false">F36+G36+H36+M36+K36-L36-E36</f>
        <v>0</v>
      </c>
      <c r="O36" s="10" t="n">
        <f aca="false">E36/4</f>
        <v>177854.347982526</v>
      </c>
      <c r="P36" s="12" t="n">
        <f aca="false">E36/E32-1</f>
        <v>0.0640936718081673</v>
      </c>
    </row>
    <row r="37" customFormat="false" ht="15" hidden="false" customHeight="false" outlineLevel="0" collapsed="false">
      <c r="B37" s="7" t="s">
        <v>80</v>
      </c>
      <c r="C37" s="8" t="n">
        <v>2011</v>
      </c>
      <c r="D37" s="8" t="n">
        <v>4</v>
      </c>
      <c r="E37" s="9" t="n">
        <v>703050.456407993</v>
      </c>
      <c r="F37" s="9" t="n">
        <v>490644.748459361</v>
      </c>
      <c r="G37" s="9" t="n">
        <v>87429.1179049339</v>
      </c>
      <c r="H37" s="9" t="n">
        <v>156629.21241773</v>
      </c>
      <c r="I37" s="9" t="n">
        <v>3060.01587803392</v>
      </c>
      <c r="J37" s="9"/>
      <c r="K37" s="9" t="n">
        <v>164054.877154504</v>
      </c>
      <c r="L37" s="9" t="n">
        <v>198767.51540657</v>
      </c>
      <c r="M37" s="10" t="n">
        <f aca="false">N(I37)+N(J37)</f>
        <v>3060.01587803392</v>
      </c>
      <c r="N37" s="11" t="n">
        <f aca="false">F37+G37+H37+M37+K37-L37-E37</f>
        <v>0</v>
      </c>
      <c r="O37" s="10" t="n">
        <f aca="false">E37/4</f>
        <v>175762.614101998</v>
      </c>
      <c r="P37" s="12" t="n">
        <f aca="false">E37/E33-1</f>
        <v>0.0521713189216535</v>
      </c>
    </row>
    <row r="38" customFormat="false" ht="15" hidden="false" customHeight="false" outlineLevel="0" collapsed="false">
      <c r="B38" s="7" t="s">
        <v>81</v>
      </c>
      <c r="C38" s="8" t="n">
        <v>2012</v>
      </c>
      <c r="D38" s="8" t="n">
        <v>1</v>
      </c>
      <c r="E38" s="9" t="n">
        <v>672685.993630504</v>
      </c>
      <c r="F38" s="9" t="n">
        <v>494561.058682757</v>
      </c>
      <c r="G38" s="9" t="n">
        <v>77065.360118656</v>
      </c>
      <c r="H38" s="9" t="n">
        <v>134285.041057041</v>
      </c>
      <c r="I38" s="9" t="n">
        <v>-3245.93681014188</v>
      </c>
      <c r="J38" s="9"/>
      <c r="K38" s="9" t="n">
        <v>145984.102806389</v>
      </c>
      <c r="L38" s="9" t="n">
        <v>175963.632224198</v>
      </c>
      <c r="M38" s="10" t="n">
        <f aca="false">N(I38)+N(J38)</f>
        <v>-3245.93681014188</v>
      </c>
      <c r="N38" s="11" t="n">
        <f aca="false">F38+G38+H38+M38+K38-L38-E38</f>
        <v>0</v>
      </c>
      <c r="O38" s="10" t="n">
        <f aca="false">E38/4</f>
        <v>168171.498407626</v>
      </c>
      <c r="P38" s="12" t="n">
        <f aca="false">E38/E34-1</f>
        <v>0.0156424693190642</v>
      </c>
    </row>
    <row r="39" customFormat="false" ht="15" hidden="false" customHeight="false" outlineLevel="0" collapsed="false">
      <c r="B39" s="7" t="s">
        <v>82</v>
      </c>
      <c r="C39" s="8" t="n">
        <v>2012</v>
      </c>
      <c r="D39" s="8" t="n">
        <v>2</v>
      </c>
      <c r="E39" s="9" t="n">
        <v>730838.272592776</v>
      </c>
      <c r="F39" s="9" t="n">
        <v>516528.231768103</v>
      </c>
      <c r="G39" s="9" t="n">
        <v>82453.8409794096</v>
      </c>
      <c r="H39" s="9" t="n">
        <v>134408.947972851</v>
      </c>
      <c r="I39" s="9" t="n">
        <v>10544.520330945</v>
      </c>
      <c r="J39" s="9"/>
      <c r="K39" s="9" t="n">
        <v>155692.764640382</v>
      </c>
      <c r="L39" s="9" t="n">
        <v>168790.033098915</v>
      </c>
      <c r="M39" s="10" t="n">
        <f aca="false">N(I39)+N(J39)</f>
        <v>10544.520330945</v>
      </c>
      <c r="N39" s="11" t="n">
        <f aca="false">F39+G39+H39+M39+K39-L39-E39</f>
        <v>0</v>
      </c>
      <c r="O39" s="10" t="n">
        <f aca="false">E39/4</f>
        <v>182709.568148194</v>
      </c>
      <c r="P39" s="12" t="n">
        <f aca="false">E39/E35-1</f>
        <v>-0.0463175722342237</v>
      </c>
    </row>
    <row r="40" customFormat="false" ht="15" hidden="false" customHeight="false" outlineLevel="0" collapsed="false">
      <c r="B40" s="7" t="s">
        <v>83</v>
      </c>
      <c r="C40" s="8" t="n">
        <v>2012</v>
      </c>
      <c r="D40" s="8" t="n">
        <v>3</v>
      </c>
      <c r="E40" s="9" t="n">
        <v>703461.652530196</v>
      </c>
      <c r="F40" s="9" t="n">
        <v>517627.479436007</v>
      </c>
      <c r="G40" s="9" t="n">
        <v>84029.3842411944</v>
      </c>
      <c r="H40" s="9" t="n">
        <v>150230.816594573</v>
      </c>
      <c r="I40" s="9" t="n">
        <v>-18203.7843105474</v>
      </c>
      <c r="J40" s="9"/>
      <c r="K40" s="9" t="n">
        <v>164111.322950968</v>
      </c>
      <c r="L40" s="9" t="n">
        <v>194333.566381999</v>
      </c>
      <c r="M40" s="10" t="n">
        <f aca="false">N(I40)+N(J40)</f>
        <v>-18203.7843105474</v>
      </c>
      <c r="N40" s="11" t="n">
        <f aca="false">F40+G40+H40+M40+K40-L40-E40</f>
        <v>0</v>
      </c>
      <c r="O40" s="10" t="n">
        <f aca="false">E40/4</f>
        <v>175865.413132549</v>
      </c>
      <c r="P40" s="12" t="n">
        <f aca="false">E40/E36-1</f>
        <v>-0.0111829419552486</v>
      </c>
    </row>
    <row r="41" customFormat="false" ht="15" hidden="false" customHeight="false" outlineLevel="0" collapsed="false">
      <c r="B41" s="7" t="s">
        <v>84</v>
      </c>
      <c r="C41" s="8" t="n">
        <v>2012</v>
      </c>
      <c r="D41" s="8" t="n">
        <v>4</v>
      </c>
      <c r="E41" s="9" t="n">
        <v>706958.039082319</v>
      </c>
      <c r="F41" s="9" t="n">
        <v>500150.631839828</v>
      </c>
      <c r="G41" s="9" t="n">
        <v>90344.7981817684</v>
      </c>
      <c r="H41" s="9" t="n">
        <v>151946.002761776</v>
      </c>
      <c r="I41" s="9" t="n">
        <v>3913.7598612663</v>
      </c>
      <c r="J41" s="9"/>
      <c r="K41" s="9" t="n">
        <v>153813.219612731</v>
      </c>
      <c r="L41" s="9" t="n">
        <v>193210.373175051</v>
      </c>
      <c r="M41" s="10" t="n">
        <f aca="false">N(I41)+N(J41)</f>
        <v>3913.7598612663</v>
      </c>
      <c r="N41" s="11" t="n">
        <f aca="false">F41+G41+H41+M41+K41-L41-E41</f>
        <v>0</v>
      </c>
      <c r="O41" s="10" t="n">
        <f aca="false">E41/4</f>
        <v>176739.50977058</v>
      </c>
      <c r="P41" s="12" t="n">
        <f aca="false">E41/E37-1</f>
        <v>0.00555804016441552</v>
      </c>
    </row>
    <row r="42" customFormat="false" ht="15" hidden="false" customHeight="false" outlineLevel="0" collapsed="false">
      <c r="B42" s="7" t="s">
        <v>85</v>
      </c>
      <c r="C42" s="8" t="n">
        <v>2013</v>
      </c>
      <c r="D42" s="8" t="n">
        <v>1</v>
      </c>
      <c r="E42" s="9" t="n">
        <v>677085.529173151</v>
      </c>
      <c r="F42" s="9" t="n">
        <v>506950.446406628</v>
      </c>
      <c r="G42" s="9" t="n">
        <v>80963.0147224332</v>
      </c>
      <c r="H42" s="9" t="n">
        <v>133273.112925847</v>
      </c>
      <c r="I42" s="9" t="n">
        <v>734.513540482458</v>
      </c>
      <c r="J42" s="9"/>
      <c r="K42" s="9" t="n">
        <v>131767.054730884</v>
      </c>
      <c r="L42" s="9" t="n">
        <v>176602.613153124</v>
      </c>
      <c r="M42" s="10" t="n">
        <f aca="false">N(I42)+N(J42)</f>
        <v>734.513540482458</v>
      </c>
      <c r="N42" s="11" t="n">
        <f aca="false">F42+G42+H42+M42+K42-L42-E42</f>
        <v>0</v>
      </c>
      <c r="O42" s="10" t="n">
        <f aca="false">E42/4</f>
        <v>169271.382293288</v>
      </c>
      <c r="P42" s="12" t="n">
        <f aca="false">E42/E38-1</f>
        <v>0.00654025144614989</v>
      </c>
    </row>
    <row r="43" customFormat="false" ht="15" hidden="false" customHeight="false" outlineLevel="0" collapsed="false">
      <c r="B43" s="7" t="s">
        <v>86</v>
      </c>
      <c r="C43" s="8" t="n">
        <v>2013</v>
      </c>
      <c r="D43" s="8" t="n">
        <v>2</v>
      </c>
      <c r="E43" s="9" t="n">
        <v>776486.60279942</v>
      </c>
      <c r="F43" s="9" t="n">
        <v>543923.352753783</v>
      </c>
      <c r="G43" s="9" t="n">
        <v>87051.59686788</v>
      </c>
      <c r="H43" s="9" t="n">
        <v>150469.415304759</v>
      </c>
      <c r="I43" s="9" t="n">
        <v>16974.1103408176</v>
      </c>
      <c r="J43" s="9"/>
      <c r="K43" s="9" t="n">
        <v>168720.234626728</v>
      </c>
      <c r="L43" s="9" t="n">
        <v>190652.107094547</v>
      </c>
      <c r="M43" s="10" t="n">
        <f aca="false">N(I43)+N(J43)</f>
        <v>16974.1103408176</v>
      </c>
      <c r="N43" s="11" t="n">
        <f aca="false">F43+G43+H43+M43+K43-L43-E43</f>
        <v>0</v>
      </c>
      <c r="O43" s="10" t="n">
        <f aca="false">E43/4</f>
        <v>194121.650699855</v>
      </c>
      <c r="P43" s="12" t="n">
        <f aca="false">E43/E39-1</f>
        <v>0.0624602349363816</v>
      </c>
    </row>
    <row r="44" customFormat="false" ht="15" hidden="false" customHeight="false" outlineLevel="0" collapsed="false">
      <c r="B44" s="7" t="s">
        <v>87</v>
      </c>
      <c r="C44" s="8" t="n">
        <v>2013</v>
      </c>
      <c r="D44" s="8" t="n">
        <v>3</v>
      </c>
      <c r="E44" s="9" t="n">
        <v>721458.944216182</v>
      </c>
      <c r="F44" s="9" t="n">
        <v>538421.078253398</v>
      </c>
      <c r="G44" s="9" t="n">
        <v>87994.2721311126</v>
      </c>
      <c r="H44" s="9" t="n">
        <v>152737.114104803</v>
      </c>
      <c r="I44" s="9" t="n">
        <v>-14476.101014793</v>
      </c>
      <c r="J44" s="9"/>
      <c r="K44" s="9" t="n">
        <v>159733.63225019</v>
      </c>
      <c r="L44" s="9" t="n">
        <v>202951.051508528</v>
      </c>
      <c r="M44" s="10" t="n">
        <f aca="false">N(I44)+N(J44)</f>
        <v>-14476.101014793</v>
      </c>
      <c r="N44" s="11" t="n">
        <f aca="false">F44+G44+H44+M44+K44-L44-E44</f>
        <v>0</v>
      </c>
      <c r="O44" s="10" t="n">
        <f aca="false">E44/4</f>
        <v>180364.736054046</v>
      </c>
      <c r="P44" s="12" t="n">
        <f aca="false">E44/E40-1</f>
        <v>0.0255838987402566</v>
      </c>
    </row>
    <row r="45" customFormat="false" ht="15" hidden="false" customHeight="false" outlineLevel="0" collapsed="false">
      <c r="B45" s="7" t="s">
        <v>88</v>
      </c>
      <c r="C45" s="8" t="n">
        <v>2013</v>
      </c>
      <c r="D45" s="8" t="n">
        <v>4</v>
      </c>
      <c r="E45" s="9" t="n">
        <v>706597.345022507</v>
      </c>
      <c r="F45" s="9" t="n">
        <v>513403.251740066</v>
      </c>
      <c r="G45" s="9" t="n">
        <v>95656.2670321256</v>
      </c>
      <c r="H45" s="9" t="n">
        <v>147746.629602536</v>
      </c>
      <c r="I45" s="9" t="n">
        <v>2748.2442740956</v>
      </c>
      <c r="J45" s="9"/>
      <c r="K45" s="9" t="n">
        <v>137569.029739443</v>
      </c>
      <c r="L45" s="9" t="n">
        <v>190526.077365759</v>
      </c>
      <c r="M45" s="10" t="n">
        <f aca="false">N(I45)+N(J45)</f>
        <v>2748.2442740956</v>
      </c>
      <c r="N45" s="11" t="n">
        <f aca="false">F45+G45+H45+M45+K45-L45-E45</f>
        <v>0</v>
      </c>
      <c r="O45" s="10" t="n">
        <f aca="false">E45/4</f>
        <v>176649.336255627</v>
      </c>
      <c r="P45" s="12" t="n">
        <f aca="false">E45/E41-1</f>
        <v>-0.000510205754616022</v>
      </c>
    </row>
    <row r="46" customFormat="false" ht="15" hidden="false" customHeight="false" outlineLevel="0" collapsed="false">
      <c r="B46" s="7" t="s">
        <v>89</v>
      </c>
      <c r="C46" s="8" t="n">
        <v>2014</v>
      </c>
      <c r="D46" s="8" t="n">
        <v>1</v>
      </c>
      <c r="E46" s="9" t="n">
        <v>671066.046635063</v>
      </c>
      <c r="F46" s="9" t="n">
        <v>517840.533744263</v>
      </c>
      <c r="G46" s="9" t="n">
        <v>85482.4937319963</v>
      </c>
      <c r="H46" s="9" t="n">
        <v>131370.536309922</v>
      </c>
      <c r="I46" s="9" t="n">
        <v>-8598.45687567352</v>
      </c>
      <c r="J46" s="9"/>
      <c r="K46" s="9" t="n">
        <v>119113.818899697</v>
      </c>
      <c r="L46" s="9" t="n">
        <v>174142.879175142</v>
      </c>
      <c r="M46" s="10" t="n">
        <f aca="false">N(I46)+N(J46)</f>
        <v>-8598.45687567352</v>
      </c>
      <c r="N46" s="11" t="n">
        <f aca="false">F46+G46+H46+M46+K46-L46-E46</f>
        <v>0</v>
      </c>
      <c r="O46" s="10" t="n">
        <f aca="false">E46/4</f>
        <v>167766.511658766</v>
      </c>
      <c r="P46" s="12" t="n">
        <f aca="false">E46/E42-1</f>
        <v>-0.00889028383967849</v>
      </c>
    </row>
    <row r="47" customFormat="false" ht="15" hidden="false" customHeight="false" outlineLevel="0" collapsed="false">
      <c r="B47" s="7" t="s">
        <v>90</v>
      </c>
      <c r="C47" s="8" t="n">
        <v>2014</v>
      </c>
      <c r="D47" s="8" t="n">
        <v>2</v>
      </c>
      <c r="E47" s="9" t="n">
        <v>760576.868348004</v>
      </c>
      <c r="F47" s="9" t="n">
        <v>527379.226942738</v>
      </c>
      <c r="G47" s="9" t="n">
        <v>88842.1197185489</v>
      </c>
      <c r="H47" s="9" t="n">
        <v>141073.18942977</v>
      </c>
      <c r="I47" s="9" t="n">
        <v>20148.1045594951</v>
      </c>
      <c r="J47" s="9"/>
      <c r="K47" s="9" t="n">
        <v>152688.83294256</v>
      </c>
      <c r="L47" s="9" t="n">
        <v>169554.605245108</v>
      </c>
      <c r="M47" s="10" t="n">
        <f aca="false">N(I47)+N(J47)</f>
        <v>20148.1045594951</v>
      </c>
      <c r="N47" s="11" t="n">
        <f aca="false">F47+G47+H47+M47+K47-L47-E47</f>
        <v>0</v>
      </c>
      <c r="O47" s="10" t="n">
        <f aca="false">E47/4</f>
        <v>190144.217087001</v>
      </c>
      <c r="P47" s="12" t="n">
        <f aca="false">E47/E43-1</f>
        <v>-0.0204893869308982</v>
      </c>
    </row>
    <row r="48" customFormat="false" ht="15" hidden="false" customHeight="false" outlineLevel="0" collapsed="false">
      <c r="B48" s="7" t="s">
        <v>91</v>
      </c>
      <c r="C48" s="8" t="n">
        <v>2014</v>
      </c>
      <c r="D48" s="8" t="n">
        <v>3</v>
      </c>
      <c r="E48" s="9" t="n">
        <v>690879.798251683</v>
      </c>
      <c r="F48" s="9" t="n">
        <v>490626.989486855</v>
      </c>
      <c r="G48" s="9" t="n">
        <v>90661.5906350518</v>
      </c>
      <c r="H48" s="9" t="n">
        <v>140281.453588596</v>
      </c>
      <c r="I48" s="9" t="n">
        <v>-4789.68852660372</v>
      </c>
      <c r="J48" s="9"/>
      <c r="K48" s="9" t="n">
        <v>147198.696369442</v>
      </c>
      <c r="L48" s="9" t="n">
        <v>173099.243301658</v>
      </c>
      <c r="M48" s="10" t="n">
        <f aca="false">N(I48)+N(J48)</f>
        <v>-4789.68852660372</v>
      </c>
      <c r="N48" s="11" t="n">
        <f aca="false">F48+G48+H48+M48+K48-L48-E48</f>
        <v>0</v>
      </c>
      <c r="O48" s="10" t="n">
        <f aca="false">E48/4</f>
        <v>172719.949562921</v>
      </c>
      <c r="P48" s="12" t="n">
        <f aca="false">E48/E44-1</f>
        <v>-0.0423851505475772</v>
      </c>
    </row>
    <row r="49" customFormat="false" ht="15" hidden="false" customHeight="false" outlineLevel="0" collapsed="false">
      <c r="B49" s="7" t="s">
        <v>92</v>
      </c>
      <c r="C49" s="8" t="n">
        <v>2014</v>
      </c>
      <c r="D49" s="8" t="n">
        <v>4</v>
      </c>
      <c r="E49" s="9" t="n">
        <v>686701.470618711</v>
      </c>
      <c r="F49" s="9" t="n">
        <v>475210.995494002</v>
      </c>
      <c r="G49" s="9" t="n">
        <v>97035.5923337505</v>
      </c>
      <c r="H49" s="9" t="n">
        <v>132033.409489116</v>
      </c>
      <c r="I49" s="9" t="n">
        <v>1956.77574191855</v>
      </c>
      <c r="J49" s="9"/>
      <c r="K49" s="9" t="n">
        <v>137067.841278324</v>
      </c>
      <c r="L49" s="9" t="n">
        <v>156603.143718401</v>
      </c>
      <c r="M49" s="10" t="n">
        <f aca="false">N(I49)+N(J49)</f>
        <v>1956.77574191855</v>
      </c>
      <c r="N49" s="11" t="n">
        <f aca="false">F49+G49+H49+M49+K49-L49-E49</f>
        <v>0</v>
      </c>
      <c r="O49" s="10" t="n">
        <f aca="false">E49/4</f>
        <v>171675.367654678</v>
      </c>
      <c r="P49" s="12" t="n">
        <f aca="false">E49/E45-1</f>
        <v>-0.0281573013880524</v>
      </c>
    </row>
    <row r="50" customFormat="false" ht="15" hidden="false" customHeight="false" outlineLevel="0" collapsed="false">
      <c r="B50" s="7" t="s">
        <v>93</v>
      </c>
      <c r="C50" s="8" t="n">
        <v>2015</v>
      </c>
      <c r="D50" s="8" t="n">
        <v>1</v>
      </c>
      <c r="E50" s="9" t="n">
        <v>672749.811391699</v>
      </c>
      <c r="F50" s="9" t="n">
        <v>507483.723069378</v>
      </c>
      <c r="G50" s="9" t="n">
        <v>88812.9555077436</v>
      </c>
      <c r="H50" s="9" t="n">
        <v>128790.253312967</v>
      </c>
      <c r="I50" s="9" t="n">
        <v>-8201.76543926239</v>
      </c>
      <c r="J50" s="9"/>
      <c r="K50" s="9" t="n">
        <v>116284.291380884</v>
      </c>
      <c r="L50" s="9" t="n">
        <v>160419.64644001</v>
      </c>
      <c r="M50" s="10" t="n">
        <f aca="false">N(I50)+N(J50)</f>
        <v>-8201.76543926239</v>
      </c>
      <c r="N50" s="11" t="n">
        <f aca="false">F50+G50+H50+M50+K50-L50-E50</f>
        <v>0</v>
      </c>
      <c r="O50" s="10" t="n">
        <f aca="false">E50/4</f>
        <v>168187.452847925</v>
      </c>
      <c r="P50" s="12" t="n">
        <f aca="false">E50/E46-1</f>
        <v>0.00250908947797246</v>
      </c>
    </row>
    <row r="51" customFormat="false" ht="15" hidden="false" customHeight="false" outlineLevel="0" collapsed="false">
      <c r="B51" s="7" t="s">
        <v>94</v>
      </c>
      <c r="C51" s="8" t="n">
        <v>2015</v>
      </c>
      <c r="D51" s="8" t="n">
        <v>2</v>
      </c>
      <c r="E51" s="9" t="n">
        <v>791235.96554167</v>
      </c>
      <c r="F51" s="9" t="n">
        <v>569042.185871214</v>
      </c>
      <c r="G51" s="9" t="n">
        <v>97227.6594560904</v>
      </c>
      <c r="H51" s="9" t="n">
        <v>143522.138762141</v>
      </c>
      <c r="I51" s="9" t="n">
        <v>5873.29086128795</v>
      </c>
      <c r="J51" s="9"/>
      <c r="K51" s="9" t="n">
        <v>149591.708061298</v>
      </c>
      <c r="L51" s="9" t="n">
        <v>174021.017470361</v>
      </c>
      <c r="M51" s="10" t="n">
        <f aca="false">N(I51)+N(J51)</f>
        <v>5873.29086128795</v>
      </c>
      <c r="N51" s="11" t="n">
        <f aca="false">F51+G51+H51+M51+K51-L51-E51</f>
        <v>0</v>
      </c>
      <c r="O51" s="10" t="n">
        <f aca="false">E51/4</f>
        <v>197808.991385418</v>
      </c>
      <c r="P51" s="12" t="n">
        <f aca="false">E51/E47-1</f>
        <v>0.0403103203233863</v>
      </c>
    </row>
    <row r="52" customFormat="false" ht="15" hidden="false" customHeight="false" outlineLevel="0" collapsed="false">
      <c r="B52" s="7" t="s">
        <v>95</v>
      </c>
      <c r="C52" s="8" t="n">
        <v>2015</v>
      </c>
      <c r="D52" s="8" t="n">
        <v>3</v>
      </c>
      <c r="E52" s="9" t="n">
        <v>718281.265449782</v>
      </c>
      <c r="F52" s="9" t="n">
        <v>518592.727887606</v>
      </c>
      <c r="G52" s="9" t="n">
        <v>98086.7665257292</v>
      </c>
      <c r="H52" s="9" t="n">
        <v>149008.186930871</v>
      </c>
      <c r="I52" s="9" t="n">
        <v>-1820.85516341126</v>
      </c>
      <c r="J52" s="9"/>
      <c r="K52" s="9" t="n">
        <v>147404.705038415</v>
      </c>
      <c r="L52" s="9" t="n">
        <v>192990.265769428</v>
      </c>
      <c r="M52" s="10" t="n">
        <f aca="false">N(I52)+N(J52)</f>
        <v>-1820.85516341126</v>
      </c>
      <c r="N52" s="11" t="n">
        <f aca="false">F52+G52+H52+M52+K52-L52-E52</f>
        <v>0</v>
      </c>
      <c r="O52" s="10" t="n">
        <f aca="false">E52/4</f>
        <v>179570.316362445</v>
      </c>
      <c r="P52" s="12" t="n">
        <f aca="false">E52/E48-1</f>
        <v>0.0396616998607275</v>
      </c>
    </row>
    <row r="53" customFormat="false" ht="15" hidden="false" customHeight="false" outlineLevel="0" collapsed="false">
      <c r="B53" s="7" t="s">
        <v>96</v>
      </c>
      <c r="C53" s="8" t="n">
        <v>2015</v>
      </c>
      <c r="D53" s="8" t="n">
        <v>4</v>
      </c>
      <c r="E53" s="9" t="n">
        <v>703681.544169008</v>
      </c>
      <c r="F53" s="9" t="n">
        <v>489467.325358822</v>
      </c>
      <c r="G53" s="9" t="n">
        <v>103040.471421871</v>
      </c>
      <c r="H53" s="9" t="n">
        <v>142300.301909566</v>
      </c>
      <c r="I53" s="9" t="n">
        <v>19224.0324128389</v>
      </c>
      <c r="J53" s="9"/>
      <c r="K53" s="9" t="n">
        <v>127344.369957352</v>
      </c>
      <c r="L53" s="9" t="n">
        <v>177694.956891441</v>
      </c>
      <c r="M53" s="10" t="n">
        <f aca="false">N(I53)+N(J53)</f>
        <v>19224.0324128389</v>
      </c>
      <c r="N53" s="11" t="n">
        <f aca="false">F53+G53+H53+M53+K53-L53-E53</f>
        <v>0</v>
      </c>
      <c r="O53" s="10" t="n">
        <f aca="false">E53/4</f>
        <v>175920.386042252</v>
      </c>
      <c r="P53" s="12" t="n">
        <f aca="false">E53/E49-1</f>
        <v>0.0247270091543546</v>
      </c>
    </row>
    <row r="54" customFormat="false" ht="15" hidden="false" customHeight="false" outlineLevel="0" collapsed="false">
      <c r="B54" s="7" t="s">
        <v>97</v>
      </c>
      <c r="C54" s="8" t="n">
        <v>2016</v>
      </c>
      <c r="D54" s="8" t="n">
        <v>1</v>
      </c>
      <c r="E54" s="9" t="n">
        <v>677652.089115703</v>
      </c>
      <c r="F54" s="9" t="n">
        <v>520749.188977696</v>
      </c>
      <c r="G54" s="9" t="n">
        <v>90566.2923396524</v>
      </c>
      <c r="H54" s="9" t="n">
        <v>124425.518411567</v>
      </c>
      <c r="I54" s="9" t="n">
        <v>-12038.5614806371</v>
      </c>
      <c r="J54" s="9"/>
      <c r="K54" s="9" t="n">
        <v>133430.07456094</v>
      </c>
      <c r="L54" s="9" t="n">
        <v>179480.423693516</v>
      </c>
      <c r="M54" s="10" t="n">
        <f aca="false">N(I54)+N(J54)</f>
        <v>-12038.5614806371</v>
      </c>
      <c r="N54" s="11" t="n">
        <f aca="false">F54+G54+H54+M54+K54-L54-E54</f>
        <v>0</v>
      </c>
      <c r="O54" s="10" t="n">
        <f aca="false">E54/4</f>
        <v>169413.022278926</v>
      </c>
      <c r="P54" s="12" t="n">
        <f aca="false">E54/E50-1</f>
        <v>0.00728692545281007</v>
      </c>
    </row>
    <row r="55" customFormat="false" ht="15" hidden="false" customHeight="false" outlineLevel="0" collapsed="false">
      <c r="B55" s="7" t="s">
        <v>98</v>
      </c>
      <c r="C55" s="8" t="n">
        <v>2016</v>
      </c>
      <c r="D55" s="8" t="n">
        <v>2</v>
      </c>
      <c r="E55" s="9" t="n">
        <v>760703.280151656</v>
      </c>
      <c r="F55" s="9" t="n">
        <v>558368.43539579</v>
      </c>
      <c r="G55" s="9" t="n">
        <v>94085.7330193452</v>
      </c>
      <c r="H55" s="9" t="n">
        <v>134589.437954519</v>
      </c>
      <c r="I55" s="9" t="n">
        <v>13299.1247625746</v>
      </c>
      <c r="J55" s="9"/>
      <c r="K55" s="9" t="n">
        <v>148260.210877463</v>
      </c>
      <c r="L55" s="9" t="n">
        <v>187899.661858036</v>
      </c>
      <c r="M55" s="10" t="n">
        <f aca="false">N(I55)+N(J55)</f>
        <v>13299.1247625746</v>
      </c>
      <c r="N55" s="11" t="n">
        <f aca="false">F55+G55+H55+M55+K55-L55-E55</f>
        <v>0</v>
      </c>
      <c r="O55" s="10" t="n">
        <f aca="false">E55/4</f>
        <v>190175.820037914</v>
      </c>
      <c r="P55" s="12" t="n">
        <f aca="false">E55/E51-1</f>
        <v>-0.0385885964740134</v>
      </c>
    </row>
    <row r="56" customFormat="false" ht="15" hidden="false" customHeight="false" outlineLevel="0" collapsed="false">
      <c r="B56" s="7" t="s">
        <v>99</v>
      </c>
      <c r="C56" s="8" t="n">
        <v>2016</v>
      </c>
      <c r="D56" s="8" t="n">
        <v>3</v>
      </c>
      <c r="E56" s="9" t="n">
        <v>694382.475776231</v>
      </c>
      <c r="F56" s="9" t="n">
        <v>506410.570712776</v>
      </c>
      <c r="G56" s="9" t="n">
        <v>96873.9578147511</v>
      </c>
      <c r="H56" s="9" t="n">
        <v>137185.495077823</v>
      </c>
      <c r="I56" s="9" t="n">
        <v>28.5239461592324</v>
      </c>
      <c r="J56" s="9"/>
      <c r="K56" s="9" t="n">
        <v>146914.031598394</v>
      </c>
      <c r="L56" s="9" t="n">
        <v>193030.103373673</v>
      </c>
      <c r="M56" s="10" t="n">
        <f aca="false">N(I56)+N(J56)</f>
        <v>28.5239461592324</v>
      </c>
      <c r="N56" s="11" t="n">
        <f aca="false">F56+G56+H56+M56+K56-L56-E56</f>
        <v>0</v>
      </c>
      <c r="O56" s="10" t="n">
        <f aca="false">E56/4</f>
        <v>173595.618944058</v>
      </c>
      <c r="P56" s="12" t="n">
        <f aca="false">E56/E52-1</f>
        <v>-0.0332721885187776</v>
      </c>
    </row>
    <row r="57" customFormat="false" ht="15" hidden="false" customHeight="false" outlineLevel="0" collapsed="false">
      <c r="B57" s="7" t="s">
        <v>100</v>
      </c>
      <c r="C57" s="8" t="n">
        <v>2016</v>
      </c>
      <c r="D57" s="8" t="n">
        <v>4</v>
      </c>
      <c r="E57" s="9" t="n">
        <v>693173.549347058</v>
      </c>
      <c r="F57" s="9" t="n">
        <v>482792.360064934</v>
      </c>
      <c r="G57" s="9" t="n">
        <v>103611.655513546</v>
      </c>
      <c r="H57" s="9" t="n">
        <v>134851.77049515</v>
      </c>
      <c r="I57" s="9" t="n">
        <v>16933.4347537723</v>
      </c>
      <c r="J57" s="9"/>
      <c r="K57" s="9" t="n">
        <v>140767.707160944</v>
      </c>
      <c r="L57" s="9" t="n">
        <v>185783.378641289</v>
      </c>
      <c r="M57" s="10" t="n">
        <f aca="false">N(I57)+N(J57)</f>
        <v>16933.4347537723</v>
      </c>
      <c r="N57" s="11" t="n">
        <f aca="false">F57+G57+H57+M57+K57-L57-E57</f>
        <v>0</v>
      </c>
      <c r="O57" s="10" t="n">
        <f aca="false">E57/4</f>
        <v>173293.387336764</v>
      </c>
      <c r="P57" s="12" t="n">
        <f aca="false">E57/E53-1</f>
        <v>-0.0149328839288507</v>
      </c>
    </row>
    <row r="58" customFormat="false" ht="15" hidden="false" customHeight="false" outlineLevel="0" collapsed="false">
      <c r="B58" s="7" t="s">
        <v>101</v>
      </c>
      <c r="C58" s="8" t="n">
        <v>2017</v>
      </c>
      <c r="D58" s="8" t="n">
        <v>1</v>
      </c>
      <c r="E58" s="9" t="n">
        <v>681444.766110222</v>
      </c>
      <c r="F58" s="9" t="n">
        <v>536011.267968863</v>
      </c>
      <c r="G58" s="9" t="n">
        <v>92114.4675172662</v>
      </c>
      <c r="H58" s="9" t="n">
        <v>131486.245995369</v>
      </c>
      <c r="I58" s="9" t="n">
        <v>-18623.1230260323</v>
      </c>
      <c r="J58" s="9"/>
      <c r="K58" s="9" t="n">
        <v>134667.574406057</v>
      </c>
      <c r="L58" s="9" t="n">
        <v>194211.6667513</v>
      </c>
      <c r="M58" s="10" t="n">
        <f aca="false">N(I58)+N(J58)</f>
        <v>-18623.1230260323</v>
      </c>
      <c r="N58" s="11" t="n">
        <f aca="false">F58+G58+H58+M58+K58-L58-E58</f>
        <v>0</v>
      </c>
      <c r="O58" s="10" t="n">
        <f aca="false">E58/4</f>
        <v>170361.191527556</v>
      </c>
      <c r="P58" s="12" t="n">
        <f aca="false">E58/E54-1</f>
        <v>0.00559679082443165</v>
      </c>
    </row>
    <row r="59" customFormat="false" ht="15" hidden="false" customHeight="false" outlineLevel="0" collapsed="false">
      <c r="B59" s="7" t="s">
        <v>102</v>
      </c>
      <c r="C59" s="8" t="n">
        <v>2017</v>
      </c>
      <c r="D59" s="8" t="n">
        <v>2</v>
      </c>
      <c r="E59" s="9" t="n">
        <v>778401.676449317</v>
      </c>
      <c r="F59" s="9" t="n">
        <v>579761.663474001</v>
      </c>
      <c r="G59" s="9" t="n">
        <v>98369.9061242564</v>
      </c>
      <c r="H59" s="9" t="n">
        <v>147917.725133811</v>
      </c>
      <c r="I59" s="9" t="n">
        <v>13273.5704071686</v>
      </c>
      <c r="J59" s="9"/>
      <c r="K59" s="9" t="n">
        <v>150287.561998742</v>
      </c>
      <c r="L59" s="9" t="n">
        <v>211208.750688662</v>
      </c>
      <c r="M59" s="10" t="n">
        <f aca="false">N(I59)+N(J59)</f>
        <v>13273.5704071686</v>
      </c>
      <c r="N59" s="11" t="n">
        <f aca="false">F59+G59+H59+M59+K59-L59-E59</f>
        <v>0</v>
      </c>
      <c r="O59" s="10" t="n">
        <f aca="false">E59/4</f>
        <v>194600.419112329</v>
      </c>
      <c r="P59" s="12" t="n">
        <f aca="false">E59/E55-1</f>
        <v>0.0232658340767662</v>
      </c>
    </row>
    <row r="60" customFormat="false" ht="15" hidden="false" customHeight="false" outlineLevel="0" collapsed="false">
      <c r="B60" s="7" t="s">
        <v>103</v>
      </c>
      <c r="C60" s="8" t="n">
        <v>2017</v>
      </c>
      <c r="D60" s="8" t="n">
        <v>3</v>
      </c>
      <c r="E60" s="9" t="n">
        <v>721120.426852794</v>
      </c>
      <c r="F60" s="9" t="n">
        <v>530448.743500447</v>
      </c>
      <c r="G60" s="9" t="n">
        <v>99417.5847205502</v>
      </c>
      <c r="H60" s="9" t="n">
        <v>160592.396909111</v>
      </c>
      <c r="I60" s="9" t="n">
        <v>5874.43585026474</v>
      </c>
      <c r="J60" s="9"/>
      <c r="K60" s="9" t="n">
        <v>153867.072575659</v>
      </c>
      <c r="L60" s="9" t="n">
        <v>229079.806703237</v>
      </c>
      <c r="M60" s="10" t="n">
        <f aca="false">N(I60)+N(J60)</f>
        <v>5874.43585026474</v>
      </c>
      <c r="N60" s="11" t="n">
        <f aca="false">F60+G60+H60+M60+K60-L60-E60</f>
        <v>0</v>
      </c>
      <c r="O60" s="10" t="n">
        <f aca="false">E60/4</f>
        <v>180280.106713199</v>
      </c>
      <c r="P60" s="12" t="n">
        <f aca="false">E60/E56-1</f>
        <v>0.0385060856362685</v>
      </c>
    </row>
    <row r="61" customFormat="false" ht="15" hidden="false" customHeight="false" outlineLevel="0" collapsed="false">
      <c r="B61" s="7" t="s">
        <v>104</v>
      </c>
      <c r="C61" s="8" t="n">
        <v>2017</v>
      </c>
      <c r="D61" s="8" t="n">
        <v>4</v>
      </c>
      <c r="E61" s="9" t="n">
        <v>724592.921638963</v>
      </c>
      <c r="F61" s="9" t="n">
        <v>508108.823941461</v>
      </c>
      <c r="G61" s="9" t="n">
        <v>105392.239708815</v>
      </c>
      <c r="H61" s="9" t="n">
        <v>162113.689778692</v>
      </c>
      <c r="I61" s="9" t="n">
        <v>31515.6729210412</v>
      </c>
      <c r="J61" s="9"/>
      <c r="K61" s="9" t="n">
        <v>145441.119314882</v>
      </c>
      <c r="L61" s="9" t="n">
        <v>227978.624025928</v>
      </c>
      <c r="M61" s="10" t="n">
        <f aca="false">N(I61)+N(J61)</f>
        <v>31515.6729210412</v>
      </c>
      <c r="N61" s="11" t="n">
        <f aca="false">F61+G61+H61+M61+K61-L61-E61</f>
        <v>0</v>
      </c>
      <c r="O61" s="10" t="n">
        <f aca="false">E61/4</f>
        <v>181148.230409741</v>
      </c>
      <c r="P61" s="12" t="n">
        <f aca="false">E61/E57-1</f>
        <v>0.0453268482640472</v>
      </c>
    </row>
    <row r="62" customFormat="false" ht="15" hidden="false" customHeight="false" outlineLevel="0" collapsed="false">
      <c r="B62" s="7" t="s">
        <v>105</v>
      </c>
      <c r="C62" s="8" t="n">
        <v>2018</v>
      </c>
      <c r="D62" s="8" t="n">
        <v>1</v>
      </c>
      <c r="E62" s="9" t="n">
        <v>707324.268057214</v>
      </c>
      <c r="F62" s="9" t="n">
        <v>552912.878592091</v>
      </c>
      <c r="G62" s="9" t="n">
        <v>92056.1938646973</v>
      </c>
      <c r="H62" s="9" t="n">
        <v>152300.604210998</v>
      </c>
      <c r="I62" s="9" t="n">
        <v>-9443.67209755797</v>
      </c>
      <c r="J62" s="9"/>
      <c r="K62" s="9" t="n">
        <v>144939.932219669</v>
      </c>
      <c r="L62" s="9" t="n">
        <v>225441.668732683</v>
      </c>
      <c r="M62" s="10" t="n">
        <f aca="false">N(I62)+N(J62)</f>
        <v>-9443.67209755797</v>
      </c>
      <c r="N62" s="11" t="n">
        <f aca="false">F62+G62+H62+M62+K62-L62-E62</f>
        <v>0</v>
      </c>
      <c r="O62" s="10" t="n">
        <f aca="false">E62/4</f>
        <v>176831.067014304</v>
      </c>
      <c r="P62" s="12" t="n">
        <f aca="false">E62/E58-1</f>
        <v>0.0379774021814201</v>
      </c>
    </row>
    <row r="63" customFormat="false" ht="15" hidden="false" customHeight="false" outlineLevel="0" collapsed="false">
      <c r="B63" s="7" t="s">
        <v>106</v>
      </c>
      <c r="C63" s="8" t="n">
        <v>2018</v>
      </c>
      <c r="D63" s="8" t="n">
        <v>2</v>
      </c>
      <c r="E63" s="9" t="n">
        <v>747428.299954575</v>
      </c>
      <c r="F63" s="9" t="n">
        <v>588455.756529514</v>
      </c>
      <c r="G63" s="9" t="n">
        <v>97624.1805461115</v>
      </c>
      <c r="H63" s="9" t="n">
        <v>151659.16792457</v>
      </c>
      <c r="I63" s="9" t="n">
        <v>-7901.44387522044</v>
      </c>
      <c r="J63" s="9"/>
      <c r="K63" s="9" t="n">
        <v>137726.120650171</v>
      </c>
      <c r="L63" s="9" t="n">
        <v>220135.481820572</v>
      </c>
      <c r="M63" s="10" t="n">
        <f aca="false">N(I63)+N(J63)</f>
        <v>-7901.44387522044</v>
      </c>
      <c r="N63" s="11" t="n">
        <f aca="false">F63+G63+H63+M63+K63-L63-E63</f>
        <v>0</v>
      </c>
      <c r="O63" s="10" t="n">
        <f aca="false">E63/4</f>
        <v>186857.074988644</v>
      </c>
      <c r="P63" s="12" t="n">
        <f aca="false">E63/E59-1</f>
        <v>-0.039790994073943</v>
      </c>
    </row>
    <row r="64" customFormat="false" ht="15" hidden="false" customHeight="false" outlineLevel="0" collapsed="false">
      <c r="B64" s="7" t="s">
        <v>107</v>
      </c>
      <c r="C64" s="8" t="n">
        <v>2018</v>
      </c>
      <c r="D64" s="8" t="n">
        <v>3</v>
      </c>
      <c r="E64" s="9" t="n">
        <v>696101.583521808</v>
      </c>
      <c r="F64" s="9" t="n">
        <v>513316.292978474</v>
      </c>
      <c r="G64" s="9" t="n">
        <v>96923.5330149796</v>
      </c>
      <c r="H64" s="9" t="n">
        <v>142066.415247483</v>
      </c>
      <c r="I64" s="9" t="n">
        <v>6049.89701138672</v>
      </c>
      <c r="J64" s="9"/>
      <c r="K64" s="9" t="n">
        <v>144474.374185467</v>
      </c>
      <c r="L64" s="9" t="n">
        <v>206728.928915982</v>
      </c>
      <c r="M64" s="10" t="n">
        <f aca="false">N(I64)+N(J64)</f>
        <v>6049.89701138672</v>
      </c>
      <c r="N64" s="11" t="n">
        <f aca="false">F64+G64+H64+M64+K64-L64-E64</f>
        <v>0</v>
      </c>
      <c r="O64" s="10" t="n">
        <f aca="false">E64/4</f>
        <v>174025.395880452</v>
      </c>
      <c r="P64" s="12" t="n">
        <f aca="false">E64/E60-1</f>
        <v>-0.0346944038739507</v>
      </c>
    </row>
    <row r="65" customFormat="false" ht="15" hidden="false" customHeight="false" outlineLevel="0" collapsed="false">
      <c r="B65" s="7" t="s">
        <v>108</v>
      </c>
      <c r="C65" s="8" t="n">
        <v>2018</v>
      </c>
      <c r="D65" s="8" t="n">
        <v>4</v>
      </c>
      <c r="E65" s="9" t="n">
        <v>678655.620384454</v>
      </c>
      <c r="F65" s="9" t="n">
        <v>451265.209050762</v>
      </c>
      <c r="G65" s="9" t="n">
        <v>101213.659434778</v>
      </c>
      <c r="H65" s="9" t="n">
        <v>121488.74616914</v>
      </c>
      <c r="I65" s="9" t="n">
        <v>15485.4657516168</v>
      </c>
      <c r="J65" s="9"/>
      <c r="K65" s="9" t="n">
        <v>160897.220383317</v>
      </c>
      <c r="L65" s="9" t="n">
        <v>171694.68040516</v>
      </c>
      <c r="M65" s="10" t="n">
        <f aca="false">N(I65)+N(J65)</f>
        <v>15485.4657516168</v>
      </c>
      <c r="N65" s="11" t="n">
        <f aca="false">F65+G65+H65+M65+K65-L65-E65</f>
        <v>0</v>
      </c>
      <c r="O65" s="10" t="n">
        <f aca="false">E65/4</f>
        <v>169663.905096113</v>
      </c>
      <c r="P65" s="12" t="n">
        <f aca="false">E65/E61-1</f>
        <v>-0.0633973916700751</v>
      </c>
    </row>
    <row r="66" customFormat="false" ht="15" hidden="false" customHeight="false" outlineLevel="0" collapsed="false">
      <c r="B66" s="7" t="s">
        <v>109</v>
      </c>
      <c r="C66" s="8" t="n">
        <v>2019</v>
      </c>
      <c r="D66" s="8" t="n">
        <v>1</v>
      </c>
      <c r="E66" s="9" t="n">
        <v>665848.715299709</v>
      </c>
      <c r="F66" s="9" t="n">
        <v>504391.511028332</v>
      </c>
      <c r="G66" s="9" t="n">
        <v>87955.8853158846</v>
      </c>
      <c r="H66" s="9" t="n">
        <v>114187.826003623</v>
      </c>
      <c r="I66" s="9" t="n">
        <v>-17798.7122152411</v>
      </c>
      <c r="J66" s="9"/>
      <c r="K66" s="9" t="n">
        <v>145979.486943964</v>
      </c>
      <c r="L66" s="9" t="n">
        <v>168867.281776853</v>
      </c>
      <c r="M66" s="10" t="n">
        <f aca="false">N(I66)+N(J66)</f>
        <v>-17798.7122152411</v>
      </c>
      <c r="N66" s="11" t="n">
        <f aca="false">F66+G66+H66+M66+K66-L66-E66</f>
        <v>0</v>
      </c>
      <c r="O66" s="10" t="n">
        <f aca="false">E66/4</f>
        <v>166462.178824927</v>
      </c>
      <c r="P66" s="12" t="n">
        <f aca="false">E66/E62-1</f>
        <v>-0.0586372539873753</v>
      </c>
    </row>
    <row r="67" customFormat="false" ht="15" hidden="false" customHeight="false" outlineLevel="0" collapsed="false">
      <c r="B67" s="7" t="s">
        <v>110</v>
      </c>
      <c r="C67" s="8" t="n">
        <v>2019</v>
      </c>
      <c r="D67" s="8" t="n">
        <v>2</v>
      </c>
      <c r="E67" s="9" t="n">
        <v>751784.460777133</v>
      </c>
      <c r="F67" s="9" t="n">
        <v>550677.285400357</v>
      </c>
      <c r="G67" s="9" t="n">
        <v>93381.8643089007</v>
      </c>
      <c r="H67" s="9" t="n">
        <v>123592.227801703</v>
      </c>
      <c r="I67" s="9" t="n">
        <v>-4122.0504506095</v>
      </c>
      <c r="J67" s="9"/>
      <c r="K67" s="9" t="n">
        <v>159369.07377884</v>
      </c>
      <c r="L67" s="9" t="n">
        <v>171113.940062059</v>
      </c>
      <c r="M67" s="10" t="n">
        <f aca="false">N(I67)+N(J67)</f>
        <v>-4122.0504506095</v>
      </c>
      <c r="N67" s="11" t="n">
        <f aca="false">F67+G67+H67+M67+K67-L67-E67</f>
        <v>0</v>
      </c>
      <c r="O67" s="10" t="n">
        <f aca="false">E67/4</f>
        <v>187946.115194283</v>
      </c>
      <c r="P67" s="12" t="n">
        <f aca="false">E67/E63-1</f>
        <v>0.00582819893603537</v>
      </c>
    </row>
    <row r="68" customFormat="false" ht="15" hidden="false" customHeight="false" outlineLevel="0" collapsed="false">
      <c r="B68" s="7" t="s">
        <v>111</v>
      </c>
      <c r="C68" s="8" t="n">
        <v>2019</v>
      </c>
      <c r="D68" s="8" t="n">
        <v>3</v>
      </c>
      <c r="E68" s="9" t="n">
        <v>683900.898552578</v>
      </c>
      <c r="F68" s="9" t="n">
        <v>480415.60689609</v>
      </c>
      <c r="G68" s="9" t="n">
        <v>88666.34984709</v>
      </c>
      <c r="H68" s="9" t="n">
        <v>127742.49807995</v>
      </c>
      <c r="I68" s="9" t="n">
        <v>-2865.41146314697</v>
      </c>
      <c r="J68" s="9"/>
      <c r="K68" s="9" t="n">
        <v>166474.09168043</v>
      </c>
      <c r="L68" s="9" t="n">
        <v>176396.742917375</v>
      </c>
      <c r="M68" s="10" t="n">
        <f aca="false">N(I68)+N(J68)</f>
        <v>-2865.41146314697</v>
      </c>
      <c r="N68" s="11" t="n">
        <f aca="false">F68+G68+H68+M68+K68-L68-E68</f>
        <v>135.493570459192</v>
      </c>
      <c r="O68" s="10" t="n">
        <f aca="false">E68/4</f>
        <v>170975.224638145</v>
      </c>
      <c r="P68" s="12" t="n">
        <f aca="false">E68/E64-1</f>
        <v>-0.0175271616356651</v>
      </c>
    </row>
    <row r="69" customFormat="false" ht="15" hidden="false" customHeight="false" outlineLevel="0" collapsed="false">
      <c r="B69" s="7" t="s">
        <v>112</v>
      </c>
      <c r="C69" s="8" t="n">
        <v>2019</v>
      </c>
      <c r="D69" s="8" t="n">
        <v>4</v>
      </c>
      <c r="E69" s="9" t="n">
        <v>671361.13972242</v>
      </c>
      <c r="F69" s="9" t="n">
        <v>441436.049807222</v>
      </c>
      <c r="G69" s="9" t="n">
        <v>92992.6455711308</v>
      </c>
      <c r="H69" s="9" t="n">
        <v>111464.939823823</v>
      </c>
      <c r="I69" s="9" t="n">
        <v>6361.62472743818</v>
      </c>
      <c r="J69" s="9"/>
      <c r="K69" s="9" t="n">
        <v>173554.695405915</v>
      </c>
      <c r="L69" s="9" t="n">
        <v>153557.481804572</v>
      </c>
      <c r="M69" s="10" t="n">
        <f aca="false">N(I69)+N(J69)</f>
        <v>6361.62472743818</v>
      </c>
      <c r="N69" s="11" t="n">
        <f aca="false">F69+G69+H69+M69+K69-L69-E69</f>
        <v>891.333808537456</v>
      </c>
      <c r="O69" s="10" t="n">
        <f aca="false">E69/4</f>
        <v>167840.284930605</v>
      </c>
      <c r="P69" s="12" t="n">
        <f aca="false">E69/E65-1</f>
        <v>-0.0107484273951806</v>
      </c>
    </row>
    <row r="70" customFormat="false" ht="15" hidden="false" customHeight="false" outlineLevel="0" collapsed="false">
      <c r="B70" s="7" t="s">
        <v>113</v>
      </c>
      <c r="C70" s="8" t="n">
        <v>2020</v>
      </c>
      <c r="D70" s="8" t="n">
        <v>1</v>
      </c>
      <c r="E70" s="9" t="n">
        <v>632389.35353461</v>
      </c>
      <c r="F70" s="9" t="n">
        <v>470887.434281546</v>
      </c>
      <c r="G70" s="9" t="n">
        <v>87736.3453810209</v>
      </c>
      <c r="H70" s="9" t="n">
        <v>93438.7988495679</v>
      </c>
      <c r="I70" s="9" t="n">
        <v>-11049.7145044114</v>
      </c>
      <c r="J70" s="9"/>
      <c r="K70" s="9" t="n">
        <v>139323.354807355</v>
      </c>
      <c r="L70" s="9" t="n">
        <v>147946.865280468</v>
      </c>
      <c r="M70" s="10" t="n">
        <f aca="false">N(I70)+N(J70)</f>
        <v>-11049.7145044114</v>
      </c>
      <c r="N70" s="11" t="n">
        <f aca="false">F70+G70+H70+M70+K70-L70-E70</f>
        <v>0</v>
      </c>
      <c r="O70" s="10" t="n">
        <f aca="false">E70/4</f>
        <v>158097.338383653</v>
      </c>
      <c r="P70" s="12" t="n">
        <f aca="false">E70/E66-1</f>
        <v>-0.0502506965865936</v>
      </c>
    </row>
    <row r="71" customFormat="false" ht="15" hidden="false" customHeight="false" outlineLevel="0" collapsed="false">
      <c r="B71" s="7" t="s">
        <v>114</v>
      </c>
      <c r="C71" s="8" t="n">
        <v>2020</v>
      </c>
      <c r="D71" s="8" t="n">
        <v>2</v>
      </c>
      <c r="E71" s="9" t="n">
        <v>609379.989464801</v>
      </c>
      <c r="F71" s="9" t="n">
        <v>434291.221915591</v>
      </c>
      <c r="G71" s="9" t="n">
        <v>87928.544809613</v>
      </c>
      <c r="H71" s="9" t="n">
        <v>76231.1578654573</v>
      </c>
      <c r="I71" s="9" t="n">
        <v>-6832.34741877711</v>
      </c>
      <c r="J71" s="9"/>
      <c r="K71" s="9" t="n">
        <v>136593.328367229</v>
      </c>
      <c r="L71" s="9" t="n">
        <v>118831.916074312</v>
      </c>
      <c r="M71" s="10" t="n">
        <f aca="false">N(I71)+N(J71)</f>
        <v>-6832.34741877711</v>
      </c>
      <c r="N71" s="11" t="n">
        <f aca="false">F71+G71+H71+M71+K71-L71-E71</f>
        <v>0</v>
      </c>
      <c r="O71" s="10" t="n">
        <f aca="false">E71/4</f>
        <v>152344.9973662</v>
      </c>
      <c r="P71" s="12" t="n">
        <f aca="false">E71/E67-1</f>
        <v>-0.189421940385846</v>
      </c>
    </row>
    <row r="72" customFormat="false" ht="15" hidden="false" customHeight="false" outlineLevel="0" collapsed="false">
      <c r="B72" s="7" t="s">
        <v>115</v>
      </c>
      <c r="C72" s="8" t="n">
        <v>2020</v>
      </c>
      <c r="D72" s="8" t="n">
        <v>3</v>
      </c>
      <c r="E72" s="9" t="n">
        <v>614192.478404223</v>
      </c>
      <c r="F72" s="9" t="n">
        <v>408971.262975704</v>
      </c>
      <c r="G72" s="9" t="n">
        <v>86984.6336691521</v>
      </c>
      <c r="H72" s="9" t="n">
        <v>116052.699104759</v>
      </c>
      <c r="I72" s="9" t="n">
        <v>2771.33571306956</v>
      </c>
      <c r="J72" s="9"/>
      <c r="K72" s="9" t="n">
        <v>136347.822481101</v>
      </c>
      <c r="L72" s="9" t="n">
        <v>136935.275539562</v>
      </c>
      <c r="M72" s="10" t="n">
        <f aca="false">N(I72)+N(J72)</f>
        <v>2771.33571306956</v>
      </c>
      <c r="N72" s="11" t="n">
        <f aca="false">F72+G72+H72+M72+K72-L72-E72</f>
        <v>0</v>
      </c>
      <c r="O72" s="10" t="n">
        <f aca="false">E72/4</f>
        <v>153548.119601056</v>
      </c>
      <c r="P72" s="12" t="n">
        <f aca="false">E72/E68-1</f>
        <v>-0.101927662759163</v>
      </c>
    </row>
    <row r="73" customFormat="false" ht="15" hidden="false" customHeight="false" outlineLevel="0" collapsed="false">
      <c r="B73" s="7" t="s">
        <v>116</v>
      </c>
      <c r="C73" s="8" t="n">
        <v>2020</v>
      </c>
      <c r="D73" s="8" t="n">
        <v>4</v>
      </c>
      <c r="E73" s="9" t="n">
        <v>642403.32319795</v>
      </c>
      <c r="F73" s="9" t="n">
        <v>422152.316935035</v>
      </c>
      <c r="G73" s="9" t="n">
        <v>93008.979212824</v>
      </c>
      <c r="H73" s="9" t="n">
        <v>128941.85089797</v>
      </c>
      <c r="I73" s="9" t="n">
        <v>28647.3725376502</v>
      </c>
      <c r="J73" s="9"/>
      <c r="K73" s="9" t="n">
        <v>120573.806208508</v>
      </c>
      <c r="L73" s="9" t="n">
        <v>150921.002594037</v>
      </c>
      <c r="M73" s="10" t="n">
        <f aca="false">N(I73)+N(J73)</f>
        <v>28647.3725376502</v>
      </c>
      <c r="N73" s="11" t="n">
        <f aca="false">F73+G73+H73+M73+K73-L73-E73</f>
        <v>0</v>
      </c>
      <c r="O73" s="10" t="n">
        <f aca="false">E73/4</f>
        <v>160600.830799488</v>
      </c>
      <c r="P73" s="12" t="n">
        <f aca="false">E73/E69-1</f>
        <v>-0.0431329947641036</v>
      </c>
    </row>
    <row r="74" customFormat="false" ht="15" hidden="false" customHeight="false" outlineLevel="0" collapsed="false">
      <c r="B74" s="7" t="s">
        <v>117</v>
      </c>
      <c r="C74" s="8" t="n">
        <v>2021</v>
      </c>
      <c r="D74" s="8" t="n">
        <v>1</v>
      </c>
      <c r="E74" s="9" t="n">
        <v>652831.976706322</v>
      </c>
      <c r="F74" s="9" t="n">
        <v>473418.886633876</v>
      </c>
      <c r="G74" s="9" t="n">
        <v>88352.4958270482</v>
      </c>
      <c r="H74" s="9" t="n">
        <v>129688.334328836</v>
      </c>
      <c r="I74" s="9" t="n">
        <v>-16381.8202540132</v>
      </c>
      <c r="J74" s="9"/>
      <c r="K74" s="9" t="n">
        <v>125271.192429644</v>
      </c>
      <c r="L74" s="9" t="n">
        <v>147517.11225907</v>
      </c>
      <c r="M74" s="10" t="n">
        <f aca="false">N(I74)+N(J74)</f>
        <v>-16381.8202540132</v>
      </c>
      <c r="N74" s="11" t="n">
        <f aca="false">F74+G74+H74+M74+K74-L74-E74</f>
        <v>0</v>
      </c>
      <c r="O74" s="10" t="n">
        <f aca="false">E74/4</f>
        <v>163207.99417658</v>
      </c>
      <c r="P74" s="12" t="n">
        <f aca="false">E74/E70-1</f>
        <v>0.0323260077948051</v>
      </c>
    </row>
    <row r="75" customFormat="false" ht="15" hidden="false" customHeight="false" outlineLevel="0" collapsed="false">
      <c r="B75" s="7" t="s">
        <v>118</v>
      </c>
      <c r="C75" s="8" t="n">
        <v>2021</v>
      </c>
      <c r="D75" s="8" t="n">
        <v>2</v>
      </c>
      <c r="E75" s="9" t="n">
        <v>723516.622490675</v>
      </c>
      <c r="F75" s="9" t="n">
        <v>514737.793540923</v>
      </c>
      <c r="G75" s="9" t="n">
        <v>93809.853002087</v>
      </c>
      <c r="H75" s="9" t="n">
        <v>136177.696933045</v>
      </c>
      <c r="I75" s="9" t="n">
        <v>-4393.76164757926</v>
      </c>
      <c r="J75" s="9"/>
      <c r="K75" s="9" t="n">
        <v>146242.563976528</v>
      </c>
      <c r="L75" s="9" t="n">
        <v>163057.523314329</v>
      </c>
      <c r="M75" s="10" t="n">
        <f aca="false">N(I75)+N(J75)</f>
        <v>-4393.76164757926</v>
      </c>
      <c r="N75" s="11" t="n">
        <f aca="false">F75+G75+H75+M75+K75-L75-E75</f>
        <v>0</v>
      </c>
      <c r="O75" s="10" t="n">
        <f aca="false">E75/4</f>
        <v>180879.155622669</v>
      </c>
      <c r="P75" s="12" t="n">
        <f aca="false">E75/E71-1</f>
        <v>0.187299607796633</v>
      </c>
    </row>
    <row r="76" customFormat="false" ht="15" hidden="false" customHeight="false" outlineLevel="0" collapsed="false">
      <c r="B76" s="7" t="s">
        <v>119</v>
      </c>
      <c r="C76" s="8" t="n">
        <v>2021</v>
      </c>
      <c r="D76" s="8" t="n">
        <v>3</v>
      </c>
      <c r="E76" s="9" t="n">
        <v>686756.467826674</v>
      </c>
      <c r="F76" s="9" t="n">
        <v>449491.733681796</v>
      </c>
      <c r="G76" s="9" t="n">
        <v>95108.6171082628</v>
      </c>
      <c r="H76" s="9" t="n">
        <v>141727.54916135</v>
      </c>
      <c r="I76" s="9" t="n">
        <v>3827.39921749639</v>
      </c>
      <c r="J76" s="9"/>
      <c r="K76" s="9" t="n">
        <v>161505.188213826</v>
      </c>
      <c r="L76" s="9" t="n">
        <v>164904.019556057</v>
      </c>
      <c r="M76" s="10" t="n">
        <f aca="false">N(I76)+N(J76)</f>
        <v>3827.39921749639</v>
      </c>
      <c r="N76" s="11" t="n">
        <f aca="false">F76+G76+H76+M76+K76-L76-E76</f>
        <v>0</v>
      </c>
      <c r="O76" s="10" t="n">
        <f aca="false">E76/4</f>
        <v>171689.116956669</v>
      </c>
      <c r="P76" s="12" t="n">
        <f aca="false">E76/E72-1</f>
        <v>0.11814535666569</v>
      </c>
    </row>
    <row r="77" customFormat="false" ht="15" hidden="false" customHeight="false" outlineLevel="0" collapsed="false">
      <c r="B77" s="7" t="s">
        <v>120</v>
      </c>
      <c r="C77" s="8" t="n">
        <v>2021</v>
      </c>
      <c r="D77" s="8" t="n">
        <v>4</v>
      </c>
      <c r="E77" s="9" t="n">
        <v>696134.669112115</v>
      </c>
      <c r="F77" s="9" t="n">
        <v>463015.567859568</v>
      </c>
      <c r="G77" s="9" t="n">
        <v>103726.72779061</v>
      </c>
      <c r="H77" s="9" t="n">
        <v>148125.392973624</v>
      </c>
      <c r="I77" s="9" t="n">
        <v>18495.754126959</v>
      </c>
      <c r="J77" s="9"/>
      <c r="K77" s="9" t="n">
        <v>144860.428382461</v>
      </c>
      <c r="L77" s="9" t="n">
        <v>182089.202021107</v>
      </c>
      <c r="M77" s="10" t="n">
        <f aca="false">N(I77)+N(J77)</f>
        <v>18495.754126959</v>
      </c>
      <c r="N77" s="11" t="n">
        <f aca="false">F77+G77+H77+M77+K77-L77-E77</f>
        <v>0</v>
      </c>
      <c r="O77" s="10" t="n">
        <f aca="false">E77/4</f>
        <v>174033.667278029</v>
      </c>
      <c r="P77" s="12" t="n">
        <f aca="false">E77/E73-1</f>
        <v>0.08364113941174</v>
      </c>
    </row>
    <row r="78" customFormat="false" ht="15" hidden="false" customHeight="false" outlineLevel="0" collapsed="false">
      <c r="B78" s="7" t="s">
        <v>121</v>
      </c>
      <c r="C78" s="8" t="n">
        <v>2022</v>
      </c>
      <c r="D78" s="8" t="n">
        <v>1</v>
      </c>
      <c r="E78" s="9" t="n">
        <v>697625.284666358</v>
      </c>
      <c r="F78" s="9" t="n">
        <v>516582.480346626</v>
      </c>
      <c r="G78" s="9" t="n">
        <v>94876.3154230497</v>
      </c>
      <c r="H78" s="9" t="n">
        <v>143683.721444142</v>
      </c>
      <c r="I78" s="9" t="n">
        <v>-10285.1273718145</v>
      </c>
      <c r="J78" s="9"/>
      <c r="K78" s="9" t="n">
        <v>135342.642753901</v>
      </c>
      <c r="L78" s="9" t="n">
        <v>182574.747929547</v>
      </c>
      <c r="M78" s="10" t="n">
        <f aca="false">N(I78)+N(J78)</f>
        <v>-10285.1273718145</v>
      </c>
      <c r="N78" s="11" t="n">
        <f aca="false">F78+G78+H78+M78+K78-L78-E78</f>
        <v>0</v>
      </c>
      <c r="O78" s="10" t="n">
        <f aca="false">E78/4</f>
        <v>174406.32116659</v>
      </c>
      <c r="P78" s="12" t="n">
        <f aca="false">E78/E74-1</f>
        <v>0.0686138387185451</v>
      </c>
    </row>
    <row r="79" customFormat="false" ht="15" hidden="false" customHeight="false" outlineLevel="0" collapsed="false">
      <c r="B79" s="7" t="s">
        <v>122</v>
      </c>
      <c r="C79" s="8" t="n">
        <v>2022</v>
      </c>
      <c r="D79" s="8" t="n">
        <v>2</v>
      </c>
      <c r="E79" s="9" t="n">
        <v>782338.628533735</v>
      </c>
      <c r="F79" s="9" t="n">
        <v>576435.438809252</v>
      </c>
      <c r="G79" s="9" t="n">
        <v>99651.2525239743</v>
      </c>
      <c r="H79" s="9" t="n">
        <v>160568.550740254</v>
      </c>
      <c r="I79" s="9" t="n">
        <v>-7371.0004197824</v>
      </c>
      <c r="J79" s="9"/>
      <c r="K79" s="9" t="n">
        <v>157619.701725018</v>
      </c>
      <c r="L79" s="9" t="n">
        <v>204565.314844981</v>
      </c>
      <c r="M79" s="10" t="n">
        <f aca="false">N(I79)+N(J79)</f>
        <v>-7371.0004197824</v>
      </c>
      <c r="N79" s="11" t="n">
        <f aca="false">F79+G79+H79+M79+K79-L79-E79</f>
        <v>0</v>
      </c>
      <c r="O79" s="10" t="n">
        <f aca="false">E79/4</f>
        <v>195584.657133434</v>
      </c>
      <c r="P79" s="12" t="n">
        <f aca="false">E79/E75-1</f>
        <v>0.0813001446194395</v>
      </c>
    </row>
    <row r="80" customFormat="false" ht="15" hidden="false" customHeight="false" outlineLevel="0" collapsed="false">
      <c r="B80" s="7" t="s">
        <v>123</v>
      </c>
      <c r="C80" s="8" t="n">
        <v>2022</v>
      </c>
      <c r="D80" s="8" t="n">
        <v>3</v>
      </c>
      <c r="E80" s="9" t="n">
        <v>732662.163875501</v>
      </c>
      <c r="F80" s="9" t="n">
        <v>497399.57905697</v>
      </c>
      <c r="G80" s="9" t="n">
        <v>96128.7887320401</v>
      </c>
      <c r="H80" s="9" t="n">
        <v>160952.872331844</v>
      </c>
      <c r="I80" s="9" t="n">
        <v>22366.0043144993</v>
      </c>
      <c r="J80" s="9"/>
      <c r="K80" s="9" t="n">
        <v>157115.548409911</v>
      </c>
      <c r="L80" s="9" t="n">
        <v>201300.628969762</v>
      </c>
      <c r="M80" s="10" t="n">
        <f aca="false">N(I80)+N(J80)</f>
        <v>22366.0043144993</v>
      </c>
      <c r="N80" s="11" t="n">
        <f aca="false">F80+G80+H80+M80+K80-L80-E80</f>
        <v>0</v>
      </c>
      <c r="O80" s="10" t="n">
        <f aca="false">E80/4</f>
        <v>183165.540968875</v>
      </c>
      <c r="P80" s="12" t="n">
        <f aca="false">E80/E76-1</f>
        <v>0.066844213632383</v>
      </c>
    </row>
    <row r="81" customFormat="false" ht="15" hidden="false" customHeight="false" outlineLevel="0" collapsed="false">
      <c r="B81" s="7" t="s">
        <v>124</v>
      </c>
      <c r="C81" s="8" t="n">
        <v>2022</v>
      </c>
      <c r="D81" s="8" t="n">
        <v>4</v>
      </c>
      <c r="E81" s="9" t="n">
        <v>712740.457828738</v>
      </c>
      <c r="F81" s="9" t="n">
        <v>490167.719913891</v>
      </c>
      <c r="G81" s="9" t="n">
        <v>100882.286003064</v>
      </c>
      <c r="H81" s="9" t="n">
        <v>148604.109930468</v>
      </c>
      <c r="I81" s="9" t="n">
        <v>3388.3809406164</v>
      </c>
      <c r="J81" s="9"/>
      <c r="K81" s="9" t="n">
        <v>154135.03142408</v>
      </c>
      <c r="L81" s="9" t="n">
        <v>184437.070383381</v>
      </c>
      <c r="M81" s="10" t="n">
        <f aca="false">N(I81)+N(J81)</f>
        <v>3388.3809406164</v>
      </c>
      <c r="N81" s="11" t="n">
        <f aca="false">F81+G81+H81+M81+K81-L81-E81</f>
        <v>0</v>
      </c>
      <c r="O81" s="10" t="n">
        <f aca="false">E81/4</f>
        <v>178185.114457185</v>
      </c>
      <c r="P81" s="12" t="n">
        <f aca="false">E81/E77-1</f>
        <v>0.023854276267842</v>
      </c>
    </row>
    <row r="82" customFormat="false" ht="15" hidden="false" customHeight="false" outlineLevel="0" collapsed="false">
      <c r="B82" s="7" t="s">
        <v>125</v>
      </c>
      <c r="C82" s="8" t="n">
        <v>2023</v>
      </c>
      <c r="D82" s="8" t="n">
        <v>1</v>
      </c>
      <c r="E82" s="9" t="n">
        <v>704009.035177002</v>
      </c>
      <c r="F82" s="9" t="n">
        <v>535974.726635851</v>
      </c>
      <c r="G82" s="9" t="n">
        <v>97699.3729379779</v>
      </c>
      <c r="H82" s="9" t="n">
        <v>141756.110537038</v>
      </c>
      <c r="I82" s="9" t="n">
        <v>-8051.10480918308</v>
      </c>
      <c r="J82" s="9"/>
      <c r="K82" s="9" t="n">
        <v>126446.798003757</v>
      </c>
      <c r="L82" s="9" t="n">
        <v>189816.868128439</v>
      </c>
      <c r="M82" s="10" t="n">
        <f aca="false">N(I82)+N(J82)</f>
        <v>-8051.10480918308</v>
      </c>
      <c r="N82" s="11" t="n">
        <f aca="false">F82+G82+H82+M82+K82-L82-E82</f>
        <v>0</v>
      </c>
      <c r="O82" s="10" t="n">
        <f aca="false">E82/4</f>
        <v>176002.25879425</v>
      </c>
      <c r="P82" s="12" t="n">
        <f aca="false">E82/E78-1</f>
        <v>0.00915068683856046</v>
      </c>
    </row>
    <row r="83" customFormat="false" ht="15" hidden="false" customHeight="false" outlineLevel="0" collapsed="false">
      <c r="B83" s="7" t="s">
        <v>126</v>
      </c>
      <c r="C83" s="8" t="n">
        <v>2023</v>
      </c>
      <c r="D83" s="8" t="n">
        <v>2</v>
      </c>
      <c r="E83" s="9" t="n">
        <v>738128.411227304</v>
      </c>
      <c r="F83" s="9" t="n">
        <v>588087.031823055</v>
      </c>
      <c r="G83" s="9" t="n">
        <v>104013.850900409</v>
      </c>
      <c r="H83" s="9" t="n">
        <v>157587.976034708</v>
      </c>
      <c r="I83" s="9" t="n">
        <v>-36051.0543796846</v>
      </c>
      <c r="J83" s="9"/>
      <c r="K83" s="9" t="n">
        <v>136912.27496015</v>
      </c>
      <c r="L83" s="9" t="n">
        <v>212421.668111333</v>
      </c>
      <c r="M83" s="10" t="n">
        <f aca="false">N(I83)+N(J83)</f>
        <v>-36051.0543796846</v>
      </c>
      <c r="N83" s="11" t="n">
        <f aca="false">F83+G83+H83+M83+K83-L83-E83</f>
        <v>0</v>
      </c>
      <c r="O83" s="10" t="n">
        <f aca="false">E83/4</f>
        <v>184532.102806826</v>
      </c>
      <c r="P83" s="12" t="n">
        <f aca="false">E83/E79-1</f>
        <v>-0.0565103341366259</v>
      </c>
    </row>
    <row r="84" customFormat="false" ht="15" hidden="false" customHeight="false" outlineLevel="0" collapsed="false">
      <c r="B84" s="7" t="s">
        <v>127</v>
      </c>
      <c r="C84" s="8" t="n">
        <v>2023</v>
      </c>
      <c r="D84" s="8" t="n">
        <v>3</v>
      </c>
      <c r="E84" s="9" t="n">
        <v>728542.255847487</v>
      </c>
      <c r="F84" s="9" t="n">
        <v>496373.766653636</v>
      </c>
      <c r="G84" s="9" t="n">
        <v>99537.2290543017</v>
      </c>
      <c r="H84" s="9" t="n">
        <v>162177.089822238</v>
      </c>
      <c r="I84" s="9" t="n">
        <v>31511.9192057948</v>
      </c>
      <c r="J84" s="9"/>
      <c r="K84" s="9" t="n">
        <v>143916.189151725</v>
      </c>
      <c r="L84" s="9" t="n">
        <v>204973.938040209</v>
      </c>
      <c r="M84" s="10" t="n">
        <f aca="false">N(I84)+N(J84)</f>
        <v>31511.9192057948</v>
      </c>
      <c r="N84" s="11" t="n">
        <f aca="false">F84+G84+H84+M84+K84-L84-E84</f>
        <v>0</v>
      </c>
      <c r="O84" s="10" t="n">
        <f aca="false">E84/4</f>
        <v>182135.563961872</v>
      </c>
      <c r="P84" s="12" t="n">
        <f aca="false">E84/E80-1</f>
        <v>-0.00562320293192431</v>
      </c>
    </row>
    <row r="85" customFormat="false" ht="15" hidden="false" customHeight="false" outlineLevel="0" collapsed="false">
      <c r="B85" s="7" t="s">
        <v>128</v>
      </c>
      <c r="C85" s="8" t="n">
        <v>2023</v>
      </c>
      <c r="D85" s="8" t="n">
        <v>4</v>
      </c>
      <c r="E85" s="9" t="n">
        <v>700543.19869756</v>
      </c>
      <c r="F85" s="9" t="n">
        <v>480687.411150461</v>
      </c>
      <c r="G85" s="9" t="n">
        <v>99272.7053137427</v>
      </c>
      <c r="H85" s="9" t="n">
        <v>137053.085025028</v>
      </c>
      <c r="I85" s="9" t="n">
        <v>30180.3878688862</v>
      </c>
      <c r="J85" s="9"/>
      <c r="K85" s="9" t="n">
        <v>136117.333699074</v>
      </c>
      <c r="L85" s="9" t="n">
        <v>182767.724359632</v>
      </c>
      <c r="M85" s="10" t="n">
        <f aca="false">N(I85)+N(J85)</f>
        <v>30180.3878688862</v>
      </c>
      <c r="N85" s="11" t="n">
        <f aca="false">F85+G85+H85+M85+K85-L85-E85</f>
        <v>0</v>
      </c>
      <c r="O85" s="10" t="n">
        <f aca="false">E85/4</f>
        <v>175135.79967439</v>
      </c>
      <c r="P85" s="12" t="n">
        <f aca="false">E85/E81-1</f>
        <v>-0.0171131847465702</v>
      </c>
    </row>
    <row r="86" customFormat="false" ht="15" hidden="false" customHeight="false" outlineLevel="0" collapsed="false">
      <c r="B86" s="7" t="s">
        <v>129</v>
      </c>
      <c r="C86" s="8" t="n">
        <v>2024</v>
      </c>
      <c r="D86" s="8" t="n">
        <v>1</v>
      </c>
      <c r="E86" s="9" t="n">
        <v>668219.630827054</v>
      </c>
      <c r="F86" s="9" t="n">
        <v>508286.74859901</v>
      </c>
      <c r="G86" s="9" t="n">
        <v>93290.7843641365</v>
      </c>
      <c r="H86" s="9" t="n">
        <v>107772.242463998</v>
      </c>
      <c r="I86" s="9" t="n">
        <v>-29378.7711669412</v>
      </c>
      <c r="J86" s="9" t="n">
        <v>4554.4696205369</v>
      </c>
      <c r="K86" s="9" t="n">
        <v>147382.288051746</v>
      </c>
      <c r="L86" s="9" t="n">
        <v>163688.131105433</v>
      </c>
      <c r="M86" s="10" t="n">
        <f aca="false">N(I86)+N(J86)</f>
        <v>-24824.3015464043</v>
      </c>
      <c r="N86" s="11" t="n">
        <f aca="false">F86+G86+H86+M86+K86-L86-E86</f>
        <v>0</v>
      </c>
      <c r="O86" s="10" t="n">
        <f aca="false">E86/4</f>
        <v>167054.907706763</v>
      </c>
      <c r="P86" s="12" t="n">
        <f aca="false">E86/E82-1</f>
        <v>-0.0508365696484984</v>
      </c>
    </row>
    <row r="87" customFormat="false" ht="15" hidden="false" customHeight="false" outlineLevel="0" collapsed="false">
      <c r="B87" s="7" t="s">
        <v>130</v>
      </c>
      <c r="C87" s="8" t="n">
        <v>2024</v>
      </c>
      <c r="D87" s="8" t="n">
        <v>2</v>
      </c>
      <c r="E87" s="9" t="n">
        <v>729909.368719823</v>
      </c>
      <c r="F87" s="9" t="n">
        <v>538393.96480034</v>
      </c>
      <c r="G87" s="9" t="n">
        <v>98261.4882958323</v>
      </c>
      <c r="H87" s="9" t="n">
        <v>111250.67606318</v>
      </c>
      <c r="I87" s="9" t="n">
        <v>-9485.31387648935</v>
      </c>
      <c r="J87" s="9" t="n">
        <v>-8671.41121215338</v>
      </c>
      <c r="K87" s="9" t="n">
        <v>164179.762619633</v>
      </c>
      <c r="L87" s="9" t="n">
        <v>164019.797970519</v>
      </c>
      <c r="M87" s="10" t="n">
        <f aca="false">N(I87)+N(J87)</f>
        <v>-18156.7250886427</v>
      </c>
      <c r="N87" s="11" t="n">
        <f aca="false">F87+G87+H87+M87+K87-L87-E87</f>
        <v>0</v>
      </c>
      <c r="O87" s="10" t="n">
        <f aca="false">E87/4</f>
        <v>182477.342179956</v>
      </c>
      <c r="P87" s="12" t="n">
        <f aca="false">E87/E83-1</f>
        <v>-0.0111349764925249</v>
      </c>
    </row>
    <row r="88" customFormat="false" ht="15" hidden="false" customHeight="false" outlineLevel="0" collapsed="false">
      <c r="B88" s="7" t="s">
        <v>131</v>
      </c>
      <c r="C88" s="8" t="n">
        <v>2024</v>
      </c>
      <c r="D88" s="8" t="n">
        <v>3</v>
      </c>
      <c r="E88" s="9" t="n">
        <v>714299.21795624</v>
      </c>
      <c r="F88" s="9" t="n">
        <v>490119.306834036</v>
      </c>
      <c r="G88" s="9" t="n">
        <v>95614.3762687654</v>
      </c>
      <c r="H88" s="9" t="n">
        <v>134999.676639259</v>
      </c>
      <c r="I88" s="9" t="n">
        <v>16624.8362245673</v>
      </c>
      <c r="J88" s="9" t="n">
        <v>-14763.5671402989</v>
      </c>
      <c r="K88" s="9" t="n">
        <v>172087.515874097</v>
      </c>
      <c r="L88" s="9" t="n">
        <v>180382.926744185</v>
      </c>
      <c r="M88" s="10" t="n">
        <f aca="false">N(I88)+N(J88)</f>
        <v>1861.26908426835</v>
      </c>
      <c r="N88" s="11" t="n">
        <f aca="false">F88+G88+H88+M88+K88-L88-E88</f>
        <v>0</v>
      </c>
      <c r="O88" s="10" t="n">
        <f aca="false">E88/4</f>
        <v>178574.80448906</v>
      </c>
      <c r="P88" s="12" t="n">
        <f aca="false">E88/E84-1</f>
        <v>-0.0195500504973152</v>
      </c>
    </row>
    <row r="89" customFormat="false" ht="15" hidden="false" customHeight="false" outlineLevel="0" collapsed="false">
      <c r="B89" s="7" t="s">
        <v>132</v>
      </c>
      <c r="C89" s="8" t="n">
        <v>2024</v>
      </c>
      <c r="D89" s="8" t="n">
        <v>4</v>
      </c>
      <c r="E89" s="9" t="n">
        <v>719523.320730935</v>
      </c>
      <c r="F89" s="9" t="n">
        <v>504095.16709731</v>
      </c>
      <c r="G89" s="9" t="n">
        <v>101219.344804617</v>
      </c>
      <c r="H89" s="9" t="n">
        <v>139618.47521814</v>
      </c>
      <c r="I89" s="9" t="n">
        <v>26848.3634069183</v>
      </c>
      <c r="J89" s="9" t="n">
        <v>-25287.8550254238</v>
      </c>
      <c r="K89" s="9" t="n">
        <v>172594.555833184</v>
      </c>
      <c r="L89" s="9" t="n">
        <v>199564.73060381</v>
      </c>
      <c r="M89" s="10" t="n">
        <f aca="false">N(I89)+N(J89)</f>
        <v>1560.50838149447</v>
      </c>
      <c r="N89" s="11" t="n">
        <f aca="false">F89+G89+H89+M89+K89-L89-E89</f>
        <v>0</v>
      </c>
      <c r="O89" s="10" t="n">
        <f aca="false">E89/4</f>
        <v>179880.830182734</v>
      </c>
      <c r="P89" s="12" t="n">
        <f aca="false">E89/E85-1</f>
        <v>0.0270934355920698</v>
      </c>
    </row>
    <row r="90" customFormat="false" ht="15" hidden="false" customHeight="false" outlineLevel="0" collapsed="false">
      <c r="B90" s="7" t="s">
        <v>133</v>
      </c>
      <c r="C90" s="8" t="n">
        <v>2025</v>
      </c>
      <c r="D90" s="8" t="n">
        <v>1</v>
      </c>
      <c r="E90" s="9" t="n">
        <v>709095.124696624</v>
      </c>
      <c r="F90" s="9" t="n">
        <v>566590.758372185</v>
      </c>
      <c r="G90" s="9" t="n">
        <v>91687.7927881485</v>
      </c>
      <c r="H90" s="9" t="n">
        <v>141620.552335413</v>
      </c>
      <c r="I90" s="9" t="n">
        <v>-19277.6709499249</v>
      </c>
      <c r="J90" s="9" t="n">
        <v>1704.75511923351</v>
      </c>
      <c r="K90" s="9" t="n">
        <v>156881.313679753</v>
      </c>
      <c r="L90" s="9" t="n">
        <v>230112.376648185</v>
      </c>
      <c r="M90" s="10" t="n">
        <f aca="false">N(I90)+N(J90)</f>
        <v>-17572.9158306914</v>
      </c>
      <c r="N90" s="11" t="n">
        <f aca="false">F90+G90+H90+M90+K90-L90-E90</f>
        <v>0</v>
      </c>
      <c r="O90" s="10" t="n">
        <f aca="false">E90/4</f>
        <v>177273.781174156</v>
      </c>
      <c r="P90" s="12" t="n">
        <f aca="false">E90/E86-1</f>
        <v>0.0611707468381002</v>
      </c>
    </row>
    <row r="91" customFormat="false" ht="15" hidden="false" customHeight="false" outlineLevel="0" collapsed="false">
      <c r="B91" s="7" t="s">
        <v>134</v>
      </c>
      <c r="C91" s="8" t="n">
        <v>2025</v>
      </c>
      <c r="D91" s="8" t="n">
        <v>2</v>
      </c>
      <c r="E91" s="9" t="n">
        <v>777482.5556069</v>
      </c>
      <c r="F91" s="9" t="n">
        <v>601163.867188217</v>
      </c>
      <c r="G91" s="9" t="n">
        <v>99731.9840453151</v>
      </c>
      <c r="H91" s="9" t="n">
        <v>147249.227133287</v>
      </c>
      <c r="I91" s="9" t="n">
        <v>-1008.55248171451</v>
      </c>
      <c r="J91" s="9" t="n">
        <v>-11455.4688502736</v>
      </c>
      <c r="K91" s="9" t="n">
        <v>169976.523500535</v>
      </c>
      <c r="L91" s="9" t="n">
        <v>228175.024928465</v>
      </c>
      <c r="M91" s="10" t="n">
        <f aca="false">N(I91)+N(J91)</f>
        <v>-12464.0213319881</v>
      </c>
      <c r="N91" s="11" t="n">
        <f aca="false">F91+G91+H91+M91+K91-L91-E91</f>
        <v>0</v>
      </c>
      <c r="O91" s="10" t="n">
        <f aca="false">E91/4</f>
        <v>194370.638901725</v>
      </c>
      <c r="P91" s="12" t="n">
        <f aca="false">E91/E87-1</f>
        <v>0.0651768410241327</v>
      </c>
    </row>
    <row r="92" customFormat="false" ht="15" hidden="false" customHeight="false" outlineLevel="0" collapsed="false">
      <c r="B92" s="7" t="s">
        <v>135</v>
      </c>
      <c r="C92" s="8" t="n">
        <v>2025</v>
      </c>
      <c r="D92" s="8" t="n">
        <v>3</v>
      </c>
      <c r="E92" s="9" t="n">
        <v>737135.067677709</v>
      </c>
      <c r="F92" s="9" t="n">
        <v>522534.771832547</v>
      </c>
      <c r="G92" s="9" t="n">
        <v>96837.2242064538</v>
      </c>
      <c r="H92" s="9" t="n">
        <v>148829.507279122</v>
      </c>
      <c r="I92" s="9" t="n">
        <v>19392.457398662</v>
      </c>
      <c r="J92" s="9" t="n">
        <v>-14355.7536402374</v>
      </c>
      <c r="K92" s="9" t="n">
        <v>189756.073465731</v>
      </c>
      <c r="L92" s="9" t="n">
        <v>225859.212864569</v>
      </c>
      <c r="M92" s="10" t="n">
        <f aca="false">N(I92)+N(J92)</f>
        <v>5036.70375842465</v>
      </c>
      <c r="N92" s="11" t="n">
        <f aca="false">F92+G92+H92+M92+K92-L92-E92</f>
        <v>0</v>
      </c>
      <c r="O92" s="10" t="n">
        <f aca="false">E92/4</f>
        <v>184283.766919427</v>
      </c>
      <c r="P92" s="12" t="n">
        <f aca="false">E92/E88-1</f>
        <v>0.0319695852206128</v>
      </c>
    </row>
    <row r="93" customFormat="false" ht="15" hidden="false" customHeight="false" outlineLevel="0" collapsed="false">
      <c r="B93" s="7" t="s">
        <v>136</v>
      </c>
      <c r="C93" s="8" t="n">
        <v>2025</v>
      </c>
      <c r="D93" s="8" t="n">
        <v>4</v>
      </c>
      <c r="E93" s="9" t="n">
        <v>735202.105508002</v>
      </c>
      <c r="F93" s="9" t="n">
        <v>525445.783372707</v>
      </c>
      <c r="G93" s="9" t="n">
        <v>101592.274613111</v>
      </c>
      <c r="H93" s="9" t="n">
        <v>135974.003887176</v>
      </c>
      <c r="I93" s="9" t="n">
        <v>17703.807045089</v>
      </c>
      <c r="J93" s="9" t="n">
        <v>-16770.7305391771</v>
      </c>
      <c r="K93" s="9" t="n">
        <v>192971.241232519</v>
      </c>
      <c r="L93" s="9" t="n">
        <v>221714.274103424</v>
      </c>
      <c r="M93" s="10" t="n">
        <f aca="false">N(I93)+N(J93)</f>
        <v>933.0765059119</v>
      </c>
      <c r="N93" s="11" t="n">
        <f aca="false">F93+G93+H93+M93+K93-L93-E93</f>
        <v>0</v>
      </c>
      <c r="O93" s="10" t="n">
        <f aca="false">E93/4</f>
        <v>183800.526377</v>
      </c>
      <c r="P93" s="12" t="n">
        <f aca="false">E93/E89-1</f>
        <v>0.0217905164785197</v>
      </c>
    </row>
    <row r="94" customFormat="false" ht="15" hidden="false" customHeight="false" outlineLevel="0" collapsed="false">
      <c r="B94" s="7" t="s">
        <v>137</v>
      </c>
      <c r="C94" s="8" t="n">
        <v>2026</v>
      </c>
      <c r="D94" s="8" t="n">
        <v>1</v>
      </c>
      <c r="E94" s="9" t="n">
        <v>725600.244568253</v>
      </c>
      <c r="F94" s="9" t="n">
        <v>582154.795555133</v>
      </c>
      <c r="G94" s="9" t="n">
        <v>90857.0613928322</v>
      </c>
      <c r="H94" s="9" t="n">
        <v>125135.441517226</v>
      </c>
      <c r="I94" s="9" t="n">
        <v>-32028.8099722901</v>
      </c>
      <c r="J94" s="9" t="n">
        <v>131.661514356034</v>
      </c>
      <c r="K94" s="9" t="n">
        <v>172306.877867187</v>
      </c>
      <c r="L94" s="9" t="n">
        <v>212956.783306192</v>
      </c>
      <c r="M94" s="10" t="n">
        <f aca="false">N(I94)+N(J94)</f>
        <v>-31897.148457934</v>
      </c>
      <c r="N94" s="11" t="n">
        <f aca="false">F94+G94+H94+M94+K94-L94-E94</f>
        <v>0</v>
      </c>
      <c r="O94" s="10" t="n">
        <f aca="false">E94/4</f>
        <v>181400.061142063</v>
      </c>
      <c r="P94" s="12" t="n">
        <f aca="false">E94/E90-1</f>
        <v>0.0232763127213582</v>
      </c>
    </row>
    <row r="96" customFormat="false" ht="15" hidden="false" customHeight="false" outlineLevel="0" collapsed="false">
      <c r="B96" s="13" t="s">
        <v>138</v>
      </c>
    </row>
    <row r="97" customFormat="false" ht="15" hidden="false" customHeight="false" outlineLevel="0" collapsed="false">
      <c r="B97" s="13"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N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6" min="5" style="0" width="13"/>
    <col collapsed="false" customWidth="true" hidden="false" outlineLevel="0" max="7" min="7" style="0" width="12"/>
    <col collapsed="false" customWidth="true" hidden="false" outlineLevel="0" max="8" min="8" style="0" width="13"/>
    <col collapsed="false" customWidth="true" hidden="false" outlineLevel="0" max="10" min="9" style="0" width="12"/>
    <col collapsed="false" customWidth="true" hidden="false" outlineLevel="0" max="11" min="11" style="0" width="14"/>
    <col collapsed="false" customWidth="true" hidden="false" outlineLevel="0" max="12" min="12" style="0" width="10"/>
    <col collapsed="false" customWidth="true" hidden="false" outlineLevel="0" max="13" min="13" style="0" width="12"/>
    <col collapsed="false" customWidth="true" hidden="false" outlineLevel="0" max="14" min="14" style="0" width="10"/>
  </cols>
  <sheetData>
    <row r="2" customFormat="false" ht="25.5" hidden="false" customHeight="true" outlineLevel="0" collapsed="false">
      <c r="B2" s="1" t="s">
        <v>140</v>
      </c>
    </row>
    <row r="3" customFormat="false" ht="15" hidden="false" customHeight="false" outlineLevel="0" collapsed="false">
      <c r="B3" s="2" t="s">
        <v>141</v>
      </c>
    </row>
    <row r="5" customFormat="false" ht="30" hidden="false" customHeight="true" outlineLevel="0" collapsed="false">
      <c r="B5" s="6" t="s">
        <v>34</v>
      </c>
      <c r="C5" s="6" t="s">
        <v>35</v>
      </c>
      <c r="D5" s="6" t="s">
        <v>36</v>
      </c>
      <c r="E5" s="6" t="s">
        <v>142</v>
      </c>
      <c r="F5" s="6" t="s">
        <v>38</v>
      </c>
      <c r="G5" s="6" t="s">
        <v>39</v>
      </c>
      <c r="H5" s="6" t="s">
        <v>40</v>
      </c>
      <c r="I5" s="6" t="s">
        <v>43</v>
      </c>
      <c r="J5" s="6" t="s">
        <v>44</v>
      </c>
      <c r="K5" s="6" t="s">
        <v>143</v>
      </c>
      <c r="L5" s="6" t="s">
        <v>144</v>
      </c>
      <c r="M5" s="6" t="s">
        <v>145</v>
      </c>
      <c r="N5" s="6" t="s">
        <v>48</v>
      </c>
    </row>
    <row r="6" customFormat="false" ht="15" hidden="false" customHeight="false" outlineLevel="0" collapsed="false">
      <c r="B6" s="7" t="s">
        <v>49</v>
      </c>
      <c r="C6" s="8" t="n">
        <v>2004</v>
      </c>
      <c r="D6" s="8" t="n">
        <v>1</v>
      </c>
      <c r="E6" s="9" t="n">
        <v>475539.402860103</v>
      </c>
      <c r="F6" s="9" t="n">
        <v>301225.674551763</v>
      </c>
      <c r="G6" s="9" t="n">
        <v>52621.0156625126</v>
      </c>
      <c r="H6" s="9" t="n">
        <v>74514.1295802387</v>
      </c>
      <c r="I6" s="9" t="n">
        <v>110907.826893908</v>
      </c>
      <c r="J6" s="9" t="n">
        <v>76725.675799944</v>
      </c>
      <c r="K6" s="10" t="n">
        <f aca="false">E6-F6-G6-H6-I6+J6</f>
        <v>12996.4319716244</v>
      </c>
    </row>
    <row r="7" customFormat="false" ht="15" hidden="false" customHeight="false" outlineLevel="0" collapsed="false">
      <c r="B7" s="7" t="s">
        <v>50</v>
      </c>
      <c r="C7" s="8" t="n">
        <v>2004</v>
      </c>
      <c r="D7" s="8" t="n">
        <v>2</v>
      </c>
      <c r="E7" s="9" t="n">
        <v>470354.11948448</v>
      </c>
      <c r="F7" s="9" t="n">
        <v>305241.65873741</v>
      </c>
      <c r="G7" s="9" t="n">
        <v>52878.3114965575</v>
      </c>
      <c r="H7" s="9" t="n">
        <v>76863.9364659109</v>
      </c>
      <c r="I7" s="9" t="n">
        <v>114545.410811543</v>
      </c>
      <c r="J7" s="9" t="n">
        <v>80629.0755033881</v>
      </c>
      <c r="K7" s="10" t="n">
        <f aca="false">E7-F7-G7-H7-I7+J7</f>
        <v>1453.87747644674</v>
      </c>
      <c r="L7" s="14" t="n">
        <f aca="false">E7/E6-1</f>
        <v>-0.0109040036313208</v>
      </c>
      <c r="M7" s="12" t="n">
        <f aca="false">(E7/E6)^4-1</f>
        <v>-0.0429078024437195</v>
      </c>
    </row>
    <row r="8" customFormat="false" ht="15" hidden="false" customHeight="false" outlineLevel="0" collapsed="false">
      <c r="B8" s="7" t="s">
        <v>51</v>
      </c>
      <c r="C8" s="8" t="n">
        <v>2004</v>
      </c>
      <c r="D8" s="8" t="n">
        <v>3</v>
      </c>
      <c r="E8" s="9" t="n">
        <v>493797.378207797</v>
      </c>
      <c r="F8" s="9" t="n">
        <v>317312.248372103</v>
      </c>
      <c r="G8" s="9" t="n">
        <v>54459.5558043014</v>
      </c>
      <c r="H8" s="9" t="n">
        <v>77795.468024292</v>
      </c>
      <c r="I8" s="9" t="n">
        <v>117308.344142979</v>
      </c>
      <c r="J8" s="9" t="n">
        <v>82343.6911926076</v>
      </c>
      <c r="K8" s="10" t="n">
        <f aca="false">E8-F8-G8-H8-I8+J8</f>
        <v>9265.45305672924</v>
      </c>
      <c r="L8" s="14" t="n">
        <f aca="false">E8/E7-1</f>
        <v>0.0498417208485629</v>
      </c>
      <c r="M8" s="12" t="n">
        <f aca="false">(E8/E7)^4-1</f>
        <v>0.214773504093514</v>
      </c>
    </row>
    <row r="9" customFormat="false" ht="15" hidden="false" customHeight="false" outlineLevel="0" collapsed="false">
      <c r="B9" s="7" t="s">
        <v>52</v>
      </c>
      <c r="C9" s="8" t="n">
        <v>2004</v>
      </c>
      <c r="D9" s="8" t="n">
        <v>4</v>
      </c>
      <c r="E9" s="9" t="n">
        <v>500769.879645567</v>
      </c>
      <c r="F9" s="9" t="n">
        <v>324547.957630247</v>
      </c>
      <c r="G9" s="9" t="n">
        <v>55716.2715422759</v>
      </c>
      <c r="H9" s="9" t="n">
        <v>79239.1742634726</v>
      </c>
      <c r="I9" s="9" t="n">
        <v>119992.120107601</v>
      </c>
      <c r="J9" s="9" t="n">
        <v>87172.6938115957</v>
      </c>
      <c r="K9" s="10" t="n">
        <f aca="false">E9-F9-G9-H9-I9+J9</f>
        <v>8447.04991356577</v>
      </c>
      <c r="L9" s="14" t="n">
        <f aca="false">E9/E8-1</f>
        <v>0.0141201669864586</v>
      </c>
      <c r="M9" s="12" t="n">
        <f aca="false">(E9/E8)^4-1</f>
        <v>0.0576882434578496</v>
      </c>
    </row>
    <row r="10" customFormat="false" ht="15" hidden="false" customHeight="false" outlineLevel="0" collapsed="false">
      <c r="B10" s="7" t="s">
        <v>53</v>
      </c>
      <c r="C10" s="8" t="n">
        <v>2005</v>
      </c>
      <c r="D10" s="8" t="n">
        <v>1</v>
      </c>
      <c r="E10" s="9" t="n">
        <v>515285.822267852</v>
      </c>
      <c r="F10" s="9" t="n">
        <v>321702.446474006</v>
      </c>
      <c r="G10" s="9" t="n">
        <v>57525.3377160202</v>
      </c>
      <c r="H10" s="9" t="n">
        <v>85169.0084554912</v>
      </c>
      <c r="I10" s="9" t="n">
        <v>128987.938265434</v>
      </c>
      <c r="J10" s="9" t="n">
        <v>89020.985217956</v>
      </c>
      <c r="K10" s="10" t="n">
        <f aca="false">E10-F10-G10-H10-I10+J10</f>
        <v>10922.076574857</v>
      </c>
      <c r="L10" s="14" t="n">
        <f aca="false">E10/E9-1</f>
        <v>0.0289872518542047</v>
      </c>
      <c r="M10" s="12" t="n">
        <f aca="false">(E10/E9)^4-1</f>
        <v>0.121088705477595</v>
      </c>
      <c r="N10" s="12" t="n">
        <f aca="false">E10/E6-1</f>
        <v>0.0835817582490479</v>
      </c>
    </row>
    <row r="11" customFormat="false" ht="15" hidden="false" customHeight="false" outlineLevel="0" collapsed="false">
      <c r="B11" s="7" t="s">
        <v>54</v>
      </c>
      <c r="C11" s="8" t="n">
        <v>2005</v>
      </c>
      <c r="D11" s="8" t="n">
        <v>2</v>
      </c>
      <c r="E11" s="9" t="n">
        <v>526591.971485194</v>
      </c>
      <c r="F11" s="9" t="n">
        <v>343081.078053192</v>
      </c>
      <c r="G11" s="9" t="n">
        <v>58978.536833942</v>
      </c>
      <c r="H11" s="9" t="n">
        <v>88011.7495292578</v>
      </c>
      <c r="I11" s="9" t="n">
        <v>132423.530799322</v>
      </c>
      <c r="J11" s="9" t="n">
        <v>98373.3760672209</v>
      </c>
      <c r="K11" s="10" t="n">
        <f aca="false">E11-F11-G11-H11-I11+J11</f>
        <v>2470.45233670081</v>
      </c>
      <c r="L11" s="14" t="n">
        <f aca="false">E11/E10-1</f>
        <v>0.0219415103788054</v>
      </c>
      <c r="M11" s="12" t="n">
        <f aca="false">(E11/E10)^4-1</f>
        <v>0.0906971057508015</v>
      </c>
      <c r="N11" s="12" t="n">
        <f aca="false">E11/E7-1</f>
        <v>0.119564918581667</v>
      </c>
    </row>
    <row r="12" customFormat="false" ht="15" hidden="false" customHeight="false" outlineLevel="0" collapsed="false">
      <c r="B12" s="7" t="s">
        <v>55</v>
      </c>
      <c r="C12" s="8" t="n">
        <v>2005</v>
      </c>
      <c r="D12" s="8" t="n">
        <v>3</v>
      </c>
      <c r="E12" s="9" t="n">
        <v>530024.969161424</v>
      </c>
      <c r="F12" s="9" t="n">
        <v>331929.024053406</v>
      </c>
      <c r="G12" s="9" t="n">
        <v>59809.0092234578</v>
      </c>
      <c r="H12" s="9" t="n">
        <v>88220.8276604056</v>
      </c>
      <c r="I12" s="9" t="n">
        <v>132582.354522445</v>
      </c>
      <c r="J12" s="9" t="n">
        <v>93046.3841372117</v>
      </c>
      <c r="K12" s="10" t="n">
        <f aca="false">E12-F12-G12-H12-I12+J12</f>
        <v>10530.137838921</v>
      </c>
      <c r="L12" s="14" t="n">
        <f aca="false">E12/E11-1</f>
        <v>0.00651927462271718</v>
      </c>
      <c r="M12" s="12" t="n">
        <f aca="false">(E12/E11)^4-1</f>
        <v>0.0263332142480774</v>
      </c>
      <c r="N12" s="12" t="n">
        <f aca="false">E12/E8-1</f>
        <v>0.073365296278227</v>
      </c>
    </row>
    <row r="13" customFormat="false" ht="15" hidden="false" customHeight="false" outlineLevel="0" collapsed="false">
      <c r="B13" s="7" t="s">
        <v>56</v>
      </c>
      <c r="C13" s="8" t="n">
        <v>2005</v>
      </c>
      <c r="D13" s="8" t="n">
        <v>4</v>
      </c>
      <c r="E13" s="9" t="n">
        <v>540321.007099187</v>
      </c>
      <c r="F13" s="9" t="n">
        <v>343898.586777964</v>
      </c>
      <c r="G13" s="9" t="n">
        <v>60617.9956000991</v>
      </c>
      <c r="H13" s="9" t="n">
        <v>95827.8348913471</v>
      </c>
      <c r="I13" s="9" t="n">
        <v>128394.162900006</v>
      </c>
      <c r="J13" s="9" t="n">
        <v>98233.6862845359</v>
      </c>
      <c r="K13" s="10" t="n">
        <f aca="false">E13-F13-G13-H13-I13+J13</f>
        <v>9816.11321430668</v>
      </c>
      <c r="L13" s="14" t="n">
        <f aca="false">E13/E12-1</f>
        <v>0.0194255715047784</v>
      </c>
      <c r="M13" s="12" t="n">
        <f aca="false">(E13/E12)^4-1</f>
        <v>0.079995866561388</v>
      </c>
      <c r="N13" s="12" t="n">
        <f aca="false">E13/E9-1</f>
        <v>0.0789806437272422</v>
      </c>
    </row>
    <row r="14" customFormat="false" ht="15" hidden="false" customHeight="false" outlineLevel="0" collapsed="false">
      <c r="B14" s="7" t="s">
        <v>57</v>
      </c>
      <c r="C14" s="8" t="n">
        <v>2006</v>
      </c>
      <c r="D14" s="8" t="n">
        <v>1</v>
      </c>
      <c r="E14" s="9" t="n">
        <v>554468.162110251</v>
      </c>
      <c r="F14" s="9" t="n">
        <v>353365.268643993</v>
      </c>
      <c r="G14" s="9" t="n">
        <v>60522.4710549243</v>
      </c>
      <c r="H14" s="9" t="n">
        <v>97461.459755138</v>
      </c>
      <c r="I14" s="9" t="n">
        <v>136759.027667397</v>
      </c>
      <c r="J14" s="9" t="n">
        <v>101242.499044851</v>
      </c>
      <c r="K14" s="10" t="n">
        <f aca="false">E14-F14-G14-H14-I14+J14</f>
        <v>7602.43403364973</v>
      </c>
      <c r="L14" s="14" t="n">
        <f aca="false">E14/E13-1</f>
        <v>0.0261828705994898</v>
      </c>
      <c r="M14" s="12" t="n">
        <f aca="false">(E14/E13)^4-1</f>
        <v>0.10891700654831</v>
      </c>
      <c r="N14" s="12" t="n">
        <f aca="false">E14/E10-1</f>
        <v>0.0760400114832407</v>
      </c>
    </row>
    <row r="15" customFormat="false" ht="15" hidden="false" customHeight="false" outlineLevel="0" collapsed="false">
      <c r="B15" s="7" t="s">
        <v>58</v>
      </c>
      <c r="C15" s="8" t="n">
        <v>2006</v>
      </c>
      <c r="D15" s="8" t="n">
        <v>2</v>
      </c>
      <c r="E15" s="9" t="n">
        <v>561434.677869531</v>
      </c>
      <c r="F15" s="9" t="n">
        <v>372603.087543381</v>
      </c>
      <c r="G15" s="9" t="n">
        <v>60728.0193841112</v>
      </c>
      <c r="H15" s="9" t="n">
        <v>100733.360033474</v>
      </c>
      <c r="I15" s="9" t="n">
        <v>135072.847100167</v>
      </c>
      <c r="J15" s="9" t="n">
        <v>103482.743208983</v>
      </c>
      <c r="K15" s="10" t="n">
        <f aca="false">E15-F15-G15-H15-I15+J15</f>
        <v>-4219.89298261961</v>
      </c>
      <c r="L15" s="14" t="n">
        <f aca="false">E15/E14-1</f>
        <v>0.012564320614489</v>
      </c>
      <c r="M15" s="12" t="n">
        <f aca="false">(E15/E14)^4-1</f>
        <v>0.0512124140162249</v>
      </c>
      <c r="N15" s="12" t="n">
        <f aca="false">E15/E11-1</f>
        <v>0.0661664215769697</v>
      </c>
    </row>
    <row r="16" customFormat="false" ht="15" hidden="false" customHeight="false" outlineLevel="0" collapsed="false">
      <c r="B16" s="7" t="s">
        <v>59</v>
      </c>
      <c r="C16" s="8" t="n">
        <v>2006</v>
      </c>
      <c r="D16" s="8" t="n">
        <v>3</v>
      </c>
      <c r="E16" s="9" t="n">
        <v>576815.720980685</v>
      </c>
      <c r="F16" s="9" t="n">
        <v>380887.266096293</v>
      </c>
      <c r="G16" s="9" t="n">
        <v>61643.4910106332</v>
      </c>
      <c r="H16" s="9" t="n">
        <v>103916.738112342</v>
      </c>
      <c r="I16" s="9" t="n">
        <v>136282.973357446</v>
      </c>
      <c r="J16" s="9" t="n">
        <v>104959.450852512</v>
      </c>
      <c r="K16" s="10" t="n">
        <f aca="false">E16-F16-G16-H16-I16+J16</f>
        <v>-955.296743517349</v>
      </c>
      <c r="L16" s="14" t="n">
        <f aca="false">E16/E15-1</f>
        <v>0.0273959620191622</v>
      </c>
      <c r="M16" s="12" t="n">
        <f aca="false">(E16/E15)^4-1</f>
        <v>0.114169890717481</v>
      </c>
      <c r="N16" s="12" t="n">
        <f aca="false">E16/E12-1</f>
        <v>0.0882802783674339</v>
      </c>
    </row>
    <row r="17" customFormat="false" ht="15" hidden="false" customHeight="false" outlineLevel="0" collapsed="false">
      <c r="B17" s="7" t="s">
        <v>60</v>
      </c>
      <c r="C17" s="8" t="n">
        <v>2006</v>
      </c>
      <c r="D17" s="8" t="n">
        <v>4</v>
      </c>
      <c r="E17" s="9" t="n">
        <v>589479.05592246</v>
      </c>
      <c r="F17" s="9" t="n">
        <v>380636.011555957</v>
      </c>
      <c r="G17" s="9" t="n">
        <v>62856.7043653199</v>
      </c>
      <c r="H17" s="9" t="n">
        <v>106819.019166708</v>
      </c>
      <c r="I17" s="9" t="n">
        <v>143324.19586409</v>
      </c>
      <c r="J17" s="9" t="n">
        <v>110613.113084302</v>
      </c>
      <c r="K17" s="10" t="n">
        <f aca="false">E17-F17-G17-H17-I17+J17</f>
        <v>6456.23805468688</v>
      </c>
      <c r="L17" s="14" t="n">
        <f aca="false">E17/E16-1</f>
        <v>0.0219538658208642</v>
      </c>
      <c r="M17" s="12" t="n">
        <f aca="false">(E17/E16)^4-1</f>
        <v>0.0907498535417477</v>
      </c>
      <c r="N17" s="12" t="n">
        <f aca="false">E17/E13-1</f>
        <v>0.0909793403872763</v>
      </c>
    </row>
    <row r="18" customFormat="false" ht="15" hidden="false" customHeight="false" outlineLevel="0" collapsed="false">
      <c r="B18" s="7" t="s">
        <v>61</v>
      </c>
      <c r="C18" s="8" t="n">
        <v>2007</v>
      </c>
      <c r="D18" s="8" t="n">
        <v>1</v>
      </c>
      <c r="E18" s="9" t="n">
        <v>603416.481858632</v>
      </c>
      <c r="F18" s="9" t="n">
        <v>391504.941542883</v>
      </c>
      <c r="G18" s="9" t="n">
        <v>65393.6174005863</v>
      </c>
      <c r="H18" s="9" t="n">
        <v>116275.428308317</v>
      </c>
      <c r="I18" s="9" t="n">
        <v>142842.15888792</v>
      </c>
      <c r="J18" s="9" t="n">
        <v>117928.916948274</v>
      </c>
      <c r="K18" s="10" t="n">
        <f aca="false">E18-F18-G18-H18-I18+J18</f>
        <v>5329.25266719986</v>
      </c>
      <c r="L18" s="14" t="n">
        <f aca="false">E18/E17-1</f>
        <v>0.0236436321123608</v>
      </c>
      <c r="M18" s="12" t="n">
        <f aca="false">(E18/E17)^4-1</f>
        <v>0.0979818381706621</v>
      </c>
      <c r="N18" s="12" t="n">
        <f aca="false">E18/E14-1</f>
        <v>0.0882797662576129</v>
      </c>
    </row>
    <row r="19" customFormat="false" ht="15" hidden="false" customHeight="false" outlineLevel="0" collapsed="false">
      <c r="B19" s="7" t="s">
        <v>62</v>
      </c>
      <c r="C19" s="8" t="n">
        <v>2007</v>
      </c>
      <c r="D19" s="8" t="n">
        <v>2</v>
      </c>
      <c r="E19" s="9" t="n">
        <v>616299.393125017</v>
      </c>
      <c r="F19" s="9" t="n">
        <v>403493.072654607</v>
      </c>
      <c r="G19" s="9" t="n">
        <v>65952.7310490159</v>
      </c>
      <c r="H19" s="9" t="n">
        <v>121499.758874282</v>
      </c>
      <c r="I19" s="9" t="n">
        <v>144117.976057445</v>
      </c>
      <c r="J19" s="9" t="n">
        <v>120824.146189322</v>
      </c>
      <c r="K19" s="10" t="n">
        <f aca="false">E19-F19-G19-H19-I19+J19</f>
        <v>2060.00067898918</v>
      </c>
      <c r="L19" s="14" t="n">
        <f aca="false">E19/E18-1</f>
        <v>0.0213499492534628</v>
      </c>
      <c r="M19" s="12" t="n">
        <f aca="false">(E19/E18)^4-1</f>
        <v>0.0881738537487036</v>
      </c>
      <c r="N19" s="12" t="n">
        <f aca="false">E19/E15-1</f>
        <v>0.0977223485084335</v>
      </c>
    </row>
    <row r="20" customFormat="false" ht="15" hidden="false" customHeight="false" outlineLevel="0" collapsed="false">
      <c r="B20" s="7" t="s">
        <v>63</v>
      </c>
      <c r="C20" s="8" t="n">
        <v>2007</v>
      </c>
      <c r="D20" s="8" t="n">
        <v>3</v>
      </c>
      <c r="E20" s="9" t="n">
        <v>624352.58868411</v>
      </c>
      <c r="F20" s="9" t="n">
        <v>412119.428113328</v>
      </c>
      <c r="G20" s="9" t="n">
        <v>66180.5326809517</v>
      </c>
      <c r="H20" s="9" t="n">
        <v>125645.152496604</v>
      </c>
      <c r="I20" s="9" t="n">
        <v>150536.219115941</v>
      </c>
      <c r="J20" s="9" t="n">
        <v>129423.553627296</v>
      </c>
      <c r="K20" s="10" t="n">
        <f aca="false">E20-F20-G20-H20-I20+J20</f>
        <v>-705.190095418264</v>
      </c>
      <c r="L20" s="14" t="n">
        <f aca="false">E20/E19-1</f>
        <v>0.0130670184798638</v>
      </c>
      <c r="M20" s="12" t="n">
        <f aca="false">(E20/E19)^4-1</f>
        <v>0.0533015095210538</v>
      </c>
      <c r="N20" s="12" t="n">
        <f aca="false">E20/E16-1</f>
        <v>0.0824125729836296</v>
      </c>
    </row>
    <row r="21" customFormat="false" ht="15" hidden="false" customHeight="false" outlineLevel="0" collapsed="false">
      <c r="B21" s="7" t="s">
        <v>64</v>
      </c>
      <c r="C21" s="8" t="n">
        <v>2007</v>
      </c>
      <c r="D21" s="8" t="n">
        <v>4</v>
      </c>
      <c r="E21" s="9" t="n">
        <v>643701.546916602</v>
      </c>
      <c r="F21" s="9" t="n">
        <v>419288.708706151</v>
      </c>
      <c r="G21" s="9" t="n">
        <v>67465.5392304916</v>
      </c>
      <c r="H21" s="9" t="n">
        <v>129149.621088455</v>
      </c>
      <c r="I21" s="9" t="n">
        <v>158964.665447887</v>
      </c>
      <c r="J21" s="9" t="n">
        <v>134668.873047009</v>
      </c>
      <c r="K21" s="10" t="n">
        <f aca="false">E21-F21-G21-H21-I21+J21</f>
        <v>3501.88549062668</v>
      </c>
      <c r="L21" s="14" t="n">
        <f aca="false">E21/E20-1</f>
        <v>0.0309904348651326</v>
      </c>
      <c r="M21" s="12" t="n">
        <f aca="false">(E21/E20)^4-1</f>
        <v>0.129844157889915</v>
      </c>
      <c r="N21" s="12" t="n">
        <f aca="false">E21/E17-1</f>
        <v>0.0919837447138663</v>
      </c>
    </row>
    <row r="22" customFormat="false" ht="15" hidden="false" customHeight="false" outlineLevel="0" collapsed="false">
      <c r="B22" s="7" t="s">
        <v>65</v>
      </c>
      <c r="C22" s="8" t="n">
        <v>2008</v>
      </c>
      <c r="D22" s="8" t="n">
        <v>1</v>
      </c>
      <c r="E22" s="9" t="n">
        <v>650062.832799716</v>
      </c>
      <c r="F22" s="9" t="n">
        <v>438615.836782796</v>
      </c>
      <c r="G22" s="9" t="n">
        <v>68256.5193284335</v>
      </c>
      <c r="H22" s="9" t="n">
        <v>139033.400743011</v>
      </c>
      <c r="I22" s="9" t="n">
        <v>153500.792045163</v>
      </c>
      <c r="J22" s="9" t="n">
        <v>145716.747360314</v>
      </c>
      <c r="K22" s="10" t="n">
        <f aca="false">E22-F22-G22-H22-I22+J22</f>
        <v>-3626.96873937405</v>
      </c>
      <c r="L22" s="14" t="n">
        <f aca="false">E22/E21-1</f>
        <v>0.00988235295314177</v>
      </c>
      <c r="M22" s="12" t="n">
        <f aca="false">(E22/E21)^4-1</f>
        <v>0.0401192472274909</v>
      </c>
      <c r="N22" s="12" t="n">
        <f aca="false">E22/E18-1</f>
        <v>0.0773037401918557</v>
      </c>
    </row>
    <row r="23" customFormat="false" ht="15" hidden="false" customHeight="false" outlineLevel="0" collapsed="false">
      <c r="B23" s="7" t="s">
        <v>66</v>
      </c>
      <c r="C23" s="8" t="n">
        <v>2008</v>
      </c>
      <c r="D23" s="8" t="n">
        <v>2</v>
      </c>
      <c r="E23" s="9" t="n">
        <v>653269.761384856</v>
      </c>
      <c r="F23" s="9" t="n">
        <v>440636.118298681</v>
      </c>
      <c r="G23" s="9" t="n">
        <v>69651.9557234982</v>
      </c>
      <c r="H23" s="9" t="n">
        <v>142277.33696699</v>
      </c>
      <c r="I23" s="9" t="n">
        <v>138306.717229798</v>
      </c>
      <c r="J23" s="9" t="n">
        <v>151080.909510809</v>
      </c>
      <c r="K23" s="10" t="n">
        <f aca="false">E23-F23-G23-H23-I23+J23</f>
        <v>13478.5426766974</v>
      </c>
      <c r="L23" s="14" t="n">
        <f aca="false">E23/E22-1</f>
        <v>0.00493325940713829</v>
      </c>
      <c r="M23" s="12" t="n">
        <f aca="false">(E23/E22)^4-1</f>
        <v>0.0198795407550052</v>
      </c>
      <c r="N23" s="12" t="n">
        <f aca="false">E23/E19-1</f>
        <v>0.0599876759124751</v>
      </c>
    </row>
    <row r="24" customFormat="false" ht="15" hidden="false" customHeight="false" outlineLevel="0" collapsed="false">
      <c r="B24" s="7" t="s">
        <v>67</v>
      </c>
      <c r="C24" s="8" t="n">
        <v>2008</v>
      </c>
      <c r="D24" s="8" t="n">
        <v>3</v>
      </c>
      <c r="E24" s="9" t="n">
        <v>657936.932552616</v>
      </c>
      <c r="F24" s="9" t="n">
        <v>435768.13437992</v>
      </c>
      <c r="G24" s="9" t="n">
        <v>70209.0897824891</v>
      </c>
      <c r="H24" s="9" t="n">
        <v>134226.964559142</v>
      </c>
      <c r="I24" s="9" t="n">
        <v>164733.607768046</v>
      </c>
      <c r="J24" s="9" t="n">
        <v>144213.171012702</v>
      </c>
      <c r="K24" s="10" t="n">
        <f aca="false">E24-F24-G24-H24-I24+J24</f>
        <v>-2787.69292427952</v>
      </c>
      <c r="L24" s="14" t="n">
        <f aca="false">E24/E23-1</f>
        <v>0.0071443245097802</v>
      </c>
      <c r="M24" s="12" t="n">
        <f aca="false">(E24/E23)^4-1</f>
        <v>0.0288850075050688</v>
      </c>
      <c r="N24" s="12" t="n">
        <f aca="false">E24/E20-1</f>
        <v>0.0537906696908037</v>
      </c>
    </row>
    <row r="25" customFormat="false" ht="15" hidden="false" customHeight="false" outlineLevel="0" collapsed="false">
      <c r="B25" s="7" t="s">
        <v>68</v>
      </c>
      <c r="C25" s="8" t="n">
        <v>2008</v>
      </c>
      <c r="D25" s="8" t="n">
        <v>4</v>
      </c>
      <c r="E25" s="9" t="n">
        <v>627435.11222766</v>
      </c>
      <c r="F25" s="9" t="n">
        <v>429213.477868926</v>
      </c>
      <c r="G25" s="9" t="n">
        <v>70164.4333364741</v>
      </c>
      <c r="H25" s="9" t="n">
        <v>119863.357536713</v>
      </c>
      <c r="I25" s="9" t="n">
        <v>144332.965520725</v>
      </c>
      <c r="J25" s="9" t="n">
        <v>130031.507609461</v>
      </c>
      <c r="K25" s="10" t="n">
        <f aca="false">E25-F25-G25-H25-I25+J25</f>
        <v>-6107.61442571686</v>
      </c>
      <c r="L25" s="14" t="n">
        <f aca="false">E25/E24-1</f>
        <v>-0.0463597934936053</v>
      </c>
      <c r="M25" s="12" t="n">
        <f aca="false">(E25/E24)^4-1</f>
        <v>-0.172937723586106</v>
      </c>
      <c r="N25" s="12" t="n">
        <f aca="false">E25/E21-1</f>
        <v>-0.0252701500669992</v>
      </c>
    </row>
    <row r="26" customFormat="false" ht="15" hidden="false" customHeight="false" outlineLevel="0" collapsed="false">
      <c r="B26" s="7" t="s">
        <v>69</v>
      </c>
      <c r="C26" s="8" t="n">
        <v>2009</v>
      </c>
      <c r="D26" s="8" t="n">
        <v>1</v>
      </c>
      <c r="E26" s="9" t="n">
        <v>604739.799059938</v>
      </c>
      <c r="F26" s="9" t="n">
        <v>407841.866988642</v>
      </c>
      <c r="G26" s="9" t="n">
        <v>70941.9978924483</v>
      </c>
      <c r="H26" s="9" t="n">
        <v>103716.391828812</v>
      </c>
      <c r="I26" s="9" t="n">
        <v>143069.266993277</v>
      </c>
      <c r="J26" s="9" t="n">
        <v>114860.511688566</v>
      </c>
      <c r="K26" s="10" t="n">
        <f aca="false">E26-F26-G26-H26-I26+J26</f>
        <v>-5969.21295467517</v>
      </c>
      <c r="L26" s="14" t="n">
        <f aca="false">E26/E25-1</f>
        <v>-0.0361715701359845</v>
      </c>
      <c r="M26" s="12" t="n">
        <f aca="false">(E26/E25)^4-1</f>
        <v>-0.137023578758036</v>
      </c>
      <c r="N26" s="12" t="n">
        <f aca="false">E26/E22-1</f>
        <v>-0.0697210045751705</v>
      </c>
    </row>
    <row r="27" customFormat="false" ht="15" hidden="false" customHeight="false" outlineLevel="0" collapsed="false">
      <c r="B27" s="7" t="s">
        <v>70</v>
      </c>
      <c r="C27" s="8" t="n">
        <v>2009</v>
      </c>
      <c r="D27" s="8" t="n">
        <v>2</v>
      </c>
      <c r="E27" s="9" t="n">
        <v>590902.231428479</v>
      </c>
      <c r="F27" s="9" t="n">
        <v>395219.651478073</v>
      </c>
      <c r="G27" s="9" t="n">
        <v>71937.7612249159</v>
      </c>
      <c r="H27" s="9" t="n">
        <v>97923.9863785358</v>
      </c>
      <c r="I27" s="9" t="n">
        <v>136638.614104423</v>
      </c>
      <c r="J27" s="9" t="n">
        <v>108077.745931611</v>
      </c>
      <c r="K27" s="10" t="n">
        <f aca="false">E27-F27-G27-H27-I27+J27</f>
        <v>-2740.03582585737</v>
      </c>
      <c r="L27" s="14" t="n">
        <f aca="false">E27/E26-1</f>
        <v>-0.0228818537377055</v>
      </c>
      <c r="M27" s="12" t="n">
        <f aca="false">(E27/E26)^4-1</f>
        <v>-0.0884335872862559</v>
      </c>
      <c r="N27" s="12" t="n">
        <f aca="false">E27/E23-1</f>
        <v>-0.095469794628431</v>
      </c>
    </row>
    <row r="28" customFormat="false" ht="15" hidden="false" customHeight="false" outlineLevel="0" collapsed="false">
      <c r="B28" s="7" t="s">
        <v>71</v>
      </c>
      <c r="C28" s="8" t="n">
        <v>2009</v>
      </c>
      <c r="D28" s="8" t="n">
        <v>3</v>
      </c>
      <c r="E28" s="9" t="n">
        <v>614035.543434562</v>
      </c>
      <c r="F28" s="9" t="n">
        <v>427161.227684315</v>
      </c>
      <c r="G28" s="9" t="n">
        <v>74810.1680351813</v>
      </c>
      <c r="H28" s="9" t="n">
        <v>103383.224410553</v>
      </c>
      <c r="I28" s="9" t="n">
        <v>127344.47570383</v>
      </c>
      <c r="J28" s="9" t="n">
        <v>115942.366058279</v>
      </c>
      <c r="K28" s="10" t="n">
        <f aca="false">E28-F28-G28-H28-I28+J28</f>
        <v>-2721.18634103883</v>
      </c>
      <c r="L28" s="14" t="n">
        <f aca="false">E28/E27-1</f>
        <v>0.0391491363133938</v>
      </c>
      <c r="M28" s="12" t="n">
        <f aca="false">(E28/E27)^4-1</f>
        <v>0.166034831987394</v>
      </c>
      <c r="N28" s="12" t="n">
        <f aca="false">E28/E24-1</f>
        <v>-0.0667258318327393</v>
      </c>
    </row>
    <row r="29" customFormat="false" ht="15" hidden="false" customHeight="false" outlineLevel="0" collapsed="false">
      <c r="B29" s="7" t="s">
        <v>72</v>
      </c>
      <c r="C29" s="8" t="n">
        <v>2009</v>
      </c>
      <c r="D29" s="8" t="n">
        <v>4</v>
      </c>
      <c r="E29" s="9" t="n">
        <v>625813.931728519</v>
      </c>
      <c r="F29" s="9" t="n">
        <v>419863.163249625</v>
      </c>
      <c r="G29" s="9" t="n">
        <v>76271.1861586786</v>
      </c>
      <c r="H29" s="9" t="n">
        <v>109522.165531295</v>
      </c>
      <c r="I29" s="9" t="n">
        <v>137657.385583799</v>
      </c>
      <c r="J29" s="9" t="n">
        <v>126996.04637663</v>
      </c>
      <c r="K29" s="10" t="n">
        <f aca="false">E29-F29-G29-H29-I29+J29</f>
        <v>9496.07758175106</v>
      </c>
      <c r="L29" s="14" t="n">
        <f aca="false">E29/E28-1</f>
        <v>0.0191819324140028</v>
      </c>
      <c r="M29" s="12" t="n">
        <f aca="false">(E29/E28)^4-1</f>
        <v>0.0789637759294419</v>
      </c>
      <c r="N29" s="12" t="n">
        <f aca="false">E29/E25-1</f>
        <v>-0.00258382176506777</v>
      </c>
    </row>
    <row r="30" customFormat="false" ht="15" hidden="false" customHeight="false" outlineLevel="0" collapsed="false">
      <c r="B30" s="7" t="s">
        <v>73</v>
      </c>
      <c r="C30" s="8" t="n">
        <v>2010</v>
      </c>
      <c r="D30" s="8" t="n">
        <v>1</v>
      </c>
      <c r="E30" s="9" t="n">
        <v>644901.886931823</v>
      </c>
      <c r="F30" s="9" t="n">
        <v>437372.202081867</v>
      </c>
      <c r="G30" s="9" t="n">
        <v>76116.9224554237</v>
      </c>
      <c r="H30" s="9" t="n">
        <v>118312.159711542</v>
      </c>
      <c r="I30" s="9" t="n">
        <v>141807.260799557</v>
      </c>
      <c r="J30" s="9" t="n">
        <v>139206.087209138</v>
      </c>
      <c r="K30" s="10" t="n">
        <f aca="false">E30-F30-G30-H30-I30+J30</f>
        <v>10499.429092571</v>
      </c>
      <c r="L30" s="14" t="n">
        <f aca="false">E30/E29-1</f>
        <v>0.0305010071453387</v>
      </c>
      <c r="M30" s="12" t="n">
        <f aca="false">(E30/E29)^4-1</f>
        <v>0.127700264425139</v>
      </c>
      <c r="N30" s="12" t="n">
        <f aca="false">E30/E26-1</f>
        <v>0.066412179146</v>
      </c>
    </row>
    <row r="31" customFormat="false" ht="15" hidden="false" customHeight="false" outlineLevel="0" collapsed="false">
      <c r="B31" s="7" t="s">
        <v>74</v>
      </c>
      <c r="C31" s="8" t="n">
        <v>2010</v>
      </c>
      <c r="D31" s="8" t="n">
        <v>2</v>
      </c>
      <c r="E31" s="9" t="n">
        <v>673704.246913401</v>
      </c>
      <c r="F31" s="9" t="n">
        <v>456771.861988663</v>
      </c>
      <c r="G31" s="9" t="n">
        <v>77503.9157573846</v>
      </c>
      <c r="H31" s="9" t="n">
        <v>129027.798237557</v>
      </c>
      <c r="I31" s="9" t="n">
        <v>162568.65715377</v>
      </c>
      <c r="J31" s="9" t="n">
        <v>156227.164072064</v>
      </c>
      <c r="K31" s="10" t="n">
        <f aca="false">E31-F31-G31-H31-I31+J31</f>
        <v>4059.17784808989</v>
      </c>
      <c r="L31" s="14" t="n">
        <f aca="false">E31/E30-1</f>
        <v>0.0446616153018369</v>
      </c>
      <c r="M31" s="12" t="n">
        <f aca="false">(E31/E30)^4-1</f>
        <v>0.190974738092724</v>
      </c>
      <c r="N31" s="12" t="n">
        <f aca="false">E31/E27-1</f>
        <v>0.140128114400162</v>
      </c>
    </row>
    <row r="32" customFormat="false" ht="15" hidden="false" customHeight="false" outlineLevel="0" collapsed="false">
      <c r="B32" s="7" t="s">
        <v>75</v>
      </c>
      <c r="C32" s="8" t="n">
        <v>2010</v>
      </c>
      <c r="D32" s="8" t="n">
        <v>3</v>
      </c>
      <c r="E32" s="9" t="n">
        <v>677196.113894232</v>
      </c>
      <c r="F32" s="9" t="n">
        <v>462988.968527001</v>
      </c>
      <c r="G32" s="9" t="n">
        <v>76547.5929974922</v>
      </c>
      <c r="H32" s="9" t="n">
        <v>133775.870381513</v>
      </c>
      <c r="I32" s="9" t="n">
        <v>162415.638515952</v>
      </c>
      <c r="J32" s="9" t="n">
        <v>161832.827877266</v>
      </c>
      <c r="K32" s="10" t="n">
        <f aca="false">E32-F32-G32-H32-I32+J32</f>
        <v>3300.87134953932</v>
      </c>
      <c r="L32" s="14" t="n">
        <f aca="false">E32/E31-1</f>
        <v>0.00518308589685934</v>
      </c>
      <c r="M32" s="12" t="n">
        <f aca="false">(E32/E31)^4-1</f>
        <v>0.0208940875471619</v>
      </c>
      <c r="N32" s="12" t="n">
        <f aca="false">E32/E28-1</f>
        <v>0.102861424122757</v>
      </c>
    </row>
    <row r="33" customFormat="false" ht="15" hidden="false" customHeight="false" outlineLevel="0" collapsed="false">
      <c r="B33" s="7" t="s">
        <v>76</v>
      </c>
      <c r="C33" s="8" t="n">
        <v>2010</v>
      </c>
      <c r="D33" s="8" t="n">
        <v>4</v>
      </c>
      <c r="E33" s="9" t="n">
        <v>686292.470027738</v>
      </c>
      <c r="F33" s="9" t="n">
        <v>477567.631828922</v>
      </c>
      <c r="G33" s="9" t="n">
        <v>79819.9582726489</v>
      </c>
      <c r="H33" s="9" t="n">
        <v>142267.205516347</v>
      </c>
      <c r="I33" s="9" t="n">
        <v>153616.028317819</v>
      </c>
      <c r="J33" s="9" t="n">
        <v>172619.757987416</v>
      </c>
      <c r="K33" s="10" t="n">
        <f aca="false">E33-F33-G33-H33-I33+J33</f>
        <v>5641.40407941747</v>
      </c>
      <c r="L33" s="14" t="n">
        <f aca="false">E33/E32-1</f>
        <v>0.0134323808818071</v>
      </c>
      <c r="M33" s="12" t="n">
        <f aca="false">(E33/E32)^4-1</f>
        <v>0.0548218235751958</v>
      </c>
      <c r="N33" s="12" t="n">
        <f aca="false">E33/E29-1</f>
        <v>0.0966398081490068</v>
      </c>
    </row>
    <row r="34" customFormat="false" ht="15" hidden="false" customHeight="false" outlineLevel="0" collapsed="false">
      <c r="B34" s="7" t="s">
        <v>77</v>
      </c>
      <c r="C34" s="8" t="n">
        <v>2011</v>
      </c>
      <c r="D34" s="8" t="n">
        <v>1</v>
      </c>
      <c r="E34" s="9" t="n">
        <v>702715.187312462</v>
      </c>
      <c r="F34" s="9" t="n">
        <v>491129.936447623</v>
      </c>
      <c r="G34" s="9" t="n">
        <v>79668.239746437</v>
      </c>
      <c r="H34" s="9" t="n">
        <v>149900.38375108</v>
      </c>
      <c r="I34" s="9" t="n">
        <v>157772.205945592</v>
      </c>
      <c r="J34" s="9" t="n">
        <v>182333.989963775</v>
      </c>
      <c r="K34" s="10" t="n">
        <f aca="false">E34-F34-G34-H34-I34+J34</f>
        <v>6578.41138550502</v>
      </c>
      <c r="L34" s="14" t="n">
        <f aca="false">E34/E33-1</f>
        <v>0.023929618933543</v>
      </c>
      <c r="M34" s="12" t="n">
        <f aca="false">(E34/E33)^4-1</f>
        <v>0.0992093745605742</v>
      </c>
      <c r="N34" s="12" t="n">
        <f aca="false">E34/E30-1</f>
        <v>0.0896466602938488</v>
      </c>
    </row>
    <row r="35" customFormat="false" ht="15" hidden="false" customHeight="false" outlineLevel="0" collapsed="false">
      <c r="B35" s="7" t="s">
        <v>78</v>
      </c>
      <c r="C35" s="8" t="n">
        <v>2011</v>
      </c>
      <c r="D35" s="8" t="n">
        <v>2</v>
      </c>
      <c r="E35" s="9" t="n">
        <v>709752.099001646</v>
      </c>
      <c r="F35" s="9" t="n">
        <v>494852.849930572</v>
      </c>
      <c r="G35" s="9" t="n">
        <v>81049.8841474064</v>
      </c>
      <c r="H35" s="9" t="n">
        <v>153354.005406878</v>
      </c>
      <c r="I35" s="9" t="n">
        <v>157858.730703481</v>
      </c>
      <c r="J35" s="9" t="n">
        <v>191434.881256638</v>
      </c>
      <c r="K35" s="10" t="n">
        <f aca="false">E35-F35-G35-H35-I35+J35</f>
        <v>14071.5100699462</v>
      </c>
      <c r="L35" s="14" t="n">
        <f aca="false">E35/E34-1</f>
        <v>0.0100138887222521</v>
      </c>
      <c r="M35" s="12" t="n">
        <f aca="false">(E35/E34)^4-1</f>
        <v>0.0406612494383538</v>
      </c>
      <c r="N35" s="12" t="n">
        <f aca="false">E35/E31-1</f>
        <v>0.0535069390662142</v>
      </c>
    </row>
    <row r="36" customFormat="false" ht="15" hidden="false" customHeight="false" outlineLevel="0" collapsed="false">
      <c r="B36" s="7" t="s">
        <v>79</v>
      </c>
      <c r="C36" s="8" t="n">
        <v>2011</v>
      </c>
      <c r="D36" s="8" t="n">
        <v>3</v>
      </c>
      <c r="E36" s="9" t="n">
        <v>715352.506992148</v>
      </c>
      <c r="F36" s="9" t="n">
        <v>508546.014013705</v>
      </c>
      <c r="G36" s="9" t="n">
        <v>81847.8416271519</v>
      </c>
      <c r="H36" s="9" t="n">
        <v>157857.479737188</v>
      </c>
      <c r="I36" s="9" t="n">
        <v>164850.543832336</v>
      </c>
      <c r="J36" s="9" t="n">
        <v>199473.44514771</v>
      </c>
      <c r="K36" s="10" t="n">
        <f aca="false">E36-F36-G36-H36-I36+J36</f>
        <v>1724.07292947746</v>
      </c>
      <c r="L36" s="14" t="n">
        <f aca="false">E36/E35-1</f>
        <v>0.00789065364988772</v>
      </c>
      <c r="M36" s="12" t="n">
        <f aca="false">(E36/E35)^4-1</f>
        <v>0.0319381581309035</v>
      </c>
      <c r="N36" s="12" t="n">
        <f aca="false">E36/E32-1</f>
        <v>0.0563446722670891</v>
      </c>
    </row>
    <row r="37" customFormat="false" ht="15" hidden="false" customHeight="false" outlineLevel="0" collapsed="false">
      <c r="B37" s="7" t="s">
        <v>80</v>
      </c>
      <c r="C37" s="8" t="n">
        <v>2011</v>
      </c>
      <c r="D37" s="8" t="n">
        <v>4</v>
      </c>
      <c r="E37" s="9" t="n">
        <v>715306.595576152</v>
      </c>
      <c r="F37" s="9" t="n">
        <v>512059.813246479</v>
      </c>
      <c r="G37" s="9" t="n">
        <v>81573.1135225977</v>
      </c>
      <c r="H37" s="9" t="n">
        <v>153224.471498057</v>
      </c>
      <c r="I37" s="9" t="n">
        <v>165665.665991548</v>
      </c>
      <c r="J37" s="9" t="n">
        <v>195398.656812968</v>
      </c>
      <c r="K37" s="10" t="n">
        <f aca="false">E37-F37-G37-H37-I37+J37</f>
        <v>-1817.81186956202</v>
      </c>
      <c r="L37" s="14" t="n">
        <f aca="false">E37/E36-1</f>
        <v>-6.41801287447619E-005</v>
      </c>
      <c r="M37" s="12" t="n">
        <f aca="false">(E37/E36)^4-1</f>
        <v>-0.000256695801502893</v>
      </c>
      <c r="N37" s="12" t="n">
        <f aca="false">E37/E33-1</f>
        <v>0.0422766193941202</v>
      </c>
    </row>
    <row r="38" customFormat="false" ht="15" hidden="false" customHeight="false" outlineLevel="0" collapsed="false">
      <c r="B38" s="7" t="s">
        <v>81</v>
      </c>
      <c r="C38" s="8" t="n">
        <v>2012</v>
      </c>
      <c r="D38" s="8" t="n">
        <v>1</v>
      </c>
      <c r="E38" s="9" t="n">
        <v>707988.221332925</v>
      </c>
      <c r="F38" s="9" t="n">
        <v>497163.112673043</v>
      </c>
      <c r="G38" s="9" t="n">
        <v>82398.9986826013</v>
      </c>
      <c r="H38" s="9" t="n">
        <v>145159.851150851</v>
      </c>
      <c r="I38" s="9" t="n">
        <v>165840.884233658</v>
      </c>
      <c r="J38" s="9" t="n">
        <v>186090.753377483</v>
      </c>
      <c r="K38" s="10" t="n">
        <f aca="false">E38-F38-G38-H38-I38+J38</f>
        <v>3516.12797025486</v>
      </c>
      <c r="L38" s="14" t="n">
        <f aca="false">E38/E37-1</f>
        <v>-0.0102311013046538</v>
      </c>
      <c r="M38" s="12" t="n">
        <f aca="false">(E38/E37)^4-1</f>
        <v>-0.0403006254381056</v>
      </c>
      <c r="N38" s="12" t="n">
        <f aca="false">E38/E34-1</f>
        <v>0.00750379971241255</v>
      </c>
    </row>
    <row r="39" customFormat="false" ht="15" hidden="false" customHeight="false" outlineLevel="0" collapsed="false">
      <c r="B39" s="7" t="s">
        <v>82</v>
      </c>
      <c r="C39" s="8" t="n">
        <v>2012</v>
      </c>
      <c r="D39" s="8" t="n">
        <v>2</v>
      </c>
      <c r="E39" s="9" t="n">
        <v>683985.423061301</v>
      </c>
      <c r="F39" s="9" t="n">
        <v>495936.430056397</v>
      </c>
      <c r="G39" s="9" t="n">
        <v>82775.1646733402</v>
      </c>
      <c r="H39" s="9" t="n">
        <v>133902.676281884</v>
      </c>
      <c r="I39" s="9" t="n">
        <v>142747.023537438</v>
      </c>
      <c r="J39" s="9" t="n">
        <v>172799.800634256</v>
      </c>
      <c r="K39" s="10" t="n">
        <f aca="false">E39-F39-G39-H39-I39+J39</f>
        <v>1423.92914649748</v>
      </c>
      <c r="L39" s="14" t="n">
        <f aca="false">E39/E38-1</f>
        <v>-0.0339028214712874</v>
      </c>
      <c r="M39" s="12" t="n">
        <f aca="false">(E39/E38)^4-1</f>
        <v>-0.128869428728304</v>
      </c>
      <c r="N39" s="12" t="n">
        <f aca="false">E39/E35-1</f>
        <v>-0.0363037685645298</v>
      </c>
    </row>
    <row r="40" customFormat="false" ht="15" hidden="false" customHeight="false" outlineLevel="0" collapsed="false">
      <c r="B40" s="7" t="s">
        <v>83</v>
      </c>
      <c r="C40" s="8" t="n">
        <v>2012</v>
      </c>
      <c r="D40" s="8" t="n">
        <v>3</v>
      </c>
      <c r="E40" s="9" t="n">
        <v>705109.993438458</v>
      </c>
      <c r="F40" s="9" t="n">
        <v>514963.130815731</v>
      </c>
      <c r="G40" s="9" t="n">
        <v>83992.5680164888</v>
      </c>
      <c r="H40" s="9" t="n">
        <v>143393.422327372</v>
      </c>
      <c r="I40" s="9" t="n">
        <v>155101.697475911</v>
      </c>
      <c r="J40" s="9" t="n">
        <v>182216.619054851</v>
      </c>
      <c r="K40" s="10" t="n">
        <f aca="false">E40-F40-G40-H40-I40+J40</f>
        <v>-10124.2061421935</v>
      </c>
      <c r="L40" s="14" t="n">
        <f aca="false">E40/E39-1</f>
        <v>0.0308845330103833</v>
      </c>
      <c r="M40" s="12" t="n">
        <f aca="false">(E40/E39)^4-1</f>
        <v>0.129380005543581</v>
      </c>
      <c r="N40" s="12" t="n">
        <f aca="false">E40/E36-1</f>
        <v>-0.0143181347008301</v>
      </c>
    </row>
    <row r="41" customFormat="false" ht="15" hidden="false" customHeight="false" outlineLevel="0" collapsed="false">
      <c r="B41" s="7" t="s">
        <v>84</v>
      </c>
      <c r="C41" s="8" t="n">
        <v>2012</v>
      </c>
      <c r="D41" s="8" t="n">
        <v>4</v>
      </c>
      <c r="E41" s="9" t="n">
        <v>716860.320003112</v>
      </c>
      <c r="F41" s="9" t="n">
        <v>520804.728181524</v>
      </c>
      <c r="G41" s="9" t="n">
        <v>84726.6521485981</v>
      </c>
      <c r="H41" s="9" t="n">
        <v>148414.858626134</v>
      </c>
      <c r="I41" s="9" t="n">
        <v>155911.804763463</v>
      </c>
      <c r="J41" s="9" t="n">
        <v>191190.431813574</v>
      </c>
      <c r="K41" s="10" t="n">
        <f aca="false">E41-F41-G41-H41-I41+J41</f>
        <v>-1807.29190303307</v>
      </c>
      <c r="L41" s="14" t="n">
        <f aca="false">E41/E40-1</f>
        <v>0.0166645298946246</v>
      </c>
      <c r="M41" s="12" t="n">
        <f aca="false">(E41/E40)^4-1</f>
        <v>0.0683429474359414</v>
      </c>
      <c r="N41" s="12" t="n">
        <f aca="false">E41/E37-1</f>
        <v>0.0021721097450651</v>
      </c>
    </row>
    <row r="42" customFormat="false" ht="15" hidden="false" customHeight="false" outlineLevel="0" collapsed="false">
      <c r="B42" s="7" t="s">
        <v>85</v>
      </c>
      <c r="C42" s="8" t="n">
        <v>2013</v>
      </c>
      <c r="D42" s="8" t="n">
        <v>1</v>
      </c>
      <c r="E42" s="9" t="n">
        <v>716958.913565704</v>
      </c>
      <c r="F42" s="9" t="n">
        <v>520831.045202544</v>
      </c>
      <c r="G42" s="9" t="n">
        <v>86363.911995074</v>
      </c>
      <c r="H42" s="9" t="n">
        <v>145710.00628192</v>
      </c>
      <c r="I42" s="9" t="n">
        <v>149833.146906102</v>
      </c>
      <c r="J42" s="9" t="n">
        <v>185743.477852846</v>
      </c>
      <c r="K42" s="10" t="n">
        <f aca="false">E42-F42-G42-H42-I42+J42</f>
        <v>-35.7189670896332</v>
      </c>
      <c r="L42" s="14" t="n">
        <f aca="false">E42/E41-1</f>
        <v>0.000137535248975418</v>
      </c>
      <c r="M42" s="12" t="n">
        <f aca="false">(E42/E41)^4-1</f>
        <v>0.000550254501976655</v>
      </c>
      <c r="N42" s="12" t="n">
        <f aca="false">E42/E38-1</f>
        <v>0.0126706800515553</v>
      </c>
    </row>
    <row r="43" customFormat="false" ht="15" hidden="false" customHeight="false" outlineLevel="0" collapsed="false">
      <c r="B43" s="7" t="s">
        <v>86</v>
      </c>
      <c r="C43" s="8" t="n">
        <v>2013</v>
      </c>
      <c r="D43" s="8" t="n">
        <v>2</v>
      </c>
      <c r="E43" s="9" t="n">
        <v>721290.348190699</v>
      </c>
      <c r="F43" s="9" t="n">
        <v>515256.047605223</v>
      </c>
      <c r="G43" s="9" t="n">
        <v>87445.3795753057</v>
      </c>
      <c r="H43" s="9" t="n">
        <v>147690.239164317</v>
      </c>
      <c r="I43" s="9" t="n">
        <v>155332.849618345</v>
      </c>
      <c r="J43" s="9" t="n">
        <v>193960.066016973</v>
      </c>
      <c r="K43" s="10" t="n">
        <f aca="false">E43-F43-G43-H43-I43+J43</f>
        <v>9525.89824448151</v>
      </c>
      <c r="L43" s="14" t="n">
        <f aca="false">E43/E42-1</f>
        <v>0.00604139866739795</v>
      </c>
      <c r="M43" s="12" t="n">
        <f aca="false">(E43/E42)^4-1</f>
        <v>0.024385468996788</v>
      </c>
      <c r="N43" s="12" t="n">
        <f aca="false">E43/E39-1</f>
        <v>0.054540526554548</v>
      </c>
    </row>
    <row r="44" customFormat="false" ht="15" hidden="false" customHeight="false" outlineLevel="0" collapsed="false">
      <c r="B44" s="7" t="s">
        <v>87</v>
      </c>
      <c r="C44" s="8" t="n">
        <v>2013</v>
      </c>
      <c r="D44" s="8" t="n">
        <v>3</v>
      </c>
      <c r="E44" s="9" t="n">
        <v>725228.860577667</v>
      </c>
      <c r="F44" s="9" t="n">
        <v>534794.127033792</v>
      </c>
      <c r="G44" s="9" t="n">
        <v>87930.6503828755</v>
      </c>
      <c r="H44" s="9" t="n">
        <v>145974.660873131</v>
      </c>
      <c r="I44" s="9" t="n">
        <v>151913.351630316</v>
      </c>
      <c r="J44" s="9" t="n">
        <v>190672.523688941</v>
      </c>
      <c r="K44" s="10" t="n">
        <f aca="false">E44-F44-G44-H44-I44+J44</f>
        <v>-4711.40565350681</v>
      </c>
      <c r="L44" s="14" t="n">
        <f aca="false">E44/E43-1</f>
        <v>0.00546037028895063</v>
      </c>
      <c r="M44" s="12" t="n">
        <f aca="false">(E44/E43)^4-1</f>
        <v>0.0220210271247496</v>
      </c>
      <c r="N44" s="12" t="n">
        <f aca="false">E44/E40-1</f>
        <v>0.0285329485136057</v>
      </c>
    </row>
    <row r="45" customFormat="false" ht="15" hidden="false" customHeight="false" outlineLevel="0" collapsed="false">
      <c r="B45" s="7" t="s">
        <v>88</v>
      </c>
      <c r="C45" s="8" t="n">
        <v>2013</v>
      </c>
      <c r="D45" s="8" t="n">
        <v>4</v>
      </c>
      <c r="E45" s="9" t="n">
        <v>718150.298877189</v>
      </c>
      <c r="F45" s="9" t="n">
        <v>531816.909312314</v>
      </c>
      <c r="G45" s="9" t="n">
        <v>89925.2088002962</v>
      </c>
      <c r="H45" s="9" t="n">
        <v>144851.365618577</v>
      </c>
      <c r="I45" s="9" t="n">
        <v>140710.603192481</v>
      </c>
      <c r="J45" s="9" t="n">
        <v>190355.781563196</v>
      </c>
      <c r="K45" s="10" t="n">
        <f aca="false">E45-F45-G45-H45-I45+J45</f>
        <v>1201.99351671708</v>
      </c>
      <c r="L45" s="14" t="n">
        <f aca="false">E45/E44-1</f>
        <v>-0.0097604523003112</v>
      </c>
      <c r="M45" s="12" t="n">
        <f aca="false">(E45/E44)^4-1</f>
        <v>-0.0384739209246608</v>
      </c>
      <c r="N45" s="12" t="n">
        <f aca="false">E45/E41-1</f>
        <v>0.00179948427619991</v>
      </c>
    </row>
    <row r="46" customFormat="false" ht="15" hidden="false" customHeight="false" outlineLevel="0" collapsed="false">
      <c r="B46" s="7" t="s">
        <v>89</v>
      </c>
      <c r="C46" s="8" t="n">
        <v>2014</v>
      </c>
      <c r="D46" s="8" t="n">
        <v>1</v>
      </c>
      <c r="E46" s="9" t="n">
        <v>707604.649721707</v>
      </c>
      <c r="F46" s="9" t="n">
        <v>518707.227200226</v>
      </c>
      <c r="G46" s="9" t="n">
        <v>90805.2780115734</v>
      </c>
      <c r="H46" s="9" t="n">
        <v>141725.244293211</v>
      </c>
      <c r="I46" s="9" t="n">
        <v>134690.368239012</v>
      </c>
      <c r="J46" s="9" t="n">
        <v>181781.522719603</v>
      </c>
      <c r="K46" s="10" t="n">
        <f aca="false">E46-F46-G46-H46-I46+J46</f>
        <v>3458.05469728794</v>
      </c>
      <c r="L46" s="14" t="n">
        <f aca="false">E46/E45-1</f>
        <v>-0.0146844597460585</v>
      </c>
      <c r="M46" s="12" t="n">
        <f aca="false">(E46/E45)^4-1</f>
        <v>-0.057456658175751</v>
      </c>
      <c r="N46" s="12" t="n">
        <f aca="false">E46/E42-1</f>
        <v>-0.0130471407315027</v>
      </c>
    </row>
    <row r="47" customFormat="false" ht="15" hidden="false" customHeight="false" outlineLevel="0" collapsed="false">
      <c r="B47" s="7" t="s">
        <v>90</v>
      </c>
      <c r="C47" s="8" t="n">
        <v>2014</v>
      </c>
      <c r="D47" s="8" t="n">
        <v>2</v>
      </c>
      <c r="E47" s="9" t="n">
        <v>703288.518504676</v>
      </c>
      <c r="F47" s="9" t="n">
        <v>499802.391332194</v>
      </c>
      <c r="G47" s="9" t="n">
        <v>89321.8521021333</v>
      </c>
      <c r="H47" s="9" t="n">
        <v>139104.471891688</v>
      </c>
      <c r="I47" s="9" t="n">
        <v>140915.734097998</v>
      </c>
      <c r="J47" s="9" t="n">
        <v>170772.293699372</v>
      </c>
      <c r="K47" s="10" t="n">
        <f aca="false">E47-F47-G47-H47-I47+J47</f>
        <v>4916.36278003443</v>
      </c>
      <c r="L47" s="14" t="n">
        <f aca="false">E47/E46-1</f>
        <v>-0.00609963659612622</v>
      </c>
      <c r="M47" s="12" t="n">
        <f aca="false">(E47/E46)^4-1</f>
        <v>-0.0241762193623645</v>
      </c>
      <c r="N47" s="12" t="n">
        <f aca="false">E47/E43-1</f>
        <v>-0.0249578130792679</v>
      </c>
    </row>
    <row r="48" customFormat="false" ht="15" hidden="false" customHeight="false" outlineLevel="0" collapsed="false">
      <c r="B48" s="7" t="s">
        <v>91</v>
      </c>
      <c r="C48" s="8" t="n">
        <v>2014</v>
      </c>
      <c r="D48" s="8" t="n">
        <v>3</v>
      </c>
      <c r="E48" s="9" t="n">
        <v>697226.219788347</v>
      </c>
      <c r="F48" s="9" t="n">
        <v>490902.633839238</v>
      </c>
      <c r="G48" s="9" t="n">
        <v>90455.7039640803</v>
      </c>
      <c r="H48" s="9" t="n">
        <v>133833.105219093</v>
      </c>
      <c r="I48" s="9" t="n">
        <v>140227.160882527</v>
      </c>
      <c r="J48" s="9" t="n">
        <v>162951.721908359</v>
      </c>
      <c r="K48" s="10" t="n">
        <f aca="false">E48-F48-G48-H48-I48+J48</f>
        <v>4759.33779176782</v>
      </c>
      <c r="L48" s="14" t="n">
        <f aca="false">E48/E47-1</f>
        <v>-0.00861993130389527</v>
      </c>
      <c r="M48" s="12" t="n">
        <f aca="false">(E48/E47)^4-1</f>
        <v>-0.0340364623549694</v>
      </c>
      <c r="N48" s="12" t="n">
        <f aca="false">E48/E44-1</f>
        <v>-0.0386121434370588</v>
      </c>
    </row>
    <row r="49" customFormat="false" ht="15" hidden="false" customHeight="false" outlineLevel="0" collapsed="false">
      <c r="B49" s="7" t="s">
        <v>92</v>
      </c>
      <c r="C49" s="8" t="n">
        <v>2014</v>
      </c>
      <c r="D49" s="8" t="n">
        <v>4</v>
      </c>
      <c r="E49" s="9" t="n">
        <v>701104.795838731</v>
      </c>
      <c r="F49" s="9" t="n">
        <v>501645.493296201</v>
      </c>
      <c r="G49" s="9" t="n">
        <v>91438.9623415605</v>
      </c>
      <c r="H49" s="9" t="n">
        <v>130095.76741341</v>
      </c>
      <c r="I49" s="9" t="n">
        <v>140235.926270486</v>
      </c>
      <c r="J49" s="9" t="n">
        <v>157894.333112976</v>
      </c>
      <c r="K49" s="10" t="n">
        <f aca="false">E49-F49-G49-H49-I49+J49</f>
        <v>-4417.02036995086</v>
      </c>
      <c r="L49" s="14" t="n">
        <f aca="false">E49/E48-1</f>
        <v>0.00556286602583711</v>
      </c>
      <c r="M49" s="12" t="n">
        <f aca="false">(E49/E48)^4-1</f>
        <v>0.0224378265137017</v>
      </c>
      <c r="N49" s="12" t="n">
        <f aca="false">E49/E45-1</f>
        <v>-0.0237352864227849</v>
      </c>
    </row>
    <row r="50" customFormat="false" ht="15" hidden="false" customHeight="false" outlineLevel="0" collapsed="false">
      <c r="B50" s="7" t="s">
        <v>93</v>
      </c>
      <c r="C50" s="8" t="n">
        <v>2015</v>
      </c>
      <c r="D50" s="8" t="n">
        <v>1</v>
      </c>
      <c r="E50" s="9" t="n">
        <v>711401.440681456</v>
      </c>
      <c r="F50" s="9" t="n">
        <v>511534.674273463</v>
      </c>
      <c r="G50" s="9" t="n">
        <v>94477.307168934</v>
      </c>
      <c r="H50" s="9" t="n">
        <v>138221.950644048</v>
      </c>
      <c r="I50" s="9" t="n">
        <v>129793.208571638</v>
      </c>
      <c r="J50" s="9" t="n">
        <v>166702.695177703</v>
      </c>
      <c r="K50" s="10" t="n">
        <f aca="false">E50-F50-G50-H50-I50+J50</f>
        <v>4076.99520107632</v>
      </c>
      <c r="L50" s="14" t="n">
        <f aca="false">E50/E49-1</f>
        <v>0.014686313520945</v>
      </c>
      <c r="M50" s="12" t="n">
        <f aca="false">(E50/E49)^4-1</f>
        <v>0.0600520980689199</v>
      </c>
      <c r="N50" s="12" t="n">
        <f aca="false">E50/E46-1</f>
        <v>0.00536569532328857</v>
      </c>
    </row>
    <row r="51" customFormat="false" ht="15" hidden="false" customHeight="false" outlineLevel="0" collapsed="false">
      <c r="B51" s="7" t="s">
        <v>94</v>
      </c>
      <c r="C51" s="8" t="n">
        <v>2015</v>
      </c>
      <c r="D51" s="8" t="n">
        <v>2</v>
      </c>
      <c r="E51" s="9" t="n">
        <v>727767.460531024</v>
      </c>
      <c r="F51" s="9" t="n">
        <v>527223.286193052</v>
      </c>
      <c r="G51" s="9" t="n">
        <v>97621.0608300253</v>
      </c>
      <c r="H51" s="9" t="n">
        <v>141530.645199643</v>
      </c>
      <c r="I51" s="9" t="n">
        <v>139908.629536516</v>
      </c>
      <c r="J51" s="9" t="n">
        <v>174247.308982059</v>
      </c>
      <c r="K51" s="10" t="n">
        <f aca="false">E51-F51-G51-H51-I51+J51</f>
        <v>-4268.85224615311</v>
      </c>
      <c r="L51" s="14" t="n">
        <f aca="false">E51/E50-1</f>
        <v>0.0230053228932046</v>
      </c>
      <c r="M51" s="12" t="n">
        <f aca="false">(E51/E50)^4-1</f>
        <v>0.095245742759033</v>
      </c>
      <c r="N51" s="12" t="n">
        <f aca="false">E51/E47-1</f>
        <v>0.0348064007619451</v>
      </c>
    </row>
    <row r="52" customFormat="false" ht="15" hidden="false" customHeight="false" outlineLevel="0" collapsed="false">
      <c r="B52" s="7" t="s">
        <v>95</v>
      </c>
      <c r="C52" s="8" t="n">
        <v>2015</v>
      </c>
      <c r="D52" s="8" t="n">
        <v>3</v>
      </c>
      <c r="E52" s="9" t="n">
        <v>727494.477014616</v>
      </c>
      <c r="F52" s="9" t="n">
        <v>523368.754264899</v>
      </c>
      <c r="G52" s="9" t="n">
        <v>97897.5601112462</v>
      </c>
      <c r="H52" s="9" t="n">
        <v>142910.257694715</v>
      </c>
      <c r="I52" s="9" t="n">
        <v>141077.919674383</v>
      </c>
      <c r="J52" s="9" t="n">
        <v>183061.283989278</v>
      </c>
      <c r="K52" s="10" t="n">
        <f aca="false">E52-F52-G52-H52-I52+J52</f>
        <v>5301.26925865034</v>
      </c>
      <c r="L52" s="14" t="n">
        <f aca="false">E52/E51-1</f>
        <v>-0.000375097172123362</v>
      </c>
      <c r="M52" s="12" t="n">
        <f aca="false">(E52/E51)^4-1</f>
        <v>-0.00149954471224401</v>
      </c>
      <c r="N52" s="12" t="n">
        <f aca="false">E52/E48-1</f>
        <v>0.0434123909388502</v>
      </c>
    </row>
    <row r="53" customFormat="false" ht="15" hidden="false" customHeight="false" outlineLevel="0" collapsed="false">
      <c r="B53" s="7" t="s">
        <v>96</v>
      </c>
      <c r="C53" s="8" t="n">
        <v>2015</v>
      </c>
      <c r="D53" s="8" t="n">
        <v>4</v>
      </c>
      <c r="E53" s="9" t="n">
        <v>719285.208325063</v>
      </c>
      <c r="F53" s="9" t="n">
        <v>522459.247455606</v>
      </c>
      <c r="G53" s="9" t="n">
        <v>97171.9248012277</v>
      </c>
      <c r="H53" s="9" t="n">
        <v>140958.027377138</v>
      </c>
      <c r="I53" s="9" t="n">
        <v>129845.316655411</v>
      </c>
      <c r="J53" s="9" t="n">
        <v>181114.598422201</v>
      </c>
      <c r="K53" s="10" t="n">
        <f aca="false">E53-F53-G53-H53-I53+J53</f>
        <v>9965.29045788129</v>
      </c>
      <c r="L53" s="14" t="n">
        <f aca="false">E53/E52-1</f>
        <v>-0.0112843037973849</v>
      </c>
      <c r="M53" s="12" t="n">
        <f aca="false">(E53/E52)^4-1</f>
        <v>-0.0443789334724719</v>
      </c>
      <c r="N53" s="12" t="n">
        <f aca="false">E53/E49-1</f>
        <v>0.025931091320782</v>
      </c>
    </row>
    <row r="54" customFormat="false" ht="15" hidden="false" customHeight="false" outlineLevel="0" collapsed="false">
      <c r="B54" s="7" t="s">
        <v>97</v>
      </c>
      <c r="C54" s="8" t="n">
        <v>2016</v>
      </c>
      <c r="D54" s="8" t="n">
        <v>1</v>
      </c>
      <c r="E54" s="9" t="n">
        <v>712710.635757148</v>
      </c>
      <c r="F54" s="9" t="n">
        <v>521148.286408208</v>
      </c>
      <c r="G54" s="9" t="n">
        <v>96426.6942820359</v>
      </c>
      <c r="H54" s="9" t="n">
        <v>134552.461555467</v>
      </c>
      <c r="I54" s="9" t="n">
        <v>145893.79092257</v>
      </c>
      <c r="J54" s="9" t="n">
        <v>185416.033117546</v>
      </c>
      <c r="K54" s="10" t="n">
        <f aca="false">E54-F54-G54-H54-I54+J54</f>
        <v>105.435706412536</v>
      </c>
      <c r="L54" s="14" t="n">
        <f aca="false">E54/E53-1</f>
        <v>-0.00914042509399737</v>
      </c>
      <c r="M54" s="12" t="n">
        <f aca="false">(E54/E53)^4-1</f>
        <v>-0.0360634638043744</v>
      </c>
      <c r="N54" s="12" t="n">
        <f aca="false">E54/E50-1</f>
        <v>0.00184030422322024</v>
      </c>
    </row>
    <row r="55" customFormat="false" ht="15" hidden="false" customHeight="false" outlineLevel="0" collapsed="false">
      <c r="B55" s="7" t="s">
        <v>98</v>
      </c>
      <c r="C55" s="8" t="n">
        <v>2016</v>
      </c>
      <c r="D55" s="8" t="n">
        <v>2</v>
      </c>
      <c r="E55" s="9" t="n">
        <v>701267.875464753</v>
      </c>
      <c r="F55" s="9" t="n">
        <v>512148.803203364</v>
      </c>
      <c r="G55" s="9" t="n">
        <v>94365.5282119189</v>
      </c>
      <c r="H55" s="9" t="n">
        <v>131387.636993789</v>
      </c>
      <c r="I55" s="9" t="n">
        <v>140825.17148696</v>
      </c>
      <c r="J55" s="9" t="n">
        <v>186790.262174989</v>
      </c>
      <c r="K55" s="10" t="n">
        <f aca="false">E55-F55-G55-H55-I55+J55</f>
        <v>9330.99774371009</v>
      </c>
      <c r="L55" s="14" t="n">
        <f aca="false">E55/E54-1</f>
        <v>-0.0160552680404976</v>
      </c>
      <c r="M55" s="12" t="n">
        <f aca="false">(E55/E54)^4-1</f>
        <v>-0.0626909302952334</v>
      </c>
      <c r="N55" s="12" t="n">
        <f aca="false">E55/E51-1</f>
        <v>-0.0364121597947446</v>
      </c>
    </row>
    <row r="56" customFormat="false" ht="15" hidden="false" customHeight="false" outlineLevel="0" collapsed="false">
      <c r="B56" s="7" t="s">
        <v>99</v>
      </c>
      <c r="C56" s="8" t="n">
        <v>2016</v>
      </c>
      <c r="D56" s="8" t="n">
        <v>3</v>
      </c>
      <c r="E56" s="9" t="n">
        <v>703825.313066723</v>
      </c>
      <c r="F56" s="9" t="n">
        <v>515979.9371238</v>
      </c>
      <c r="G56" s="9" t="n">
        <v>96660.6927254973</v>
      </c>
      <c r="H56" s="9" t="n">
        <v>131215.289404158</v>
      </c>
      <c r="I56" s="9" t="n">
        <v>139991.325576203</v>
      </c>
      <c r="J56" s="9" t="n">
        <v>183671.879594271</v>
      </c>
      <c r="K56" s="10" t="n">
        <f aca="false">E56-F56-G56-H56-I56+J56</f>
        <v>3649.94783133568</v>
      </c>
      <c r="L56" s="14" t="n">
        <f aca="false">E56/E55-1</f>
        <v>0.0036468768803577</v>
      </c>
      <c r="M56" s="12" t="n">
        <f aca="false">(E56/E55)^4-1</f>
        <v>0.0146674999738299</v>
      </c>
      <c r="N56" s="12" t="n">
        <f aca="false">E56/E52-1</f>
        <v>-0.0325351802600931</v>
      </c>
    </row>
    <row r="57" customFormat="false" ht="15" hidden="false" customHeight="false" outlineLevel="0" collapsed="false">
      <c r="B57" s="7" t="s">
        <v>100</v>
      </c>
      <c r="C57" s="8" t="n">
        <v>2016</v>
      </c>
      <c r="D57" s="8" t="n">
        <v>4</v>
      </c>
      <c r="E57" s="9" t="n">
        <v>708107.570102024</v>
      </c>
      <c r="F57" s="9" t="n">
        <v>519043.528415824</v>
      </c>
      <c r="G57" s="9" t="n">
        <v>97684.7234678427</v>
      </c>
      <c r="H57" s="9" t="n">
        <v>133896.833985645</v>
      </c>
      <c r="I57" s="9" t="n">
        <v>142661.736212008</v>
      </c>
      <c r="J57" s="9" t="n">
        <v>190315.392679708</v>
      </c>
      <c r="K57" s="10" t="n">
        <f aca="false">E57-F57-G57-H57-I57+J57</f>
        <v>5136.14070041207</v>
      </c>
      <c r="L57" s="14" t="n">
        <f aca="false">E57/E56-1</f>
        <v>0.00608426118782535</v>
      </c>
      <c r="M57" s="12" t="n">
        <f aca="false">(E57/E56)^4-1</f>
        <v>0.0245600564412836</v>
      </c>
      <c r="N57" s="12" t="n">
        <f aca="false">E57/E53-1</f>
        <v>-0.0155399250445698</v>
      </c>
    </row>
    <row r="58" customFormat="false" ht="15" hidden="false" customHeight="false" outlineLevel="0" collapsed="false">
      <c r="B58" s="7" t="s">
        <v>101</v>
      </c>
      <c r="C58" s="8" t="n">
        <v>2017</v>
      </c>
      <c r="D58" s="8" t="n">
        <v>1</v>
      </c>
      <c r="E58" s="9" t="n">
        <v>714000.682134782</v>
      </c>
      <c r="F58" s="9" t="n">
        <v>529980.096864001</v>
      </c>
      <c r="G58" s="9" t="n">
        <v>98126.9060465017</v>
      </c>
      <c r="H58" s="9" t="n">
        <v>139323.031728198</v>
      </c>
      <c r="I58" s="9" t="n">
        <v>144974.144042247</v>
      </c>
      <c r="J58" s="9" t="n">
        <v>199728.890287325</v>
      </c>
      <c r="K58" s="10" t="n">
        <f aca="false">E58-F58-G58-H58-I58+J58</f>
        <v>1325.39374115915</v>
      </c>
      <c r="L58" s="14" t="n">
        <f aca="false">E58/E57-1</f>
        <v>0.00832234010986355</v>
      </c>
      <c r="M58" s="12" t="n">
        <f aca="false">(E58/E57)^4-1</f>
        <v>0.0337072389718887</v>
      </c>
      <c r="N58" s="12" t="n">
        <f aca="false">E58/E54-1</f>
        <v>0.00181005630183129</v>
      </c>
    </row>
    <row r="59" customFormat="false" ht="15" hidden="false" customHeight="false" outlineLevel="0" collapsed="false">
      <c r="B59" s="7" t="s">
        <v>102</v>
      </c>
      <c r="C59" s="8" t="n">
        <v>2017</v>
      </c>
      <c r="D59" s="8" t="n">
        <v>2</v>
      </c>
      <c r="E59" s="9" t="n">
        <v>722206.782095495</v>
      </c>
      <c r="F59" s="9" t="n">
        <v>535946.820761649</v>
      </c>
      <c r="G59" s="9" t="n">
        <v>98430.7856684796</v>
      </c>
      <c r="H59" s="9" t="n">
        <v>146864.853390007</v>
      </c>
      <c r="I59" s="9" t="n">
        <v>145557.710076903</v>
      </c>
      <c r="J59" s="9" t="n">
        <v>209646.243299753</v>
      </c>
      <c r="K59" s="10" t="n">
        <f aca="false">E59-F59-G59-H59-I59+J59</f>
        <v>5052.85549820893</v>
      </c>
      <c r="L59" s="14" t="n">
        <f aca="false">E59/E58-1</f>
        <v>0.01149312621968</v>
      </c>
      <c r="M59" s="12" t="n">
        <f aca="false">(E59/E58)^4-1</f>
        <v>0.0467711466266421</v>
      </c>
      <c r="N59" s="12" t="n">
        <f aca="false">E59/E55-1</f>
        <v>0.029858642272562</v>
      </c>
    </row>
    <row r="60" customFormat="false" ht="15" hidden="false" customHeight="false" outlineLevel="0" collapsed="false">
      <c r="B60" s="7" t="s">
        <v>103</v>
      </c>
      <c r="C60" s="8" t="n">
        <v>2017</v>
      </c>
      <c r="D60" s="8" t="n">
        <v>3</v>
      </c>
      <c r="E60" s="9" t="n">
        <v>731022.657803736</v>
      </c>
      <c r="F60" s="9" t="n">
        <v>539066.684073178</v>
      </c>
      <c r="G60" s="9" t="n">
        <v>99342.8474769201</v>
      </c>
      <c r="H60" s="9" t="n">
        <v>154592.05590575</v>
      </c>
      <c r="I60" s="9" t="n">
        <v>146682.460982516</v>
      </c>
      <c r="J60" s="9" t="n">
        <v>219370.019755207</v>
      </c>
      <c r="K60" s="10" t="n">
        <f aca="false">E60-F60-G60-H60-I60+J60</f>
        <v>10708.6291205789</v>
      </c>
      <c r="L60" s="14" t="n">
        <f aca="false">E60/E59-1</f>
        <v>0.0122068581004764</v>
      </c>
      <c r="M60" s="12" t="n">
        <f aca="false">(E60/E59)^4-1</f>
        <v>0.0497287745612203</v>
      </c>
      <c r="N60" s="12" t="n">
        <f aca="false">E60/E56-1</f>
        <v>0.0386421804275667</v>
      </c>
    </row>
    <row r="61" customFormat="false" ht="15" hidden="false" customHeight="false" outlineLevel="0" collapsed="false">
      <c r="B61" s="7" t="s">
        <v>104</v>
      </c>
      <c r="C61" s="8" t="n">
        <v>2017</v>
      </c>
      <c r="D61" s="8" t="n">
        <v>4</v>
      </c>
      <c r="E61" s="9" t="n">
        <v>738329.669017284</v>
      </c>
      <c r="F61" s="9" t="n">
        <v>549336.897185944</v>
      </c>
      <c r="G61" s="9" t="n">
        <v>99393.6588789863</v>
      </c>
      <c r="H61" s="9" t="n">
        <v>161330.116793027</v>
      </c>
      <c r="I61" s="9" t="n">
        <v>147049.013193674</v>
      </c>
      <c r="J61" s="9" t="n">
        <v>233733.694826842</v>
      </c>
      <c r="K61" s="10" t="n">
        <f aca="false">E61-F61-G61-H61-I61+J61</f>
        <v>14953.6777924947</v>
      </c>
      <c r="L61" s="14" t="n">
        <f aca="false">E61/E60-1</f>
        <v>0.00999560155290014</v>
      </c>
      <c r="M61" s="12" t="n">
        <f aca="false">(E61/E60)^4-1</f>
        <v>0.0405858832206292</v>
      </c>
      <c r="N61" s="12" t="n">
        <f aca="false">E61/E57-1</f>
        <v>0.0426800957810773</v>
      </c>
    </row>
    <row r="62" customFormat="false" ht="15" hidden="false" customHeight="false" outlineLevel="0" collapsed="false">
      <c r="B62" s="7" t="s">
        <v>105</v>
      </c>
      <c r="C62" s="8" t="n">
        <v>2018</v>
      </c>
      <c r="D62" s="8" t="n">
        <v>1</v>
      </c>
      <c r="E62" s="9" t="n">
        <v>735269.263887007</v>
      </c>
      <c r="F62" s="9" t="n">
        <v>552557.091353405</v>
      </c>
      <c r="G62" s="9" t="n">
        <v>97939.867212001</v>
      </c>
      <c r="H62" s="9" t="n">
        <v>161249.839012198</v>
      </c>
      <c r="I62" s="9" t="n">
        <v>154406.065335646</v>
      </c>
      <c r="J62" s="9" t="n">
        <v>231341.345272617</v>
      </c>
      <c r="K62" s="10" t="n">
        <f aca="false">E62-F62-G62-H62-I62+J62</f>
        <v>457.746246373863</v>
      </c>
      <c r="L62" s="14" t="n">
        <f aca="false">E62/E61-1</f>
        <v>-0.00414503880678474</v>
      </c>
      <c r="M62" s="12" t="n">
        <f aca="false">(E62/E61)^4-1</f>
        <v>-0.0164773517210772</v>
      </c>
      <c r="N62" s="12" t="n">
        <f aca="false">E62/E58-1</f>
        <v>0.0297879011664728</v>
      </c>
    </row>
    <row r="63" customFormat="false" ht="15" hidden="false" customHeight="false" outlineLevel="0" collapsed="false">
      <c r="B63" s="7" t="s">
        <v>106</v>
      </c>
      <c r="C63" s="8" t="n">
        <v>2018</v>
      </c>
      <c r="D63" s="8" t="n">
        <v>2</v>
      </c>
      <c r="E63" s="9" t="n">
        <v>702794.190387389</v>
      </c>
      <c r="F63" s="9" t="n">
        <v>539674.218503246</v>
      </c>
      <c r="G63" s="9" t="n">
        <v>97139.3642832077</v>
      </c>
      <c r="H63" s="9" t="n">
        <v>149623.017493746</v>
      </c>
      <c r="I63" s="9" t="n">
        <v>134301.967581593</v>
      </c>
      <c r="J63" s="9" t="n">
        <v>218385.080579864</v>
      </c>
      <c r="K63" s="10" t="n">
        <f aca="false">E63-F63-G63-H63-I63+J63</f>
        <v>440.703105459776</v>
      </c>
      <c r="L63" s="14" t="n">
        <f aca="false">E63/E62-1</f>
        <v>-0.0441675928733084</v>
      </c>
      <c r="M63" s="12" t="n">
        <f aca="false">(E63/E62)^4-1</f>
        <v>-0.165306552770476</v>
      </c>
      <c r="N63" s="12" t="n">
        <f aca="false">E63/E59-1</f>
        <v>-0.0268795477823958</v>
      </c>
    </row>
    <row r="64" customFormat="false" ht="15" hidden="false" customHeight="false" outlineLevel="0" collapsed="false">
      <c r="B64" s="7" t="s">
        <v>107</v>
      </c>
      <c r="C64" s="8" t="n">
        <v>2018</v>
      </c>
      <c r="D64" s="8" t="n">
        <v>3</v>
      </c>
      <c r="E64" s="9" t="n">
        <v>700585.061797182</v>
      </c>
      <c r="F64" s="9" t="n">
        <v>523321.28514485</v>
      </c>
      <c r="G64" s="9" t="n">
        <v>97014.6515565364</v>
      </c>
      <c r="H64" s="9" t="n">
        <v>135942.197514082</v>
      </c>
      <c r="I64" s="9" t="n">
        <v>136682.258915715</v>
      </c>
      <c r="J64" s="9" t="n">
        <v>199285.774412331</v>
      </c>
      <c r="K64" s="10" t="n">
        <f aca="false">E64-F64-G64-H64-I64+J64</f>
        <v>6910.44307832921</v>
      </c>
      <c r="L64" s="14" t="n">
        <f aca="false">E64/E63-1</f>
        <v>-0.00314335067139526</v>
      </c>
      <c r="M64" s="12" t="n">
        <f aca="false">(E64/E63)^4-1</f>
        <v>-0.0125142429007281</v>
      </c>
      <c r="N64" s="12" t="n">
        <f aca="false">E64/E60-1</f>
        <v>-0.0416370076653988</v>
      </c>
    </row>
    <row r="65" customFormat="false" ht="15" hidden="false" customHeight="false" outlineLevel="0" collapsed="false">
      <c r="B65" s="7" t="s">
        <v>108</v>
      </c>
      <c r="C65" s="8" t="n">
        <v>2018</v>
      </c>
      <c r="D65" s="8" t="n">
        <v>4</v>
      </c>
      <c r="E65" s="9" t="n">
        <v>690861.255846473</v>
      </c>
      <c r="F65" s="9" t="n">
        <v>490397.542149339</v>
      </c>
      <c r="G65" s="9" t="n">
        <v>95723.6838088213</v>
      </c>
      <c r="H65" s="9" t="n">
        <v>120699.879532165</v>
      </c>
      <c r="I65" s="9" t="n">
        <v>162647.35560567</v>
      </c>
      <c r="J65" s="9" t="n">
        <v>174988.559609584</v>
      </c>
      <c r="K65" s="10" t="n">
        <f aca="false">E65-F65-G65-H65-I65+J65</f>
        <v>-3618.64563993801</v>
      </c>
      <c r="L65" s="14" t="n">
        <f aca="false">E65/E64-1</f>
        <v>-0.0138795507939667</v>
      </c>
      <c r="M65" s="12" t="n">
        <f aca="false">(E65/E64)^4-1</f>
        <v>-0.0543730096173233</v>
      </c>
      <c r="N65" s="12" t="n">
        <f aca="false">E65/E61-1</f>
        <v>-0.0642916235968022</v>
      </c>
    </row>
    <row r="66" customFormat="false" ht="15" hidden="false" customHeight="false" outlineLevel="0" collapsed="false">
      <c r="B66" s="7" t="s">
        <v>109</v>
      </c>
      <c r="C66" s="8" t="n">
        <v>2019</v>
      </c>
      <c r="D66" s="8" t="n">
        <v>1</v>
      </c>
      <c r="E66" s="9" t="n">
        <v>690992.538906218</v>
      </c>
      <c r="F66" s="9" t="n">
        <v>494139.087148526</v>
      </c>
      <c r="G66" s="9" t="n">
        <v>92910.7042412797</v>
      </c>
      <c r="H66" s="9" t="n">
        <v>121357.481367642</v>
      </c>
      <c r="I66" s="9" t="n">
        <v>155547.134425027</v>
      </c>
      <c r="J66" s="9" t="n">
        <v>173629.270438677</v>
      </c>
      <c r="K66" s="10" t="n">
        <f aca="false">E66-F66-G66-H66-I66+J66</f>
        <v>667.40216242068</v>
      </c>
      <c r="L66" s="14" t="n">
        <f aca="false">E66/E65-1</f>
        <v>0.000190028111482832</v>
      </c>
      <c r="M66" s="12" t="n">
        <f aca="false">(E66/E65)^4-1</f>
        <v>0.000760329137479809</v>
      </c>
      <c r="N66" s="12" t="n">
        <f aca="false">E66/E62-1</f>
        <v>-0.0602183814222279</v>
      </c>
    </row>
    <row r="67" customFormat="false" ht="15" hidden="false" customHeight="false" outlineLevel="0" collapsed="false">
      <c r="B67" s="7" t="s">
        <v>110</v>
      </c>
      <c r="C67" s="8" t="n">
        <v>2019</v>
      </c>
      <c r="D67" s="8" t="n">
        <v>2</v>
      </c>
      <c r="E67" s="9" t="n">
        <v>697721.486971332</v>
      </c>
      <c r="F67" s="9" t="n">
        <v>505227.755151839</v>
      </c>
      <c r="G67" s="9" t="n">
        <v>92544.416083733</v>
      </c>
      <c r="H67" s="9" t="n">
        <v>123714.066131474</v>
      </c>
      <c r="I67" s="9" t="n">
        <v>156237.394068465</v>
      </c>
      <c r="J67" s="9" t="n">
        <v>169517.125401326</v>
      </c>
      <c r="K67" s="10" t="n">
        <f aca="false">E67-F67-G67-H67-I67+J67</f>
        <v>-10485.0190628528</v>
      </c>
      <c r="L67" s="14" t="n">
        <f aca="false">E67/E66-1</f>
        <v>0.00973809076978638</v>
      </c>
      <c r="M67" s="12" t="n">
        <f aca="false">(E67/E66)^4-1</f>
        <v>0.0395250484116292</v>
      </c>
      <c r="N67" s="12" t="n">
        <f aca="false">E67/E63-1</f>
        <v>-0.00721790744066919</v>
      </c>
    </row>
    <row r="68" customFormat="false" ht="15" hidden="false" customHeight="false" outlineLevel="0" collapsed="false">
      <c r="B68" s="7" t="s">
        <v>111</v>
      </c>
      <c r="C68" s="8" t="n">
        <v>2019</v>
      </c>
      <c r="D68" s="8" t="n">
        <v>3</v>
      </c>
      <c r="E68" s="9" t="n">
        <v>697245.70141462</v>
      </c>
      <c r="F68" s="9" t="n">
        <v>501077.277384191</v>
      </c>
      <c r="G68" s="9" t="n">
        <v>89223.0862516347</v>
      </c>
      <c r="H68" s="9" t="n">
        <v>121587.350904079</v>
      </c>
      <c r="I68" s="9" t="n">
        <v>157788.376993327</v>
      </c>
      <c r="J68" s="9" t="n">
        <v>171069.443955058</v>
      </c>
      <c r="K68" s="10" t="n">
        <f aca="false">E68-F68-G68-H68-I68+J68</f>
        <v>-1360.94616355351</v>
      </c>
      <c r="L68" s="14" t="n">
        <f aca="false">E68/E67-1</f>
        <v>-0.000681913292906233</v>
      </c>
      <c r="M68" s="12" t="n">
        <f aca="false">(E68/E67)^4-1</f>
        <v>-0.0027248644053488</v>
      </c>
      <c r="N68" s="12" t="n">
        <f aca="false">E68/E64-1</f>
        <v>-0.00476653095342217</v>
      </c>
    </row>
    <row r="69" customFormat="false" ht="15" hidden="false" customHeight="false" outlineLevel="0" collapsed="false">
      <c r="B69" s="7" t="s">
        <v>112</v>
      </c>
      <c r="C69" s="8" t="n">
        <v>2019</v>
      </c>
      <c r="D69" s="8" t="n">
        <v>4</v>
      </c>
      <c r="E69" s="9" t="n">
        <v>686935.487059668</v>
      </c>
      <c r="F69" s="9" t="n">
        <v>476476.333447445</v>
      </c>
      <c r="G69" s="9" t="n">
        <v>88318.5384663586</v>
      </c>
      <c r="H69" s="9" t="n">
        <v>110328.593305904</v>
      </c>
      <c r="I69" s="9" t="n">
        <v>175804.44232233</v>
      </c>
      <c r="J69" s="9" t="n">
        <v>155719.606765798</v>
      </c>
      <c r="K69" s="10" t="n">
        <f aca="false">E69-F69-G69-H69-I69+J69</f>
        <v>-8272.81371657178</v>
      </c>
      <c r="L69" s="14" t="n">
        <f aca="false">E69/E68-1</f>
        <v>-0.014787060478156</v>
      </c>
      <c r="M69" s="12" t="n">
        <f aca="false">(E69/E68)^4-1</f>
        <v>-0.0578491843426164</v>
      </c>
      <c r="N69" s="12" t="n">
        <f aca="false">E69/E65-1</f>
        <v>-0.00568242719299028</v>
      </c>
    </row>
    <row r="70" customFormat="false" ht="15" hidden="false" customHeight="false" outlineLevel="0" collapsed="false">
      <c r="B70" s="7" t="s">
        <v>113</v>
      </c>
      <c r="C70" s="8" t="n">
        <v>2020</v>
      </c>
      <c r="D70" s="8" t="n">
        <v>1</v>
      </c>
      <c r="E70" s="9" t="n">
        <v>657234.367241657</v>
      </c>
      <c r="F70" s="9" t="n">
        <v>464626.533310614</v>
      </c>
      <c r="G70" s="9" t="n">
        <v>92060.9550196207</v>
      </c>
      <c r="H70" s="9" t="n">
        <v>100819.223557016</v>
      </c>
      <c r="I70" s="9" t="n">
        <v>149037.26415094</v>
      </c>
      <c r="J70" s="9" t="n">
        <v>152300.614861174</v>
      </c>
      <c r="K70" s="10" t="n">
        <f aca="false">E70-F70-G70-H70-I70+J70</f>
        <v>2991.00606464039</v>
      </c>
      <c r="L70" s="14" t="n">
        <f aca="false">E70/E69-1</f>
        <v>-0.0432371312554287</v>
      </c>
      <c r="M70" s="12" t="n">
        <f aca="false">(E70/E69)^4-1</f>
        <v>-0.162051651601963</v>
      </c>
      <c r="N70" s="12" t="n">
        <f aca="false">E70/E66-1</f>
        <v>-0.0488546109600511</v>
      </c>
    </row>
    <row r="71" customFormat="false" ht="15" hidden="false" customHeight="false" outlineLevel="0" collapsed="false">
      <c r="B71" s="7" t="s">
        <v>114</v>
      </c>
      <c r="C71" s="8" t="n">
        <v>2020</v>
      </c>
      <c r="D71" s="8" t="n">
        <v>2</v>
      </c>
      <c r="E71" s="9" t="n">
        <v>562000.898234073</v>
      </c>
      <c r="F71" s="9" t="n">
        <v>391441.253222762</v>
      </c>
      <c r="G71" s="9" t="n">
        <v>86873.4283532174</v>
      </c>
      <c r="H71" s="9" t="n">
        <v>76397.4379108304</v>
      </c>
      <c r="I71" s="9" t="n">
        <v>132926.474861164</v>
      </c>
      <c r="J71" s="9" t="n">
        <v>116597.616220447</v>
      </c>
      <c r="K71" s="10" t="n">
        <f aca="false">E71-F71-G71-H71-I71+J71</f>
        <v>-9040.07989345386</v>
      </c>
      <c r="L71" s="14" t="n">
        <f aca="false">E71/E70-1</f>
        <v>-0.14490031829478</v>
      </c>
      <c r="M71" s="12" t="n">
        <f aca="false">(E71/E70)^4-1</f>
        <v>-0.465353191009415</v>
      </c>
      <c r="N71" s="12" t="n">
        <f aca="false">E71/E67-1</f>
        <v>-0.194519720650133</v>
      </c>
    </row>
    <row r="72" customFormat="false" ht="15" hidden="false" customHeight="false" outlineLevel="0" collapsed="false">
      <c r="B72" s="7" t="s">
        <v>115</v>
      </c>
      <c r="C72" s="8" t="n">
        <v>2020</v>
      </c>
      <c r="D72" s="8" t="n">
        <v>3</v>
      </c>
      <c r="E72" s="9" t="n">
        <v>623856.363234805</v>
      </c>
      <c r="F72" s="9" t="n">
        <v>426156.18109847</v>
      </c>
      <c r="G72" s="9" t="n">
        <v>87771.0763884335</v>
      </c>
      <c r="H72" s="9" t="n">
        <v>109909.696338691</v>
      </c>
      <c r="I72" s="9" t="n">
        <v>128598.401872014</v>
      </c>
      <c r="J72" s="9" t="n">
        <v>133249.171600568</v>
      </c>
      <c r="K72" s="10" t="n">
        <f aca="false">E72-F72-G72-H72-I72+J72</f>
        <v>4670.17913776419</v>
      </c>
      <c r="L72" s="14" t="n">
        <f aca="false">E72/E71-1</f>
        <v>0.110062929071991</v>
      </c>
      <c r="M72" s="12" t="n">
        <f aca="false">(E72/E71)^4-1</f>
        <v>0.518414694274928</v>
      </c>
      <c r="N72" s="12" t="n">
        <f aca="false">E72/E68-1</f>
        <v>-0.105256064011464</v>
      </c>
    </row>
    <row r="73" customFormat="false" ht="15" hidden="false" customHeight="false" outlineLevel="0" collapsed="false">
      <c r="B73" s="7" t="s">
        <v>116</v>
      </c>
      <c r="C73" s="8" t="n">
        <v>2020</v>
      </c>
      <c r="D73" s="8" t="n">
        <v>4</v>
      </c>
      <c r="E73" s="9" t="n">
        <v>655273.51589105</v>
      </c>
      <c r="F73" s="9" t="n">
        <v>454078.26847603</v>
      </c>
      <c r="G73" s="9" t="n">
        <v>88953.0433113384</v>
      </c>
      <c r="H73" s="9" t="n">
        <v>127538.148911216</v>
      </c>
      <c r="I73" s="9" t="n">
        <v>122276.170980074</v>
      </c>
      <c r="J73" s="9" t="n">
        <v>152487.65680619</v>
      </c>
      <c r="K73" s="10" t="n">
        <f aca="false">E73-F73-G73-H73-I73+J73</f>
        <v>14915.5410185813</v>
      </c>
      <c r="L73" s="14" t="n">
        <f aca="false">E73/E72-1</f>
        <v>0.0503595931815803</v>
      </c>
      <c r="M73" s="12" t="n">
        <f aca="false">(E73/E72)^4-1</f>
        <v>0.217172201790116</v>
      </c>
      <c r="N73" s="12" t="n">
        <f aca="false">E73/E69-1</f>
        <v>-0.0460916225250538</v>
      </c>
    </row>
    <row r="74" customFormat="false" ht="15" hidden="false" customHeight="false" outlineLevel="0" collapsed="false">
      <c r="B74" s="7" t="s">
        <v>117</v>
      </c>
      <c r="C74" s="8" t="n">
        <v>2021</v>
      </c>
      <c r="D74" s="8" t="n">
        <v>1</v>
      </c>
      <c r="E74" s="9" t="n">
        <v>677518.091923612</v>
      </c>
      <c r="F74" s="9" t="n">
        <v>463317.111389534</v>
      </c>
      <c r="G74" s="9" t="n">
        <v>92118.9913202364</v>
      </c>
      <c r="H74" s="9" t="n">
        <v>137727.686147941</v>
      </c>
      <c r="I74" s="9" t="n">
        <v>134904.751963976</v>
      </c>
      <c r="J74" s="9" t="n">
        <v>152507.146023379</v>
      </c>
      <c r="K74" s="10" t="n">
        <f aca="false">E74-F74-G74-H74-I74+J74</f>
        <v>1956.69712530373</v>
      </c>
      <c r="L74" s="14" t="n">
        <f aca="false">E74/E73-1</f>
        <v>0.0339470091390983</v>
      </c>
      <c r="M74" s="12" t="n">
        <f aca="false">(E74/E73)^4-1</f>
        <v>0.142860243213638</v>
      </c>
      <c r="N74" s="12" t="n">
        <f aca="false">E74/E70-1</f>
        <v>0.0308622398537735</v>
      </c>
    </row>
    <row r="75" customFormat="false" ht="15" hidden="false" customHeight="false" outlineLevel="0" collapsed="false">
      <c r="B75" s="7" t="s">
        <v>118</v>
      </c>
      <c r="C75" s="8" t="n">
        <v>2021</v>
      </c>
      <c r="D75" s="8" t="n">
        <v>2</v>
      </c>
      <c r="E75" s="9" t="n">
        <v>678667.843237968</v>
      </c>
      <c r="F75" s="9" t="n">
        <v>466251.469217034</v>
      </c>
      <c r="G75" s="9" t="n">
        <v>92777.4820263729</v>
      </c>
      <c r="H75" s="9" t="n">
        <v>136035.193812163</v>
      </c>
      <c r="I75" s="9" t="n">
        <v>142564.52842282</v>
      </c>
      <c r="J75" s="9" t="n">
        <v>159024.629199761</v>
      </c>
      <c r="K75" s="10" t="n">
        <f aca="false">E75-F75-G75-H75-I75+J75</f>
        <v>63.7989593386592</v>
      </c>
      <c r="L75" s="14" t="n">
        <f aca="false">E75/E74-1</f>
        <v>0.00169700459376809</v>
      </c>
      <c r="M75" s="12" t="n">
        <f aca="false">(E75/E74)^4-1</f>
        <v>0.00680531687921571</v>
      </c>
      <c r="N75" s="12" t="n">
        <f aca="false">E75/E71-1</f>
        <v>0.207592097041992</v>
      </c>
    </row>
    <row r="76" customFormat="false" ht="15" hidden="false" customHeight="false" outlineLevel="0" collapsed="false">
      <c r="B76" s="7" t="s">
        <v>119</v>
      </c>
      <c r="C76" s="8" t="n">
        <v>2021</v>
      </c>
      <c r="D76" s="8" t="n">
        <v>3</v>
      </c>
      <c r="E76" s="9" t="n">
        <v>693508.416941422</v>
      </c>
      <c r="F76" s="9" t="n">
        <v>474840.306435949</v>
      </c>
      <c r="G76" s="9" t="n">
        <v>96312.3842759949</v>
      </c>
      <c r="H76" s="9" t="n">
        <v>135067.127483066</v>
      </c>
      <c r="I76" s="9" t="n">
        <v>153172.915203384</v>
      </c>
      <c r="J76" s="9" t="n">
        <v>161832.285107621</v>
      </c>
      <c r="K76" s="10" t="n">
        <f aca="false">E76-F76-G76-H76-I76+J76</f>
        <v>-4052.03134935134</v>
      </c>
      <c r="L76" s="14" t="n">
        <f aca="false">E76/E75-1</f>
        <v>0.0218672121440862</v>
      </c>
      <c r="M76" s="12" t="n">
        <f aca="false">(E76/E75)^4-1</f>
        <v>0.0903799524431479</v>
      </c>
      <c r="N76" s="12" t="n">
        <f aca="false">E76/E72-1</f>
        <v>0.111647580775579</v>
      </c>
    </row>
    <row r="77" customFormat="false" ht="15" hidden="false" customHeight="false" outlineLevel="0" collapsed="false">
      <c r="B77" s="7" t="s">
        <v>120</v>
      </c>
      <c r="C77" s="8" t="n">
        <v>2021</v>
      </c>
      <c r="D77" s="8" t="n">
        <v>4</v>
      </c>
      <c r="E77" s="9" t="n">
        <v>709545.384032785</v>
      </c>
      <c r="F77" s="9" t="n">
        <v>496255.094673647</v>
      </c>
      <c r="G77" s="9" t="n">
        <v>99788.8361054027</v>
      </c>
      <c r="H77" s="9" t="n">
        <v>146888.965953686</v>
      </c>
      <c r="I77" s="9" t="n">
        <v>147237.177412279</v>
      </c>
      <c r="J77" s="9" t="n">
        <v>184203.796819802</v>
      </c>
      <c r="K77" s="10" t="n">
        <f aca="false">E77-F77-G77-H77-I77+J77</f>
        <v>3579.10670757244</v>
      </c>
      <c r="L77" s="14" t="n">
        <f aca="false">E77/E76-1</f>
        <v>0.0231244015207364</v>
      </c>
      <c r="M77" s="12" t="n">
        <f aca="false">(E77/E76)^4-1</f>
        <v>0.0957557816816277</v>
      </c>
      <c r="N77" s="12" t="n">
        <f aca="false">E77/E73-1</f>
        <v>0.0828232285077719</v>
      </c>
    </row>
    <row r="78" customFormat="false" ht="15" hidden="false" customHeight="false" outlineLevel="0" collapsed="false">
      <c r="B78" s="7" t="s">
        <v>121</v>
      </c>
      <c r="C78" s="8" t="n">
        <v>2022</v>
      </c>
      <c r="D78" s="8" t="n">
        <v>1</v>
      </c>
      <c r="E78" s="9" t="n">
        <v>726994.433108852</v>
      </c>
      <c r="F78" s="9" t="n">
        <v>508799.60176803</v>
      </c>
      <c r="G78" s="9" t="n">
        <v>98651.0863647588</v>
      </c>
      <c r="H78" s="9" t="n">
        <v>152770.589712505</v>
      </c>
      <c r="I78" s="9" t="n">
        <v>146184.539796033</v>
      </c>
      <c r="J78" s="9" t="n">
        <v>189032.175449287</v>
      </c>
      <c r="K78" s="10" t="n">
        <f aca="false">E78-F78-G78-H78-I78+J78</f>
        <v>9620.79091681208</v>
      </c>
      <c r="L78" s="14" t="n">
        <f aca="false">E78/E77-1</f>
        <v>0.0245918717374962</v>
      </c>
      <c r="M78" s="12" t="n">
        <f aca="false">(E78/E77)^4-1</f>
        <v>0.102055902354861</v>
      </c>
      <c r="N78" s="12" t="n">
        <f aca="false">E78/E74-1</f>
        <v>0.0730258597888749</v>
      </c>
    </row>
    <row r="79" customFormat="false" ht="15" hidden="false" customHeight="false" outlineLevel="0" collapsed="false">
      <c r="B79" s="7" t="s">
        <v>122</v>
      </c>
      <c r="C79" s="8" t="n">
        <v>2022</v>
      </c>
      <c r="D79" s="8" t="n">
        <v>2</v>
      </c>
      <c r="E79" s="9" t="n">
        <v>741461.967536759</v>
      </c>
      <c r="F79" s="9" t="n">
        <v>524003.928662801</v>
      </c>
      <c r="G79" s="9" t="n">
        <v>98293.0322733687</v>
      </c>
      <c r="H79" s="9" t="n">
        <v>159856.559946419</v>
      </c>
      <c r="I79" s="9" t="n">
        <v>153454.524080891</v>
      </c>
      <c r="J79" s="9" t="n">
        <v>199157.241935001</v>
      </c>
      <c r="K79" s="10" t="n">
        <f aca="false">E79-F79-G79-H79-I79+J79</f>
        <v>5011.16450828017</v>
      </c>
      <c r="L79" s="14" t="n">
        <f aca="false">E79/E78-1</f>
        <v>0.0199004748441323</v>
      </c>
      <c r="M79" s="12" t="n">
        <f aca="false">(E79/E78)^4-1</f>
        <v>0.0820097542621197</v>
      </c>
      <c r="N79" s="12" t="n">
        <f aca="false">E79/E75-1</f>
        <v>0.0925255630194537</v>
      </c>
    </row>
    <row r="80" customFormat="false" ht="15" hidden="false" customHeight="false" outlineLevel="0" collapsed="false">
      <c r="B80" s="7" t="s">
        <v>123</v>
      </c>
      <c r="C80" s="8" t="n">
        <v>2022</v>
      </c>
      <c r="D80" s="8" t="n">
        <v>3</v>
      </c>
      <c r="E80" s="9" t="n">
        <v>735869.563257023</v>
      </c>
      <c r="F80" s="9" t="n">
        <v>525149.849373859</v>
      </c>
      <c r="G80" s="9" t="n">
        <v>97222.010916446</v>
      </c>
      <c r="H80" s="9" t="n">
        <v>153222.090793953</v>
      </c>
      <c r="I80" s="9" t="n">
        <v>148981.946418875</v>
      </c>
      <c r="J80" s="9" t="n">
        <v>198584.530671548</v>
      </c>
      <c r="K80" s="10" t="n">
        <f aca="false">E80-F80-G80-H80-I80+J80</f>
        <v>9878.19642543755</v>
      </c>
      <c r="L80" s="14" t="n">
        <f aca="false">E80/E79-1</f>
        <v>-0.00754240207129586</v>
      </c>
      <c r="M80" s="12" t="n">
        <f aca="false">(E80/E79)^4-1</f>
        <v>-0.0298299943584451</v>
      </c>
      <c r="N80" s="12" t="n">
        <f aca="false">E80/E76-1</f>
        <v>0.0610823823918767</v>
      </c>
    </row>
    <row r="81" customFormat="false" ht="15" hidden="false" customHeight="false" outlineLevel="0" collapsed="false">
      <c r="B81" s="7" t="s">
        <v>124</v>
      </c>
      <c r="C81" s="8" t="n">
        <v>2022</v>
      </c>
      <c r="D81" s="8" t="n">
        <v>4</v>
      </c>
      <c r="E81" s="9" t="n">
        <v>721040.571001699</v>
      </c>
      <c r="F81" s="9" t="n">
        <v>522631.838322049</v>
      </c>
      <c r="G81" s="9" t="n">
        <v>97372.5131275545</v>
      </c>
      <c r="H81" s="9" t="n">
        <v>147960.013993831</v>
      </c>
      <c r="I81" s="9" t="n">
        <v>155591.91401711</v>
      </c>
      <c r="J81" s="9" t="n">
        <v>186103.814071835</v>
      </c>
      <c r="K81" s="10" t="n">
        <f aca="false">E81-F81-G81-H81-I81+J81</f>
        <v>-16411.8943870102</v>
      </c>
      <c r="L81" s="14" t="n">
        <f aca="false">E81/E80-1</f>
        <v>-0.0201516586576687</v>
      </c>
      <c r="M81" s="12" t="n">
        <f aca="false">(E81/E80)^4-1</f>
        <v>-0.0782026671377792</v>
      </c>
      <c r="N81" s="12" t="n">
        <f aca="false">E81/E77-1</f>
        <v>0.0162007776071769</v>
      </c>
    </row>
    <row r="82" customFormat="false" ht="15" hidden="false" customHeight="false" outlineLevel="0" collapsed="false">
      <c r="B82" s="7" t="s">
        <v>125</v>
      </c>
      <c r="C82" s="8" t="n">
        <v>2023</v>
      </c>
      <c r="D82" s="8" t="n">
        <v>1</v>
      </c>
      <c r="E82" s="9" t="n">
        <v>729079.815705246</v>
      </c>
      <c r="F82" s="9" t="n">
        <v>528451.306415279</v>
      </c>
      <c r="G82" s="9" t="n">
        <v>101559.888818671</v>
      </c>
      <c r="H82" s="9" t="n">
        <v>151286.117149361</v>
      </c>
      <c r="I82" s="9" t="n">
        <v>136239.805782925</v>
      </c>
      <c r="J82" s="9" t="n">
        <v>196140.07800287</v>
      </c>
      <c r="K82" s="10" t="n">
        <f aca="false">E82-F82-G82-H82-I82+J82</f>
        <v>7682.77554187991</v>
      </c>
      <c r="L82" s="14" t="n">
        <f aca="false">E82/E81-1</f>
        <v>0.0111495039625553</v>
      </c>
      <c r="M82" s="12" t="n">
        <f aca="false">(E82/E81)^4-1</f>
        <v>0.0453494439787308</v>
      </c>
      <c r="N82" s="12" t="n">
        <f aca="false">E82/E78-1</f>
        <v>0.00286849871391226</v>
      </c>
    </row>
    <row r="83" customFormat="false" ht="15" hidden="false" customHeight="false" outlineLevel="0" collapsed="false">
      <c r="B83" s="7" t="s">
        <v>126</v>
      </c>
      <c r="C83" s="8" t="n">
        <v>2023</v>
      </c>
      <c r="D83" s="8" t="n">
        <v>2</v>
      </c>
      <c r="E83" s="9" t="n">
        <v>709842.352700398</v>
      </c>
      <c r="F83" s="9" t="n">
        <v>533836.664481005</v>
      </c>
      <c r="G83" s="9" t="n">
        <v>102313.126329956</v>
      </c>
      <c r="H83" s="9" t="n">
        <v>157070.834493106</v>
      </c>
      <c r="I83" s="9" t="n">
        <v>134195.984082845</v>
      </c>
      <c r="J83" s="9" t="n">
        <v>207522.504261077</v>
      </c>
      <c r="K83" s="10" t="n">
        <f aca="false">E83-F83-G83-H83-I83+J83</f>
        <v>-10051.7524254366</v>
      </c>
      <c r="L83" s="14" t="n">
        <f aca="false">E83/E82-1</f>
        <v>-0.0263859492341575</v>
      </c>
      <c r="M83" s="12" t="n">
        <f aca="false">(E83/E82)^4-1</f>
        <v>-0.101439483839432</v>
      </c>
      <c r="N83" s="12" t="n">
        <f aca="false">E83/E79-1</f>
        <v>-0.0426449585019246</v>
      </c>
    </row>
    <row r="84" customFormat="false" ht="15" hidden="false" customHeight="false" outlineLevel="0" collapsed="false">
      <c r="B84" s="7" t="s">
        <v>127</v>
      </c>
      <c r="C84" s="8" t="n">
        <v>2023</v>
      </c>
      <c r="D84" s="8" t="n">
        <v>3</v>
      </c>
      <c r="E84" s="9" t="n">
        <v>725214.643789832</v>
      </c>
      <c r="F84" s="9" t="n">
        <v>527178.359872027</v>
      </c>
      <c r="G84" s="9" t="n">
        <v>100735.430601954</v>
      </c>
      <c r="H84" s="9" t="n">
        <v>153450.647236228</v>
      </c>
      <c r="I84" s="9" t="n">
        <v>136912.150890557</v>
      </c>
      <c r="J84" s="9" t="n">
        <v>202153.715514305</v>
      </c>
      <c r="K84" s="10" t="n">
        <f aca="false">E84-F84-G84-H84-I84+J84</f>
        <v>9091.77070337141</v>
      </c>
      <c r="L84" s="14" t="n">
        <f aca="false">E84/E83-1</f>
        <v>0.0216559226579738</v>
      </c>
      <c r="M84" s="12" t="n">
        <f aca="false">(E84/E83)^4-1</f>
        <v>0.0894784091808041</v>
      </c>
      <c r="N84" s="12" t="n">
        <f aca="false">E84/E80-1</f>
        <v>-0.0144793588418449</v>
      </c>
    </row>
    <row r="85" customFormat="false" ht="15" hidden="false" customHeight="false" outlineLevel="0" collapsed="false">
      <c r="B85" s="7" t="s">
        <v>128</v>
      </c>
      <c r="C85" s="8" t="n">
        <v>2023</v>
      </c>
      <c r="D85" s="8" t="n">
        <v>4</v>
      </c>
      <c r="E85" s="9" t="n">
        <v>707086.088753876</v>
      </c>
      <c r="F85" s="9" t="n">
        <v>511656.605494692</v>
      </c>
      <c r="G85" s="9" t="n">
        <v>95914.7124558507</v>
      </c>
      <c r="H85" s="9" t="n">
        <v>136766.662540317</v>
      </c>
      <c r="I85" s="9" t="n">
        <v>136044.655058379</v>
      </c>
      <c r="J85" s="9" t="n">
        <v>184163.900861361</v>
      </c>
      <c r="K85" s="10" t="n">
        <f aca="false">E85-F85-G85-H85-I85+J85</f>
        <v>10867.354065998</v>
      </c>
      <c r="L85" s="14" t="n">
        <f aca="false">E85/E84-1</f>
        <v>-0.0249975027272207</v>
      </c>
      <c r="M85" s="12" t="n">
        <f aca="false">(E85/E84)^4-1</f>
        <v>-0.0963028508566795</v>
      </c>
      <c r="N85" s="12" t="n">
        <f aca="false">E85/E81-1</f>
        <v>-0.019353255293856</v>
      </c>
    </row>
    <row r="86" customFormat="false" ht="15" hidden="false" customHeight="false" outlineLevel="0" collapsed="false">
      <c r="B86" s="7" t="s">
        <v>129</v>
      </c>
      <c r="C86" s="8" t="n">
        <v>2024</v>
      </c>
      <c r="D86" s="8" t="n">
        <v>1</v>
      </c>
      <c r="E86" s="9" t="n">
        <v>694486.099548666</v>
      </c>
      <c r="F86" s="9" t="n">
        <v>500846.498559177</v>
      </c>
      <c r="G86" s="9" t="n">
        <v>97427.7691322898</v>
      </c>
      <c r="H86" s="9" t="n">
        <v>118686.442951671</v>
      </c>
      <c r="I86" s="9" t="n">
        <v>158629.925274717</v>
      </c>
      <c r="J86" s="9" t="n">
        <v>168061.977517555</v>
      </c>
      <c r="K86" s="10" t="n">
        <f aca="false">E86-F86-G86-H86-I86+J86</f>
        <v>-13042.5588516336</v>
      </c>
      <c r="L86" s="14" t="n">
        <f aca="false">E86/E85-1</f>
        <v>-0.0178195970838784</v>
      </c>
      <c r="M86" s="12" t="n">
        <f aca="false">(E86/E85)^4-1</f>
        <v>-0.0693956928634588</v>
      </c>
      <c r="N86" s="12" t="n">
        <f aca="false">E86/E82-1</f>
        <v>-0.0474484623101477</v>
      </c>
    </row>
    <row r="87" customFormat="false" ht="15" hidden="false" customHeight="false" outlineLevel="0" collapsed="false">
      <c r="B87" s="7" t="s">
        <v>130</v>
      </c>
      <c r="C87" s="8" t="n">
        <v>2024</v>
      </c>
      <c r="D87" s="8" t="n">
        <v>2</v>
      </c>
      <c r="E87" s="9" t="n">
        <v>691468.75067544</v>
      </c>
      <c r="F87" s="9" t="n">
        <v>489455.494857873</v>
      </c>
      <c r="G87" s="9" t="n">
        <v>96538.3888129745</v>
      </c>
      <c r="H87" s="9" t="n">
        <v>109593.656802866</v>
      </c>
      <c r="I87" s="9" t="n">
        <v>162217.772987634</v>
      </c>
      <c r="J87" s="9" t="n">
        <v>161469.781675929</v>
      </c>
      <c r="K87" s="10" t="n">
        <f aca="false">E87-F87-G87-H87-I87+J87</f>
        <v>-4866.78110997833</v>
      </c>
      <c r="L87" s="14" t="n">
        <f aca="false">E87/E86-1</f>
        <v>-0.00434472176647871</v>
      </c>
      <c r="M87" s="12" t="n">
        <f aca="false">(E87/E86)^4-1</f>
        <v>-0.0172659551206451</v>
      </c>
      <c r="N87" s="12" t="n">
        <f aca="false">E87/E83-1</f>
        <v>-0.0258840599677674</v>
      </c>
    </row>
    <row r="88" customFormat="false" ht="15" hidden="false" customHeight="false" outlineLevel="0" collapsed="false">
      <c r="B88" s="7" t="s">
        <v>131</v>
      </c>
      <c r="C88" s="8" t="n">
        <v>2024</v>
      </c>
      <c r="D88" s="8" t="n">
        <v>3</v>
      </c>
      <c r="E88" s="9" t="n">
        <v>716166.17456056</v>
      </c>
      <c r="F88" s="9" t="n">
        <v>515831.645038387</v>
      </c>
      <c r="G88" s="9" t="n">
        <v>96735.7415429328</v>
      </c>
      <c r="H88" s="9" t="n">
        <v>125992.295052357</v>
      </c>
      <c r="I88" s="9" t="n">
        <v>164077.559263218</v>
      </c>
      <c r="J88" s="9" t="n">
        <v>177426.774495453</v>
      </c>
      <c r="K88" s="10" t="n">
        <f aca="false">E88-F88-G88-H88-I88+J88</f>
        <v>-9044.2918408821</v>
      </c>
      <c r="L88" s="14" t="n">
        <f aca="false">E88/E87-1</f>
        <v>0.0357173391581247</v>
      </c>
      <c r="M88" s="12" t="n">
        <f aca="false">(E88/E87)^4-1</f>
        <v>0.150707616498277</v>
      </c>
      <c r="N88" s="12" t="n">
        <f aca="false">E88/E84-1</f>
        <v>-0.0124769532810136</v>
      </c>
    </row>
    <row r="89" customFormat="false" ht="15" hidden="false" customHeight="false" outlineLevel="0" collapsed="false">
      <c r="B89" s="7" t="s">
        <v>132</v>
      </c>
      <c r="C89" s="8" t="n">
        <v>2024</v>
      </c>
      <c r="D89" s="8" t="n">
        <v>4</v>
      </c>
      <c r="E89" s="9" t="n">
        <v>729830.513449387</v>
      </c>
      <c r="F89" s="9" t="n">
        <v>534761.54887526</v>
      </c>
      <c r="G89" s="9" t="n">
        <v>97684.0942451541</v>
      </c>
      <c r="H89" s="9" t="n">
        <v>139368.675577683</v>
      </c>
      <c r="I89" s="9" t="n">
        <v>171318.86485309</v>
      </c>
      <c r="J89" s="9" t="n">
        <v>200697.052735009</v>
      </c>
      <c r="K89" s="10" t="n">
        <f aca="false">E89-F89-G89-H89-I89+J89</f>
        <v>-12605.6173667912</v>
      </c>
      <c r="L89" s="14" t="n">
        <f aca="false">E89/E88-1</f>
        <v>0.0190798440001885</v>
      </c>
      <c r="M89" s="12" t="n">
        <f aca="false">(E89/E88)^4-1</f>
        <v>0.0785315345483897</v>
      </c>
      <c r="N89" s="12" t="n">
        <f aca="false">E89/E85-1</f>
        <v>0.0321664151752648</v>
      </c>
    </row>
    <row r="90" customFormat="false" ht="15" hidden="false" customHeight="false" outlineLevel="0" collapsed="false">
      <c r="B90" s="7" t="s">
        <v>133</v>
      </c>
      <c r="C90" s="8" t="n">
        <v>2025</v>
      </c>
      <c r="D90" s="8" t="n">
        <v>1</v>
      </c>
      <c r="E90" s="9" t="n">
        <v>735468.221186163</v>
      </c>
      <c r="F90" s="9" t="n">
        <v>546670.130882202</v>
      </c>
      <c r="G90" s="9" t="n">
        <v>96047.3727776607</v>
      </c>
      <c r="H90" s="9" t="n">
        <v>150107.048836205</v>
      </c>
      <c r="I90" s="9" t="n">
        <v>168499.218145373</v>
      </c>
      <c r="J90" s="9" t="n">
        <v>235241.073372373</v>
      </c>
      <c r="K90" s="10" t="n">
        <f aca="false">E90-F90-G90-H90-I90+J90</f>
        <v>9385.52391709562</v>
      </c>
      <c r="L90" s="14" t="n">
        <f aca="false">E90/E89-1</f>
        <v>0.00772468077572008</v>
      </c>
      <c r="M90" s="12" t="n">
        <f aca="false">(E90/E89)^4-1</f>
        <v>0.0312585945702157</v>
      </c>
      <c r="N90" s="12" t="n">
        <f aca="false">E90/E86-1</f>
        <v>0.0590107154975896</v>
      </c>
    </row>
    <row r="91" customFormat="false" ht="15" hidden="false" customHeight="false" outlineLevel="0" collapsed="false">
      <c r="B91" s="7" t="s">
        <v>134</v>
      </c>
      <c r="C91" s="8" t="n">
        <v>2025</v>
      </c>
      <c r="D91" s="8" t="n">
        <v>2</v>
      </c>
      <c r="E91" s="9" t="n">
        <v>737703.226466656</v>
      </c>
      <c r="F91" s="9" t="n">
        <v>552326.577776533</v>
      </c>
      <c r="G91" s="9" t="n">
        <v>97956.3635306776</v>
      </c>
      <c r="H91" s="9" t="n">
        <v>147731.327123738</v>
      </c>
      <c r="I91" s="9" t="n">
        <v>169150.388376611</v>
      </c>
      <c r="J91" s="9" t="n">
        <v>225896.174678415</v>
      </c>
      <c r="K91" s="10" t="n">
        <f aca="false">E91-F91-G91-H91-I91+J91</f>
        <v>-3565.25566248849</v>
      </c>
      <c r="L91" s="14" t="n">
        <f aca="false">E91/E90-1</f>
        <v>0.00303888763118576</v>
      </c>
      <c r="M91" s="12" t="n">
        <f aca="false">(E91/E90)^4-1</f>
        <v>0.0122110718927755</v>
      </c>
      <c r="N91" s="12" t="n">
        <f aca="false">E91/E87-1</f>
        <v>0.0668641579913094</v>
      </c>
    </row>
    <row r="92" customFormat="false" ht="15" hidden="false" customHeight="false" outlineLevel="0" collapsed="false">
      <c r="B92" s="7" t="s">
        <v>135</v>
      </c>
      <c r="C92" s="8" t="n">
        <v>2025</v>
      </c>
      <c r="D92" s="8" t="n">
        <v>3</v>
      </c>
      <c r="E92" s="9" t="n">
        <v>738582.979274483</v>
      </c>
      <c r="F92" s="9" t="n">
        <v>555411.905235198</v>
      </c>
      <c r="G92" s="9" t="n">
        <v>97965.1910602401</v>
      </c>
      <c r="H92" s="9" t="n">
        <v>140318.351199426</v>
      </c>
      <c r="I92" s="9" t="n">
        <v>181243.620510624</v>
      </c>
      <c r="J92" s="9" t="n">
        <v>221966.420215287</v>
      </c>
      <c r="K92" s="10" t="n">
        <f aca="false">E92-F92-G92-H92-I92+J92</f>
        <v>-14389.6685157183</v>
      </c>
      <c r="L92" s="14" t="n">
        <f aca="false">E92/E91-1</f>
        <v>0.00119255654071138</v>
      </c>
      <c r="M92" s="12" t="n">
        <f aca="false">(E92/E91)^4-1</f>
        <v>0.00477876609565819</v>
      </c>
      <c r="N92" s="12" t="n">
        <f aca="false">E92/E88-1</f>
        <v>0.0313011218767461</v>
      </c>
    </row>
    <row r="93" customFormat="false" ht="15" hidden="false" customHeight="false" outlineLevel="0" collapsed="false">
      <c r="B93" s="7" t="s">
        <v>136</v>
      </c>
      <c r="C93" s="8" t="n">
        <v>2025</v>
      </c>
      <c r="D93" s="8" t="n">
        <v>4</v>
      </c>
      <c r="E93" s="9" t="n">
        <v>747160.427183255</v>
      </c>
      <c r="F93" s="9" t="n">
        <v>561326.569468535</v>
      </c>
      <c r="G93" s="9" t="n">
        <v>97880.3482306954</v>
      </c>
      <c r="H93" s="9" t="n">
        <v>135516.563481098</v>
      </c>
      <c r="I93" s="9" t="n">
        <v>190691.924578646</v>
      </c>
      <c r="J93" s="9" t="n">
        <v>222757.220436369</v>
      </c>
      <c r="K93" s="10" t="n">
        <f aca="false">E93-F93-G93-H93-I93+J93</f>
        <v>-15497.75813935</v>
      </c>
      <c r="L93" s="14" t="n">
        <f aca="false">E93/E92-1</f>
        <v>0.0116133842093116</v>
      </c>
      <c r="M93" s="12" t="n">
        <f aca="false">(E93/E92)^4-1</f>
        <v>0.0472690444048045</v>
      </c>
      <c r="N93" s="12" t="n">
        <f aca="false">E93/E89-1</f>
        <v>0.023745120839032</v>
      </c>
    </row>
    <row r="94" customFormat="false" ht="15" hidden="false" customHeight="false" outlineLevel="0" collapsed="false">
      <c r="B94" s="7" t="s">
        <v>137</v>
      </c>
      <c r="C94" s="8" t="n">
        <v>2026</v>
      </c>
      <c r="D94" s="8" t="n">
        <v>1</v>
      </c>
      <c r="E94" s="9" t="n">
        <v>752727.873729265</v>
      </c>
      <c r="F94" s="9" t="n">
        <v>565983.811893563</v>
      </c>
      <c r="G94" s="9" t="n">
        <v>95533.0952876145</v>
      </c>
      <c r="H94" s="9" t="n">
        <v>133170.08577966</v>
      </c>
      <c r="I94" s="9" t="n">
        <v>184748.0329688</v>
      </c>
      <c r="J94" s="9" t="n">
        <v>217099.658977799</v>
      </c>
      <c r="K94" s="10" t="n">
        <f aca="false">E94-F94-G94-H94-I94+J94</f>
        <v>-9607.4932225731</v>
      </c>
      <c r="L94" s="14" t="n">
        <f aca="false">E94/E93-1</f>
        <v>0.00745147406561508</v>
      </c>
      <c r="M94" s="12" t="n">
        <f aca="false">(E94/E93)^4-1</f>
        <v>0.0301407010963961</v>
      </c>
      <c r="N94" s="12" t="n">
        <f aca="false">E94/E90-1</f>
        <v>0.0234675707881242</v>
      </c>
    </row>
    <row r="96" customFormat="false" ht="15" hidden="false" customHeight="false" outlineLevel="0" collapsed="false">
      <c r="B96" s="13" t="s">
        <v>146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S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6" min="5" style="0" width="15"/>
    <col collapsed="false" customWidth="true" hidden="false" outlineLevel="0" max="13" min="7" style="0" width="14"/>
    <col collapsed="false" customWidth="true" hidden="false" outlineLevel="0" max="14" min="14" style="0" width="11"/>
    <col collapsed="false" customWidth="true" hidden="false" outlineLevel="0" max="15" min="15" style="0" width="15"/>
    <col collapsed="false" customWidth="true" hidden="false" outlineLevel="0" max="16" min="16" style="0" width="10"/>
    <col collapsed="false" customWidth="true" hidden="false" outlineLevel="0" max="17" min="17" style="0" width="14"/>
    <col collapsed="false" customWidth="true" hidden="false" outlineLevel="0" max="18" min="18" style="0" width="15"/>
    <col collapsed="false" customWidth="true" hidden="false" outlineLevel="0" max="19" min="19" style="0" width="11"/>
  </cols>
  <sheetData>
    <row r="2" customFormat="false" ht="25.5" hidden="false" customHeight="true" outlineLevel="0" collapsed="false">
      <c r="B2" s="1" t="s">
        <v>147</v>
      </c>
    </row>
    <row r="3" customFormat="false" ht="15" hidden="false" customHeight="false" outlineLevel="0" collapsed="false">
      <c r="B3" s="2" t="s">
        <v>148</v>
      </c>
    </row>
    <row r="5" customFormat="false" ht="31.5" hidden="false" customHeight="true" outlineLevel="0" collapsed="false">
      <c r="B5" s="6" t="s">
        <v>34</v>
      </c>
      <c r="C5" s="6" t="s">
        <v>35</v>
      </c>
      <c r="D5" s="6" t="s">
        <v>36</v>
      </c>
      <c r="E5" s="6" t="s">
        <v>37</v>
      </c>
      <c r="F5" s="6" t="s">
        <v>38</v>
      </c>
      <c r="G5" s="6" t="s">
        <v>39</v>
      </c>
      <c r="H5" s="6" t="s">
        <v>40</v>
      </c>
      <c r="I5" s="6" t="s">
        <v>41</v>
      </c>
      <c r="J5" s="6" t="s">
        <v>42</v>
      </c>
      <c r="K5" s="6" t="s">
        <v>43</v>
      </c>
      <c r="L5" s="6" t="s">
        <v>44</v>
      </c>
      <c r="M5" s="6" t="s">
        <v>45</v>
      </c>
      <c r="N5" s="6" t="s">
        <v>46</v>
      </c>
      <c r="O5" s="6" t="s">
        <v>149</v>
      </c>
      <c r="P5" s="6" t="s">
        <v>150</v>
      </c>
      <c r="Q5" s="6" t="s">
        <v>151</v>
      </c>
      <c r="R5" s="6" t="s">
        <v>152</v>
      </c>
      <c r="S5" s="6" t="s">
        <v>153</v>
      </c>
    </row>
    <row r="6" customFormat="false" ht="15" hidden="false" customHeight="false" outlineLevel="0" collapsed="false">
      <c r="B6" s="7" t="s">
        <v>49</v>
      </c>
      <c r="C6" s="8" t="n">
        <v>2004</v>
      </c>
      <c r="D6" s="8" t="n">
        <v>1</v>
      </c>
      <c r="E6" s="9" t="n">
        <v>439195.865000173</v>
      </c>
      <c r="F6" s="9" t="n">
        <v>291921.51061213</v>
      </c>
      <c r="G6" s="9" t="n">
        <v>47170.5956048313</v>
      </c>
      <c r="H6" s="9" t="n">
        <v>65561.3532069545</v>
      </c>
      <c r="I6" s="9" t="n">
        <v>3841.41852537548</v>
      </c>
      <c r="J6" s="9"/>
      <c r="K6" s="9" t="n">
        <v>100001.755290352</v>
      </c>
      <c r="L6" s="9" t="n">
        <v>69300.9867328786</v>
      </c>
      <c r="M6" s="10" t="n">
        <f aca="false">N(I6)+N(J6)</f>
        <v>3841.41852537548</v>
      </c>
      <c r="N6" s="11" t="n">
        <f aca="false">F6+G6+H6+M6+K6-L6-E6</f>
        <v>-0.218493408232462</v>
      </c>
      <c r="O6" s="10" t="n">
        <f aca="false">E6/4</f>
        <v>109798.966250043</v>
      </c>
      <c r="P6" s="15" t="n">
        <v>2.90919729328884</v>
      </c>
      <c r="Q6" s="10" t="n">
        <f aca="false">O6/P6</f>
        <v>37742.0144392874</v>
      </c>
    </row>
    <row r="7" customFormat="false" ht="15" hidden="false" customHeight="false" outlineLevel="0" collapsed="false">
      <c r="B7" s="7" t="s">
        <v>50</v>
      </c>
      <c r="C7" s="8" t="n">
        <v>2004</v>
      </c>
      <c r="D7" s="8" t="n">
        <v>2</v>
      </c>
      <c r="E7" s="9" t="n">
        <v>509498.663246883</v>
      </c>
      <c r="F7" s="9" t="n">
        <v>334394.658926032</v>
      </c>
      <c r="G7" s="9" t="n">
        <v>50275.4444993944</v>
      </c>
      <c r="H7" s="9" t="n">
        <v>80070.028064613</v>
      </c>
      <c r="I7" s="9" t="n">
        <v>2127.3566905943</v>
      </c>
      <c r="J7" s="9"/>
      <c r="K7" s="9" t="n">
        <v>120749.897102275</v>
      </c>
      <c r="L7" s="9" t="n">
        <v>78118.8061342756</v>
      </c>
      <c r="M7" s="10" t="n">
        <f aca="false">N(I7)+N(J7)</f>
        <v>2127.3566905943</v>
      </c>
      <c r="N7" s="11" t="n">
        <f aca="false">F7+G7+H7+M7+K7-L7-E7</f>
        <v>-0.084098250605166</v>
      </c>
      <c r="O7" s="10" t="n">
        <f aca="false">E7/4</f>
        <v>127374.665811721</v>
      </c>
      <c r="P7" s="15" t="n">
        <v>2.90511501792115</v>
      </c>
      <c r="Q7" s="10" t="n">
        <f aca="false">O7/P7</f>
        <v>43844.9648382142</v>
      </c>
    </row>
    <row r="8" customFormat="false" ht="15" hidden="false" customHeight="false" outlineLevel="0" collapsed="false">
      <c r="B8" s="7" t="s">
        <v>51</v>
      </c>
      <c r="C8" s="8" t="n">
        <v>2004</v>
      </c>
      <c r="D8" s="8" t="n">
        <v>3</v>
      </c>
      <c r="E8" s="9" t="n">
        <v>488462.382591184</v>
      </c>
      <c r="F8" s="9" t="n">
        <v>314867.080276851</v>
      </c>
      <c r="G8" s="9" t="n">
        <v>54912.1883057304</v>
      </c>
      <c r="H8" s="9" t="n">
        <v>82294.8183003922</v>
      </c>
      <c r="I8" s="9" t="n">
        <v>3464.2001501778</v>
      </c>
      <c r="J8" s="9"/>
      <c r="K8" s="9" t="n">
        <v>120599.67062462</v>
      </c>
      <c r="L8" s="9" t="n">
        <v>87675.4253415492</v>
      </c>
      <c r="M8" s="10" t="n">
        <f aca="false">N(I8)+N(J8)</f>
        <v>3464.2001501778</v>
      </c>
      <c r="N8" s="11" t="n">
        <f aca="false">F8+G8+H8+M8+K8-L8-E8</f>
        <v>0.149725038267206</v>
      </c>
      <c r="O8" s="10" t="n">
        <f aca="false">E8/4</f>
        <v>122115.595647796</v>
      </c>
      <c r="P8" s="15" t="n">
        <v>2.98929731182796</v>
      </c>
      <c r="Q8" s="10" t="n">
        <f aca="false">O8/P8</f>
        <v>40850.9368287366</v>
      </c>
    </row>
    <row r="9" customFormat="false" ht="15" hidden="false" customHeight="false" outlineLevel="0" collapsed="false">
      <c r="B9" s="7" t="s">
        <v>52</v>
      </c>
      <c r="C9" s="8" t="n">
        <v>2004</v>
      </c>
      <c r="D9" s="8" t="n">
        <v>4</v>
      </c>
      <c r="E9" s="9" t="n">
        <v>503303.868060779</v>
      </c>
      <c r="F9" s="9" t="n">
        <v>307144.292544317</v>
      </c>
      <c r="G9" s="9" t="n">
        <v>63316.9250501909</v>
      </c>
      <c r="H9" s="9" t="n">
        <v>80486.5088803977</v>
      </c>
      <c r="I9" s="9" t="n">
        <v>22729.8335950993</v>
      </c>
      <c r="J9" s="9"/>
      <c r="K9" s="9" t="n">
        <v>121402.378771084</v>
      </c>
      <c r="L9" s="9" t="n">
        <v>91775.9179136897</v>
      </c>
      <c r="M9" s="10" t="n">
        <f aca="false">N(I9)+N(J9)</f>
        <v>22729.8335950993</v>
      </c>
      <c r="N9" s="11" t="n">
        <f aca="false">F9+G9+H9+M9+K9-L9-E9</f>
        <v>0.152866620162968</v>
      </c>
      <c r="O9" s="10" t="n">
        <f aca="false">E9/4</f>
        <v>125825.967015195</v>
      </c>
      <c r="P9" s="15" t="n">
        <v>2.96519462365591</v>
      </c>
      <c r="Q9" s="10" t="n">
        <f aca="false">O9/P9</f>
        <v>42434.3029666156</v>
      </c>
      <c r="R9" s="10" t="n">
        <f aca="false">SUM(Q6:Q9)</f>
        <v>164872.219072854</v>
      </c>
    </row>
    <row r="10" customFormat="false" ht="15" hidden="false" customHeight="false" outlineLevel="0" collapsed="false">
      <c r="B10" s="7" t="s">
        <v>53</v>
      </c>
      <c r="C10" s="8" t="n">
        <v>2005</v>
      </c>
      <c r="D10" s="8" t="n">
        <v>1</v>
      </c>
      <c r="E10" s="9" t="n">
        <v>510703.427015116</v>
      </c>
      <c r="F10" s="9" t="n">
        <v>329383.735353351</v>
      </c>
      <c r="G10" s="9" t="n">
        <v>60446.0179989141</v>
      </c>
      <c r="H10" s="9" t="n">
        <v>88292.8089962331</v>
      </c>
      <c r="I10" s="9" t="n">
        <v>4284.73089977289</v>
      </c>
      <c r="J10" s="9"/>
      <c r="K10" s="9" t="n">
        <v>116402.464621993</v>
      </c>
      <c r="L10" s="9" t="n">
        <v>88106.3308583526</v>
      </c>
      <c r="M10" s="10" t="n">
        <f aca="false">N(I10)+N(J10)</f>
        <v>4284.73089977289</v>
      </c>
      <c r="N10" s="11" t="n">
        <f aca="false">F10+G10+H10+M10+K10-L10-E10</f>
        <v>-3.20508843287826E-006</v>
      </c>
      <c r="O10" s="10" t="n">
        <f aca="false">E10/4</f>
        <v>127675.856753779</v>
      </c>
      <c r="P10" s="15" t="n">
        <v>2.92943821044547</v>
      </c>
      <c r="Q10" s="10" t="n">
        <f aca="false">O10/P10</f>
        <v>43583.7343482879</v>
      </c>
      <c r="R10" s="10" t="n">
        <f aca="false">SUM(Q7:Q10)</f>
        <v>170713.938981854</v>
      </c>
      <c r="S10" s="12" t="n">
        <f aca="false">(E10/'Data Constant'!E10)/(E6/'Data Constant'!E6)-1</f>
        <v>0.0845251829704428</v>
      </c>
    </row>
    <row r="11" customFormat="false" ht="15" hidden="false" customHeight="false" outlineLevel="0" collapsed="false">
      <c r="B11" s="7" t="s">
        <v>54</v>
      </c>
      <c r="C11" s="8" t="n">
        <v>2005</v>
      </c>
      <c r="D11" s="8" t="n">
        <v>2</v>
      </c>
      <c r="E11" s="9" t="n">
        <v>605771.77584651</v>
      </c>
      <c r="F11" s="9" t="n">
        <v>400294.005057511</v>
      </c>
      <c r="G11" s="9" t="n">
        <v>66443.3867098949</v>
      </c>
      <c r="H11" s="9" t="n">
        <v>104017.943765548</v>
      </c>
      <c r="I11" s="9" t="n">
        <v>-613.938963213375</v>
      </c>
      <c r="J11" s="9"/>
      <c r="K11" s="9" t="n">
        <v>138861.523848661</v>
      </c>
      <c r="L11" s="9" t="n">
        <v>103231.144573959</v>
      </c>
      <c r="M11" s="10" t="n">
        <f aca="false">N(I11)+N(J11)</f>
        <v>-613.938963213375</v>
      </c>
      <c r="N11" s="11" t="n">
        <f aca="false">F11+G11+H11+M11+K11-L11-E11</f>
        <v>-2.06707045435905E-006</v>
      </c>
      <c r="O11" s="10" t="n">
        <f aca="false">E11/4</f>
        <v>151442.943961628</v>
      </c>
      <c r="P11" s="15" t="n">
        <v>2.89192992831541</v>
      </c>
      <c r="Q11" s="10" t="n">
        <f aca="false">O11/P11</f>
        <v>52367.4320317453</v>
      </c>
      <c r="R11" s="10" t="n">
        <f aca="false">SUM(Q8:Q11)</f>
        <v>179236.406175385</v>
      </c>
      <c r="S11" s="12" t="n">
        <f aca="false">(E11/'Data Constant'!E11)/(E7/'Data Constant'!E7)-1</f>
        <v>0.051448344056803</v>
      </c>
    </row>
    <row r="12" customFormat="false" ht="15" hidden="false" customHeight="false" outlineLevel="0" collapsed="false">
      <c r="B12" s="7" t="s">
        <v>55</v>
      </c>
      <c r="C12" s="8" t="n">
        <v>2005</v>
      </c>
      <c r="D12" s="8" t="n">
        <v>3</v>
      </c>
      <c r="E12" s="9" t="n">
        <v>590219.559142629</v>
      </c>
      <c r="F12" s="9" t="n">
        <v>370307.887517175</v>
      </c>
      <c r="G12" s="9" t="n">
        <v>71261.0817762763</v>
      </c>
      <c r="H12" s="9" t="n">
        <v>103532.805052223</v>
      </c>
      <c r="I12" s="9" t="n">
        <v>5402.54761906759</v>
      </c>
      <c r="J12" s="9"/>
      <c r="K12" s="9" t="n">
        <v>142090.958869115</v>
      </c>
      <c r="L12" s="9" t="n">
        <v>102375.721687275</v>
      </c>
      <c r="M12" s="10" t="n">
        <f aca="false">N(I12)+N(J12)</f>
        <v>5402.54761906759</v>
      </c>
      <c r="N12" s="11" t="n">
        <f aca="false">F12+G12+H12+M12+K12-L12-E12</f>
        <v>3.95183451473713E-006</v>
      </c>
      <c r="O12" s="10" t="n">
        <f aca="false">E12/4</f>
        <v>147554.889785657</v>
      </c>
      <c r="P12" s="15" t="n">
        <v>2.88978591397849</v>
      </c>
      <c r="Q12" s="10" t="n">
        <f aca="false">O12/P12</f>
        <v>51060.8377845237</v>
      </c>
      <c r="R12" s="10" t="n">
        <f aca="false">SUM(Q9:Q12)</f>
        <v>189446.307131173</v>
      </c>
      <c r="S12" s="12" t="n">
        <f aca="false">(E12/'Data Constant'!E12)/(E8/'Data Constant'!E8)-1</f>
        <v>0.129568175535295</v>
      </c>
    </row>
    <row r="13" customFormat="false" ht="15" hidden="false" customHeight="false" outlineLevel="0" collapsed="false">
      <c r="B13" s="7" t="s">
        <v>56</v>
      </c>
      <c r="C13" s="8" t="n">
        <v>2005</v>
      </c>
      <c r="D13" s="8" t="n">
        <v>4</v>
      </c>
      <c r="E13" s="9" t="n">
        <v>623457.929744843</v>
      </c>
      <c r="F13" s="9" t="n">
        <v>368695.449493147</v>
      </c>
      <c r="G13" s="9" t="n">
        <v>84773.4199724874</v>
      </c>
      <c r="H13" s="9" t="n">
        <v>108464.658775169</v>
      </c>
      <c r="I13" s="9" t="n">
        <v>26743.8389946123</v>
      </c>
      <c r="J13" s="9"/>
      <c r="K13" s="9" t="n">
        <v>144309.475153529</v>
      </c>
      <c r="L13" s="9" t="n">
        <v>109528.912646557</v>
      </c>
      <c r="M13" s="10" t="n">
        <f aca="false">N(I13)+N(J13)</f>
        <v>26743.8389946123</v>
      </c>
      <c r="N13" s="11" t="n">
        <f aca="false">F13+G13+H13+M13+K13-L13-E13</f>
        <v>-2.45461706072092E-006</v>
      </c>
      <c r="O13" s="10" t="n">
        <f aca="false">E13/4</f>
        <v>155864.482436211</v>
      </c>
      <c r="P13" s="15" t="n">
        <v>2.98176430107527</v>
      </c>
      <c r="Q13" s="10" t="n">
        <f aca="false">O13/P13</f>
        <v>52272.5697601261</v>
      </c>
      <c r="R13" s="10" t="n">
        <f aca="false">SUM(Q10:Q13)</f>
        <v>199284.573924683</v>
      </c>
      <c r="S13" s="12" t="n">
        <f aca="false">(E13/'Data Constant'!E13)/(E9/'Data Constant'!E9)-1</f>
        <v>0.14928315847871</v>
      </c>
    </row>
    <row r="14" customFormat="false" ht="15" hidden="false" customHeight="false" outlineLevel="0" collapsed="false">
      <c r="B14" s="7" t="s">
        <v>57</v>
      </c>
      <c r="C14" s="8" t="n">
        <v>2006</v>
      </c>
      <c r="D14" s="8" t="n">
        <v>1</v>
      </c>
      <c r="E14" s="9" t="n">
        <v>643562.379587061</v>
      </c>
      <c r="F14" s="9" t="n">
        <v>420680.072849913</v>
      </c>
      <c r="G14" s="9" t="n">
        <v>77417.3489779187</v>
      </c>
      <c r="H14" s="9" t="n">
        <v>116110.673195495</v>
      </c>
      <c r="I14" s="9" t="n">
        <v>-2667.77564845916</v>
      </c>
      <c r="J14" s="9"/>
      <c r="K14" s="9" t="n">
        <v>143494.784320275</v>
      </c>
      <c r="L14" s="9" t="n">
        <v>111472.72410811</v>
      </c>
      <c r="M14" s="10" t="n">
        <f aca="false">N(I14)+N(J14)</f>
        <v>-2667.77564845916</v>
      </c>
      <c r="N14" s="11" t="n">
        <f aca="false">F14+G14+H14+M14+K14-L14-E14</f>
        <v>-2.77068465948105E-008</v>
      </c>
      <c r="O14" s="10" t="n">
        <f aca="false">E14/4</f>
        <v>160890.594896765</v>
      </c>
      <c r="P14" s="15" t="n">
        <v>3.06326839477727</v>
      </c>
      <c r="Q14" s="10" t="n">
        <f aca="false">O14/P14</f>
        <v>52522.5263222369</v>
      </c>
      <c r="R14" s="10" t="n">
        <f aca="false">SUM(Q11:Q14)</f>
        <v>208223.365898632</v>
      </c>
      <c r="S14" s="12" t="n">
        <f aca="false">(E14/'Data Constant'!E14)/(E10/'Data Constant'!E10)-1</f>
        <v>0.168432032108664</v>
      </c>
    </row>
    <row r="15" customFormat="false" ht="15" hidden="false" customHeight="false" outlineLevel="0" collapsed="false">
      <c r="B15" s="7" t="s">
        <v>58</v>
      </c>
      <c r="C15" s="8" t="n">
        <v>2006</v>
      </c>
      <c r="D15" s="8" t="n">
        <v>2</v>
      </c>
      <c r="E15" s="9" t="n">
        <v>727989.187266911</v>
      </c>
      <c r="F15" s="9" t="n">
        <v>472564.970616454</v>
      </c>
      <c r="G15" s="9" t="n">
        <v>85196.5475582086</v>
      </c>
      <c r="H15" s="9" t="n">
        <v>130833.712836913</v>
      </c>
      <c r="I15" s="9" t="n">
        <v>-6080.14509417902</v>
      </c>
      <c r="J15" s="9"/>
      <c r="K15" s="9" t="n">
        <v>165070.511893505</v>
      </c>
      <c r="L15" s="9" t="n">
        <v>119596.410545448</v>
      </c>
      <c r="M15" s="10" t="n">
        <f aca="false">N(I15)+N(J15)</f>
        <v>-6080.14509417902</v>
      </c>
      <c r="N15" s="11" t="n">
        <f aca="false">F15+G15+H15+M15+K15-L15-E15</f>
        <v>-1.45798549056053E-006</v>
      </c>
      <c r="O15" s="10" t="n">
        <f aca="false">E15/4</f>
        <v>181997.296816728</v>
      </c>
      <c r="P15" s="15" t="n">
        <v>3.06772806451613</v>
      </c>
      <c r="Q15" s="10" t="n">
        <f aca="false">O15/P15</f>
        <v>59326.4112689317</v>
      </c>
      <c r="R15" s="10" t="n">
        <f aca="false">SUM(Q12:Q15)</f>
        <v>215182.345135818</v>
      </c>
      <c r="S15" s="12" t="n">
        <f aca="false">(E15/'Data Constant'!E15)/(E11/'Data Constant'!E11)-1</f>
        <v>0.13833175439686</v>
      </c>
    </row>
    <row r="16" customFormat="false" ht="15" hidden="false" customHeight="false" outlineLevel="0" collapsed="false">
      <c r="B16" s="7" t="s">
        <v>59</v>
      </c>
      <c r="C16" s="8" t="n">
        <v>2006</v>
      </c>
      <c r="D16" s="8" t="n">
        <v>3</v>
      </c>
      <c r="E16" s="9" t="n">
        <v>729299.498006196</v>
      </c>
      <c r="F16" s="9" t="n">
        <v>469727.002464095</v>
      </c>
      <c r="G16" s="9" t="n">
        <v>88513.6507441167</v>
      </c>
      <c r="H16" s="9" t="n">
        <v>139597.738301844</v>
      </c>
      <c r="I16" s="9" t="n">
        <v>-5690.04460634924</v>
      </c>
      <c r="J16" s="9"/>
      <c r="K16" s="9" t="n">
        <v>169541.644908892</v>
      </c>
      <c r="L16" s="9" t="n">
        <v>132390.493806315</v>
      </c>
      <c r="M16" s="10" t="n">
        <f aca="false">N(I16)+N(J16)</f>
        <v>-5690.04460634924</v>
      </c>
      <c r="N16" s="11" t="n">
        <f aca="false">F16+G16+H16+M16+K16-L16-E16</f>
        <v>8.7544322013855E-008</v>
      </c>
      <c r="O16" s="10" t="n">
        <f aca="false">E16/4</f>
        <v>182324.874501549</v>
      </c>
      <c r="P16" s="15" t="n">
        <v>3.0867335483871</v>
      </c>
      <c r="Q16" s="10" t="n">
        <f aca="false">O16/P16</f>
        <v>59067.2539898427</v>
      </c>
      <c r="R16" s="10" t="n">
        <f aca="false">SUM(Q13:Q16)</f>
        <v>223188.761341137</v>
      </c>
      <c r="S16" s="12" t="n">
        <f aca="false">(E16/'Data Constant'!E16)/(E12/'Data Constant'!E12)-1</f>
        <v>0.129672226459004</v>
      </c>
    </row>
    <row r="17" customFormat="false" ht="15" hidden="false" customHeight="false" outlineLevel="0" collapsed="false">
      <c r="B17" s="7" t="s">
        <v>60</v>
      </c>
      <c r="C17" s="8" t="n">
        <v>2006</v>
      </c>
      <c r="D17" s="8" t="n">
        <v>4</v>
      </c>
      <c r="E17" s="9" t="n">
        <v>762766.022075226</v>
      </c>
      <c r="F17" s="9" t="n">
        <v>448843.869825391</v>
      </c>
      <c r="G17" s="9" t="n">
        <v>104803.31529003</v>
      </c>
      <c r="H17" s="9" t="n">
        <v>138392.870724826</v>
      </c>
      <c r="I17" s="9" t="n">
        <v>24440.5948548462</v>
      </c>
      <c r="J17" s="9"/>
      <c r="K17" s="9" t="n">
        <v>181289.42002471</v>
      </c>
      <c r="L17" s="9" t="n">
        <v>135004.048640919</v>
      </c>
      <c r="M17" s="10" t="n">
        <f aca="false">N(I17)+N(J17)</f>
        <v>24440.5948548462</v>
      </c>
      <c r="N17" s="11" t="n">
        <f aca="false">F17+G17+H17+M17+K17-L17-E17</f>
        <v>3.65718733519316E-006</v>
      </c>
      <c r="O17" s="10" t="n">
        <f aca="false">E17/4</f>
        <v>190691.505518807</v>
      </c>
      <c r="P17" s="15" t="n">
        <v>3.07813688172043</v>
      </c>
      <c r="Q17" s="10" t="n">
        <f aca="false">O17/P17</f>
        <v>61950.3007326384</v>
      </c>
      <c r="R17" s="10" t="n">
        <f aca="false">SUM(Q14:Q17)</f>
        <v>232866.49231365</v>
      </c>
      <c r="S17" s="12" t="n">
        <f aca="false">(E17/'Data Constant'!E17)/(E13/'Data Constant'!E13)-1</f>
        <v>0.115497145350624</v>
      </c>
    </row>
    <row r="18" customFormat="false" ht="15" hidden="false" customHeight="false" outlineLevel="0" collapsed="false">
      <c r="B18" s="7" t="s">
        <v>61</v>
      </c>
      <c r="C18" s="8" t="n">
        <v>2007</v>
      </c>
      <c r="D18" s="8" t="n">
        <v>1</v>
      </c>
      <c r="E18" s="9" t="n">
        <v>774387.787841277</v>
      </c>
      <c r="F18" s="9" t="n">
        <v>506621.028007369</v>
      </c>
      <c r="G18" s="9" t="n">
        <v>97650.6767050758</v>
      </c>
      <c r="H18" s="9" t="n">
        <v>148228.491899038</v>
      </c>
      <c r="I18" s="9" t="n">
        <v>-7455.13851567677</v>
      </c>
      <c r="J18" s="9"/>
      <c r="K18" s="9" t="n">
        <v>168496.918959867</v>
      </c>
      <c r="L18" s="9" t="n">
        <v>139154.189215586</v>
      </c>
      <c r="M18" s="10" t="n">
        <f aca="false">N(I18)+N(J18)</f>
        <v>-7455.13851567677</v>
      </c>
      <c r="N18" s="11" t="n">
        <f aca="false">F18+G18+H18+M18+K18-L18-E18</f>
        <v>-1.18953175842762E-006</v>
      </c>
      <c r="O18" s="10" t="n">
        <f aca="false">E18/4</f>
        <v>193596.946960319</v>
      </c>
      <c r="P18" s="15" t="n">
        <v>3.09602146697389</v>
      </c>
      <c r="Q18" s="10" t="n">
        <f aca="false">O18/P18</f>
        <v>62530.8800424904</v>
      </c>
      <c r="R18" s="10" t="n">
        <f aca="false">SUM(Q15:Q18)</f>
        <v>242874.846033903</v>
      </c>
      <c r="S18" s="12" t="n">
        <f aca="false">(E18/'Data Constant'!E18)/(E14/'Data Constant'!E14)-1</f>
        <v>0.110460446781778</v>
      </c>
    </row>
    <row r="19" customFormat="false" ht="15" hidden="false" customHeight="false" outlineLevel="0" collapsed="false">
      <c r="B19" s="7" t="s">
        <v>62</v>
      </c>
      <c r="C19" s="8" t="n">
        <v>2007</v>
      </c>
      <c r="D19" s="8" t="n">
        <v>2</v>
      </c>
      <c r="E19" s="9" t="n">
        <v>904350.388093081</v>
      </c>
      <c r="F19" s="9" t="n">
        <v>576216.899411401</v>
      </c>
      <c r="G19" s="9" t="n">
        <v>111138.645685745</v>
      </c>
      <c r="H19" s="9" t="n">
        <v>170803.777691647</v>
      </c>
      <c r="I19" s="9" t="n">
        <v>2515.54090918003</v>
      </c>
      <c r="J19" s="9"/>
      <c r="K19" s="9" t="n">
        <v>193068.360374365</v>
      </c>
      <c r="L19" s="9" t="n">
        <v>149392.835976335</v>
      </c>
      <c r="M19" s="10" t="n">
        <f aca="false">N(I19)+N(J19)</f>
        <v>2515.54090918003</v>
      </c>
      <c r="N19" s="11" t="n">
        <f aca="false">F19+G19+H19+M19+K19-L19-E19</f>
        <v>2.92272306978703E-006</v>
      </c>
      <c r="O19" s="10" t="n">
        <f aca="false">E19/4</f>
        <v>226087.59702327</v>
      </c>
      <c r="P19" s="15" t="n">
        <v>3.08365924731183</v>
      </c>
      <c r="Q19" s="10" t="n">
        <f aca="false">O19/P19</f>
        <v>73317.9573003604</v>
      </c>
      <c r="R19" s="10" t="n">
        <f aca="false">SUM(Q16:Q19)</f>
        <v>256866.392065332</v>
      </c>
      <c r="S19" s="12" t="n">
        <f aca="false">(E19/'Data Constant'!E19)/(E15/'Data Constant'!E15)-1</f>
        <v>0.130770910400523</v>
      </c>
    </row>
    <row r="20" customFormat="false" ht="15" hidden="false" customHeight="false" outlineLevel="0" collapsed="false">
      <c r="B20" s="7" t="s">
        <v>63</v>
      </c>
      <c r="C20" s="8" t="n">
        <v>2007</v>
      </c>
      <c r="D20" s="8" t="n">
        <v>3</v>
      </c>
      <c r="E20" s="9" t="n">
        <v>914103.967401919</v>
      </c>
      <c r="F20" s="9" t="n">
        <v>589438.231774902</v>
      </c>
      <c r="G20" s="9" t="n">
        <v>118300.436270353</v>
      </c>
      <c r="H20" s="9" t="n">
        <v>189101.609502298</v>
      </c>
      <c r="I20" s="9" t="n">
        <v>-6912.93671561815</v>
      </c>
      <c r="J20" s="9"/>
      <c r="K20" s="9" t="n">
        <v>207489.64344239</v>
      </c>
      <c r="L20" s="9" t="n">
        <v>183313.016873319</v>
      </c>
      <c r="M20" s="10" t="n">
        <f aca="false">N(I20)+N(J20)</f>
        <v>-6912.93671561815</v>
      </c>
      <c r="N20" s="11" t="n">
        <f aca="false">F20+G20+H20+M20+K20-L20-E20</f>
        <v>-9.1188121587038E-007</v>
      </c>
      <c r="O20" s="10" t="n">
        <f aca="false">E20/4</f>
        <v>228525.99185048</v>
      </c>
      <c r="P20" s="15" t="n">
        <v>3.13685229390681</v>
      </c>
      <c r="Q20" s="10" t="n">
        <f aca="false">O20/P20</f>
        <v>72852.0090966288</v>
      </c>
      <c r="R20" s="10" t="n">
        <f aca="false">SUM(Q17:Q20)</f>
        <v>270651.147172118</v>
      </c>
      <c r="S20" s="12" t="n">
        <f aca="false">(E20/'Data Constant'!E20)/(E16/'Data Constant'!E16)-1</f>
        <v>0.155976598581356</v>
      </c>
    </row>
    <row r="21" customFormat="false" ht="15" hidden="false" customHeight="false" outlineLevel="0" collapsed="false">
      <c r="B21" s="7" t="s">
        <v>64</v>
      </c>
      <c r="C21" s="8" t="n">
        <v>2007</v>
      </c>
      <c r="D21" s="8" t="n">
        <v>4</v>
      </c>
      <c r="E21" s="9" t="n">
        <v>995078.552951336</v>
      </c>
      <c r="F21" s="9" t="n">
        <v>571294.888020871</v>
      </c>
      <c r="G21" s="9" t="n">
        <v>138956.881587233</v>
      </c>
      <c r="H21" s="9" t="n">
        <v>192087.564026268</v>
      </c>
      <c r="I21" s="9" t="n">
        <v>32771.3334193596</v>
      </c>
      <c r="J21" s="9"/>
      <c r="K21" s="9" t="n">
        <v>244066.585843541</v>
      </c>
      <c r="L21" s="9" t="n">
        <v>184098.699945161</v>
      </c>
      <c r="M21" s="10" t="n">
        <f aca="false">N(I21)+N(J21)</f>
        <v>32771.3334193596</v>
      </c>
      <c r="N21" s="11" t="n">
        <f aca="false">F21+G21+H21+M21+K21-L21-E21</f>
        <v>7.75675289332867E-007</v>
      </c>
      <c r="O21" s="10" t="n">
        <f aca="false">E21/4</f>
        <v>248769.638237834</v>
      </c>
      <c r="P21" s="15" t="n">
        <v>3.14558677419355</v>
      </c>
      <c r="Q21" s="10" t="n">
        <f aca="false">O21/P21</f>
        <v>79085.2887222011</v>
      </c>
      <c r="R21" s="10" t="n">
        <f aca="false">SUM(Q18:Q21)</f>
        <v>287786.135161681</v>
      </c>
      <c r="S21" s="12" t="n">
        <f aca="false">(E21/'Data Constant'!E21)/(E17/'Data Constant'!E17)-1</f>
        <v>0.193921084946374</v>
      </c>
    </row>
    <row r="22" customFormat="false" ht="15" hidden="false" customHeight="false" outlineLevel="0" collapsed="false">
      <c r="B22" s="7" t="s">
        <v>65</v>
      </c>
      <c r="C22" s="8" t="n">
        <v>2008</v>
      </c>
      <c r="D22" s="8" t="n">
        <v>1</v>
      </c>
      <c r="E22" s="9" t="n">
        <v>1032356.87325936</v>
      </c>
      <c r="F22" s="9" t="n">
        <v>674136.757238698</v>
      </c>
      <c r="G22" s="9" t="n">
        <v>130083.880925017</v>
      </c>
      <c r="H22" s="9" t="n">
        <v>202936.385426125</v>
      </c>
      <c r="I22" s="9" t="n">
        <v>-17086.8334554852</v>
      </c>
      <c r="J22" s="9"/>
      <c r="K22" s="9" t="n">
        <v>233518.694628904</v>
      </c>
      <c r="L22" s="9" t="n">
        <v>191232.011506893</v>
      </c>
      <c r="M22" s="10" t="n">
        <f aca="false">N(I22)+N(J22)</f>
        <v>-17086.8334554852</v>
      </c>
      <c r="N22" s="11" t="n">
        <f aca="false">F22+G22+H22+M22+K22-L22-E22</f>
        <v>-2.9935035854578E-006</v>
      </c>
      <c r="O22" s="10" t="n">
        <f aca="false">E22/4</f>
        <v>258089.21831484</v>
      </c>
      <c r="P22" s="15" t="n">
        <v>3.15224516129032</v>
      </c>
      <c r="Q22" s="10" t="n">
        <f aca="false">O22/P22</f>
        <v>81874.7289976629</v>
      </c>
      <c r="R22" s="10" t="n">
        <f aca="false">SUM(Q19:Q22)</f>
        <v>307129.984116853</v>
      </c>
      <c r="S22" s="12" t="n">
        <f aca="false">(E22/'Data Constant'!E22)/(E18/'Data Constant'!E18)-1</f>
        <v>0.246934457422964</v>
      </c>
    </row>
    <row r="23" customFormat="false" ht="15" hidden="false" customHeight="false" outlineLevel="0" collapsed="false">
      <c r="B23" s="7" t="s">
        <v>66</v>
      </c>
      <c r="C23" s="8" t="n">
        <v>2008</v>
      </c>
      <c r="D23" s="8" t="n">
        <v>2</v>
      </c>
      <c r="E23" s="9" t="n">
        <v>1213883.41098903</v>
      </c>
      <c r="F23" s="9" t="n">
        <v>786479.25785748</v>
      </c>
      <c r="G23" s="9" t="n">
        <v>150962.644736259</v>
      </c>
      <c r="H23" s="9" t="n">
        <v>234221.804765962</v>
      </c>
      <c r="I23" s="9" t="n">
        <v>13551.8587973203</v>
      </c>
      <c r="J23" s="9"/>
      <c r="K23" s="9" t="n">
        <v>249293.106414713</v>
      </c>
      <c r="L23" s="9" t="n">
        <v>220625.261581636</v>
      </c>
      <c r="M23" s="10" t="n">
        <f aca="false">N(I23)+N(J23)</f>
        <v>13551.8587973203</v>
      </c>
      <c r="N23" s="11" t="n">
        <f aca="false">F23+G23+H23+M23+K23-L23-E23</f>
        <v>1.06845982372761E-006</v>
      </c>
      <c r="O23" s="10" t="n">
        <f aca="false">E23/4</f>
        <v>303470.852747258</v>
      </c>
      <c r="P23" s="15" t="n">
        <v>3.12092075268817</v>
      </c>
      <c r="Q23" s="10" t="n">
        <f aca="false">O23/P23</f>
        <v>97237.6028727631</v>
      </c>
      <c r="R23" s="10" t="n">
        <f aca="false">SUM(Q20:Q23)</f>
        <v>331049.629689256</v>
      </c>
      <c r="S23" s="12" t="n">
        <f aca="false">(E23/'Data Constant'!E23)/(E19/'Data Constant'!E19)-1</f>
        <v>0.272865756744402</v>
      </c>
    </row>
    <row r="24" customFormat="false" ht="15" hidden="false" customHeight="false" outlineLevel="0" collapsed="false">
      <c r="B24" s="7" t="s">
        <v>67</v>
      </c>
      <c r="C24" s="8" t="n">
        <v>2008</v>
      </c>
      <c r="D24" s="8" t="n">
        <v>3</v>
      </c>
      <c r="E24" s="9" t="n">
        <v>1183692.26970647</v>
      </c>
      <c r="F24" s="9" t="n">
        <v>735708.420172244</v>
      </c>
      <c r="G24" s="9" t="n">
        <v>159058.120342251</v>
      </c>
      <c r="H24" s="9" t="n">
        <v>230523.275648845</v>
      </c>
      <c r="I24" s="9" t="n">
        <v>-880.797312338108</v>
      </c>
      <c r="J24" s="9"/>
      <c r="K24" s="9" t="n">
        <v>290934.390409442</v>
      </c>
      <c r="L24" s="9" t="n">
        <v>231651.139550402</v>
      </c>
      <c r="M24" s="10" t="n">
        <f aca="false">N(I24)+N(J24)</f>
        <v>-880.797312338108</v>
      </c>
      <c r="N24" s="11" t="n">
        <f aca="false">F24+G24+H24+M24+K24-L24-E24</f>
        <v>3.56882810592651E-006</v>
      </c>
      <c r="O24" s="10" t="n">
        <f aca="false">E24/4</f>
        <v>295923.067426618</v>
      </c>
      <c r="P24" s="15" t="n">
        <v>3.04626888888889</v>
      </c>
      <c r="Q24" s="10" t="n">
        <f aca="false">O24/P24</f>
        <v>97142.792780369</v>
      </c>
      <c r="R24" s="10" t="n">
        <f aca="false">SUM(Q21:Q24)</f>
        <v>355340.413372996</v>
      </c>
      <c r="S24" s="12" t="n">
        <f aca="false">(E24/'Data Constant'!E24)/(E20/'Data Constant'!E20)-1</f>
        <v>0.221554095496852</v>
      </c>
    </row>
    <row r="25" customFormat="false" ht="15" hidden="false" customHeight="false" outlineLevel="0" collapsed="false">
      <c r="B25" s="7" t="s">
        <v>68</v>
      </c>
      <c r="C25" s="8" t="n">
        <v>2008</v>
      </c>
      <c r="D25" s="8" t="n">
        <v>4</v>
      </c>
      <c r="E25" s="9" t="n">
        <v>1168651.80837968</v>
      </c>
      <c r="F25" s="9" t="n">
        <v>704213.497249003</v>
      </c>
      <c r="G25" s="9" t="n">
        <v>186843.962702067</v>
      </c>
      <c r="H25" s="9" t="n">
        <v>206516.824235575</v>
      </c>
      <c r="I25" s="9" t="n">
        <v>30288.0927305757</v>
      </c>
      <c r="J25" s="9"/>
      <c r="K25" s="9" t="n">
        <v>240742.923562095</v>
      </c>
      <c r="L25" s="9" t="n">
        <v>199953.492100635</v>
      </c>
      <c r="M25" s="10" t="n">
        <f aca="false">N(I25)+N(J25)</f>
        <v>30288.0927305757</v>
      </c>
      <c r="N25" s="11" t="n">
        <f aca="false">F25+G25+H25+M25+K25-L25-E25</f>
        <v>-9.99309122562408E-007</v>
      </c>
      <c r="O25" s="10" t="n">
        <f aca="false">E25/4</f>
        <v>292162.95209492</v>
      </c>
      <c r="P25" s="15" t="n">
        <v>3.33430863799283</v>
      </c>
      <c r="Q25" s="10" t="n">
        <f aca="false">O25/P25</f>
        <v>87623.2478199122</v>
      </c>
      <c r="R25" s="10" t="n">
        <f aca="false">SUM(Q22:Q25)</f>
        <v>363878.372470707</v>
      </c>
      <c r="S25" s="12" t="n">
        <f aca="false">(E25/'Data Constant'!E25)/(E21/'Data Constant'!E21)-1</f>
        <v>0.198142849635124</v>
      </c>
    </row>
    <row r="26" customFormat="false" ht="15" hidden="false" customHeight="false" outlineLevel="0" collapsed="false">
      <c r="B26" s="7" t="s">
        <v>69</v>
      </c>
      <c r="C26" s="8" t="n">
        <v>2009</v>
      </c>
      <c r="D26" s="8" t="n">
        <v>1</v>
      </c>
      <c r="E26" s="9" t="n">
        <v>1112307.4883263</v>
      </c>
      <c r="F26" s="9" t="n">
        <v>745582.805434126</v>
      </c>
      <c r="G26" s="9" t="n">
        <v>168925.313667126</v>
      </c>
      <c r="H26" s="9" t="n">
        <v>171002.405331133</v>
      </c>
      <c r="I26" s="9" t="n">
        <v>-19432.4079344555</v>
      </c>
      <c r="J26" s="9"/>
      <c r="K26" s="9" t="n">
        <v>204977.716066705</v>
      </c>
      <c r="L26" s="9" t="n">
        <v>158748.344241681</v>
      </c>
      <c r="M26" s="10" t="n">
        <f aca="false">N(I26)+N(J26)</f>
        <v>-19432.4079344555</v>
      </c>
      <c r="N26" s="11" t="n">
        <f aca="false">F26+G26+H26+M26+K26-L26-E26</f>
        <v>-3.3422838896513E-006</v>
      </c>
      <c r="O26" s="10" t="n">
        <f aca="false">E26/4</f>
        <v>278076.872081574</v>
      </c>
      <c r="P26" s="15" t="n">
        <v>3.54251086789555</v>
      </c>
      <c r="Q26" s="10" t="n">
        <f aca="false">O26/P26</f>
        <v>78497.1119218521</v>
      </c>
      <c r="R26" s="10" t="n">
        <f aca="false">SUM(Q23:Q26)</f>
        <v>360500.755394896</v>
      </c>
      <c r="S26" s="12" t="n">
        <f aca="false">(E26/'Data Constant'!E26)/(E22/'Data Constant'!E22)-1</f>
        <v>0.148524088891597</v>
      </c>
    </row>
    <row r="27" customFormat="false" ht="15" hidden="false" customHeight="false" outlineLevel="0" collapsed="false">
      <c r="B27" s="7" t="s">
        <v>70</v>
      </c>
      <c r="C27" s="8" t="n">
        <v>2009</v>
      </c>
      <c r="D27" s="8" t="n">
        <v>2</v>
      </c>
      <c r="E27" s="9" t="n">
        <v>1251464.72793387</v>
      </c>
      <c r="F27" s="9" t="n">
        <v>783242.363266994</v>
      </c>
      <c r="G27" s="9" t="n">
        <v>191861.735376396</v>
      </c>
      <c r="H27" s="9" t="n">
        <v>183569.653734769</v>
      </c>
      <c r="I27" s="9" t="n">
        <v>-4848.78314585793</v>
      </c>
      <c r="J27" s="9"/>
      <c r="K27" s="9" t="n">
        <v>262406.914053382</v>
      </c>
      <c r="L27" s="9" t="n">
        <v>164767.155348305</v>
      </c>
      <c r="M27" s="10" t="n">
        <f aca="false">N(I27)+N(J27)</f>
        <v>-4848.78314585793</v>
      </c>
      <c r="N27" s="11" t="n">
        <f aca="false">F27+G27+H27+M27+K27-L27-E27</f>
        <v>3.51108610630035E-006</v>
      </c>
      <c r="O27" s="10" t="n">
        <f aca="false">E27/4</f>
        <v>312866.181983467</v>
      </c>
      <c r="P27" s="15" t="n">
        <v>3.72911419354839</v>
      </c>
      <c r="Q27" s="10" t="n">
        <f aca="false">O27/P27</f>
        <v>83898.2572656922</v>
      </c>
      <c r="R27" s="10" t="n">
        <f aca="false">SUM(Q24:Q27)</f>
        <v>347161.409787826</v>
      </c>
      <c r="S27" s="12" t="n">
        <f aca="false">(E27/'Data Constant'!E27)/(E23/'Data Constant'!E23)-1</f>
        <v>0.161965979237501</v>
      </c>
    </row>
    <row r="28" customFormat="false" ht="15" hidden="false" customHeight="false" outlineLevel="0" collapsed="false">
      <c r="B28" s="7" t="s">
        <v>71</v>
      </c>
      <c r="C28" s="8" t="n">
        <v>2009</v>
      </c>
      <c r="D28" s="8" t="n">
        <v>3</v>
      </c>
      <c r="E28" s="9" t="n">
        <v>1269734.74526708</v>
      </c>
      <c r="F28" s="9" t="n">
        <v>811737.138652624</v>
      </c>
      <c r="G28" s="9" t="n">
        <v>199109.691348762</v>
      </c>
      <c r="H28" s="9" t="n">
        <v>207506.670881686</v>
      </c>
      <c r="I28" s="9" t="n">
        <v>1405.578427413</v>
      </c>
      <c r="J28" s="9"/>
      <c r="K28" s="9" t="n">
        <v>245558.226458785</v>
      </c>
      <c r="L28" s="9" t="n">
        <v>195582.560499854</v>
      </c>
      <c r="M28" s="10" t="n">
        <f aca="false">N(I28)+N(J28)</f>
        <v>1405.578427413</v>
      </c>
      <c r="N28" s="11" t="n">
        <f aca="false">F28+G28+H28+M28+K28-L28-E28</f>
        <v>2.33226455748081E-006</v>
      </c>
      <c r="O28" s="10" t="n">
        <f aca="false">E28/4</f>
        <v>317433.686316771</v>
      </c>
      <c r="P28" s="15" t="n">
        <v>3.83026870967742</v>
      </c>
      <c r="Q28" s="10" t="n">
        <f aca="false">O28/P28</f>
        <v>82875.0436006629</v>
      </c>
      <c r="R28" s="10" t="n">
        <f aca="false">SUM(Q25:Q28)</f>
        <v>332893.660608119</v>
      </c>
      <c r="S28" s="12" t="n">
        <f aca="false">(E28/'Data Constant'!E28)/(E24/'Data Constant'!E24)-1</f>
        <v>0.13694045351568</v>
      </c>
    </row>
    <row r="29" customFormat="false" ht="15" hidden="false" customHeight="false" outlineLevel="0" collapsed="false">
      <c r="B29" s="7" t="s">
        <v>72</v>
      </c>
      <c r="C29" s="8" t="n">
        <v>2009</v>
      </c>
      <c r="D29" s="8" t="n">
        <v>4</v>
      </c>
      <c r="E29" s="9" t="n">
        <v>1358210.11417283</v>
      </c>
      <c r="F29" s="9" t="n">
        <v>803128.644552065</v>
      </c>
      <c r="G29" s="9" t="n">
        <v>233980.789232904</v>
      </c>
      <c r="H29" s="9" t="n">
        <v>215718.27718447</v>
      </c>
      <c r="I29" s="9" t="n">
        <v>46404.5562840872</v>
      </c>
      <c r="J29" s="9"/>
      <c r="K29" s="9" t="n">
        <v>263486.174646495</v>
      </c>
      <c r="L29" s="9" t="n">
        <v>204508.327726057</v>
      </c>
      <c r="M29" s="10" t="n">
        <f aca="false">N(I29)+N(J29)</f>
        <v>46404.5562840872</v>
      </c>
      <c r="N29" s="11" t="n">
        <f aca="false">F29+G29+H29+M29+K29-L29-E29</f>
        <v>1.13085843622684E-006</v>
      </c>
      <c r="O29" s="10" t="n">
        <f aca="false">E29/4</f>
        <v>339552.528543208</v>
      </c>
      <c r="P29" s="15" t="n">
        <v>3.81471143369176</v>
      </c>
      <c r="Q29" s="10" t="n">
        <f aca="false">O29/P29</f>
        <v>89011.3274478012</v>
      </c>
      <c r="R29" s="10" t="n">
        <f aca="false">SUM(Q26:Q29)</f>
        <v>334281.740236008</v>
      </c>
      <c r="S29" s="12" t="n">
        <f aca="false">(E29/'Data Constant'!E29)/(E25/'Data Constant'!E25)-1</f>
        <v>0.158934377676765</v>
      </c>
    </row>
    <row r="30" customFormat="false" ht="15" hidden="false" customHeight="false" outlineLevel="0" collapsed="false">
      <c r="B30" s="7" t="s">
        <v>73</v>
      </c>
      <c r="C30" s="8" t="n">
        <v>2010</v>
      </c>
      <c r="D30" s="8" t="n">
        <v>1</v>
      </c>
      <c r="E30" s="9" t="n">
        <v>1418857.94996651</v>
      </c>
      <c r="F30" s="9" t="n">
        <v>955921.059862422</v>
      </c>
      <c r="G30" s="9" t="n">
        <v>208372.304370512</v>
      </c>
      <c r="H30" s="9" t="n">
        <v>223217.867237719</v>
      </c>
      <c r="I30" s="9" t="n">
        <v>-1322.92373451733</v>
      </c>
      <c r="J30" s="9"/>
      <c r="K30" s="9" t="n">
        <v>245386.53782326</v>
      </c>
      <c r="L30" s="9" t="n">
        <v>212716.895593777</v>
      </c>
      <c r="M30" s="10" t="n">
        <f aca="false">N(I30)+N(J30)</f>
        <v>-1322.92373451733</v>
      </c>
      <c r="N30" s="11" t="n">
        <f aca="false">F30+G30+H30+M30+K30-L30-E30</f>
        <v>-8.90810042619705E-007</v>
      </c>
      <c r="O30" s="10" t="n">
        <f aca="false">E30/4</f>
        <v>354714.487491627</v>
      </c>
      <c r="P30" s="15" t="n">
        <v>3.83972008448541</v>
      </c>
      <c r="Q30" s="10" t="n">
        <f aca="false">O30/P30</f>
        <v>92380.2984818789</v>
      </c>
      <c r="R30" s="10" t="n">
        <f aca="false">SUM(Q27:Q30)</f>
        <v>348164.926796035</v>
      </c>
      <c r="S30" s="12" t="n">
        <f aca="false">(E30/'Data Constant'!E30)/(E26/'Data Constant'!E26)-1</f>
        <v>0.206658992078913</v>
      </c>
    </row>
    <row r="31" customFormat="false" ht="15" hidden="false" customHeight="false" outlineLevel="0" collapsed="false">
      <c r="B31" s="7" t="s">
        <v>74</v>
      </c>
      <c r="C31" s="8" t="n">
        <v>2010</v>
      </c>
      <c r="D31" s="8" t="n">
        <v>2</v>
      </c>
      <c r="E31" s="9" t="n">
        <v>1686066.95445778</v>
      </c>
      <c r="F31" s="9" t="n">
        <v>1074344.68168629</v>
      </c>
      <c r="G31" s="9" t="n">
        <v>241510.394450127</v>
      </c>
      <c r="H31" s="9" t="n">
        <v>269536.456167027</v>
      </c>
      <c r="I31" s="9" t="n">
        <v>18501.6536525672</v>
      </c>
      <c r="J31" s="9"/>
      <c r="K31" s="9" t="n">
        <v>340952.308589694</v>
      </c>
      <c r="L31" s="9" t="n">
        <v>258778.540087196</v>
      </c>
      <c r="M31" s="10" t="n">
        <f aca="false">N(I31)+N(J31)</f>
        <v>18501.6536525672</v>
      </c>
      <c r="N31" s="11" t="n">
        <f aca="false">F31+G31+H31+M31+K31-L31-E31</f>
        <v>7.26198777556419E-007</v>
      </c>
      <c r="O31" s="10" t="n">
        <f aca="false">E31/4</f>
        <v>421516.738614446</v>
      </c>
      <c r="P31" s="15" t="n">
        <v>3.90109250896057</v>
      </c>
      <c r="Q31" s="10" t="n">
        <f aca="false">O31/P31</f>
        <v>108050.946663338</v>
      </c>
      <c r="R31" s="10" t="n">
        <f aca="false">SUM(Q28:Q31)</f>
        <v>372317.616193681</v>
      </c>
      <c r="S31" s="12" t="n">
        <f aca="false">(E31/'Data Constant'!E31)/(E27/'Data Constant'!E27)-1</f>
        <v>0.159003938578923</v>
      </c>
    </row>
    <row r="32" customFormat="false" ht="15" hidden="false" customHeight="false" outlineLevel="0" collapsed="false">
      <c r="B32" s="7" t="s">
        <v>75</v>
      </c>
      <c r="C32" s="8" t="n">
        <v>2010</v>
      </c>
      <c r="D32" s="8" t="n">
        <v>3</v>
      </c>
      <c r="E32" s="9" t="n">
        <v>1712834.54893829</v>
      </c>
      <c r="F32" s="9" t="n">
        <v>1099323.15382089</v>
      </c>
      <c r="G32" s="9" t="n">
        <v>254371.109024645</v>
      </c>
      <c r="H32" s="9" t="n">
        <v>299912.104251627</v>
      </c>
      <c r="I32" s="9" t="n">
        <v>12887.9604140837</v>
      </c>
      <c r="J32" s="9"/>
      <c r="K32" s="9" t="n">
        <v>339698.422362253</v>
      </c>
      <c r="L32" s="9" t="n">
        <v>293358.200937297</v>
      </c>
      <c r="M32" s="10" t="n">
        <f aca="false">N(I32)+N(J32)</f>
        <v>12887.9604140837</v>
      </c>
      <c r="N32" s="11" t="n">
        <f aca="false">F32+G32+H32+M32+K32-L32-E32</f>
        <v>-2.08918936550617E-006</v>
      </c>
      <c r="O32" s="10" t="n">
        <f aca="false">E32/4</f>
        <v>428208.637234573</v>
      </c>
      <c r="P32" s="15" t="n">
        <v>3.9411123297491</v>
      </c>
      <c r="Q32" s="10" t="n">
        <f aca="false">O32/P32</f>
        <v>108651.720988078</v>
      </c>
      <c r="R32" s="10" t="n">
        <f aca="false">SUM(Q29:Q32)</f>
        <v>398094.293581096</v>
      </c>
      <c r="S32" s="12" t="n">
        <f aca="false">(E32/'Data Constant'!E32)/(E28/'Data Constant'!E28)-1</f>
        <v>0.23184931100983</v>
      </c>
    </row>
    <row r="33" customFormat="false" ht="15" hidden="false" customHeight="false" outlineLevel="0" collapsed="false">
      <c r="B33" s="7" t="s">
        <v>76</v>
      </c>
      <c r="C33" s="8" t="n">
        <v>2010</v>
      </c>
      <c r="D33" s="8" t="n">
        <v>4</v>
      </c>
      <c r="E33" s="9" t="n">
        <v>1829124.25041574</v>
      </c>
      <c r="F33" s="9" t="n">
        <v>1139978.01108947</v>
      </c>
      <c r="G33" s="9" t="n">
        <v>303660.885386401</v>
      </c>
      <c r="H33" s="9" t="n">
        <v>313472.474492989</v>
      </c>
      <c r="I33" s="9" t="n">
        <v>40660.6485264349</v>
      </c>
      <c r="J33" s="9"/>
      <c r="K33" s="9" t="n">
        <v>332471.953524931</v>
      </c>
      <c r="L33" s="9" t="n">
        <v>301119.722604628</v>
      </c>
      <c r="M33" s="10" t="n">
        <f aca="false">N(I33)+N(J33)</f>
        <v>40660.6485264349</v>
      </c>
      <c r="N33" s="11" t="n">
        <f aca="false">F33+G33+H33+M33+K33-L33-E33</f>
        <v>-1.4319084584713E-007</v>
      </c>
      <c r="O33" s="10" t="n">
        <f aca="false">E33/4</f>
        <v>457281.062603936</v>
      </c>
      <c r="P33" s="15" t="n">
        <v>3.96732426523298</v>
      </c>
      <c r="Q33" s="10" t="n">
        <f aca="false">O33/P33</f>
        <v>115261.831913072</v>
      </c>
      <c r="R33" s="10" t="n">
        <f aca="false">SUM(Q30:Q33)</f>
        <v>424344.798046367</v>
      </c>
      <c r="S33" s="12" t="n">
        <f aca="false">(E33/'Data Constant'!E33)/(E29/'Data Constant'!E29)-1</f>
        <v>0.239958816779805</v>
      </c>
    </row>
    <row r="34" customFormat="false" ht="15" hidden="false" customHeight="false" outlineLevel="0" collapsed="false">
      <c r="B34" s="7" t="s">
        <v>77</v>
      </c>
      <c r="C34" s="8" t="n">
        <v>2011</v>
      </c>
      <c r="D34" s="8" t="n">
        <v>1</v>
      </c>
      <c r="E34" s="9" t="n">
        <v>1888827.1518458</v>
      </c>
      <c r="F34" s="9" t="n">
        <v>1263267.55852281</v>
      </c>
      <c r="G34" s="9" t="n">
        <v>285502.120512287</v>
      </c>
      <c r="H34" s="9" t="n">
        <v>324979.653198757</v>
      </c>
      <c r="I34" s="9" t="n">
        <v>-4182.76876296486</v>
      </c>
      <c r="J34" s="9"/>
      <c r="K34" s="9" t="n">
        <v>323761.238536336</v>
      </c>
      <c r="L34" s="9" t="n">
        <v>304500.650159371</v>
      </c>
      <c r="M34" s="10" t="n">
        <f aca="false">N(I34)+N(J34)</f>
        <v>-4182.76876296486</v>
      </c>
      <c r="N34" s="11" t="n">
        <f aca="false">F34+G34+H34+M34+K34-L34-E34</f>
        <v>2.06101685762405E-006</v>
      </c>
      <c r="O34" s="10" t="n">
        <f aca="false">E34/4</f>
        <v>472206.787961449</v>
      </c>
      <c r="P34" s="15" t="n">
        <v>4.01342603686636</v>
      </c>
      <c r="Q34" s="10" t="n">
        <f aca="false">O34/P34</f>
        <v>117656.780920807</v>
      </c>
      <c r="R34" s="10" t="n">
        <f aca="false">SUM(Q31:Q34)</f>
        <v>449621.280485295</v>
      </c>
      <c r="S34" s="12" t="n">
        <f aca="false">(E34/'Data Constant'!E34)/(E30/'Data Constant'!E30)-1</f>
        <v>0.229290295592856</v>
      </c>
    </row>
    <row r="35" customFormat="false" ht="15" hidden="false" customHeight="false" outlineLevel="0" collapsed="false">
      <c r="B35" s="7" t="s">
        <v>78</v>
      </c>
      <c r="C35" s="8" t="n">
        <v>2011</v>
      </c>
      <c r="D35" s="8" t="n">
        <v>2</v>
      </c>
      <c r="E35" s="9" t="n">
        <v>2237123.83541491</v>
      </c>
      <c r="F35" s="9" t="n">
        <v>1407332.32981451</v>
      </c>
      <c r="G35" s="9" t="n">
        <v>332038.109404982</v>
      </c>
      <c r="H35" s="9" t="n">
        <v>369566.520186968</v>
      </c>
      <c r="I35" s="9" t="n">
        <v>62745.5428716252</v>
      </c>
      <c r="J35" s="9"/>
      <c r="K35" s="9" t="n">
        <v>425057.051691508</v>
      </c>
      <c r="L35" s="9" t="n">
        <v>359615.718556529</v>
      </c>
      <c r="M35" s="10" t="n">
        <f aca="false">N(I35)+N(J35)</f>
        <v>62745.5428716252</v>
      </c>
      <c r="N35" s="11" t="n">
        <f aca="false">F35+G35+H35+M35+K35-L35-E35</f>
        <v>-1.85240060091019E-006</v>
      </c>
      <c r="O35" s="10" t="n">
        <f aca="false">E35/4</f>
        <v>559280.958853728</v>
      </c>
      <c r="P35" s="15" t="n">
        <v>4.08183602150538</v>
      </c>
      <c r="Q35" s="10" t="n">
        <f aca="false">O35/P35</f>
        <v>137017.008009907</v>
      </c>
      <c r="R35" s="10" t="n">
        <f aca="false">SUM(Q32:Q35)</f>
        <v>478587.341831864</v>
      </c>
      <c r="S35" s="12" t="n">
        <f aca="false">(E35/'Data Constant'!E35)/(E31/'Data Constant'!E31)-1</f>
        <v>0.270382319959248</v>
      </c>
    </row>
    <row r="36" customFormat="false" ht="15" hidden="false" customHeight="false" outlineLevel="0" collapsed="false">
      <c r="B36" s="7" t="s">
        <v>79</v>
      </c>
      <c r="C36" s="8" t="n">
        <v>2011</v>
      </c>
      <c r="D36" s="8" t="n">
        <v>3</v>
      </c>
      <c r="E36" s="9" t="n">
        <v>2250487.26379217</v>
      </c>
      <c r="F36" s="9" t="n">
        <v>1462525.70075295</v>
      </c>
      <c r="G36" s="9" t="n">
        <v>351599.402806477</v>
      </c>
      <c r="H36" s="9" t="n">
        <v>407570.756697857</v>
      </c>
      <c r="I36" s="9" t="n">
        <v>-327.507524703305</v>
      </c>
      <c r="J36" s="9"/>
      <c r="K36" s="9" t="n">
        <v>443868.205215173</v>
      </c>
      <c r="L36" s="9" t="n">
        <v>414749.294155323</v>
      </c>
      <c r="M36" s="10" t="n">
        <f aca="false">N(I36)+N(J36)</f>
        <v>-327.507524703305</v>
      </c>
      <c r="N36" s="11" t="n">
        <f aca="false">F36+G36+H36+M36+K36-L36-E36</f>
        <v>2.58907675743103E-007</v>
      </c>
      <c r="O36" s="10" t="n">
        <f aca="false">E36/4</f>
        <v>562621.815948043</v>
      </c>
      <c r="P36" s="15" t="n">
        <v>4.16708179211469</v>
      </c>
      <c r="Q36" s="10" t="n">
        <f aca="false">O36/P36</f>
        <v>135015.784190434</v>
      </c>
      <c r="R36" s="10" t="n">
        <f aca="false">SUM(Q33:Q36)</f>
        <v>504951.40503422</v>
      </c>
      <c r="S36" s="12" t="n">
        <f aca="false">(E36/'Data Constant'!E36)/(E32/'Data Constant'!E32)-1</f>
        <v>0.234756396565064</v>
      </c>
    </row>
    <row r="37" customFormat="false" ht="15" hidden="false" customHeight="false" outlineLevel="0" collapsed="false">
      <c r="B37" s="7" t="s">
        <v>80</v>
      </c>
      <c r="C37" s="8" t="n">
        <v>2011</v>
      </c>
      <c r="D37" s="8" t="n">
        <v>4</v>
      </c>
      <c r="E37" s="9" t="n">
        <v>2339658.16347023</v>
      </c>
      <c r="F37" s="9" t="n">
        <v>1464379.531448</v>
      </c>
      <c r="G37" s="9" t="n">
        <v>398324.943509135</v>
      </c>
      <c r="H37" s="9" t="n">
        <v>401260.194340162</v>
      </c>
      <c r="I37" s="9" t="n">
        <v>42015.0268523767</v>
      </c>
      <c r="J37" s="9"/>
      <c r="K37" s="9" t="n">
        <v>415364.361340514</v>
      </c>
      <c r="L37" s="9" t="n">
        <v>381685.8940168</v>
      </c>
      <c r="M37" s="10" t="n">
        <f aca="false">N(I37)+N(J37)</f>
        <v>42015.0268523767</v>
      </c>
      <c r="N37" s="11" t="n">
        <f aca="false">F37+G37+H37+M37+K37-L37-E37</f>
        <v>3.15485522150993E-006</v>
      </c>
      <c r="O37" s="10" t="n">
        <f aca="false">E37/4</f>
        <v>584914.540867558</v>
      </c>
      <c r="P37" s="15" t="n">
        <v>4.25624204301075</v>
      </c>
      <c r="Q37" s="10" t="n">
        <f aca="false">O37/P37</f>
        <v>137425.112330737</v>
      </c>
      <c r="R37" s="10" t="n">
        <f aca="false">SUM(Q34:Q37)</f>
        <v>527114.685451885</v>
      </c>
      <c r="S37" s="12" t="n">
        <f aca="false">(E37/'Data Constant'!E37)/(E33/'Data Constant'!E33)-1</f>
        <v>0.215689714933758</v>
      </c>
    </row>
    <row r="38" customFormat="false" ht="15" hidden="false" customHeight="false" outlineLevel="0" collapsed="false">
      <c r="B38" s="7" t="s">
        <v>81</v>
      </c>
      <c r="C38" s="8" t="n">
        <v>2012</v>
      </c>
      <c r="D38" s="8" t="n">
        <v>1</v>
      </c>
      <c r="E38" s="9" t="n">
        <v>2345559.60335263</v>
      </c>
      <c r="F38" s="9" t="n">
        <v>1557362.13673597</v>
      </c>
      <c r="G38" s="9" t="n">
        <v>377040.187855037</v>
      </c>
      <c r="H38" s="9" t="n">
        <v>372008.733862721</v>
      </c>
      <c r="I38" s="9" t="n">
        <v>3335.30344986517</v>
      </c>
      <c r="J38" s="9"/>
      <c r="K38" s="9" t="n">
        <v>374190.699368391</v>
      </c>
      <c r="L38" s="9" t="n">
        <v>338377.457921</v>
      </c>
      <c r="M38" s="10" t="n">
        <f aca="false">N(I38)+N(J38)</f>
        <v>3335.30344986517</v>
      </c>
      <c r="N38" s="11" t="n">
        <f aca="false">F38+G38+H38+M38+K38-L38-E38</f>
        <v>-1.65030360221863E-006</v>
      </c>
      <c r="O38" s="10" t="n">
        <f aca="false">E38/4</f>
        <v>586389.900838158</v>
      </c>
      <c r="P38" s="15" t="n">
        <v>4.34098294401187</v>
      </c>
      <c r="Q38" s="10" t="n">
        <f aca="false">O38/P38</f>
        <v>135082.286293488</v>
      </c>
      <c r="R38" s="10" t="n">
        <f aca="false">SUM(Q35:Q38)</f>
        <v>544540.190824565</v>
      </c>
      <c r="S38" s="12" t="n">
        <f aca="false">(E38/'Data Constant'!E38)/(E34/'Data Constant'!E34)-1</f>
        <v>0.222681675859946</v>
      </c>
    </row>
    <row r="39" customFormat="false" ht="15" hidden="false" customHeight="false" outlineLevel="0" collapsed="false">
      <c r="B39" s="7" t="s">
        <v>82</v>
      </c>
      <c r="C39" s="8" t="n">
        <v>2012</v>
      </c>
      <c r="D39" s="8" t="n">
        <v>2</v>
      </c>
      <c r="E39" s="9" t="n">
        <v>2651098.04638803</v>
      </c>
      <c r="F39" s="9" t="n">
        <v>1738478.52530772</v>
      </c>
      <c r="G39" s="9" t="n">
        <v>432601.408545751</v>
      </c>
      <c r="H39" s="9" t="n">
        <v>397240.408573231</v>
      </c>
      <c r="I39" s="9" t="n">
        <v>20852.1758821111</v>
      </c>
      <c r="J39" s="9"/>
      <c r="K39" s="9" t="n">
        <v>425243.60403295</v>
      </c>
      <c r="L39" s="9" t="n">
        <v>363318.075956212</v>
      </c>
      <c r="M39" s="10" t="n">
        <f aca="false">N(I39)+N(J39)</f>
        <v>20852.1758821111</v>
      </c>
      <c r="N39" s="11" t="n">
        <f aca="false">F39+G39+H39+M39+K39-L39-E39</f>
        <v>-2.47452408075333E-006</v>
      </c>
      <c r="O39" s="10" t="n">
        <f aca="false">E39/4</f>
        <v>662774.511597007</v>
      </c>
      <c r="P39" s="15" t="n">
        <v>4.45008358422939</v>
      </c>
      <c r="Q39" s="10" t="n">
        <f aca="false">O39/P39</f>
        <v>148935.295046099</v>
      </c>
      <c r="R39" s="10" t="n">
        <f aca="false">SUM(Q36:Q39)</f>
        <v>556458.477860758</v>
      </c>
      <c r="S39" s="12" t="n">
        <f aca="false">(E39/'Data Constant'!E39)/(E35/'Data Constant'!E35)-1</f>
        <v>0.242601816392757</v>
      </c>
    </row>
    <row r="40" customFormat="false" ht="15" hidden="false" customHeight="false" outlineLevel="0" collapsed="false">
      <c r="B40" s="7" t="s">
        <v>83</v>
      </c>
      <c r="C40" s="8" t="n">
        <v>2012</v>
      </c>
      <c r="D40" s="8" t="n">
        <v>3</v>
      </c>
      <c r="E40" s="9" t="n">
        <v>2704827.54985526</v>
      </c>
      <c r="F40" s="9" t="n">
        <v>1767630.62462632</v>
      </c>
      <c r="G40" s="9" t="n">
        <v>443703.380363054</v>
      </c>
      <c r="H40" s="9" t="n">
        <v>440523.432935678</v>
      </c>
      <c r="I40" s="9" t="n">
        <v>-11704.3734593064</v>
      </c>
      <c r="J40" s="9"/>
      <c r="K40" s="9" t="n">
        <v>465874.486893476</v>
      </c>
      <c r="L40" s="9" t="n">
        <v>401200.00150633</v>
      </c>
      <c r="M40" s="10" t="n">
        <f aca="false">N(I40)+N(J40)</f>
        <v>-11704.3734593064</v>
      </c>
      <c r="N40" s="11" t="n">
        <f aca="false">F40+G40+H40+M40+K40-L40-E40</f>
        <v>-2.36602500081062E-006</v>
      </c>
      <c r="O40" s="10" t="n">
        <f aca="false">E40/4</f>
        <v>676206.887463815</v>
      </c>
      <c r="P40" s="15" t="n">
        <v>4.6101617921147</v>
      </c>
      <c r="Q40" s="10" t="n">
        <f aca="false">O40/P40</f>
        <v>146677.474231037</v>
      </c>
      <c r="R40" s="10" t="n">
        <f aca="false">SUM(Q37:Q40)</f>
        <v>568120.167901361</v>
      </c>
      <c r="S40" s="12" t="n">
        <f aca="false">(E40/'Data Constant'!E40)/(E36/'Data Constant'!E36)-1</f>
        <v>0.215477914372522</v>
      </c>
    </row>
    <row r="41" customFormat="false" ht="15" hidden="false" customHeight="false" outlineLevel="0" collapsed="false">
      <c r="B41" s="7" t="s">
        <v>84</v>
      </c>
      <c r="C41" s="8" t="n">
        <v>2012</v>
      </c>
      <c r="D41" s="8" t="n">
        <v>4</v>
      </c>
      <c r="E41" s="9" t="n">
        <v>2850170.19326628</v>
      </c>
      <c r="F41" s="9" t="n">
        <v>1784911.72537299</v>
      </c>
      <c r="G41" s="9" t="n">
        <v>503024.25965784</v>
      </c>
      <c r="H41" s="9" t="n">
        <v>463458.860814136</v>
      </c>
      <c r="I41" s="9" t="n">
        <v>55518.2094294958</v>
      </c>
      <c r="J41" s="9"/>
      <c r="K41" s="9" t="n">
        <v>448054.183425523</v>
      </c>
      <c r="L41" s="9" t="n">
        <v>404797.045433167</v>
      </c>
      <c r="M41" s="10" t="n">
        <f aca="false">N(I41)+N(J41)</f>
        <v>55518.2094294958</v>
      </c>
      <c r="N41" s="11" t="n">
        <f aca="false">F41+G41+H41+M41+K41-L41-E41</f>
        <v>5.38304448127747E-007</v>
      </c>
      <c r="O41" s="10" t="n">
        <f aca="false">E41/4</f>
        <v>712542.54831657</v>
      </c>
      <c r="P41" s="15" t="n">
        <v>4.8019335483871</v>
      </c>
      <c r="Q41" s="10" t="n">
        <f aca="false">O41/P41</f>
        <v>148386.590763194</v>
      </c>
      <c r="R41" s="10" t="n">
        <f aca="false">SUM(Q38:Q41)</f>
        <v>579081.646333818</v>
      </c>
      <c r="S41" s="12" t="n">
        <f aca="false">(E41/'Data Constant'!E41)/(E37/'Data Constant'!E37)-1</f>
        <v>0.211466032673176</v>
      </c>
    </row>
    <row r="42" customFormat="false" ht="15" hidden="false" customHeight="false" outlineLevel="0" collapsed="false">
      <c r="B42" s="7" t="s">
        <v>85</v>
      </c>
      <c r="C42" s="8" t="n">
        <v>2013</v>
      </c>
      <c r="D42" s="8" t="n">
        <v>1</v>
      </c>
      <c r="E42" s="9" t="n">
        <v>2888980.85907111</v>
      </c>
      <c r="F42" s="9" t="n">
        <v>1948085.84274574</v>
      </c>
      <c r="G42" s="9" t="n">
        <v>473246.440102043</v>
      </c>
      <c r="H42" s="9" t="n">
        <v>458406.791088756</v>
      </c>
      <c r="I42" s="9" t="n">
        <v>23344.0050553872</v>
      </c>
      <c r="J42" s="9"/>
      <c r="K42" s="9" t="n">
        <v>396674.583214948</v>
      </c>
      <c r="L42" s="9" t="n">
        <v>410776.803136159</v>
      </c>
      <c r="M42" s="10" t="n">
        <f aca="false">N(I42)+N(J42)</f>
        <v>23344.0050553872</v>
      </c>
      <c r="N42" s="11" t="n">
        <f aca="false">F42+G42+H42+M42+K42-L42-E42</f>
        <v>-3.9348378777504E-007</v>
      </c>
      <c r="O42" s="10" t="n">
        <f aca="false">E42/4</f>
        <v>722245.214767778</v>
      </c>
      <c r="P42" s="15" t="n">
        <v>5.01446916282642</v>
      </c>
      <c r="Q42" s="10" t="n">
        <f aca="false">O42/P42</f>
        <v>144032.237773436</v>
      </c>
      <c r="R42" s="10" t="n">
        <f aca="false">SUM(Q39:Q42)</f>
        <v>588031.597813767</v>
      </c>
      <c r="S42" s="12" t="n">
        <f aca="false">(E42/'Data Constant'!E42)/(E38/'Data Constant'!E38)-1</f>
        <v>0.22367769576062</v>
      </c>
    </row>
    <row r="43" customFormat="false" ht="15" hidden="false" customHeight="false" outlineLevel="0" collapsed="false">
      <c r="B43" s="7" t="s">
        <v>86</v>
      </c>
      <c r="C43" s="8" t="n">
        <v>2013</v>
      </c>
      <c r="D43" s="8" t="n">
        <v>2</v>
      </c>
      <c r="E43" s="9" t="n">
        <v>3387810.91205468</v>
      </c>
      <c r="F43" s="9" t="n">
        <v>2193026.26372597</v>
      </c>
      <c r="G43" s="9" t="n">
        <v>541488.832736169</v>
      </c>
      <c r="H43" s="9" t="n">
        <v>538931.079962008</v>
      </c>
      <c r="I43" s="9" t="n">
        <v>59678.59845931</v>
      </c>
      <c r="J43" s="9"/>
      <c r="K43" s="9" t="n">
        <v>546612.482746174</v>
      </c>
      <c r="L43" s="9" t="n">
        <v>491926.345577145</v>
      </c>
      <c r="M43" s="10" t="n">
        <f aca="false">N(I43)+N(J43)</f>
        <v>59678.59845931</v>
      </c>
      <c r="N43" s="11" t="n">
        <f aca="false">F43+G43+H43+M43+K43-L43-E43</f>
        <v>-2.19698995351791E-006</v>
      </c>
      <c r="O43" s="10" t="n">
        <f aca="false">E43/4</f>
        <v>846952.728013671</v>
      </c>
      <c r="P43" s="15" t="n">
        <v>5.23975695340502</v>
      </c>
      <c r="Q43" s="10" t="n">
        <f aca="false">O43/P43</f>
        <v>161639.697326664</v>
      </c>
      <c r="R43" s="10" t="n">
        <f aca="false">SUM(Q40:Q43)</f>
        <v>600736.000094332</v>
      </c>
      <c r="S43" s="12" t="n">
        <f aca="false">(E43/'Data Constant'!E43)/(E39/'Data Constant'!E39)-1</f>
        <v>0.202764741085399</v>
      </c>
    </row>
    <row r="44" customFormat="false" ht="15" hidden="false" customHeight="false" outlineLevel="0" collapsed="false">
      <c r="B44" s="7" t="s">
        <v>87</v>
      </c>
      <c r="C44" s="8" t="n">
        <v>2013</v>
      </c>
      <c r="D44" s="8" t="n">
        <v>3</v>
      </c>
      <c r="E44" s="9" t="n">
        <v>3436546.5463782</v>
      </c>
      <c r="F44" s="9" t="n">
        <v>2293051.88707322</v>
      </c>
      <c r="G44" s="9" t="n">
        <v>566904.73448582</v>
      </c>
      <c r="H44" s="9" t="n">
        <v>575232.309821105</v>
      </c>
      <c r="I44" s="9" t="n">
        <v>-1223.9661423519</v>
      </c>
      <c r="J44" s="9"/>
      <c r="K44" s="9" t="n">
        <v>532721.842185845</v>
      </c>
      <c r="L44" s="9" t="n">
        <v>530140.261042775</v>
      </c>
      <c r="M44" s="10" t="n">
        <f aca="false">N(I44)+N(J44)</f>
        <v>-1223.9661423519</v>
      </c>
      <c r="N44" s="11" t="n">
        <f aca="false">F44+G44+H44+M44+K44-L44-E44</f>
        <v>2.66358256340027E-006</v>
      </c>
      <c r="O44" s="10" t="n">
        <f aca="false">E44/4</f>
        <v>859136.636594551</v>
      </c>
      <c r="P44" s="15" t="n">
        <v>5.58598827956989</v>
      </c>
      <c r="Q44" s="10" t="n">
        <f aca="false">O44/P44</f>
        <v>153802.083641447</v>
      </c>
      <c r="R44" s="10" t="n">
        <f aca="false">SUM(Q41:Q44)</f>
        <v>607860.609504741</v>
      </c>
      <c r="S44" s="12" t="n">
        <f aca="false">(E44/'Data Constant'!E44)/(E40/'Data Constant'!E40)-1</f>
        <v>0.238829262621147</v>
      </c>
    </row>
    <row r="45" customFormat="false" ht="15" hidden="false" customHeight="false" outlineLevel="0" collapsed="false">
      <c r="B45" s="7" t="s">
        <v>88</v>
      </c>
      <c r="C45" s="8" t="n">
        <v>2013</v>
      </c>
      <c r="D45" s="8" t="n">
        <v>4</v>
      </c>
      <c r="E45" s="9" t="n">
        <v>3679895.63540483</v>
      </c>
      <c r="F45" s="9" t="n">
        <v>2403705.03750041</v>
      </c>
      <c r="G45" s="9" t="n">
        <v>669258.7393142</v>
      </c>
      <c r="H45" s="9" t="n">
        <v>609122.161926554</v>
      </c>
      <c r="I45" s="9" t="n">
        <v>54312.475609436</v>
      </c>
      <c r="J45" s="9"/>
      <c r="K45" s="9" t="n">
        <v>481703.320912816</v>
      </c>
      <c r="L45" s="9" t="n">
        <v>538206.099856057</v>
      </c>
      <c r="M45" s="10" t="n">
        <f aca="false">N(I45)+N(J45)</f>
        <v>54312.475609436</v>
      </c>
      <c r="N45" s="11" t="n">
        <f aca="false">F45+G45+H45+M45+K45-L45-E45</f>
        <v>2.53086909651756E-006</v>
      </c>
      <c r="O45" s="10" t="n">
        <f aca="false">E45/4</f>
        <v>919973.908851206</v>
      </c>
      <c r="P45" s="15" t="n">
        <v>6.06548161290323</v>
      </c>
      <c r="Q45" s="10" t="n">
        <f aca="false">O45/P45</f>
        <v>151673.678623331</v>
      </c>
      <c r="R45" s="10" t="n">
        <f aca="false">SUM(Q42:Q45)</f>
        <v>611147.697364878</v>
      </c>
      <c r="S45" s="12" t="n">
        <f aca="false">(E45/'Data Constant'!E45)/(E41/'Data Constant'!E41)-1</f>
        <v>0.291773419859323</v>
      </c>
    </row>
    <row r="46" customFormat="false" ht="15" hidden="false" customHeight="false" outlineLevel="0" collapsed="false">
      <c r="B46" s="7" t="s">
        <v>89</v>
      </c>
      <c r="C46" s="8" t="n">
        <v>2014</v>
      </c>
      <c r="D46" s="8" t="n">
        <v>1</v>
      </c>
      <c r="E46" s="9" t="n">
        <v>3917648.86117108</v>
      </c>
      <c r="F46" s="9" t="n">
        <v>2760478.8519005</v>
      </c>
      <c r="G46" s="9" t="n">
        <v>643214.159182883</v>
      </c>
      <c r="H46" s="9" t="n">
        <v>643352.148525644</v>
      </c>
      <c r="I46" s="9" t="n">
        <v>-30198.2922962966</v>
      </c>
      <c r="J46" s="9"/>
      <c r="K46" s="9" t="n">
        <v>522171.201547011</v>
      </c>
      <c r="L46" s="9" t="n">
        <v>621369.207687015</v>
      </c>
      <c r="M46" s="10" t="n">
        <f aca="false">N(I46)+N(J46)</f>
        <v>-30198.2922962966</v>
      </c>
      <c r="N46" s="11" t="n">
        <f aca="false">F46+G46+H46+M46+K46-L46-E46</f>
        <v>1.64750963449478E-006</v>
      </c>
      <c r="O46" s="10" t="n">
        <f aca="false">E46/4</f>
        <v>979412.21529277</v>
      </c>
      <c r="P46" s="15" t="n">
        <v>7.61456129032258</v>
      </c>
      <c r="Q46" s="10" t="n">
        <f aca="false">O46/P46</f>
        <v>128623.590769112</v>
      </c>
      <c r="R46" s="10" t="n">
        <f aca="false">SUM(Q43:Q46)</f>
        <v>595739.050360553</v>
      </c>
      <c r="S46" s="12" t="n">
        <f aca="false">(E46/'Data Constant'!E46)/(E42/'Data Constant'!E42)-1</f>
        <v>0.3682300027658</v>
      </c>
    </row>
    <row r="47" customFormat="false" ht="15" hidden="false" customHeight="false" outlineLevel="0" collapsed="false">
      <c r="B47" s="7" t="s">
        <v>90</v>
      </c>
      <c r="C47" s="8" t="n">
        <v>2014</v>
      </c>
      <c r="D47" s="8" t="n">
        <v>2</v>
      </c>
      <c r="E47" s="9" t="n">
        <v>4702629.52492031</v>
      </c>
      <c r="F47" s="9" t="n">
        <v>2955020.074585</v>
      </c>
      <c r="G47" s="9" t="n">
        <v>742438.684428292</v>
      </c>
      <c r="H47" s="9" t="n">
        <v>737042.889381182</v>
      </c>
      <c r="I47" s="9" t="n">
        <v>160353.734672262</v>
      </c>
      <c r="J47" s="9"/>
      <c r="K47" s="9" t="n">
        <v>761448.502692873</v>
      </c>
      <c r="L47" s="9" t="n">
        <v>653674.360837728</v>
      </c>
      <c r="M47" s="10" t="n">
        <f aca="false">N(I47)+N(J47)</f>
        <v>160353.734672262</v>
      </c>
      <c r="N47" s="11" t="n">
        <f aca="false">F47+G47+H47+M47+K47-L47-E47</f>
        <v>1.56834721565247E-006</v>
      </c>
      <c r="O47" s="10" t="n">
        <f aca="false">E47/4</f>
        <v>1175657.38123008</v>
      </c>
      <c r="P47" s="15" t="n">
        <v>8.05538369175627</v>
      </c>
      <c r="Q47" s="10" t="n">
        <f aca="false">O47/P47</f>
        <v>145946.788659269</v>
      </c>
      <c r="R47" s="10" t="n">
        <f aca="false">SUM(Q44:Q47)</f>
        <v>580046.141693159</v>
      </c>
      <c r="S47" s="12" t="n">
        <f aca="false">(E47/'Data Constant'!E47)/(E43/'Data Constant'!E43)-1</f>
        <v>0.417139024811456</v>
      </c>
    </row>
    <row r="48" customFormat="false" ht="15" hidden="false" customHeight="false" outlineLevel="0" collapsed="false">
      <c r="B48" s="7" t="s">
        <v>91</v>
      </c>
      <c r="C48" s="8" t="n">
        <v>2014</v>
      </c>
      <c r="D48" s="8" t="n">
        <v>3</v>
      </c>
      <c r="E48" s="9" t="n">
        <v>4685503.11867828</v>
      </c>
      <c r="F48" s="9" t="n">
        <v>3052487.1080411</v>
      </c>
      <c r="G48" s="9" t="n">
        <v>784978.392257029</v>
      </c>
      <c r="H48" s="9" t="n">
        <v>775663.749707674</v>
      </c>
      <c r="I48" s="9" t="n">
        <v>25344.1424654074</v>
      </c>
      <c r="J48" s="9"/>
      <c r="K48" s="9" t="n">
        <v>715356.231317859</v>
      </c>
      <c r="L48" s="9" t="n">
        <v>668326.505109255</v>
      </c>
      <c r="M48" s="10" t="n">
        <f aca="false">N(I48)+N(J48)</f>
        <v>25344.1424654074</v>
      </c>
      <c r="N48" s="11" t="n">
        <f aca="false">F48+G48+H48+M48+K48-L48-E48</f>
        <v>1.53575092554092E-006</v>
      </c>
      <c r="O48" s="10" t="n">
        <f aca="false">E48/4</f>
        <v>1171375.77966957</v>
      </c>
      <c r="P48" s="15" t="n">
        <v>8.29835516129032</v>
      </c>
      <c r="Q48" s="10" t="n">
        <f aca="false">O48/P48</f>
        <v>141157.585678392</v>
      </c>
      <c r="R48" s="10" t="n">
        <f aca="false">SUM(Q45:Q48)</f>
        <v>567401.643730104</v>
      </c>
      <c r="S48" s="12" t="n">
        <f aca="false">(E48/'Data Constant'!E48)/(E44/'Data Constant'!E44)-1</f>
        <v>0.423780789102175</v>
      </c>
    </row>
    <row r="49" customFormat="false" ht="15" hidden="false" customHeight="false" outlineLevel="0" collapsed="false">
      <c r="B49" s="7" t="s">
        <v>92</v>
      </c>
      <c r="C49" s="8" t="n">
        <v>2014</v>
      </c>
      <c r="D49" s="8" t="n">
        <v>4</v>
      </c>
      <c r="E49" s="9" t="n">
        <v>5010564.19687073</v>
      </c>
      <c r="F49" s="9" t="n">
        <v>3207804.87832616</v>
      </c>
      <c r="G49" s="9" t="n">
        <v>933966.600070139</v>
      </c>
      <c r="H49" s="9" t="n">
        <v>770884.843943041</v>
      </c>
      <c r="I49" s="9" t="n">
        <v>79485.7467907095</v>
      </c>
      <c r="J49" s="9"/>
      <c r="K49" s="9" t="n">
        <v>639581.322669155</v>
      </c>
      <c r="L49" s="9" t="n">
        <v>621159.194925447</v>
      </c>
      <c r="M49" s="10" t="n">
        <f aca="false">N(I49)+N(J49)</f>
        <v>79485.7467907095</v>
      </c>
      <c r="N49" s="11" t="n">
        <f aca="false">F49+G49+H49+M49+K49-L49-E49</f>
        <v>3.02866101264954E-006</v>
      </c>
      <c r="O49" s="10" t="n">
        <f aca="false">E49/4</f>
        <v>1252641.04921768</v>
      </c>
      <c r="P49" s="15" t="n">
        <v>8.51450218637993</v>
      </c>
      <c r="Q49" s="10" t="n">
        <f aca="false">O49/P49</f>
        <v>147118.530455186</v>
      </c>
      <c r="R49" s="10" t="n">
        <f aca="false">SUM(Q46:Q49)</f>
        <v>562846.495561959</v>
      </c>
      <c r="S49" s="12" t="n">
        <f aca="false">(E49/'Data Constant'!E49)/(E45/'Data Constant'!E45)-1</f>
        <v>0.40105489790816</v>
      </c>
    </row>
    <row r="50" customFormat="false" ht="15" hidden="false" customHeight="false" outlineLevel="0" collapsed="false">
      <c r="B50" s="7" t="s">
        <v>93</v>
      </c>
      <c r="C50" s="8" t="n">
        <v>2015</v>
      </c>
      <c r="D50" s="8" t="n">
        <v>1</v>
      </c>
      <c r="E50" s="9" t="n">
        <v>5092693.74032864</v>
      </c>
      <c r="F50" s="9" t="n">
        <v>3519817.76808303</v>
      </c>
      <c r="G50" s="9" t="n">
        <v>876631.581325372</v>
      </c>
      <c r="H50" s="9" t="n">
        <v>794916.235956673</v>
      </c>
      <c r="I50" s="9" t="n">
        <v>-16050.6631312996</v>
      </c>
      <c r="J50" s="9"/>
      <c r="K50" s="9" t="n">
        <v>533242.343830192</v>
      </c>
      <c r="L50" s="9" t="n">
        <v>615863.525735328</v>
      </c>
      <c r="M50" s="10" t="n">
        <f aca="false">N(I50)+N(J50)</f>
        <v>-16050.6631312996</v>
      </c>
      <c r="N50" s="11" t="n">
        <f aca="false">F50+G50+H50+M50+K50-L50-E50</f>
        <v>0</v>
      </c>
      <c r="O50" s="10" t="n">
        <f aca="false">E50/4</f>
        <v>1273173.43508216</v>
      </c>
      <c r="P50" s="15" t="n">
        <v>8.68801789554532</v>
      </c>
      <c r="Q50" s="10" t="n">
        <f aca="false">O50/P50</f>
        <v>146543.601819117</v>
      </c>
      <c r="R50" s="10" t="n">
        <f aca="false">SUM(Q47:Q50)</f>
        <v>580766.506611965</v>
      </c>
      <c r="S50" s="12" t="n">
        <f aca="false">(E50/'Data Constant'!E50)/(E46/'Data Constant'!E46)-1</f>
        <v>0.296682749534345</v>
      </c>
    </row>
    <row r="51" customFormat="false" ht="15" hidden="false" customHeight="false" outlineLevel="0" collapsed="false">
      <c r="B51" s="7" t="s">
        <v>94</v>
      </c>
      <c r="C51" s="8" t="n">
        <v>2015</v>
      </c>
      <c r="D51" s="8" t="n">
        <v>2</v>
      </c>
      <c r="E51" s="9" t="n">
        <v>5951478.8553666</v>
      </c>
      <c r="F51" s="9" t="n">
        <v>3979552.26525804</v>
      </c>
      <c r="G51" s="9" t="n">
        <v>1042972.29087423</v>
      </c>
      <c r="H51" s="9" t="n">
        <v>903500.344553433</v>
      </c>
      <c r="I51" s="9" t="n">
        <v>16585.8830133823</v>
      </c>
      <c r="J51" s="9"/>
      <c r="K51" s="9" t="n">
        <v>688808.329890599</v>
      </c>
      <c r="L51" s="9" t="n">
        <v>679940.258223084</v>
      </c>
      <c r="M51" s="10" t="n">
        <f aca="false">N(I51)+N(J51)</f>
        <v>16585.8830133823</v>
      </c>
      <c r="N51" s="11" t="n">
        <f aca="false">F51+G51+H51+M51+K51-L51-E51</f>
        <v>0</v>
      </c>
      <c r="O51" s="10" t="n">
        <f aca="false">E51/4</f>
        <v>1487869.71384165</v>
      </c>
      <c r="P51" s="15" t="n">
        <v>8.95040089605735</v>
      </c>
      <c r="Q51" s="10" t="n">
        <f aca="false">O51/P51</f>
        <v>166234.979988109</v>
      </c>
      <c r="R51" s="10" t="n">
        <f aca="false">SUM(Q48:Q51)</f>
        <v>601054.697940805</v>
      </c>
      <c r="S51" s="12" t="n">
        <f aca="false">(E51/'Data Constant'!E51)/(E47/'Data Constant'!E47)-1</f>
        <v>0.216525514318279</v>
      </c>
    </row>
    <row r="52" customFormat="false" ht="15" hidden="false" customHeight="false" outlineLevel="0" collapsed="false">
      <c r="B52" s="7" t="s">
        <v>95</v>
      </c>
      <c r="C52" s="8" t="n">
        <v>2015</v>
      </c>
      <c r="D52" s="8" t="n">
        <v>3</v>
      </c>
      <c r="E52" s="9" t="n">
        <v>6221730.7557716</v>
      </c>
      <c r="F52" s="9" t="n">
        <v>4034499.98143029</v>
      </c>
      <c r="G52" s="9" t="n">
        <v>1102097.63125249</v>
      </c>
      <c r="H52" s="9" t="n">
        <v>1005506.28677458</v>
      </c>
      <c r="I52" s="9" t="n">
        <v>135040.158127858</v>
      </c>
      <c r="J52" s="9"/>
      <c r="K52" s="9" t="n">
        <v>696958.177350946</v>
      </c>
      <c r="L52" s="9" t="n">
        <v>752371.479164565</v>
      </c>
      <c r="M52" s="10" t="n">
        <f aca="false">N(I52)+N(J52)</f>
        <v>135040.158127858</v>
      </c>
      <c r="N52" s="11" t="n">
        <f aca="false">F52+G52+H52+M52+K52-L52-E52</f>
        <v>0</v>
      </c>
      <c r="O52" s="10" t="n">
        <f aca="false">E52/4</f>
        <v>1555432.6889429</v>
      </c>
      <c r="P52" s="15" t="n">
        <v>9.24885534050179</v>
      </c>
      <c r="Q52" s="10" t="n">
        <f aca="false">O52/P52</f>
        <v>168175.696524464</v>
      </c>
      <c r="R52" s="10" t="n">
        <f aca="false">SUM(Q49:Q52)</f>
        <v>628072.808786877</v>
      </c>
      <c r="S52" s="12" t="n">
        <f aca="false">(E52/'Data Constant'!E52)/(E48/'Data Constant'!E48)-1</f>
        <v>0.277211842148294</v>
      </c>
    </row>
    <row r="53" customFormat="false" ht="15" hidden="false" customHeight="false" outlineLevel="0" collapsed="false">
      <c r="B53" s="7" t="s">
        <v>96</v>
      </c>
      <c r="C53" s="8" t="n">
        <v>2015</v>
      </c>
      <c r="D53" s="8" t="n">
        <v>4</v>
      </c>
      <c r="E53" s="9" t="n">
        <v>6552140.23130253</v>
      </c>
      <c r="F53" s="9" t="n">
        <v>4163611.04755868</v>
      </c>
      <c r="G53" s="9" t="n">
        <v>1288978.47534888</v>
      </c>
      <c r="H53" s="9" t="n">
        <v>1003294.89876898</v>
      </c>
      <c r="I53" s="9" t="n">
        <v>223114.7852227</v>
      </c>
      <c r="J53" s="9"/>
      <c r="K53" s="9" t="n">
        <v>630868.020116913</v>
      </c>
      <c r="L53" s="9" t="n">
        <v>757726.995713621</v>
      </c>
      <c r="M53" s="10" t="n">
        <f aca="false">N(I53)+N(J53)</f>
        <v>223114.7852227</v>
      </c>
      <c r="N53" s="11" t="n">
        <f aca="false">F53+G53+H53+M53+K53-L53-E53</f>
        <v>0</v>
      </c>
      <c r="O53" s="10" t="n">
        <f aca="false">E53/4</f>
        <v>1638035.05782563</v>
      </c>
      <c r="P53" s="15" t="n">
        <v>10.1674501433692</v>
      </c>
      <c r="Q53" s="10" t="n">
        <f aca="false">O53/P53</f>
        <v>161105.787068343</v>
      </c>
      <c r="R53" s="10" t="n">
        <f aca="false">SUM(Q50:Q53)</f>
        <v>642060.065400035</v>
      </c>
      <c r="S53" s="12" t="n">
        <f aca="false">(E53/'Data Constant'!E53)/(E49/'Data Constant'!E49)-1</f>
        <v>0.27611075744141</v>
      </c>
    </row>
    <row r="54" customFormat="false" ht="15" hidden="false" customHeight="false" outlineLevel="0" collapsed="false">
      <c r="B54" s="7" t="s">
        <v>97</v>
      </c>
      <c r="C54" s="8" t="n">
        <v>2016</v>
      </c>
      <c r="D54" s="8" t="n">
        <v>1</v>
      </c>
      <c r="E54" s="9" t="n">
        <v>7006645.04510604</v>
      </c>
      <c r="F54" s="9" t="n">
        <v>4828308.2079672</v>
      </c>
      <c r="G54" s="9" t="n">
        <v>1193932.83759587</v>
      </c>
      <c r="H54" s="9" t="n">
        <v>1070847.98385161</v>
      </c>
      <c r="I54" s="9" t="n">
        <v>69020.0667147418</v>
      </c>
      <c r="J54" s="9"/>
      <c r="K54" s="9" t="n">
        <v>895990.049971503</v>
      </c>
      <c r="L54" s="9" t="n">
        <v>1051454.10099488</v>
      </c>
      <c r="M54" s="10" t="n">
        <f aca="false">N(I54)+N(J54)</f>
        <v>69020.0667147418</v>
      </c>
      <c r="N54" s="11" t="n">
        <f aca="false">F54+G54+H54+M54+K54-L54-E54</f>
        <v>0</v>
      </c>
      <c r="O54" s="10" t="n">
        <f aca="false">E54/4</f>
        <v>1751661.26127651</v>
      </c>
      <c r="P54" s="15" t="n">
        <v>14.4390597330367</v>
      </c>
      <c r="Q54" s="10" t="n">
        <f aca="false">O54/P54</f>
        <v>121314.080948685</v>
      </c>
      <c r="R54" s="10" t="n">
        <f aca="false">SUM(Q51:Q54)</f>
        <v>616830.544529602</v>
      </c>
      <c r="S54" s="12" t="n">
        <f aca="false">(E54/'Data Constant'!E54)/(E50/'Data Constant'!E50)-1</f>
        <v>0.365869980803515</v>
      </c>
    </row>
    <row r="55" customFormat="false" ht="15" hidden="false" customHeight="false" outlineLevel="0" collapsed="false">
      <c r="B55" s="7" t="s">
        <v>98</v>
      </c>
      <c r="C55" s="8" t="n">
        <v>2016</v>
      </c>
      <c r="D55" s="8" t="n">
        <v>2</v>
      </c>
      <c r="E55" s="9" t="n">
        <v>8414556.48217921</v>
      </c>
      <c r="F55" s="9" t="n">
        <v>5531903.23853737</v>
      </c>
      <c r="G55" s="9" t="n">
        <v>1376059.32511368</v>
      </c>
      <c r="H55" s="9" t="n">
        <v>1149601.99755669</v>
      </c>
      <c r="I55" s="9" t="n">
        <v>378897.390911985</v>
      </c>
      <c r="J55" s="9"/>
      <c r="K55" s="9" t="n">
        <v>1020670.91532407</v>
      </c>
      <c r="L55" s="9" t="n">
        <v>1042576.38526458</v>
      </c>
      <c r="M55" s="10" t="n">
        <f aca="false">N(I55)+N(J55)</f>
        <v>378897.390911985</v>
      </c>
      <c r="N55" s="11" t="n">
        <f aca="false">F55+G55+H55+M55+K55-L55-E55</f>
        <v>0</v>
      </c>
      <c r="O55" s="10" t="n">
        <f aca="false">E55/4</f>
        <v>2103639.1205448</v>
      </c>
      <c r="P55" s="15" t="n">
        <v>14.2183937992832</v>
      </c>
      <c r="Q55" s="10" t="n">
        <f aca="false">O55/P55</f>
        <v>147951.952255737</v>
      </c>
      <c r="R55" s="10" t="n">
        <f aca="false">SUM(Q52:Q55)</f>
        <v>598547.516797229</v>
      </c>
      <c r="S55" s="12" t="n">
        <f aca="false">(E55/'Data Constant'!E55)/(E51/'Data Constant'!E51)-1</f>
        <v>0.470608479905096</v>
      </c>
    </row>
    <row r="56" customFormat="false" ht="15" hidden="false" customHeight="false" outlineLevel="0" collapsed="false">
      <c r="B56" s="7" t="s">
        <v>99</v>
      </c>
      <c r="C56" s="8" t="n">
        <v>2016</v>
      </c>
      <c r="D56" s="8" t="n">
        <v>3</v>
      </c>
      <c r="E56" s="9" t="n">
        <v>8527628.82527803</v>
      </c>
      <c r="F56" s="9" t="n">
        <v>5624181.51885622</v>
      </c>
      <c r="G56" s="9" t="n">
        <v>1501568.82277798</v>
      </c>
      <c r="H56" s="9" t="n">
        <v>1222179.65588226</v>
      </c>
      <c r="I56" s="9" t="n">
        <v>219031.187740272</v>
      </c>
      <c r="J56" s="9"/>
      <c r="K56" s="9" t="n">
        <v>1111904.14663517</v>
      </c>
      <c r="L56" s="9" t="n">
        <v>1151236.50661387</v>
      </c>
      <c r="M56" s="10" t="n">
        <f aca="false">N(I56)+N(J56)</f>
        <v>219031.187740272</v>
      </c>
      <c r="N56" s="11" t="n">
        <f aca="false">F56+G56+H56+M56+K56-L56-E56</f>
        <v>0</v>
      </c>
      <c r="O56" s="10" t="n">
        <f aca="false">E56/4</f>
        <v>2131907.20631951</v>
      </c>
      <c r="P56" s="15" t="n">
        <v>14.946501218638</v>
      </c>
      <c r="Q56" s="10" t="n">
        <f aca="false">O56/P56</f>
        <v>142635.870103236</v>
      </c>
      <c r="R56" s="10" t="n">
        <f aca="false">SUM(Q53:Q56)</f>
        <v>573007.690376001</v>
      </c>
      <c r="S56" s="12" t="n">
        <f aca="false">(E56/'Data Constant'!E56)/(E52/'Data Constant'!E52)-1</f>
        <v>0.41779311463681</v>
      </c>
    </row>
    <row r="57" customFormat="false" ht="15" hidden="false" customHeight="false" outlineLevel="0" collapsed="false">
      <c r="B57" s="7" t="s">
        <v>100</v>
      </c>
      <c r="C57" s="8" t="n">
        <v>2016</v>
      </c>
      <c r="D57" s="8" t="n">
        <v>4</v>
      </c>
      <c r="E57" s="9" t="n">
        <v>8963807.87358243</v>
      </c>
      <c r="F57" s="9" t="n">
        <v>5646415.40785465</v>
      </c>
      <c r="G57" s="9" t="n">
        <v>1739026.46315633</v>
      </c>
      <c r="H57" s="9" t="n">
        <v>1254781.48211892</v>
      </c>
      <c r="I57" s="9" t="n">
        <v>449074.520052621</v>
      </c>
      <c r="J57" s="9"/>
      <c r="K57" s="9" t="n">
        <v>1094432.40114648</v>
      </c>
      <c r="L57" s="9" t="n">
        <v>1219922.40074658</v>
      </c>
      <c r="M57" s="10" t="n">
        <f aca="false">N(I57)+N(J57)</f>
        <v>449074.520052621</v>
      </c>
      <c r="N57" s="11" t="n">
        <f aca="false">F57+G57+H57+M57+K57-L57-E57</f>
        <v>0</v>
      </c>
      <c r="O57" s="10" t="n">
        <f aca="false">E57/4</f>
        <v>2240951.96839561</v>
      </c>
      <c r="P57" s="15" t="n">
        <v>15.4606713620072</v>
      </c>
      <c r="Q57" s="10" t="n">
        <f aca="false">O57/P57</f>
        <v>144945.320673622</v>
      </c>
      <c r="R57" s="10" t="n">
        <f aca="false">SUM(Q54:Q57)</f>
        <v>556847.223981279</v>
      </c>
      <c r="S57" s="12" t="n">
        <f aca="false">(E57/'Data Constant'!E57)/(E53/'Data Constant'!E53)-1</f>
        <v>0.388812236097448</v>
      </c>
    </row>
    <row r="58" customFormat="false" ht="15" hidden="false" customHeight="false" outlineLevel="0" collapsed="false">
      <c r="B58" s="7" t="s">
        <v>101</v>
      </c>
      <c r="C58" s="8" t="n">
        <v>2017</v>
      </c>
      <c r="D58" s="8" t="n">
        <v>1</v>
      </c>
      <c r="E58" s="9" t="n">
        <v>9240877.73099836</v>
      </c>
      <c r="F58" s="9" t="n">
        <v>6452494.86748464</v>
      </c>
      <c r="G58" s="9" t="n">
        <v>1603692.40339287</v>
      </c>
      <c r="H58" s="9" t="n">
        <v>1376574.15144356</v>
      </c>
      <c r="I58" s="9" t="n">
        <v>58139.7088219042</v>
      </c>
      <c r="J58" s="9"/>
      <c r="K58" s="9" t="n">
        <v>1036964.94244481</v>
      </c>
      <c r="L58" s="9" t="n">
        <v>1286988.34258941</v>
      </c>
      <c r="M58" s="10" t="n">
        <f aca="false">N(I58)+N(J58)</f>
        <v>58139.7088219042</v>
      </c>
      <c r="N58" s="11" t="n">
        <f aca="false">F58+G58+H58+M58+K58-L58-E58</f>
        <v>0</v>
      </c>
      <c r="O58" s="10" t="n">
        <f aca="false">E58/4</f>
        <v>2310219.43274959</v>
      </c>
      <c r="P58" s="15" t="n">
        <v>15.6653269201229</v>
      </c>
      <c r="Q58" s="10" t="n">
        <f aca="false">O58/P58</f>
        <v>147473.426155058</v>
      </c>
      <c r="R58" s="10" t="n">
        <f aca="false">SUM(Q55:Q58)</f>
        <v>583006.569187653</v>
      </c>
      <c r="S58" s="12" t="n">
        <f aca="false">(E58/'Data Constant'!E58)/(E54/'Data Constant'!E54)-1</f>
        <v>0.311533018011178</v>
      </c>
    </row>
    <row r="59" customFormat="false" ht="15" hidden="false" customHeight="false" outlineLevel="0" collapsed="false">
      <c r="B59" s="7" t="s">
        <v>102</v>
      </c>
      <c r="C59" s="8" t="n">
        <v>2017</v>
      </c>
      <c r="D59" s="8" t="n">
        <v>2</v>
      </c>
      <c r="E59" s="9" t="n">
        <v>10558208.3046432</v>
      </c>
      <c r="F59" s="9" t="n">
        <v>7222060.25329695</v>
      </c>
      <c r="G59" s="9" t="n">
        <v>1830346.07508844</v>
      </c>
      <c r="H59" s="9" t="n">
        <v>1515425.78511159</v>
      </c>
      <c r="I59" s="9" t="n">
        <v>200793.153721877</v>
      </c>
      <c r="J59" s="9"/>
      <c r="K59" s="9" t="n">
        <v>1180972.26835631</v>
      </c>
      <c r="L59" s="9" t="n">
        <v>1391389.23093201</v>
      </c>
      <c r="M59" s="10" t="n">
        <f aca="false">N(I59)+N(J59)</f>
        <v>200793.153721877</v>
      </c>
      <c r="N59" s="11" t="n">
        <f aca="false">F59+G59+H59+M59+K59-L59-E59</f>
        <v>0</v>
      </c>
      <c r="O59" s="10" t="n">
        <f aca="false">E59/4</f>
        <v>2639552.07616079</v>
      </c>
      <c r="P59" s="15" t="n">
        <v>15.7091113620072</v>
      </c>
      <c r="Q59" s="10" t="n">
        <f aca="false">O59/P59</f>
        <v>168026.823117736</v>
      </c>
      <c r="R59" s="10" t="n">
        <f aca="false">SUM(Q56:Q59)</f>
        <v>603081.440049652</v>
      </c>
      <c r="S59" s="12" t="n">
        <f aca="false">(E59/'Data Constant'!E59)/(E55/'Data Constant'!E55)-1</f>
        <v>0.226226005789168</v>
      </c>
    </row>
    <row r="60" customFormat="false" ht="15" hidden="false" customHeight="false" outlineLevel="0" collapsed="false">
      <c r="B60" s="7" t="s">
        <v>103</v>
      </c>
      <c r="C60" s="8" t="n">
        <v>2017</v>
      </c>
      <c r="D60" s="8" t="n">
        <v>3</v>
      </c>
      <c r="E60" s="9" t="n">
        <v>11116422.3178693</v>
      </c>
      <c r="F60" s="9" t="n">
        <v>7389754.58920441</v>
      </c>
      <c r="G60" s="9" t="n">
        <v>1901772.38421652</v>
      </c>
      <c r="H60" s="9" t="n">
        <v>1746003.58776482</v>
      </c>
      <c r="I60" s="9" t="n">
        <v>399695.373360528</v>
      </c>
      <c r="J60" s="9"/>
      <c r="K60" s="9" t="n">
        <v>1317088.84349072</v>
      </c>
      <c r="L60" s="9" t="n">
        <v>1637892.4601677</v>
      </c>
      <c r="M60" s="10" t="n">
        <f aca="false">N(I60)+N(J60)</f>
        <v>399695.373360528</v>
      </c>
      <c r="N60" s="11" t="n">
        <f aca="false">F60+G60+H60+M60+K60-L60-E60</f>
        <v>0</v>
      </c>
      <c r="O60" s="10" t="n">
        <f aca="false">E60/4</f>
        <v>2779105.57946733</v>
      </c>
      <c r="P60" s="15" t="n">
        <v>17.2686154480287</v>
      </c>
      <c r="Q60" s="10" t="n">
        <f aca="false">O60/P60</f>
        <v>160933.896978091</v>
      </c>
      <c r="R60" s="10" t="n">
        <f aca="false">SUM(Q57:Q60)</f>
        <v>621379.466924507</v>
      </c>
      <c r="S60" s="12" t="n">
        <f aca="false">(E60/'Data Constant'!E60)/(E56/'Data Constant'!E56)-1</f>
        <v>0.255242695143657</v>
      </c>
    </row>
    <row r="61" customFormat="false" ht="15" hidden="false" customHeight="false" outlineLevel="0" collapsed="false">
      <c r="B61" s="7" t="s">
        <v>104</v>
      </c>
      <c r="C61" s="8" t="n">
        <v>2017</v>
      </c>
      <c r="D61" s="8" t="n">
        <v>4</v>
      </c>
      <c r="E61" s="9" t="n">
        <v>11725405.625723</v>
      </c>
      <c r="F61" s="9" t="n">
        <v>7394054.34009213</v>
      </c>
      <c r="G61" s="9" t="n">
        <v>2210306.45177919</v>
      </c>
      <c r="H61" s="9" t="n">
        <v>1827296.60402372</v>
      </c>
      <c r="I61" s="9" t="n">
        <v>642076.737975048</v>
      </c>
      <c r="J61" s="9"/>
      <c r="K61" s="9" t="n">
        <v>1292046.23533103</v>
      </c>
      <c r="L61" s="9" t="n">
        <v>1640374.74347811</v>
      </c>
      <c r="M61" s="10" t="n">
        <f aca="false">N(I61)+N(J61)</f>
        <v>642076.737975048</v>
      </c>
      <c r="N61" s="11" t="n">
        <f aca="false">F61+G61+H61+M61+K61-L61-E61</f>
        <v>0</v>
      </c>
      <c r="O61" s="10" t="n">
        <f aca="false">E61/4</f>
        <v>2931351.40643076</v>
      </c>
      <c r="P61" s="15" t="n">
        <v>17.5583072759857</v>
      </c>
      <c r="Q61" s="10" t="n">
        <f aca="false">O61/P61</f>
        <v>166949.544757081</v>
      </c>
      <c r="R61" s="10" t="n">
        <f aca="false">SUM(Q58:Q61)</f>
        <v>643383.691007967</v>
      </c>
      <c r="S61" s="12" t="n">
        <f aca="false">(E61/'Data Constant'!E61)/(E57/'Data Constant'!E57)-1</f>
        <v>0.251362773315409</v>
      </c>
    </row>
    <row r="62" customFormat="false" ht="15" hidden="false" customHeight="false" outlineLevel="0" collapsed="false">
      <c r="B62" s="7" t="s">
        <v>105</v>
      </c>
      <c r="C62" s="8" t="n">
        <v>2018</v>
      </c>
      <c r="D62" s="8" t="n">
        <v>1</v>
      </c>
      <c r="E62" s="9" t="n">
        <v>12457790.347179</v>
      </c>
      <c r="F62" s="9" t="n">
        <v>8985619.31447233</v>
      </c>
      <c r="G62" s="9" t="n">
        <v>1930980.54903683</v>
      </c>
      <c r="H62" s="9" t="n">
        <v>2044366.84321207</v>
      </c>
      <c r="I62" s="9" t="n">
        <v>-62013.1463198992</v>
      </c>
      <c r="J62" s="9"/>
      <c r="K62" s="9" t="n">
        <v>1478729.34610564</v>
      </c>
      <c r="L62" s="9" t="n">
        <v>1919892.55932794</v>
      </c>
      <c r="M62" s="10" t="n">
        <f aca="false">N(I62)+N(J62)</f>
        <v>-62013.1463198992</v>
      </c>
      <c r="N62" s="11" t="n">
        <f aca="false">F62+G62+H62+M62+K62-L62-E62</f>
        <v>0</v>
      </c>
      <c r="O62" s="10" t="n">
        <f aca="false">E62/4</f>
        <v>3114447.58679476</v>
      </c>
      <c r="P62" s="15" t="n">
        <v>19.7011739247312</v>
      </c>
      <c r="Q62" s="10" t="n">
        <f aca="false">O62/P62</f>
        <v>158084.365870459</v>
      </c>
      <c r="R62" s="10" t="n">
        <f aca="false">SUM(Q59:Q62)</f>
        <v>653994.630723368</v>
      </c>
      <c r="S62" s="12" t="n">
        <f aca="false">(E62/'Data Constant'!E62)/(E58/'Data Constant'!E58)-1</f>
        <v>0.298792868348375</v>
      </c>
    </row>
    <row r="63" customFormat="false" ht="15" hidden="false" customHeight="false" outlineLevel="0" collapsed="false">
      <c r="B63" s="7" t="s">
        <v>106</v>
      </c>
      <c r="C63" s="8" t="n">
        <v>2018</v>
      </c>
      <c r="D63" s="8" t="n">
        <v>2</v>
      </c>
      <c r="E63" s="9" t="n">
        <v>14431394.0126976</v>
      </c>
      <c r="F63" s="9" t="n">
        <v>10330546.9351426</v>
      </c>
      <c r="G63" s="9" t="n">
        <v>2229720.34222714</v>
      </c>
      <c r="H63" s="9" t="n">
        <v>2168235.66084274</v>
      </c>
      <c r="I63" s="9" t="n">
        <v>166748.554784904</v>
      </c>
      <c r="J63" s="9"/>
      <c r="K63" s="9" t="n">
        <v>1751921.0788387</v>
      </c>
      <c r="L63" s="9" t="n">
        <v>2215778.55913857</v>
      </c>
      <c r="M63" s="10" t="n">
        <f aca="false">N(I63)+N(J63)</f>
        <v>166748.554784904</v>
      </c>
      <c r="N63" s="11" t="n">
        <f aca="false">F63+G63+H63+M63+K63-L63-E63</f>
        <v>0</v>
      </c>
      <c r="O63" s="10" t="n">
        <f aca="false">E63/4</f>
        <v>3607848.50317439</v>
      </c>
      <c r="P63" s="15" t="n">
        <v>23.4803982437276</v>
      </c>
      <c r="Q63" s="10" t="n">
        <f aca="false">O63/P63</f>
        <v>153653.633372175</v>
      </c>
      <c r="R63" s="10" t="n">
        <f aca="false">SUM(Q60:Q63)</f>
        <v>639621.440977808</v>
      </c>
      <c r="S63" s="12" t="n">
        <f aca="false">(E63/'Data Constant'!E63)/(E59/'Data Constant'!E59)-1</f>
        <v>0.423482994271305</v>
      </c>
    </row>
    <row r="64" customFormat="false" ht="15" hidden="false" customHeight="false" outlineLevel="0" collapsed="false">
      <c r="B64" s="7" t="s">
        <v>107</v>
      </c>
      <c r="C64" s="8" t="n">
        <v>2018</v>
      </c>
      <c r="D64" s="8" t="n">
        <v>3</v>
      </c>
      <c r="E64" s="9" t="n">
        <v>15276275.6533903</v>
      </c>
      <c r="F64" s="9" t="n">
        <v>10818287.2669953</v>
      </c>
      <c r="G64" s="9" t="n">
        <v>2269535.29944575</v>
      </c>
      <c r="H64" s="9" t="n">
        <v>2381084.78279532</v>
      </c>
      <c r="I64" s="9" t="n">
        <v>213392.933852886</v>
      </c>
      <c r="J64" s="9"/>
      <c r="K64" s="9" t="n">
        <v>2390075.08113347</v>
      </c>
      <c r="L64" s="9" t="n">
        <v>2796099.71083242</v>
      </c>
      <c r="M64" s="10" t="n">
        <f aca="false">N(I64)+N(J64)</f>
        <v>213392.933852886</v>
      </c>
      <c r="N64" s="11" t="n">
        <f aca="false">F64+G64+H64+M64+K64-L64-E64</f>
        <v>0</v>
      </c>
      <c r="O64" s="10" t="n">
        <f aca="false">E64/4</f>
        <v>3819068.91334759</v>
      </c>
      <c r="P64" s="15" t="n">
        <v>32.0329656272402</v>
      </c>
      <c r="Q64" s="10" t="n">
        <f aca="false">O64/P64</f>
        <v>119223.082801298</v>
      </c>
      <c r="R64" s="10" t="n">
        <f aca="false">SUM(Q61:Q64)</f>
        <v>597910.626801014</v>
      </c>
      <c r="S64" s="12" t="n">
        <f aca="false">(E64/'Data Constant'!E64)/(E60/'Data Constant'!E60)-1</f>
        <v>0.423598838649796</v>
      </c>
    </row>
    <row r="65" customFormat="false" ht="15" hidden="false" customHeight="false" outlineLevel="0" collapsed="false">
      <c r="B65" s="7" t="s">
        <v>108</v>
      </c>
      <c r="C65" s="8" t="n">
        <v>2018</v>
      </c>
      <c r="D65" s="8" t="n">
        <v>4</v>
      </c>
      <c r="E65" s="9" t="n">
        <v>16813782.6957963</v>
      </c>
      <c r="F65" s="9" t="n">
        <v>10838533.902791</v>
      </c>
      <c r="G65" s="9" t="n">
        <v>2891490.42129631</v>
      </c>
      <c r="H65" s="9" t="n">
        <v>2401266.21335521</v>
      </c>
      <c r="I65" s="9" t="n">
        <v>485661.724318509</v>
      </c>
      <c r="J65" s="9"/>
      <c r="K65" s="9" t="n">
        <v>2893922.4216015</v>
      </c>
      <c r="L65" s="9" t="n">
        <v>2697091.98756616</v>
      </c>
      <c r="M65" s="10" t="n">
        <f aca="false">N(I65)+N(J65)</f>
        <v>485661.724318509</v>
      </c>
      <c r="N65" s="11" t="n">
        <f aca="false">F65+G65+H65+M65+K65-L65-E65</f>
        <v>0</v>
      </c>
      <c r="O65" s="10" t="n">
        <f aca="false">E65/4</f>
        <v>4203445.67394908</v>
      </c>
      <c r="P65" s="15" t="n">
        <v>37.0894673835125</v>
      </c>
      <c r="Q65" s="10" t="n">
        <f aca="false">O65/P65</f>
        <v>113332.597378243</v>
      </c>
      <c r="R65" s="10" t="n">
        <f aca="false">SUM(Q62:Q65)</f>
        <v>544293.679422175</v>
      </c>
      <c r="S65" s="12" t="n">
        <f aca="false">(E65/'Data Constant'!E65)/(E61/'Data Constant'!E61)-1</f>
        <v>0.53102468086228</v>
      </c>
    </row>
    <row r="66" customFormat="false" ht="15" hidden="false" customHeight="false" outlineLevel="0" collapsed="false">
      <c r="B66" s="7" t="s">
        <v>109</v>
      </c>
      <c r="C66" s="8" t="n">
        <v>2019</v>
      </c>
      <c r="D66" s="8" t="n">
        <v>1</v>
      </c>
      <c r="E66" s="9" t="n">
        <v>17484108.8569748</v>
      </c>
      <c r="F66" s="9" t="n">
        <v>12506829.1179323</v>
      </c>
      <c r="G66" s="9" t="n">
        <v>2915482.66024309</v>
      </c>
      <c r="H66" s="9" t="n">
        <v>2496183.23124839</v>
      </c>
      <c r="I66" s="9" t="n">
        <v>-558778.115074406</v>
      </c>
      <c r="J66" s="9"/>
      <c r="K66" s="9" t="n">
        <v>2815654.94405153</v>
      </c>
      <c r="L66" s="9" t="n">
        <v>2691262.98142609</v>
      </c>
      <c r="M66" s="10" t="n">
        <f aca="false">N(I66)+N(J66)</f>
        <v>-558778.115074406</v>
      </c>
      <c r="N66" s="11" t="n">
        <f aca="false">F66+G66+H66+M66+K66-L66-E66</f>
        <v>0</v>
      </c>
      <c r="O66" s="10" t="n">
        <f aca="false">E66/4</f>
        <v>4371027.21424369</v>
      </c>
      <c r="P66" s="15" t="n">
        <v>38.9751562211982</v>
      </c>
      <c r="Q66" s="10" t="n">
        <f aca="false">O66/P66</f>
        <v>112149.062070118</v>
      </c>
      <c r="R66" s="10" t="n">
        <f aca="false">SUM(Q63:Q66)</f>
        <v>498358.375621834</v>
      </c>
      <c r="S66" s="12" t="n">
        <f aca="false">(E66/'Data Constant'!E66)/(E62/'Data Constant'!E62)-1</f>
        <v>0.490889570388256</v>
      </c>
    </row>
    <row r="67" customFormat="false" ht="15" hidden="false" customHeight="false" outlineLevel="0" collapsed="false">
      <c r="B67" s="7" t="s">
        <v>110</v>
      </c>
      <c r="C67" s="8" t="n">
        <v>2019</v>
      </c>
      <c r="D67" s="8" t="n">
        <v>2</v>
      </c>
      <c r="E67" s="9" t="n">
        <v>21233558.1547512</v>
      </c>
      <c r="F67" s="9" t="n">
        <v>14726541.9865689</v>
      </c>
      <c r="G67" s="9" t="n">
        <v>3465044.41360072</v>
      </c>
      <c r="H67" s="9" t="n">
        <v>2955278.33869721</v>
      </c>
      <c r="I67" s="9" t="n">
        <v>-421580.442062091</v>
      </c>
      <c r="J67" s="9"/>
      <c r="K67" s="9" t="n">
        <v>3503605.47150966</v>
      </c>
      <c r="L67" s="9" t="n">
        <v>2995331.61356323</v>
      </c>
      <c r="M67" s="10" t="n">
        <f aca="false">N(I67)+N(J67)</f>
        <v>-421580.442062091</v>
      </c>
      <c r="N67" s="11" t="n">
        <f aca="false">F67+G67+H67+M67+K67-L67-E67</f>
        <v>0</v>
      </c>
      <c r="O67" s="10" t="n">
        <f aca="false">E67/4</f>
        <v>5308389.5386878</v>
      </c>
      <c r="P67" s="15" t="n">
        <v>43.9236413261649</v>
      </c>
      <c r="Q67" s="10" t="n">
        <f aca="false">O67/P67</f>
        <v>120854.951420561</v>
      </c>
      <c r="R67" s="10" t="n">
        <f aca="false">SUM(Q64:Q67)</f>
        <v>465559.693670219</v>
      </c>
      <c r="S67" s="12" t="n">
        <f aca="false">(E67/'Data Constant'!E67)/(E63/'Data Constant'!E63)-1</f>
        <v>0.462819310129409</v>
      </c>
    </row>
    <row r="68" customFormat="false" ht="15" hidden="false" customHeight="false" outlineLevel="0" collapsed="false">
      <c r="B68" s="7" t="s">
        <v>111</v>
      </c>
      <c r="C68" s="8" t="n">
        <v>2019</v>
      </c>
      <c r="D68" s="8" t="n">
        <v>3</v>
      </c>
      <c r="E68" s="9" t="n">
        <v>22303884.0087795</v>
      </c>
      <c r="F68" s="9" t="n">
        <v>14448983.8232498</v>
      </c>
      <c r="G68" s="9" t="n">
        <v>3514717.51144645</v>
      </c>
      <c r="H68" s="9" t="n">
        <v>3413087.24813126</v>
      </c>
      <c r="I68" s="9" t="n">
        <v>288661.307814862</v>
      </c>
      <c r="J68" s="9"/>
      <c r="K68" s="9" t="n">
        <v>4137684.16626384</v>
      </c>
      <c r="L68" s="9" t="n">
        <v>3496149.72292807</v>
      </c>
      <c r="M68" s="10" t="n">
        <f aca="false">N(I68)+N(J68)</f>
        <v>288661.307814862</v>
      </c>
      <c r="N68" s="11" t="n">
        <f aca="false">F68+G68+H68+M68+K68-L68-E68</f>
        <v>3100.32519865781</v>
      </c>
      <c r="O68" s="10" t="n">
        <f aca="false">E68/4</f>
        <v>5575971.00219488</v>
      </c>
      <c r="P68" s="15" t="n">
        <v>50.5006387096774</v>
      </c>
      <c r="Q68" s="10" t="n">
        <f aca="false">O68/P68</f>
        <v>110413.870886872</v>
      </c>
      <c r="R68" s="10" t="n">
        <f aca="false">SUM(Q65:Q68)</f>
        <v>456750.481755793</v>
      </c>
      <c r="S68" s="12" t="n">
        <f aca="false">(E68/'Data Constant'!E68)/(E64/'Data Constant'!E64)-1</f>
        <v>0.486080922014957</v>
      </c>
    </row>
    <row r="69" customFormat="false" ht="15" hidden="false" customHeight="false" outlineLevel="0" collapsed="false">
      <c r="B69" s="7" t="s">
        <v>112</v>
      </c>
      <c r="C69" s="8" t="n">
        <v>2019</v>
      </c>
      <c r="D69" s="8" t="n">
        <v>4</v>
      </c>
      <c r="E69" s="9" t="n">
        <v>25212225.5762969</v>
      </c>
      <c r="F69" s="9" t="n">
        <v>15341960.1152958</v>
      </c>
      <c r="G69" s="9" t="n">
        <v>4284383.62943299</v>
      </c>
      <c r="H69" s="9" t="n">
        <v>3379824.91114727</v>
      </c>
      <c r="I69" s="9" t="n">
        <v>728359.336055926</v>
      </c>
      <c r="J69" s="9"/>
      <c r="K69" s="9" t="n">
        <v>5000354.99360958</v>
      </c>
      <c r="L69" s="9" t="n">
        <v>3498567.78718377</v>
      </c>
      <c r="M69" s="10" t="n">
        <f aca="false">N(I69)+N(J69)</f>
        <v>728359.336055926</v>
      </c>
      <c r="N69" s="11" t="n">
        <f aca="false">F69+G69+H69+M69+K69-L69-E69</f>
        <v>24089.6220608428</v>
      </c>
      <c r="O69" s="10" t="n">
        <f aca="false">E69/4</f>
        <v>6303056.39407424</v>
      </c>
      <c r="P69" s="15" t="n">
        <v>59.3734239784946</v>
      </c>
      <c r="Q69" s="10" t="n">
        <f aca="false">O69/P69</f>
        <v>106159.557116956</v>
      </c>
      <c r="R69" s="10" t="n">
        <f aca="false">SUM(Q66:Q69)</f>
        <v>449577.441494506</v>
      </c>
      <c r="S69" s="12" t="n">
        <f aca="false">(E69/'Data Constant'!E69)/(E65/'Data Constant'!E65)-1</f>
        <v>0.515789884786748</v>
      </c>
    </row>
    <row r="70" customFormat="false" ht="15" hidden="false" customHeight="false" outlineLevel="0" collapsed="false">
      <c r="B70" s="7" t="s">
        <v>113</v>
      </c>
      <c r="C70" s="8" t="n">
        <v>2020</v>
      </c>
      <c r="D70" s="8" t="n">
        <v>1</v>
      </c>
      <c r="E70" s="9" t="n">
        <v>24999988.0826128</v>
      </c>
      <c r="F70" s="9" t="n">
        <v>17610147.7102119</v>
      </c>
      <c r="G70" s="9" t="n">
        <v>4127506.96487873</v>
      </c>
      <c r="H70" s="9" t="n">
        <v>3293519.10294322</v>
      </c>
      <c r="I70" s="9" t="n">
        <v>-753954.380420774</v>
      </c>
      <c r="J70" s="9"/>
      <c r="K70" s="9" t="n">
        <v>4184145.26694447</v>
      </c>
      <c r="L70" s="9" t="n">
        <v>3461376.58194468</v>
      </c>
      <c r="M70" s="10" t="n">
        <f aca="false">N(I70)+N(J70)</f>
        <v>-753954.380420774</v>
      </c>
      <c r="N70" s="11" t="n">
        <f aca="false">F70+G70+H70+M70+K70-L70-E70</f>
        <v>0</v>
      </c>
      <c r="O70" s="10" t="n">
        <f aca="false">E70/4</f>
        <v>6249997.02065321</v>
      </c>
      <c r="P70" s="15" t="n">
        <v>61.5262701520208</v>
      </c>
      <c r="Q70" s="10" t="n">
        <f aca="false">O70/P70</f>
        <v>101582.576112782</v>
      </c>
      <c r="R70" s="10" t="n">
        <f aca="false">SUM(Q67:Q70)</f>
        <v>439010.95553717</v>
      </c>
      <c r="S70" s="12" t="n">
        <f aca="false">(E70/'Data Constant'!E70)/(E66/'Data Constant'!E66)-1</f>
        <v>0.505522727977911</v>
      </c>
    </row>
    <row r="71" customFormat="false" ht="15" hidden="false" customHeight="false" outlineLevel="0" collapsed="false">
      <c r="B71" s="7" t="s">
        <v>114</v>
      </c>
      <c r="C71" s="8" t="n">
        <v>2020</v>
      </c>
      <c r="D71" s="8" t="n">
        <v>2</v>
      </c>
      <c r="E71" s="9" t="n">
        <v>24025361.939099</v>
      </c>
      <c r="F71" s="9" t="n">
        <v>16394879.7953577</v>
      </c>
      <c r="G71" s="9" t="n">
        <v>4383620.50214175</v>
      </c>
      <c r="H71" s="9" t="n">
        <v>2507043.14802456</v>
      </c>
      <c r="I71" s="9" t="n">
        <v>-618799.972959887</v>
      </c>
      <c r="J71" s="9"/>
      <c r="K71" s="9" t="n">
        <v>4354106.25968641</v>
      </c>
      <c r="L71" s="9" t="n">
        <v>2995487.7931515</v>
      </c>
      <c r="M71" s="10" t="n">
        <f aca="false">N(I71)+N(J71)</f>
        <v>-618799.972959887</v>
      </c>
      <c r="N71" s="11" t="n">
        <f aca="false">F71+G71+H71+M71+K71-L71-E71</f>
        <v>0</v>
      </c>
      <c r="O71" s="10" t="n">
        <f aca="false">E71/4</f>
        <v>6006340.48477476</v>
      </c>
      <c r="P71" s="15" t="n">
        <v>67.6434281362007</v>
      </c>
      <c r="Q71" s="10" t="n">
        <f aca="false">O71/P71</f>
        <v>88794.1467526</v>
      </c>
      <c r="R71" s="10" t="n">
        <f aca="false">SUM(Q68:Q71)</f>
        <v>406950.150869209</v>
      </c>
      <c r="S71" s="12" t="n">
        <f aca="false">(E71/'Data Constant'!E71)/(E67/'Data Constant'!E67)-1</f>
        <v>0.395893608635653</v>
      </c>
    </row>
    <row r="72" customFormat="false" ht="15" hidden="false" customHeight="false" outlineLevel="0" collapsed="false">
      <c r="B72" s="7" t="s">
        <v>115</v>
      </c>
      <c r="C72" s="8" t="n">
        <v>2020</v>
      </c>
      <c r="D72" s="8" t="n">
        <v>3</v>
      </c>
      <c r="E72" s="9" t="n">
        <v>27536379.5053925</v>
      </c>
      <c r="F72" s="9" t="n">
        <v>17443145.1760569</v>
      </c>
      <c r="G72" s="9" t="n">
        <v>4424148.49786809</v>
      </c>
      <c r="H72" s="9" t="n">
        <v>4292822.4104276</v>
      </c>
      <c r="I72" s="9" t="n">
        <v>379752.243193237</v>
      </c>
      <c r="J72" s="9"/>
      <c r="K72" s="9" t="n">
        <v>4797446.06383767</v>
      </c>
      <c r="L72" s="9" t="n">
        <v>3800934.88599102</v>
      </c>
      <c r="M72" s="10" t="n">
        <f aca="false">N(I72)+N(J72)</f>
        <v>379752.243193237</v>
      </c>
      <c r="N72" s="11" t="n">
        <f aca="false">F72+G72+H72+M72+K72-L72-E72</f>
        <v>0</v>
      </c>
      <c r="O72" s="10" t="n">
        <f aca="false">E72/4</f>
        <v>6884094.87634811</v>
      </c>
      <c r="P72" s="15" t="n">
        <v>73.2690462365591</v>
      </c>
      <c r="Q72" s="10" t="n">
        <f aca="false">O72/P72</f>
        <v>93956.3871777704</v>
      </c>
      <c r="R72" s="10" t="n">
        <f aca="false">SUM(Q69:Q72)</f>
        <v>390492.667160108</v>
      </c>
      <c r="S72" s="12" t="n">
        <f aca="false">(E72/'Data Constant'!E72)/(E68/'Data Constant'!E68)-1</f>
        <v>0.374722438228273</v>
      </c>
    </row>
    <row r="73" customFormat="false" ht="15" hidden="false" customHeight="false" outlineLevel="0" collapsed="false">
      <c r="B73" s="7" t="s">
        <v>116</v>
      </c>
      <c r="C73" s="8" t="n">
        <v>2020</v>
      </c>
      <c r="D73" s="8" t="n">
        <v>4</v>
      </c>
      <c r="E73" s="9" t="n">
        <v>32277527.0460461</v>
      </c>
      <c r="F73" s="9" t="n">
        <v>20064341.7420851</v>
      </c>
      <c r="G73" s="9" t="n">
        <v>5429179.83298732</v>
      </c>
      <c r="H73" s="9" t="n">
        <v>5451588.00555423</v>
      </c>
      <c r="I73" s="9" t="n">
        <v>1137377.78544374</v>
      </c>
      <c r="J73" s="9"/>
      <c r="K73" s="9" t="n">
        <v>4737512.03398454</v>
      </c>
      <c r="L73" s="9" t="n">
        <v>4542472.35400888</v>
      </c>
      <c r="M73" s="10" t="n">
        <f aca="false">N(I73)+N(J73)</f>
        <v>1137377.78544374</v>
      </c>
      <c r="N73" s="11" t="n">
        <f aca="false">F73+G73+H73+M73+K73-L73-E73</f>
        <v>0</v>
      </c>
      <c r="O73" s="10" t="n">
        <f aca="false">E73/4</f>
        <v>8069381.76151152</v>
      </c>
      <c r="P73" s="15" t="n">
        <v>80.0253511827957</v>
      </c>
      <c r="Q73" s="10" t="n">
        <f aca="false">O73/P73</f>
        <v>100835.318336551</v>
      </c>
      <c r="R73" s="10" t="n">
        <f aca="false">SUM(Q70:Q73)</f>
        <v>385168.428379703</v>
      </c>
      <c r="S73" s="12" t="n">
        <f aca="false">(E73/'Data Constant'!E73)/(E69/'Data Constant'!E69)-1</f>
        <v>0.337942625347228</v>
      </c>
    </row>
    <row r="74" customFormat="false" ht="15" hidden="false" customHeight="false" outlineLevel="0" collapsed="false">
      <c r="B74" s="7" t="s">
        <v>117</v>
      </c>
      <c r="C74" s="8" t="n">
        <v>2021</v>
      </c>
      <c r="D74" s="8" t="n">
        <v>1</v>
      </c>
      <c r="E74" s="9" t="n">
        <v>36785109.7937202</v>
      </c>
      <c r="F74" s="9" t="n">
        <v>24629078.7494125</v>
      </c>
      <c r="G74" s="9" t="n">
        <v>5526241.68483981</v>
      </c>
      <c r="H74" s="9" t="n">
        <v>6580569.9853003</v>
      </c>
      <c r="I74" s="9" t="n">
        <v>-862802.691464759</v>
      </c>
      <c r="J74" s="9"/>
      <c r="K74" s="9" t="n">
        <v>6168401.88670645</v>
      </c>
      <c r="L74" s="9" t="n">
        <v>5256379.8210741</v>
      </c>
      <c r="M74" s="10" t="n">
        <f aca="false">N(I74)+N(J74)</f>
        <v>-862802.691464759</v>
      </c>
      <c r="N74" s="11" t="n">
        <f aca="false">F74+G74+H74+M74+K74-L74-E74</f>
        <v>0</v>
      </c>
      <c r="O74" s="10" t="n">
        <f aca="false">E74/4</f>
        <v>9196277.44843005</v>
      </c>
      <c r="P74" s="15" t="n">
        <v>88.5549469278034</v>
      </c>
      <c r="Q74" s="10" t="n">
        <f aca="false">O74/P74</f>
        <v>103848.263337875</v>
      </c>
      <c r="R74" s="10" t="n">
        <f aca="false">SUM(Q71:Q74)</f>
        <v>387434.115604797</v>
      </c>
      <c r="S74" s="12" t="n">
        <f aca="false">(E74/'Data Constant'!E74)/(E70/'Data Constant'!E70)-1</f>
        <v>0.425329868714734</v>
      </c>
    </row>
    <row r="75" customFormat="false" ht="15" hidden="false" customHeight="false" outlineLevel="0" collapsed="false">
      <c r="B75" s="7" t="s">
        <v>118</v>
      </c>
      <c r="C75" s="8" t="n">
        <v>2021</v>
      </c>
      <c r="D75" s="8" t="n">
        <v>2</v>
      </c>
      <c r="E75" s="9" t="n">
        <v>46340281.4759288</v>
      </c>
      <c r="F75" s="9" t="n">
        <v>29481554.9590855</v>
      </c>
      <c r="G75" s="9" t="n">
        <v>6827446.05846093</v>
      </c>
      <c r="H75" s="9" t="n">
        <v>7571047.89517532</v>
      </c>
      <c r="I75" s="9" t="n">
        <v>775575.207884133</v>
      </c>
      <c r="J75" s="9"/>
      <c r="K75" s="9" t="n">
        <v>8345420.44867509</v>
      </c>
      <c r="L75" s="9" t="n">
        <v>6660763.09335219</v>
      </c>
      <c r="M75" s="10" t="n">
        <f aca="false">N(I75)+N(J75)</f>
        <v>775575.207884133</v>
      </c>
      <c r="N75" s="11" t="n">
        <f aca="false">F75+G75+H75+M75+K75-L75-E75</f>
        <v>0</v>
      </c>
      <c r="O75" s="10" t="n">
        <f aca="false">E75/4</f>
        <v>11585070.3689822</v>
      </c>
      <c r="P75" s="15" t="n">
        <v>94.0282672043011</v>
      </c>
      <c r="Q75" s="10" t="n">
        <f aca="false">O75/P75</f>
        <v>123208.378857079</v>
      </c>
      <c r="R75" s="10" t="n">
        <f aca="false">SUM(Q72:Q75)</f>
        <v>421848.347709276</v>
      </c>
      <c r="S75" s="12" t="n">
        <f aca="false">(E75/'Data Constant'!E75)/(E71/'Data Constant'!E71)-1</f>
        <v>0.624532499749751</v>
      </c>
    </row>
    <row r="76" customFormat="false" ht="15" hidden="false" customHeight="false" outlineLevel="0" collapsed="false">
      <c r="B76" s="7" t="s">
        <v>119</v>
      </c>
      <c r="C76" s="8" t="n">
        <v>2021</v>
      </c>
      <c r="D76" s="8" t="n">
        <v>3</v>
      </c>
      <c r="E76" s="9" t="n">
        <v>47462528.9890996</v>
      </c>
      <c r="F76" s="9" t="n">
        <v>28914823.0034874</v>
      </c>
      <c r="G76" s="9" t="n">
        <v>7431638.7916288</v>
      </c>
      <c r="H76" s="9" t="n">
        <v>8424274.20233636</v>
      </c>
      <c r="I76" s="9" t="n">
        <v>511493.201428369</v>
      </c>
      <c r="J76" s="9"/>
      <c r="K76" s="9" t="n">
        <v>9839665.74696982</v>
      </c>
      <c r="L76" s="9" t="n">
        <v>7659365.95675115</v>
      </c>
      <c r="M76" s="10" t="n">
        <f aca="false">N(I76)+N(J76)</f>
        <v>511493.201428369</v>
      </c>
      <c r="N76" s="11" t="n">
        <f aca="false">F76+G76+H76+M76+K76-L76-E76</f>
        <v>0</v>
      </c>
      <c r="O76" s="10" t="n">
        <f aca="false">E76/4</f>
        <v>11865632.2472749</v>
      </c>
      <c r="P76" s="15" t="n">
        <v>97.2241474910394</v>
      </c>
      <c r="Q76" s="10" t="n">
        <f aca="false">O76/P76</f>
        <v>122044.086304469</v>
      </c>
      <c r="R76" s="10" t="n">
        <f aca="false">SUM(Q73:Q76)</f>
        <v>449936.046835975</v>
      </c>
      <c r="S76" s="12" t="n">
        <f aca="false">(E76/'Data Constant'!E76)/(E72/'Data Constant'!E72)-1</f>
        <v>0.541507962293647</v>
      </c>
    </row>
    <row r="77" customFormat="false" ht="15" hidden="false" customHeight="false" outlineLevel="0" collapsed="false">
      <c r="B77" s="7" t="s">
        <v>120</v>
      </c>
      <c r="C77" s="8" t="n">
        <v>2021</v>
      </c>
      <c r="D77" s="8" t="n">
        <v>4</v>
      </c>
      <c r="E77" s="9" t="n">
        <v>54288413.7824667</v>
      </c>
      <c r="F77" s="9" t="n">
        <v>33360045.1280011</v>
      </c>
      <c r="G77" s="9" t="n">
        <v>9639254.20966734</v>
      </c>
      <c r="H77" s="9" t="n">
        <v>9390395.55500432</v>
      </c>
      <c r="I77" s="9" t="n">
        <v>1028227.5349374</v>
      </c>
      <c r="J77" s="9"/>
      <c r="K77" s="9" t="n">
        <v>9047581.5111863</v>
      </c>
      <c r="L77" s="9" t="n">
        <v>8177090.15632974</v>
      </c>
      <c r="M77" s="10" t="n">
        <f aca="false">N(I77)+N(J77)</f>
        <v>1028227.5349374</v>
      </c>
      <c r="N77" s="11" t="n">
        <f aca="false">F77+G77+H77+M77+K77-L77-E77</f>
        <v>0</v>
      </c>
      <c r="O77" s="10" t="n">
        <f aca="false">E77/4</f>
        <v>13572103.4456167</v>
      </c>
      <c r="P77" s="15" t="n">
        <v>100.473771648746</v>
      </c>
      <c r="Q77" s="10" t="n">
        <f aca="false">O77/P77</f>
        <v>135081.058697234</v>
      </c>
      <c r="R77" s="10" t="n">
        <f aca="false">SUM(Q74:Q77)</f>
        <v>484181.787196657</v>
      </c>
      <c r="S77" s="12" t="n">
        <f aca="false">(E77/'Data Constant'!E77)/(E73/'Data Constant'!E73)-1</f>
        <v>0.552106131322633</v>
      </c>
    </row>
    <row r="78" customFormat="false" ht="15" hidden="false" customHeight="false" outlineLevel="0" collapsed="false">
      <c r="B78" s="7" t="s">
        <v>121</v>
      </c>
      <c r="C78" s="8" t="n">
        <v>2022</v>
      </c>
      <c r="D78" s="8" t="n">
        <v>1</v>
      </c>
      <c r="E78" s="9" t="n">
        <v>60345325.4265954</v>
      </c>
      <c r="F78" s="9" t="n">
        <v>41374961.8877453</v>
      </c>
      <c r="G78" s="9" t="n">
        <v>9533137.85948988</v>
      </c>
      <c r="H78" s="9" t="n">
        <v>10196014.2802784</v>
      </c>
      <c r="I78" s="9" t="n">
        <v>-1148360.66713632</v>
      </c>
      <c r="J78" s="9"/>
      <c r="K78" s="9" t="n">
        <v>9677450.65499343</v>
      </c>
      <c r="L78" s="9" t="n">
        <v>9287878.58877522</v>
      </c>
      <c r="M78" s="10" t="n">
        <f aca="false">N(I78)+N(J78)</f>
        <v>-1148360.66713632</v>
      </c>
      <c r="N78" s="11" t="n">
        <f aca="false">F78+G78+H78+M78+K78-L78-E78</f>
        <v>0</v>
      </c>
      <c r="O78" s="10" t="n">
        <f aca="false">E78/4</f>
        <v>15086331.3566489</v>
      </c>
      <c r="P78" s="15" t="n">
        <v>106.560678417819</v>
      </c>
      <c r="Q78" s="10" t="n">
        <f aca="false">O78/P78</f>
        <v>141575.031058794</v>
      </c>
      <c r="R78" s="10" t="n">
        <f aca="false">SUM(Q75:Q78)</f>
        <v>521908.554917577</v>
      </c>
      <c r="S78" s="12" t="n">
        <f aca="false">(E78/'Data Constant'!E78)/(E74/'Data Constant'!E74)-1</f>
        <v>0.535149879926202</v>
      </c>
    </row>
    <row r="79" customFormat="false" ht="15" hidden="false" customHeight="false" outlineLevel="0" collapsed="false">
      <c r="B79" s="7" t="s">
        <v>122</v>
      </c>
      <c r="C79" s="8" t="n">
        <v>2022</v>
      </c>
      <c r="D79" s="8" t="n">
        <v>2</v>
      </c>
      <c r="E79" s="9" t="n">
        <v>78676963.2832409</v>
      </c>
      <c r="F79" s="9" t="n">
        <v>53232611.0607964</v>
      </c>
      <c r="G79" s="9" t="n">
        <v>11716348.0846047</v>
      </c>
      <c r="H79" s="9" t="n">
        <v>13363610.1832096</v>
      </c>
      <c r="I79" s="9" t="n">
        <v>-263385.974811423</v>
      </c>
      <c r="J79" s="9"/>
      <c r="K79" s="9" t="n">
        <v>13453007.8566111</v>
      </c>
      <c r="L79" s="9" t="n">
        <v>12825227.9271695</v>
      </c>
      <c r="M79" s="10" t="n">
        <f aca="false">N(I79)+N(J79)</f>
        <v>-263385.974811423</v>
      </c>
      <c r="N79" s="11" t="n">
        <f aca="false">F79+G79+H79+M79+K79-L79-E79</f>
        <v>0</v>
      </c>
      <c r="O79" s="10" t="n">
        <f aca="false">E79/4</f>
        <v>19669240.8208102</v>
      </c>
      <c r="P79" s="15" t="n">
        <v>117.873790430108</v>
      </c>
      <c r="Q79" s="10" t="n">
        <f aca="false">O79/P79</f>
        <v>166866.957862639</v>
      </c>
      <c r="R79" s="10" t="n">
        <f aca="false">SUM(Q76:Q79)</f>
        <v>565567.133923136</v>
      </c>
      <c r="S79" s="12" t="n">
        <f aca="false">(E79/'Data Constant'!E79)/(E75/'Data Constant'!E75)-1</f>
        <v>0.570155484451207</v>
      </c>
    </row>
    <row r="80" customFormat="false" ht="15" hidden="false" customHeight="false" outlineLevel="0" collapsed="false">
      <c r="B80" s="7" t="s">
        <v>123</v>
      </c>
      <c r="C80" s="8" t="n">
        <v>2022</v>
      </c>
      <c r="D80" s="8" t="n">
        <v>3</v>
      </c>
      <c r="E80" s="9" t="n">
        <v>87863363.9419447</v>
      </c>
      <c r="F80" s="9" t="n">
        <v>56507068.8443514</v>
      </c>
      <c r="G80" s="9" t="n">
        <v>13013837.1906606</v>
      </c>
      <c r="H80" s="9" t="n">
        <v>16780392.4824259</v>
      </c>
      <c r="I80" s="9" t="n">
        <v>2113901.06367925</v>
      </c>
      <c r="J80" s="9"/>
      <c r="K80" s="9" t="n">
        <v>14359810.1475213</v>
      </c>
      <c r="L80" s="9" t="n">
        <v>14911645.7866936</v>
      </c>
      <c r="M80" s="10" t="n">
        <f aca="false">N(I80)+N(J80)</f>
        <v>2113901.06367925</v>
      </c>
      <c r="N80" s="11" t="n">
        <f aca="false">F80+G80+H80+M80+K80-L80-E80</f>
        <v>0</v>
      </c>
      <c r="O80" s="10" t="n">
        <f aca="false">E80/4</f>
        <v>21965840.9854862</v>
      </c>
      <c r="P80" s="15" t="n">
        <v>135.593977741936</v>
      </c>
      <c r="Q80" s="10" t="n">
        <f aca="false">O80/P80</f>
        <v>161997.172376578</v>
      </c>
      <c r="R80" s="10" t="n">
        <f aca="false">SUM(Q77:Q80)</f>
        <v>605520.219995245</v>
      </c>
      <c r="S80" s="12" t="n">
        <f aca="false">(E80/'Data Constant'!E80)/(E76/'Data Constant'!E76)-1</f>
        <v>0.735225595960451</v>
      </c>
    </row>
    <row r="81" customFormat="false" ht="15" hidden="false" customHeight="false" outlineLevel="0" collapsed="false">
      <c r="B81" s="7" t="s">
        <v>124</v>
      </c>
      <c r="C81" s="8" t="n">
        <v>2022</v>
      </c>
      <c r="D81" s="8" t="n">
        <v>4</v>
      </c>
      <c r="E81" s="9" t="n">
        <v>104354529.227686</v>
      </c>
      <c r="F81" s="9" t="n">
        <v>67267533.8043436</v>
      </c>
      <c r="G81" s="9" t="n">
        <v>17750027.6585826</v>
      </c>
      <c r="H81" s="9" t="n">
        <v>18017183.3330593</v>
      </c>
      <c r="I81" s="9" t="n">
        <v>-1471307.56367441</v>
      </c>
      <c r="J81" s="9"/>
      <c r="K81" s="9" t="n">
        <v>16441157.1272767</v>
      </c>
      <c r="L81" s="9" t="n">
        <v>13650065.1319021</v>
      </c>
      <c r="M81" s="10" t="n">
        <f aca="false">N(I81)+N(J81)</f>
        <v>-1471307.56367441</v>
      </c>
      <c r="N81" s="11" t="n">
        <f aca="false">F81+G81+H81+M81+K81-L81-E81</f>
        <v>0</v>
      </c>
      <c r="O81" s="10" t="n">
        <f aca="false">E81/4</f>
        <v>26088632.3069214</v>
      </c>
      <c r="P81" s="15" t="n">
        <v>162.201716308244</v>
      </c>
      <c r="Q81" s="10" t="n">
        <f aca="false">O81/P81</f>
        <v>160840.667415277</v>
      </c>
      <c r="R81" s="10" t="n">
        <f aca="false">SUM(Q78:Q81)</f>
        <v>631279.828713288</v>
      </c>
      <c r="S81" s="12" t="n">
        <f aca="false">(E81/'Data Constant'!E81)/(E77/'Data Constant'!E77)-1</f>
        <v>0.877439721878836</v>
      </c>
    </row>
    <row r="82" customFormat="false" ht="15" hidden="false" customHeight="false" outlineLevel="0" collapsed="false">
      <c r="B82" s="7" t="s">
        <v>125</v>
      </c>
      <c r="C82" s="8" t="n">
        <v>2023</v>
      </c>
      <c r="D82" s="8" t="n">
        <v>1</v>
      </c>
      <c r="E82" s="9" t="n">
        <v>122260810.806336</v>
      </c>
      <c r="F82" s="9" t="n">
        <v>83215905.7108422</v>
      </c>
      <c r="G82" s="9" t="n">
        <v>20037015.7632344</v>
      </c>
      <c r="H82" s="9" t="n">
        <v>21850027.0315129</v>
      </c>
      <c r="I82" s="9" t="n">
        <v>-823642.315570841</v>
      </c>
      <c r="J82" s="9"/>
      <c r="K82" s="9" t="n">
        <v>15481311.9733499</v>
      </c>
      <c r="L82" s="9" t="n">
        <v>17499807.3570327</v>
      </c>
      <c r="M82" s="10" t="n">
        <f aca="false">N(I82)+N(J82)</f>
        <v>-823642.315570841</v>
      </c>
      <c r="N82" s="11" t="n">
        <f aca="false">F82+G82+H82+M82+K82-L82-E82</f>
        <v>0</v>
      </c>
      <c r="O82" s="10" t="n">
        <f aca="false">E82/4</f>
        <v>30565202.701584</v>
      </c>
      <c r="P82" s="15" t="n">
        <v>192.335534754224</v>
      </c>
      <c r="Q82" s="10" t="n">
        <f aca="false">O82/P82</f>
        <v>158916.046068355</v>
      </c>
      <c r="R82" s="10" t="n">
        <f aca="false">SUM(Q79:Q82)</f>
        <v>648620.843722849</v>
      </c>
      <c r="S82" s="12" t="n">
        <f aca="false">(E82/'Data Constant'!E82)/(E78/'Data Constant'!E78)-1</f>
        <v>1.00764821871817</v>
      </c>
    </row>
    <row r="83" customFormat="false" ht="15" hidden="false" customHeight="false" outlineLevel="0" collapsed="false">
      <c r="B83" s="7" t="s">
        <v>126</v>
      </c>
      <c r="C83" s="8" t="n">
        <v>2023</v>
      </c>
      <c r="D83" s="8" t="n">
        <v>2</v>
      </c>
      <c r="E83" s="9" t="n">
        <v>160137437.361369</v>
      </c>
      <c r="F83" s="9" t="n">
        <v>106194078.821305</v>
      </c>
      <c r="G83" s="9" t="n">
        <v>27006309.8500837</v>
      </c>
      <c r="H83" s="9" t="n">
        <v>29616817.6444903</v>
      </c>
      <c r="I83" s="9" t="n">
        <v>861593.36011443</v>
      </c>
      <c r="J83" s="9"/>
      <c r="K83" s="9" t="n">
        <v>19779658.1869524</v>
      </c>
      <c r="L83" s="9" t="n">
        <v>23321020.5015768</v>
      </c>
      <c r="M83" s="10" t="n">
        <f aca="false">N(I83)+N(J83)</f>
        <v>861593.36011443</v>
      </c>
      <c r="N83" s="11" t="n">
        <f aca="false">F83+G83+H83+M83+K83-L83-E83</f>
        <v>0</v>
      </c>
      <c r="O83" s="10" t="n">
        <f aca="false">E83/4</f>
        <v>40034359.3403422</v>
      </c>
      <c r="P83" s="15" t="n">
        <v>231.742899820789</v>
      </c>
      <c r="Q83" s="10" t="n">
        <f aca="false">O83/P83</f>
        <v>172753.337303113</v>
      </c>
      <c r="R83" s="10" t="n">
        <f aca="false">SUM(Q80:Q83)</f>
        <v>654507.223163323</v>
      </c>
      <c r="S83" s="12" t="n">
        <f aca="false">(E83/'Data Constant'!E83)/(E79/'Data Constant'!E79)-1</f>
        <v>1.15728804958404</v>
      </c>
    </row>
    <row r="84" customFormat="false" ht="15" hidden="false" customHeight="false" outlineLevel="0" collapsed="false">
      <c r="B84" s="7" t="s">
        <v>127</v>
      </c>
      <c r="C84" s="8" t="n">
        <v>2023</v>
      </c>
      <c r="D84" s="8" t="n">
        <v>3</v>
      </c>
      <c r="E84" s="9" t="n">
        <v>208506894.41981</v>
      </c>
      <c r="F84" s="9" t="n">
        <v>136427189.73328</v>
      </c>
      <c r="G84" s="9" t="n">
        <v>32594594.0662848</v>
      </c>
      <c r="H84" s="9" t="n">
        <v>40454150.1827255</v>
      </c>
      <c r="I84" s="9" t="n">
        <v>2590951.40338968</v>
      </c>
      <c r="J84" s="9"/>
      <c r="K84" s="9" t="n">
        <v>27013240.5064407</v>
      </c>
      <c r="L84" s="9" t="n">
        <v>30573231.472311</v>
      </c>
      <c r="M84" s="10" t="n">
        <f aca="false">N(I84)+N(J84)</f>
        <v>2590951.40338968</v>
      </c>
      <c r="N84" s="11" t="n">
        <f aca="false">F84+G84+H84+M84+K84-L84-E84</f>
        <v>0</v>
      </c>
      <c r="O84" s="10" t="n">
        <f aca="false">E84/4</f>
        <v>52126723.6049524</v>
      </c>
      <c r="P84" s="15" t="n">
        <v>312.55455734767</v>
      </c>
      <c r="Q84" s="10" t="n">
        <f aca="false">O84/P84</f>
        <v>166776.399126279</v>
      </c>
      <c r="R84" s="10" t="n">
        <f aca="false">SUM(Q81:Q84)</f>
        <v>659286.449913024</v>
      </c>
      <c r="S84" s="12" t="n">
        <f aca="false">(E84/'Data Constant'!E84)/(E80/'Data Constant'!E80)-1</f>
        <v>1.38650094817648</v>
      </c>
    </row>
    <row r="85" customFormat="false" ht="15" hidden="false" customHeight="false" outlineLevel="0" collapsed="false">
      <c r="B85" s="7" t="s">
        <v>128</v>
      </c>
      <c r="C85" s="8" t="n">
        <v>2023</v>
      </c>
      <c r="D85" s="8" t="n">
        <v>4</v>
      </c>
      <c r="E85" s="9" t="n">
        <v>284879571.874581</v>
      </c>
      <c r="F85" s="9" t="n">
        <v>184361163.351152</v>
      </c>
      <c r="G85" s="9" t="n">
        <v>46145722.8597473</v>
      </c>
      <c r="H85" s="9" t="n">
        <v>50737504.1883566</v>
      </c>
      <c r="I85" s="9" t="n">
        <v>2333685.78994825</v>
      </c>
      <c r="J85" s="9"/>
      <c r="K85" s="9" t="n">
        <v>35985967.4336562</v>
      </c>
      <c r="L85" s="9" t="n">
        <v>34684471.7482794</v>
      </c>
      <c r="M85" s="10" t="n">
        <f aca="false">N(I85)+N(J85)</f>
        <v>2333685.78994825</v>
      </c>
      <c r="N85" s="11" t="n">
        <f aca="false">F85+G85+H85+M85+K85-L85-E85</f>
        <v>0</v>
      </c>
      <c r="O85" s="10" t="n">
        <f aca="false">E85/4</f>
        <v>71219892.9686451</v>
      </c>
      <c r="P85" s="15" t="n">
        <v>445.74917172043</v>
      </c>
      <c r="Q85" s="10" t="n">
        <f aca="false">O85/P85</f>
        <v>159775.715777019</v>
      </c>
      <c r="R85" s="10" t="n">
        <f aca="false">SUM(Q82:Q85)</f>
        <v>658221.498274765</v>
      </c>
      <c r="S85" s="12" t="n">
        <f aca="false">(E85/'Data Constant'!E85)/(E81/'Data Constant'!E81)-1</f>
        <v>1.77745157321408</v>
      </c>
    </row>
    <row r="86" customFormat="false" ht="15" hidden="false" customHeight="false" outlineLevel="0" collapsed="false">
      <c r="B86" s="7" t="s">
        <v>129</v>
      </c>
      <c r="C86" s="8" t="n">
        <v>2024</v>
      </c>
      <c r="D86" s="8" t="n">
        <v>1</v>
      </c>
      <c r="E86" s="9" t="n">
        <v>431840977.840383</v>
      </c>
      <c r="F86" s="9" t="n">
        <v>298350491.597111</v>
      </c>
      <c r="G86" s="9" t="n">
        <v>61774367.8809828</v>
      </c>
      <c r="H86" s="9" t="n">
        <v>66584081.4713408</v>
      </c>
      <c r="I86" s="9" t="n">
        <v>-19971376.1285086</v>
      </c>
      <c r="J86" s="9" t="n">
        <v>12700162.2198203</v>
      </c>
      <c r="K86" s="9" t="n">
        <v>71982617.5919416</v>
      </c>
      <c r="L86" s="9" t="n">
        <v>59579366.7923053</v>
      </c>
      <c r="M86" s="10" t="n">
        <f aca="false">N(I86)+N(J86)</f>
        <v>-7271213.90868835</v>
      </c>
      <c r="N86" s="11" t="n">
        <f aca="false">F86+G86+H86+M86+K86-L86-E86</f>
        <v>0</v>
      </c>
      <c r="O86" s="10" t="n">
        <f aca="false">E86/4</f>
        <v>107960244.460096</v>
      </c>
      <c r="P86" s="15" t="n">
        <v>834.309493845013</v>
      </c>
      <c r="Q86" s="10" t="n">
        <f aca="false">O86/P86</f>
        <v>129400.714311122</v>
      </c>
      <c r="R86" s="10" t="n">
        <f aca="false">SUM(Q83:Q86)</f>
        <v>628706.166517533</v>
      </c>
      <c r="S86" s="12" t="n">
        <f aca="false">(E86/'Data Constant'!E86)/(E82/'Data Constant'!E82)-1</f>
        <v>2.72130770159813</v>
      </c>
    </row>
    <row r="87" customFormat="false" ht="15" hidden="false" customHeight="false" outlineLevel="0" collapsed="false">
      <c r="B87" s="7" t="s">
        <v>130</v>
      </c>
      <c r="C87" s="8" t="n">
        <v>2024</v>
      </c>
      <c r="D87" s="8" t="n">
        <v>2</v>
      </c>
      <c r="E87" s="9" t="n">
        <v>559535913.189159</v>
      </c>
      <c r="F87" s="9" t="n">
        <v>362548495.084563</v>
      </c>
      <c r="G87" s="9" t="n">
        <v>85765973.0880893</v>
      </c>
      <c r="H87" s="9" t="n">
        <v>85957512.6892838</v>
      </c>
      <c r="I87" s="9" t="n">
        <v>-12235825.3465619</v>
      </c>
      <c r="J87" s="9" t="n">
        <v>16144116.63135</v>
      </c>
      <c r="K87" s="9" t="n">
        <v>87131368.5250406</v>
      </c>
      <c r="L87" s="9" t="n">
        <v>65775727.4826053</v>
      </c>
      <c r="M87" s="10" t="n">
        <f aca="false">N(I87)+N(J87)</f>
        <v>3908291.28478813</v>
      </c>
      <c r="N87" s="11" t="n">
        <f aca="false">F87+G87+H87+M87+K87-L87-E87</f>
        <v>0</v>
      </c>
      <c r="O87" s="10" t="n">
        <f aca="false">E87/4</f>
        <v>139883978.29729</v>
      </c>
      <c r="P87" s="15" t="n">
        <v>885.91305516129</v>
      </c>
      <c r="Q87" s="10" t="n">
        <f aca="false">O87/P87</f>
        <v>157898.088850065</v>
      </c>
      <c r="R87" s="10" t="n">
        <f aca="false">SUM(Q84:Q87)</f>
        <v>613850.918064485</v>
      </c>
      <c r="S87" s="12" t="n">
        <f aca="false">(E87/'Data Constant'!E87)/(E83/'Data Constant'!E83)-1</f>
        <v>2.53344288829902</v>
      </c>
    </row>
    <row r="88" customFormat="false" ht="15" hidden="false" customHeight="false" outlineLevel="0" collapsed="false">
      <c r="B88" s="7" t="s">
        <v>131</v>
      </c>
      <c r="C88" s="8" t="n">
        <v>2024</v>
      </c>
      <c r="D88" s="8" t="n">
        <v>3</v>
      </c>
      <c r="E88" s="9" t="n">
        <v>637639916.336375</v>
      </c>
      <c r="F88" s="9" t="n">
        <v>431724973.306797</v>
      </c>
      <c r="G88" s="9" t="n">
        <v>92583551.7532698</v>
      </c>
      <c r="H88" s="9" t="n">
        <v>111432533.452499</v>
      </c>
      <c r="I88" s="9" t="n">
        <v>14657669.3978036</v>
      </c>
      <c r="J88" s="9" t="n">
        <v>-26823576.5112581</v>
      </c>
      <c r="K88" s="9" t="n">
        <v>95222015.1206233</v>
      </c>
      <c r="L88" s="9" t="n">
        <v>81157250.1833606</v>
      </c>
      <c r="M88" s="10" t="n">
        <f aca="false">N(I88)+N(J88)</f>
        <v>-12165907.1134546</v>
      </c>
      <c r="N88" s="11" t="n">
        <f aca="false">F88+G88+H88+M88+K88-L88-E88</f>
        <v>0</v>
      </c>
      <c r="O88" s="10" t="n">
        <f aca="false">E88/4</f>
        <v>159409979.084094</v>
      </c>
      <c r="P88" s="15" t="n">
        <v>942.936081290323</v>
      </c>
      <c r="Q88" s="10" t="n">
        <f aca="false">O88/P88</f>
        <v>169057.036046341</v>
      </c>
      <c r="R88" s="10" t="n">
        <f aca="false">SUM(Q85:Q88)</f>
        <v>616131.554984548</v>
      </c>
      <c r="S88" s="12" t="n">
        <f aca="false">(E88/'Data Constant'!E88)/(E84/'Data Constant'!E84)-1</f>
        <v>2.11910250767722</v>
      </c>
    </row>
    <row r="89" customFormat="false" ht="15" hidden="false" customHeight="false" outlineLevel="0" collapsed="false">
      <c r="B89" s="7" t="s">
        <v>132</v>
      </c>
      <c r="C89" s="8" t="n">
        <v>2024</v>
      </c>
      <c r="D89" s="8" t="n">
        <v>4</v>
      </c>
      <c r="E89" s="9" t="n">
        <v>708491236.740843</v>
      </c>
      <c r="F89" s="9" t="n">
        <v>482160912.148028</v>
      </c>
      <c r="G89" s="9" t="n">
        <v>114581558.096441</v>
      </c>
      <c r="H89" s="9" t="n">
        <v>115766412.031132</v>
      </c>
      <c r="I89" s="9" t="n">
        <v>13466113.9709026</v>
      </c>
      <c r="J89" s="9" t="n">
        <v>-33169070.8484402</v>
      </c>
      <c r="K89" s="9" t="n">
        <v>101346281.438095</v>
      </c>
      <c r="L89" s="9" t="n">
        <v>85660970.095314</v>
      </c>
      <c r="M89" s="10" t="n">
        <f aca="false">N(I89)+N(J89)</f>
        <v>-19702956.8775375</v>
      </c>
      <c r="N89" s="11" t="n">
        <f aca="false">F89+G89+H89+M89+K89-L89-E89</f>
        <v>0</v>
      </c>
      <c r="O89" s="10" t="n">
        <f aca="false">E89/4</f>
        <v>177122809.185211</v>
      </c>
      <c r="P89" s="15" t="n">
        <v>1001.60597227001</v>
      </c>
      <c r="Q89" s="10" t="n">
        <f aca="false">O89/P89</f>
        <v>176838.81095855</v>
      </c>
      <c r="R89" s="10" t="n">
        <f aca="false">SUM(Q86:Q89)</f>
        <v>633194.650166078</v>
      </c>
      <c r="S89" s="12" t="n">
        <f aca="false">(E89/'Data Constant'!E89)/(E85/'Data Constant'!E85)-1</f>
        <v>1.42138150761828</v>
      </c>
    </row>
    <row r="90" customFormat="false" ht="15" hidden="false" customHeight="false" outlineLevel="0" collapsed="false">
      <c r="B90" s="7" t="s">
        <v>133</v>
      </c>
      <c r="C90" s="8" t="n">
        <v>2025</v>
      </c>
      <c r="D90" s="8" t="n">
        <v>1</v>
      </c>
      <c r="E90" s="9" t="n">
        <v>729698211.141071</v>
      </c>
      <c r="F90" s="9" t="n">
        <v>562163487.084508</v>
      </c>
      <c r="G90" s="9" t="n">
        <v>109449330.398545</v>
      </c>
      <c r="H90" s="9" t="n">
        <v>118376474.860819</v>
      </c>
      <c r="I90" s="9" t="n">
        <v>-19091785.976359</v>
      </c>
      <c r="J90" s="9" t="n">
        <v>-30485212.412385</v>
      </c>
      <c r="K90" s="9" t="n">
        <v>98604532.188579</v>
      </c>
      <c r="L90" s="9" t="n">
        <v>109318615.002636</v>
      </c>
      <c r="M90" s="10" t="n">
        <f aca="false">N(I90)+N(J90)</f>
        <v>-49576998.388744</v>
      </c>
      <c r="N90" s="11" t="n">
        <f aca="false">F90+G90+H90+M90+K90-L90-E90</f>
        <v>0</v>
      </c>
      <c r="O90" s="10" t="n">
        <f aca="false">E90/4</f>
        <v>182424552.785268</v>
      </c>
      <c r="P90" s="15" t="n">
        <v>1056.55120407066</v>
      </c>
      <c r="Q90" s="10" t="n">
        <f aca="false">O90/P90</f>
        <v>172660.399309021</v>
      </c>
      <c r="R90" s="10" t="n">
        <f aca="false">SUM(Q87:Q90)</f>
        <v>676454.335163977</v>
      </c>
      <c r="S90" s="12" t="n">
        <f aca="false">(E90/'Data Constant'!E90)/(E86/'Data Constant'!E86)-1</f>
        <v>0.592333975232722</v>
      </c>
    </row>
    <row r="91" customFormat="false" ht="15" hidden="false" customHeight="false" outlineLevel="0" collapsed="false">
      <c r="B91" s="7" t="s">
        <v>134</v>
      </c>
      <c r="C91" s="8" t="n">
        <v>2025</v>
      </c>
      <c r="D91" s="8" t="n">
        <v>2</v>
      </c>
      <c r="E91" s="9" t="n">
        <v>835447894.188078</v>
      </c>
      <c r="F91" s="9" t="n">
        <v>580202719.252707</v>
      </c>
      <c r="G91" s="9" t="n">
        <v>129903018.711763</v>
      </c>
      <c r="H91" s="9" t="n">
        <v>141554275.319743</v>
      </c>
      <c r="I91" s="9" t="n">
        <v>-11454687.6023572</v>
      </c>
      <c r="J91" s="9" t="n">
        <v>-5639568.56048584</v>
      </c>
      <c r="K91" s="9" t="n">
        <v>116252810.592232</v>
      </c>
      <c r="L91" s="9" t="n">
        <v>115370673.525524</v>
      </c>
      <c r="M91" s="10" t="n">
        <f aca="false">N(I91)+N(J91)</f>
        <v>-17094256.162843</v>
      </c>
      <c r="N91" s="11" t="n">
        <f aca="false">F91+G91+H91+M91+K91-L91-E91</f>
        <v>0</v>
      </c>
      <c r="O91" s="10" t="n">
        <f aca="false">E91/4</f>
        <v>208861973.54702</v>
      </c>
      <c r="P91" s="15" t="n">
        <v>1151.58772333333</v>
      </c>
      <c r="Q91" s="10" t="n">
        <f aca="false">O91/P91</f>
        <v>181368.704541637</v>
      </c>
      <c r="R91" s="10" t="n">
        <f aca="false">SUM(Q88:Q91)</f>
        <v>699924.950855549</v>
      </c>
      <c r="S91" s="12" t="n">
        <f aca="false">(E91/'Data Constant'!E91)/(E87/'Data Constant'!E87)-1</f>
        <v>0.401747166026954</v>
      </c>
    </row>
    <row r="92" customFormat="false" ht="15" hidden="false" customHeight="false" outlineLevel="0" collapsed="false">
      <c r="B92" s="7" t="s">
        <v>135</v>
      </c>
      <c r="C92" s="8" t="n">
        <v>2025</v>
      </c>
      <c r="D92" s="8" t="n">
        <v>3</v>
      </c>
      <c r="E92" s="9" t="n">
        <v>888000914.239184</v>
      </c>
      <c r="F92" s="9" t="n">
        <v>609888243.381583</v>
      </c>
      <c r="G92" s="9" t="n">
        <v>130035557.161328</v>
      </c>
      <c r="H92" s="9" t="n">
        <v>155912463.739646</v>
      </c>
      <c r="I92" s="9" t="n">
        <v>25988418.8509869</v>
      </c>
      <c r="J92" s="9" t="n">
        <v>-42889894.1118136</v>
      </c>
      <c r="K92" s="9" t="n">
        <v>150355674.403113</v>
      </c>
      <c r="L92" s="9" t="n">
        <v>141289549.185659</v>
      </c>
      <c r="M92" s="10" t="n">
        <f aca="false">N(I92)+N(J92)</f>
        <v>-16901475.2608267</v>
      </c>
      <c r="N92" s="11" t="n">
        <f aca="false">F92+G92+H92+M92+K92-L92-E92</f>
        <v>0</v>
      </c>
      <c r="O92" s="10" t="n">
        <f aca="false">E92/4</f>
        <v>222000228.559796</v>
      </c>
      <c r="P92" s="15" t="n">
        <v>1332.08832043011</v>
      </c>
      <c r="Q92" s="10" t="n">
        <f aca="false">O92/P92</f>
        <v>166655.787874573</v>
      </c>
      <c r="R92" s="10" t="n">
        <f aca="false">SUM(Q89:Q92)</f>
        <v>697523.702683781</v>
      </c>
      <c r="S92" s="12" t="n">
        <f aca="false">(E92/'Data Constant'!E92)/(E88/'Data Constant'!E88)-1</f>
        <v>0.349494189831399</v>
      </c>
    </row>
    <row r="93" customFormat="false" ht="15" hidden="false" customHeight="false" outlineLevel="0" collapsed="false">
      <c r="B93" s="7" t="s">
        <v>136</v>
      </c>
      <c r="C93" s="8" t="n">
        <v>2025</v>
      </c>
      <c r="D93" s="8" t="n">
        <v>4</v>
      </c>
      <c r="E93" s="9" t="n">
        <v>947812173.331166</v>
      </c>
      <c r="F93" s="9" t="n">
        <v>656592117.884056</v>
      </c>
      <c r="G93" s="9" t="n">
        <v>152620358.320819</v>
      </c>
      <c r="H93" s="9" t="n">
        <v>147017020.341148</v>
      </c>
      <c r="I93" s="9" t="n">
        <v>10545583.2350928</v>
      </c>
      <c r="J93" s="9" t="n">
        <v>-44063479.4608393</v>
      </c>
      <c r="K93" s="9" t="n">
        <v>163012347.51421</v>
      </c>
      <c r="L93" s="9" t="n">
        <v>137911774.503319</v>
      </c>
      <c r="M93" s="10" t="n">
        <f aca="false">N(I93)+N(J93)</f>
        <v>-33517896.2257465</v>
      </c>
      <c r="N93" s="11" t="n">
        <f aca="false">F93+G93+H93+M93+K93-L93-E93</f>
        <v>0</v>
      </c>
      <c r="O93" s="10" t="n">
        <f aca="false">E93/4</f>
        <v>236953043.332792</v>
      </c>
      <c r="P93" s="15" t="n">
        <v>1437.86350387097</v>
      </c>
      <c r="Q93" s="10" t="n">
        <f aca="false">O93/P93</f>
        <v>164795.227568455</v>
      </c>
      <c r="R93" s="10" t="n">
        <f aca="false">SUM(Q90:Q93)</f>
        <v>685480.119293686</v>
      </c>
      <c r="S93" s="12" t="n">
        <f aca="false">(E93/'Data Constant'!E93)/(E89/'Data Constant'!E89)-1</f>
        <v>0.309260097060431</v>
      </c>
    </row>
    <row r="94" customFormat="false" ht="15" hidden="false" customHeight="false" outlineLevel="0" collapsed="false">
      <c r="B94" s="7" t="s">
        <v>137</v>
      </c>
      <c r="C94" s="8" t="n">
        <v>2026</v>
      </c>
      <c r="D94" s="8" t="n">
        <v>1</v>
      </c>
      <c r="E94" s="9" t="n">
        <v>973875781.700478</v>
      </c>
      <c r="F94" s="9" t="n">
        <v>763296947.808702</v>
      </c>
      <c r="G94" s="9" t="n">
        <v>143620928.616263</v>
      </c>
      <c r="H94" s="9" t="n">
        <v>139437052.203263</v>
      </c>
      <c r="I94" s="9" t="n">
        <v>-38191100.7934169</v>
      </c>
      <c r="J94" s="9" t="n">
        <v>-47332935.2790804</v>
      </c>
      <c r="K94" s="9" t="n">
        <v>153253105.343767</v>
      </c>
      <c r="L94" s="9" t="n">
        <v>140208216.19902</v>
      </c>
      <c r="M94" s="10" t="n">
        <f aca="false">N(I94)+N(J94)</f>
        <v>-85524036.0724973</v>
      </c>
      <c r="N94" s="11" t="n">
        <f aca="false">F94+G94+H94+M94+K94-L94-E94</f>
        <v>0</v>
      </c>
      <c r="O94" s="10" t="n">
        <f aca="false">E94/4</f>
        <v>243468945.425119</v>
      </c>
      <c r="P94" s="15" t="n">
        <v>1418.1367452765</v>
      </c>
      <c r="Q94" s="10" t="n">
        <f aca="false">O94/P94</f>
        <v>171682.276928555</v>
      </c>
      <c r="R94" s="10" t="n">
        <f aca="false">SUM(Q91:Q94)</f>
        <v>684501.996913219</v>
      </c>
      <c r="S94" s="12" t="n">
        <f aca="false">(E94/'Data Constant'!E94)/(E90/'Data Constant'!E90)-1</f>
        <v>0.304269574618252</v>
      </c>
    </row>
    <row r="96" customFormat="false" ht="15" hidden="false" customHeight="false" outlineLevel="0" collapsed="false">
      <c r="B96" s="13" t="s">
        <v>154</v>
      </c>
    </row>
    <row r="97" customFormat="false" ht="15" hidden="false" customHeight="false" outlineLevel="0" collapsed="false">
      <c r="B97" s="13"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L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11"/>
    <col collapsed="false" customWidth="true" hidden="false" outlineLevel="0" max="5" min="5" style="0" width="12"/>
    <col collapsed="false" customWidth="true" hidden="false" outlineLevel="0" max="12" min="6" style="0" width="11"/>
  </cols>
  <sheetData>
    <row r="2" customFormat="false" ht="25.5" hidden="false" customHeight="true" outlineLevel="0" collapsed="false">
      <c r="B2" s="1" t="s">
        <v>156</v>
      </c>
    </row>
    <row r="3" customFormat="false" ht="15" hidden="false" customHeight="false" outlineLevel="0" collapsed="false">
      <c r="B3" s="2" t="s">
        <v>157</v>
      </c>
    </row>
    <row r="5" customFormat="false" ht="30" hidden="false" customHeight="true" outlineLevel="0" collapsed="false">
      <c r="B5" s="6" t="s">
        <v>34</v>
      </c>
      <c r="C5" s="6" t="s">
        <v>35</v>
      </c>
      <c r="D5" s="6" t="s">
        <v>158</v>
      </c>
      <c r="E5" s="6" t="s">
        <v>145</v>
      </c>
      <c r="F5" s="6" t="s">
        <v>159</v>
      </c>
      <c r="G5" s="6" t="s">
        <v>160</v>
      </c>
      <c r="H5" s="6" t="s">
        <v>161</v>
      </c>
      <c r="I5" s="6" t="s">
        <v>162</v>
      </c>
      <c r="J5" s="6" t="s">
        <v>163</v>
      </c>
      <c r="K5" s="6" t="s">
        <v>164</v>
      </c>
      <c r="L5" s="6" t="s">
        <v>165</v>
      </c>
    </row>
    <row r="6" customFormat="false" ht="15" hidden="false" customHeight="false" outlineLevel="0" collapsed="false">
      <c r="B6" s="7" t="s">
        <v>49</v>
      </c>
      <c r="C6" s="8" t="n">
        <v>2004</v>
      </c>
      <c r="D6" s="16" t="n">
        <f aca="false">'Data SA'!L6</f>
        <v>0</v>
      </c>
      <c r="E6" s="17" t="n">
        <f aca="false">'Data SA'!M6</f>
        <v>0</v>
      </c>
      <c r="F6" s="17" t="n">
        <f aca="false">'Data SA'!N6</f>
        <v>0</v>
      </c>
      <c r="G6" s="17" t="n">
        <f aca="false">'Data Constant'!P6</f>
        <v>0</v>
      </c>
    </row>
    <row r="7" customFormat="false" ht="15" hidden="false" customHeight="false" outlineLevel="0" collapsed="false">
      <c r="B7" s="7" t="s">
        <v>50</v>
      </c>
      <c r="C7" s="8" t="n">
        <v>2004</v>
      </c>
      <c r="D7" s="16" t="n">
        <f aca="false">'Data SA'!L7</f>
        <v>-0.0109040036313208</v>
      </c>
      <c r="E7" s="17" t="n">
        <f aca="false">'Data SA'!M7</f>
        <v>-0.0429078024437195</v>
      </c>
      <c r="F7" s="17" t="n">
        <f aca="false">'Data SA'!N7</f>
        <v>0</v>
      </c>
      <c r="G7" s="17" t="n">
        <f aca="false">'Data Constant'!P7</f>
        <v>0</v>
      </c>
    </row>
    <row r="8" customFormat="false" ht="15" hidden="false" customHeight="false" outlineLevel="0" collapsed="false">
      <c r="B8" s="7" t="s">
        <v>51</v>
      </c>
      <c r="C8" s="8" t="n">
        <v>2004</v>
      </c>
      <c r="D8" s="16" t="n">
        <f aca="false">'Data SA'!L8</f>
        <v>0.0498417208485629</v>
      </c>
      <c r="E8" s="17" t="n">
        <f aca="false">'Data SA'!M8</f>
        <v>0.214773504093514</v>
      </c>
      <c r="F8" s="17" t="n">
        <f aca="false">'Data SA'!N8</f>
        <v>0</v>
      </c>
      <c r="G8" s="17" t="n">
        <f aca="false">'Data Constant'!P8</f>
        <v>0</v>
      </c>
    </row>
    <row r="9" customFormat="false" ht="15" hidden="false" customHeight="false" outlineLevel="0" collapsed="false">
      <c r="B9" s="7" t="s">
        <v>52</v>
      </c>
      <c r="C9" s="8" t="n">
        <v>2004</v>
      </c>
      <c r="D9" s="16" t="n">
        <f aca="false">'Data SA'!L9</f>
        <v>0.0141201669864586</v>
      </c>
      <c r="E9" s="17" t="n">
        <f aca="false">'Data SA'!M9</f>
        <v>0.0576882434578496</v>
      </c>
      <c r="F9" s="17" t="n">
        <f aca="false">'Data SA'!N9</f>
        <v>0</v>
      </c>
      <c r="G9" s="17" t="n">
        <f aca="false">'Data Constant'!P9</f>
        <v>0</v>
      </c>
    </row>
    <row r="10" customFormat="false" ht="15" hidden="false" customHeight="false" outlineLevel="0" collapsed="false">
      <c r="B10" s="7" t="s">
        <v>53</v>
      </c>
      <c r="C10" s="8" t="n">
        <v>2005</v>
      </c>
      <c r="D10" s="16" t="n">
        <f aca="false">'Data SA'!L10</f>
        <v>0.0289872518542047</v>
      </c>
      <c r="E10" s="17" t="n">
        <f aca="false">'Data SA'!M10</f>
        <v>0.121088705477595</v>
      </c>
      <c r="F10" s="17" t="n">
        <f aca="false">'Data SA'!N10</f>
        <v>0.0835817582490479</v>
      </c>
      <c r="G10" s="17" t="n">
        <f aca="false">'Data Constant'!P10</f>
        <v>0.0721878676041452</v>
      </c>
      <c r="H10" s="12" t="n">
        <f aca="false">'Data Constant'!F10/'Data Constant'!F6-1</f>
        <v>0.0477090943746543</v>
      </c>
      <c r="I10" s="12" t="n">
        <f aca="false">'Data Constant'!G10/'Data Constant'!G6-1</f>
        <v>0.0904055858699822</v>
      </c>
      <c r="J10" s="12" t="n">
        <f aca="false">'Data Constant'!H10/'Data Constant'!H6-1</f>
        <v>0.123658623571438</v>
      </c>
      <c r="K10" s="12" t="n">
        <f aca="false">'Data Constant'!K10/'Data Constant'!K6-1</f>
        <v>0.159696922856738</v>
      </c>
      <c r="L10" s="12" t="n">
        <f aca="false">'Data Constant'!L10/'Data Constant'!L6-1</f>
        <v>0.161910312131831</v>
      </c>
    </row>
    <row r="11" customFormat="false" ht="15" hidden="false" customHeight="false" outlineLevel="0" collapsed="false">
      <c r="B11" s="7" t="s">
        <v>54</v>
      </c>
      <c r="C11" s="8" t="n">
        <v>2005</v>
      </c>
      <c r="D11" s="16" t="n">
        <f aca="false">'Data SA'!L11</f>
        <v>0.0219415103788054</v>
      </c>
      <c r="E11" s="17" t="n">
        <f aca="false">'Data SA'!M11</f>
        <v>0.0906971057508015</v>
      </c>
      <c r="F11" s="17" t="n">
        <f aca="false">'Data SA'!N11</f>
        <v>0.119564918581667</v>
      </c>
      <c r="G11" s="17" t="n">
        <f aca="false">'Data Constant'!P11</f>
        <v>0.130779807239928</v>
      </c>
      <c r="H11" s="12" t="n">
        <f aca="false">'Data Constant'!F11/'Data Constant'!F7-1</f>
        <v>0.13866018359429</v>
      </c>
      <c r="I11" s="12" t="n">
        <f aca="false">'Data Constant'!G11/'Data Constant'!G7-1</f>
        <v>0.11791099352121</v>
      </c>
      <c r="J11" s="12" t="n">
        <f aca="false">'Data Constant'!H11/'Data Constant'!H7-1</f>
        <v>0.152604489221356</v>
      </c>
      <c r="K11" s="12" t="n">
        <f aca="false">'Data Constant'!K11/'Data Constant'!K7-1</f>
        <v>0.156997430304265</v>
      </c>
      <c r="L11" s="12" t="n">
        <f aca="false">'Data Constant'!L11/'Data Constant'!L7-1</f>
        <v>0.216006670969399</v>
      </c>
    </row>
    <row r="12" customFormat="false" ht="15" hidden="false" customHeight="false" outlineLevel="0" collapsed="false">
      <c r="B12" s="7" t="s">
        <v>55</v>
      </c>
      <c r="C12" s="8" t="n">
        <v>2005</v>
      </c>
      <c r="D12" s="16" t="n">
        <f aca="false">'Data SA'!L12</f>
        <v>0.00651927462271718</v>
      </c>
      <c r="E12" s="17" t="n">
        <f aca="false">'Data SA'!M12</f>
        <v>0.0263332142480774</v>
      </c>
      <c r="F12" s="17" t="n">
        <f aca="false">'Data SA'!N12</f>
        <v>0.073365296278227</v>
      </c>
      <c r="G12" s="17" t="n">
        <f aca="false">'Data Constant'!P12</f>
        <v>0.0697197786983206</v>
      </c>
      <c r="H12" s="12" t="n">
        <f aca="false">'Data Constant'!F12/'Data Constant'!F8-1</f>
        <v>0.043134798237493</v>
      </c>
      <c r="I12" s="12" t="n">
        <f aca="false">'Data Constant'!G12/'Data Constant'!G8-1</f>
        <v>0.097858212188134</v>
      </c>
      <c r="J12" s="12" t="n">
        <f aca="false">'Data Constant'!H12/'Data Constant'!H8-1</f>
        <v>0.134936381889475</v>
      </c>
      <c r="K12" s="12" t="n">
        <f aca="false">'Data Constant'!K12/'Data Constant'!K8-1</f>
        <v>0.132198891584892</v>
      </c>
      <c r="L12" s="12" t="n">
        <f aca="false">'Data Constant'!L12/'Data Constant'!L8-1</f>
        <v>0.133801756257558</v>
      </c>
    </row>
    <row r="13" customFormat="false" ht="15" hidden="false" customHeight="false" outlineLevel="0" collapsed="false">
      <c r="B13" s="7" t="s">
        <v>56</v>
      </c>
      <c r="C13" s="8" t="n">
        <v>2005</v>
      </c>
      <c r="D13" s="16" t="n">
        <f aca="false">'Data SA'!L13</f>
        <v>0.0194255715047784</v>
      </c>
      <c r="E13" s="17" t="n">
        <f aca="false">'Data SA'!M13</f>
        <v>0.079995866561388</v>
      </c>
      <c r="F13" s="17" t="n">
        <f aca="false">'Data SA'!N13</f>
        <v>0.0789806437272422</v>
      </c>
      <c r="G13" s="17" t="n">
        <f aca="false">'Data Constant'!P13</f>
        <v>0.0778289449927465</v>
      </c>
      <c r="H13" s="12" t="n">
        <f aca="false">'Data Constant'!F13/'Data Constant'!F9-1</f>
        <v>0.0590510576265582</v>
      </c>
      <c r="I13" s="12" t="n">
        <f aca="false">'Data Constant'!G13/'Data Constant'!G9-1</f>
        <v>0.0891572318958496</v>
      </c>
      <c r="J13" s="12" t="n">
        <f aca="false">'Data Constant'!H13/'Data Constant'!H9-1</f>
        <v>0.221996547657547</v>
      </c>
      <c r="K13" s="12" t="n">
        <f aca="false">'Data Constant'!K13/'Data Constant'!K9-1</f>
        <v>0.0715707846498643</v>
      </c>
      <c r="L13" s="12" t="n">
        <f aca="false">'Data Constant'!L13/'Data Constant'!L9-1</f>
        <v>0.127425124466534</v>
      </c>
    </row>
    <row r="14" customFormat="false" ht="15" hidden="false" customHeight="false" outlineLevel="0" collapsed="false">
      <c r="B14" s="7" t="s">
        <v>57</v>
      </c>
      <c r="C14" s="8" t="n">
        <v>2006</v>
      </c>
      <c r="D14" s="16" t="n">
        <f aca="false">'Data SA'!L14</f>
        <v>0.0261828705994898</v>
      </c>
      <c r="E14" s="17" t="n">
        <f aca="false">'Data SA'!M14</f>
        <v>0.10891700654831</v>
      </c>
      <c r="F14" s="17" t="n">
        <f aca="false">'Data SA'!N14</f>
        <v>0.0760400114832407</v>
      </c>
      <c r="G14" s="17" t="n">
        <f aca="false">'Data Constant'!P14</f>
        <v>0.0784957106960191</v>
      </c>
      <c r="H14" s="12" t="n">
        <f aca="false">'Data Constant'!F14/'Data Constant'!F10-1</f>
        <v>0.109719772905505</v>
      </c>
      <c r="I14" s="12" t="n">
        <f aca="false">'Data Constant'!G14/'Data Constant'!G10-1</f>
        <v>0.0498256968476123</v>
      </c>
      <c r="J14" s="12" t="n">
        <f aca="false">'Data Constant'!H14/'Data Constant'!H10-1</f>
        <v>0.163180130740283</v>
      </c>
      <c r="K14" s="12" t="n">
        <f aca="false">'Data Constant'!K14/'Data Constant'!K10-1</f>
        <v>0.0554995105543141</v>
      </c>
      <c r="L14" s="12" t="n">
        <f aca="false">'Data Constant'!L14/'Data Constant'!L10-1</f>
        <v>0.137908779001851</v>
      </c>
    </row>
    <row r="15" customFormat="false" ht="15" hidden="false" customHeight="false" outlineLevel="0" collapsed="false">
      <c r="B15" s="7" t="s">
        <v>58</v>
      </c>
      <c r="C15" s="8" t="n">
        <v>2006</v>
      </c>
      <c r="D15" s="16" t="n">
        <f aca="false">'Data SA'!L15</f>
        <v>0.012564320614489</v>
      </c>
      <c r="E15" s="17" t="n">
        <f aca="false">'Data SA'!M15</f>
        <v>0.0512124140162249</v>
      </c>
      <c r="F15" s="17" t="n">
        <f aca="false">'Data SA'!N15</f>
        <v>0.0661664215769697</v>
      </c>
      <c r="G15" s="17" t="n">
        <f aca="false">'Data Constant'!P15</f>
        <v>0.0557158530410582</v>
      </c>
      <c r="H15" s="12" t="n">
        <f aca="false">'Data Constant'!F15/'Data Constant'!F11-1</f>
        <v>0.0700832850141857</v>
      </c>
      <c r="I15" s="12" t="n">
        <f aca="false">'Data Constant'!G15/'Data Constant'!G11-1</f>
        <v>0.0307631637692671</v>
      </c>
      <c r="J15" s="12" t="n">
        <f aca="false">'Data Constant'!H15/'Data Constant'!H11-1</f>
        <v>0.114777724446721</v>
      </c>
      <c r="K15" s="12" t="n">
        <f aca="false">'Data Constant'!K15/'Data Constant'!K11-1</f>
        <v>0.0232520899582354</v>
      </c>
      <c r="L15" s="12" t="n">
        <f aca="false">'Data Constant'!L15/'Data Constant'!L11-1</f>
        <v>0.0457985478488878</v>
      </c>
    </row>
    <row r="16" customFormat="false" ht="15" hidden="false" customHeight="false" outlineLevel="0" collapsed="false">
      <c r="B16" s="7" t="s">
        <v>59</v>
      </c>
      <c r="C16" s="8" t="n">
        <v>2006</v>
      </c>
      <c r="D16" s="16" t="n">
        <f aca="false">'Data SA'!L16</f>
        <v>0.0273959620191622</v>
      </c>
      <c r="E16" s="17" t="n">
        <f aca="false">'Data SA'!M16</f>
        <v>0.114169890717481</v>
      </c>
      <c r="F16" s="17" t="n">
        <f aca="false">'Data SA'!N16</f>
        <v>0.0882802783674339</v>
      </c>
      <c r="G16" s="17" t="n">
        <f aca="false">'Data Constant'!P16</f>
        <v>0.0938049028107184</v>
      </c>
      <c r="H16" s="12" t="n">
        <f aca="false">'Data Constant'!F16/'Data Constant'!F12-1</f>
        <v>0.1518127437658</v>
      </c>
      <c r="I16" s="12" t="n">
        <f aca="false">'Data Constant'!G16/'Data Constant'!G12-1</f>
        <v>0.0315754559494161</v>
      </c>
      <c r="J16" s="12" t="n">
        <f aca="false">'Data Constant'!H16/'Data Constant'!H12-1</f>
        <v>0.180992226902034</v>
      </c>
      <c r="K16" s="12" t="n">
        <f aca="false">'Data Constant'!K16/'Data Constant'!K12-1</f>
        <v>0.0283710442744003</v>
      </c>
      <c r="L16" s="12" t="n">
        <f aca="false">'Data Constant'!L16/'Data Constant'!L12-1</f>
        <v>0.134231999048074</v>
      </c>
    </row>
    <row r="17" customFormat="false" ht="15" hidden="false" customHeight="false" outlineLevel="0" collapsed="false">
      <c r="B17" s="7" t="s">
        <v>60</v>
      </c>
      <c r="C17" s="8" t="n">
        <v>2006</v>
      </c>
      <c r="D17" s="16" t="n">
        <f aca="false">'Data SA'!L17</f>
        <v>0.0219538658208642</v>
      </c>
      <c r="E17" s="17" t="n">
        <f aca="false">'Data SA'!M17</f>
        <v>0.0907498535417477</v>
      </c>
      <c r="F17" s="17" t="n">
        <f aca="false">'Data SA'!N17</f>
        <v>0.0909793403872763</v>
      </c>
      <c r="G17" s="17" t="n">
        <f aca="false">'Data Constant'!P17</f>
        <v>0.09677040376985</v>
      </c>
      <c r="H17" s="12" t="n">
        <f aca="false">'Data Constant'!F17/'Data Constant'!F13-1</f>
        <v>0.114375312081761</v>
      </c>
      <c r="I17" s="12" t="n">
        <f aca="false">'Data Constant'!G17/'Data Constant'!G13-1</f>
        <v>0.0376324379178945</v>
      </c>
      <c r="J17" s="12" t="n">
        <f aca="false">'Data Constant'!H17/'Data Constant'!H13-1</f>
        <v>0.123882331331119</v>
      </c>
      <c r="K17" s="12" t="n">
        <f aca="false">'Data Constant'!K17/'Data Constant'!K13-1</f>
        <v>0.118718104457458</v>
      </c>
      <c r="L17" s="12" t="n">
        <f aca="false">'Data Constant'!L17/'Data Constant'!L13-1</f>
        <v>0.125043643919838</v>
      </c>
    </row>
    <row r="18" customFormat="false" ht="15" hidden="false" customHeight="false" outlineLevel="0" collapsed="false">
      <c r="B18" s="7" t="s">
        <v>61</v>
      </c>
      <c r="C18" s="8" t="n">
        <v>2007</v>
      </c>
      <c r="D18" s="16" t="n">
        <f aca="false">'Data SA'!L18</f>
        <v>0.0236436321123608</v>
      </c>
      <c r="E18" s="17" t="n">
        <f aca="false">'Data SA'!M18</f>
        <v>0.0979818381706621</v>
      </c>
      <c r="F18" s="17" t="n">
        <f aca="false">'Data SA'!N18</f>
        <v>0.0882797662576129</v>
      </c>
      <c r="G18" s="17" t="n">
        <f aca="false">'Data Constant'!P18</f>
        <v>0.0835894113627564</v>
      </c>
      <c r="H18" s="12" t="n">
        <f aca="false">'Data Constant'!F18/'Data Constant'!F14-1</f>
        <v>0.111750155385917</v>
      </c>
      <c r="I18" s="12" t="n">
        <f aca="false">'Data Constant'!G18/'Data Constant'!G14-1</f>
        <v>0.0763961094124059</v>
      </c>
      <c r="J18" s="12" t="n">
        <f aca="false">'Data Constant'!H18/'Data Constant'!H14-1</f>
        <v>0.187804460389148</v>
      </c>
      <c r="K18" s="12" t="n">
        <f aca="false">'Data Constant'!K18/'Data Constant'!K14-1</f>
        <v>0.0333266448801373</v>
      </c>
      <c r="L18" s="12" t="n">
        <f aca="false">'Data Constant'!L18/'Data Constant'!L14-1</f>
        <v>0.162105558133894</v>
      </c>
    </row>
    <row r="19" customFormat="false" ht="15" hidden="false" customHeight="false" outlineLevel="0" collapsed="false">
      <c r="B19" s="7" t="s">
        <v>62</v>
      </c>
      <c r="C19" s="8" t="n">
        <v>2007</v>
      </c>
      <c r="D19" s="16" t="n">
        <f aca="false">'Data SA'!L19</f>
        <v>0.0213499492534628</v>
      </c>
      <c r="E19" s="17" t="n">
        <f aca="false">'Data SA'!M19</f>
        <v>0.0881738537487036</v>
      </c>
      <c r="F19" s="17" t="n">
        <f aca="false">'Data SA'!N19</f>
        <v>0.0977223485084335</v>
      </c>
      <c r="G19" s="17" t="n">
        <f aca="false">'Data Constant'!P19</f>
        <v>0.0985938738676382</v>
      </c>
      <c r="H19" s="12" t="n">
        <f aca="false">'Data Constant'!F19/'Data Constant'!F15-1</f>
        <v>0.0756548821648746</v>
      </c>
      <c r="I19" s="12" t="n">
        <f aca="false">'Data Constant'!G19/'Data Constant'!G15-1</f>
        <v>0.0876106958230551</v>
      </c>
      <c r="J19" s="12" t="n">
        <f aca="false">'Data Constant'!H19/'Data Constant'!H15-1</f>
        <v>0.189996586316571</v>
      </c>
      <c r="K19" s="12" t="n">
        <f aca="false">'Data Constant'!K19/'Data Constant'!K15-1</f>
        <v>0.0736832134878644</v>
      </c>
      <c r="L19" s="12" t="n">
        <f aca="false">'Data Constant'!L19/'Data Constant'!L15-1</f>
        <v>0.156603693305372</v>
      </c>
    </row>
    <row r="20" customFormat="false" ht="15" hidden="false" customHeight="false" outlineLevel="0" collapsed="false">
      <c r="B20" s="7" t="s">
        <v>63</v>
      </c>
      <c r="C20" s="8" t="n">
        <v>2007</v>
      </c>
      <c r="D20" s="16" t="n">
        <f aca="false">'Data SA'!L20</f>
        <v>0.0130670184798638</v>
      </c>
      <c r="E20" s="17" t="n">
        <f aca="false">'Data SA'!M20</f>
        <v>0.0533015095210538</v>
      </c>
      <c r="F20" s="17" t="n">
        <f aca="false">'Data SA'!N20</f>
        <v>0.0824125729836296</v>
      </c>
      <c r="G20" s="17" t="n">
        <f aca="false">'Data Constant'!P20</f>
        <v>0.0842779771268098</v>
      </c>
      <c r="H20" s="12" t="n">
        <f aca="false">'Data Constant'!F20/'Data Constant'!F16-1</f>
        <v>0.0809396873195185</v>
      </c>
      <c r="I20" s="12" t="n">
        <f aca="false">'Data Constant'!G20/'Data Constant'!G16-1</f>
        <v>0.0751391348530268</v>
      </c>
      <c r="J20" s="12" t="n">
        <f aca="false">'Data Constant'!H20/'Data Constant'!H16-1</f>
        <v>0.213361566540107</v>
      </c>
      <c r="K20" s="12" t="n">
        <f aca="false">'Data Constant'!K20/'Data Constant'!K16-1</f>
        <v>0.105438346557567</v>
      </c>
      <c r="L20" s="12" t="n">
        <f aca="false">'Data Constant'!L20/'Data Constant'!L16-1</f>
        <v>0.239829653169483</v>
      </c>
    </row>
    <row r="21" customFormat="false" ht="15" hidden="false" customHeight="false" outlineLevel="0" collapsed="false">
      <c r="B21" s="7" t="s">
        <v>64</v>
      </c>
      <c r="C21" s="8" t="n">
        <v>2007</v>
      </c>
      <c r="D21" s="16" t="n">
        <f aca="false">'Data SA'!L21</f>
        <v>0.0309904348651326</v>
      </c>
      <c r="E21" s="17" t="n">
        <f aca="false">'Data SA'!M21</f>
        <v>0.129844157889915</v>
      </c>
      <c r="F21" s="17" t="n">
        <f aca="false">'Data SA'!N21</f>
        <v>0.0919837447138663</v>
      </c>
      <c r="G21" s="17" t="n">
        <f aca="false">'Data Constant'!P21</f>
        <v>0.092673486299768</v>
      </c>
      <c r="H21" s="12" t="n">
        <f aca="false">'Data Constant'!F21/'Data Constant'!F17-1</f>
        <v>0.109096852856091</v>
      </c>
      <c r="I21" s="12" t="n">
        <f aca="false">'Data Constant'!G21/'Data Constant'!G17-1</f>
        <v>0.074498445660707</v>
      </c>
      <c r="J21" s="12" t="n">
        <f aca="false">'Data Constant'!H21/'Data Constant'!H17-1</f>
        <v>0.225429462266507</v>
      </c>
      <c r="K21" s="12" t="n">
        <f aca="false">'Data Constant'!K21/'Data Constant'!K17-1</f>
        <v>0.108488801556116</v>
      </c>
      <c r="L21" s="12" t="n">
        <f aca="false">'Data Constant'!L21/'Data Constant'!L17-1</f>
        <v>0.219532352205177</v>
      </c>
    </row>
    <row r="22" customFormat="false" ht="15" hidden="false" customHeight="false" outlineLevel="0" collapsed="false">
      <c r="B22" s="7" t="s">
        <v>65</v>
      </c>
      <c r="C22" s="8" t="n">
        <v>2008</v>
      </c>
      <c r="D22" s="16" t="n">
        <f aca="false">'Data SA'!L22</f>
        <v>0.00988235295314177</v>
      </c>
      <c r="E22" s="17" t="n">
        <f aca="false">'Data SA'!M22</f>
        <v>0.0401192472274909</v>
      </c>
      <c r="F22" s="17" t="n">
        <f aca="false">'Data SA'!N22</f>
        <v>0.0773037401918557</v>
      </c>
      <c r="G22" s="17" t="n">
        <f aca="false">'Data Constant'!P22</f>
        <v>0.0691231457663233</v>
      </c>
      <c r="H22" s="12" t="n">
        <f aca="false">'Data Constant'!F22/'Data Constant'!F18-1</f>
        <v>0.101787635535288</v>
      </c>
      <c r="I22" s="12" t="n">
        <f aca="false">'Data Constant'!G22/'Data Constant'!G18-1</f>
        <v>0.0377936389929456</v>
      </c>
      <c r="J22" s="12" t="n">
        <f aca="false">'Data Constant'!H22/'Data Constant'!H18-1</f>
        <v>0.174115035911683</v>
      </c>
      <c r="K22" s="12" t="n">
        <f aca="false">'Data Constant'!K22/'Data Constant'!K18-1</f>
        <v>0.0631670933192601</v>
      </c>
      <c r="L22" s="12" t="n">
        <f aca="false">'Data Constant'!L22/'Data Constant'!L18-1</f>
        <v>0.234598349920081</v>
      </c>
    </row>
    <row r="23" customFormat="false" ht="15" hidden="false" customHeight="false" outlineLevel="0" collapsed="false">
      <c r="B23" s="7" t="s">
        <v>66</v>
      </c>
      <c r="C23" s="8" t="n">
        <v>2008</v>
      </c>
      <c r="D23" s="16" t="n">
        <f aca="false">'Data SA'!L23</f>
        <v>0.00493325940713829</v>
      </c>
      <c r="E23" s="17" t="n">
        <f aca="false">'Data SA'!M23</f>
        <v>0.0198795407550052</v>
      </c>
      <c r="F23" s="17" t="n">
        <f aca="false">'Data SA'!N23</f>
        <v>0.0599876759124751</v>
      </c>
      <c r="G23" s="17" t="n">
        <f aca="false">'Data Constant'!P23</f>
        <v>0.0545268547475248</v>
      </c>
      <c r="H23" s="12" t="n">
        <f aca="false">'Data Constant'!F23/'Data Constant'!F19-1</f>
        <v>0.0935316099149242</v>
      </c>
      <c r="I23" s="12" t="n">
        <f aca="false">'Data Constant'!G23/'Data Constant'!G19-1</f>
        <v>0.0595851001538343</v>
      </c>
      <c r="J23" s="12" t="n">
        <f aca="false">'Data Constant'!H23/'Data Constant'!H19-1</f>
        <v>0.172282231319277</v>
      </c>
      <c r="K23" s="12" t="n">
        <f aca="false">'Data Constant'!K23/'Data Constant'!K19-1</f>
        <v>-0.0268876505824056</v>
      </c>
      <c r="L23" s="12" t="n">
        <f aca="false">'Data Constant'!L23/'Data Constant'!L19-1</f>
        <v>0.249548610768784</v>
      </c>
    </row>
    <row r="24" customFormat="false" ht="15" hidden="false" customHeight="false" outlineLevel="0" collapsed="false">
      <c r="B24" s="7" t="s">
        <v>67</v>
      </c>
      <c r="C24" s="8" t="n">
        <v>2008</v>
      </c>
      <c r="D24" s="16" t="n">
        <f aca="false">'Data SA'!L24</f>
        <v>0.0071443245097802</v>
      </c>
      <c r="E24" s="17" t="n">
        <f aca="false">'Data SA'!M24</f>
        <v>0.0288850075050688</v>
      </c>
      <c r="F24" s="17" t="n">
        <f aca="false">'Data SA'!N24</f>
        <v>0.0537906696908037</v>
      </c>
      <c r="G24" s="17" t="n">
        <f aca="false">'Data Constant'!P24</f>
        <v>0.060060161436698</v>
      </c>
      <c r="H24" s="12" t="n">
        <f aca="false">'Data Constant'!F24/'Data Constant'!F20-1</f>
        <v>0.0548874930951258</v>
      </c>
      <c r="I24" s="12" t="n">
        <f aca="false">'Data Constant'!G24/'Data Constant'!G20-1</f>
        <v>0.0643810648883296</v>
      </c>
      <c r="J24" s="12" t="n">
        <f aca="false">'Data Constant'!H24/'Data Constant'!H20-1</f>
        <v>0.0741524517675078</v>
      </c>
      <c r="K24" s="12" t="n">
        <f aca="false">'Data Constant'!K24/'Data Constant'!K20-1</f>
        <v>0.0991249668990122</v>
      </c>
      <c r="L24" s="12" t="n">
        <f aca="false">'Data Constant'!L24/'Data Constant'!L20-1</f>
        <v>0.123859389374314</v>
      </c>
    </row>
    <row r="25" customFormat="false" ht="15" hidden="false" customHeight="false" outlineLevel="0" collapsed="false">
      <c r="B25" s="7" t="s">
        <v>68</v>
      </c>
      <c r="C25" s="8" t="n">
        <v>2008</v>
      </c>
      <c r="D25" s="16" t="n">
        <f aca="false">'Data SA'!L25</f>
        <v>-0.0463597934936053</v>
      </c>
      <c r="E25" s="17" t="n">
        <f aca="false">'Data SA'!M25</f>
        <v>-0.172937723586106</v>
      </c>
      <c r="F25" s="17" t="n">
        <f aca="false">'Data SA'!N25</f>
        <v>-0.0252701500669992</v>
      </c>
      <c r="G25" s="17" t="n">
        <f aca="false">'Data Constant'!P25</f>
        <v>-0.019789908841391</v>
      </c>
      <c r="H25" s="12" t="n">
        <f aca="false">'Data Constant'!F25/'Data Constant'!F21-1</f>
        <v>0.0364125554007837</v>
      </c>
      <c r="I25" s="12" t="n">
        <f aca="false">'Data Constant'!G25/'Data Constant'!G21-1</f>
        <v>0.0393438720542589</v>
      </c>
      <c r="J25" s="12" t="n">
        <f aca="false">'Data Constant'!H25/'Data Constant'!H21-1</f>
        <v>-0.0609648737359617</v>
      </c>
      <c r="K25" s="12" t="n">
        <f aca="false">'Data Constant'!K25/'Data Constant'!K21-1</f>
        <v>-0.0932227013020964</v>
      </c>
      <c r="L25" s="12" t="n">
        <f aca="false">'Data Constant'!L25/'Data Constant'!L21-1</f>
        <v>-0.0320199446594027</v>
      </c>
    </row>
    <row r="26" customFormat="false" ht="15" hidden="false" customHeight="false" outlineLevel="0" collapsed="false">
      <c r="B26" s="7" t="s">
        <v>69</v>
      </c>
      <c r="C26" s="8" t="n">
        <v>2009</v>
      </c>
      <c r="D26" s="16" t="n">
        <f aca="false">'Data SA'!L26</f>
        <v>-0.0361715701359845</v>
      </c>
      <c r="E26" s="17" t="n">
        <f aca="false">'Data SA'!M26</f>
        <v>-0.137023578758036</v>
      </c>
      <c r="F26" s="17" t="n">
        <f aca="false">'Data SA'!N26</f>
        <v>-0.0697210045751705</v>
      </c>
      <c r="G26" s="17" t="n">
        <f aca="false">'Data Constant'!P26</f>
        <v>-0.0618875514402444</v>
      </c>
      <c r="H26" s="12" t="n">
        <f aca="false">'Data Constant'!F26/'Data Constant'!F22-1</f>
        <v>-0.0558347732142497</v>
      </c>
      <c r="I26" s="12" t="n">
        <f aca="false">'Data Constant'!G26/'Data Constant'!G22-1</f>
        <v>0.0362139396810117</v>
      </c>
      <c r="J26" s="12" t="n">
        <f aca="false">'Data Constant'!H26/'Data Constant'!H22-1</f>
        <v>-0.270243062363416</v>
      </c>
      <c r="K26" s="12" t="n">
        <f aca="false">'Data Constant'!K26/'Data Constant'!K22-1</f>
        <v>-0.0763170519199417</v>
      </c>
      <c r="L26" s="12" t="n">
        <f aca="false">'Data Constant'!L26/'Data Constant'!L22-1</f>
        <v>-0.214483061462773</v>
      </c>
    </row>
    <row r="27" customFormat="false" ht="15" hidden="false" customHeight="false" outlineLevel="0" collapsed="false">
      <c r="B27" s="7" t="s">
        <v>70</v>
      </c>
      <c r="C27" s="8" t="n">
        <v>2009</v>
      </c>
      <c r="D27" s="16" t="n">
        <f aca="false">'Data SA'!L27</f>
        <v>-0.0228818537377055</v>
      </c>
      <c r="E27" s="17" t="n">
        <f aca="false">'Data SA'!M27</f>
        <v>-0.0884335872862559</v>
      </c>
      <c r="F27" s="17" t="n">
        <f aca="false">'Data SA'!N27</f>
        <v>-0.095469794628431</v>
      </c>
      <c r="G27" s="17" t="n">
        <f aca="false">'Data Constant'!P27</f>
        <v>-0.112745471526209</v>
      </c>
      <c r="H27" s="12" t="n">
        <f aca="false">'Data Constant'!F27/'Data Constant'!F23-1</f>
        <v>-0.126898381803928</v>
      </c>
      <c r="I27" s="12" t="n">
        <f aca="false">'Data Constant'!G27/'Data Constant'!G23-1</f>
        <v>0.0321064642324129</v>
      </c>
      <c r="J27" s="12" t="n">
        <f aca="false">'Data Constant'!H27/'Data Constant'!H23-1</f>
        <v>-0.320480243787714</v>
      </c>
      <c r="K27" s="12" t="n">
        <f aca="false">'Data Constant'!K27/'Data Constant'!K23-1</f>
        <v>0.000555405727152403</v>
      </c>
      <c r="L27" s="12" t="n">
        <f aca="false">'Data Constant'!L27/'Data Constant'!L23-1</f>
        <v>-0.287765683107152</v>
      </c>
    </row>
    <row r="28" customFormat="false" ht="15" hidden="false" customHeight="false" outlineLevel="0" collapsed="false">
      <c r="B28" s="7" t="s">
        <v>71</v>
      </c>
      <c r="C28" s="8" t="n">
        <v>2009</v>
      </c>
      <c r="D28" s="16" t="n">
        <f aca="false">'Data SA'!L28</f>
        <v>0.0391491363133938</v>
      </c>
      <c r="E28" s="17" t="n">
        <f aca="false">'Data SA'!M28</f>
        <v>0.166034831987394</v>
      </c>
      <c r="F28" s="17" t="n">
        <f aca="false">'Data SA'!N28</f>
        <v>-0.0667258318327393</v>
      </c>
      <c r="G28" s="17" t="n">
        <f aca="false">'Data Constant'!P28</f>
        <v>-0.0565117996405296</v>
      </c>
      <c r="H28" s="12" t="n">
        <f aca="false">'Data Constant'!F28/'Data Constant'!F24-1</f>
        <v>-0.0140948073566414</v>
      </c>
      <c r="I28" s="12" t="n">
        <f aca="false">'Data Constant'!G28/'Data Constant'!G24-1</f>
        <v>0.0676241164648987</v>
      </c>
      <c r="J28" s="12" t="n">
        <f aca="false">'Data Constant'!H28/'Data Constant'!H24-1</f>
        <v>-0.214785762814458</v>
      </c>
      <c r="K28" s="12" t="n">
        <f aca="false">'Data Constant'!K28/'Data Constant'!K24-1</f>
        <v>-0.222171470854867</v>
      </c>
      <c r="L28" s="12" t="n">
        <f aca="false">'Data Constant'!L28/'Data Constant'!L24-1</f>
        <v>-0.195503580761049</v>
      </c>
    </row>
    <row r="29" customFormat="false" ht="15" hidden="false" customHeight="false" outlineLevel="0" collapsed="false">
      <c r="B29" s="7" t="s">
        <v>72</v>
      </c>
      <c r="C29" s="8" t="n">
        <v>2009</v>
      </c>
      <c r="D29" s="16" t="n">
        <f aca="false">'Data SA'!L29</f>
        <v>0.0191819324140028</v>
      </c>
      <c r="E29" s="17" t="n">
        <f aca="false">'Data SA'!M29</f>
        <v>0.0789637759294419</v>
      </c>
      <c r="F29" s="17" t="n">
        <f aca="false">'Data SA'!N29</f>
        <v>-0.00258382176506777</v>
      </c>
      <c r="G29" s="17" t="n">
        <f aca="false">'Data Constant'!P29</f>
        <v>0.00281998226127467</v>
      </c>
      <c r="H29" s="12" t="n">
        <f aca="false">'Data Constant'!F29/'Data Constant'!F25-1</f>
        <v>-0.00567454226163611</v>
      </c>
      <c r="I29" s="12" t="n">
        <f aca="false">'Data Constant'!G29/'Data Constant'!G25-1</f>
        <v>0.0848970531667024</v>
      </c>
      <c r="J29" s="12" t="n">
        <f aca="false">'Data Constant'!H29/'Data Constant'!H25-1</f>
        <v>-0.0726245744913682</v>
      </c>
      <c r="K29" s="12" t="n">
        <f aca="false">'Data Constant'!K29/'Data Constant'!K25-1</f>
        <v>-0.0556216290025218</v>
      </c>
      <c r="L29" s="12" t="n">
        <f aca="false">'Data Constant'!L29/'Data Constant'!L25-1</f>
        <v>-0.0241660595868404</v>
      </c>
    </row>
    <row r="30" customFormat="false" ht="15" hidden="false" customHeight="false" outlineLevel="0" collapsed="false">
      <c r="B30" s="7" t="s">
        <v>73</v>
      </c>
      <c r="C30" s="8" t="n">
        <v>2010</v>
      </c>
      <c r="D30" s="16" t="n">
        <f aca="false">'Data SA'!L30</f>
        <v>0.0305010071453387</v>
      </c>
      <c r="E30" s="17" t="n">
        <f aca="false">'Data SA'!M30</f>
        <v>0.127700264425139</v>
      </c>
      <c r="F30" s="17" t="n">
        <f aca="false">'Data SA'!N30</f>
        <v>0.066412179146</v>
      </c>
      <c r="G30" s="17" t="n">
        <f aca="false">'Data Constant'!P30</f>
        <v>0.0571326910752132</v>
      </c>
      <c r="H30" s="12" t="n">
        <f aca="false">'Data Constant'!F30/'Data Constant'!F26-1</f>
        <v>0.070720275169591</v>
      </c>
      <c r="I30" s="12" t="n">
        <f aca="false">'Data Constant'!G30/'Data Constant'!G26-1</f>
        <v>0.0718411284006677</v>
      </c>
      <c r="J30" s="12" t="n">
        <f aca="false">'Data Constant'!H30/'Data Constant'!H26-1</f>
        <v>0.139112098560746</v>
      </c>
      <c r="K30" s="12" t="n">
        <f aca="false">'Data Constant'!K30/'Data Constant'!K26-1</f>
        <v>-0.0222229705507866</v>
      </c>
      <c r="L30" s="12" t="n">
        <f aca="false">'Data Constant'!L30/'Data Constant'!L26-1</f>
        <v>0.203953062164033</v>
      </c>
    </row>
    <row r="31" customFormat="false" ht="15" hidden="false" customHeight="false" outlineLevel="0" collapsed="false">
      <c r="B31" s="7" t="s">
        <v>74</v>
      </c>
      <c r="C31" s="8" t="n">
        <v>2010</v>
      </c>
      <c r="D31" s="16" t="n">
        <f aca="false">'Data SA'!L31</f>
        <v>0.0446616153018369</v>
      </c>
      <c r="E31" s="17" t="n">
        <f aca="false">'Data SA'!M31</f>
        <v>0.190974738092724</v>
      </c>
      <c r="F31" s="17" t="n">
        <f aca="false">'Data SA'!N31</f>
        <v>0.140128114400162</v>
      </c>
      <c r="G31" s="17" t="n">
        <f aca="false">'Data Constant'!P31</f>
        <v>0.162441995090574</v>
      </c>
      <c r="H31" s="12" t="n">
        <f aca="false">'Data Constant'!F31/'Data Constant'!F27-1</f>
        <v>0.14939701583192</v>
      </c>
      <c r="I31" s="12" t="n">
        <f aca="false">'Data Constant'!G31/'Data Constant'!G27-1</f>
        <v>0.0815053273575694</v>
      </c>
      <c r="J31" s="12" t="n">
        <f aca="false">'Data Constant'!H31/'Data Constant'!H27-1</f>
        <v>0.302071347784742</v>
      </c>
      <c r="K31" s="12" t="n">
        <f aca="false">'Data Constant'!K31/'Data Constant'!K27-1</f>
        <v>0.187571142437141</v>
      </c>
      <c r="L31" s="12" t="n">
        <f aca="false">'Data Constant'!L31/'Data Constant'!L27-1</f>
        <v>0.444293324118821</v>
      </c>
    </row>
    <row r="32" customFormat="false" ht="15" hidden="false" customHeight="false" outlineLevel="0" collapsed="false">
      <c r="B32" s="7" t="s">
        <v>75</v>
      </c>
      <c r="C32" s="8" t="n">
        <v>2010</v>
      </c>
      <c r="D32" s="16" t="n">
        <f aca="false">'Data SA'!L32</f>
        <v>0.00518308589685934</v>
      </c>
      <c r="E32" s="17" t="n">
        <f aca="false">'Data SA'!M32</f>
        <v>0.0208940875471619</v>
      </c>
      <c r="F32" s="17" t="n">
        <f aca="false">'Data SA'!N32</f>
        <v>0.102861424122757</v>
      </c>
      <c r="G32" s="17" t="n">
        <f aca="false">'Data Constant'!P32</f>
        <v>0.0950774236722809</v>
      </c>
      <c r="H32" s="12" t="n">
        <f aca="false">'Data Constant'!F32/'Data Constant'!F28-1</f>
        <v>0.089337971625135</v>
      </c>
      <c r="I32" s="12" t="n">
        <f aca="false">'Data Constant'!G32/'Data Constant'!G28-1</f>
        <v>0.0266422215948947</v>
      </c>
      <c r="J32" s="12" t="n">
        <f aca="false">'Data Constant'!H32/'Data Constant'!H28-1</f>
        <v>0.285978399794305</v>
      </c>
      <c r="K32" s="12" t="n">
        <f aca="false">'Data Constant'!K32/'Data Constant'!K28-1</f>
        <v>0.276728955751846</v>
      </c>
      <c r="L32" s="12" t="n">
        <f aca="false">'Data Constant'!L32/'Data Constant'!L28-1</f>
        <v>0.396072373703671</v>
      </c>
    </row>
    <row r="33" customFormat="false" ht="15" hidden="false" customHeight="false" outlineLevel="0" collapsed="false">
      <c r="B33" s="7" t="s">
        <v>76</v>
      </c>
      <c r="C33" s="8" t="n">
        <v>2010</v>
      </c>
      <c r="D33" s="16" t="n">
        <f aca="false">'Data SA'!L33</f>
        <v>0.0134323808818071</v>
      </c>
      <c r="E33" s="17" t="n">
        <f aca="false">'Data SA'!M33</f>
        <v>0.0548218235751958</v>
      </c>
      <c r="F33" s="17" t="n">
        <f aca="false">'Data SA'!N33</f>
        <v>0.0966398081490068</v>
      </c>
      <c r="G33" s="17" t="n">
        <f aca="false">'Data Constant'!P33</f>
        <v>0.0860979311042298</v>
      </c>
      <c r="H33" s="12" t="n">
        <f aca="false">'Data Constant'!F33/'Data Constant'!F29-1</f>
        <v>0.138226703593689</v>
      </c>
      <c r="I33" s="12" t="n">
        <f aca="false">'Data Constant'!G33/'Data Constant'!G29-1</f>
        <v>0.0424649382125912</v>
      </c>
      <c r="J33" s="12" t="n">
        <f aca="false">'Data Constant'!H33/'Data Constant'!H29-1</f>
        <v>0.310464391504665</v>
      </c>
      <c r="K33" s="12" t="n">
        <f aca="false">'Data Constant'!K33/'Data Constant'!K29-1</f>
        <v>0.104507549448277</v>
      </c>
      <c r="L33" s="12" t="n">
        <f aca="false">'Data Constant'!L33/'Data Constant'!L29-1</f>
        <v>0.360115816393912</v>
      </c>
    </row>
    <row r="34" customFormat="false" ht="15" hidden="false" customHeight="false" outlineLevel="0" collapsed="false">
      <c r="B34" s="7" t="s">
        <v>77</v>
      </c>
      <c r="C34" s="8" t="n">
        <v>2011</v>
      </c>
      <c r="D34" s="16" t="n">
        <f aca="false">'Data SA'!L34</f>
        <v>0.023929618933543</v>
      </c>
      <c r="E34" s="17" t="n">
        <f aca="false">'Data SA'!M34</f>
        <v>0.0992093745605742</v>
      </c>
      <c r="F34" s="17" t="n">
        <f aca="false">'Data SA'!N34</f>
        <v>0.0896466602938488</v>
      </c>
      <c r="G34" s="17" t="n">
        <f aca="false">'Data Constant'!P34</f>
        <v>0.0829261625044686</v>
      </c>
      <c r="H34" s="12" t="n">
        <f aca="false">'Data Constant'!F34/'Data Constant'!F30-1</f>
        <v>0.10251812041317</v>
      </c>
      <c r="I34" s="12" t="n">
        <f aca="false">'Data Constant'!G34/'Data Constant'!G30-1</f>
        <v>0.0495487877068235</v>
      </c>
      <c r="J34" s="12" t="n">
        <f aca="false">'Data Constant'!H34/'Data Constant'!H30-1</f>
        <v>0.28292836429676</v>
      </c>
      <c r="K34" s="12" t="n">
        <f aca="false">'Data Constant'!K34/'Data Constant'!K30-1</f>
        <v>0.107820460273759</v>
      </c>
      <c r="L34" s="12" t="n">
        <f aca="false">'Data Constant'!L34/'Data Constant'!L30-1</f>
        <v>0.309619025040848</v>
      </c>
    </row>
    <row r="35" customFormat="false" ht="15" hidden="false" customHeight="false" outlineLevel="0" collapsed="false">
      <c r="B35" s="7" t="s">
        <v>78</v>
      </c>
      <c r="C35" s="8" t="n">
        <v>2011</v>
      </c>
      <c r="D35" s="16" t="n">
        <f aca="false">'Data SA'!L35</f>
        <v>0.0100138887222521</v>
      </c>
      <c r="E35" s="17" t="n">
        <f aca="false">'Data SA'!M35</f>
        <v>0.0406612494383538</v>
      </c>
      <c r="F35" s="17" t="n">
        <f aca="false">'Data SA'!N35</f>
        <v>0.0535069390662142</v>
      </c>
      <c r="G35" s="17" t="n">
        <f aca="false">'Data Constant'!P35</f>
        <v>0.0444334376577356</v>
      </c>
      <c r="H35" s="12" t="n">
        <f aca="false">'Data Constant'!F35/'Data Constant'!F31-1</f>
        <v>0.0711557498895057</v>
      </c>
      <c r="I35" s="12" t="n">
        <f aca="false">'Data Constant'!G35/'Data Constant'!G31-1</f>
        <v>0.0472216331635269</v>
      </c>
      <c r="J35" s="12" t="n">
        <f aca="false">'Data Constant'!H35/'Data Constant'!H31-1</f>
        <v>0.180962198657602</v>
      </c>
      <c r="K35" s="12" t="n">
        <f aca="false">'Data Constant'!K35/'Data Constant'!K31-1</f>
        <v>-0.0262726049671902</v>
      </c>
      <c r="L35" s="12" t="n">
        <f aca="false">'Data Constant'!L35/'Data Constant'!L31-1</f>
        <v>0.22857818333276</v>
      </c>
    </row>
    <row r="36" customFormat="false" ht="15" hidden="false" customHeight="false" outlineLevel="0" collapsed="false">
      <c r="B36" s="7" t="s">
        <v>79</v>
      </c>
      <c r="C36" s="8" t="n">
        <v>2011</v>
      </c>
      <c r="D36" s="16" t="n">
        <f aca="false">'Data SA'!L36</f>
        <v>0.00789065364988772</v>
      </c>
      <c r="E36" s="17" t="n">
        <f aca="false">'Data SA'!M36</f>
        <v>0.0319381581309035</v>
      </c>
      <c r="F36" s="17" t="n">
        <f aca="false">'Data SA'!N36</f>
        <v>0.0563446722670891</v>
      </c>
      <c r="G36" s="17" t="n">
        <f aca="false">'Data Constant'!P36</f>
        <v>0.0640936718081673</v>
      </c>
      <c r="H36" s="12" t="n">
        <f aca="false">'Data Constant'!F36/'Data Constant'!F32-1</f>
        <v>0.11532749866831</v>
      </c>
      <c r="I36" s="12" t="n">
        <f aca="false">'Data Constant'!G36/'Data Constant'!G32-1</f>
        <v>0.0721094319964828</v>
      </c>
      <c r="J36" s="12" t="n">
        <f aca="false">'Data Constant'!H36/'Data Constant'!H32-1</f>
        <v>0.177160143707177</v>
      </c>
      <c r="K36" s="12" t="n">
        <f aca="false">'Data Constant'!K36/'Data Constant'!K32-1</f>
        <v>0.028514393576871</v>
      </c>
      <c r="L36" s="12" t="n">
        <f aca="false">'Data Constant'!L36/'Data Constant'!L32-1</f>
        <v>0.235333767034747</v>
      </c>
    </row>
    <row r="37" customFormat="false" ht="15" hidden="false" customHeight="false" outlineLevel="0" collapsed="false">
      <c r="B37" s="7" t="s">
        <v>80</v>
      </c>
      <c r="C37" s="8" t="n">
        <v>2011</v>
      </c>
      <c r="D37" s="16" t="n">
        <f aca="false">'Data SA'!L37</f>
        <v>-6.41801287447619E-005</v>
      </c>
      <c r="E37" s="17" t="n">
        <f aca="false">'Data SA'!M37</f>
        <v>-0.000256695801502893</v>
      </c>
      <c r="F37" s="17" t="n">
        <f aca="false">'Data SA'!N37</f>
        <v>0.0422766193941202</v>
      </c>
      <c r="G37" s="17" t="n">
        <f aca="false">'Data Constant'!P37</f>
        <v>0.0521713189216535</v>
      </c>
      <c r="H37" s="12" t="n">
        <f aca="false">'Data Constant'!F37/'Data Constant'!F33-1</f>
        <v>0.0875116457551848</v>
      </c>
      <c r="I37" s="12" t="n">
        <f aca="false">'Data Constant'!G37/'Data Constant'!G33-1</f>
        <v>0.0175331192015726</v>
      </c>
      <c r="J37" s="12" t="n">
        <f aca="false">'Data Constant'!H37/'Data Constant'!H33-1</f>
        <v>0.0820347746414225</v>
      </c>
      <c r="K37" s="12" t="n">
        <f aca="false">'Data Constant'!K37/'Data Constant'!K33-1</f>
        <v>0.0796466681084056</v>
      </c>
      <c r="L37" s="12" t="n">
        <f aca="false">'Data Constant'!L37/'Data Constant'!L33-1</f>
        <v>0.131737685851882</v>
      </c>
    </row>
    <row r="38" customFormat="false" ht="15" hidden="false" customHeight="false" outlineLevel="0" collapsed="false">
      <c r="B38" s="7" t="s">
        <v>81</v>
      </c>
      <c r="C38" s="8" t="n">
        <v>2012</v>
      </c>
      <c r="D38" s="16" t="n">
        <f aca="false">'Data SA'!L38</f>
        <v>-0.0102311013046538</v>
      </c>
      <c r="E38" s="17" t="n">
        <f aca="false">'Data SA'!M38</f>
        <v>-0.0403006254381056</v>
      </c>
      <c r="F38" s="17" t="n">
        <f aca="false">'Data SA'!N38</f>
        <v>0.00750379971241255</v>
      </c>
      <c r="G38" s="17" t="n">
        <f aca="false">'Data Constant'!P38</f>
        <v>0.0156424693190642</v>
      </c>
      <c r="H38" s="12" t="n">
        <f aca="false">'Data Constant'!F38/'Data Constant'!F34-1</f>
        <v>0.0207363922157759</v>
      </c>
      <c r="I38" s="12" t="n">
        <f aca="false">'Data Constant'!G38/'Data Constant'!G34-1</f>
        <v>0.0405011771609432</v>
      </c>
      <c r="J38" s="12" t="n">
        <f aca="false">'Data Constant'!H38/'Data Constant'!H34-1</f>
        <v>-0.0378278294736856</v>
      </c>
      <c r="K38" s="12" t="n">
        <f aca="false">'Data Constant'!K38/'Data Constant'!K34-1</f>
        <v>0.0557172407307158</v>
      </c>
      <c r="L38" s="12" t="n">
        <f aca="false">'Data Constant'!L38/'Data Constant'!L34-1</f>
        <v>0.0249483625859475</v>
      </c>
    </row>
    <row r="39" customFormat="false" ht="15" hidden="false" customHeight="false" outlineLevel="0" collapsed="false">
      <c r="B39" s="7" t="s">
        <v>82</v>
      </c>
      <c r="C39" s="8" t="n">
        <v>2012</v>
      </c>
      <c r="D39" s="16" t="n">
        <f aca="false">'Data SA'!L39</f>
        <v>-0.0339028214712874</v>
      </c>
      <c r="E39" s="17" t="n">
        <f aca="false">'Data SA'!M39</f>
        <v>-0.128869428728304</v>
      </c>
      <c r="F39" s="17" t="n">
        <f aca="false">'Data SA'!N39</f>
        <v>-0.0363037685645298</v>
      </c>
      <c r="G39" s="17" t="n">
        <f aca="false">'Data Constant'!P39</f>
        <v>-0.0463175722342237</v>
      </c>
      <c r="H39" s="12" t="n">
        <f aca="false">'Data Constant'!F39/'Data Constant'!F35-1</f>
        <v>-0.0104285226888204</v>
      </c>
      <c r="I39" s="12" t="n">
        <f aca="false">'Data Constant'!G39/'Data Constant'!G35-1</f>
        <v>0.020086779079276</v>
      </c>
      <c r="J39" s="12" t="n">
        <f aca="false">'Data Constant'!H39/'Data Constant'!H35-1</f>
        <v>-0.124776612395785</v>
      </c>
      <c r="K39" s="12" t="n">
        <f aca="false">'Data Constant'!K39/'Data Constant'!K35-1</f>
        <v>-0.0893630013601793</v>
      </c>
      <c r="L39" s="12" t="n">
        <f aca="false">'Data Constant'!L39/'Data Constant'!L35-1</f>
        <v>-0.0917199979430541</v>
      </c>
    </row>
    <row r="40" customFormat="false" ht="15" hidden="false" customHeight="false" outlineLevel="0" collapsed="false">
      <c r="B40" s="7" t="s">
        <v>83</v>
      </c>
      <c r="C40" s="8" t="n">
        <v>2012</v>
      </c>
      <c r="D40" s="16" t="n">
        <f aca="false">'Data SA'!L40</f>
        <v>0.0308845330103833</v>
      </c>
      <c r="E40" s="17" t="n">
        <f aca="false">'Data SA'!M40</f>
        <v>0.129380005543581</v>
      </c>
      <c r="F40" s="17" t="n">
        <f aca="false">'Data SA'!N40</f>
        <v>-0.0143181347008301</v>
      </c>
      <c r="G40" s="17" t="n">
        <f aca="false">'Data Constant'!P40</f>
        <v>-0.0111829419552486</v>
      </c>
      <c r="H40" s="12" t="n">
        <f aca="false">'Data Constant'!F40/'Data Constant'!F36-1</f>
        <v>0.0160351226355842</v>
      </c>
      <c r="I40" s="12" t="n">
        <f aca="false">'Data Constant'!G40/'Data Constant'!G36-1</f>
        <v>0.0270767524729505</v>
      </c>
      <c r="J40" s="12" t="n">
        <f aca="false">'Data Constant'!H40/'Data Constant'!H36-1</f>
        <v>-0.0871403452388518</v>
      </c>
      <c r="K40" s="12" t="n">
        <f aca="false">'Data Constant'!K40/'Data Constant'!K36-1</f>
        <v>-0.0505094574165187</v>
      </c>
      <c r="L40" s="12" t="n">
        <f aca="false">'Data Constant'!L40/'Data Constant'!L36-1</f>
        <v>-0.0848783231170075</v>
      </c>
    </row>
    <row r="41" customFormat="false" ht="15" hidden="false" customHeight="false" outlineLevel="0" collapsed="false">
      <c r="B41" s="7" t="s">
        <v>84</v>
      </c>
      <c r="C41" s="8" t="n">
        <v>2012</v>
      </c>
      <c r="D41" s="16" t="n">
        <f aca="false">'Data SA'!L41</f>
        <v>0.0166645298946246</v>
      </c>
      <c r="E41" s="17" t="n">
        <f aca="false">'Data SA'!M41</f>
        <v>0.0683429474359414</v>
      </c>
      <c r="F41" s="17" t="n">
        <f aca="false">'Data SA'!N41</f>
        <v>0.0021721097450651</v>
      </c>
      <c r="G41" s="17" t="n">
        <f aca="false">'Data Constant'!P41</f>
        <v>0.00555804016441552</v>
      </c>
      <c r="H41" s="12" t="n">
        <f aca="false">'Data Constant'!F41/'Data Constant'!F37-1</f>
        <v>0.0193742690822958</v>
      </c>
      <c r="I41" s="12" t="n">
        <f aca="false">'Data Constant'!G41/'Data Constant'!G37-1</f>
        <v>0.0333490757622068</v>
      </c>
      <c r="J41" s="12" t="n">
        <f aca="false">'Data Constant'!H41/'Data Constant'!H37-1</f>
        <v>-0.0298999757686581</v>
      </c>
      <c r="K41" s="12" t="n">
        <f aca="false">'Data Constant'!K41/'Data Constant'!K37-1</f>
        <v>-0.0624282418140315</v>
      </c>
      <c r="L41" s="12" t="n">
        <f aca="false">'Data Constant'!L41/'Data Constant'!L37-1</f>
        <v>-0.0279580001800184</v>
      </c>
    </row>
    <row r="42" customFormat="false" ht="15" hidden="false" customHeight="false" outlineLevel="0" collapsed="false">
      <c r="B42" s="7" t="s">
        <v>85</v>
      </c>
      <c r="C42" s="8" t="n">
        <v>2013</v>
      </c>
      <c r="D42" s="16" t="n">
        <f aca="false">'Data SA'!L42</f>
        <v>0.000137535248975418</v>
      </c>
      <c r="E42" s="17" t="n">
        <f aca="false">'Data SA'!M42</f>
        <v>0.000550254501976655</v>
      </c>
      <c r="F42" s="17" t="n">
        <f aca="false">'Data SA'!N42</f>
        <v>0.0126706800515553</v>
      </c>
      <c r="G42" s="17" t="n">
        <f aca="false">'Data Constant'!P42</f>
        <v>0.00654025144614989</v>
      </c>
      <c r="H42" s="12" t="n">
        <f aca="false">'Data Constant'!F42/'Data Constant'!F38-1</f>
        <v>0.0250512803350706</v>
      </c>
      <c r="I42" s="12" t="n">
        <f aca="false">'Data Constant'!G42/'Data Constant'!G38-1</f>
        <v>0.0505759604286038</v>
      </c>
      <c r="J42" s="12" t="n">
        <f aca="false">'Data Constant'!H42/'Data Constant'!H38-1</f>
        <v>-0.00753567279891254</v>
      </c>
      <c r="K42" s="12" t="n">
        <f aca="false">'Data Constant'!K42/'Data Constant'!K38-1</f>
        <v>-0.0973876456559141</v>
      </c>
      <c r="L42" s="12" t="n">
        <f aca="false">'Data Constant'!L42/'Data Constant'!L38-1</f>
        <v>0.00363132381873288</v>
      </c>
    </row>
    <row r="43" customFormat="false" ht="15" hidden="false" customHeight="false" outlineLevel="0" collapsed="false">
      <c r="B43" s="7" t="s">
        <v>86</v>
      </c>
      <c r="C43" s="8" t="n">
        <v>2013</v>
      </c>
      <c r="D43" s="16" t="n">
        <f aca="false">'Data SA'!L43</f>
        <v>0.00604139866739795</v>
      </c>
      <c r="E43" s="17" t="n">
        <f aca="false">'Data SA'!M43</f>
        <v>0.024385468996788</v>
      </c>
      <c r="F43" s="17" t="n">
        <f aca="false">'Data SA'!N43</f>
        <v>0.054540526554548</v>
      </c>
      <c r="G43" s="17" t="n">
        <f aca="false">'Data Constant'!P43</f>
        <v>0.0624602349363816</v>
      </c>
      <c r="H43" s="12" t="n">
        <f aca="false">'Data Constant'!F43/'Data Constant'!F39-1</f>
        <v>0.0530370254727521</v>
      </c>
      <c r="I43" s="12" t="n">
        <f aca="false">'Data Constant'!G43/'Data Constant'!G39-1</f>
        <v>0.0557615731887924</v>
      </c>
      <c r="J43" s="12" t="n">
        <f aca="false">'Data Constant'!H43/'Data Constant'!H39-1</f>
        <v>0.119489569512523</v>
      </c>
      <c r="K43" s="12" t="n">
        <f aca="false">'Data Constant'!K43/'Data Constant'!K39-1</f>
        <v>0.0836742157956836</v>
      </c>
      <c r="L43" s="12" t="n">
        <f aca="false">'Data Constant'!L43/'Data Constant'!L39-1</f>
        <v>0.129522304097309</v>
      </c>
    </row>
    <row r="44" customFormat="false" ht="15" hidden="false" customHeight="false" outlineLevel="0" collapsed="false">
      <c r="B44" s="7" t="s">
        <v>87</v>
      </c>
      <c r="C44" s="8" t="n">
        <v>2013</v>
      </c>
      <c r="D44" s="16" t="n">
        <f aca="false">'Data SA'!L44</f>
        <v>0.00546037028895063</v>
      </c>
      <c r="E44" s="17" t="n">
        <f aca="false">'Data SA'!M44</f>
        <v>0.0220210271247496</v>
      </c>
      <c r="F44" s="17" t="n">
        <f aca="false">'Data SA'!N44</f>
        <v>0.0285329485136057</v>
      </c>
      <c r="G44" s="17" t="n">
        <f aca="false">'Data Constant'!P44</f>
        <v>0.0255838987402566</v>
      </c>
      <c r="H44" s="12" t="n">
        <f aca="false">'Data Constant'!F44/'Data Constant'!F40-1</f>
        <v>0.040170971680342</v>
      </c>
      <c r="I44" s="12" t="n">
        <f aca="false">'Data Constant'!G44/'Data Constant'!G40-1</f>
        <v>0.0471845405713982</v>
      </c>
      <c r="J44" s="12" t="n">
        <f aca="false">'Data Constant'!H44/'Data Constant'!H40-1</f>
        <v>0.0166829786793585</v>
      </c>
      <c r="K44" s="12" t="n">
        <f aca="false">'Data Constant'!K44/'Data Constant'!K40-1</f>
        <v>-0.0266751289433358</v>
      </c>
      <c r="L44" s="12" t="n">
        <f aca="false">'Data Constant'!L44/'Data Constant'!L40-1</f>
        <v>0.0443437810922969</v>
      </c>
    </row>
    <row r="45" customFormat="false" ht="15" hidden="false" customHeight="false" outlineLevel="0" collapsed="false">
      <c r="B45" s="7" t="s">
        <v>88</v>
      </c>
      <c r="C45" s="8" t="n">
        <v>2013</v>
      </c>
      <c r="D45" s="16" t="n">
        <f aca="false">'Data SA'!L45</f>
        <v>-0.0097604523003112</v>
      </c>
      <c r="E45" s="17" t="n">
        <f aca="false">'Data SA'!M45</f>
        <v>-0.0384739209246608</v>
      </c>
      <c r="F45" s="17" t="n">
        <f aca="false">'Data SA'!N45</f>
        <v>0.00179948427619991</v>
      </c>
      <c r="G45" s="17" t="n">
        <f aca="false">'Data Constant'!P45</f>
        <v>-0.000510205754616022</v>
      </c>
      <c r="H45" s="12" t="n">
        <f aca="false">'Data Constant'!F45/'Data Constant'!F41-1</f>
        <v>0.0264972571392881</v>
      </c>
      <c r="I45" s="12" t="n">
        <f aca="false">'Data Constant'!G45/'Data Constant'!G41-1</f>
        <v>0.0587910865622929</v>
      </c>
      <c r="J45" s="12" t="n">
        <f aca="false">'Data Constant'!H45/'Data Constant'!H41-1</f>
        <v>-0.0276372729977232</v>
      </c>
      <c r="K45" s="12" t="n">
        <f aca="false">'Data Constant'!K45/'Data Constant'!K41-1</f>
        <v>-0.105609842341171</v>
      </c>
      <c r="L45" s="12" t="n">
        <f aca="false">'Data Constant'!L45/'Data Constant'!L41-1</f>
        <v>-0.0138931247074436</v>
      </c>
    </row>
    <row r="46" customFormat="false" ht="15" hidden="false" customHeight="false" outlineLevel="0" collapsed="false">
      <c r="B46" s="7" t="s">
        <v>89</v>
      </c>
      <c r="C46" s="8" t="n">
        <v>2014</v>
      </c>
      <c r="D46" s="16" t="n">
        <f aca="false">'Data SA'!L46</f>
        <v>-0.0146844597460585</v>
      </c>
      <c r="E46" s="17" t="n">
        <f aca="false">'Data SA'!M46</f>
        <v>-0.057456658175751</v>
      </c>
      <c r="F46" s="17" t="n">
        <f aca="false">'Data SA'!N46</f>
        <v>-0.0130471407315027</v>
      </c>
      <c r="G46" s="17" t="n">
        <f aca="false">'Data Constant'!P46</f>
        <v>-0.00889028383967849</v>
      </c>
      <c r="H46" s="12" t="n">
        <f aca="false">'Data Constant'!F46/'Data Constant'!F42-1</f>
        <v>0.0214815617874022</v>
      </c>
      <c r="I46" s="12" t="n">
        <f aca="false">'Data Constant'!G46/'Data Constant'!G42-1</f>
        <v>0.0558215257306969</v>
      </c>
      <c r="J46" s="12" t="n">
        <f aca="false">'Data Constant'!H46/'Data Constant'!H42-1</f>
        <v>-0.0142757723156326</v>
      </c>
      <c r="K46" s="12" t="n">
        <f aca="false">'Data Constant'!K46/'Data Constant'!K42-1</f>
        <v>-0.096027310142356</v>
      </c>
      <c r="L46" s="12" t="n">
        <f aca="false">'Data Constant'!L46/'Data Constant'!L42-1</f>
        <v>-0.0139280723771005</v>
      </c>
    </row>
    <row r="47" customFormat="false" ht="15" hidden="false" customHeight="false" outlineLevel="0" collapsed="false">
      <c r="B47" s="7" t="s">
        <v>90</v>
      </c>
      <c r="C47" s="8" t="n">
        <v>2014</v>
      </c>
      <c r="D47" s="16" t="n">
        <f aca="false">'Data SA'!L47</f>
        <v>-0.00609963659612622</v>
      </c>
      <c r="E47" s="17" t="n">
        <f aca="false">'Data SA'!M47</f>
        <v>-0.0241762193623645</v>
      </c>
      <c r="F47" s="17" t="n">
        <f aca="false">'Data SA'!N47</f>
        <v>-0.0249578130792679</v>
      </c>
      <c r="G47" s="17" t="n">
        <f aca="false">'Data Constant'!P47</f>
        <v>-0.0204893869308982</v>
      </c>
      <c r="H47" s="12" t="n">
        <f aca="false">'Data Constant'!F47/'Data Constant'!F43-1</f>
        <v>-0.030416281498644</v>
      </c>
      <c r="I47" s="12" t="n">
        <f aca="false">'Data Constant'!G47/'Data Constant'!G43-1</f>
        <v>0.0205685238995257</v>
      </c>
      <c r="J47" s="12" t="n">
        <f aca="false">'Data Constant'!H47/'Data Constant'!H43-1</f>
        <v>-0.062446084846926</v>
      </c>
      <c r="K47" s="12" t="n">
        <f aca="false">'Data Constant'!K47/'Data Constant'!K43-1</f>
        <v>-0.0950176587866627</v>
      </c>
      <c r="L47" s="12" t="n">
        <f aca="false">'Data Constant'!L47/'Data Constant'!L43-1</f>
        <v>-0.110659683603584</v>
      </c>
    </row>
    <row r="48" customFormat="false" ht="15" hidden="false" customHeight="false" outlineLevel="0" collapsed="false">
      <c r="B48" s="7" t="s">
        <v>91</v>
      </c>
      <c r="C48" s="8" t="n">
        <v>2014</v>
      </c>
      <c r="D48" s="16" t="n">
        <f aca="false">'Data SA'!L48</f>
        <v>-0.00861993130389527</v>
      </c>
      <c r="E48" s="17" t="n">
        <f aca="false">'Data SA'!M48</f>
        <v>-0.0340364623549694</v>
      </c>
      <c r="F48" s="17" t="n">
        <f aca="false">'Data SA'!N48</f>
        <v>-0.0386121434370588</v>
      </c>
      <c r="G48" s="17" t="n">
        <f aca="false">'Data Constant'!P48</f>
        <v>-0.0423851505475772</v>
      </c>
      <c r="H48" s="12" t="n">
        <f aca="false">'Data Constant'!F48/'Data Constant'!F44-1</f>
        <v>-0.0887671205621873</v>
      </c>
      <c r="I48" s="12" t="n">
        <f aca="false">'Data Constant'!G48/'Data Constant'!G44-1</f>
        <v>0.0303124105619608</v>
      </c>
      <c r="J48" s="12" t="n">
        <f aca="false">'Data Constant'!H48/'Data Constant'!H44-1</f>
        <v>-0.081549665182629</v>
      </c>
      <c r="K48" s="12" t="n">
        <f aca="false">'Data Constant'!K48/'Data Constant'!K44-1</f>
        <v>-0.0784739926349024</v>
      </c>
      <c r="L48" s="12" t="n">
        <f aca="false">'Data Constant'!L48/'Data Constant'!L44-1</f>
        <v>-0.147088709247784</v>
      </c>
    </row>
    <row r="49" customFormat="false" ht="15" hidden="false" customHeight="false" outlineLevel="0" collapsed="false">
      <c r="B49" s="7" t="s">
        <v>92</v>
      </c>
      <c r="C49" s="8" t="n">
        <v>2014</v>
      </c>
      <c r="D49" s="16" t="n">
        <f aca="false">'Data SA'!L49</f>
        <v>0.00556286602583711</v>
      </c>
      <c r="E49" s="17" t="n">
        <f aca="false">'Data SA'!M49</f>
        <v>0.0224378265137017</v>
      </c>
      <c r="F49" s="17" t="n">
        <f aca="false">'Data SA'!N49</f>
        <v>-0.0237352864227849</v>
      </c>
      <c r="G49" s="17" t="n">
        <f aca="false">'Data Constant'!P49</f>
        <v>-0.0281573013880524</v>
      </c>
      <c r="H49" s="12" t="n">
        <f aca="false">'Data Constant'!F49/'Data Constant'!F45-1</f>
        <v>-0.0743903668639023</v>
      </c>
      <c r="I49" s="12" t="n">
        <f aca="false">'Data Constant'!G49/'Data Constant'!G45-1</f>
        <v>0.0144196020231655</v>
      </c>
      <c r="J49" s="12" t="n">
        <f aca="false">'Data Constant'!H49/'Data Constant'!H45-1</f>
        <v>-0.106352477587412</v>
      </c>
      <c r="K49" s="12" t="n">
        <f aca="false">'Data Constant'!K49/'Data Constant'!K45-1</f>
        <v>-0.00364317798902813</v>
      </c>
      <c r="L49" s="12" t="n">
        <f aca="false">'Data Constant'!L49/'Data Constant'!L45-1</f>
        <v>-0.178048769577274</v>
      </c>
    </row>
    <row r="50" customFormat="false" ht="15" hidden="false" customHeight="false" outlineLevel="0" collapsed="false">
      <c r="B50" s="7" t="s">
        <v>93</v>
      </c>
      <c r="C50" s="8" t="n">
        <v>2015</v>
      </c>
      <c r="D50" s="16" t="n">
        <f aca="false">'Data SA'!L50</f>
        <v>0.014686313520945</v>
      </c>
      <c r="E50" s="17" t="n">
        <f aca="false">'Data SA'!M50</f>
        <v>0.0600520980689199</v>
      </c>
      <c r="F50" s="17" t="n">
        <f aca="false">'Data SA'!N50</f>
        <v>0.00536569532328857</v>
      </c>
      <c r="G50" s="17" t="n">
        <f aca="false">'Data Constant'!P50</f>
        <v>0.00250908947797246</v>
      </c>
      <c r="H50" s="12" t="n">
        <f aca="false">'Data Constant'!F50/'Data Constant'!F46-1</f>
        <v>-0.02</v>
      </c>
      <c r="I50" s="12" t="n">
        <f aca="false">'Data Constant'!G50/'Data Constant'!G46-1</f>
        <v>0.038960746585013</v>
      </c>
      <c r="J50" s="12" t="n">
        <f aca="false">'Data Constant'!H50/'Data Constant'!H46-1</f>
        <v>-0.0196412610424902</v>
      </c>
      <c r="K50" s="12" t="n">
        <f aca="false">'Data Constant'!K50/'Data Constant'!K46-1</f>
        <v>-0.0237548216063493</v>
      </c>
      <c r="L50" s="12" t="n">
        <f aca="false">'Data Constant'!L50/'Data Constant'!L46-1</f>
        <v>-0.0788044438000242</v>
      </c>
    </row>
    <row r="51" customFormat="false" ht="15" hidden="false" customHeight="false" outlineLevel="0" collapsed="false">
      <c r="B51" s="7" t="s">
        <v>94</v>
      </c>
      <c r="C51" s="8" t="n">
        <v>2015</v>
      </c>
      <c r="D51" s="16" t="n">
        <f aca="false">'Data SA'!L51</f>
        <v>0.0230053228932046</v>
      </c>
      <c r="E51" s="17" t="n">
        <f aca="false">'Data SA'!M51</f>
        <v>0.095245742759033</v>
      </c>
      <c r="F51" s="17" t="n">
        <f aca="false">'Data SA'!N51</f>
        <v>0.0348064007619451</v>
      </c>
      <c r="G51" s="17" t="n">
        <f aca="false">'Data Constant'!P51</f>
        <v>0.0403103203233863</v>
      </c>
      <c r="H51" s="12" t="n">
        <f aca="false">'Data Constant'!F51/'Data Constant'!F47-1</f>
        <v>0.079</v>
      </c>
      <c r="I51" s="12" t="n">
        <f aca="false">'Data Constant'!G51/'Data Constant'!G47-1</f>
        <v>0.0943869840578639</v>
      </c>
      <c r="J51" s="12" t="n">
        <f aca="false">'Data Constant'!H51/'Data Constant'!H47-1</f>
        <v>0.0173594241561403</v>
      </c>
      <c r="K51" s="12" t="n">
        <f aca="false">'Data Constant'!K51/'Data Constant'!K47-1</f>
        <v>-0.0202838991010366</v>
      </c>
      <c r="L51" s="12" t="n">
        <f aca="false">'Data Constant'!L51/'Data Constant'!L47-1</f>
        <v>0.0263420283913656</v>
      </c>
    </row>
    <row r="52" customFormat="false" ht="15" hidden="false" customHeight="false" outlineLevel="0" collapsed="false">
      <c r="B52" s="7" t="s">
        <v>95</v>
      </c>
      <c r="C52" s="8" t="n">
        <v>2015</v>
      </c>
      <c r="D52" s="16" t="n">
        <f aca="false">'Data SA'!L52</f>
        <v>-0.000375097172123362</v>
      </c>
      <c r="E52" s="17" t="n">
        <f aca="false">'Data SA'!M52</f>
        <v>-0.00149954471224401</v>
      </c>
      <c r="F52" s="17" t="n">
        <f aca="false">'Data SA'!N52</f>
        <v>0.0434123909388502</v>
      </c>
      <c r="G52" s="17" t="n">
        <f aca="false">'Data Constant'!P52</f>
        <v>0.0396616998607275</v>
      </c>
      <c r="H52" s="12" t="n">
        <f aca="false">'Data Constant'!F52/'Data Constant'!F48-1</f>
        <v>0.0569999999999999</v>
      </c>
      <c r="I52" s="12" t="n">
        <f aca="false">'Data Constant'!G52/'Data Constant'!G48-1</f>
        <v>0.0818999075426181</v>
      </c>
      <c r="J52" s="12" t="n">
        <f aca="false">'Data Constant'!H52/'Data Constant'!H48-1</f>
        <v>0.0622087461958325</v>
      </c>
      <c r="K52" s="12" t="n">
        <f aca="false">'Data Constant'!K52/'Data Constant'!K48-1</f>
        <v>0.00139952780869845</v>
      </c>
      <c r="L52" s="12" t="n">
        <f aca="false">'Data Constant'!L52/'Data Constant'!L48-1</f>
        <v>0.114911088508382</v>
      </c>
    </row>
    <row r="53" customFormat="false" ht="15" hidden="false" customHeight="false" outlineLevel="0" collapsed="false">
      <c r="B53" s="7" t="s">
        <v>96</v>
      </c>
      <c r="C53" s="8" t="n">
        <v>2015</v>
      </c>
      <c r="D53" s="16" t="n">
        <f aca="false">'Data SA'!L53</f>
        <v>-0.0112843037973849</v>
      </c>
      <c r="E53" s="17" t="n">
        <f aca="false">'Data SA'!M53</f>
        <v>-0.0443789334724719</v>
      </c>
      <c r="F53" s="17" t="n">
        <f aca="false">'Data SA'!N53</f>
        <v>0.025931091320782</v>
      </c>
      <c r="G53" s="17" t="n">
        <f aca="false">'Data Constant'!P53</f>
        <v>0.0247270091543546</v>
      </c>
      <c r="H53" s="12" t="n">
        <f aca="false">'Data Constant'!F53/'Data Constant'!F49-1</f>
        <v>0.03</v>
      </c>
      <c r="I53" s="12" t="n">
        <f aca="false">'Data Constant'!G53/'Data Constant'!G49-1</f>
        <v>0.0618832630759485</v>
      </c>
      <c r="J53" s="12" t="n">
        <f aca="false">'Data Constant'!H53/'Data Constant'!H49-1</f>
        <v>0.0777598068562753</v>
      </c>
      <c r="K53" s="12" t="n">
        <f aca="false">'Data Constant'!K53/'Data Constant'!K49-1</f>
        <v>-0.0709391147499575</v>
      </c>
      <c r="L53" s="12" t="n">
        <f aca="false">'Data Constant'!L53/'Data Constant'!L49-1</f>
        <v>0.134683204131372</v>
      </c>
    </row>
    <row r="54" customFormat="false" ht="15" hidden="false" customHeight="false" outlineLevel="0" collapsed="false">
      <c r="B54" s="7" t="s">
        <v>97</v>
      </c>
      <c r="C54" s="8" t="n">
        <v>2016</v>
      </c>
      <c r="D54" s="16" t="n">
        <f aca="false">'Data SA'!L54</f>
        <v>-0.00914042509399737</v>
      </c>
      <c r="E54" s="17" t="n">
        <f aca="false">'Data SA'!M54</f>
        <v>-0.0360634638043744</v>
      </c>
      <c r="F54" s="17" t="n">
        <f aca="false">'Data SA'!N54</f>
        <v>0.00184030422322024</v>
      </c>
      <c r="G54" s="17" t="n">
        <f aca="false">'Data Constant'!P54</f>
        <v>0.00728692545281007</v>
      </c>
      <c r="H54" s="12" t="n">
        <f aca="false">'Data Constant'!F54/'Data Constant'!F50-1</f>
        <v>0.026139687452605</v>
      </c>
      <c r="I54" s="12" t="n">
        <f aca="false">'Data Constant'!G54/'Data Constant'!G50-1</f>
        <v>0.0197419038909921</v>
      </c>
      <c r="J54" s="12" t="n">
        <f aca="false">'Data Constant'!H54/'Data Constant'!H50-1</f>
        <v>-0.0338902579125577</v>
      </c>
      <c r="K54" s="12" t="n">
        <f aca="false">'Data Constant'!K54/'Data Constant'!K50-1</f>
        <v>0.147447114106724</v>
      </c>
      <c r="L54" s="12" t="n">
        <f aca="false">'Data Constant'!L54/'Data Constant'!L50-1</f>
        <v>0.11881822255875</v>
      </c>
    </row>
    <row r="55" customFormat="false" ht="15" hidden="false" customHeight="false" outlineLevel="0" collapsed="false">
      <c r="B55" s="7" t="s">
        <v>98</v>
      </c>
      <c r="C55" s="8" t="n">
        <v>2016</v>
      </c>
      <c r="D55" s="16" t="n">
        <f aca="false">'Data SA'!L55</f>
        <v>-0.0160552680404976</v>
      </c>
      <c r="E55" s="17" t="n">
        <f aca="false">'Data SA'!M55</f>
        <v>-0.0626909302952334</v>
      </c>
      <c r="F55" s="17" t="n">
        <f aca="false">'Data SA'!N55</f>
        <v>-0.0364121597947446</v>
      </c>
      <c r="G55" s="17" t="n">
        <f aca="false">'Data Constant'!P55</f>
        <v>-0.0385885964740134</v>
      </c>
      <c r="H55" s="12" t="n">
        <f aca="false">'Data Constant'!F55/'Data Constant'!F51-1</f>
        <v>-0.018757397501351</v>
      </c>
      <c r="I55" s="12" t="n">
        <f aca="false">'Data Constant'!G55/'Data Constant'!G51-1</f>
        <v>-0.0323151503833545</v>
      </c>
      <c r="J55" s="12" t="n">
        <f aca="false">'Data Constant'!H55/'Data Constant'!H51-1</f>
        <v>-0.0622391840357539</v>
      </c>
      <c r="K55" s="12" t="n">
        <f aca="false">'Data Constant'!K55/'Data Constant'!K51-1</f>
        <v>-0.00890087559725705</v>
      </c>
      <c r="L55" s="12" t="n">
        <f aca="false">'Data Constant'!L55/'Data Constant'!L51-1</f>
        <v>0.0797526907348325</v>
      </c>
    </row>
    <row r="56" customFormat="false" ht="15" hidden="false" customHeight="false" outlineLevel="0" collapsed="false">
      <c r="B56" s="7" t="s">
        <v>99</v>
      </c>
      <c r="C56" s="8" t="n">
        <v>2016</v>
      </c>
      <c r="D56" s="16" t="n">
        <f aca="false">'Data SA'!L56</f>
        <v>0.0036468768803577</v>
      </c>
      <c r="E56" s="17" t="n">
        <f aca="false">'Data SA'!M56</f>
        <v>0.0146674999738299</v>
      </c>
      <c r="F56" s="17" t="n">
        <f aca="false">'Data SA'!N56</f>
        <v>-0.0325351802600931</v>
      </c>
      <c r="G56" s="17" t="n">
        <f aca="false">'Data Constant'!P56</f>
        <v>-0.0332721885187776</v>
      </c>
      <c r="H56" s="12" t="n">
        <f aca="false">'Data Constant'!F56/'Data Constant'!F52-1</f>
        <v>-0.0234907983080513</v>
      </c>
      <c r="I56" s="12" t="n">
        <f aca="false">'Data Constant'!G56/'Data Constant'!G52-1</f>
        <v>-0.012364651766352</v>
      </c>
      <c r="J56" s="12" t="n">
        <f aca="false">'Data Constant'!H56/'Data Constant'!H52-1</f>
        <v>-0.0793425656439473</v>
      </c>
      <c r="K56" s="12" t="n">
        <f aca="false">'Data Constant'!K56/'Data Constant'!K52-1</f>
        <v>-0.00332875019079637</v>
      </c>
      <c r="L56" s="12" t="n">
        <f aca="false">'Data Constant'!L56/'Data Constant'!L52-1</f>
        <v>0.000206422868458622</v>
      </c>
    </row>
    <row r="57" customFormat="false" ht="15" hidden="false" customHeight="false" outlineLevel="0" collapsed="false">
      <c r="B57" s="7" t="s">
        <v>100</v>
      </c>
      <c r="C57" s="8" t="n">
        <v>2016</v>
      </c>
      <c r="D57" s="16" t="n">
        <f aca="false">'Data SA'!L57</f>
        <v>0.00608426118782535</v>
      </c>
      <c r="E57" s="17" t="n">
        <f aca="false">'Data SA'!M57</f>
        <v>0.0245600564412836</v>
      </c>
      <c r="F57" s="17" t="n">
        <f aca="false">'Data SA'!N57</f>
        <v>-0.0155399250445698</v>
      </c>
      <c r="G57" s="17" t="n">
        <f aca="false">'Data Constant'!P57</f>
        <v>-0.0149328839288507</v>
      </c>
      <c r="H57" s="12" t="n">
        <f aca="false">'Data Constant'!F57/'Data Constant'!F53-1</f>
        <v>-0.0136372030328974</v>
      </c>
      <c r="I57" s="12" t="n">
        <f aca="false">'Data Constant'!G57/'Data Constant'!G53-1</f>
        <v>0.00554329850973745</v>
      </c>
      <c r="J57" s="12" t="n">
        <f aca="false">'Data Constant'!H57/'Data Constant'!H53-1</f>
        <v>-0.0523437499039818</v>
      </c>
      <c r="K57" s="12" t="n">
        <f aca="false">'Data Constant'!K57/'Data Constant'!K53-1</f>
        <v>0.10540974216675</v>
      </c>
      <c r="L57" s="12" t="n">
        <f aca="false">'Data Constant'!L57/'Data Constant'!L53-1</f>
        <v>0.0455185779683633</v>
      </c>
    </row>
    <row r="58" customFormat="false" ht="15" hidden="false" customHeight="false" outlineLevel="0" collapsed="false">
      <c r="B58" s="7" t="s">
        <v>101</v>
      </c>
      <c r="C58" s="8" t="n">
        <v>2017</v>
      </c>
      <c r="D58" s="16" t="n">
        <f aca="false">'Data SA'!L58</f>
        <v>0.00832234010986355</v>
      </c>
      <c r="E58" s="17" t="n">
        <f aca="false">'Data SA'!M58</f>
        <v>0.0337072389718887</v>
      </c>
      <c r="F58" s="17" t="n">
        <f aca="false">'Data SA'!N58</f>
        <v>0.00181005630183129</v>
      </c>
      <c r="G58" s="17" t="n">
        <f aca="false">'Data Constant'!P58</f>
        <v>0.00559679082443165</v>
      </c>
      <c r="H58" s="12" t="n">
        <f aca="false">'Data Constant'!F58/'Data Constant'!F54-1</f>
        <v>0.0293079265685057</v>
      </c>
      <c r="I58" s="12" t="n">
        <f aca="false">'Data Constant'!G58/'Data Constant'!G54-1</f>
        <v>0.0170943861962205</v>
      </c>
      <c r="J58" s="12" t="n">
        <f aca="false">'Data Constant'!H58/'Data Constant'!H54-1</f>
        <v>0.0567466197765538</v>
      </c>
      <c r="K58" s="12" t="n">
        <f aca="false">'Data Constant'!K58/'Data Constant'!K54-1</f>
        <v>0.00927451962527015</v>
      </c>
      <c r="L58" s="12" t="n">
        <f aca="false">'Data Constant'!L58/'Data Constant'!L54-1</f>
        <v>0.082077157801566</v>
      </c>
    </row>
    <row r="59" customFormat="false" ht="15" hidden="false" customHeight="false" outlineLevel="0" collapsed="false">
      <c r="B59" s="7" t="s">
        <v>102</v>
      </c>
      <c r="C59" s="8" t="n">
        <v>2017</v>
      </c>
      <c r="D59" s="16" t="n">
        <f aca="false">'Data SA'!L59</f>
        <v>0.01149312621968</v>
      </c>
      <c r="E59" s="17" t="n">
        <f aca="false">'Data SA'!M59</f>
        <v>0.0467711466266421</v>
      </c>
      <c r="F59" s="17" t="n">
        <f aca="false">'Data SA'!N59</f>
        <v>0.029858642272562</v>
      </c>
      <c r="G59" s="17" t="n">
        <f aca="false">'Data Constant'!P59</f>
        <v>0.0232658340767662</v>
      </c>
      <c r="H59" s="12" t="n">
        <f aca="false">'Data Constant'!F59/'Data Constant'!F55-1</f>
        <v>0.0383138206282136</v>
      </c>
      <c r="I59" s="12" t="n">
        <f aca="false">'Data Constant'!G59/'Data Constant'!G55-1</f>
        <v>0.0455347794763978</v>
      </c>
      <c r="J59" s="12" t="n">
        <f aca="false">'Data Constant'!H59/'Data Constant'!H55-1</f>
        <v>0.0990292208798416</v>
      </c>
      <c r="K59" s="12" t="n">
        <f aca="false">'Data Constant'!K59/'Data Constant'!K55-1</f>
        <v>0.013674276525576</v>
      </c>
      <c r="L59" s="12" t="n">
        <f aca="false">'Data Constant'!L59/'Data Constant'!L55-1</f>
        <v>0.124050722604475</v>
      </c>
    </row>
    <row r="60" customFormat="false" ht="15" hidden="false" customHeight="false" outlineLevel="0" collapsed="false">
      <c r="B60" s="7" t="s">
        <v>103</v>
      </c>
      <c r="C60" s="8" t="n">
        <v>2017</v>
      </c>
      <c r="D60" s="16" t="n">
        <f aca="false">'Data SA'!L60</f>
        <v>0.0122068581004764</v>
      </c>
      <c r="E60" s="17" t="n">
        <f aca="false">'Data SA'!M60</f>
        <v>0.0497287745612203</v>
      </c>
      <c r="F60" s="17" t="n">
        <f aca="false">'Data SA'!N60</f>
        <v>0.0386421804275667</v>
      </c>
      <c r="G60" s="17" t="n">
        <f aca="false">'Data Constant'!P60</f>
        <v>0.0385060856362685</v>
      </c>
      <c r="H60" s="12" t="n">
        <f aca="false">'Data Constant'!F60/'Data Constant'!F56-1</f>
        <v>0.047467754778177</v>
      </c>
      <c r="I60" s="12" t="n">
        <f aca="false">'Data Constant'!G60/'Data Constant'!G56-1</f>
        <v>0.0262570763410239</v>
      </c>
      <c r="J60" s="12" t="n">
        <f aca="false">'Data Constant'!H60/'Data Constant'!H56-1</f>
        <v>0.170622279112013</v>
      </c>
      <c r="K60" s="12" t="n">
        <f aca="false">'Data Constant'!K60/'Data Constant'!K56-1</f>
        <v>0.0473272763780053</v>
      </c>
      <c r="L60" s="12" t="n">
        <f aca="false">'Data Constant'!L60/'Data Constant'!L56-1</f>
        <v>0.186756898014905</v>
      </c>
    </row>
    <row r="61" customFormat="false" ht="15" hidden="false" customHeight="false" outlineLevel="0" collapsed="false">
      <c r="B61" s="7" t="s">
        <v>104</v>
      </c>
      <c r="C61" s="8" t="n">
        <v>2017</v>
      </c>
      <c r="D61" s="16" t="n">
        <f aca="false">'Data SA'!L61</f>
        <v>0.00999560155290014</v>
      </c>
      <c r="E61" s="17" t="n">
        <f aca="false">'Data SA'!M61</f>
        <v>0.0405858832206292</v>
      </c>
      <c r="F61" s="17" t="n">
        <f aca="false">'Data SA'!N61</f>
        <v>0.0426800957810773</v>
      </c>
      <c r="G61" s="17" t="n">
        <f aca="false">'Data Constant'!P61</f>
        <v>0.0453268482640472</v>
      </c>
      <c r="H61" s="12" t="n">
        <f aca="false">'Data Constant'!F61/'Data Constant'!F57-1</f>
        <v>0.0524375818066418</v>
      </c>
      <c r="I61" s="12" t="n">
        <f aca="false">'Data Constant'!G61/'Data Constant'!G57-1</f>
        <v>0.0171851727148229</v>
      </c>
      <c r="J61" s="12" t="n">
        <f aca="false">'Data Constant'!H61/'Data Constant'!H57-1</f>
        <v>0.202162116103047</v>
      </c>
      <c r="K61" s="12" t="n">
        <f aca="false">'Data Constant'!K61/'Data Constant'!K57-1</f>
        <v>0.0331994620655065</v>
      </c>
      <c r="L61" s="12" t="n">
        <f aca="false">'Data Constant'!L61/'Data Constant'!L57-1</f>
        <v>0.227120669745758</v>
      </c>
    </row>
    <row r="62" customFormat="false" ht="15" hidden="false" customHeight="false" outlineLevel="0" collapsed="false">
      <c r="B62" s="7" t="s">
        <v>105</v>
      </c>
      <c r="C62" s="8" t="n">
        <v>2018</v>
      </c>
      <c r="D62" s="16" t="n">
        <f aca="false">'Data SA'!L62</f>
        <v>-0.00414503880678474</v>
      </c>
      <c r="E62" s="17" t="n">
        <f aca="false">'Data SA'!M62</f>
        <v>-0.0164773517210772</v>
      </c>
      <c r="F62" s="17" t="n">
        <f aca="false">'Data SA'!N62</f>
        <v>0.0297879011664728</v>
      </c>
      <c r="G62" s="17" t="n">
        <f aca="false">'Data Constant'!P62</f>
        <v>0.0379774021814201</v>
      </c>
      <c r="H62" s="12" t="n">
        <f aca="false">'Data Constant'!F62/'Data Constant'!F58-1</f>
        <v>0.0315321927601888</v>
      </c>
      <c r="I62" s="12" t="n">
        <f aca="false">'Data Constant'!G62/'Data Constant'!G58-1</f>
        <v>-0.00063262215089066</v>
      </c>
      <c r="J62" s="12" t="n">
        <f aca="false">'Data Constant'!H62/'Data Constant'!H58-1</f>
        <v>0.158300650064668</v>
      </c>
      <c r="K62" s="12" t="n">
        <f aca="false">'Data Constant'!K62/'Data Constant'!K58-1</f>
        <v>0.0762793705828446</v>
      </c>
      <c r="L62" s="12" t="n">
        <f aca="false">'Data Constant'!L62/'Data Constant'!L58-1</f>
        <v>0.160803943984349</v>
      </c>
    </row>
    <row r="63" customFormat="false" ht="15" hidden="false" customHeight="false" outlineLevel="0" collapsed="false">
      <c r="B63" s="7" t="s">
        <v>106</v>
      </c>
      <c r="C63" s="8" t="n">
        <v>2018</v>
      </c>
      <c r="D63" s="16" t="n">
        <f aca="false">'Data SA'!L63</f>
        <v>-0.0441675928733084</v>
      </c>
      <c r="E63" s="17" t="n">
        <f aca="false">'Data SA'!M63</f>
        <v>-0.165306552770476</v>
      </c>
      <c r="F63" s="17" t="n">
        <f aca="false">'Data SA'!N63</f>
        <v>-0.0268795477823958</v>
      </c>
      <c r="G63" s="17" t="n">
        <f aca="false">'Data Constant'!P63</f>
        <v>-0.039790994073943</v>
      </c>
      <c r="H63" s="12" t="n">
        <f aca="false">'Data Constant'!F63/'Data Constant'!F59-1</f>
        <v>0.0149959778358182</v>
      </c>
      <c r="I63" s="12" t="n">
        <f aca="false">'Data Constant'!G63/'Data Constant'!G59-1</f>
        <v>-0.0075808304340852</v>
      </c>
      <c r="J63" s="12" t="n">
        <f aca="false">'Data Constant'!H63/'Data Constant'!H59-1</f>
        <v>0.0252940801203829</v>
      </c>
      <c r="K63" s="12" t="n">
        <f aca="false">'Data Constant'!K63/'Data Constant'!K59-1</f>
        <v>-0.0835827075874456</v>
      </c>
      <c r="L63" s="12" t="n">
        <f aca="false">'Data Constant'!L63/'Data Constant'!L59-1</f>
        <v>0.0422649682023293</v>
      </c>
    </row>
    <row r="64" customFormat="false" ht="15" hidden="false" customHeight="false" outlineLevel="0" collapsed="false">
      <c r="B64" s="7" t="s">
        <v>107</v>
      </c>
      <c r="C64" s="8" t="n">
        <v>2018</v>
      </c>
      <c r="D64" s="16" t="n">
        <f aca="false">'Data SA'!L64</f>
        <v>-0.00314335067139526</v>
      </c>
      <c r="E64" s="17" t="n">
        <f aca="false">'Data SA'!M64</f>
        <v>-0.0125142429007281</v>
      </c>
      <c r="F64" s="17" t="n">
        <f aca="false">'Data SA'!N64</f>
        <v>-0.0416370076653988</v>
      </c>
      <c r="G64" s="17" t="n">
        <f aca="false">'Data Constant'!P64</f>
        <v>-0.0346944038739507</v>
      </c>
      <c r="H64" s="12" t="n">
        <f aca="false">'Data Constant'!F64/'Data Constant'!F60-1</f>
        <v>-0.0322980320566232</v>
      </c>
      <c r="I64" s="12" t="n">
        <f aca="false">'Data Constant'!G64/'Data Constant'!G60-1</f>
        <v>-0.0250866253951049</v>
      </c>
      <c r="J64" s="12" t="n">
        <f aca="false">'Data Constant'!H64/'Data Constant'!H60-1</f>
        <v>-0.115360266228003</v>
      </c>
      <c r="K64" s="12" t="n">
        <f aca="false">'Data Constant'!K64/'Data Constant'!K60-1</f>
        <v>-0.0610442392447104</v>
      </c>
      <c r="L64" s="12" t="n">
        <f aca="false">'Data Constant'!L64/'Data Constant'!L60-1</f>
        <v>-0.0975680838434154</v>
      </c>
    </row>
    <row r="65" customFormat="false" ht="15" hidden="false" customHeight="false" outlineLevel="0" collapsed="false">
      <c r="B65" s="7" t="s">
        <v>108</v>
      </c>
      <c r="C65" s="8" t="n">
        <v>2018</v>
      </c>
      <c r="D65" s="16" t="n">
        <f aca="false">'Data SA'!L65</f>
        <v>-0.0138795507939667</v>
      </c>
      <c r="E65" s="17" t="n">
        <f aca="false">'Data SA'!M65</f>
        <v>-0.0543730096173233</v>
      </c>
      <c r="F65" s="17" t="n">
        <f aca="false">'Data SA'!N65</f>
        <v>-0.0642916235968022</v>
      </c>
      <c r="G65" s="17" t="n">
        <f aca="false">'Data Constant'!P65</f>
        <v>-0.0633973916700751</v>
      </c>
      <c r="H65" s="12" t="n">
        <f aca="false">'Data Constant'!F65/'Data Constant'!F61-1</f>
        <v>-0.111872914250448</v>
      </c>
      <c r="I65" s="12" t="n">
        <f aca="false">'Data Constant'!G65/'Data Constant'!G61-1</f>
        <v>-0.0396478932944359</v>
      </c>
      <c r="J65" s="12" t="n">
        <f aca="false">'Data Constant'!H65/'Data Constant'!H61-1</f>
        <v>-0.250595391820462</v>
      </c>
      <c r="K65" s="12" t="n">
        <f aca="false">'Data Constant'!K65/'Data Constant'!K61-1</f>
        <v>0.106270504113575</v>
      </c>
      <c r="L65" s="12" t="n">
        <f aca="false">'Data Constant'!L65/'Data Constant'!L61-1</f>
        <v>-0.246882548139103</v>
      </c>
    </row>
    <row r="66" customFormat="false" ht="15" hidden="false" customHeight="false" outlineLevel="0" collapsed="false">
      <c r="B66" s="7" t="s">
        <v>109</v>
      </c>
      <c r="C66" s="8" t="n">
        <v>2019</v>
      </c>
      <c r="D66" s="16" t="n">
        <f aca="false">'Data SA'!L66</f>
        <v>0.000190028111482832</v>
      </c>
      <c r="E66" s="17" t="n">
        <f aca="false">'Data SA'!M66</f>
        <v>0.000760329137479809</v>
      </c>
      <c r="F66" s="17" t="n">
        <f aca="false">'Data SA'!N66</f>
        <v>-0.0602183814222279</v>
      </c>
      <c r="G66" s="17" t="n">
        <f aca="false">'Data Constant'!P66</f>
        <v>-0.0586372539873753</v>
      </c>
      <c r="H66" s="12" t="n">
        <f aca="false">'Data Constant'!F66/'Data Constant'!F62-1</f>
        <v>-0.0877559005087939</v>
      </c>
      <c r="I66" s="12" t="n">
        <f aca="false">'Data Constant'!G66/'Data Constant'!G62-1</f>
        <v>-0.0445413651887373</v>
      </c>
      <c r="J66" s="12" t="n">
        <f aca="false">'Data Constant'!H66/'Data Constant'!H62-1</f>
        <v>-0.250247058472427</v>
      </c>
      <c r="K66" s="12" t="n">
        <f aca="false">'Data Constant'!K66/'Data Constant'!K62-1</f>
        <v>0.00717231413299579</v>
      </c>
      <c r="L66" s="12" t="n">
        <f aca="false">'Data Constant'!L66/'Data Constant'!L62-1</f>
        <v>-0.250949113683651</v>
      </c>
    </row>
    <row r="67" customFormat="false" ht="15" hidden="false" customHeight="false" outlineLevel="0" collapsed="false">
      <c r="B67" s="7" t="s">
        <v>110</v>
      </c>
      <c r="C67" s="8" t="n">
        <v>2019</v>
      </c>
      <c r="D67" s="16" t="n">
        <f aca="false">'Data SA'!L67</f>
        <v>0.00973809076978638</v>
      </c>
      <c r="E67" s="17" t="n">
        <f aca="false">'Data SA'!M67</f>
        <v>0.0395250484116292</v>
      </c>
      <c r="F67" s="17" t="n">
        <f aca="false">'Data SA'!N67</f>
        <v>-0.00721790744066919</v>
      </c>
      <c r="G67" s="17" t="n">
        <f aca="false">'Data Constant'!P67</f>
        <v>0.00582819893603537</v>
      </c>
      <c r="H67" s="12" t="n">
        <f aca="false">'Data Constant'!F67/'Data Constant'!F63-1</f>
        <v>-0.0641993398993321</v>
      </c>
      <c r="I67" s="12" t="n">
        <f aca="false">'Data Constant'!G67/'Data Constant'!G63-1</f>
        <v>-0.0434555887022986</v>
      </c>
      <c r="J67" s="12" t="n">
        <f aca="false">'Data Constant'!H67/'Data Constant'!H63-1</f>
        <v>-0.185065898138294</v>
      </c>
      <c r="K67" s="12" t="n">
        <f aca="false">'Data Constant'!K67/'Data Constant'!K63-1</f>
        <v>0.15714486857321</v>
      </c>
      <c r="L67" s="12" t="n">
        <f aca="false">'Data Constant'!L67/'Data Constant'!L63-1</f>
        <v>-0.222688052616929</v>
      </c>
    </row>
    <row r="68" customFormat="false" ht="15" hidden="false" customHeight="false" outlineLevel="0" collapsed="false">
      <c r="B68" s="7" t="s">
        <v>111</v>
      </c>
      <c r="C68" s="8" t="n">
        <v>2019</v>
      </c>
      <c r="D68" s="16" t="n">
        <f aca="false">'Data SA'!L68</f>
        <v>-0.000681913292906233</v>
      </c>
      <c r="E68" s="17" t="n">
        <f aca="false">'Data SA'!M68</f>
        <v>-0.0027248644053488</v>
      </c>
      <c r="F68" s="17" t="n">
        <f aca="false">'Data SA'!N68</f>
        <v>-0.00476653095342217</v>
      </c>
      <c r="G68" s="17" t="n">
        <f aca="false">'Data Constant'!P68</f>
        <v>-0.0175271616356651</v>
      </c>
      <c r="H68" s="12" t="n">
        <f aca="false">'Data Constant'!F68/'Data Constant'!F64-1</f>
        <v>-0.0640943732595761</v>
      </c>
      <c r="I68" s="12" t="n">
        <f aca="false">'Data Constant'!G68/'Data Constant'!G64-1</f>
        <v>-0.0851927587762766</v>
      </c>
      <c r="J68" s="12" t="n">
        <f aca="false">'Data Constant'!H68/'Data Constant'!H64-1</f>
        <v>-0.10082549871185</v>
      </c>
      <c r="K68" s="12" t="n">
        <f aca="false">'Data Constant'!K68/'Data Constant'!K64-1</f>
        <v>0.15227418439426</v>
      </c>
      <c r="L68" s="12" t="n">
        <f aca="false">'Data Constant'!L68/'Data Constant'!L64-1</f>
        <v>-0.146724438411492</v>
      </c>
    </row>
    <row r="69" customFormat="false" ht="15" hidden="false" customHeight="false" outlineLevel="0" collapsed="false">
      <c r="B69" s="7" t="s">
        <v>112</v>
      </c>
      <c r="C69" s="8" t="n">
        <v>2019</v>
      </c>
      <c r="D69" s="16" t="n">
        <f aca="false">'Data SA'!L69</f>
        <v>-0.014787060478156</v>
      </c>
      <c r="E69" s="17" t="n">
        <f aca="false">'Data SA'!M69</f>
        <v>-0.0578491843426164</v>
      </c>
      <c r="F69" s="17" t="n">
        <f aca="false">'Data SA'!N69</f>
        <v>-0.00568242719299028</v>
      </c>
      <c r="G69" s="17" t="n">
        <f aca="false">'Data Constant'!P69</f>
        <v>-0.0107484273951806</v>
      </c>
      <c r="H69" s="12" t="n">
        <f aca="false">'Data Constant'!F69/'Data Constant'!F65-1</f>
        <v>-0.0217813362218087</v>
      </c>
      <c r="I69" s="12" t="n">
        <f aca="false">'Data Constant'!G69/'Data Constant'!G65-1</f>
        <v>-0.0812243516295853</v>
      </c>
      <c r="J69" s="12" t="n">
        <f aca="false">'Data Constant'!H69/'Data Constant'!H65-1</f>
        <v>-0.0825081059883627</v>
      </c>
      <c r="K69" s="12" t="n">
        <f aca="false">'Data Constant'!K69/'Data Constant'!K65-1</f>
        <v>0.0786680776239828</v>
      </c>
      <c r="L69" s="12" t="n">
        <f aca="false">'Data Constant'!L69/'Data Constant'!L65-1</f>
        <v>-0.105636345621127</v>
      </c>
    </row>
    <row r="70" customFormat="false" ht="15" hidden="false" customHeight="false" outlineLevel="0" collapsed="false">
      <c r="B70" s="7" t="s">
        <v>113</v>
      </c>
      <c r="C70" s="8" t="n">
        <v>2020</v>
      </c>
      <c r="D70" s="16" t="n">
        <f aca="false">'Data SA'!L70</f>
        <v>-0.0432371312554287</v>
      </c>
      <c r="E70" s="17" t="n">
        <f aca="false">'Data SA'!M70</f>
        <v>-0.162051651601963</v>
      </c>
      <c r="F70" s="17" t="n">
        <f aca="false">'Data SA'!N70</f>
        <v>-0.0488546109600511</v>
      </c>
      <c r="G70" s="17" t="n">
        <f aca="false">'Data Constant'!P70</f>
        <v>-0.0502506965865936</v>
      </c>
      <c r="H70" s="12" t="n">
        <f aca="false">'Data Constant'!F70/'Data Constant'!F66-1</f>
        <v>-0.0664247435062484</v>
      </c>
      <c r="I70" s="12" t="n">
        <f aca="false">'Data Constant'!G70/'Data Constant'!G66-1</f>
        <v>-0.00249602325160281</v>
      </c>
      <c r="J70" s="12" t="n">
        <f aca="false">'Data Constant'!H70/'Data Constant'!H66-1</f>
        <v>-0.181709625975332</v>
      </c>
      <c r="K70" s="12" t="n">
        <f aca="false">'Data Constant'!K70/'Data Constant'!K66-1</f>
        <v>-0.0455963524461791</v>
      </c>
      <c r="L70" s="12" t="n">
        <f aca="false">'Data Constant'!L70/'Data Constant'!L66-1</f>
        <v>-0.123886736828216</v>
      </c>
    </row>
    <row r="71" customFormat="false" ht="15" hidden="false" customHeight="false" outlineLevel="0" collapsed="false">
      <c r="B71" s="7" t="s">
        <v>114</v>
      </c>
      <c r="C71" s="8" t="n">
        <v>2020</v>
      </c>
      <c r="D71" s="16" t="n">
        <f aca="false">'Data SA'!L71</f>
        <v>-0.14490031829478</v>
      </c>
      <c r="E71" s="17" t="n">
        <f aca="false">'Data SA'!M71</f>
        <v>-0.465353191009415</v>
      </c>
      <c r="F71" s="17" t="n">
        <f aca="false">'Data SA'!N71</f>
        <v>-0.194519720650133</v>
      </c>
      <c r="G71" s="17" t="n">
        <f aca="false">'Data Constant'!P71</f>
        <v>-0.189421940385846</v>
      </c>
      <c r="H71" s="12" t="n">
        <f aca="false">'Data Constant'!F71/'Data Constant'!F67-1</f>
        <v>-0.211350761272367</v>
      </c>
      <c r="I71" s="12" t="n">
        <f aca="false">'Data Constant'!G71/'Data Constant'!G67-1</f>
        <v>-0.0583980576918938</v>
      </c>
      <c r="J71" s="12" t="n">
        <f aca="false">'Data Constant'!H71/'Data Constant'!H67-1</f>
        <v>-0.383204274076476</v>
      </c>
      <c r="K71" s="12" t="n">
        <f aca="false">'Data Constant'!K71/'Data Constant'!K67-1</f>
        <v>-0.142911951933769</v>
      </c>
      <c r="L71" s="12" t="n">
        <f aca="false">'Data Constant'!L71/'Data Constant'!L67-1</f>
        <v>-0.305539244603835</v>
      </c>
    </row>
    <row r="72" customFormat="false" ht="15" hidden="false" customHeight="false" outlineLevel="0" collapsed="false">
      <c r="B72" s="7" t="s">
        <v>115</v>
      </c>
      <c r="C72" s="8" t="n">
        <v>2020</v>
      </c>
      <c r="D72" s="16" t="n">
        <f aca="false">'Data SA'!L72</f>
        <v>0.110062929071991</v>
      </c>
      <c r="E72" s="17" t="n">
        <f aca="false">'Data SA'!M72</f>
        <v>0.518414694274928</v>
      </c>
      <c r="F72" s="17" t="n">
        <f aca="false">'Data SA'!N72</f>
        <v>-0.105256064011464</v>
      </c>
      <c r="G72" s="17" t="n">
        <f aca="false">'Data Constant'!P72</f>
        <v>-0.101927662759163</v>
      </c>
      <c r="H72" s="12" t="n">
        <f aca="false">'Data Constant'!F72/'Data Constant'!F68-1</f>
        <v>-0.148713619821761</v>
      </c>
      <c r="I72" s="12" t="n">
        <f aca="false">'Data Constant'!G72/'Data Constant'!G68-1</f>
        <v>-0.0189667915825802</v>
      </c>
      <c r="J72" s="12" t="n">
        <f aca="false">'Data Constant'!H72/'Data Constant'!H68-1</f>
        <v>-0.0915106495559175</v>
      </c>
      <c r="K72" s="12" t="n">
        <f aca="false">'Data Constant'!K72/'Data Constant'!K68-1</f>
        <v>-0.180966713169763</v>
      </c>
      <c r="L72" s="12" t="n">
        <f aca="false">'Data Constant'!L72/'Data Constant'!L68-1</f>
        <v>-0.223708594190412</v>
      </c>
    </row>
    <row r="73" customFormat="false" ht="15" hidden="false" customHeight="false" outlineLevel="0" collapsed="false">
      <c r="B73" s="7" t="s">
        <v>116</v>
      </c>
      <c r="C73" s="8" t="n">
        <v>2020</v>
      </c>
      <c r="D73" s="16" t="n">
        <f aca="false">'Data SA'!L73</f>
        <v>0.0503595931815803</v>
      </c>
      <c r="E73" s="17" t="n">
        <f aca="false">'Data SA'!M73</f>
        <v>0.217172201790116</v>
      </c>
      <c r="F73" s="17" t="n">
        <f aca="false">'Data SA'!N73</f>
        <v>-0.0460916225250538</v>
      </c>
      <c r="G73" s="17" t="n">
        <f aca="false">'Data Constant'!P73</f>
        <v>-0.0431329947641036</v>
      </c>
      <c r="H73" s="12" t="n">
        <f aca="false">'Data Constant'!F73/'Data Constant'!F69-1</f>
        <v>-0.043684091683515</v>
      </c>
      <c r="I73" s="12" t="n">
        <f aca="false">'Data Constant'!G73/'Data Constant'!G69-1</f>
        <v>0.000175644445782774</v>
      </c>
      <c r="J73" s="12" t="n">
        <f aca="false">'Data Constant'!H73/'Data Constant'!H69-1</f>
        <v>0.156792899200144</v>
      </c>
      <c r="K73" s="12" t="n">
        <f aca="false">'Data Constant'!K73/'Data Constant'!K69-1</f>
        <v>-0.305269120339805</v>
      </c>
      <c r="L73" s="12" t="n">
        <f aca="false">'Data Constant'!L73/'Data Constant'!L69-1</f>
        <v>-0.0171693308561153</v>
      </c>
    </row>
    <row r="74" customFormat="false" ht="15" hidden="false" customHeight="false" outlineLevel="0" collapsed="false">
      <c r="B74" s="7" t="s">
        <v>117</v>
      </c>
      <c r="C74" s="8" t="n">
        <v>2021</v>
      </c>
      <c r="D74" s="16" t="n">
        <f aca="false">'Data SA'!L74</f>
        <v>0.0339470091390983</v>
      </c>
      <c r="E74" s="17" t="n">
        <f aca="false">'Data SA'!M74</f>
        <v>0.142860243213638</v>
      </c>
      <c r="F74" s="17" t="n">
        <f aca="false">'Data SA'!N74</f>
        <v>0.0308622398537735</v>
      </c>
      <c r="G74" s="17" t="n">
        <f aca="false">'Data Constant'!P74</f>
        <v>0.0323260077948051</v>
      </c>
      <c r="H74" s="12" t="n">
        <f aca="false">'Data Constant'!F74/'Data Constant'!F70-1</f>
        <v>0.00537591825144435</v>
      </c>
      <c r="I74" s="12" t="n">
        <f aca="false">'Data Constant'!G74/'Data Constant'!G70-1</f>
        <v>0.00702275030207278</v>
      </c>
      <c r="J74" s="12" t="n">
        <f aca="false">'Data Constant'!H74/'Data Constant'!H70-1</f>
        <v>0.387949501979662</v>
      </c>
      <c r="K74" s="12" t="n">
        <f aca="false">'Data Constant'!K74/'Data Constant'!K70-1</f>
        <v>-0.100860063247403</v>
      </c>
      <c r="L74" s="12" t="n">
        <f aca="false">'Data Constant'!L74/'Data Constant'!L70-1</f>
        <v>-0.00290477950028611</v>
      </c>
    </row>
    <row r="75" customFormat="false" ht="15" hidden="false" customHeight="false" outlineLevel="0" collapsed="false">
      <c r="B75" s="7" t="s">
        <v>118</v>
      </c>
      <c r="C75" s="8" t="n">
        <v>2021</v>
      </c>
      <c r="D75" s="16" t="n">
        <f aca="false">'Data SA'!L75</f>
        <v>0.00169700459376809</v>
      </c>
      <c r="E75" s="17" t="n">
        <f aca="false">'Data SA'!M75</f>
        <v>0.00680531687921571</v>
      </c>
      <c r="F75" s="17" t="n">
        <f aca="false">'Data SA'!N75</f>
        <v>0.207592097041992</v>
      </c>
      <c r="G75" s="17" t="n">
        <f aca="false">'Data Constant'!P75</f>
        <v>0.187299607796633</v>
      </c>
      <c r="H75" s="12" t="n">
        <f aca="false">'Data Constant'!F75/'Data Constant'!F71-1</f>
        <v>0.185236467065796</v>
      </c>
      <c r="I75" s="12" t="n">
        <f aca="false">'Data Constant'!G75/'Data Constant'!G71-1</f>
        <v>0.066887359562342</v>
      </c>
      <c r="J75" s="12" t="n">
        <f aca="false">'Data Constant'!H75/'Data Constant'!H71-1</f>
        <v>0.786378440865212</v>
      </c>
      <c r="K75" s="12" t="n">
        <f aca="false">'Data Constant'!K75/'Data Constant'!K71-1</f>
        <v>0.0706420710633624</v>
      </c>
      <c r="L75" s="12" t="n">
        <f aca="false">'Data Constant'!L75/'Data Constant'!L71-1</f>
        <v>0.372169436469916</v>
      </c>
    </row>
    <row r="76" customFormat="false" ht="15" hidden="false" customHeight="false" outlineLevel="0" collapsed="false">
      <c r="B76" s="7" t="s">
        <v>119</v>
      </c>
      <c r="C76" s="8" t="n">
        <v>2021</v>
      </c>
      <c r="D76" s="16" t="n">
        <f aca="false">'Data SA'!L76</f>
        <v>0.0218672121440862</v>
      </c>
      <c r="E76" s="17" t="n">
        <f aca="false">'Data SA'!M76</f>
        <v>0.0903799524431479</v>
      </c>
      <c r="F76" s="17" t="n">
        <f aca="false">'Data SA'!N76</f>
        <v>0.111647580775579</v>
      </c>
      <c r="G76" s="17" t="n">
        <f aca="false">'Data Constant'!P76</f>
        <v>0.11814535666569</v>
      </c>
      <c r="H76" s="12" t="n">
        <f aca="false">'Data Constant'!F76/'Data Constant'!F72-1</f>
        <v>0.099079016973618</v>
      </c>
      <c r="I76" s="12" t="n">
        <f aca="false">'Data Constant'!G76/'Data Constant'!G72-1</f>
        <v>0.0933956159430462</v>
      </c>
      <c r="J76" s="12" t="n">
        <f aca="false">'Data Constant'!H76/'Data Constant'!H72-1</f>
        <v>0.221234406908671</v>
      </c>
      <c r="K76" s="12" t="n">
        <f aca="false">'Data Constant'!K76/'Data Constant'!K72-1</f>
        <v>0.18450874590397</v>
      </c>
      <c r="L76" s="12" t="n">
        <f aca="false">'Data Constant'!L76/'Data Constant'!L72-1</f>
        <v>0.204247911331032</v>
      </c>
    </row>
    <row r="77" customFormat="false" ht="15" hidden="false" customHeight="false" outlineLevel="0" collapsed="false">
      <c r="B77" s="7" t="s">
        <v>120</v>
      </c>
      <c r="C77" s="8" t="n">
        <v>2021</v>
      </c>
      <c r="D77" s="16" t="n">
        <f aca="false">'Data SA'!L77</f>
        <v>0.0231244015207364</v>
      </c>
      <c r="E77" s="17" t="n">
        <f aca="false">'Data SA'!M77</f>
        <v>0.0957557816816277</v>
      </c>
      <c r="F77" s="17" t="n">
        <f aca="false">'Data SA'!N77</f>
        <v>0.0828232285077719</v>
      </c>
      <c r="G77" s="17" t="n">
        <f aca="false">'Data Constant'!P77</f>
        <v>0.08364113941174</v>
      </c>
      <c r="H77" s="12" t="n">
        <f aca="false">'Data Constant'!F77/'Data Constant'!F73-1</f>
        <v>0.0967974100467195</v>
      </c>
      <c r="I77" s="12" t="n">
        <f aca="false">'Data Constant'!G77/'Data Constant'!G73-1</f>
        <v>0.115233482492707</v>
      </c>
      <c r="J77" s="12" t="n">
        <f aca="false">'Data Constant'!H77/'Data Constant'!H73-1</f>
        <v>0.14877669230011</v>
      </c>
      <c r="K77" s="12" t="n">
        <f aca="false">'Data Constant'!K77/'Data Constant'!K73-1</f>
        <v>0.201425358771155</v>
      </c>
      <c r="L77" s="12" t="n">
        <f aca="false">'Data Constant'!L77/'Data Constant'!L73-1</f>
        <v>0.20651996005426</v>
      </c>
    </row>
    <row r="78" customFormat="false" ht="15" hidden="false" customHeight="false" outlineLevel="0" collapsed="false">
      <c r="B78" s="7" t="s">
        <v>121</v>
      </c>
      <c r="C78" s="8" t="n">
        <v>2022</v>
      </c>
      <c r="D78" s="16" t="n">
        <f aca="false">'Data SA'!L78</f>
        <v>0.0245918717374962</v>
      </c>
      <c r="E78" s="17" t="n">
        <f aca="false">'Data SA'!M78</f>
        <v>0.102055902354861</v>
      </c>
      <c r="F78" s="17" t="n">
        <f aca="false">'Data SA'!N78</f>
        <v>0.0730258597888749</v>
      </c>
      <c r="G78" s="17" t="n">
        <f aca="false">'Data Constant'!P78</f>
        <v>0.0686138387185451</v>
      </c>
      <c r="H78" s="12" t="n">
        <f aca="false">'Data Constant'!F78/'Data Constant'!F74-1</f>
        <v>0.0911742115310472</v>
      </c>
      <c r="I78" s="12" t="n">
        <f aca="false">'Data Constant'!G78/'Data Constant'!G74-1</f>
        <v>0.0738385433816384</v>
      </c>
      <c r="J78" s="12" t="n">
        <f aca="false">'Data Constant'!H78/'Data Constant'!H74-1</f>
        <v>0.107915543735956</v>
      </c>
      <c r="K78" s="12" t="n">
        <f aca="false">'Data Constant'!K78/'Data Constant'!K74-1</f>
        <v>0.0803971777462986</v>
      </c>
      <c r="L78" s="12" t="n">
        <f aca="false">'Data Constant'!L78/'Data Constant'!L74-1</f>
        <v>0.237651314709232</v>
      </c>
    </row>
    <row r="79" customFormat="false" ht="15" hidden="false" customHeight="false" outlineLevel="0" collapsed="false">
      <c r="B79" s="7" t="s">
        <v>122</v>
      </c>
      <c r="C79" s="8" t="n">
        <v>2022</v>
      </c>
      <c r="D79" s="16" t="n">
        <f aca="false">'Data SA'!L79</f>
        <v>0.0199004748441323</v>
      </c>
      <c r="E79" s="17" t="n">
        <f aca="false">'Data SA'!M79</f>
        <v>0.0820097542621197</v>
      </c>
      <c r="F79" s="17" t="n">
        <f aca="false">'Data SA'!N79</f>
        <v>0.0925255630194537</v>
      </c>
      <c r="G79" s="17" t="n">
        <f aca="false">'Data Constant'!P79</f>
        <v>0.0813001446194395</v>
      </c>
      <c r="H79" s="12" t="n">
        <f aca="false">'Data Constant'!F79/'Data Constant'!F75-1</f>
        <v>0.119862279480017</v>
      </c>
      <c r="I79" s="12" t="n">
        <f aca="false">'Data Constant'!G79/'Data Constant'!G75-1</f>
        <v>0.0622685073577218</v>
      </c>
      <c r="J79" s="12" t="n">
        <f aca="false">'Data Constant'!H79/'Data Constant'!H75-1</f>
        <v>0.179110488402522</v>
      </c>
      <c r="K79" s="12" t="n">
        <f aca="false">'Data Constant'!K79/'Data Constant'!K75-1</f>
        <v>0.0777963503861732</v>
      </c>
      <c r="L79" s="12" t="n">
        <f aca="false">'Data Constant'!L79/'Data Constant'!L75-1</f>
        <v>0.254559192896832</v>
      </c>
    </row>
    <row r="80" customFormat="false" ht="15" hidden="false" customHeight="false" outlineLevel="0" collapsed="false">
      <c r="B80" s="7" t="s">
        <v>123</v>
      </c>
      <c r="C80" s="8" t="n">
        <v>2022</v>
      </c>
      <c r="D80" s="16" t="n">
        <f aca="false">'Data SA'!L80</f>
        <v>-0.00754240207129586</v>
      </c>
      <c r="E80" s="17" t="n">
        <f aca="false">'Data SA'!M80</f>
        <v>-0.0298299943584451</v>
      </c>
      <c r="F80" s="17" t="n">
        <f aca="false">'Data SA'!N80</f>
        <v>0.0610823823918767</v>
      </c>
      <c r="G80" s="17" t="n">
        <f aca="false">'Data Constant'!P80</f>
        <v>0.066844213632383</v>
      </c>
      <c r="H80" s="12" t="n">
        <f aca="false">'Data Constant'!F80/'Data Constant'!F76-1</f>
        <v>0.106582261219266</v>
      </c>
      <c r="I80" s="12" t="n">
        <f aca="false">'Data Constant'!G80/'Data Constant'!G76-1</f>
        <v>0.0107263847882051</v>
      </c>
      <c r="J80" s="12" t="n">
        <f aca="false">'Data Constant'!H80/'Data Constant'!H76-1</f>
        <v>0.135649866834333</v>
      </c>
      <c r="K80" s="12" t="n">
        <f aca="false">'Data Constant'!K80/'Data Constant'!K76-1</f>
        <v>-0.0271795590746201</v>
      </c>
      <c r="L80" s="12" t="n">
        <f aca="false">'Data Constant'!L80/'Data Constant'!L76-1</f>
        <v>0.220713900799324</v>
      </c>
    </row>
    <row r="81" customFormat="false" ht="15" hidden="false" customHeight="false" outlineLevel="0" collapsed="false">
      <c r="B81" s="7" t="s">
        <v>124</v>
      </c>
      <c r="C81" s="8" t="n">
        <v>2022</v>
      </c>
      <c r="D81" s="16" t="n">
        <f aca="false">'Data SA'!L81</f>
        <v>-0.0201516586576687</v>
      </c>
      <c r="E81" s="17" t="n">
        <f aca="false">'Data SA'!M81</f>
        <v>-0.0782026671377792</v>
      </c>
      <c r="F81" s="17" t="n">
        <f aca="false">'Data SA'!N81</f>
        <v>0.0162007776071769</v>
      </c>
      <c r="G81" s="17" t="n">
        <f aca="false">'Data Constant'!P81</f>
        <v>0.023854276267842</v>
      </c>
      <c r="H81" s="12" t="n">
        <f aca="false">'Data Constant'!F81/'Data Constant'!F77-1</f>
        <v>0.0586419851493161</v>
      </c>
      <c r="I81" s="12" t="n">
        <f aca="false">'Data Constant'!G81/'Data Constant'!G77-1</f>
        <v>-0.0274224575298278</v>
      </c>
      <c r="J81" s="12" t="n">
        <f aca="false">'Data Constant'!H81/'Data Constant'!H77-1</f>
        <v>0.00323183586037423</v>
      </c>
      <c r="K81" s="12" t="n">
        <f aca="false">'Data Constant'!K81/'Data Constant'!K77-1</f>
        <v>0.0640244071150471</v>
      </c>
      <c r="L81" s="12" t="n">
        <f aca="false">'Data Constant'!L81/'Data Constant'!L77-1</f>
        <v>0.0128940559693491</v>
      </c>
    </row>
    <row r="82" customFormat="false" ht="15" hidden="false" customHeight="false" outlineLevel="0" collapsed="false">
      <c r="B82" s="7" t="s">
        <v>125</v>
      </c>
      <c r="C82" s="8" t="n">
        <v>2023</v>
      </c>
      <c r="D82" s="16" t="n">
        <f aca="false">'Data SA'!L82</f>
        <v>0.0111495039625553</v>
      </c>
      <c r="E82" s="17" t="n">
        <f aca="false">'Data SA'!M82</f>
        <v>0.0453494439787308</v>
      </c>
      <c r="F82" s="17" t="n">
        <f aca="false">'Data SA'!N82</f>
        <v>0.00286849871391226</v>
      </c>
      <c r="G82" s="17" t="n">
        <f aca="false">'Data Constant'!P82</f>
        <v>0.00915068683856046</v>
      </c>
      <c r="H82" s="12" t="n">
        <f aca="false">'Data Constant'!F82/'Data Constant'!F78-1</f>
        <v>0.037539496647685</v>
      </c>
      <c r="I82" s="12" t="n">
        <f aca="false">'Data Constant'!G82/'Data Constant'!G78-1</f>
        <v>0.0297551343803799</v>
      </c>
      <c r="J82" s="12" t="n">
        <f aca="false">'Data Constant'!H82/'Data Constant'!H78-1</f>
        <v>-0.0134156527109034</v>
      </c>
      <c r="K82" s="12" t="n">
        <f aca="false">'Data Constant'!K82/'Data Constant'!K78-1</f>
        <v>-0.0657283216075517</v>
      </c>
      <c r="L82" s="12" t="n">
        <f aca="false">'Data Constant'!L82/'Data Constant'!L78-1</f>
        <v>0.0396666038486688</v>
      </c>
    </row>
    <row r="83" customFormat="false" ht="15" hidden="false" customHeight="false" outlineLevel="0" collapsed="false">
      <c r="B83" s="7" t="s">
        <v>126</v>
      </c>
      <c r="C83" s="8" t="n">
        <v>2023</v>
      </c>
      <c r="D83" s="16" t="n">
        <f aca="false">'Data SA'!L83</f>
        <v>-0.0263859492341575</v>
      </c>
      <c r="E83" s="17" t="n">
        <f aca="false">'Data SA'!M83</f>
        <v>-0.101439483839432</v>
      </c>
      <c r="F83" s="17" t="n">
        <f aca="false">'Data SA'!N83</f>
        <v>-0.0426449585019246</v>
      </c>
      <c r="G83" s="17" t="n">
        <f aca="false">'Data Constant'!P83</f>
        <v>-0.0565103341366259</v>
      </c>
      <c r="H83" s="12" t="n">
        <f aca="false">'Data Constant'!F83/'Data Constant'!F79-1</f>
        <v>0.0202131795329457</v>
      </c>
      <c r="I83" s="12" t="n">
        <f aca="false">'Data Constant'!G83/'Data Constant'!G79-1</f>
        <v>0.0437786607387081</v>
      </c>
      <c r="J83" s="12" t="n">
        <f aca="false">'Data Constant'!H83/'Data Constant'!H79-1</f>
        <v>-0.0185626306758392</v>
      </c>
      <c r="K83" s="12" t="n">
        <f aca="false">'Data Constant'!K83/'Data Constant'!K79-1</f>
        <v>-0.13137587838476</v>
      </c>
      <c r="L83" s="12" t="n">
        <f aca="false">'Data Constant'!L83/'Data Constant'!L79-1</f>
        <v>0.0384051092547439</v>
      </c>
    </row>
    <row r="84" customFormat="false" ht="15" hidden="false" customHeight="false" outlineLevel="0" collapsed="false">
      <c r="B84" s="7" t="s">
        <v>127</v>
      </c>
      <c r="C84" s="8" t="n">
        <v>2023</v>
      </c>
      <c r="D84" s="16" t="n">
        <f aca="false">'Data SA'!L84</f>
        <v>0.0216559226579738</v>
      </c>
      <c r="E84" s="17" t="n">
        <f aca="false">'Data SA'!M84</f>
        <v>0.0894784091808041</v>
      </c>
      <c r="F84" s="17" t="n">
        <f aca="false">'Data SA'!N84</f>
        <v>-0.0144793588418449</v>
      </c>
      <c r="G84" s="17" t="n">
        <f aca="false">'Data Constant'!P84</f>
        <v>-0.00562320293192431</v>
      </c>
      <c r="H84" s="12" t="n">
        <f aca="false">'Data Constant'!F84/'Data Constant'!F80-1</f>
        <v>-0.00206235076692041</v>
      </c>
      <c r="I84" s="12" t="n">
        <f aca="false">'Data Constant'!G84/'Data Constant'!G80-1</f>
        <v>0.0354570193510153</v>
      </c>
      <c r="J84" s="12" t="n">
        <f aca="false">'Data Constant'!H84/'Data Constant'!H80-1</f>
        <v>0.00760606177857137</v>
      </c>
      <c r="K84" s="12" t="n">
        <f aca="false">'Data Constant'!K84/'Data Constant'!K80-1</f>
        <v>-0.0840105221397224</v>
      </c>
      <c r="L84" s="12" t="n">
        <f aca="false">'Data Constant'!L84/'Data Constant'!L80-1</f>
        <v>0.01824787676644</v>
      </c>
    </row>
    <row r="85" customFormat="false" ht="15" hidden="false" customHeight="false" outlineLevel="0" collapsed="false">
      <c r="B85" s="7" t="s">
        <v>128</v>
      </c>
      <c r="C85" s="8" t="n">
        <v>2023</v>
      </c>
      <c r="D85" s="16" t="n">
        <f aca="false">'Data SA'!L85</f>
        <v>-0.0249975027272207</v>
      </c>
      <c r="E85" s="17" t="n">
        <f aca="false">'Data SA'!M85</f>
        <v>-0.0963028508566795</v>
      </c>
      <c r="F85" s="17" t="n">
        <f aca="false">'Data SA'!N85</f>
        <v>-0.019353255293856</v>
      </c>
      <c r="G85" s="17" t="n">
        <f aca="false">'Data Constant'!P85</f>
        <v>-0.0171131847465702</v>
      </c>
      <c r="H85" s="12" t="n">
        <f aca="false">'Data Constant'!F85/'Data Constant'!F81-1</f>
        <v>-0.0193409487778908</v>
      </c>
      <c r="I85" s="12" t="n">
        <f aca="false">'Data Constant'!G85/'Data Constant'!G81-1</f>
        <v>-0.0159550378276706</v>
      </c>
      <c r="J85" s="12" t="n">
        <f aca="false">'Data Constant'!H85/'Data Constant'!H81-1</f>
        <v>-0.0777301846553579</v>
      </c>
      <c r="K85" s="12" t="n">
        <f aca="false">'Data Constant'!K85/'Data Constant'!K81-1</f>
        <v>-0.116895539959588</v>
      </c>
      <c r="L85" s="12" t="n">
        <f aca="false">'Data Constant'!L85/'Data Constant'!L81-1</f>
        <v>-0.0090510330720347</v>
      </c>
    </row>
    <row r="86" customFormat="false" ht="15" hidden="false" customHeight="false" outlineLevel="0" collapsed="false">
      <c r="B86" s="7" t="s">
        <v>129</v>
      </c>
      <c r="C86" s="8" t="n">
        <v>2024</v>
      </c>
      <c r="D86" s="16" t="n">
        <f aca="false">'Data SA'!L86</f>
        <v>-0.0178195970838784</v>
      </c>
      <c r="E86" s="17" t="n">
        <f aca="false">'Data SA'!M86</f>
        <v>-0.0693956928634588</v>
      </c>
      <c r="F86" s="17" t="n">
        <f aca="false">'Data SA'!N86</f>
        <v>-0.0474484623101477</v>
      </c>
      <c r="G86" s="17" t="n">
        <f aca="false">'Data Constant'!P86</f>
        <v>-0.0508365696484984</v>
      </c>
      <c r="H86" s="12" t="n">
        <f aca="false">'Data Constant'!F86/'Data Constant'!F82-1</f>
        <v>-0.0516591112618867</v>
      </c>
      <c r="I86" s="12" t="n">
        <f aca="false">'Data Constant'!G86/'Data Constant'!G82-1</f>
        <v>-0.0451240211811809</v>
      </c>
      <c r="J86" s="12" t="n">
        <f aca="false">'Data Constant'!H86/'Data Constant'!H82-1</f>
        <v>-0.239734766595198</v>
      </c>
      <c r="K86" s="12" t="n">
        <f aca="false">'Data Constant'!K86/'Data Constant'!K82-1</f>
        <v>0.165567577657184</v>
      </c>
      <c r="L86" s="12" t="n">
        <f aca="false">'Data Constant'!L86/'Data Constant'!L82-1</f>
        <v>-0.13765234502408</v>
      </c>
    </row>
    <row r="87" customFormat="false" ht="15" hidden="false" customHeight="false" outlineLevel="0" collapsed="false">
      <c r="B87" s="7" t="s">
        <v>130</v>
      </c>
      <c r="C87" s="8" t="n">
        <v>2024</v>
      </c>
      <c r="D87" s="16" t="n">
        <f aca="false">'Data SA'!L87</f>
        <v>-0.00434472176647871</v>
      </c>
      <c r="E87" s="17" t="n">
        <f aca="false">'Data SA'!M87</f>
        <v>-0.0172659551206451</v>
      </c>
      <c r="F87" s="17" t="n">
        <f aca="false">'Data SA'!N87</f>
        <v>-0.0258840599677674</v>
      </c>
      <c r="G87" s="17" t="n">
        <f aca="false">'Data Constant'!P87</f>
        <v>-0.0111349764925249</v>
      </c>
      <c r="H87" s="12" t="n">
        <f aca="false">'Data Constant'!F87/'Data Constant'!F83-1</f>
        <v>-0.0844995116941595</v>
      </c>
      <c r="I87" s="12" t="n">
        <f aca="false">'Data Constant'!G87/'Data Constant'!G83-1</f>
        <v>-0.0553038134323491</v>
      </c>
      <c r="J87" s="12" t="n">
        <f aca="false">'Data Constant'!H87/'Data Constant'!H83-1</f>
        <v>-0.294040834443625</v>
      </c>
      <c r="K87" s="12" t="n">
        <f aca="false">'Data Constant'!K87/'Data Constant'!K83-1</f>
        <v>0.199160284696309</v>
      </c>
      <c r="L87" s="12" t="n">
        <f aca="false">'Data Constant'!L87/'Data Constant'!L83-1</f>
        <v>-0.227857499525172</v>
      </c>
    </row>
    <row r="88" customFormat="false" ht="15" hidden="false" customHeight="false" outlineLevel="0" collapsed="false">
      <c r="B88" s="7" t="s">
        <v>131</v>
      </c>
      <c r="C88" s="8" t="n">
        <v>2024</v>
      </c>
      <c r="D88" s="16" t="n">
        <f aca="false">'Data SA'!L88</f>
        <v>0.0357173391581247</v>
      </c>
      <c r="E88" s="17" t="n">
        <f aca="false">'Data SA'!M88</f>
        <v>0.150707616498277</v>
      </c>
      <c r="F88" s="17" t="n">
        <f aca="false">'Data SA'!N88</f>
        <v>-0.0124769532810136</v>
      </c>
      <c r="G88" s="17" t="n">
        <f aca="false">'Data Constant'!P88</f>
        <v>-0.0195500504973152</v>
      </c>
      <c r="H88" s="12" t="n">
        <f aca="false">'Data Constant'!F88/'Data Constant'!F84-1</f>
        <v>-0.0126003029164191</v>
      </c>
      <c r="I88" s="12" t="n">
        <f aca="false">'Data Constant'!G88/'Data Constant'!G84-1</f>
        <v>-0.0394109100967258</v>
      </c>
      <c r="J88" s="12" t="n">
        <f aca="false">'Data Constant'!H88/'Data Constant'!H84-1</f>
        <v>-0.167578621695387</v>
      </c>
      <c r="K88" s="12" t="n">
        <f aca="false">'Data Constant'!K88/'Data Constant'!K84-1</f>
        <v>0.195748142640655</v>
      </c>
      <c r="L88" s="12" t="n">
        <f aca="false">'Data Constant'!L88/'Data Constant'!L84-1</f>
        <v>-0.119971404809525</v>
      </c>
    </row>
    <row r="89" customFormat="false" ht="15" hidden="false" customHeight="false" outlineLevel="0" collapsed="false">
      <c r="B89" s="7" t="s">
        <v>132</v>
      </c>
      <c r="C89" s="8" t="n">
        <v>2024</v>
      </c>
      <c r="D89" s="16" t="n">
        <f aca="false">'Data SA'!L89</f>
        <v>0.0190798440001885</v>
      </c>
      <c r="E89" s="17" t="n">
        <f aca="false">'Data SA'!M89</f>
        <v>0.0785315345483897</v>
      </c>
      <c r="F89" s="17" t="n">
        <f aca="false">'Data SA'!N89</f>
        <v>0.0321664151752648</v>
      </c>
      <c r="G89" s="17" t="n">
        <f aca="false">'Data Constant'!P89</f>
        <v>0.0270934355920698</v>
      </c>
      <c r="H89" s="12" t="n">
        <f aca="false">'Data Constant'!F89/'Data Constant'!F85-1</f>
        <v>0.0486964197602462</v>
      </c>
      <c r="I89" s="12" t="n">
        <f aca="false">'Data Constant'!G89/'Data Constant'!G85-1</f>
        <v>0.0196090101979407</v>
      </c>
      <c r="J89" s="12" t="n">
        <f aca="false">'Data Constant'!H89/'Data Constant'!H85-1</f>
        <v>0.018718222888916</v>
      </c>
      <c r="K89" s="12" t="n">
        <f aca="false">'Data Constant'!K89/'Data Constant'!K85-1</f>
        <v>0.267983666318009</v>
      </c>
      <c r="L89" s="12" t="n">
        <f aca="false">'Data Constant'!L89/'Data Constant'!L85-1</f>
        <v>0.091903569424145</v>
      </c>
    </row>
    <row r="90" customFormat="false" ht="15" hidden="false" customHeight="false" outlineLevel="0" collapsed="false">
      <c r="B90" s="7" t="s">
        <v>133</v>
      </c>
      <c r="C90" s="8" t="n">
        <v>2025</v>
      </c>
      <c r="D90" s="16" t="n">
        <f aca="false">'Data SA'!L90</f>
        <v>0.00772468077572008</v>
      </c>
      <c r="E90" s="17" t="n">
        <f aca="false">'Data SA'!M90</f>
        <v>0.0312585945702157</v>
      </c>
      <c r="F90" s="17" t="n">
        <f aca="false">'Data SA'!N90</f>
        <v>0.0590107154975896</v>
      </c>
      <c r="G90" s="17" t="n">
        <f aca="false">'Data Constant'!P90</f>
        <v>0.0611707468381002</v>
      </c>
      <c r="H90" s="12" t="n">
        <f aca="false">'Data Constant'!F90/'Data Constant'!F86-1</f>
        <v>0.114706924652036</v>
      </c>
      <c r="I90" s="12" t="n">
        <f aca="false">'Data Constant'!G90/'Data Constant'!G86-1</f>
        <v>-0.0171827430427761</v>
      </c>
      <c r="J90" s="12" t="n">
        <f aca="false">'Data Constant'!H90/'Data Constant'!H86-1</f>
        <v>0.314072613666944</v>
      </c>
      <c r="K90" s="12" t="n">
        <f aca="false">'Data Constant'!K90/'Data Constant'!K86-1</f>
        <v>0.0644516091694278</v>
      </c>
      <c r="L90" s="12" t="n">
        <f aca="false">'Data Constant'!L90/'Data Constant'!L86-1</f>
        <v>0.405797568181458</v>
      </c>
    </row>
    <row r="91" customFormat="false" ht="15" hidden="false" customHeight="false" outlineLevel="0" collapsed="false">
      <c r="B91" s="7" t="s">
        <v>134</v>
      </c>
      <c r="C91" s="8" t="n">
        <v>2025</v>
      </c>
      <c r="D91" s="16" t="n">
        <f aca="false">'Data SA'!L91</f>
        <v>0.00303888763118576</v>
      </c>
      <c r="E91" s="17" t="n">
        <f aca="false">'Data SA'!M91</f>
        <v>0.0122110718927755</v>
      </c>
      <c r="F91" s="17" t="n">
        <f aca="false">'Data SA'!N91</f>
        <v>0.0668641579913094</v>
      </c>
      <c r="G91" s="17" t="n">
        <f aca="false">'Data Constant'!P91</f>
        <v>0.0651768410241327</v>
      </c>
      <c r="H91" s="12" t="n">
        <f aca="false">'Data Constant'!F91/'Data Constant'!F87-1</f>
        <v>0.116587306863953</v>
      </c>
      <c r="I91" s="12" t="n">
        <f aca="false">'Data Constant'!G91/'Data Constant'!G87-1</f>
        <v>0.0149651279965928</v>
      </c>
      <c r="J91" s="12" t="n">
        <f aca="false">'Data Constant'!H91/'Data Constant'!H87-1</f>
        <v>0.323580515139185</v>
      </c>
      <c r="K91" s="12" t="n">
        <f aca="false">'Data Constant'!K91/'Data Constant'!K87-1</f>
        <v>0.0353074020111217</v>
      </c>
      <c r="L91" s="12" t="n">
        <f aca="false">'Data Constant'!L91/'Data Constant'!L87-1</f>
        <v>0.391143189735411</v>
      </c>
    </row>
    <row r="92" customFormat="false" ht="15" hidden="false" customHeight="false" outlineLevel="0" collapsed="false">
      <c r="B92" s="7" t="s">
        <v>135</v>
      </c>
      <c r="C92" s="8" t="n">
        <v>2025</v>
      </c>
      <c r="D92" s="16" t="n">
        <f aca="false">'Data SA'!L92</f>
        <v>0.00119255654071138</v>
      </c>
      <c r="E92" s="17" t="n">
        <f aca="false">'Data SA'!M92</f>
        <v>0.00477876609565819</v>
      </c>
      <c r="F92" s="17" t="n">
        <f aca="false">'Data SA'!N92</f>
        <v>0.0313011218767461</v>
      </c>
      <c r="G92" s="17" t="n">
        <f aca="false">'Data Constant'!P92</f>
        <v>0.0319695852206128</v>
      </c>
      <c r="H92" s="12" t="n">
        <f aca="false">'Data Constant'!F92/'Data Constant'!F88-1</f>
        <v>0.0661379067229602</v>
      </c>
      <c r="I92" s="12" t="n">
        <f aca="false">'Data Constant'!G92/'Data Constant'!G88-1</f>
        <v>0.0127893731613236</v>
      </c>
      <c r="J92" s="12" t="n">
        <f aca="false">'Data Constant'!H92/'Data Constant'!H88-1</f>
        <v>0.10244343530406</v>
      </c>
      <c r="K92" s="12" t="n">
        <f aca="false">'Data Constant'!K92/'Data Constant'!K88-1</f>
        <v>0.102671931208313</v>
      </c>
      <c r="L92" s="12" t="n">
        <f aca="false">'Data Constant'!L92/'Data Constant'!L88-1</f>
        <v>0.252109703180934</v>
      </c>
    </row>
    <row r="93" customFormat="false" ht="15" hidden="false" customHeight="false" outlineLevel="0" collapsed="false">
      <c r="B93" s="7" t="s">
        <v>136</v>
      </c>
      <c r="C93" s="8" t="n">
        <v>2025</v>
      </c>
      <c r="D93" s="16" t="n">
        <f aca="false">'Data SA'!L93</f>
        <v>0.0116133842093116</v>
      </c>
      <c r="E93" s="17" t="n">
        <f aca="false">'Data SA'!M93</f>
        <v>0.0472690444048045</v>
      </c>
      <c r="F93" s="17" t="n">
        <f aca="false">'Data SA'!N93</f>
        <v>0.023745120839032</v>
      </c>
      <c r="G93" s="17" t="n">
        <f aca="false">'Data Constant'!P93</f>
        <v>0.0217905164785197</v>
      </c>
      <c r="H93" s="12" t="n">
        <f aca="false">'Data Constant'!F93/'Data Constant'!F89-1</f>
        <v>0.0423543363812411</v>
      </c>
      <c r="I93" s="12" t="n">
        <f aca="false">'Data Constant'!G93/'Data Constant'!G89-1</f>
        <v>0.00368437287569146</v>
      </c>
      <c r="J93" s="12" t="n">
        <f aca="false">'Data Constant'!H93/'Data Constant'!H89-1</f>
        <v>-0.0261030735743939</v>
      </c>
      <c r="K93" s="12" t="n">
        <f aca="false">'Data Constant'!K93/'Data Constant'!K89-1</f>
        <v>0.118060997352838</v>
      </c>
      <c r="L93" s="12" t="n">
        <f aca="false">'Data Constant'!L93/'Data Constant'!L89-1</f>
        <v>0.110989268657829</v>
      </c>
    </row>
    <row r="94" customFormat="false" ht="15" hidden="false" customHeight="false" outlineLevel="0" collapsed="false">
      <c r="B94" s="7" t="s">
        <v>137</v>
      </c>
      <c r="C94" s="8" t="n">
        <v>2026</v>
      </c>
      <c r="D94" s="16" t="n">
        <f aca="false">'Data SA'!L94</f>
        <v>0.00745147406561508</v>
      </c>
      <c r="E94" s="17" t="n">
        <f aca="false">'Data SA'!M94</f>
        <v>0.0301407010963961</v>
      </c>
      <c r="F94" s="17" t="n">
        <f aca="false">'Data SA'!N94</f>
        <v>0.0234675707881242</v>
      </c>
      <c r="G94" s="17" t="n">
        <f aca="false">'Data Constant'!P94</f>
        <v>0.0232763127213582</v>
      </c>
      <c r="H94" s="12" t="n">
        <f aca="false">'Data Constant'!F94/'Data Constant'!F90-1</f>
        <v>0.0274696276862398</v>
      </c>
      <c r="I94" s="12" t="n">
        <f aca="false">'Data Constant'!G94/'Data Constant'!G90-1</f>
        <v>-0.00906043618299068</v>
      </c>
      <c r="J94" s="12" t="n">
        <f aca="false">'Data Constant'!H94/'Data Constant'!H90-1</f>
        <v>-0.116403378932908</v>
      </c>
      <c r="K94" s="12" t="n">
        <f aca="false">'Data Constant'!K94/'Data Constant'!K90-1</f>
        <v>0.098326332343968</v>
      </c>
      <c r="L94" s="12" t="n">
        <f aca="false">'Data Constant'!L94/'Data Constant'!L90-1</f>
        <v>-0.0745531100581428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P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5"/>
    <col collapsed="false" customWidth="true" hidden="false" outlineLevel="0" max="4" min="4" style="0" width="14"/>
    <col collapsed="false" customWidth="true" hidden="false" outlineLevel="0" max="6" min="5" style="0" width="13"/>
    <col collapsed="false" customWidth="true" hidden="false" outlineLevel="0" max="7" min="7" style="0" width="14"/>
    <col collapsed="false" customWidth="true" hidden="false" outlineLevel="0" max="9" min="8" style="0" width="13"/>
    <col collapsed="false" customWidth="true" hidden="false" outlineLevel="0" max="10" min="10" style="0" width="11"/>
    <col collapsed="false" customWidth="true" hidden="false" outlineLevel="0" max="11" min="11" style="0" width="16"/>
    <col collapsed="false" customWidth="true" hidden="false" outlineLevel="0" max="12" min="12" style="0" width="14"/>
    <col collapsed="false" customWidth="true" hidden="false" outlineLevel="0" max="13" min="13" style="0" width="10"/>
    <col collapsed="false" customWidth="true" hidden="false" outlineLevel="0" max="15" min="14" style="0" width="11"/>
    <col collapsed="false" customWidth="true" hidden="false" outlineLevel="0" max="16" min="16" style="0" width="12"/>
  </cols>
  <sheetData>
    <row r="2" customFormat="false" ht="25.5" hidden="false" customHeight="true" outlineLevel="0" collapsed="false">
      <c r="B2" s="1" t="s">
        <v>166</v>
      </c>
    </row>
    <row r="3" customFormat="false" ht="15" hidden="false" customHeight="false" outlineLevel="0" collapsed="false">
      <c r="B3" s="2" t="s">
        <v>167</v>
      </c>
    </row>
    <row r="5" customFormat="false" ht="31.5" hidden="false" customHeight="true" outlineLevel="0" collapsed="false">
      <c r="B5" s="6" t="s">
        <v>35</v>
      </c>
      <c r="C5" s="6" t="s">
        <v>168</v>
      </c>
      <c r="D5" s="6" t="s">
        <v>38</v>
      </c>
      <c r="E5" s="6" t="s">
        <v>39</v>
      </c>
      <c r="F5" s="6" t="s">
        <v>169</v>
      </c>
      <c r="G5" s="6" t="s">
        <v>45</v>
      </c>
      <c r="H5" s="6" t="s">
        <v>170</v>
      </c>
      <c r="I5" s="6" t="s">
        <v>171</v>
      </c>
      <c r="J5" s="6" t="s">
        <v>172</v>
      </c>
      <c r="K5" s="6" t="s">
        <v>173</v>
      </c>
      <c r="L5" s="6" t="s">
        <v>174</v>
      </c>
      <c r="M5" s="6" t="s">
        <v>175</v>
      </c>
      <c r="N5" s="6" t="s">
        <v>176</v>
      </c>
      <c r="O5" s="6" t="s">
        <v>177</v>
      </c>
      <c r="P5" s="6" t="s">
        <v>178</v>
      </c>
    </row>
    <row r="6" customFormat="false" ht="15" hidden="false" customHeight="false" outlineLevel="0" collapsed="false">
      <c r="B6" s="18" t="n">
        <v>2004</v>
      </c>
      <c r="C6" s="10" t="n">
        <f aca="false">AVERAGEIFS('Data Constant'!$E$6:$E$94,'Data Constant'!$C$6:$C$94,$B6)</f>
        <v>485115.195206345</v>
      </c>
      <c r="D6" s="10" t="n">
        <f aca="false">AVERAGEIFS('Data Constant'!$F$6:$F$94,'Data Constant'!$C$6:$C$94,$B6)</f>
        <v>312081.8857914</v>
      </c>
      <c r="E6" s="10" t="n">
        <f aca="false">AVERAGEIFS('Data Constant'!$G$6:$G$94,'Data Constant'!$C$6:$C$94,$B6)</f>
        <v>53918.7886450368</v>
      </c>
      <c r="F6" s="10" t="n">
        <f aca="false">AVERAGEIFS('Data Constant'!$H$6:$H$94,'Data Constant'!$C$6:$C$94,$B6)</f>
        <v>77103.1771130893</v>
      </c>
      <c r="G6" s="10" t="n">
        <f aca="false">AVERAGEIFS('Data Constant'!$M$6:$M$94,'Data Constant'!$C$6:$C$94,$B6)</f>
        <v>8040.70224033473</v>
      </c>
      <c r="H6" s="10" t="n">
        <f aca="false">AVERAGEIFS('Data Constant'!$K$6:$K$94,'Data Constant'!$C$6:$C$94,$B6)</f>
        <v>115688.425447083</v>
      </c>
      <c r="I6" s="10" t="n">
        <f aca="false">AVERAGEIFS('Data Constant'!$L$6:$L$94,'Data Constant'!$C$6:$C$94,$B6)</f>
        <v>81717.7840305983</v>
      </c>
      <c r="K6" s="10" t="n">
        <f aca="false">AVERAGEIFS('Data Nominal'!$E$6:$E$94,'Data Nominal'!$C$6:$C$94,$B6)</f>
        <v>485115.194724755</v>
      </c>
      <c r="L6" s="19" t="n">
        <f aca="false">SUMIFS('Data Nominal'!$Q$6:$Q$94,'Data Nominal'!$C$6:$C$94,$B6)/1000</f>
        <v>164.872219072854</v>
      </c>
      <c r="O6" s="12" t="n">
        <f aca="false">AVERAGEIFS('Data Nominal'!$H$6:$H$94,'Data Nominal'!$C$6:$C$94,$B6)/K6</f>
        <v>0.158937872801194</v>
      </c>
      <c r="P6" s="12" t="n">
        <f aca="false">AVERAGEIFS('Data Nominal'!$F$6:$F$94,'Data Nominal'!$C$6:$C$94,$B6)/K6</f>
        <v>0.643315008442277</v>
      </c>
    </row>
    <row r="7" customFormat="false" ht="15" hidden="false" customHeight="false" outlineLevel="0" collapsed="false">
      <c r="B7" s="18" t="n">
        <v>2005</v>
      </c>
      <c r="C7" s="10" t="n">
        <f aca="false">AVERAGEIFS('Data Constant'!$E$6:$E$94,'Data Constant'!$C$6:$C$94,$B7)</f>
        <v>528055.942503414</v>
      </c>
      <c r="D7" s="10" t="n">
        <f aca="false">AVERAGEIFS('Data Constant'!$F$6:$F$94,'Data Constant'!$C$6:$C$94,$B7)</f>
        <v>335152.783839642</v>
      </c>
      <c r="E7" s="10" t="n">
        <f aca="false">AVERAGEIFS('Data Constant'!$G$6:$G$94,'Data Constant'!$C$6:$C$94,$B7)</f>
        <v>59232.7198433798</v>
      </c>
      <c r="F7" s="10" t="n">
        <f aca="false">AVERAGEIFS('Data Constant'!$H$6:$H$94,'Data Constant'!$C$6:$C$94,$B7)</f>
        <v>89307.3551341255</v>
      </c>
      <c r="G7" s="10" t="n">
        <f aca="false">AVERAGEIFS('Data Constant'!$M$6:$M$94,'Data Constant'!$C$6:$C$94,$B7)</f>
        <v>8434.6949911962</v>
      </c>
      <c r="H7" s="10" t="n">
        <f aca="false">AVERAGEIFS('Data Constant'!$K$6:$K$94,'Data Constant'!$C$6:$C$94,$B7)</f>
        <v>130596.996621802</v>
      </c>
      <c r="I7" s="10" t="n">
        <f aca="false">AVERAGEIFS('Data Constant'!$L$6:$L$94,'Data Constant'!$C$6:$C$94,$B7)</f>
        <v>94668.6079267311</v>
      </c>
      <c r="J7" s="20" t="n">
        <f aca="false">C7/C6-1</f>
        <v>0.0885165991941441</v>
      </c>
      <c r="K7" s="10" t="n">
        <f aca="false">AVERAGEIFS('Data Nominal'!$E$6:$E$94,'Data Nominal'!$C$6:$C$94,$B7)</f>
        <v>582538.172937275</v>
      </c>
      <c r="L7" s="19" t="n">
        <f aca="false">SUMIFS('Data Nominal'!$Q$6:$Q$94,'Data Nominal'!$C$6:$C$94,$B7)/1000</f>
        <v>199.284573924683</v>
      </c>
      <c r="M7" s="12" t="n">
        <f aca="false">(K7/C7)/(K6/C6)-1</f>
        <v>0.103175112003997</v>
      </c>
      <c r="N7" s="12" t="n">
        <f aca="false">K7/K6-1</f>
        <v>0.20082442123421</v>
      </c>
      <c r="O7" s="12" t="n">
        <f aca="false">AVERAGEIFS('Data Nominal'!$H$6:$H$94,'Data Nominal'!$C$6:$C$94,$B7)/K7</f>
        <v>0.173511469021236</v>
      </c>
      <c r="P7" s="12" t="n">
        <f aca="false">AVERAGEIFS('Data Nominal'!$F$6:$F$94,'Data Nominal'!$C$6:$C$94,$B7)/K7</f>
        <v>0.630293921347591</v>
      </c>
    </row>
    <row r="8" customFormat="false" ht="15" hidden="false" customHeight="false" outlineLevel="0" collapsed="false">
      <c r="B8" s="18" t="n">
        <v>2006</v>
      </c>
      <c r="C8" s="10" t="n">
        <f aca="false">AVERAGEIFS('Data Constant'!$E$6:$E$94,'Data Constant'!$C$6:$C$94,$B8)</f>
        <v>570549.404220732</v>
      </c>
      <c r="D8" s="10" t="n">
        <f aca="false">AVERAGEIFS('Data Constant'!$F$6:$F$94,'Data Constant'!$C$6:$C$94,$B8)</f>
        <v>371872.908459906</v>
      </c>
      <c r="E8" s="10" t="n">
        <f aca="false">AVERAGEIFS('Data Constant'!$G$6:$G$94,'Data Constant'!$C$6:$C$94,$B8)</f>
        <v>61437.6714537471</v>
      </c>
      <c r="F8" s="10" t="n">
        <f aca="false">AVERAGEIFS('Data Constant'!$H$6:$H$94,'Data Constant'!$C$6:$C$94,$B8)</f>
        <v>102232.644266916</v>
      </c>
      <c r="G8" s="10" t="n">
        <f aca="false">AVERAGEIFS('Data Constant'!$M$6:$M$94,'Data Constant'!$C$6:$C$94,$B8)</f>
        <v>2220.87059054961</v>
      </c>
      <c r="H8" s="10" t="n">
        <f aca="false">AVERAGEIFS('Data Constant'!$K$6:$K$94,'Data Constant'!$C$6:$C$94,$B8)</f>
        <v>137859.760997275</v>
      </c>
      <c r="I8" s="10" t="n">
        <f aca="false">AVERAGEIFS('Data Constant'!$L$6:$L$94,'Data Constant'!$C$6:$C$94,$B8)</f>
        <v>105074.451547662</v>
      </c>
      <c r="J8" s="20" t="n">
        <f aca="false">C8/C7-1</f>
        <v>0.0804715150365769</v>
      </c>
      <c r="K8" s="10" t="n">
        <f aca="false">AVERAGEIFS('Data Nominal'!$E$6:$E$94,'Data Nominal'!$C$6:$C$94,$B8)</f>
        <v>715904.271733849</v>
      </c>
      <c r="L8" s="19" t="n">
        <f aca="false">SUMIFS('Data Nominal'!$Q$6:$Q$94,'Data Nominal'!$C$6:$C$94,$B8)/1000</f>
        <v>232.86649231365</v>
      </c>
      <c r="M8" s="12" t="n">
        <f aca="false">(K8/C8)/(K7/C7)-1</f>
        <v>0.137410524806176</v>
      </c>
      <c r="N8" s="12" t="n">
        <f aca="false">K8/K7-1</f>
        <v>0.228939672955877</v>
      </c>
      <c r="O8" s="12" t="n">
        <f aca="false">AVERAGEIFS('Data Nominal'!$H$6:$H$94,'Data Nominal'!$C$6:$C$94,$B8)/K8</f>
        <v>0.183311867167568</v>
      </c>
      <c r="P8" s="12" t="n">
        <f aca="false">AVERAGEIFS('Data Nominal'!$F$6:$F$94,'Data Nominal'!$C$6:$C$94,$B8)/K8</f>
        <v>0.632701880437107</v>
      </c>
    </row>
    <row r="9" customFormat="false" ht="15" hidden="false" customHeight="false" outlineLevel="0" collapsed="false">
      <c r="B9" s="18" t="n">
        <v>2007</v>
      </c>
      <c r="C9" s="10" t="n">
        <f aca="false">AVERAGEIFS('Data Constant'!$E$6:$E$94,'Data Constant'!$C$6:$C$94,$B9)</f>
        <v>621942.502646091</v>
      </c>
      <c r="D9" s="10" t="n">
        <f aca="false">AVERAGEIFS('Data Constant'!$F$6:$F$94,'Data Constant'!$C$6:$C$94,$B9)</f>
        <v>406601.537754242</v>
      </c>
      <c r="E9" s="10" t="n">
        <f aca="false">AVERAGEIFS('Data Constant'!$G$6:$G$94,'Data Constant'!$C$6:$C$94,$B9)</f>
        <v>66248.1050902614</v>
      </c>
      <c r="F9" s="10" t="n">
        <f aca="false">AVERAGEIFS('Data Constant'!$H$6:$H$94,'Data Constant'!$C$6:$C$94,$B9)</f>
        <v>123142.490191914</v>
      </c>
      <c r="G9" s="10" t="n">
        <f aca="false">AVERAGEIFS('Data Constant'!$M$6:$M$94,'Data Constant'!$C$6:$C$94,$B9)</f>
        <v>2546.48718534935</v>
      </c>
      <c r="H9" s="10" t="n">
        <f aca="false">AVERAGEIFS('Data Constant'!$K$6:$K$94,'Data Constant'!$C$6:$C$94,$B9)</f>
        <v>149115.254877298</v>
      </c>
      <c r="I9" s="10" t="n">
        <f aca="false">AVERAGEIFS('Data Constant'!$L$6:$L$94,'Data Constant'!$C$6:$C$94,$B9)</f>
        <v>125711.372452975</v>
      </c>
      <c r="J9" s="20" t="n">
        <f aca="false">C9/C8-1</f>
        <v>0.0900765087916498</v>
      </c>
      <c r="K9" s="10" t="n">
        <f aca="false">AVERAGEIFS('Data Nominal'!$E$6:$E$94,'Data Nominal'!$C$6:$C$94,$B9)</f>
        <v>896980.174071903</v>
      </c>
      <c r="L9" s="19" t="n">
        <f aca="false">SUMIFS('Data Nominal'!$Q$6:$Q$94,'Data Nominal'!$C$6:$C$94,$B9)/1000</f>
        <v>287.786135161681</v>
      </c>
      <c r="M9" s="12" t="n">
        <f aca="false">(K9/C9)/(K8/C8)-1</f>
        <v>0.149399250112072</v>
      </c>
      <c r="N9" s="12" t="n">
        <f aca="false">K9/K8-1</f>
        <v>0.252933121769908</v>
      </c>
      <c r="O9" s="12" t="n">
        <f aca="false">AVERAGEIFS('Data Nominal'!$H$6:$H$94,'Data Nominal'!$C$6:$C$94,$B9)/K9</f>
        <v>0.195160791553661</v>
      </c>
      <c r="P9" s="12" t="n">
        <f aca="false">AVERAGEIFS('Data Nominal'!$F$6:$F$94,'Data Nominal'!$C$6:$C$94,$B9)/K9</f>
        <v>0.625312329098005</v>
      </c>
    </row>
    <row r="10" customFormat="false" ht="15" hidden="false" customHeight="false" outlineLevel="0" collapsed="false">
      <c r="B10" s="18" t="n">
        <v>2008</v>
      </c>
      <c r="C10" s="10" t="n">
        <f aca="false">AVERAGEIFS('Data Constant'!$E$6:$E$94,'Data Constant'!$C$6:$C$94,$B10)</f>
        <v>647176.159741212</v>
      </c>
      <c r="D10" s="10" t="n">
        <f aca="false">AVERAGEIFS('Data Constant'!$F$6:$F$94,'Data Constant'!$C$6:$C$94,$B10)</f>
        <v>436058.391832581</v>
      </c>
      <c r="E10" s="10" t="n">
        <f aca="false">AVERAGEIFS('Data Constant'!$G$6:$G$94,'Data Constant'!$C$6:$C$94,$B10)</f>
        <v>69570.4995427237</v>
      </c>
      <c r="F10" s="10" t="n">
        <f aca="false">AVERAGEIFS('Data Constant'!$H$6:$H$94,'Data Constant'!$C$6:$C$94,$B10)</f>
        <v>133850.264951464</v>
      </c>
      <c r="G10" s="10" t="n">
        <f aca="false">AVERAGEIFS('Data Constant'!$M$6:$M$94,'Data Constant'!$C$6:$C$94,$B10)</f>
        <v>239.066646832209</v>
      </c>
      <c r="H10" s="10" t="n">
        <f aca="false">AVERAGEIFS('Data Constant'!$K$6:$K$94,'Data Constant'!$C$6:$C$94,$B10)</f>
        <v>150218.520640933</v>
      </c>
      <c r="I10" s="10" t="n">
        <f aca="false">AVERAGEIFS('Data Constant'!$L$6:$L$94,'Data Constant'!$C$6:$C$94,$B10)</f>
        <v>142760.583873322</v>
      </c>
      <c r="J10" s="20" t="n">
        <f aca="false">C10/C9-1</f>
        <v>0.0405723310237889</v>
      </c>
      <c r="K10" s="10" t="n">
        <f aca="false">AVERAGEIFS('Data Nominal'!$E$6:$E$94,'Data Nominal'!$C$6:$C$94,$B10)</f>
        <v>1149646.09058364</v>
      </c>
      <c r="L10" s="19" t="n">
        <f aca="false">SUMIFS('Data Nominal'!$Q$6:$Q$94,'Data Nominal'!$C$6:$C$94,$B10)/1000</f>
        <v>363.878372470707</v>
      </c>
      <c r="M10" s="12" t="n">
        <f aca="false">(K10/C10)/(K9/C9)-1</f>
        <v>0.231711649847018</v>
      </c>
      <c r="N10" s="12" t="n">
        <f aca="false">K10/K9-1</f>
        <v>0.281685062630468</v>
      </c>
      <c r="O10" s="12" t="n">
        <f aca="false">AVERAGEIFS('Data Nominal'!$H$6:$H$94,'Data Nominal'!$C$6:$C$94,$B10)/K10</f>
        <v>0.190101609799044</v>
      </c>
      <c r="P10" s="12" t="n">
        <f aca="false">AVERAGEIFS('Data Nominal'!$F$6:$F$94,'Data Nominal'!$C$6:$C$94,$B10)/K10</f>
        <v>0.630745834799674</v>
      </c>
    </row>
    <row r="11" customFormat="false" ht="15" hidden="false" customHeight="false" outlineLevel="0" collapsed="false">
      <c r="B11" s="18" t="n">
        <v>2009</v>
      </c>
      <c r="C11" s="10" t="n">
        <f aca="false">AVERAGEIFS('Data Constant'!$E$6:$E$94,'Data Constant'!$C$6:$C$94,$B11)</f>
        <v>608872.876412874</v>
      </c>
      <c r="D11" s="10" t="n">
        <f aca="false">AVERAGEIFS('Data Constant'!$F$6:$F$94,'Data Constant'!$C$6:$C$94,$B11)</f>
        <v>412521.477350164</v>
      </c>
      <c r="E11" s="10" t="n">
        <f aca="false">AVERAGEIFS('Data Constant'!$G$6:$G$94,'Data Constant'!$C$6:$C$94,$B11)</f>
        <v>73490.278327806</v>
      </c>
      <c r="F11" s="10" t="n">
        <f aca="false">AVERAGEIFS('Data Constant'!$H$6:$H$94,'Data Constant'!$C$6:$C$94,$B11)</f>
        <v>103636.442037299</v>
      </c>
      <c r="G11" s="10" t="n">
        <f aca="false">AVERAGEIFS('Data Constant'!$M$6:$M$94,'Data Constant'!$C$6:$C$94,$B11)</f>
        <v>-483.589384954859</v>
      </c>
      <c r="H11" s="10" t="n">
        <f aca="false">AVERAGEIFS('Data Constant'!$K$6:$K$94,'Data Constant'!$C$6:$C$94,$B11)</f>
        <v>136177.435596332</v>
      </c>
      <c r="I11" s="10" t="n">
        <f aca="false">AVERAGEIFS('Data Constant'!$L$6:$L$94,'Data Constant'!$C$6:$C$94,$B11)</f>
        <v>116469.167513772</v>
      </c>
      <c r="J11" s="20" t="n">
        <f aca="false">C11/C10-1</f>
        <v>-0.0591852508035117</v>
      </c>
      <c r="K11" s="10" t="n">
        <f aca="false">AVERAGEIFS('Data Nominal'!$E$6:$E$94,'Data Nominal'!$C$6:$C$94,$B11)</f>
        <v>1247929.26892502</v>
      </c>
      <c r="L11" s="19" t="n">
        <f aca="false">SUMIFS('Data Nominal'!$Q$6:$Q$94,'Data Nominal'!$C$6:$C$94,$B11)/1000</f>
        <v>334.281740236008</v>
      </c>
      <c r="M11" s="12" t="n">
        <f aca="false">(K11/C11)/(K10/C10)-1</f>
        <v>0.153776493797552</v>
      </c>
      <c r="N11" s="12" t="n">
        <f aca="false">K11/K10-1</f>
        <v>0.0854899426409475</v>
      </c>
      <c r="O11" s="12" t="n">
        <f aca="false">AVERAGEIFS('Data Nominal'!$H$6:$H$94,'Data Nominal'!$C$6:$C$94,$B11)/K11</f>
        <v>0.155817526381535</v>
      </c>
      <c r="P11" s="12" t="n">
        <f aca="false">AVERAGEIFS('Data Nominal'!$F$6:$F$94,'Data Nominal'!$C$6:$C$94,$B11)/K11</f>
        <v>0.629781476840795</v>
      </c>
    </row>
    <row r="12" customFormat="false" ht="15" hidden="false" customHeight="false" outlineLevel="0" collapsed="false">
      <c r="B12" s="18" t="n">
        <v>2010</v>
      </c>
      <c r="C12" s="10" t="n">
        <f aca="false">AVERAGEIFS('Data Constant'!$E$6:$E$94,'Data Constant'!$C$6:$C$94,$B12)</f>
        <v>670523.679441798</v>
      </c>
      <c r="D12" s="10" t="n">
        <f aca="false">AVERAGEIFS('Data Constant'!$F$6:$F$94,'Data Constant'!$C$6:$C$94,$B12)</f>
        <v>458675.166106613</v>
      </c>
      <c r="E12" s="10" t="n">
        <f aca="false">AVERAGEIFS('Data Constant'!$G$6:$G$94,'Data Constant'!$C$6:$C$94,$B12)</f>
        <v>77497.0973707374</v>
      </c>
      <c r="F12" s="10" t="n">
        <f aca="false">AVERAGEIFS('Data Constant'!$H$6:$H$94,'Data Constant'!$C$6:$C$94,$B12)</f>
        <v>130845.75846174</v>
      </c>
      <c r="G12" s="10" t="n">
        <f aca="false">AVERAGEIFS('Data Constant'!$M$6:$M$94,'Data Constant'!$C$6:$C$94,$B12)</f>
        <v>5875.22059240457</v>
      </c>
      <c r="H12" s="10" t="n">
        <f aca="false">AVERAGEIFS('Data Constant'!$K$6:$K$94,'Data Constant'!$C$6:$C$94,$B12)</f>
        <v>155101.896196775</v>
      </c>
      <c r="I12" s="10" t="n">
        <f aca="false">AVERAGEIFS('Data Constant'!$L$6:$L$94,'Data Constant'!$C$6:$C$94,$B12)</f>
        <v>157471.459286471</v>
      </c>
      <c r="J12" s="20" t="n">
        <f aca="false">C12/C11-1</f>
        <v>0.101253981606365</v>
      </c>
      <c r="K12" s="10" t="n">
        <f aca="false">AVERAGEIFS('Data Nominal'!$E$6:$E$94,'Data Nominal'!$C$6:$C$94,$B12)</f>
        <v>1661720.92594458</v>
      </c>
      <c r="L12" s="19" t="n">
        <f aca="false">SUMIFS('Data Nominal'!$Q$6:$Q$94,'Data Nominal'!$C$6:$C$94,$B12)/1000</f>
        <v>424.344798046367</v>
      </c>
      <c r="M12" s="12" t="n">
        <f aca="false">(K12/C12)/(K11/C11)-1</f>
        <v>0.20915124267886</v>
      </c>
      <c r="N12" s="12" t="n">
        <f aca="false">K12/K11-1</f>
        <v>0.331582620364379</v>
      </c>
      <c r="O12" s="12" t="n">
        <f aca="false">AVERAGEIFS('Data Nominal'!$H$6:$H$94,'Data Nominal'!$C$6:$C$94,$B12)/K12</f>
        <v>0.166414661583532</v>
      </c>
      <c r="P12" s="12" t="n">
        <f aca="false">AVERAGEIFS('Data Nominal'!$F$6:$F$94,'Data Nominal'!$C$6:$C$94,$B12)/K12</f>
        <v>0.642341147631649</v>
      </c>
    </row>
    <row r="13" customFormat="false" ht="15" hidden="false" customHeight="false" outlineLevel="0" collapsed="false">
      <c r="B13" s="18" t="n">
        <v>2011</v>
      </c>
      <c r="C13" s="10" t="n">
        <f aca="false">AVERAGEIFS('Data Constant'!$E$6:$E$94,'Data Constant'!$C$6:$C$94,$B13)</f>
        <v>710781.597220601</v>
      </c>
      <c r="D13" s="10" t="n">
        <f aca="false">AVERAGEIFS('Data Constant'!$F$6:$F$94,'Data Constant'!$C$6:$C$94,$B13)</f>
        <v>501647.153409595</v>
      </c>
      <c r="E13" s="10" t="n">
        <f aca="false">AVERAGEIFS('Data Constant'!$G$6:$G$94,'Data Constant'!$C$6:$C$94,$B13)</f>
        <v>81034.7697608982</v>
      </c>
      <c r="F13" s="10" t="n">
        <f aca="false">AVERAGEIFS('Data Constant'!$H$6:$H$94,'Data Constant'!$C$6:$C$94,$B13)</f>
        <v>153584.085098301</v>
      </c>
      <c r="G13" s="10" t="n">
        <f aca="false">AVERAGEIFS('Data Constant'!$M$6:$M$94,'Data Constant'!$C$6:$C$94,$B13)</f>
        <v>5139.04562884122</v>
      </c>
      <c r="H13" s="10" t="n">
        <f aca="false">AVERAGEIFS('Data Constant'!$K$6:$K$94,'Data Constant'!$C$6:$C$94,$B13)</f>
        <v>161536.786618239</v>
      </c>
      <c r="I13" s="10" t="n">
        <f aca="false">AVERAGEIFS('Data Constant'!$L$6:$L$94,'Data Constant'!$C$6:$C$94,$B13)</f>
        <v>192160.243295273</v>
      </c>
      <c r="J13" s="20" t="n">
        <f aca="false">C13/C12-1</f>
        <v>0.0600395168927028</v>
      </c>
      <c r="K13" s="10" t="n">
        <f aca="false">AVERAGEIFS('Data Nominal'!$E$6:$E$94,'Data Nominal'!$C$6:$C$94,$B13)</f>
        <v>2179024.10363078</v>
      </c>
      <c r="L13" s="19" t="n">
        <f aca="false">SUMIFS('Data Nominal'!$Q$6:$Q$94,'Data Nominal'!$C$6:$C$94,$B13)/1000</f>
        <v>527.114685451885</v>
      </c>
      <c r="M13" s="12" t="n">
        <f aca="false">(K13/C13)/(K12/C12)-1</f>
        <v>0.237034721865137</v>
      </c>
      <c r="N13" s="12" t="n">
        <f aca="false">K13/K12-1</f>
        <v>0.311305688945418</v>
      </c>
      <c r="O13" s="12" t="n">
        <f aca="false">AVERAGEIFS('Data Nominal'!$H$6:$H$94,'Data Nominal'!$C$6:$C$94,$B13)/K13</f>
        <v>0.172482847013803</v>
      </c>
      <c r="P13" s="12" t="n">
        <f aca="false">AVERAGEIFS('Data Nominal'!$F$6:$F$94,'Data Nominal'!$C$6:$C$94,$B13)/K13</f>
        <v>0.642203212806536</v>
      </c>
    </row>
    <row r="14" customFormat="false" ht="15" hidden="false" customHeight="false" outlineLevel="0" collapsed="false">
      <c r="B14" s="18" t="n">
        <v>2012</v>
      </c>
      <c r="C14" s="10" t="n">
        <f aca="false">AVERAGEIFS('Data Constant'!$E$6:$E$94,'Data Constant'!$C$6:$C$94,$B14)</f>
        <v>703485.989458949</v>
      </c>
      <c r="D14" s="10" t="n">
        <f aca="false">AVERAGEIFS('Data Constant'!$F$6:$F$94,'Data Constant'!$C$6:$C$94,$B14)</f>
        <v>507216.850431674</v>
      </c>
      <c r="E14" s="10" t="n">
        <f aca="false">AVERAGEIFS('Data Constant'!$G$6:$G$94,'Data Constant'!$C$6:$C$94,$B14)</f>
        <v>83473.3458802571</v>
      </c>
      <c r="F14" s="10" t="n">
        <f aca="false">AVERAGEIFS('Data Constant'!$H$6:$H$94,'Data Constant'!$C$6:$C$94,$B14)</f>
        <v>142717.70209656</v>
      </c>
      <c r="G14" s="10" t="n">
        <f aca="false">AVERAGEIFS('Data Constant'!$M$6:$M$94,'Data Constant'!$C$6:$C$94,$B14)</f>
        <v>-1747.8602321195</v>
      </c>
      <c r="H14" s="10" t="n">
        <f aca="false">AVERAGEIFS('Data Constant'!$K$6:$K$94,'Data Constant'!$C$6:$C$94,$B14)</f>
        <v>154900.352502618</v>
      </c>
      <c r="I14" s="10" t="n">
        <f aca="false">AVERAGEIFS('Data Constant'!$L$6:$L$94,'Data Constant'!$C$6:$C$94,$B14)</f>
        <v>183074.401220041</v>
      </c>
      <c r="J14" s="20" t="n">
        <f aca="false">C14/C13-1</f>
        <v>-0.0102642046307625</v>
      </c>
      <c r="K14" s="10" t="n">
        <f aca="false">AVERAGEIFS('Data Nominal'!$E$6:$E$94,'Data Nominal'!$C$6:$C$94,$B14)</f>
        <v>2637913.84821555</v>
      </c>
      <c r="L14" s="19" t="n">
        <f aca="false">SUMIFS('Data Nominal'!$Q$6:$Q$94,'Data Nominal'!$C$6:$C$94,$B14)/1000</f>
        <v>579.081646333818</v>
      </c>
      <c r="M14" s="12" t="n">
        <f aca="false">(K14/C14)/(K13/C13)-1</f>
        <v>0.22314880682981</v>
      </c>
      <c r="N14" s="12" t="n">
        <f aca="false">K14/K13-1</f>
        <v>0.210594157182636</v>
      </c>
      <c r="O14" s="12" t="n">
        <f aca="false">AVERAGEIFS('Data Nominal'!$H$6:$H$94,'Data Nominal'!$C$6:$C$94,$B14)/K14</f>
        <v>0.158575254203018</v>
      </c>
      <c r="P14" s="12" t="n">
        <f aca="false">AVERAGEIFS('Data Nominal'!$F$6:$F$94,'Data Nominal'!$C$6:$C$94,$B14)/K14</f>
        <v>0.64903399107174</v>
      </c>
    </row>
    <row r="15" customFormat="false" ht="15" hidden="false" customHeight="false" outlineLevel="0" collapsed="false">
      <c r="B15" s="18" t="n">
        <v>2013</v>
      </c>
      <c r="C15" s="10" t="n">
        <f aca="false">AVERAGEIFS('Data Constant'!$E$6:$E$94,'Data Constant'!$C$6:$C$94,$B15)</f>
        <v>720407.105302815</v>
      </c>
      <c r="D15" s="10" t="n">
        <f aca="false">AVERAGEIFS('Data Constant'!$F$6:$F$94,'Data Constant'!$C$6:$C$94,$B15)</f>
        <v>525674.532288469</v>
      </c>
      <c r="E15" s="10" t="n">
        <f aca="false">AVERAGEIFS('Data Constant'!$G$6:$G$94,'Data Constant'!$C$6:$C$94,$B15)</f>
        <v>87916.2876883879</v>
      </c>
      <c r="F15" s="10" t="n">
        <f aca="false">AVERAGEIFS('Data Constant'!$H$6:$H$94,'Data Constant'!$C$6:$C$94,$B15)</f>
        <v>146056.567984486</v>
      </c>
      <c r="G15" s="10" t="n">
        <f aca="false">AVERAGEIFS('Data Constant'!$M$6:$M$94,'Data Constant'!$C$6:$C$94,$B15)</f>
        <v>1495.19178515067</v>
      </c>
      <c r="H15" s="10" t="n">
        <f aca="false">AVERAGEIFS('Data Constant'!$K$6:$K$94,'Data Constant'!$C$6:$C$94,$B15)</f>
        <v>149447.487836811</v>
      </c>
      <c r="I15" s="10" t="n">
        <f aca="false">AVERAGEIFS('Data Constant'!$L$6:$L$94,'Data Constant'!$C$6:$C$94,$B15)</f>
        <v>190182.962280489</v>
      </c>
      <c r="J15" s="20" t="n">
        <f aca="false">C15/C14-1</f>
        <v>0.0240532378717027</v>
      </c>
      <c r="K15" s="10" t="n">
        <f aca="false">AVERAGEIFS('Data Nominal'!$E$6:$E$94,'Data Nominal'!$C$6:$C$94,$B15)</f>
        <v>3348308.48822721</v>
      </c>
      <c r="L15" s="19" t="n">
        <f aca="false">SUMIFS('Data Nominal'!$Q$6:$Q$94,'Data Nominal'!$C$6:$C$94,$B15)/1000</f>
        <v>611.147697364878</v>
      </c>
      <c r="M15" s="12" t="n">
        <f aca="false">(K15/C15)/(K14/C14)-1</f>
        <v>0.239487984088339</v>
      </c>
      <c r="N15" s="12" t="n">
        <f aca="false">K15/K14-1</f>
        <v>0.269301683408733</v>
      </c>
      <c r="O15" s="12" t="n">
        <f aca="false">AVERAGEIFS('Data Nominal'!$H$6:$H$94,'Data Nominal'!$C$6:$C$94,$B15)/K15</f>
        <v>0.162895111850457</v>
      </c>
      <c r="P15" s="12" t="n">
        <f aca="false">AVERAGEIFS('Data Nominal'!$F$6:$F$94,'Data Nominal'!$C$6:$C$94,$B15)/K15</f>
        <v>0.65987565528383</v>
      </c>
    </row>
    <row r="16" customFormat="false" ht="15" hidden="false" customHeight="false" outlineLevel="0" collapsed="false">
      <c r="B16" s="18" t="n">
        <v>2014</v>
      </c>
      <c r="C16" s="10" t="n">
        <f aca="false">AVERAGEIFS('Data Constant'!$E$6:$E$94,'Data Constant'!$C$6:$C$94,$B16)</f>
        <v>702306.045963365</v>
      </c>
      <c r="D16" s="10" t="n">
        <f aca="false">AVERAGEIFS('Data Constant'!$F$6:$F$94,'Data Constant'!$C$6:$C$94,$B16)</f>
        <v>502764.436416965</v>
      </c>
      <c r="E16" s="10" t="n">
        <f aca="false">AVERAGEIFS('Data Constant'!$G$6:$G$94,'Data Constant'!$C$6:$C$94,$B16)</f>
        <v>90505.4491048369</v>
      </c>
      <c r="F16" s="10" t="n">
        <f aca="false">AVERAGEIFS('Data Constant'!$H$6:$H$94,'Data Constant'!$C$6:$C$94,$B16)</f>
        <v>136189.647204351</v>
      </c>
      <c r="G16" s="10" t="n">
        <f aca="false">AVERAGEIFS('Data Constant'!$M$6:$M$94,'Data Constant'!$C$6:$C$94,$B16)</f>
        <v>2179.18372478411</v>
      </c>
      <c r="H16" s="10" t="n">
        <f aca="false">AVERAGEIFS('Data Constant'!$K$6:$K$94,'Data Constant'!$C$6:$C$94,$B16)</f>
        <v>139017.297372506</v>
      </c>
      <c r="I16" s="10" t="n">
        <f aca="false">AVERAGEIFS('Data Constant'!$L$6:$L$94,'Data Constant'!$C$6:$C$94,$B16)</f>
        <v>168349.967860077</v>
      </c>
      <c r="J16" s="20" t="n">
        <f aca="false">C16/C15-1</f>
        <v>-0.0251261532628019</v>
      </c>
      <c r="K16" s="10" t="n">
        <f aca="false">AVERAGEIFS('Data Nominal'!$E$6:$E$94,'Data Nominal'!$C$6:$C$94,$B16)</f>
        <v>4579086.4254101</v>
      </c>
      <c r="L16" s="19" t="n">
        <f aca="false">SUMIFS('Data Nominal'!$Q$6:$Q$94,'Data Nominal'!$C$6:$C$94,$B16)/1000</f>
        <v>562.846495561959</v>
      </c>
      <c r="M16" s="12" t="n">
        <f aca="false">(K16/C16)/(K15/C15)-1</f>
        <v>0.40282971638586</v>
      </c>
      <c r="N16" s="12" t="n">
        <f aca="false">K16/K15-1</f>
        <v>0.367582001930336</v>
      </c>
      <c r="O16" s="12" t="n">
        <f aca="false">AVERAGEIFS('Data Nominal'!$H$6:$H$94,'Data Nominal'!$C$6:$C$94,$B16)/K16</f>
        <v>0.159799540761857</v>
      </c>
      <c r="P16" s="12" t="n">
        <f aca="false">AVERAGEIFS('Data Nominal'!$F$6:$F$94,'Data Nominal'!$C$6:$C$94,$B16)/K16</f>
        <v>0.653830797252326</v>
      </c>
    </row>
    <row r="17" customFormat="false" ht="15" hidden="false" customHeight="false" outlineLevel="0" collapsed="false">
      <c r="B17" s="18" t="n">
        <v>2015</v>
      </c>
      <c r="C17" s="10" t="n">
        <f aca="false">AVERAGEIFS('Data Constant'!$E$6:$E$94,'Data Constant'!$C$6:$C$94,$B17)</f>
        <v>721487.14663804</v>
      </c>
      <c r="D17" s="10" t="n">
        <f aca="false">AVERAGEIFS('Data Constant'!$F$6:$F$94,'Data Constant'!$C$6:$C$94,$B17)</f>
        <v>521146.490546755</v>
      </c>
      <c r="E17" s="10" t="n">
        <f aca="false">AVERAGEIFS('Data Constant'!$G$6:$G$94,'Data Constant'!$C$6:$C$94,$B17)</f>
        <v>96791.9632278584</v>
      </c>
      <c r="F17" s="10" t="n">
        <f aca="false">AVERAGEIFS('Data Constant'!$H$6:$H$94,'Data Constant'!$C$6:$C$94,$B17)</f>
        <v>140905.220228886</v>
      </c>
      <c r="G17" s="10" t="n">
        <f aca="false">AVERAGEIFS('Data Constant'!$M$6:$M$94,'Data Constant'!$C$6:$C$94,$B17)</f>
        <v>3768.67566786331</v>
      </c>
      <c r="H17" s="10" t="n">
        <f aca="false">AVERAGEIFS('Data Constant'!$K$6:$K$94,'Data Constant'!$C$6:$C$94,$B17)</f>
        <v>135156.268609487</v>
      </c>
      <c r="I17" s="10" t="n">
        <f aca="false">AVERAGEIFS('Data Constant'!$L$6:$L$94,'Data Constant'!$C$6:$C$94,$B17)</f>
        <v>176281.47164281</v>
      </c>
      <c r="J17" s="20" t="n">
        <f aca="false">C17/C16-1</f>
        <v>0.0273115983906469</v>
      </c>
      <c r="K17" s="10" t="n">
        <f aca="false">AVERAGEIFS('Data Nominal'!$E$6:$E$94,'Data Nominal'!$C$6:$C$94,$B17)</f>
        <v>5954510.89569234</v>
      </c>
      <c r="L17" s="19" t="n">
        <f aca="false">SUMIFS('Data Nominal'!$Q$6:$Q$94,'Data Nominal'!$C$6:$C$94,$B17)/1000</f>
        <v>642.060065400035</v>
      </c>
      <c r="M17" s="12" t="n">
        <f aca="false">(K17/C17)/(K16/C16)-1</f>
        <v>0.265799915887521</v>
      </c>
      <c r="N17" s="12" t="n">
        <f aca="false">K17/K16-1</f>
        <v>0.300370934833156</v>
      </c>
      <c r="O17" s="12" t="n">
        <f aca="false">AVERAGEIFS('Data Nominal'!$H$6:$H$94,'Data Nominal'!$C$6:$C$94,$B17)/K17</f>
        <v>0.155647450772807</v>
      </c>
      <c r="P17" s="12" t="n">
        <f aca="false">AVERAGEIFS('Data Nominal'!$F$6:$F$94,'Data Nominal'!$C$6:$C$94,$B17)/K17</f>
        <v>0.659058373446173</v>
      </c>
    </row>
    <row r="18" customFormat="false" ht="15" hidden="false" customHeight="false" outlineLevel="0" collapsed="false">
      <c r="B18" s="18" t="n">
        <v>2016</v>
      </c>
      <c r="C18" s="10" t="n">
        <f aca="false">AVERAGEIFS('Data Constant'!$E$6:$E$94,'Data Constant'!$C$6:$C$94,$B18)</f>
        <v>706477.848597662</v>
      </c>
      <c r="D18" s="10" t="n">
        <f aca="false">AVERAGEIFS('Data Constant'!$F$6:$F$94,'Data Constant'!$C$6:$C$94,$B18)</f>
        <v>517080.138787799</v>
      </c>
      <c r="E18" s="10" t="n">
        <f aca="false">AVERAGEIFS('Data Constant'!$G$6:$G$94,'Data Constant'!$C$6:$C$94,$B18)</f>
        <v>96284.4096718237</v>
      </c>
      <c r="F18" s="10" t="n">
        <f aca="false">AVERAGEIFS('Data Constant'!$H$6:$H$94,'Data Constant'!$C$6:$C$94,$B18)</f>
        <v>132763.055484765</v>
      </c>
      <c r="G18" s="10" t="n">
        <f aca="false">AVERAGEIFS('Data Constant'!$M$6:$M$94,'Data Constant'!$C$6:$C$94,$B18)</f>
        <v>4555.63049546726</v>
      </c>
      <c r="H18" s="10" t="n">
        <f aca="false">AVERAGEIFS('Data Constant'!$K$6:$K$94,'Data Constant'!$C$6:$C$94,$B18)</f>
        <v>142343.006049435</v>
      </c>
      <c r="I18" s="10" t="n">
        <f aca="false">AVERAGEIFS('Data Constant'!$L$6:$L$94,'Data Constant'!$C$6:$C$94,$B18)</f>
        <v>186548.391891628</v>
      </c>
      <c r="J18" s="20" t="n">
        <f aca="false">C18/C17-1</f>
        <v>-0.0208032784926491</v>
      </c>
      <c r="K18" s="10" t="n">
        <f aca="false">AVERAGEIFS('Data Nominal'!$E$6:$E$94,'Data Nominal'!$C$6:$C$94,$B18)</f>
        <v>8228159.55653643</v>
      </c>
      <c r="L18" s="19" t="n">
        <f aca="false">SUMIFS('Data Nominal'!$Q$6:$Q$94,'Data Nominal'!$C$6:$C$94,$B18)/1000</f>
        <v>556.847223981279</v>
      </c>
      <c r="M18" s="12" t="n">
        <f aca="false">(K18/C18)/(K17/C17)-1</f>
        <v>0.411193799969416</v>
      </c>
      <c r="N18" s="12" t="n">
        <f aca="false">K18/K17-1</f>
        <v>0.381836342341553</v>
      </c>
      <c r="O18" s="12" t="n">
        <f aca="false">AVERAGEIFS('Data Nominal'!$H$6:$H$94,'Data Nominal'!$C$6:$C$94,$B18)/K18</f>
        <v>0.142723627535816</v>
      </c>
      <c r="P18" s="12" t="n">
        <f aca="false">AVERAGEIFS('Data Nominal'!$F$6:$F$94,'Data Nominal'!$C$6:$C$94,$B18)/K18</f>
        <v>0.65721891464878</v>
      </c>
    </row>
    <row r="19" customFormat="false" ht="15" hidden="false" customHeight="false" outlineLevel="0" collapsed="false">
      <c r="B19" s="18" t="n">
        <v>2017</v>
      </c>
      <c r="C19" s="10" t="n">
        <f aca="false">AVERAGEIFS('Data Constant'!$E$6:$E$94,'Data Constant'!$C$6:$C$94,$B19)</f>
        <v>726389.947762824</v>
      </c>
      <c r="D19" s="10" t="n">
        <f aca="false">AVERAGEIFS('Data Constant'!$F$6:$F$94,'Data Constant'!$C$6:$C$94,$B19)</f>
        <v>538582.624721193</v>
      </c>
      <c r="E19" s="10" t="n">
        <f aca="false">AVERAGEIFS('Data Constant'!$G$6:$G$94,'Data Constant'!$C$6:$C$94,$B19)</f>
        <v>98823.5495177219</v>
      </c>
      <c r="F19" s="10" t="n">
        <f aca="false">AVERAGEIFS('Data Constant'!$H$6:$H$94,'Data Constant'!$C$6:$C$94,$B19)</f>
        <v>150527.514454246</v>
      </c>
      <c r="G19" s="10" t="n">
        <f aca="false">AVERAGEIFS('Data Constant'!$M$6:$M$94,'Data Constant'!$C$6:$C$94,$B19)</f>
        <v>8010.13903811056</v>
      </c>
      <c r="H19" s="10" t="n">
        <f aca="false">AVERAGEIFS('Data Constant'!$K$6:$K$94,'Data Constant'!$C$6:$C$94,$B19)</f>
        <v>146065.832073835</v>
      </c>
      <c r="I19" s="10" t="n">
        <f aca="false">AVERAGEIFS('Data Constant'!$L$6:$L$94,'Data Constant'!$C$6:$C$94,$B19)</f>
        <v>215619.712042282</v>
      </c>
      <c r="J19" s="20" t="n">
        <f aca="false">C19/C18-1</f>
        <v>0.0281850297283732</v>
      </c>
      <c r="K19" s="10" t="n">
        <f aca="false">AVERAGEIFS('Data Nominal'!$E$6:$E$94,'Data Nominal'!$C$6:$C$94,$B19)</f>
        <v>10660228.4948085</v>
      </c>
      <c r="L19" s="19" t="n">
        <f aca="false">SUMIFS('Data Nominal'!$Q$6:$Q$94,'Data Nominal'!$C$6:$C$94,$B19)/1000</f>
        <v>643.383691007967</v>
      </c>
      <c r="M19" s="12" t="n">
        <f aca="false">(K19/C19)/(K18/C18)-1</f>
        <v>0.260063792874819</v>
      </c>
      <c r="N19" s="12" t="n">
        <f aca="false">K19/K18-1</f>
        <v>0.295578728336642</v>
      </c>
      <c r="O19" s="12" t="n">
        <f aca="false">AVERAGEIFS('Data Nominal'!$H$6:$H$94,'Data Nominal'!$C$6:$C$94,$B19)/K19</f>
        <v>0.151621987546803</v>
      </c>
      <c r="P19" s="12" t="n">
        <f aca="false">AVERAGEIFS('Data Nominal'!$F$6:$F$94,'Data Nominal'!$C$6:$C$94,$B19)/K19</f>
        <v>0.667395733213819</v>
      </c>
    </row>
    <row r="20" customFormat="false" ht="15" hidden="false" customHeight="false" outlineLevel="0" collapsed="false">
      <c r="B20" s="18" t="n">
        <v>2018</v>
      </c>
      <c r="C20" s="10" t="n">
        <f aca="false">AVERAGEIFS('Data Constant'!$E$6:$E$94,'Data Constant'!$C$6:$C$94,$B20)</f>
        <v>707377.442979513</v>
      </c>
      <c r="D20" s="10" t="n">
        <f aca="false">AVERAGEIFS('Data Constant'!$F$6:$F$94,'Data Constant'!$C$6:$C$94,$B20)</f>
        <v>526487.53428771</v>
      </c>
      <c r="E20" s="10" t="n">
        <f aca="false">AVERAGEIFS('Data Constant'!$G$6:$G$94,'Data Constant'!$C$6:$C$94,$B20)</f>
        <v>96954.3917151417</v>
      </c>
      <c r="F20" s="10" t="n">
        <f aca="false">AVERAGEIFS('Data Constant'!$H$6:$H$94,'Data Constant'!$C$6:$C$94,$B20)</f>
        <v>141878.733388048</v>
      </c>
      <c r="G20" s="10" t="n">
        <f aca="false">AVERAGEIFS('Data Constant'!$M$6:$M$94,'Data Constant'!$C$6:$C$94,$B20)</f>
        <v>1047.56169755627</v>
      </c>
      <c r="H20" s="10" t="n">
        <f aca="false">AVERAGEIFS('Data Constant'!$K$6:$K$94,'Data Constant'!$C$6:$C$94,$B20)</f>
        <v>147009.411859656</v>
      </c>
      <c r="I20" s="10" t="n">
        <f aca="false">AVERAGEIFS('Data Constant'!$L$6:$L$94,'Data Constant'!$C$6:$C$94,$B20)</f>
        <v>206000.189968599</v>
      </c>
      <c r="J20" s="20" t="n">
        <f aca="false">C20/C19-1</f>
        <v>-0.0261739646065688</v>
      </c>
      <c r="K20" s="10" t="n">
        <f aca="false">AVERAGEIFS('Data Nominal'!$E$6:$E$94,'Data Nominal'!$C$6:$C$94,$B20)</f>
        <v>14744810.6772658</v>
      </c>
      <c r="L20" s="19" t="n">
        <f aca="false">SUMIFS('Data Nominal'!$Q$6:$Q$94,'Data Nominal'!$C$6:$C$94,$B20)/1000</f>
        <v>544.293679422175</v>
      </c>
      <c r="M20" s="12" t="n">
        <f aca="false">(K20/C20)/(K19/C19)-1</f>
        <v>0.420336689539056</v>
      </c>
      <c r="N20" s="12" t="n">
        <f aca="false">K20/K19-1</f>
        <v>0.38316084729765</v>
      </c>
      <c r="O20" s="12" t="n">
        <f aca="false">AVERAGEIFS('Data Nominal'!$H$6:$H$94,'Data Nominal'!$C$6:$C$94,$B20)/K20</f>
        <v>0.15251049499866</v>
      </c>
      <c r="P20" s="12" t="n">
        <f aca="false">AVERAGEIFS('Data Nominal'!$F$6:$F$94,'Data Nominal'!$C$6:$C$94,$B20)/K20</f>
        <v>0.694701822834782</v>
      </c>
    </row>
    <row r="21" customFormat="false" ht="15" hidden="false" customHeight="false" outlineLevel="0" collapsed="false">
      <c r="B21" s="18" t="n">
        <v>2019</v>
      </c>
      <c r="C21" s="10" t="n">
        <f aca="false">AVERAGEIFS('Data Constant'!$E$6:$E$94,'Data Constant'!$C$6:$C$94,$B21)</f>
        <v>693223.80358796</v>
      </c>
      <c r="D21" s="10" t="n">
        <f aca="false">AVERAGEIFS('Data Constant'!$F$6:$F$94,'Data Constant'!$C$6:$C$94,$B21)</f>
        <v>494230.113283</v>
      </c>
      <c r="E21" s="10" t="n">
        <f aca="false">AVERAGEIFS('Data Constant'!$G$6:$G$94,'Data Constant'!$C$6:$C$94,$B21)</f>
        <v>90749.1862607515</v>
      </c>
      <c r="F21" s="10" t="n">
        <f aca="false">AVERAGEIFS('Data Constant'!$H$6:$H$94,'Data Constant'!$C$6:$C$94,$B21)</f>
        <v>119246.872927275</v>
      </c>
      <c r="G21" s="10" t="n">
        <f aca="false">AVERAGEIFS('Data Constant'!$M$6:$M$94,'Data Constant'!$C$6:$C$94,$B21)</f>
        <v>-4606.13735038986</v>
      </c>
      <c r="H21" s="10" t="n">
        <f aca="false">AVERAGEIFS('Data Constant'!$K$6:$K$94,'Data Constant'!$C$6:$C$94,$B21)</f>
        <v>161344.336952287</v>
      </c>
      <c r="I21" s="10" t="n">
        <f aca="false">AVERAGEIFS('Data Constant'!$L$6:$L$94,'Data Constant'!$C$6:$C$94,$B21)</f>
        <v>167483.861640215</v>
      </c>
      <c r="J21" s="20" t="n">
        <f aca="false">C21/C20-1</f>
        <v>-0.020008610017216</v>
      </c>
      <c r="K21" s="10" t="n">
        <f aca="false">AVERAGEIFS('Data Nominal'!$E$6:$E$94,'Data Nominal'!$C$6:$C$94,$B21)</f>
        <v>21558444.1492006</v>
      </c>
      <c r="L21" s="19" t="n">
        <f aca="false">SUMIFS('Data Nominal'!$Q$6:$Q$94,'Data Nominal'!$C$6:$C$94,$B21)/1000</f>
        <v>449.577441494506</v>
      </c>
      <c r="M21" s="12" t="n">
        <f aca="false">(K21/C21)/(K20/C20)-1</f>
        <v>0.491955790582814</v>
      </c>
      <c r="N21" s="12" t="n">
        <f aca="false">K21/K20-1</f>
        <v>0.462103829006115</v>
      </c>
      <c r="O21" s="12" t="n">
        <f aca="false">AVERAGEIFS('Data Nominal'!$H$6:$H$94,'Data Nominal'!$C$6:$C$94,$B21)/K21</f>
        <v>0.141990461422957</v>
      </c>
      <c r="P21" s="12" t="n">
        <f aca="false">AVERAGEIFS('Data Nominal'!$F$6:$F$94,'Data Nominal'!$C$6:$C$94,$B21)/K21</f>
        <v>0.661275863049251</v>
      </c>
    </row>
    <row r="22" customFormat="false" ht="15" hidden="false" customHeight="false" outlineLevel="0" collapsed="false">
      <c r="B22" s="18" t="n">
        <v>2020</v>
      </c>
      <c r="C22" s="10" t="n">
        <f aca="false">AVERAGEIFS('Data Constant'!$E$6:$E$94,'Data Constant'!$C$6:$C$94,$B22)</f>
        <v>624591.286150396</v>
      </c>
      <c r="D22" s="10" t="n">
        <f aca="false">AVERAGEIFS('Data Constant'!$F$6:$F$94,'Data Constant'!$C$6:$C$94,$B22)</f>
        <v>434075.559026969</v>
      </c>
      <c r="E22" s="10" t="n">
        <f aca="false">AVERAGEIFS('Data Constant'!$G$6:$G$94,'Data Constant'!$C$6:$C$94,$B22)</f>
        <v>88914.6257681525</v>
      </c>
      <c r="F22" s="10" t="n">
        <f aca="false">AVERAGEIFS('Data Constant'!$H$6:$H$94,'Data Constant'!$C$6:$C$94,$B22)</f>
        <v>103666.126679438</v>
      </c>
      <c r="G22" s="10" t="n">
        <f aca="false">AVERAGEIFS('Data Constant'!$M$6:$M$94,'Data Constant'!$C$6:$C$94,$B22)</f>
        <v>3384.16158188279</v>
      </c>
      <c r="H22" s="10" t="n">
        <f aca="false">AVERAGEIFS('Data Constant'!$K$6:$K$94,'Data Constant'!$C$6:$C$94,$B22)</f>
        <v>133209.577966048</v>
      </c>
      <c r="I22" s="10" t="n">
        <f aca="false">AVERAGEIFS('Data Constant'!$L$6:$L$94,'Data Constant'!$C$6:$C$94,$B22)</f>
        <v>138658.764872095</v>
      </c>
      <c r="J22" s="20" t="n">
        <f aca="false">C22/C21-1</f>
        <v>-0.0990048481923708</v>
      </c>
      <c r="K22" s="10" t="n">
        <f aca="false">AVERAGEIFS('Data Nominal'!$E$6:$E$94,'Data Nominal'!$C$6:$C$94,$B22)</f>
        <v>27209814.1432876</v>
      </c>
      <c r="L22" s="19" t="n">
        <f aca="false">SUMIFS('Data Nominal'!$Q$6:$Q$94,'Data Nominal'!$C$6:$C$94,$B22)/1000</f>
        <v>385.168428379703</v>
      </c>
      <c r="M22" s="12" t="n">
        <f aca="false">(K22/C22)/(K21/C21)-1</f>
        <v>0.400830878098237</v>
      </c>
      <c r="N22" s="12" t="n">
        <f aca="false">K22/K21-1</f>
        <v>0.262141829668935</v>
      </c>
      <c r="O22" s="12" t="n">
        <f aca="false">AVERAGEIFS('Data Nominal'!$H$6:$H$94,'Data Nominal'!$C$6:$C$94,$B22)/K22</f>
        <v>0.142825053720409</v>
      </c>
      <c r="P22" s="12" t="n">
        <f aca="false">AVERAGEIFS('Data Nominal'!$F$6:$F$94,'Data Nominal'!$C$6:$C$94,$B22)/K22</f>
        <v>0.657047068082906</v>
      </c>
    </row>
    <row r="23" customFormat="false" ht="15" hidden="false" customHeight="false" outlineLevel="0" collapsed="false">
      <c r="B23" s="18" t="n">
        <v>2021</v>
      </c>
      <c r="C23" s="10" t="n">
        <f aca="false">AVERAGEIFS('Data Constant'!$E$6:$E$94,'Data Constant'!$C$6:$C$94,$B23)</f>
        <v>689809.934033946</v>
      </c>
      <c r="D23" s="10" t="n">
        <f aca="false">AVERAGEIFS('Data Constant'!$F$6:$F$94,'Data Constant'!$C$6:$C$94,$B23)</f>
        <v>475165.995429041</v>
      </c>
      <c r="E23" s="10" t="n">
        <f aca="false">AVERAGEIFS('Data Constant'!$G$6:$G$94,'Data Constant'!$C$6:$C$94,$B23)</f>
        <v>95249.4234320019</v>
      </c>
      <c r="F23" s="10" t="n">
        <f aca="false">AVERAGEIFS('Data Constant'!$H$6:$H$94,'Data Constant'!$C$6:$C$94,$B23)</f>
        <v>138929.743349214</v>
      </c>
      <c r="G23" s="10" t="n">
        <f aca="false">AVERAGEIFS('Data Constant'!$M$6:$M$94,'Data Constant'!$C$6:$C$94,$B23)</f>
        <v>386.892860715741</v>
      </c>
      <c r="H23" s="10" t="n">
        <f aca="false">AVERAGEIFS('Data Constant'!$K$6:$K$94,'Data Constant'!$C$6:$C$94,$B23)</f>
        <v>144469.843250615</v>
      </c>
      <c r="I23" s="10" t="n">
        <f aca="false">AVERAGEIFS('Data Constant'!$L$6:$L$94,'Data Constant'!$C$6:$C$94,$B23)</f>
        <v>164391.96428764</v>
      </c>
      <c r="J23" s="20" t="n">
        <f aca="false">C23/C22-1</f>
        <v>0.104418120024566</v>
      </c>
      <c r="K23" s="10" t="n">
        <f aca="false">AVERAGEIFS('Data Nominal'!$E$6:$E$94,'Data Nominal'!$C$6:$C$94,$B23)</f>
        <v>46219083.5103038</v>
      </c>
      <c r="L23" s="19" t="n">
        <f aca="false">SUMIFS('Data Nominal'!$Q$6:$Q$94,'Data Nominal'!$C$6:$C$94,$B23)/1000</f>
        <v>484.181787196657</v>
      </c>
      <c r="M23" s="12" t="n">
        <f aca="false">(K23/C23)/(K22/C22)-1</f>
        <v>0.538020877468546</v>
      </c>
      <c r="N23" s="12" t="n">
        <f aca="false">K23/K22-1</f>
        <v>0.698618126052346</v>
      </c>
      <c r="O23" s="12" t="n">
        <f aca="false">AVERAGEIFS('Data Nominal'!$H$6:$H$94,'Data Nominal'!$C$6:$C$94,$B23)/K23</f>
        <v>0.172906325753354</v>
      </c>
      <c r="P23" s="12" t="n">
        <f aca="false">AVERAGEIFS('Data Nominal'!$F$6:$F$94,'Data Nominal'!$C$6:$C$94,$B23)/K23</f>
        <v>0.629531640399361</v>
      </c>
    </row>
    <row r="24" customFormat="false" ht="15" hidden="false" customHeight="false" outlineLevel="0" collapsed="false">
      <c r="B24" s="18" t="n">
        <v>2022</v>
      </c>
      <c r="C24" s="10" t="n">
        <f aca="false">AVERAGEIFS('Data Constant'!$E$6:$E$94,'Data Constant'!$C$6:$C$94,$B24)</f>
        <v>731341.633726083</v>
      </c>
      <c r="D24" s="10" t="n">
        <f aca="false">AVERAGEIFS('Data Constant'!$F$6:$F$94,'Data Constant'!$C$6:$C$94,$B24)</f>
        <v>520146.304531685</v>
      </c>
      <c r="E24" s="10" t="n">
        <f aca="false">AVERAGEIFS('Data Constant'!$G$6:$G$94,'Data Constant'!$C$6:$C$94,$B24)</f>
        <v>97884.6606705319</v>
      </c>
      <c r="F24" s="10" t="n">
        <f aca="false">AVERAGEIFS('Data Constant'!$H$6:$H$94,'Data Constant'!$C$6:$C$94,$B24)</f>
        <v>153452.313611677</v>
      </c>
      <c r="G24" s="10" t="n">
        <f aca="false">AVERAGEIFS('Data Constant'!$M$6:$M$94,'Data Constant'!$C$6:$C$94,$B24)</f>
        <v>2024.56436587968</v>
      </c>
      <c r="H24" s="10" t="n">
        <f aca="false">AVERAGEIFS('Data Constant'!$K$6:$K$94,'Data Constant'!$C$6:$C$94,$B24)</f>
        <v>151053.231078227</v>
      </c>
      <c r="I24" s="10" t="n">
        <f aca="false">AVERAGEIFS('Data Constant'!$L$6:$L$94,'Data Constant'!$C$6:$C$94,$B24)</f>
        <v>193219.440531918</v>
      </c>
      <c r="J24" s="20" t="n">
        <f aca="false">C24/C23-1</f>
        <v>0.0602074537391237</v>
      </c>
      <c r="K24" s="10" t="n">
        <f aca="false">AVERAGEIFS('Data Nominal'!$E$6:$E$94,'Data Nominal'!$C$6:$C$94,$B24)</f>
        <v>82810045.4698667</v>
      </c>
      <c r="L24" s="19" t="n">
        <f aca="false">SUMIFS('Data Nominal'!$Q$6:$Q$94,'Data Nominal'!$C$6:$C$94,$B24)/1000</f>
        <v>631.279828713288</v>
      </c>
      <c r="M24" s="12" t="n">
        <f aca="false">(K24/C24)/(K23/C23)-1</f>
        <v>0.689938267714387</v>
      </c>
      <c r="N24" s="12" t="n">
        <f aca="false">K24/K23-1</f>
        <v>0.791685147789776</v>
      </c>
      <c r="O24" s="12" t="n">
        <f aca="false">AVERAGEIFS('Data Nominal'!$H$6:$H$94,'Data Nominal'!$C$6:$C$94,$B24)/K24</f>
        <v>0.176177901931622</v>
      </c>
      <c r="P24" s="12" t="n">
        <f aca="false">AVERAGEIFS('Data Nominal'!$F$6:$F$94,'Data Nominal'!$C$6:$C$94,$B24)/K24</f>
        <v>0.659286486192979</v>
      </c>
    </row>
    <row r="25" customFormat="false" ht="15" hidden="false" customHeight="false" outlineLevel="0" collapsed="false">
      <c r="B25" s="18" t="n">
        <v>2023</v>
      </c>
      <c r="C25" s="10" t="n">
        <f aca="false">AVERAGEIFS('Data Constant'!$E$6:$E$94,'Data Constant'!$C$6:$C$94,$B25)</f>
        <v>717805.725237338</v>
      </c>
      <c r="D25" s="10" t="n">
        <f aca="false">AVERAGEIFS('Data Constant'!$F$6:$F$94,'Data Constant'!$C$6:$C$94,$B25)</f>
        <v>525280.734065751</v>
      </c>
      <c r="E25" s="10" t="n">
        <f aca="false">AVERAGEIFS('Data Constant'!$G$6:$G$94,'Data Constant'!$C$6:$C$94,$B25)</f>
        <v>100130.789551608</v>
      </c>
      <c r="F25" s="10" t="n">
        <f aca="false">AVERAGEIFS('Data Constant'!$H$6:$H$94,'Data Constant'!$C$6:$C$94,$B25)</f>
        <v>149643.565354753</v>
      </c>
      <c r="G25" s="10" t="n">
        <f aca="false">AVERAGEIFS('Data Constant'!$M$6:$M$94,'Data Constant'!$C$6:$C$94,$B25)</f>
        <v>4397.53697145335</v>
      </c>
      <c r="H25" s="10" t="n">
        <f aca="false">AVERAGEIFS('Data Constant'!$K$6:$K$94,'Data Constant'!$C$6:$C$94,$B25)</f>
        <v>135848.148953677</v>
      </c>
      <c r="I25" s="10" t="n">
        <f aca="false">AVERAGEIFS('Data Constant'!$L$6:$L$94,'Data Constant'!$C$6:$C$94,$B25)</f>
        <v>197495.049659903</v>
      </c>
      <c r="J25" s="20" t="n">
        <f aca="false">C25/C24-1</f>
        <v>-0.018508324789034</v>
      </c>
      <c r="K25" s="10" t="n">
        <f aca="false">AVERAGEIFS('Data Nominal'!$E$6:$E$94,'Data Nominal'!$C$6:$C$94,$B25)</f>
        <v>193946178.615524</v>
      </c>
      <c r="L25" s="19" t="n">
        <f aca="false">SUMIFS('Data Nominal'!$Q$6:$Q$94,'Data Nominal'!$C$6:$C$94,$B25)/1000</f>
        <v>658.221498274765</v>
      </c>
      <c r="M25" s="12" t="n">
        <f aca="false">(K25/C25)/(K24/C24)-1</f>
        <v>1.38622605545632</v>
      </c>
      <c r="N25" s="12" t="n">
        <f aca="false">K25/K24-1</f>
        <v>1.34206100860188</v>
      </c>
      <c r="O25" s="12" t="n">
        <f aca="false">AVERAGEIFS('Data Nominal'!$H$6:$H$94,'Data Nominal'!$C$6:$C$94,$B25)/K25</f>
        <v>0.183889288339485</v>
      </c>
      <c r="P25" s="12" t="n">
        <f aca="false">AVERAGEIFS('Data Nominal'!$F$6:$F$94,'Data Nominal'!$C$6:$C$94,$B25)/K25</f>
        <v>0.657654537535371</v>
      </c>
    </row>
    <row r="26" customFormat="false" ht="15" hidden="false" customHeight="false" outlineLevel="0" collapsed="false">
      <c r="B26" s="18" t="n">
        <v>2024</v>
      </c>
      <c r="C26" s="10" t="n">
        <f aca="false">AVERAGEIFS('Data Constant'!$E$6:$E$94,'Data Constant'!$C$6:$C$94,$B26)</f>
        <v>707987.884558513</v>
      </c>
      <c r="D26" s="10" t="n">
        <f aca="false">AVERAGEIFS('Data Constant'!$F$6:$F$94,'Data Constant'!$C$6:$C$94,$B26)</f>
        <v>510223.796832674</v>
      </c>
      <c r="E26" s="10" t="n">
        <f aca="false">AVERAGEIFS('Data Constant'!$G$6:$G$94,'Data Constant'!$C$6:$C$94,$B26)</f>
        <v>97096.4984333378</v>
      </c>
      <c r="F26" s="10" t="n">
        <f aca="false">AVERAGEIFS('Data Constant'!$H$6:$H$94,'Data Constant'!$C$6:$C$94,$B26)</f>
        <v>123410.267596144</v>
      </c>
      <c r="G26" s="10" t="n">
        <f aca="false">AVERAGEIFS('Data Constant'!$M$6:$M$94,'Data Constant'!$C$6:$C$94,$B26)</f>
        <v>-9889.81229232106</v>
      </c>
      <c r="H26" s="10" t="n">
        <f aca="false">AVERAGEIFS('Data Constant'!$K$6:$K$94,'Data Constant'!$C$6:$C$94,$B26)</f>
        <v>164061.030594665</v>
      </c>
      <c r="I26" s="10" t="n">
        <f aca="false">AVERAGEIFS('Data Constant'!$L$6:$L$94,'Data Constant'!$C$6:$C$94,$B26)</f>
        <v>176913.896605987</v>
      </c>
      <c r="J26" s="20" t="n">
        <f aca="false">C26/C25-1</f>
        <v>-0.0136775736576618</v>
      </c>
      <c r="K26" s="10" t="n">
        <f aca="false">AVERAGEIFS('Data Nominal'!$E$6:$E$94,'Data Nominal'!$C$6:$C$94,$B26)</f>
        <v>584377011.02669</v>
      </c>
      <c r="L26" s="19" t="n">
        <f aca="false">SUMIFS('Data Nominal'!$Q$6:$Q$94,'Data Nominal'!$C$6:$C$94,$B26)/1000</f>
        <v>633.194650166078</v>
      </c>
      <c r="M26" s="12" t="n">
        <f aca="false">(K26/C26)/(K25/C25)-1</f>
        <v>2.05487178866844</v>
      </c>
      <c r="N26" s="12" t="n">
        <f aca="false">K26/K25-1</f>
        <v>2.01308855476421</v>
      </c>
      <c r="O26" s="12" t="n">
        <f aca="false">AVERAGEIFS('Data Nominal'!$H$6:$H$94,'Data Nominal'!$C$6:$C$94,$B26)/K26</f>
        <v>0.16245528677501</v>
      </c>
      <c r="P26" s="12" t="n">
        <f aca="false">AVERAGEIFS('Data Nominal'!$F$6:$F$94,'Data Nominal'!$C$6:$C$94,$B26)/K26</f>
        <v>0.673702439701454</v>
      </c>
    </row>
    <row r="27" customFormat="false" ht="15" hidden="false" customHeight="false" outlineLevel="0" collapsed="false">
      <c r="B27" s="18" t="n">
        <v>2025</v>
      </c>
      <c r="C27" s="10" t="n">
        <f aca="false">AVERAGEIFS('Data Constant'!$E$6:$E$94,'Data Constant'!$C$6:$C$94,$B27)</f>
        <v>739728.713372309</v>
      </c>
      <c r="D27" s="10" t="n">
        <f aca="false">AVERAGEIFS('Data Constant'!$F$6:$F$94,'Data Constant'!$C$6:$C$94,$B27)</f>
        <v>553933.795191414</v>
      </c>
      <c r="E27" s="10" t="n">
        <f aca="false">AVERAGEIFS('Data Constant'!$G$6:$G$94,'Data Constant'!$C$6:$C$94,$B27)</f>
        <v>97462.318913257</v>
      </c>
      <c r="F27" s="10" t="n">
        <f aca="false">AVERAGEIFS('Data Constant'!$H$6:$H$94,'Data Constant'!$C$6:$C$94,$B27)</f>
        <v>143418.322658749</v>
      </c>
      <c r="G27" s="10" t="n">
        <f aca="false">AVERAGEIFS('Data Constant'!$M$6:$M$94,'Data Constant'!$C$6:$C$94,$B27)</f>
        <v>-6016.78922458574</v>
      </c>
      <c r="H27" s="10" t="n">
        <f aca="false">AVERAGEIFS('Data Constant'!$K$6:$K$94,'Data Constant'!$C$6:$C$94,$B27)</f>
        <v>177396.287969635</v>
      </c>
      <c r="I27" s="10" t="n">
        <f aca="false">AVERAGEIFS('Data Constant'!$L$6:$L$94,'Data Constant'!$C$6:$C$94,$B27)</f>
        <v>226465.222136161</v>
      </c>
      <c r="J27" s="20" t="n">
        <f aca="false">C27/C26-1</f>
        <v>0.0448324462975642</v>
      </c>
      <c r="K27" s="10" t="n">
        <f aca="false">AVERAGEIFS('Data Nominal'!$E$6:$E$94,'Data Nominal'!$C$6:$C$94,$B27)</f>
        <v>850239798.224875</v>
      </c>
      <c r="L27" s="19" t="n">
        <f aca="false">SUMIFS('Data Nominal'!$Q$6:$Q$94,'Data Nominal'!$C$6:$C$94,$B27)/1000</f>
        <v>685.480119293686</v>
      </c>
      <c r="M27" s="12" t="n">
        <f aca="false">(K27/C27)/(K26/C26)-1</f>
        <v>0.39252068849909</v>
      </c>
      <c r="N27" s="12" t="n">
        <f aca="false">K27/K26-1</f>
        <v>0.454950797484472</v>
      </c>
      <c r="O27" s="12" t="n">
        <f aca="false">AVERAGEIFS('Data Nominal'!$H$6:$H$94,'Data Nominal'!$C$6:$C$94,$B27)/K27</f>
        <v>0.165500437475548</v>
      </c>
      <c r="P27" s="12" t="n">
        <f aca="false">AVERAGEIFS('Data Nominal'!$F$6:$F$94,'Data Nominal'!$C$6:$C$94,$B27)/K27</f>
        <v>0.7082844665211</v>
      </c>
    </row>
    <row r="29" customFormat="false" ht="15" hidden="false" customHeight="false" outlineLevel="0" collapsed="false">
      <c r="B29" s="13" t="s">
        <v>179</v>
      </c>
    </row>
    <row r="30" customFormat="false" ht="15" hidden="false" customHeight="false" outlineLevel="0" collapsed="false">
      <c r="B30" s="13"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L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0"/>
    <col collapsed="false" customWidth="true" hidden="false" outlineLevel="0" max="5" min="4" style="0" width="12"/>
    <col collapsed="false" customWidth="true" hidden="false" outlineLevel="0" max="6" min="6" style="0" width="10"/>
    <col collapsed="false" customWidth="true" hidden="false" outlineLevel="0" max="7" min="7" style="0" width="13"/>
    <col collapsed="false" customWidth="true" hidden="false" outlineLevel="0" max="9" min="8" style="0" width="10"/>
    <col collapsed="false" customWidth="true" hidden="false" outlineLevel="0" max="10" min="10" style="0" width="13"/>
    <col collapsed="false" customWidth="true" hidden="false" outlineLevel="0" max="11" min="11" style="0" width="12"/>
    <col collapsed="false" customWidth="true" hidden="false" outlineLevel="0" max="12" min="12" style="0" width="13"/>
  </cols>
  <sheetData>
    <row r="2" customFormat="false" ht="25.5" hidden="false" customHeight="true" outlineLevel="0" collapsed="false">
      <c r="B2" s="1" t="s">
        <v>181</v>
      </c>
    </row>
    <row r="3" customFormat="false" ht="15" hidden="false" customHeight="false" outlineLevel="0" collapsed="false">
      <c r="B3" s="2" t="s">
        <v>182</v>
      </c>
    </row>
    <row r="4" customFormat="false" ht="15" hidden="false" customHeight="false" outlineLevel="0" collapsed="false">
      <c r="B4" s="2" t="s">
        <v>183</v>
      </c>
    </row>
    <row r="6" customFormat="false" ht="15" hidden="false" customHeight="false" outlineLevel="0" collapsed="false">
      <c r="B6" s="3" t="s">
        <v>184</v>
      </c>
    </row>
    <row r="7" customFormat="false" ht="30" hidden="false" customHeight="true" outlineLevel="0" collapsed="false">
      <c r="B7" s="6" t="s">
        <v>34</v>
      </c>
      <c r="C7" s="6" t="s">
        <v>48</v>
      </c>
      <c r="D7" s="6" t="s">
        <v>38</v>
      </c>
      <c r="E7" s="6" t="s">
        <v>39</v>
      </c>
      <c r="F7" s="6" t="s">
        <v>169</v>
      </c>
      <c r="G7" s="6" t="s">
        <v>45</v>
      </c>
      <c r="H7" s="6" t="s">
        <v>170</v>
      </c>
      <c r="I7" s="6" t="s">
        <v>171</v>
      </c>
      <c r="J7" s="6" t="s">
        <v>185</v>
      </c>
      <c r="K7" s="6" t="s">
        <v>186</v>
      </c>
      <c r="L7" s="6" t="s">
        <v>187</v>
      </c>
    </row>
    <row r="8" customFormat="false" ht="15" hidden="false" customHeight="false" outlineLevel="0" collapsed="false">
      <c r="B8" s="21" t="str">
        <f aca="false">'Data Constant'!B10</f>
        <v>2005-Q1</v>
      </c>
      <c r="C8" s="22" t="n">
        <f aca="false">('Data Constant'!E10/'Data Constant'!E6-1)*100</f>
        <v>7.21878676041452</v>
      </c>
      <c r="D8" s="23" t="n">
        <f aca="false">('Data Constant'!F10-'Data Constant'!F6)/'Data Constant'!$E6*100</f>
        <v>3.16323973242659</v>
      </c>
      <c r="E8" s="23" t="n">
        <f aca="false">('Data Constant'!G10-'Data Constant'!G6)/'Data Constant'!$E6*100</f>
        <v>0.975740974308355</v>
      </c>
      <c r="F8" s="23" t="n">
        <f aca="false">('Data Constant'!H10-'Data Constant'!H6)/'Data Constant'!$E6*100</f>
        <v>1.92845138186125</v>
      </c>
      <c r="G8" s="23" t="n">
        <f aca="false">('Data Constant'!M10-'Data Constant'!M6)/'Data Constant'!$E6*100</f>
        <v>0.156180459100574</v>
      </c>
      <c r="H8" s="23" t="n">
        <f aca="false">('Data Constant'!K10-'Data Constant'!K6)/'Data Constant'!$E6*100</f>
        <v>3.56512019685184</v>
      </c>
      <c r="I8" s="23" t="n">
        <f aca="false">-('Data Constant'!L10-'Data Constant'!L6)/'Data Constant'!$E6*100</f>
        <v>-2.56996697726689</v>
      </c>
      <c r="J8" s="24" t="n">
        <f aca="false">SUM(D8:I8)</f>
        <v>7.21876576728171</v>
      </c>
      <c r="K8" s="25" t="n">
        <f aca="false">J8-C8</f>
        <v>-2.09931328098989E-005</v>
      </c>
      <c r="L8" s="26" t="str">
        <f aca="false">IF(OR('Data Constant'!J10="",'Data Constant'!J6=""),"",('Data Constant'!J10-'Data Constant'!J6)/'Data Constant'!$E6*100)</f>
        <v/>
      </c>
    </row>
    <row r="9" customFormat="false" ht="15" hidden="false" customHeight="false" outlineLevel="0" collapsed="false">
      <c r="B9" s="21" t="str">
        <f aca="false">'Data Constant'!B11</f>
        <v>2005-Q2</v>
      </c>
      <c r="C9" s="22" t="n">
        <f aca="false">('Data Constant'!E11/'Data Constant'!E7-1)*100</f>
        <v>13.0779807239928</v>
      </c>
      <c r="D9" s="23" t="n">
        <f aca="false">('Data Constant'!F11-'Data Constant'!F7)/'Data Constant'!$E7*100</f>
        <v>9.1326720069529</v>
      </c>
      <c r="E9" s="23" t="n">
        <f aca="false">('Data Constant'!G11-'Data Constant'!G7)/'Data Constant'!$E7*100</f>
        <v>1.19361305827795</v>
      </c>
      <c r="F9" s="23" t="n">
        <f aca="false">('Data Constant'!H11-'Data Constant'!H7)/'Data Constant'!$E7*100</f>
        <v>2.43253954795172</v>
      </c>
      <c r="G9" s="23" t="n">
        <f aca="false">('Data Constant'!M11-'Data Constant'!M7)/'Data Constant'!$E7*100</f>
        <v>0.0327314669027161</v>
      </c>
      <c r="H9" s="23" t="n">
        <f aca="false">('Data Constant'!K11-'Data Constant'!K7)/'Data Constant'!$E7*100</f>
        <v>3.64607854158419</v>
      </c>
      <c r="I9" s="23" t="n">
        <f aca="false">-('Data Constant'!L11-'Data Constant'!L7)/'Data Constant'!$E7*100</f>
        <v>-3.35965030247786</v>
      </c>
      <c r="J9" s="24" t="n">
        <f aca="false">SUM(D9:I9)</f>
        <v>13.0779843191916</v>
      </c>
      <c r="K9" s="25" t="n">
        <f aca="false">J9-C9</f>
        <v>3.59519883019743E-006</v>
      </c>
      <c r="L9" s="26" t="str">
        <f aca="false">IF(OR('Data Constant'!J11="",'Data Constant'!J7=""),"",('Data Constant'!J11-'Data Constant'!J7)/'Data Constant'!$E7*100)</f>
        <v/>
      </c>
    </row>
    <row r="10" customFormat="false" ht="15" hidden="false" customHeight="false" outlineLevel="0" collapsed="false">
      <c r="B10" s="21" t="str">
        <f aca="false">'Data Constant'!B12</f>
        <v>2005-Q3</v>
      </c>
      <c r="C10" s="22" t="n">
        <f aca="false">('Data Constant'!E12/'Data Constant'!E8-1)*100</f>
        <v>6.97197786983206</v>
      </c>
      <c r="D10" s="23" t="n">
        <f aca="false">('Data Constant'!F12-'Data Constant'!F8)/'Data Constant'!$E8*100</f>
        <v>2.78306898611631</v>
      </c>
      <c r="E10" s="23" t="n">
        <f aca="false">('Data Constant'!G12-'Data Constant'!G8)/'Data Constant'!$E8*100</f>
        <v>1.09259095988794</v>
      </c>
      <c r="F10" s="23" t="n">
        <f aca="false">('Data Constant'!H12-'Data Constant'!H8)/'Data Constant'!$E8*100</f>
        <v>2.22264290717498</v>
      </c>
      <c r="G10" s="23" t="n">
        <f aca="false">('Data Constant'!M12-'Data Constant'!M8)/'Data Constant'!$E8*100</f>
        <v>-0.0376118952679729</v>
      </c>
      <c r="H10" s="23" t="n">
        <f aca="false">('Data Constant'!K12-'Data Constant'!K8)/'Data Constant'!$E8*100</f>
        <v>3.28659602533806</v>
      </c>
      <c r="I10" s="23" t="n">
        <f aca="false">-('Data Constant'!L12-'Data Constant'!L8)/'Data Constant'!$E8*100</f>
        <v>-2.37530364465988</v>
      </c>
      <c r="J10" s="24" t="n">
        <f aca="false">SUM(D10:I10)</f>
        <v>6.97198333858943</v>
      </c>
      <c r="K10" s="25" t="n">
        <f aca="false">J10-C10</f>
        <v>5.46875737583719E-006</v>
      </c>
      <c r="L10" s="26" t="str">
        <f aca="false">IF(OR('Data Constant'!J12="",'Data Constant'!J8=""),"",('Data Constant'!J12-'Data Constant'!J8)/'Data Constant'!$E8*100)</f>
        <v/>
      </c>
    </row>
    <row r="11" customFormat="false" ht="15" hidden="false" customHeight="false" outlineLevel="0" collapsed="false">
      <c r="B11" s="21" t="str">
        <f aca="false">'Data Constant'!B13</f>
        <v>2005-Q4</v>
      </c>
      <c r="C11" s="22" t="n">
        <f aca="false">('Data Constant'!E13/'Data Constant'!E9-1)*100</f>
        <v>7.78289449927465</v>
      </c>
      <c r="D11" s="23" t="n">
        <f aca="false">('Data Constant'!F13-'Data Constant'!F9)/'Data Constant'!$E9*100</f>
        <v>3.58113044175276</v>
      </c>
      <c r="E11" s="23" t="n">
        <f aca="false">('Data Constant'!G13-'Data Constant'!G9)/'Data Constant'!$E9*100</f>
        <v>1.10759766423287</v>
      </c>
      <c r="F11" s="23" t="n">
        <f aca="false">('Data Constant'!H13-'Data Constant'!H9)/'Data Constant'!$E9*100</f>
        <v>3.45305145133155</v>
      </c>
      <c r="G11" s="23" t="n">
        <f aca="false">('Data Constant'!M13-'Data Constant'!M9)/'Data Constant'!$E9*100</f>
        <v>0.17946060653621</v>
      </c>
      <c r="H11" s="23" t="n">
        <f aca="false">('Data Constant'!K13-'Data Constant'!K9)/'Data Constant'!$E9*100</f>
        <v>1.78575610951636</v>
      </c>
      <c r="I11" s="23" t="n">
        <f aca="false">-('Data Constant'!L13-'Data Constant'!L9)/'Data Constant'!$E9*100</f>
        <v>-2.32409107549577</v>
      </c>
      <c r="J11" s="24" t="n">
        <f aca="false">SUM(D11:I11)</f>
        <v>7.78290519787397</v>
      </c>
      <c r="K11" s="25" t="n">
        <f aca="false">J11-C11</f>
        <v>1.0698599316683E-005</v>
      </c>
      <c r="L11" s="26" t="str">
        <f aca="false">IF(OR('Data Constant'!J13="",'Data Constant'!J9=""),"",('Data Constant'!J13-'Data Constant'!J9)/'Data Constant'!$E9*100)</f>
        <v/>
      </c>
    </row>
    <row r="12" customFormat="false" ht="15" hidden="false" customHeight="false" outlineLevel="0" collapsed="false">
      <c r="B12" s="21" t="str">
        <f aca="false">'Data Constant'!B14</f>
        <v>2006-Q1</v>
      </c>
      <c r="C12" s="22" t="n">
        <f aca="false">('Data Constant'!E14/'Data Constant'!E10-1)*100</f>
        <v>7.84957106960191</v>
      </c>
      <c r="D12" s="23" t="n">
        <f aca="false">('Data Constant'!F14-'Data Constant'!F10)/'Data Constant'!$E10*100</f>
        <v>7.10862589737274</v>
      </c>
      <c r="E12" s="23" t="n">
        <f aca="false">('Data Constant'!G14-'Data Constant'!G10)/'Data Constant'!$E10*100</f>
        <v>0.546902411130017</v>
      </c>
      <c r="F12" s="23" t="n">
        <f aca="false">('Data Constant'!H14-'Data Constant'!H10)/'Data Constant'!$E10*100</f>
        <v>2.66695116614677</v>
      </c>
      <c r="G12" s="23" t="n">
        <f aca="false">('Data Constant'!M14-'Data Constant'!M10)/'Data Constant'!$E10*100</f>
        <v>-1.44084358285674</v>
      </c>
      <c r="H12" s="23" t="n">
        <f aca="false">('Data Constant'!K14-'Data Constant'!K10)/'Data Constant'!$E10*100</f>
        <v>1.34010984551949</v>
      </c>
      <c r="I12" s="23" t="n">
        <f aca="false">-('Data Constant'!L14-'Data Constant'!L10)/'Data Constant'!$E10*100</f>
        <v>-2.37217466771038</v>
      </c>
      <c r="J12" s="24" t="n">
        <f aca="false">SUM(D12:I12)</f>
        <v>7.8495710696019</v>
      </c>
      <c r="K12" s="25" t="n">
        <f aca="false">J12-C12</f>
        <v>0</v>
      </c>
      <c r="L12" s="26" t="str">
        <f aca="false">IF(OR('Data Constant'!J14="",'Data Constant'!J10=""),"",('Data Constant'!J14-'Data Constant'!J10)/'Data Constant'!$E10*100)</f>
        <v/>
      </c>
    </row>
    <row r="13" customFormat="false" ht="15" hidden="false" customHeight="false" outlineLevel="0" collapsed="false">
      <c r="B13" s="21" t="str">
        <f aca="false">'Data Constant'!B15</f>
        <v>2006-Q2</v>
      </c>
      <c r="C13" s="22" t="n">
        <f aca="false">('Data Constant'!E15/'Data Constant'!E11-1)*100</f>
        <v>5.57158530410582</v>
      </c>
      <c r="D13" s="23" t="n">
        <f aca="false">('Data Constant'!F15-'Data Constant'!F11)/'Data Constant'!$E11*100</f>
        <v>4.64811249119204</v>
      </c>
      <c r="E13" s="23" t="n">
        <f aca="false">('Data Constant'!G15-'Data Constant'!G11)/'Data Constant'!$E11*100</f>
        <v>0.307871468065194</v>
      </c>
      <c r="F13" s="23" t="n">
        <f aca="false">('Data Constant'!H15-'Data Constant'!H11)/'Data Constant'!$E11*100</f>
        <v>1.8648867900115</v>
      </c>
      <c r="G13" s="23" t="n">
        <f aca="false">('Data Constant'!M15-'Data Constant'!M11)/'Data Constant'!$E11*100</f>
        <v>-1.03579406506424</v>
      </c>
      <c r="H13" s="23" t="n">
        <f aca="false">('Data Constant'!K15-'Data Constant'!K11)/'Data Constant'!$E11*100</f>
        <v>0.552522311504594</v>
      </c>
      <c r="I13" s="23" t="n">
        <f aca="false">-('Data Constant'!L15-'Data Constant'!L11)/'Data Constant'!$E11*100</f>
        <v>-0.766013691603254</v>
      </c>
      <c r="J13" s="24" t="n">
        <f aca="false">SUM(D13:I13)</f>
        <v>5.57158530410583</v>
      </c>
      <c r="K13" s="25" t="n">
        <f aca="false">J13-C13</f>
        <v>0</v>
      </c>
      <c r="L13" s="26" t="str">
        <f aca="false">IF(OR('Data Constant'!J15="",'Data Constant'!J11=""),"",('Data Constant'!J15-'Data Constant'!J11)/'Data Constant'!$E11*100)</f>
        <v/>
      </c>
    </row>
    <row r="14" customFormat="false" ht="15" hidden="false" customHeight="false" outlineLevel="0" collapsed="false">
      <c r="B14" s="21" t="str">
        <f aca="false">'Data Constant'!B16</f>
        <v>2006-Q3</v>
      </c>
      <c r="C14" s="22" t="n">
        <f aca="false">('Data Constant'!E16/'Data Constant'!E12-1)*100</f>
        <v>9.38049028107184</v>
      </c>
      <c r="D14" s="23" t="n">
        <f aca="false">('Data Constant'!F16-'Data Constant'!F12)/'Data Constant'!$E12*100</f>
        <v>9.55157164862056</v>
      </c>
      <c r="E14" s="23" t="n">
        <f aca="false">('Data Constant'!G16-'Data Constant'!G12)/'Data Constant'!$E12*100</f>
        <v>0.361814681267438</v>
      </c>
      <c r="F14" s="23" t="n">
        <f aca="false">('Data Constant'!H16-'Data Constant'!H12)/'Data Constant'!$E12*100</f>
        <v>3.16302080694347</v>
      </c>
      <c r="G14" s="23" t="n">
        <f aca="false">('Data Constant'!M16-'Data Constant'!M12)/'Data Constant'!$E12*100</f>
        <v>-1.91675307359476</v>
      </c>
      <c r="H14" s="23" t="n">
        <f aca="false">('Data Constant'!K16-'Data Constant'!K12)/'Data Constant'!$E12*100</f>
        <v>0.746528741686305</v>
      </c>
      <c r="I14" s="23" t="n">
        <f aca="false">-('Data Constant'!L16-'Data Constant'!L12)/'Data Constant'!$E12*100</f>
        <v>-2.52569252385111</v>
      </c>
      <c r="J14" s="24" t="n">
        <f aca="false">SUM(D14:I14)</f>
        <v>9.3804902810719</v>
      </c>
      <c r="K14" s="25" t="n">
        <f aca="false">J14-C14</f>
        <v>5.6843418860808E-014</v>
      </c>
      <c r="L14" s="26" t="str">
        <f aca="false">IF(OR('Data Constant'!J16="",'Data Constant'!J12=""),"",('Data Constant'!J16-'Data Constant'!J12)/'Data Constant'!$E12*100)</f>
        <v/>
      </c>
    </row>
    <row r="15" customFormat="false" ht="15" hidden="false" customHeight="false" outlineLevel="0" collapsed="false">
      <c r="B15" s="21" t="str">
        <f aca="false">'Data Constant'!B17</f>
        <v>2006-Q4</v>
      </c>
      <c r="C15" s="22" t="n">
        <f aca="false">('Data Constant'!E17/'Data Constant'!E13-1)*100</f>
        <v>9.677040376985</v>
      </c>
      <c r="D15" s="23" t="n">
        <f aca="false">('Data Constant'!F17-'Data Constant'!F13)/'Data Constant'!$E13*100</f>
        <v>6.81540718798402</v>
      </c>
      <c r="E15" s="23" t="n">
        <f aca="false">('Data Constant'!G17-'Data Constant'!G13)/'Data Constant'!$E13*100</f>
        <v>0.472420294395841</v>
      </c>
      <c r="F15" s="23" t="n">
        <f aca="false">('Data Constant'!H17-'Data Constant'!H13)/'Data Constant'!$E13*100</f>
        <v>2.18467246588359</v>
      </c>
      <c r="G15" s="23" t="n">
        <f aca="false">('Data Constant'!M17-'Data Constant'!M13)/'Data Constant'!$E13*100</f>
        <v>-0.354785611530761</v>
      </c>
      <c r="H15" s="23" t="n">
        <f aca="false">('Data Constant'!K17-'Data Constant'!K13)/'Data Constant'!$E13*100</f>
        <v>2.94492569904269</v>
      </c>
      <c r="I15" s="23" t="n">
        <f aca="false">-('Data Constant'!L17-'Data Constant'!L13)/'Data Constant'!$E13*100</f>
        <v>-2.38559965879043</v>
      </c>
      <c r="J15" s="24" t="n">
        <f aca="false">SUM(D15:I15)</f>
        <v>9.67704037698495</v>
      </c>
      <c r="K15" s="25" t="n">
        <f aca="false">J15-C15</f>
        <v>-4.79616346638068E-014</v>
      </c>
      <c r="L15" s="26" t="str">
        <f aca="false">IF(OR('Data Constant'!J17="",'Data Constant'!J13=""),"",('Data Constant'!J17-'Data Constant'!J13)/'Data Constant'!$E13*100)</f>
        <v/>
      </c>
    </row>
    <row r="16" customFormat="false" ht="15" hidden="false" customHeight="false" outlineLevel="0" collapsed="false">
      <c r="B16" s="21" t="str">
        <f aca="false">'Data Constant'!B18</f>
        <v>2007-Q1</v>
      </c>
      <c r="C16" s="22" t="n">
        <f aca="false">('Data Constant'!E18/'Data Constant'!E14-1)*100</f>
        <v>8.35894113627564</v>
      </c>
      <c r="D16" s="23" t="n">
        <f aca="false">('Data Constant'!F18-'Data Constant'!F14)/'Data Constant'!$E14*100</f>
        <v>7.44978599367357</v>
      </c>
      <c r="E16" s="23" t="n">
        <f aca="false">('Data Constant'!G18-'Data Constant'!G14)/'Data Constant'!$E14*100</f>
        <v>0.816256166934257</v>
      </c>
      <c r="F16" s="23" t="n">
        <f aca="false">('Data Constant'!H18-'Data Constant'!H14)/'Data Constant'!$E14*100</f>
        <v>3.31041348331884</v>
      </c>
      <c r="G16" s="23" t="n">
        <f aca="false">('Data Constant'!M18-'Data Constant'!M14)/'Data Constant'!$E14*100</f>
        <v>-1.06307901737212</v>
      </c>
      <c r="H16" s="23" t="n">
        <f aca="false">('Data Constant'!K18-'Data Constant'!K14)/'Data Constant'!$E14*100</f>
        <v>0.78755782803596</v>
      </c>
      <c r="I16" s="23" t="n">
        <f aca="false">-('Data Constant'!L18-'Data Constant'!L14)/'Data Constant'!$E14*100</f>
        <v>-2.94199331831489</v>
      </c>
      <c r="J16" s="24" t="n">
        <f aca="false">SUM(D16:I16)</f>
        <v>8.35894113627562</v>
      </c>
      <c r="K16" s="25" t="n">
        <f aca="false">J16-C16</f>
        <v>0</v>
      </c>
      <c r="L16" s="26" t="str">
        <f aca="false">IF(OR('Data Constant'!J18="",'Data Constant'!J14=""),"",('Data Constant'!J18-'Data Constant'!J14)/'Data Constant'!$E14*100)</f>
        <v/>
      </c>
    </row>
    <row r="17" customFormat="false" ht="15" hidden="false" customHeight="false" outlineLevel="0" collapsed="false">
      <c r="B17" s="21" t="str">
        <f aca="false">'Data Constant'!B19</f>
        <v>2007-Q2</v>
      </c>
      <c r="C17" s="22" t="n">
        <f aca="false">('Data Constant'!E19/'Data Constant'!E15-1)*100</f>
        <v>9.85938738676382</v>
      </c>
      <c r="D17" s="23" t="n">
        <f aca="false">('Data Constant'!F19-'Data Constant'!F15)/'Data Constant'!$E15*100</f>
        <v>5.08592177460837</v>
      </c>
      <c r="E17" s="23" t="n">
        <f aca="false">('Data Constant'!G19-'Data Constant'!G15)/'Data Constant'!$E15*100</f>
        <v>0.856066340467182</v>
      </c>
      <c r="F17" s="23" t="n">
        <f aca="false">('Data Constant'!H19-'Data Constant'!H15)/'Data Constant'!$E15*100</f>
        <v>3.25973202540691</v>
      </c>
      <c r="G17" s="23" t="n">
        <f aca="false">('Data Constant'!M19-'Data Constant'!M15)/'Data Constant'!$E15*100</f>
        <v>1.55533159623477</v>
      </c>
      <c r="H17" s="23" t="n">
        <f aca="false">('Data Constant'!K19-'Data Constant'!K15)/'Data Constant'!$E15*100</f>
        <v>1.69703961682189</v>
      </c>
      <c r="I17" s="23" t="n">
        <f aca="false">-('Data Constant'!L19-'Data Constant'!L15)/'Data Constant'!$E15*100</f>
        <v>-2.59470396677531</v>
      </c>
      <c r="J17" s="24" t="n">
        <f aca="false">SUM(D17:I17)</f>
        <v>9.85938738676383</v>
      </c>
      <c r="K17" s="25" t="n">
        <f aca="false">J17-C17</f>
        <v>0</v>
      </c>
      <c r="L17" s="26" t="str">
        <f aca="false">IF(OR('Data Constant'!J19="",'Data Constant'!J15=""),"",('Data Constant'!J19-'Data Constant'!J15)/'Data Constant'!$E15*100)</f>
        <v/>
      </c>
    </row>
    <row r="18" customFormat="false" ht="15" hidden="false" customHeight="false" outlineLevel="0" collapsed="false">
      <c r="B18" s="21" t="str">
        <f aca="false">'Data Constant'!B20</f>
        <v>2007-Q3</v>
      </c>
      <c r="C18" s="22" t="n">
        <f aca="false">('Data Constant'!E20/'Data Constant'!E16-1)*100</f>
        <v>8.42779771268098</v>
      </c>
      <c r="D18" s="23" t="n">
        <f aca="false">('Data Constant'!F20-'Data Constant'!F16)/'Data Constant'!$E16*100</f>
        <v>5.36253505508544</v>
      </c>
      <c r="E18" s="23" t="n">
        <f aca="false">('Data Constant'!G20-'Data Constant'!G16)/'Data Constant'!$E16*100</f>
        <v>0.812014678304438</v>
      </c>
      <c r="F18" s="23" t="n">
        <f aca="false">('Data Constant'!H20-'Data Constant'!H16)/'Data Constant'!$E16*100</f>
        <v>4.02592323885976</v>
      </c>
      <c r="G18" s="23" t="n">
        <f aca="false">('Data Constant'!M20-'Data Constant'!M16)/'Data Constant'!$E16*100</f>
        <v>0.298282162092358</v>
      </c>
      <c r="H18" s="23" t="n">
        <f aca="false">('Data Constant'!K20-'Data Constant'!K16)/'Data Constant'!$E16*100</f>
        <v>2.60843351893683</v>
      </c>
      <c r="I18" s="23" t="n">
        <f aca="false">-('Data Constant'!L20-'Data Constant'!L16)/'Data Constant'!$E16*100</f>
        <v>-4.67939094059784</v>
      </c>
      <c r="J18" s="24" t="n">
        <f aca="false">SUM(D18:I18)</f>
        <v>8.42779771268097</v>
      </c>
      <c r="K18" s="25" t="n">
        <f aca="false">J18-C18</f>
        <v>0</v>
      </c>
      <c r="L18" s="26" t="str">
        <f aca="false">IF(OR('Data Constant'!J20="",'Data Constant'!J16=""),"",('Data Constant'!J20-'Data Constant'!J16)/'Data Constant'!$E16*100)</f>
        <v/>
      </c>
    </row>
    <row r="19" customFormat="false" ht="15" hidden="false" customHeight="false" outlineLevel="0" collapsed="false">
      <c r="B19" s="21" t="str">
        <f aca="false">'Data Constant'!B21</f>
        <v>2007-Q4</v>
      </c>
      <c r="C19" s="22" t="n">
        <f aca="false">('Data Constant'!E21/'Data Constant'!E17-1)*100</f>
        <v>9.2673486299768</v>
      </c>
      <c r="D19" s="23" t="n">
        <f aca="false">('Data Constant'!F21-'Data Constant'!F17)/'Data Constant'!$E17*100</f>
        <v>6.6052232062447</v>
      </c>
      <c r="E19" s="23" t="n">
        <f aca="false">('Data Constant'!G21-'Data Constant'!G17)/'Data Constant'!$E17*100</f>
        <v>0.884792069188436</v>
      </c>
      <c r="F19" s="23" t="n">
        <f aca="false">('Data Constant'!H21-'Data Constant'!H17)/'Data Constant'!$E17*100</f>
        <v>4.07373488098413</v>
      </c>
      <c r="G19" s="23" t="n">
        <f aca="false">('Data Constant'!M21-'Data Constant'!M17)/'Data Constant'!$E17*100</f>
        <v>-0.745196549206251</v>
      </c>
      <c r="H19" s="23" t="n">
        <f aca="false">('Data Constant'!K21-'Data Constant'!K17)/'Data Constant'!$E17*100</f>
        <v>2.74503093953966</v>
      </c>
      <c r="I19" s="23" t="n">
        <f aca="false">-('Data Constant'!L21-'Data Constant'!L17)/'Data Constant'!$E17*100</f>
        <v>-4.29623591677387</v>
      </c>
      <c r="J19" s="24" t="n">
        <f aca="false">SUM(D19:I19)</f>
        <v>9.26734862997681</v>
      </c>
      <c r="K19" s="25" t="n">
        <f aca="false">J19-C19</f>
        <v>0</v>
      </c>
      <c r="L19" s="26" t="str">
        <f aca="false">IF(OR('Data Constant'!J21="",'Data Constant'!J17=""),"",('Data Constant'!J21-'Data Constant'!J17)/'Data Constant'!$E17*100)</f>
        <v/>
      </c>
    </row>
    <row r="20" customFormat="false" ht="15" hidden="false" customHeight="false" outlineLevel="0" collapsed="false">
      <c r="B20" s="21" t="str">
        <f aca="false">'Data Constant'!B22</f>
        <v>2008-Q1</v>
      </c>
      <c r="C20" s="22" t="n">
        <f aca="false">('Data Constant'!E22/'Data Constant'!E18-1)*100</f>
        <v>6.91231457663233</v>
      </c>
      <c r="D20" s="23" t="n">
        <f aca="false">('Data Constant'!F22-'Data Constant'!F18)/'Data Constant'!$E18*100</f>
        <v>6.96198581143877</v>
      </c>
      <c r="E20" s="23" t="n">
        <f aca="false">('Data Constant'!G22-'Data Constant'!G18)/'Data Constant'!$E18*100</f>
        <v>0.401126459774985</v>
      </c>
      <c r="F20" s="23" t="n">
        <f aca="false">('Data Constant'!H22-'Data Constant'!H18)/'Data Constant'!$E18*100</f>
        <v>3.36428528155893</v>
      </c>
      <c r="G20" s="23" t="n">
        <f aca="false">('Data Constant'!M22-'Data Constant'!M18)/'Data Constant'!$E18*100</f>
        <v>-0.672430161691656</v>
      </c>
      <c r="H20" s="23" t="n">
        <f aca="false">('Data Constant'!K22-'Data Constant'!K18)/'Data Constant'!$E18*100</f>
        <v>1.42349067752001</v>
      </c>
      <c r="I20" s="23" t="n">
        <f aca="false">-('Data Constant'!L22-'Data Constant'!L18)/'Data Constant'!$E18*100</f>
        <v>-4.56614349196875</v>
      </c>
      <c r="J20" s="24" t="n">
        <f aca="false">SUM(D20:I20)</f>
        <v>6.9123145766323</v>
      </c>
      <c r="K20" s="25" t="n">
        <f aca="false">J20-C20</f>
        <v>-2.8421709430404E-014</v>
      </c>
      <c r="L20" s="26" t="str">
        <f aca="false">IF(OR('Data Constant'!J22="",'Data Constant'!J18=""),"",('Data Constant'!J22-'Data Constant'!J18)/'Data Constant'!$E18*100)</f>
        <v/>
      </c>
    </row>
    <row r="21" customFormat="false" ht="15" hidden="false" customHeight="false" outlineLevel="0" collapsed="false">
      <c r="B21" s="21" t="str">
        <f aca="false">'Data Constant'!B23</f>
        <v>2008-Q2</v>
      </c>
      <c r="C21" s="22" t="n">
        <f aca="false">('Data Constant'!E23/'Data Constant'!E19-1)*100</f>
        <v>5.45268547475248</v>
      </c>
      <c r="D21" s="23" t="n">
        <f aca="false">('Data Constant'!F23-'Data Constant'!F19)/'Data Constant'!$E19*100</f>
        <v>6.15640109077931</v>
      </c>
      <c r="E21" s="23" t="n">
        <f aca="false">('Data Constant'!G23-'Data Constant'!G19)/'Data Constant'!$E19*100</f>
        <v>0.576400385318905</v>
      </c>
      <c r="F21" s="23" t="n">
        <f aca="false">('Data Constant'!H23-'Data Constant'!H19)/'Data Constant'!$E19*100</f>
        <v>3.20173314384223</v>
      </c>
      <c r="G21" s="23" t="n">
        <f aca="false">('Data Constant'!M23-'Data Constant'!M19)/'Data Constant'!$E19*100</f>
        <v>0.476370699920508</v>
      </c>
      <c r="H21" s="23" t="n">
        <f aca="false">('Data Constant'!K23-'Data Constant'!K19)/'Data Constant'!$E19*100</f>
        <v>-0.605222783579095</v>
      </c>
      <c r="I21" s="23" t="n">
        <f aca="false">-('Data Constant'!L23-'Data Constant'!L19)/'Data Constant'!$E19*100</f>
        <v>-4.35299706152941</v>
      </c>
      <c r="J21" s="24" t="n">
        <f aca="false">SUM(D21:I21)</f>
        <v>5.45268547475246</v>
      </c>
      <c r="K21" s="25" t="n">
        <f aca="false">J21-C21</f>
        <v>-2.57571741713036E-014</v>
      </c>
      <c r="L21" s="26" t="str">
        <f aca="false">IF(OR('Data Constant'!J23="",'Data Constant'!J19=""),"",('Data Constant'!J23-'Data Constant'!J19)/'Data Constant'!$E19*100)</f>
        <v/>
      </c>
    </row>
    <row r="22" customFormat="false" ht="15" hidden="false" customHeight="false" outlineLevel="0" collapsed="false">
      <c r="B22" s="21" t="str">
        <f aca="false">'Data Constant'!B24</f>
        <v>2008-Q3</v>
      </c>
      <c r="C22" s="22" t="n">
        <f aca="false">('Data Constant'!E24/'Data Constant'!E20-1)*100</f>
        <v>6.0060161436698</v>
      </c>
      <c r="D22" s="23" t="n">
        <f aca="false">('Data Constant'!F24-'Data Constant'!F20)/'Data Constant'!$E20*100</f>
        <v>3.62529075060135</v>
      </c>
      <c r="E22" s="23" t="n">
        <f aca="false">('Data Constant'!G24-'Data Constant'!G20)/'Data Constant'!$E20*100</f>
        <v>0.689890045965823</v>
      </c>
      <c r="F22" s="23" t="n">
        <f aca="false">('Data Constant'!H24-'Data Constant'!H20)/'Data Constant'!$E20*100</f>
        <v>1.56575717805511</v>
      </c>
      <c r="G22" s="23" t="n">
        <f aca="false">('Data Constant'!M24-'Data Constant'!M20)/'Data Constant'!$E20*100</f>
        <v>0.388329404230038</v>
      </c>
      <c r="H22" s="23" t="n">
        <f aca="false">('Data Constant'!K24-'Data Constant'!K20)/'Data Constant'!$E20*100</f>
        <v>2.50010431500237</v>
      </c>
      <c r="I22" s="23" t="n">
        <f aca="false">-('Data Constant'!L24-'Data Constant'!L20)/'Data Constant'!$E20*100</f>
        <v>-2.76335555018488</v>
      </c>
      <c r="J22" s="24" t="n">
        <f aca="false">SUM(D22:I22)</f>
        <v>6.00601614366981</v>
      </c>
      <c r="K22" s="25" t="n">
        <f aca="false">J22-C22</f>
        <v>0</v>
      </c>
      <c r="L22" s="26" t="str">
        <f aca="false">IF(OR('Data Constant'!J24="",'Data Constant'!J20=""),"",('Data Constant'!J24-'Data Constant'!J20)/'Data Constant'!$E20*100)</f>
        <v/>
      </c>
    </row>
    <row r="23" customFormat="false" ht="15" hidden="false" customHeight="false" outlineLevel="0" collapsed="false">
      <c r="B23" s="21" t="str">
        <f aca="false">'Data Constant'!B25</f>
        <v>2008-Q4</v>
      </c>
      <c r="C23" s="22" t="n">
        <f aca="false">('Data Constant'!E25/'Data Constant'!E21-1)*100</f>
        <v>-1.9789908841391</v>
      </c>
      <c r="D23" s="23" t="n">
        <f aca="false">('Data Constant'!F25-'Data Constant'!F21)/'Data Constant'!$E21*100</f>
        <v>2.23771875466041</v>
      </c>
      <c r="E23" s="23" t="n">
        <f aca="false">('Data Constant'!G25-'Data Constant'!G21)/'Data Constant'!$E21*100</f>
        <v>0.459501036218464</v>
      </c>
      <c r="F23" s="23" t="n">
        <f aca="false">('Data Constant'!H25-'Data Constant'!H21)/'Data Constant'!$E21*100</f>
        <v>-1.23554815863374</v>
      </c>
      <c r="G23" s="23" t="n">
        <f aca="false">('Data Constant'!M25-'Data Constant'!M21)/'Data Constant'!$E21*100</f>
        <v>-1.74714028077267</v>
      </c>
      <c r="H23" s="23" t="n">
        <f aca="false">('Data Constant'!K25-'Data Constant'!K21)/'Data Constant'!$E21*100</f>
        <v>-2.39290204221861</v>
      </c>
      <c r="I23" s="23" t="n">
        <f aca="false">-('Data Constant'!L25-'Data Constant'!L21)/'Data Constant'!$E21*100</f>
        <v>0.699379806607054</v>
      </c>
      <c r="J23" s="24" t="n">
        <f aca="false">SUM(D23:I23)</f>
        <v>-1.9789908841391</v>
      </c>
      <c r="K23" s="25" t="n">
        <f aca="false">J23-C23</f>
        <v>0</v>
      </c>
      <c r="L23" s="26" t="str">
        <f aca="false">IF(OR('Data Constant'!J25="",'Data Constant'!J21=""),"",('Data Constant'!J25-'Data Constant'!J21)/'Data Constant'!$E21*100)</f>
        <v/>
      </c>
    </row>
    <row r="24" customFormat="false" ht="15" hidden="false" customHeight="false" outlineLevel="0" collapsed="false">
      <c r="B24" s="21" t="str">
        <f aca="false">'Data Constant'!B26</f>
        <v>2009-Q1</v>
      </c>
      <c r="C24" s="22" t="n">
        <f aca="false">('Data Constant'!E26/'Data Constant'!E22-1)*100</f>
        <v>-6.18875514402444</v>
      </c>
      <c r="D24" s="23" t="n">
        <f aca="false">('Data Constant'!F26-'Data Constant'!F22)/'Data Constant'!$E22*100</f>
        <v>-3.93561880266382</v>
      </c>
      <c r="E24" s="23" t="n">
        <f aca="false">('Data Constant'!G26-'Data Constant'!G22)/'Data Constant'!$E22*100</f>
        <v>0.373096905281911</v>
      </c>
      <c r="F24" s="23" t="n">
        <f aca="false">('Data Constant'!H26-'Data Constant'!H22)/'Data Constant'!$E22*100</f>
        <v>-5.73447957721778</v>
      </c>
      <c r="G24" s="23" t="n">
        <f aca="false">('Data Constant'!M26-'Data Constant'!M22)/'Data Constant'!$E22*100</f>
        <v>-0.00226615227454688</v>
      </c>
      <c r="H24" s="23" t="n">
        <f aca="false">('Data Constant'!K26-'Data Constant'!K22)/'Data Constant'!$E22*100</f>
        <v>-1.710248089857</v>
      </c>
      <c r="I24" s="23" t="n">
        <f aca="false">-('Data Constant'!L26-'Data Constant'!L22)/'Data Constant'!$E22*100</f>
        <v>4.82076057270679</v>
      </c>
      <c r="J24" s="24" t="n">
        <f aca="false">SUM(D24:I24)</f>
        <v>-6.18875514402444</v>
      </c>
      <c r="K24" s="25" t="n">
        <f aca="false">J24-C24</f>
        <v>0</v>
      </c>
      <c r="L24" s="26" t="str">
        <f aca="false">IF(OR('Data Constant'!J26="",'Data Constant'!J22=""),"",('Data Constant'!J26-'Data Constant'!J22)/'Data Constant'!$E22*100)</f>
        <v/>
      </c>
    </row>
    <row r="25" customFormat="false" ht="15" hidden="false" customHeight="false" outlineLevel="0" collapsed="false">
      <c r="B25" s="21" t="str">
        <f aca="false">'Data Constant'!B27</f>
        <v>2009-Q2</v>
      </c>
      <c r="C25" s="22" t="n">
        <f aca="false">('Data Constant'!E27/'Data Constant'!E23-1)*100</f>
        <v>-11.2745471526209</v>
      </c>
      <c r="D25" s="23" t="n">
        <f aca="false">('Data Constant'!F27-'Data Constant'!F23)/'Data Constant'!$E23*100</f>
        <v>-8.66160307890571</v>
      </c>
      <c r="E25" s="23" t="n">
        <f aca="false">('Data Constant'!G27-'Data Constant'!G23)/'Data Constant'!$E23*100</f>
        <v>0.312073770624861</v>
      </c>
      <c r="F25" s="23" t="n">
        <f aca="false">('Data Constant'!H27-'Data Constant'!H23)/'Data Constant'!$E23*100</f>
        <v>-6.62095207709025</v>
      </c>
      <c r="G25" s="23" t="n">
        <f aca="false">('Data Constant'!M27-'Data Constant'!M23)/'Data Constant'!$E23*100</f>
        <v>-2.26355815677187</v>
      </c>
      <c r="H25" s="23" t="n">
        <f aca="false">('Data Constant'!K27-'Data Constant'!K23)/'Data Constant'!$E23*100</f>
        <v>0.0115366072217856</v>
      </c>
      <c r="I25" s="23" t="n">
        <f aca="false">-('Data Constant'!L27-'Data Constant'!L23)/'Data Constant'!$E23*100</f>
        <v>5.94795578230026</v>
      </c>
      <c r="J25" s="24" t="n">
        <f aca="false">SUM(D25:I25)</f>
        <v>-11.2745471526209</v>
      </c>
      <c r="K25" s="25" t="n">
        <f aca="false">J25-C25</f>
        <v>0</v>
      </c>
      <c r="L25" s="26" t="str">
        <f aca="false">IF(OR('Data Constant'!J27="",'Data Constant'!J23=""),"",('Data Constant'!J27-'Data Constant'!J23)/'Data Constant'!$E23*100)</f>
        <v/>
      </c>
    </row>
    <row r="26" customFormat="false" ht="15" hidden="false" customHeight="false" outlineLevel="0" collapsed="false">
      <c r="B26" s="21" t="str">
        <f aca="false">'Data Constant'!B28</f>
        <v>2009-Q3</v>
      </c>
      <c r="C26" s="22" t="n">
        <f aca="false">('Data Constant'!E28/'Data Constant'!E24-1)*100</f>
        <v>-5.65117996405296</v>
      </c>
      <c r="D26" s="23" t="n">
        <f aca="false">('Data Constant'!F28-'Data Constant'!F24)/'Data Constant'!$E24*100</f>
        <v>-0.926412106501153</v>
      </c>
      <c r="E26" s="23" t="n">
        <f aca="false">('Data Constant'!G28-'Data Constant'!G24)/'Data Constant'!$E24*100</f>
        <v>0.727595414641043</v>
      </c>
      <c r="F26" s="23" t="n">
        <f aca="false">('Data Constant'!H28-'Data Constant'!H24)/'Data Constant'!$E24*100</f>
        <v>-4.59557435759426</v>
      </c>
      <c r="G26" s="23" t="n">
        <f aca="false">('Data Constant'!M28-'Data Constant'!M24)/'Data Constant'!$E24*100</f>
        <v>0.328982972038734</v>
      </c>
      <c r="H26" s="23" t="n">
        <f aca="false">('Data Constant'!K28-'Data Constant'!K24)/'Data Constant'!$E24*100</f>
        <v>-5.81005072792942</v>
      </c>
      <c r="I26" s="23" t="n">
        <f aca="false">-('Data Constant'!L28-'Data Constant'!L24)/'Data Constant'!$E24*100</f>
        <v>4.62427884129212</v>
      </c>
      <c r="J26" s="24" t="n">
        <f aca="false">SUM(D26:I26)</f>
        <v>-5.65117996405293</v>
      </c>
      <c r="K26" s="25" t="n">
        <f aca="false">J26-C26</f>
        <v>2.66453525910038E-014</v>
      </c>
      <c r="L26" s="26" t="str">
        <f aca="false">IF(OR('Data Constant'!J28="",'Data Constant'!J24=""),"",('Data Constant'!J28-'Data Constant'!J24)/'Data Constant'!$E24*100)</f>
        <v/>
      </c>
    </row>
    <row r="27" customFormat="false" ht="15" hidden="false" customHeight="false" outlineLevel="0" collapsed="false">
      <c r="B27" s="21" t="str">
        <f aca="false">'Data Constant'!B29</f>
        <v>2009-Q4</v>
      </c>
      <c r="C27" s="22" t="n">
        <f aca="false">('Data Constant'!E29/'Data Constant'!E25-1)*100</f>
        <v>0.281998226127467</v>
      </c>
      <c r="D27" s="23" t="n">
        <f aca="false">('Data Constant'!F29-'Data Constant'!F25)/'Data Constant'!$E25*100</f>
        <v>-0.368721680497606</v>
      </c>
      <c r="E27" s="23" t="n">
        <f aca="false">('Data Constant'!G29-'Data Constant'!G25)/'Data Constant'!$E25*100</f>
        <v>1.05133737168121</v>
      </c>
      <c r="F27" s="23" t="n">
        <f aca="false">('Data Constant'!H29-'Data Constant'!H25)/'Data Constant'!$E25*100</f>
        <v>-1.41002323397673</v>
      </c>
      <c r="G27" s="23" t="n">
        <f aca="false">('Data Constant'!M29-'Data Constant'!M25)/'Data Constant'!$E25*100</f>
        <v>1.80893003355191</v>
      </c>
      <c r="H27" s="23" t="n">
        <f aca="false">('Data Constant'!K29-'Data Constant'!K25)/'Data Constant'!$E25*100</f>
        <v>-1.32077369510425</v>
      </c>
      <c r="I27" s="23" t="n">
        <f aca="false">-('Data Constant'!L29-'Data Constant'!L25)/'Data Constant'!$E25*100</f>
        <v>0.521249430472942</v>
      </c>
      <c r="J27" s="24" t="n">
        <f aca="false">SUM(D27:I27)</f>
        <v>0.281998226127468</v>
      </c>
      <c r="K27" s="25" t="n">
        <f aca="false">J27-C27</f>
        <v>1.16573417585641E-015</v>
      </c>
      <c r="L27" s="26" t="str">
        <f aca="false">IF(OR('Data Constant'!J29="",'Data Constant'!J25=""),"",('Data Constant'!J29-'Data Constant'!J25)/'Data Constant'!$E25*100)</f>
        <v/>
      </c>
    </row>
    <row r="28" customFormat="false" ht="15" hidden="false" customHeight="false" outlineLevel="0" collapsed="false">
      <c r="B28" s="21" t="str">
        <f aca="false">'Data Constant'!B30</f>
        <v>2010-Q1</v>
      </c>
      <c r="C28" s="22" t="n">
        <f aca="false">('Data Constant'!E30/'Data Constant'!E26-1)*100</f>
        <v>5.71326910752132</v>
      </c>
      <c r="D28" s="23" t="n">
        <f aca="false">('Data Constant'!F30-'Data Constant'!F26)/'Data Constant'!$E26*100</f>
        <v>5.01701401946861</v>
      </c>
      <c r="E28" s="23" t="n">
        <f aca="false">('Data Constant'!G30-'Data Constant'!G26)/'Data Constant'!$E26*100</f>
        <v>0.817548543788939</v>
      </c>
      <c r="F28" s="23" t="n">
        <f aca="false">('Data Constant'!H30-'Data Constant'!H26)/'Data Constant'!$E26*100</f>
        <v>2.29629506432967</v>
      </c>
      <c r="G28" s="23" t="n">
        <f aca="false">('Data Constant'!M30-'Data Constant'!M26)/'Data Constant'!$E26*100</f>
        <v>1.9111915952085</v>
      </c>
      <c r="H28" s="23" t="n">
        <f aca="false">('Data Constant'!K30-'Data Constant'!K26)/'Data Constant'!$E26*100</f>
        <v>-0.49035167886481</v>
      </c>
      <c r="I28" s="23" t="n">
        <f aca="false">-('Data Constant'!L30-'Data Constant'!L26)/'Data Constant'!$E26*100</f>
        <v>-3.83842843640955</v>
      </c>
      <c r="J28" s="24" t="n">
        <f aca="false">SUM(D28:I28)</f>
        <v>5.71326910752135</v>
      </c>
      <c r="K28" s="25" t="n">
        <f aca="false">J28-C28</f>
        <v>3.01980662698043E-014</v>
      </c>
      <c r="L28" s="26" t="str">
        <f aca="false">IF(OR('Data Constant'!J30="",'Data Constant'!J26=""),"",('Data Constant'!J30-'Data Constant'!J26)/'Data Constant'!$E26*100)</f>
        <v/>
      </c>
    </row>
    <row r="29" customFormat="false" ht="15" hidden="false" customHeight="false" outlineLevel="0" collapsed="false">
      <c r="B29" s="21" t="str">
        <f aca="false">'Data Constant'!B31</f>
        <v>2010-Q2</v>
      </c>
      <c r="C29" s="22" t="n">
        <f aca="false">('Data Constant'!E31/'Data Constant'!E27-1)*100</f>
        <v>16.2441995090574</v>
      </c>
      <c r="D29" s="23" t="n">
        <f aca="false">('Data Constant'!F31-'Data Constant'!F27)/'Data Constant'!$E27*100</f>
        <v>10.0346143245583</v>
      </c>
      <c r="E29" s="23" t="n">
        <f aca="false">('Data Constant'!G31-'Data Constant'!G27)/'Data Constant'!$E27*100</f>
        <v>0.921567301429996</v>
      </c>
      <c r="F29" s="23" t="n">
        <f aca="false">('Data Constant'!H31-'Data Constant'!H27)/'Data Constant'!$E27*100</f>
        <v>4.77950124039203</v>
      </c>
      <c r="G29" s="23" t="n">
        <f aca="false">('Data Constant'!M31-'Data Constant'!M27)/'Data Constant'!$E27*100</f>
        <v>3.48664807725893</v>
      </c>
      <c r="H29" s="23" t="n">
        <f aca="false">('Data Constant'!K31-'Data Constant'!K27)/'Data Constant'!$E27*100</f>
        <v>4.3936625123732</v>
      </c>
      <c r="I29" s="23" t="n">
        <f aca="false">-('Data Constant'!L31-'Data Constant'!L27)/'Data Constant'!$E27*100</f>
        <v>-7.37179394695506</v>
      </c>
      <c r="J29" s="24" t="n">
        <f aca="false">SUM(D29:I29)</f>
        <v>16.2441995090574</v>
      </c>
      <c r="K29" s="25" t="n">
        <f aca="false">J29-C29</f>
        <v>0</v>
      </c>
      <c r="L29" s="26" t="str">
        <f aca="false">IF(OR('Data Constant'!J31="",'Data Constant'!J27=""),"",('Data Constant'!J31-'Data Constant'!J27)/'Data Constant'!$E27*100)</f>
        <v/>
      </c>
    </row>
    <row r="30" customFormat="false" ht="15" hidden="false" customHeight="false" outlineLevel="0" collapsed="false">
      <c r="B30" s="21" t="str">
        <f aca="false">'Data Constant'!B32</f>
        <v>2010-Q3</v>
      </c>
      <c r="C30" s="22" t="n">
        <f aca="false">('Data Constant'!E32/'Data Constant'!E28-1)*100</f>
        <v>9.50774236722809</v>
      </c>
      <c r="D30" s="23" t="n">
        <f aca="false">('Data Constant'!F32-'Data Constant'!F28)/'Data Constant'!$E28*100</f>
        <v>6.13592222484309</v>
      </c>
      <c r="E30" s="23" t="n">
        <f aca="false">('Data Constant'!G32-'Data Constant'!G28)/'Data Constant'!$E28*100</f>
        <v>0.324370005444939</v>
      </c>
      <c r="F30" s="23" t="n">
        <f aca="false">('Data Constant'!H32-'Data Constant'!H28)/'Data Constant'!$E28*100</f>
        <v>5.09236155830833</v>
      </c>
      <c r="G30" s="23" t="n">
        <f aca="false">('Data Constant'!M32-'Data Constant'!M28)/'Data Constant'!$E28*100</f>
        <v>-0.0228069596850618</v>
      </c>
      <c r="H30" s="23" t="n">
        <f aca="false">('Data Constant'!K32-'Data Constant'!K28)/'Data Constant'!$E28*100</f>
        <v>5.96614265354703</v>
      </c>
      <c r="I30" s="23" t="n">
        <f aca="false">-('Data Constant'!L32-'Data Constant'!L28)/'Data Constant'!$E28*100</f>
        <v>-7.9882471152302</v>
      </c>
      <c r="J30" s="24" t="n">
        <f aca="false">SUM(D30:I30)</f>
        <v>9.50774236722813</v>
      </c>
      <c r="K30" s="25" t="n">
        <f aca="false">J30-C30</f>
        <v>3.90798504668055E-014</v>
      </c>
      <c r="L30" s="26" t="str">
        <f aca="false">IF(OR('Data Constant'!J32="",'Data Constant'!J28=""),"",('Data Constant'!J32-'Data Constant'!J28)/'Data Constant'!$E28*100)</f>
        <v/>
      </c>
    </row>
    <row r="31" customFormat="false" ht="15" hidden="false" customHeight="false" outlineLevel="0" collapsed="false">
      <c r="B31" s="21" t="str">
        <f aca="false">'Data Constant'!B33</f>
        <v>2010-Q4</v>
      </c>
      <c r="C31" s="22" t="n">
        <f aca="false">('Data Constant'!E33/'Data Constant'!E29-1)*100</f>
        <v>8.60979311042298</v>
      </c>
      <c r="D31" s="23" t="n">
        <f aca="false">('Data Constant'!F33-'Data Constant'!F29)/'Data Constant'!$E29*100</f>
        <v>8.90564482262823</v>
      </c>
      <c r="E31" s="23" t="n">
        <f aca="false">('Data Constant'!G33-'Data Constant'!G29)/'Data Constant'!$E29*100</f>
        <v>0.568912575254248</v>
      </c>
      <c r="F31" s="23" t="n">
        <f aca="false">('Data Constant'!H33-'Data Constant'!H29)/'Data Constant'!$E29*100</f>
        <v>5.5742580345761</v>
      </c>
      <c r="G31" s="23" t="n">
        <f aca="false">('Data Constant'!M33-'Data Constant'!M29)/'Data Constant'!$E29*100</f>
        <v>-1.21751732693286</v>
      </c>
      <c r="H31" s="23" t="n">
        <f aca="false">('Data Constant'!K33-'Data Constant'!K29)/'Data Constant'!$E29*100</f>
        <v>2.33698230402459</v>
      </c>
      <c r="I31" s="23" t="n">
        <f aca="false">-('Data Constant'!L33-'Data Constant'!L29)/'Data Constant'!$E29*100</f>
        <v>-7.55848729912735</v>
      </c>
      <c r="J31" s="24" t="n">
        <f aca="false">SUM(D31:I31)</f>
        <v>8.60979311042295</v>
      </c>
      <c r="K31" s="25" t="n">
        <f aca="false">J31-C31</f>
        <v>0</v>
      </c>
      <c r="L31" s="26" t="str">
        <f aca="false">IF(OR('Data Constant'!J33="",'Data Constant'!J29=""),"",('Data Constant'!J33-'Data Constant'!J29)/'Data Constant'!$E29*100)</f>
        <v/>
      </c>
    </row>
    <row r="32" customFormat="false" ht="15" hidden="false" customHeight="false" outlineLevel="0" collapsed="false">
      <c r="B32" s="21" t="str">
        <f aca="false">'Data Constant'!B34</f>
        <v>2011-Q1</v>
      </c>
      <c r="C32" s="22" t="n">
        <f aca="false">('Data Constant'!E34/'Data Constant'!E30-1)*100</f>
        <v>8.29261625044686</v>
      </c>
      <c r="D32" s="23" t="n">
        <f aca="false">('Data Constant'!F34-'Data Constant'!F30)/'Data Constant'!$E30*100</f>
        <v>7.36628523073775</v>
      </c>
      <c r="E32" s="23" t="n">
        <f aca="false">('Data Constant'!G34-'Data Constant'!G30)/'Data Constant'!$E30*100</f>
        <v>0.571708108433303</v>
      </c>
      <c r="F32" s="23" t="n">
        <f aca="false">('Data Constant'!H34-'Data Constant'!H30)/'Data Constant'!$E30*100</f>
        <v>5.03241259027257</v>
      </c>
      <c r="G32" s="23" t="n">
        <f aca="false">('Data Constant'!M34-'Data Constant'!M30)/'Data Constant'!$E30*100</f>
        <v>-0.241892996008826</v>
      </c>
      <c r="H32" s="23" t="n">
        <f aca="false">('Data Constant'!K34-'Data Constant'!K30)/'Data Constant'!$E30*100</f>
        <v>2.20047816924941</v>
      </c>
      <c r="I32" s="23" t="n">
        <f aca="false">-('Data Constant'!L34-'Data Constant'!L30)/'Data Constant'!$E30*100</f>
        <v>-6.63637485223736</v>
      </c>
      <c r="J32" s="24" t="n">
        <f aca="false">SUM(D32:I32)</f>
        <v>8.29261625044686</v>
      </c>
      <c r="K32" s="25" t="n">
        <f aca="false">J32-C32</f>
        <v>0</v>
      </c>
      <c r="L32" s="26" t="str">
        <f aca="false">IF(OR('Data Constant'!J34="",'Data Constant'!J30=""),"",('Data Constant'!J34-'Data Constant'!J30)/'Data Constant'!$E30*100)</f>
        <v/>
      </c>
    </row>
    <row r="33" customFormat="false" ht="15" hidden="false" customHeight="false" outlineLevel="0" collapsed="false">
      <c r="B33" s="21" t="str">
        <f aca="false">'Data Constant'!B35</f>
        <v>2011-Q2</v>
      </c>
      <c r="C33" s="22" t="n">
        <f aca="false">('Data Constant'!E35/'Data Constant'!E31-1)*100</f>
        <v>4.44334376577356</v>
      </c>
      <c r="D33" s="23" t="n">
        <f aca="false">('Data Constant'!F35-'Data Constant'!F31)/'Data Constant'!$E31*100</f>
        <v>4.72571510986213</v>
      </c>
      <c r="E33" s="23" t="n">
        <f aca="false">('Data Constant'!G35-'Data Constant'!G31)/'Data Constant'!$E31*100</f>
        <v>0.496751784470209</v>
      </c>
      <c r="F33" s="23" t="n">
        <f aca="false">('Data Constant'!H35-'Data Constant'!H31)/'Data Constant'!$E31*100</f>
        <v>3.20718787005649</v>
      </c>
      <c r="G33" s="23" t="n">
        <f aca="false">('Data Constant'!M35-'Data Constant'!M31)/'Data Constant'!$E31*100</f>
        <v>1.35458611478663</v>
      </c>
      <c r="H33" s="23" t="n">
        <f aca="false">('Data Constant'!K35-'Data Constant'!K31)/'Data Constant'!$E31*100</f>
        <v>-0.628712581952124</v>
      </c>
      <c r="I33" s="23" t="n">
        <f aca="false">-('Data Constant'!L35-'Data Constant'!L31)/'Data Constant'!$E31*100</f>
        <v>-4.71218453144979</v>
      </c>
      <c r="J33" s="24" t="n">
        <f aca="false">SUM(D33:I33)</f>
        <v>4.44334376577355</v>
      </c>
      <c r="K33" s="25" t="n">
        <f aca="false">J33-C33</f>
        <v>0</v>
      </c>
      <c r="L33" s="26" t="str">
        <f aca="false">IF(OR('Data Constant'!J35="",'Data Constant'!J31=""),"",('Data Constant'!J35-'Data Constant'!J31)/'Data Constant'!$E31*100)</f>
        <v/>
      </c>
    </row>
    <row r="34" customFormat="false" ht="15" hidden="false" customHeight="false" outlineLevel="0" collapsed="false">
      <c r="B34" s="21" t="str">
        <f aca="false">'Data Constant'!B36</f>
        <v>2011-Q3</v>
      </c>
      <c r="C34" s="22" t="n">
        <f aca="false">('Data Constant'!E36/'Data Constant'!E32-1)*100</f>
        <v>6.40936718081673</v>
      </c>
      <c r="D34" s="23" t="n">
        <f aca="false">('Data Constant'!F36-'Data Constant'!F32)/'Data Constant'!$E32*100</f>
        <v>7.8794235807247</v>
      </c>
      <c r="E34" s="23" t="n">
        <f aca="false">('Data Constant'!G36-'Data Constant'!G32)/'Data Constant'!$E32*100</f>
        <v>0.823069715027312</v>
      </c>
      <c r="F34" s="23" t="n">
        <f aca="false">('Data Constant'!H36-'Data Constant'!H32)/'Data Constant'!$E32*100</f>
        <v>3.70459615468633</v>
      </c>
      <c r="G34" s="23" t="n">
        <f aca="false">('Data Constant'!M36-'Data Constant'!M32)/'Data Constant'!$E32*100</f>
        <v>-0.663494521406589</v>
      </c>
      <c r="H34" s="23" t="n">
        <f aca="false">('Data Constant'!K36-'Data Constant'!K32)/'Data Constant'!$E32*100</f>
        <v>0.716732423392016</v>
      </c>
      <c r="I34" s="23" t="n">
        <f aca="false">-('Data Constant'!L36-'Data Constant'!L32)/'Data Constant'!$E32*100</f>
        <v>-6.0509601716071</v>
      </c>
      <c r="J34" s="24" t="n">
        <f aca="false">SUM(D34:I34)</f>
        <v>6.40936718081668</v>
      </c>
      <c r="K34" s="25" t="n">
        <f aca="false">J34-C34</f>
        <v>-4.88498130835069E-014</v>
      </c>
      <c r="L34" s="26" t="str">
        <f aca="false">IF(OR('Data Constant'!J36="",'Data Constant'!J32=""),"",('Data Constant'!J36-'Data Constant'!J32)/'Data Constant'!$E32*100)</f>
        <v/>
      </c>
    </row>
    <row r="35" customFormat="false" ht="15" hidden="false" customHeight="false" outlineLevel="0" collapsed="false">
      <c r="B35" s="21" t="str">
        <f aca="false">'Data Constant'!B37</f>
        <v>2011-Q4</v>
      </c>
      <c r="C35" s="22" t="n">
        <f aca="false">('Data Constant'!E37/'Data Constant'!E33-1)*100</f>
        <v>5.21713189216535</v>
      </c>
      <c r="D35" s="23" t="n">
        <f aca="false">('Data Constant'!F37-'Data Constant'!F33)/'Data Constant'!$E33*100</f>
        <v>5.90879679131643</v>
      </c>
      <c r="E35" s="23" t="n">
        <f aca="false">('Data Constant'!G37-'Data Constant'!G33)/'Data Constant'!$E33*100</f>
        <v>0.225458541425811</v>
      </c>
      <c r="F35" s="23" t="n">
        <f aca="false">('Data Constant'!H37-'Data Constant'!H33)/'Data Constant'!$E33*100</f>
        <v>1.77717215408415</v>
      </c>
      <c r="G35" s="23" t="n">
        <f aca="false">('Data Constant'!M37-'Data Constant'!M33)/'Data Constant'!$E33*100</f>
        <v>-1.0428735159993</v>
      </c>
      <c r="H35" s="23" t="n">
        <f aca="false">('Data Constant'!K37-'Data Constant'!K33)/'Data Constant'!$E33*100</f>
        <v>1.81123613656153</v>
      </c>
      <c r="I35" s="23" t="n">
        <f aca="false">-('Data Constant'!L37-'Data Constant'!L33)/'Data Constant'!$E33*100</f>
        <v>-3.46265821522324</v>
      </c>
      <c r="J35" s="24" t="n">
        <f aca="false">SUM(D35:I35)</f>
        <v>5.21713189216538</v>
      </c>
      <c r="K35" s="25" t="n">
        <f aca="false">J35-C35</f>
        <v>2.8421709430404E-014</v>
      </c>
      <c r="L35" s="26" t="str">
        <f aca="false">IF(OR('Data Constant'!J37="",'Data Constant'!J33=""),"",('Data Constant'!J37-'Data Constant'!J33)/'Data Constant'!$E33*100)</f>
        <v/>
      </c>
    </row>
    <row r="36" customFormat="false" ht="15" hidden="false" customHeight="false" outlineLevel="0" collapsed="false">
      <c r="B36" s="21" t="str">
        <f aca="false">'Data Constant'!B38</f>
        <v>2012-Q1</v>
      </c>
      <c r="C36" s="22" t="n">
        <f aca="false">('Data Constant'!E38/'Data Constant'!E34-1)*100</f>
        <v>1.56424693190642</v>
      </c>
      <c r="D36" s="23" t="n">
        <f aca="false">('Data Constant'!F38-'Data Constant'!F34)/'Data Constant'!$E34*100</f>
        <v>1.51693853799571</v>
      </c>
      <c r="E36" s="23" t="n">
        <f aca="false">('Data Constant'!G38-'Data Constant'!G34)/'Data Constant'!$E34*100</f>
        <v>0.452910876248358</v>
      </c>
      <c r="F36" s="23" t="n">
        <f aca="false">('Data Constant'!H38-'Data Constant'!H34)/'Data Constant'!$E34*100</f>
        <v>-0.797103534903217</v>
      </c>
      <c r="G36" s="23" t="n">
        <f aca="false">('Data Constant'!M38-'Data Constant'!M34)/'Data Constant'!$E34*100</f>
        <v>-0.125073867538026</v>
      </c>
      <c r="H36" s="23" t="n">
        <f aca="false">('Data Constant'!K38-'Data Constant'!K34)/'Data Constant'!$E34*100</f>
        <v>1.1632579239246</v>
      </c>
      <c r="I36" s="23" t="n">
        <f aca="false">-('Data Constant'!L38-'Data Constant'!L34)/'Data Constant'!$E34*100</f>
        <v>-0.646683003821004</v>
      </c>
      <c r="J36" s="24" t="n">
        <f aca="false">SUM(D36:I36)</f>
        <v>1.56424693190642</v>
      </c>
      <c r="K36" s="25" t="n">
        <f aca="false">J36-C36</f>
        <v>0</v>
      </c>
      <c r="L36" s="26" t="str">
        <f aca="false">IF(OR('Data Constant'!J38="",'Data Constant'!J34=""),"",('Data Constant'!J38-'Data Constant'!J34)/'Data Constant'!$E34*100)</f>
        <v/>
      </c>
    </row>
    <row r="37" customFormat="false" ht="15" hidden="false" customHeight="false" outlineLevel="0" collapsed="false">
      <c r="B37" s="21" t="str">
        <f aca="false">'Data Constant'!B39</f>
        <v>2012-Q2</v>
      </c>
      <c r="C37" s="22" t="n">
        <f aca="false">('Data Constant'!E39/'Data Constant'!E35-1)*100</f>
        <v>-4.63175722342237</v>
      </c>
      <c r="D37" s="23" t="n">
        <f aca="false">('Data Constant'!F39-'Data Constant'!F35)/'Data Constant'!$E35*100</f>
        <v>-0.710316958004108</v>
      </c>
      <c r="E37" s="23" t="n">
        <f aca="false">('Data Constant'!G39-'Data Constant'!G35)/'Data Constant'!$E35*100</f>
        <v>0.211868588692258</v>
      </c>
      <c r="F37" s="23" t="n">
        <f aca="false">('Data Constant'!H39-'Data Constant'!H35)/'Data Constant'!$E35*100</f>
        <v>-2.50048904564785</v>
      </c>
      <c r="G37" s="23" t="n">
        <f aca="false">('Data Constant'!M39-'Data Constant'!M35)/'Data Constant'!$E35*100</f>
        <v>-1.86330208655977</v>
      </c>
      <c r="H37" s="23" t="n">
        <f aca="false">('Data Constant'!K39-'Data Constant'!K35)/'Data Constant'!$E35*100</f>
        <v>-1.99371641124472</v>
      </c>
      <c r="I37" s="23" t="n">
        <f aca="false">-('Data Constant'!L39-'Data Constant'!L35)/'Data Constant'!$E35*100</f>
        <v>2.22419868934185</v>
      </c>
      <c r="J37" s="24" t="n">
        <f aca="false">SUM(D37:I37)</f>
        <v>-4.63175722342234</v>
      </c>
      <c r="K37" s="25" t="n">
        <f aca="false">J37-C37</f>
        <v>2.8421709430404E-014</v>
      </c>
      <c r="L37" s="26" t="str">
        <f aca="false">IF(OR('Data Constant'!J39="",'Data Constant'!J35=""),"",('Data Constant'!J39-'Data Constant'!J35)/'Data Constant'!$E35*100)</f>
        <v/>
      </c>
    </row>
    <row r="38" customFormat="false" ht="15" hidden="false" customHeight="false" outlineLevel="0" collapsed="false">
      <c r="B38" s="21" t="str">
        <f aca="false">'Data Constant'!B40</f>
        <v>2012-Q3</v>
      </c>
      <c r="C38" s="22" t="n">
        <f aca="false">('Data Constant'!E40/'Data Constant'!E36-1)*100</f>
        <v>-1.11829419552486</v>
      </c>
      <c r="D38" s="23" t="n">
        <f aca="false">('Data Constant'!F40-'Data Constant'!F36)/'Data Constant'!$E36*100</f>
        <v>1.148302764451</v>
      </c>
      <c r="E38" s="23" t="n">
        <f aca="false">('Data Constant'!G40-'Data Constant'!G36)/'Data Constant'!$E36*100</f>
        <v>0.311386929128947</v>
      </c>
      <c r="F38" s="23" t="n">
        <f aca="false">('Data Constant'!H40-'Data Constant'!H36)/'Data Constant'!$E36*100</f>
        <v>-2.01581100955239</v>
      </c>
      <c r="G38" s="23" t="n">
        <f aca="false">('Data Constant'!M40-'Data Constant'!M36)/'Data Constant'!$E36*100</f>
        <v>-1.86864608867805</v>
      </c>
      <c r="H38" s="23" t="n">
        <f aca="false">('Data Constant'!K40-'Data Constant'!K36)/'Data Constant'!$E36*100</f>
        <v>-1.22714569543547</v>
      </c>
      <c r="I38" s="23" t="n">
        <f aca="false">-('Data Constant'!L40-'Data Constant'!L36)/'Data Constant'!$E36*100</f>
        <v>2.53361890456113</v>
      </c>
      <c r="J38" s="24" t="n">
        <f aca="false">SUM(D38:I38)</f>
        <v>-1.11829419552483</v>
      </c>
      <c r="K38" s="25" t="n">
        <f aca="false">J38-C38</f>
        <v>2.70894418008538E-014</v>
      </c>
      <c r="L38" s="26" t="str">
        <f aca="false">IF(OR('Data Constant'!J40="",'Data Constant'!J36=""),"",('Data Constant'!J40-'Data Constant'!J36)/'Data Constant'!$E36*100)</f>
        <v/>
      </c>
    </row>
    <row r="39" customFormat="false" ht="15" hidden="false" customHeight="false" outlineLevel="0" collapsed="false">
      <c r="B39" s="21" t="str">
        <f aca="false">'Data Constant'!B41</f>
        <v>2012-Q4</v>
      </c>
      <c r="C39" s="22" t="n">
        <f aca="false">('Data Constant'!E41/'Data Constant'!E37-1)*100</f>
        <v>0.555804016441552</v>
      </c>
      <c r="D39" s="23" t="n">
        <f aca="false">('Data Constant'!F41-'Data Constant'!F37)/'Data Constant'!$E37*100</f>
        <v>1.35209120395628</v>
      </c>
      <c r="E39" s="23" t="n">
        <f aca="false">('Data Constant'!G41-'Data Constant'!G37)/'Data Constant'!$E37*100</f>
        <v>0.414718495701044</v>
      </c>
      <c r="F39" s="23" t="n">
        <f aca="false">('Data Constant'!H41-'Data Constant'!H37)/'Data Constant'!$E37*100</f>
        <v>-0.666127105568135</v>
      </c>
      <c r="G39" s="23" t="n">
        <f aca="false">('Data Constant'!M41-'Data Constant'!M37)/'Data Constant'!$E37*100</f>
        <v>0.121434240665215</v>
      </c>
      <c r="H39" s="23" t="n">
        <f aca="false">('Data Constant'!K41-'Data Constant'!K37)/'Data Constant'!$E37*100</f>
        <v>-1.45674573544821</v>
      </c>
      <c r="I39" s="23" t="n">
        <f aca="false">-('Data Constant'!L41-'Data Constant'!L37)/'Data Constant'!$E37*100</f>
        <v>0.790432917135294</v>
      </c>
      <c r="J39" s="24" t="n">
        <f aca="false">SUM(D39:I39)</f>
        <v>0.555804016441493</v>
      </c>
      <c r="K39" s="25" t="n">
        <f aca="false">J39-C39</f>
        <v>-5.90638649100583E-014</v>
      </c>
      <c r="L39" s="26" t="str">
        <f aca="false">IF(OR('Data Constant'!J41="",'Data Constant'!J37=""),"",('Data Constant'!J41-'Data Constant'!J37)/'Data Constant'!$E37*100)</f>
        <v/>
      </c>
    </row>
    <row r="40" customFormat="false" ht="15" hidden="false" customHeight="false" outlineLevel="0" collapsed="false">
      <c r="B40" s="21" t="str">
        <f aca="false">'Data Constant'!B42</f>
        <v>2013-Q1</v>
      </c>
      <c r="C40" s="22" t="n">
        <f aca="false">('Data Constant'!E42/'Data Constant'!E38-1)*100</f>
        <v>0.654025144614989</v>
      </c>
      <c r="D40" s="23" t="n">
        <f aca="false">('Data Constant'!F42-'Data Constant'!F38)/'Data Constant'!$E38*100</f>
        <v>1.84177875579143</v>
      </c>
      <c r="E40" s="23" t="n">
        <f aca="false">('Data Constant'!G42-'Data Constant'!G38)/'Data Constant'!$E38*100</f>
        <v>0.579416643230745</v>
      </c>
      <c r="F40" s="23" t="n">
        <f aca="false">('Data Constant'!H42-'Data Constant'!H38)/'Data Constant'!$E38*100</f>
        <v>-0.150430979799803</v>
      </c>
      <c r="G40" s="23" t="n">
        <f aca="false">('Data Constant'!M42-'Data Constant'!M38)/'Data Constant'!$E38*100</f>
        <v>0.591724874356569</v>
      </c>
      <c r="H40" s="23" t="n">
        <f aca="false">('Data Constant'!K42-'Data Constant'!K38)/'Data Constant'!$E38*100</f>
        <v>-2.11347466873443</v>
      </c>
      <c r="I40" s="23" t="n">
        <f aca="false">-('Data Constant'!L42-'Data Constant'!L38)/'Data Constant'!$E38*100</f>
        <v>-0.0949894802295346</v>
      </c>
      <c r="J40" s="24" t="n">
        <f aca="false">SUM(D40:I40)</f>
        <v>0.654025144614977</v>
      </c>
      <c r="K40" s="25" t="n">
        <f aca="false">J40-C40</f>
        <v>-1.24344978758018E-014</v>
      </c>
      <c r="L40" s="26" t="str">
        <f aca="false">IF(OR('Data Constant'!J42="",'Data Constant'!J38=""),"",('Data Constant'!J42-'Data Constant'!J38)/'Data Constant'!$E38*100)</f>
        <v/>
      </c>
    </row>
    <row r="41" customFormat="false" ht="15" hidden="false" customHeight="false" outlineLevel="0" collapsed="false">
      <c r="B41" s="21" t="str">
        <f aca="false">'Data Constant'!B43</f>
        <v>2013-Q2</v>
      </c>
      <c r="C41" s="22" t="n">
        <f aca="false">('Data Constant'!E43/'Data Constant'!E39-1)*100</f>
        <v>6.24602349363816</v>
      </c>
      <c r="D41" s="23" t="n">
        <f aca="false">('Data Constant'!F43-'Data Constant'!F39)/'Data Constant'!$E39*100</f>
        <v>3.74845188231475</v>
      </c>
      <c r="E41" s="23" t="n">
        <f aca="false">('Data Constant'!G43-'Data Constant'!G39)/'Data Constant'!$E39*100</f>
        <v>0.629107158299066</v>
      </c>
      <c r="F41" s="23" t="n">
        <f aca="false">('Data Constant'!H43-'Data Constant'!H39)/'Data Constant'!$E39*100</f>
        <v>2.1975405413471</v>
      </c>
      <c r="G41" s="23" t="n">
        <f aca="false">('Data Constant'!M43-'Data Constant'!M39)/'Data Constant'!$E39*100</f>
        <v>0.879755515137772</v>
      </c>
      <c r="H41" s="23" t="n">
        <f aca="false">('Data Constant'!K43-'Data Constant'!K39)/'Data Constant'!$E39*100</f>
        <v>1.78253800805049</v>
      </c>
      <c r="I41" s="23" t="n">
        <f aca="false">-('Data Constant'!L43-'Data Constant'!L39)/'Data Constant'!$E39*100</f>
        <v>-2.99136961151103</v>
      </c>
      <c r="J41" s="24" t="n">
        <f aca="false">SUM(D41:I41)</f>
        <v>6.24602349363815</v>
      </c>
      <c r="K41" s="25" t="n">
        <f aca="false">J41-C41</f>
        <v>0</v>
      </c>
      <c r="L41" s="26" t="str">
        <f aca="false">IF(OR('Data Constant'!J43="",'Data Constant'!J39=""),"",('Data Constant'!J43-'Data Constant'!J39)/'Data Constant'!$E39*100)</f>
        <v/>
      </c>
    </row>
    <row r="42" customFormat="false" ht="15" hidden="false" customHeight="false" outlineLevel="0" collapsed="false">
      <c r="B42" s="21" t="str">
        <f aca="false">'Data Constant'!B44</f>
        <v>2013-Q3</v>
      </c>
      <c r="C42" s="22" t="n">
        <f aca="false">('Data Constant'!E44/'Data Constant'!E40-1)*100</f>
        <v>2.55838987402566</v>
      </c>
      <c r="D42" s="23" t="n">
        <f aca="false">('Data Constant'!F44-'Data Constant'!F40)/'Data Constant'!$E40*100</f>
        <v>2.95589656416959</v>
      </c>
      <c r="E42" s="23" t="n">
        <f aca="false">('Data Constant'!G44-'Data Constant'!G40)/'Data Constant'!$E40*100</f>
        <v>0.563625305751553</v>
      </c>
      <c r="F42" s="23" t="n">
        <f aca="false">('Data Constant'!H44-'Data Constant'!H40)/'Data Constant'!$E40*100</f>
        <v>0.356280616180754</v>
      </c>
      <c r="G42" s="23" t="n">
        <f aca="false">('Data Constant'!M44-'Data Constant'!M40)/'Data Constant'!$E40*100</f>
        <v>0.529905686023796</v>
      </c>
      <c r="H42" s="23" t="n">
        <f aca="false">('Data Constant'!K44-'Data Constant'!K40)/'Data Constant'!$E40*100</f>
        <v>-0.622306942394503</v>
      </c>
      <c r="I42" s="23" t="n">
        <f aca="false">-('Data Constant'!L44-'Data Constant'!L40)/'Data Constant'!$E40*100</f>
        <v>-1.22501135570553</v>
      </c>
      <c r="J42" s="24" t="n">
        <f aca="false">SUM(D42:I42)</f>
        <v>2.55838987402565</v>
      </c>
      <c r="K42" s="25" t="n">
        <f aca="false">J42-C42</f>
        <v>0</v>
      </c>
      <c r="L42" s="26" t="str">
        <f aca="false">IF(OR('Data Constant'!J44="",'Data Constant'!J40=""),"",('Data Constant'!J44-'Data Constant'!J40)/'Data Constant'!$E40*100)</f>
        <v/>
      </c>
    </row>
    <row r="43" customFormat="false" ht="15" hidden="false" customHeight="false" outlineLevel="0" collapsed="false">
      <c r="B43" s="21" t="str">
        <f aca="false">'Data Constant'!B45</f>
        <v>2013-Q4</v>
      </c>
      <c r="C43" s="22" t="n">
        <f aca="false">('Data Constant'!E45/'Data Constant'!E41-1)*100</f>
        <v>-0.0510205754616022</v>
      </c>
      <c r="D43" s="23" t="n">
        <f aca="false">('Data Constant'!F45-'Data Constant'!F41)/'Data Constant'!$E41*100</f>
        <v>1.87459780745122</v>
      </c>
      <c r="E43" s="23" t="n">
        <f aca="false">('Data Constant'!G45-'Data Constant'!G41)/'Data Constant'!$E41*100</f>
        <v>0.75131316948484</v>
      </c>
      <c r="F43" s="23" t="n">
        <f aca="false">('Data Constant'!H45-'Data Constant'!H41)/'Data Constant'!$E41*100</f>
        <v>-0.594005998530136</v>
      </c>
      <c r="G43" s="23" t="n">
        <f aca="false">('Data Constant'!M45-'Data Constant'!M41)/'Data Constant'!$E41*100</f>
        <v>-0.164863474596544</v>
      </c>
      <c r="H43" s="23" t="n">
        <f aca="false">('Data Constant'!K45-'Data Constant'!K41)/'Data Constant'!$E41*100</f>
        <v>-2.29775870352567</v>
      </c>
      <c r="I43" s="23" t="n">
        <f aca="false">-('Data Constant'!L45-'Data Constant'!L41)/'Data Constant'!$E41*100</f>
        <v>0.379696624254688</v>
      </c>
      <c r="J43" s="24" t="n">
        <f aca="false">SUM(D43:I43)</f>
        <v>-0.0510205754616052</v>
      </c>
      <c r="K43" s="25" t="n">
        <f aca="false">J43-C43</f>
        <v>-2.94209101525667E-015</v>
      </c>
      <c r="L43" s="26" t="str">
        <f aca="false">IF(OR('Data Constant'!J45="",'Data Constant'!J41=""),"",('Data Constant'!J45-'Data Constant'!J41)/'Data Constant'!$E41*100)</f>
        <v/>
      </c>
    </row>
    <row r="44" customFormat="false" ht="15" hidden="false" customHeight="false" outlineLevel="0" collapsed="false">
      <c r="B44" s="21" t="str">
        <f aca="false">'Data Constant'!B46</f>
        <v>2014-Q1</v>
      </c>
      <c r="C44" s="22" t="n">
        <f aca="false">('Data Constant'!E46/'Data Constant'!E42-1)*100</f>
        <v>-0.889028383967849</v>
      </c>
      <c r="D44" s="23" t="n">
        <f aca="false">('Data Constant'!F46-'Data Constant'!F42)/'Data Constant'!$E42*100</f>
        <v>1.60837691376066</v>
      </c>
      <c r="E44" s="23" t="n">
        <f aca="false">('Data Constant'!G46-'Data Constant'!G42)/'Data Constant'!$E42*100</f>
        <v>0.667490119761122</v>
      </c>
      <c r="F44" s="23" t="n">
        <f aca="false">('Data Constant'!H46-'Data Constant'!H42)/'Data Constant'!$E42*100</f>
        <v>-0.280995019676226</v>
      </c>
      <c r="G44" s="23" t="n">
        <f aca="false">('Data Constant'!M46-'Data Constant'!M42)/'Data Constant'!$E42*100</f>
        <v>-1.37840346810444</v>
      </c>
      <c r="H44" s="23" t="n">
        <f aca="false">('Data Constant'!K46-'Data Constant'!K42)/'Data Constant'!$E42*100</f>
        <v>-1.86877953906937</v>
      </c>
      <c r="I44" s="23" t="n">
        <f aca="false">-('Data Constant'!L46-'Data Constant'!L42)/'Data Constant'!$E42*100</f>
        <v>0.363282609360384</v>
      </c>
      <c r="J44" s="24" t="n">
        <f aca="false">SUM(D44:I44)</f>
        <v>-0.889028383967864</v>
      </c>
      <c r="K44" s="25" t="n">
        <f aca="false">J44-C44</f>
        <v>-1.50990331349021E-014</v>
      </c>
      <c r="L44" s="26" t="str">
        <f aca="false">IF(OR('Data Constant'!J46="",'Data Constant'!J42=""),"",('Data Constant'!J46-'Data Constant'!J42)/'Data Constant'!$E42*100)</f>
        <v/>
      </c>
    </row>
    <row r="45" customFormat="false" ht="15" hidden="false" customHeight="false" outlineLevel="0" collapsed="false">
      <c r="B45" s="21" t="str">
        <f aca="false">'Data Constant'!B47</f>
        <v>2014-Q2</v>
      </c>
      <c r="C45" s="22" t="n">
        <f aca="false">('Data Constant'!E47/'Data Constant'!E43-1)*100</f>
        <v>-2.04893869308982</v>
      </c>
      <c r="D45" s="23" t="n">
        <f aca="false">('Data Constant'!F47-'Data Constant'!F43)/'Data Constant'!$E43*100</f>
        <v>-2.13063892556546</v>
      </c>
      <c r="E45" s="23" t="n">
        <f aca="false">('Data Constant'!G47-'Data Constant'!G43)/'Data Constant'!$E43*100</f>
        <v>0.230592883922737</v>
      </c>
      <c r="F45" s="23" t="n">
        <f aca="false">('Data Constant'!H47-'Data Constant'!H43)/'Data Constant'!$E43*100</f>
        <v>-1.21009504106222</v>
      </c>
      <c r="G45" s="23" t="n">
        <f aca="false">('Data Constant'!M47-'Data Constant'!M43)/'Data Constant'!$E43*100</f>
        <v>0.408763552034838</v>
      </c>
      <c r="H45" s="23" t="n">
        <f aca="false">('Data Constant'!K47-'Data Constant'!K43)/'Data Constant'!$E43*100</f>
        <v>-2.06460763474489</v>
      </c>
      <c r="I45" s="23" t="n">
        <f aca="false">-('Data Constant'!L47-'Data Constant'!L43)/'Data Constant'!$E43*100</f>
        <v>2.71704647232517</v>
      </c>
      <c r="J45" s="24" t="n">
        <f aca="false">SUM(D45:I45)</f>
        <v>-2.04893869308983</v>
      </c>
      <c r="K45" s="25" t="n">
        <f aca="false">J45-C45</f>
        <v>-1.11022302462516E-014</v>
      </c>
      <c r="L45" s="26" t="str">
        <f aca="false">IF(OR('Data Constant'!J47="",'Data Constant'!J43=""),"",('Data Constant'!J47-'Data Constant'!J43)/'Data Constant'!$E43*100)</f>
        <v/>
      </c>
    </row>
    <row r="46" customFormat="false" ht="15" hidden="false" customHeight="false" outlineLevel="0" collapsed="false">
      <c r="B46" s="21" t="str">
        <f aca="false">'Data Constant'!B48</f>
        <v>2014-Q3</v>
      </c>
      <c r="C46" s="22" t="n">
        <f aca="false">('Data Constant'!E48/'Data Constant'!E44-1)*100</f>
        <v>-4.23851505475772</v>
      </c>
      <c r="D46" s="23" t="n">
        <f aca="false">('Data Constant'!F48-'Data Constant'!F44)/'Data Constant'!$E44*100</f>
        <v>-6.62464429191703</v>
      </c>
      <c r="E46" s="23" t="n">
        <f aca="false">('Data Constant'!G48-'Data Constant'!G44)/'Data Constant'!$E44*100</f>
        <v>0.369711752182524</v>
      </c>
      <c r="F46" s="23" t="n">
        <f aca="false">('Data Constant'!H48-'Data Constant'!H44)/'Data Constant'!$E44*100</f>
        <v>-1.72645451498837</v>
      </c>
      <c r="G46" s="23" t="n">
        <f aca="false">('Data Constant'!M48-'Data Constant'!M44)/'Data Constant'!$E44*100</f>
        <v>1.34261451269592</v>
      </c>
      <c r="H46" s="23" t="n">
        <f aca="false">('Data Constant'!K48-'Data Constant'!K44)/'Data Constant'!$E44*100</f>
        <v>-1.73744271676692</v>
      </c>
      <c r="I46" s="23" t="n">
        <f aca="false">-('Data Constant'!L48-'Data Constant'!L44)/'Data Constant'!$E44*100</f>
        <v>4.13770020403612</v>
      </c>
      <c r="J46" s="24" t="n">
        <f aca="false">SUM(D46:I46)</f>
        <v>-4.23851505475776</v>
      </c>
      <c r="K46" s="25" t="n">
        <f aca="false">J46-C46</f>
        <v>-3.90798504668055E-014</v>
      </c>
      <c r="L46" s="26" t="str">
        <f aca="false">IF(OR('Data Constant'!J48="",'Data Constant'!J44=""),"",('Data Constant'!J48-'Data Constant'!J44)/'Data Constant'!$E44*100)</f>
        <v/>
      </c>
    </row>
    <row r="47" customFormat="false" ht="15" hidden="false" customHeight="false" outlineLevel="0" collapsed="false">
      <c r="B47" s="21" t="str">
        <f aca="false">'Data Constant'!B49</f>
        <v>2014-Q4</v>
      </c>
      <c r="C47" s="22" t="n">
        <f aca="false">('Data Constant'!E49/'Data Constant'!E45-1)*100</f>
        <v>-2.81573013880524</v>
      </c>
      <c r="D47" s="23" t="n">
        <f aca="false">('Data Constant'!F49-'Data Constant'!F45)/'Data Constant'!$E45*100</f>
        <v>-5.40509478490148</v>
      </c>
      <c r="E47" s="23" t="n">
        <f aca="false">('Data Constant'!G49-'Data Constant'!G45)/'Data Constant'!$E45*100</f>
        <v>0.195206691808467</v>
      </c>
      <c r="F47" s="23" t="n">
        <f aca="false">('Data Constant'!H49-'Data Constant'!H45)/'Data Constant'!$E45*100</f>
        <v>-2.22378703006857</v>
      </c>
      <c r="G47" s="23" t="n">
        <f aca="false">('Data Constant'!M49-'Data Constant'!M45)/'Data Constant'!$E45*100</f>
        <v>-0.112011251917715</v>
      </c>
      <c r="H47" s="23" t="n">
        <f aca="false">('Data Constant'!K49-'Data Constant'!K45)/'Data Constant'!$E45*100</f>
        <v>-0.0709298534234846</v>
      </c>
      <c r="I47" s="23" t="n">
        <f aca="false">-('Data Constant'!L49-'Data Constant'!L45)/'Data Constant'!$E45*100</f>
        <v>4.80088608969756</v>
      </c>
      <c r="J47" s="24" t="n">
        <f aca="false">SUM(D47:I47)</f>
        <v>-2.81573013880523</v>
      </c>
      <c r="K47" s="25" t="n">
        <f aca="false">J47-C47</f>
        <v>1.11022302462516E-014</v>
      </c>
      <c r="L47" s="26" t="str">
        <f aca="false">IF(OR('Data Constant'!J49="",'Data Constant'!J45=""),"",('Data Constant'!J49-'Data Constant'!J45)/'Data Constant'!$E45*100)</f>
        <v/>
      </c>
    </row>
    <row r="48" customFormat="false" ht="15" hidden="false" customHeight="false" outlineLevel="0" collapsed="false">
      <c r="B48" s="21" t="str">
        <f aca="false">'Data Constant'!B50</f>
        <v>2015-Q1</v>
      </c>
      <c r="C48" s="22" t="n">
        <f aca="false">('Data Constant'!E50/'Data Constant'!E46-1)*100</f>
        <v>0.250908947797246</v>
      </c>
      <c r="D48" s="23" t="n">
        <f aca="false">('Data Constant'!F50-'Data Constant'!F46)/'Data Constant'!$E46*100</f>
        <v>-1.54333701232801</v>
      </c>
      <c r="E48" s="23" t="n">
        <f aca="false">('Data Constant'!G50-'Data Constant'!G46)/'Data Constant'!$E46*100</f>
        <v>0.496294186309568</v>
      </c>
      <c r="F48" s="23" t="n">
        <f aca="false">('Data Constant'!H50-'Data Constant'!H46)/'Data Constant'!$E46*100</f>
        <v>-0.384505073665024</v>
      </c>
      <c r="G48" s="23" t="n">
        <f aca="false">('Data Constant'!M50-'Data Constant'!M46)/'Data Constant'!$E46*100</f>
        <v>0.0591136205445451</v>
      </c>
      <c r="H48" s="23" t="n">
        <f aca="false">('Data Constant'!K50-'Data Constant'!K46)/'Data Constant'!$E46*100</f>
        <v>-0.421646652069709</v>
      </c>
      <c r="I48" s="23" t="n">
        <f aca="false">-('Data Constant'!L50-'Data Constant'!L46)/'Data Constant'!$E46*100</f>
        <v>2.04498987900588</v>
      </c>
      <c r="J48" s="24" t="n">
        <f aca="false">SUM(D48:I48)</f>
        <v>0.250908947797246</v>
      </c>
      <c r="K48" s="25" t="n">
        <f aca="false">J48-C48</f>
        <v>0</v>
      </c>
      <c r="L48" s="26" t="str">
        <f aca="false">IF(OR('Data Constant'!J50="",'Data Constant'!J46=""),"",('Data Constant'!J50-'Data Constant'!J46)/'Data Constant'!$E46*100)</f>
        <v/>
      </c>
    </row>
    <row r="49" customFormat="false" ht="15" hidden="false" customHeight="false" outlineLevel="0" collapsed="false">
      <c r="B49" s="21" t="str">
        <f aca="false">'Data Constant'!B51</f>
        <v>2015-Q2</v>
      </c>
      <c r="C49" s="22" t="n">
        <f aca="false">('Data Constant'!E51/'Data Constant'!E47-1)*100</f>
        <v>4.03103203233863</v>
      </c>
      <c r="D49" s="23" t="n">
        <f aca="false">('Data Constant'!F51-'Data Constant'!F47)/'Data Constant'!$E47*100</f>
        <v>5.47781041763333</v>
      </c>
      <c r="E49" s="23" t="n">
        <f aca="false">('Data Constant'!G51-'Data Constant'!G47)/'Data Constant'!$E47*100</f>
        <v>1.10252363521851</v>
      </c>
      <c r="F49" s="23" t="n">
        <f aca="false">('Data Constant'!H51-'Data Constant'!H47)/'Data Constant'!$E47*100</f>
        <v>0.321985776097833</v>
      </c>
      <c r="G49" s="23" t="n">
        <f aca="false">('Data Constant'!M51-'Data Constant'!M47)/'Data Constant'!$E47*100</f>
        <v>-1.87684036844461</v>
      </c>
      <c r="H49" s="23" t="n">
        <f aca="false">('Data Constant'!K51-'Data Constant'!K47)/'Data Constant'!$E47*100</f>
        <v>-0.4072073461804</v>
      </c>
      <c r="I49" s="23" t="n">
        <f aca="false">-('Data Constant'!L51-'Data Constant'!L47)/'Data Constant'!$E47*100</f>
        <v>-0.587240081986006</v>
      </c>
      <c r="J49" s="24" t="n">
        <f aca="false">SUM(D49:I49)</f>
        <v>4.03103203233866</v>
      </c>
      <c r="K49" s="25" t="n">
        <f aca="false">J49-C49</f>
        <v>2.57571741713036E-014</v>
      </c>
      <c r="L49" s="26" t="str">
        <f aca="false">IF(OR('Data Constant'!J51="",'Data Constant'!J47=""),"",('Data Constant'!J51-'Data Constant'!J47)/'Data Constant'!$E47*100)</f>
        <v/>
      </c>
    </row>
    <row r="50" customFormat="false" ht="15" hidden="false" customHeight="false" outlineLevel="0" collapsed="false">
      <c r="B50" s="21" t="str">
        <f aca="false">'Data Constant'!B52</f>
        <v>2015-Q3</v>
      </c>
      <c r="C50" s="22" t="n">
        <f aca="false">('Data Constant'!E52/'Data Constant'!E48-1)*100</f>
        <v>3.96616998607275</v>
      </c>
      <c r="D50" s="23" t="n">
        <f aca="false">('Data Constant'!F52-'Data Constant'!F48)/'Data Constant'!$E48*100</f>
        <v>4.04784428080252</v>
      </c>
      <c r="E50" s="23" t="n">
        <f aca="false">('Data Constant'!G52-'Data Constant'!G48)/'Data Constant'!$E48*100</f>
        <v>1.07474207661989</v>
      </c>
      <c r="F50" s="23" t="n">
        <f aca="false">('Data Constant'!H52-'Data Constant'!H48)/'Data Constant'!$E48*100</f>
        <v>1.26313337925917</v>
      </c>
      <c r="G50" s="23" t="n">
        <f aca="false">('Data Constant'!M52-'Data Constant'!M48)/'Data Constant'!$E48*100</f>
        <v>0.429717784585001</v>
      </c>
      <c r="H50" s="23" t="n">
        <f aca="false">('Data Constant'!K52-'Data Constant'!K48)/'Data Constant'!$E48*100</f>
        <v>0.0298183084082812</v>
      </c>
      <c r="I50" s="23" t="n">
        <f aca="false">-('Data Constant'!L52-'Data Constant'!L48)/'Data Constant'!$E48*100</f>
        <v>-2.87908584360206</v>
      </c>
      <c r="J50" s="24" t="n">
        <f aca="false">SUM(D50:I50)</f>
        <v>3.96616998607279</v>
      </c>
      <c r="K50" s="25" t="n">
        <f aca="false">J50-C50</f>
        <v>3.73034936274053E-014</v>
      </c>
      <c r="L50" s="26" t="str">
        <f aca="false">IF(OR('Data Constant'!J52="",'Data Constant'!J48=""),"",('Data Constant'!J52-'Data Constant'!J48)/'Data Constant'!$E48*100)</f>
        <v/>
      </c>
    </row>
    <row r="51" customFormat="false" ht="15" hidden="false" customHeight="false" outlineLevel="0" collapsed="false">
      <c r="B51" s="21" t="str">
        <f aca="false">'Data Constant'!B53</f>
        <v>2015-Q4</v>
      </c>
      <c r="C51" s="22" t="n">
        <f aca="false">('Data Constant'!E53/'Data Constant'!E49-1)*100</f>
        <v>2.47270091543546</v>
      </c>
      <c r="D51" s="23" t="n">
        <f aca="false">('Data Constant'!F53-'Data Constant'!F49)/'Data Constant'!$E49*100</f>
        <v>2.07605931759186</v>
      </c>
      <c r="E51" s="23" t="n">
        <f aca="false">('Data Constant'!G53-'Data Constant'!G49)/'Data Constant'!$E49*100</f>
        <v>0.874452632627922</v>
      </c>
      <c r="F51" s="23" t="n">
        <f aca="false">('Data Constant'!H53-'Data Constant'!H49)/'Data Constant'!$E49*100</f>
        <v>1.49510272800185</v>
      </c>
      <c r="G51" s="23" t="n">
        <f aca="false">('Data Constant'!M53-'Data Constant'!M49)/'Data Constant'!$E49*100</f>
        <v>2.51452158029643</v>
      </c>
      <c r="H51" s="23" t="n">
        <f aca="false">('Data Constant'!K53-'Data Constant'!K49)/'Data Constant'!$E49*100</f>
        <v>-1.41596774391807</v>
      </c>
      <c r="I51" s="23" t="n">
        <f aca="false">-('Data Constant'!L53-'Data Constant'!L49)/'Data Constant'!$E49*100</f>
        <v>-3.07146759916452</v>
      </c>
      <c r="J51" s="24" t="n">
        <f aca="false">SUM(D51:I51)</f>
        <v>2.47270091543546</v>
      </c>
      <c r="K51" s="25" t="n">
        <f aca="false">J51-C51</f>
        <v>0</v>
      </c>
      <c r="L51" s="26" t="str">
        <f aca="false">IF(OR('Data Constant'!J53="",'Data Constant'!J49=""),"",('Data Constant'!J53-'Data Constant'!J49)/'Data Constant'!$E49*100)</f>
        <v/>
      </c>
    </row>
    <row r="52" customFormat="false" ht="15" hidden="false" customHeight="false" outlineLevel="0" collapsed="false">
      <c r="B52" s="21" t="str">
        <f aca="false">'Data Constant'!B54</f>
        <v>2016-Q1</v>
      </c>
      <c r="C52" s="22" t="n">
        <f aca="false">('Data Constant'!E54/'Data Constant'!E50-1)*100</f>
        <v>0.728692545281007</v>
      </c>
      <c r="D52" s="23" t="n">
        <f aca="false">('Data Constant'!F54-'Data Constant'!F50)/'Data Constant'!$E50*100</f>
        <v>1.97182751800048</v>
      </c>
      <c r="E52" s="23" t="n">
        <f aca="false">('Data Constant'!G54-'Data Constant'!G50)/'Data Constant'!$E50*100</f>
        <v>0.260622418946763</v>
      </c>
      <c r="F52" s="23" t="n">
        <f aca="false">('Data Constant'!H54-'Data Constant'!H50)/'Data Constant'!$E50*100</f>
        <v>-0.648790208111822</v>
      </c>
      <c r="G52" s="23" t="n">
        <f aca="false">('Data Constant'!M54-'Data Constant'!M50)/'Data Constant'!$E50*100</f>
        <v>-0.57031543917309</v>
      </c>
      <c r="H52" s="23" t="n">
        <f aca="false">('Data Constant'!K54-'Data Constant'!K50)/'Data Constant'!$E50*100</f>
        <v>2.5486121125159</v>
      </c>
      <c r="I52" s="23" t="n">
        <f aca="false">-('Data Constant'!L54-'Data Constant'!L50)/'Data Constant'!$E50*100</f>
        <v>-2.83326385689721</v>
      </c>
      <c r="J52" s="24" t="n">
        <f aca="false">SUM(D52:I52)</f>
        <v>0.728692545281021</v>
      </c>
      <c r="K52" s="25" t="n">
        <f aca="false">J52-C52</f>
        <v>1.37667655053519E-014</v>
      </c>
      <c r="L52" s="26" t="str">
        <f aca="false">IF(OR('Data Constant'!J54="",'Data Constant'!J50=""),"",('Data Constant'!J54-'Data Constant'!J50)/'Data Constant'!$E50*100)</f>
        <v/>
      </c>
    </row>
    <row r="53" customFormat="false" ht="15" hidden="false" customHeight="false" outlineLevel="0" collapsed="false">
      <c r="B53" s="21" t="str">
        <f aca="false">'Data Constant'!B55</f>
        <v>2016-Q2</v>
      </c>
      <c r="C53" s="22" t="n">
        <f aca="false">('Data Constant'!E55/'Data Constant'!E51-1)*100</f>
        <v>-3.85885964740134</v>
      </c>
      <c r="D53" s="23" t="n">
        <f aca="false">('Data Constant'!F55-'Data Constant'!F51)/'Data Constant'!$E51*100</f>
        <v>-1.34899713110448</v>
      </c>
      <c r="E53" s="23" t="n">
        <f aca="false">('Data Constant'!G55-'Data Constant'!G51)/'Data Constant'!$E51*100</f>
        <v>-0.397090953088086</v>
      </c>
      <c r="F53" s="23" t="n">
        <f aca="false">('Data Constant'!H55-'Data Constant'!H51)/'Data Constant'!$E51*100</f>
        <v>-1.12895535549963</v>
      </c>
      <c r="G53" s="23" t="n">
        <f aca="false">('Data Constant'!M55-'Data Constant'!M51)/'Data Constant'!$E51*100</f>
        <v>0.938510662391715</v>
      </c>
      <c r="H53" s="23" t="n">
        <f aca="false">('Data Constant'!K55-'Data Constant'!K51)/'Data Constant'!$E51*100</f>
        <v>-0.168280669967181</v>
      </c>
      <c r="I53" s="23" t="n">
        <f aca="false">-('Data Constant'!L55-'Data Constant'!L51)/'Data Constant'!$E51*100</f>
        <v>-1.75404620013366</v>
      </c>
      <c r="J53" s="24" t="n">
        <f aca="false">SUM(D53:I53)</f>
        <v>-3.85885964740133</v>
      </c>
      <c r="K53" s="25" t="n">
        <f aca="false">J53-C53</f>
        <v>0</v>
      </c>
      <c r="L53" s="26" t="str">
        <f aca="false">IF(OR('Data Constant'!J55="",'Data Constant'!J51=""),"",('Data Constant'!J55-'Data Constant'!J51)/'Data Constant'!$E51*100)</f>
        <v/>
      </c>
    </row>
    <row r="54" customFormat="false" ht="15" hidden="false" customHeight="false" outlineLevel="0" collapsed="false">
      <c r="B54" s="21" t="str">
        <f aca="false">'Data Constant'!B56</f>
        <v>2016-Q3</v>
      </c>
      <c r="C54" s="22" t="n">
        <f aca="false">('Data Constant'!E56/'Data Constant'!E52-1)*100</f>
        <v>-3.32721885187776</v>
      </c>
      <c r="D54" s="23" t="n">
        <f aca="false">('Data Constant'!F56-'Data Constant'!F52)/'Data Constant'!$E52*100</f>
        <v>-1.69601488453156</v>
      </c>
      <c r="E54" s="23" t="n">
        <f aca="false">('Data Constant'!G56-'Data Constant'!G52)/'Data Constant'!$E52*100</f>
        <v>-0.168848718366428</v>
      </c>
      <c r="F54" s="23" t="n">
        <f aca="false">('Data Constant'!H56-'Data Constant'!H52)/'Data Constant'!$E52*100</f>
        <v>-1.64596968092227</v>
      </c>
      <c r="G54" s="23" t="n">
        <f aca="false">('Data Constant'!M56-'Data Constant'!M52)/'Data Constant'!$E52*100</f>
        <v>0.257472831121723</v>
      </c>
      <c r="H54" s="23" t="n">
        <f aca="false">('Data Constant'!K56-'Data Constant'!K52)/'Data Constant'!$E52*100</f>
        <v>-0.0683121589860282</v>
      </c>
      <c r="I54" s="23" t="n">
        <f aca="false">-('Data Constant'!L56-'Data Constant'!L52)/'Data Constant'!$E52*100</f>
        <v>-0.00554624019321447</v>
      </c>
      <c r="J54" s="24" t="n">
        <f aca="false">SUM(D54:I54)</f>
        <v>-3.32721885187777</v>
      </c>
      <c r="K54" s="25" t="n">
        <f aca="false">J54-C54</f>
        <v>-1.55431223447522E-014</v>
      </c>
      <c r="L54" s="26" t="str">
        <f aca="false">IF(OR('Data Constant'!J56="",'Data Constant'!J52=""),"",('Data Constant'!J56-'Data Constant'!J52)/'Data Constant'!$E52*100)</f>
        <v/>
      </c>
    </row>
    <row r="55" customFormat="false" ht="15" hidden="false" customHeight="false" outlineLevel="0" collapsed="false">
      <c r="B55" s="21" t="str">
        <f aca="false">'Data Constant'!B57</f>
        <v>2016-Q4</v>
      </c>
      <c r="C55" s="22" t="n">
        <f aca="false">('Data Constant'!E57/'Data Constant'!E53-1)*100</f>
        <v>-1.49328839288507</v>
      </c>
      <c r="D55" s="23" t="n">
        <f aca="false">('Data Constant'!F57-'Data Constant'!F53)/'Data Constant'!$E53*100</f>
        <v>-0.948577570237412</v>
      </c>
      <c r="E55" s="23" t="n">
        <f aca="false">('Data Constant'!G57-'Data Constant'!G53)/'Data Constant'!$E53*100</f>
        <v>0.0811708217173738</v>
      </c>
      <c r="F55" s="23" t="n">
        <f aca="false">('Data Constant'!H57-'Data Constant'!H53)/'Data Constant'!$E53*100</f>
        <v>-1.0585088490862</v>
      </c>
      <c r="G55" s="23" t="n">
        <f aca="false">('Data Constant'!M57-'Data Constant'!M53)/'Data Constant'!$E53*100</f>
        <v>-0.3255162335928</v>
      </c>
      <c r="H55" s="23" t="n">
        <f aca="false">('Data Constant'!K57-'Data Constant'!K53)/'Data Constant'!$E53*100</f>
        <v>1.90758693542881</v>
      </c>
      <c r="I55" s="23" t="n">
        <f aca="false">-('Data Constant'!L57-'Data Constant'!L53)/'Data Constant'!$E53*100</f>
        <v>-1.14944349711485</v>
      </c>
      <c r="J55" s="24" t="n">
        <f aca="false">SUM(D55:I55)</f>
        <v>-1.49328839288508</v>
      </c>
      <c r="K55" s="25" t="n">
        <f aca="false">J55-C55</f>
        <v>-6.21724893790088E-015</v>
      </c>
      <c r="L55" s="26" t="str">
        <f aca="false">IF(OR('Data Constant'!J57="",'Data Constant'!J53=""),"",('Data Constant'!J57-'Data Constant'!J53)/'Data Constant'!$E53*100)</f>
        <v/>
      </c>
    </row>
    <row r="56" customFormat="false" ht="15" hidden="false" customHeight="false" outlineLevel="0" collapsed="false">
      <c r="B56" s="21" t="str">
        <f aca="false">'Data Constant'!B58</f>
        <v>2017-Q1</v>
      </c>
      <c r="C56" s="22" t="n">
        <f aca="false">('Data Constant'!E58/'Data Constant'!E54-1)*100</f>
        <v>0.559679082443165</v>
      </c>
      <c r="D56" s="23" t="n">
        <f aca="false">('Data Constant'!F58-'Data Constant'!F54)/'Data Constant'!$E54*100</f>
        <v>2.2521997993223</v>
      </c>
      <c r="E56" s="23" t="n">
        <f aca="false">('Data Constant'!G58-'Data Constant'!G54)/'Data Constant'!$E54*100</f>
        <v>0.228461654952486</v>
      </c>
      <c r="F56" s="23" t="n">
        <f aca="false">('Data Constant'!H58-'Data Constant'!H54)/'Data Constant'!$E54*100</f>
        <v>1.0419399124137</v>
      </c>
      <c r="G56" s="23" t="n">
        <f aca="false">('Data Constant'!M58-'Data Constant'!M54)/'Data Constant'!$E54*100</f>
        <v>-0.971672876267178</v>
      </c>
      <c r="H56" s="23" t="n">
        <f aca="false">('Data Constant'!K58-'Data Constant'!K54)/'Data Constant'!$E54*100</f>
        <v>0.182615809054991</v>
      </c>
      <c r="I56" s="23" t="n">
        <f aca="false">-('Data Constant'!L58-'Data Constant'!L54)/'Data Constant'!$E54*100</f>
        <v>-2.17386521703313</v>
      </c>
      <c r="J56" s="24" t="n">
        <f aca="false">SUM(D56:I56)</f>
        <v>0.559679082443176</v>
      </c>
      <c r="K56" s="25" t="n">
        <f aca="false">J56-C56</f>
        <v>1.11022302462516E-014</v>
      </c>
      <c r="L56" s="26" t="str">
        <f aca="false">IF(OR('Data Constant'!J58="",'Data Constant'!J54=""),"",('Data Constant'!J58-'Data Constant'!J54)/'Data Constant'!$E54*100)</f>
        <v/>
      </c>
    </row>
    <row r="57" customFormat="false" ht="15" hidden="false" customHeight="false" outlineLevel="0" collapsed="false">
      <c r="B57" s="21" t="str">
        <f aca="false">'Data Constant'!B59</f>
        <v>2017-Q2</v>
      </c>
      <c r="C57" s="22" t="n">
        <f aca="false">('Data Constant'!E59/'Data Constant'!E55-1)*100</f>
        <v>2.32658340767662</v>
      </c>
      <c r="D57" s="23" t="n">
        <f aca="false">('Data Constant'!F59-'Data Constant'!F55)/'Data Constant'!$E55*100</f>
        <v>2.81229602085396</v>
      </c>
      <c r="E57" s="23" t="n">
        <f aca="false">('Data Constant'!G59-'Data Constant'!G55)/'Data Constant'!$E55*100</f>
        <v>0.56318583299089</v>
      </c>
      <c r="F57" s="23" t="n">
        <f aca="false">('Data Constant'!H59-'Data Constant'!H55)/'Data Constant'!$E55*100</f>
        <v>1.75210065830591</v>
      </c>
      <c r="G57" s="23" t="n">
        <f aca="false">('Data Constant'!M59-'Data Constant'!M55)/'Data Constant'!$E55*100</f>
        <v>-0.00335930658808977</v>
      </c>
      <c r="H57" s="23" t="n">
        <f aca="false">('Data Constant'!K59-'Data Constant'!K55)/'Data Constant'!$E55*100</f>
        <v>0.266510106394499</v>
      </c>
      <c r="I57" s="23" t="n">
        <f aca="false">-('Data Constant'!L59-'Data Constant'!L55)/'Data Constant'!$E55*100</f>
        <v>-3.06414990428054</v>
      </c>
      <c r="J57" s="24" t="n">
        <f aca="false">SUM(D57:I57)</f>
        <v>2.32658340767663</v>
      </c>
      <c r="K57" s="25" t="n">
        <f aca="false">J57-C57</f>
        <v>1.24344978758018E-014</v>
      </c>
      <c r="L57" s="26" t="str">
        <f aca="false">IF(OR('Data Constant'!J59="",'Data Constant'!J55=""),"",('Data Constant'!J59-'Data Constant'!J55)/'Data Constant'!$E55*100)</f>
        <v/>
      </c>
    </row>
    <row r="58" customFormat="false" ht="15" hidden="false" customHeight="false" outlineLevel="0" collapsed="false">
      <c r="B58" s="21" t="str">
        <f aca="false">'Data Constant'!B60</f>
        <v>2017-Q3</v>
      </c>
      <c r="C58" s="22" t="n">
        <f aca="false">('Data Constant'!E60/'Data Constant'!E56-1)*100</f>
        <v>3.85060856362685</v>
      </c>
      <c r="D58" s="23" t="n">
        <f aca="false">('Data Constant'!F60-'Data Constant'!F56)/'Data Constant'!$E56*100</f>
        <v>3.46180579525702</v>
      </c>
      <c r="E58" s="23" t="n">
        <f aca="false">('Data Constant'!G60-'Data Constant'!G56)/'Data Constant'!$E56*100</f>
        <v>0.3663149625076</v>
      </c>
      <c r="F58" s="23" t="n">
        <f aca="false">('Data Constant'!H60-'Data Constant'!H56)/'Data Constant'!$E56*100</f>
        <v>3.3708946650939</v>
      </c>
      <c r="G58" s="23" t="n">
        <f aca="false">('Data Constant'!M60-'Data Constant'!M56)/'Data Constant'!$E56*100</f>
        <v>0.8418864398285</v>
      </c>
      <c r="H58" s="23" t="n">
        <f aca="false">('Data Constant'!K60-'Data Constant'!K56)/'Data Constant'!$E56*100</f>
        <v>1.00132725404563</v>
      </c>
      <c r="I58" s="23" t="n">
        <f aca="false">-('Data Constant'!L60-'Data Constant'!L56)/'Data Constant'!$E56*100</f>
        <v>-5.1916205531058</v>
      </c>
      <c r="J58" s="24" t="n">
        <f aca="false">SUM(D58:I58)</f>
        <v>3.85060856362685</v>
      </c>
      <c r="K58" s="25" t="n">
        <f aca="false">J58-C58</f>
        <v>0</v>
      </c>
      <c r="L58" s="26" t="str">
        <f aca="false">IF(OR('Data Constant'!J60="",'Data Constant'!J56=""),"",('Data Constant'!J60-'Data Constant'!J56)/'Data Constant'!$E56*100)</f>
        <v/>
      </c>
    </row>
    <row r="59" customFormat="false" ht="15" hidden="false" customHeight="false" outlineLevel="0" collapsed="false">
      <c r="B59" s="21" t="str">
        <f aca="false">'Data Constant'!B61</f>
        <v>2017-Q4</v>
      </c>
      <c r="C59" s="22" t="n">
        <f aca="false">('Data Constant'!E61/'Data Constant'!E57-1)*100</f>
        <v>4.53268482640472</v>
      </c>
      <c r="D59" s="23" t="n">
        <f aca="false">('Data Constant'!F61-'Data Constant'!F57)/'Data Constant'!$E57*100</f>
        <v>3.65225474924335</v>
      </c>
      <c r="E59" s="23" t="n">
        <f aca="false">('Data Constant'!G61-'Data Constant'!G57)/'Data Constant'!$E57*100</f>
        <v>0.256874226800236</v>
      </c>
      <c r="F59" s="23" t="n">
        <f aca="false">('Data Constant'!H61-'Data Constant'!H57)/'Data Constant'!$E57*100</f>
        <v>3.93291395916963</v>
      </c>
      <c r="G59" s="23" t="n">
        <f aca="false">('Data Constant'!M61-'Data Constant'!M57)/'Data Constant'!$E57*100</f>
        <v>2.10369223998878</v>
      </c>
      <c r="H59" s="23" t="n">
        <f aca="false">('Data Constant'!K61-'Data Constant'!K57)/'Data Constant'!$E57*100</f>
        <v>0.674205205657408</v>
      </c>
      <c r="I59" s="23" t="n">
        <f aca="false">-('Data Constant'!L61-'Data Constant'!L57)/'Data Constant'!$E57*100</f>
        <v>-6.08725555445465</v>
      </c>
      <c r="J59" s="24" t="n">
        <f aca="false">SUM(D59:I59)</f>
        <v>4.53268482640475</v>
      </c>
      <c r="K59" s="25" t="n">
        <f aca="false">J59-C59</f>
        <v>3.37507799486048E-014</v>
      </c>
      <c r="L59" s="26" t="str">
        <f aca="false">IF(OR('Data Constant'!J61="",'Data Constant'!J57=""),"",('Data Constant'!J61-'Data Constant'!J57)/'Data Constant'!$E57*100)</f>
        <v/>
      </c>
    </row>
    <row r="60" customFormat="false" ht="15" hidden="false" customHeight="false" outlineLevel="0" collapsed="false">
      <c r="B60" s="21" t="str">
        <f aca="false">'Data Constant'!B62</f>
        <v>2018-Q1</v>
      </c>
      <c r="C60" s="22" t="n">
        <f aca="false">('Data Constant'!E62/'Data Constant'!E58-1)*100</f>
        <v>3.79774021814201</v>
      </c>
      <c r="D60" s="23" t="n">
        <f aca="false">('Data Constant'!F62-'Data Constant'!F58)/'Data Constant'!$E58*100</f>
        <v>2.48026127190089</v>
      </c>
      <c r="E60" s="23" t="n">
        <f aca="false">('Data Constant'!G62-'Data Constant'!G58)/'Data Constant'!$E58*100</f>
        <v>-0.00855148582350393</v>
      </c>
      <c r="F60" s="23" t="n">
        <f aca="false">('Data Constant'!H62-'Data Constant'!H58)/'Data Constant'!$E58*100</f>
        <v>3.05444538585876</v>
      </c>
      <c r="G60" s="23" t="n">
        <f aca="false">('Data Constant'!M62-'Data Constant'!M58)/'Data Constant'!$E58*100</f>
        <v>1.34705722092075</v>
      </c>
      <c r="H60" s="23" t="n">
        <f aca="false">('Data Constant'!K62-'Data Constant'!K58)/'Data Constant'!$E58*100</f>
        <v>1.50743806754117</v>
      </c>
      <c r="I60" s="23" t="n">
        <f aca="false">-('Data Constant'!L62-'Data Constant'!L58)/'Data Constant'!$E58*100</f>
        <v>-4.58291024225605</v>
      </c>
      <c r="J60" s="24" t="n">
        <f aca="false">SUM(D60:I60)</f>
        <v>3.79774021814202</v>
      </c>
      <c r="K60" s="25" t="n">
        <f aca="false">J60-C60</f>
        <v>0</v>
      </c>
      <c r="L60" s="26" t="str">
        <f aca="false">IF(OR('Data Constant'!J62="",'Data Constant'!J58=""),"",('Data Constant'!J62-'Data Constant'!J58)/'Data Constant'!$E58*100)</f>
        <v/>
      </c>
    </row>
    <row r="61" customFormat="false" ht="15" hidden="false" customHeight="false" outlineLevel="0" collapsed="false">
      <c r="B61" s="21" t="str">
        <f aca="false">'Data Constant'!B63</f>
        <v>2018-Q2</v>
      </c>
      <c r="C61" s="22" t="n">
        <f aca="false">('Data Constant'!E63/'Data Constant'!E59-1)*100</f>
        <v>-3.9790994073943</v>
      </c>
      <c r="D61" s="23" t="n">
        <f aca="false">('Data Constant'!F63-'Data Constant'!F59)/'Data Constant'!$E59*100</f>
        <v>1.11691602402135</v>
      </c>
      <c r="E61" s="23" t="n">
        <f aca="false">('Data Constant'!G63-'Data Constant'!G59)/'Data Constant'!$E59*100</f>
        <v>-0.0958021546852896</v>
      </c>
      <c r="F61" s="23" t="n">
        <f aca="false">('Data Constant'!H63-'Data Constant'!H59)/'Data Constant'!$E59*100</f>
        <v>0.480657082834921</v>
      </c>
      <c r="G61" s="23" t="n">
        <f aca="false">('Data Constant'!M63-'Data Constant'!M59)/'Data Constant'!$E59*100</f>
        <v>-2.72031971706163</v>
      </c>
      <c r="H61" s="23" t="n">
        <f aca="false">('Data Constant'!K63-'Data Constant'!K59)/'Data Constant'!$E59*100</f>
        <v>-1.61374798238745</v>
      </c>
      <c r="I61" s="23" t="n">
        <f aca="false">-('Data Constant'!L63-'Data Constant'!L59)/'Data Constant'!$E59*100</f>
        <v>-1.14680266011622</v>
      </c>
      <c r="J61" s="24" t="n">
        <f aca="false">SUM(D61:I61)</f>
        <v>-3.97909940739432</v>
      </c>
      <c r="K61" s="25" t="n">
        <f aca="false">J61-C61</f>
        <v>-1.46549439250521E-014</v>
      </c>
      <c r="L61" s="26" t="str">
        <f aca="false">IF(OR('Data Constant'!J63="",'Data Constant'!J59=""),"",('Data Constant'!J63-'Data Constant'!J59)/'Data Constant'!$E59*100)</f>
        <v/>
      </c>
    </row>
    <row r="62" customFormat="false" ht="15" hidden="false" customHeight="false" outlineLevel="0" collapsed="false">
      <c r="B62" s="21" t="str">
        <f aca="false">'Data Constant'!B64</f>
        <v>2018-Q3</v>
      </c>
      <c r="C62" s="22" t="n">
        <f aca="false">('Data Constant'!E64/'Data Constant'!E60-1)*100</f>
        <v>-3.46944038739507</v>
      </c>
      <c r="D62" s="23" t="n">
        <f aca="false">('Data Constant'!F64-'Data Constant'!F60)/'Data Constant'!$E60*100</f>
        <v>-2.37580990414382</v>
      </c>
      <c r="E62" s="23" t="n">
        <f aca="false">('Data Constant'!G64-'Data Constant'!G60)/'Data Constant'!$E60*100</f>
        <v>-0.345857864054053</v>
      </c>
      <c r="F62" s="23" t="n">
        <f aca="false">('Data Constant'!H64-'Data Constant'!H60)/'Data Constant'!$E60*100</f>
        <v>-2.56905517743847</v>
      </c>
      <c r="G62" s="23" t="n">
        <f aca="false">('Data Constant'!M64-'Data Constant'!M60)/'Data Constant'!$E60*100</f>
        <v>0.0243317419099821</v>
      </c>
      <c r="H62" s="23" t="n">
        <f aca="false">('Data Constant'!K64-'Data Constant'!K60)/'Data Constant'!$E60*100</f>
        <v>-1.30251453716053</v>
      </c>
      <c r="I62" s="23" t="n">
        <f aca="false">-('Data Constant'!L64-'Data Constant'!L60)/'Data Constant'!$E60*100</f>
        <v>3.09946535349184</v>
      </c>
      <c r="J62" s="24" t="n">
        <f aca="false">SUM(D62:I62)</f>
        <v>-3.46944038739506</v>
      </c>
      <c r="K62" s="25" t="n">
        <f aca="false">J62-C62</f>
        <v>1.82076576038526E-014</v>
      </c>
      <c r="L62" s="26" t="str">
        <f aca="false">IF(OR('Data Constant'!J64="",'Data Constant'!J60=""),"",('Data Constant'!J64-'Data Constant'!J60)/'Data Constant'!$E60*100)</f>
        <v/>
      </c>
    </row>
    <row r="63" customFormat="false" ht="15" hidden="false" customHeight="false" outlineLevel="0" collapsed="false">
      <c r="B63" s="21" t="str">
        <f aca="false">'Data Constant'!B65</f>
        <v>2018-Q4</v>
      </c>
      <c r="C63" s="22" t="n">
        <f aca="false">('Data Constant'!E65/'Data Constant'!E61-1)*100</f>
        <v>-6.33973916700751</v>
      </c>
      <c r="D63" s="23" t="n">
        <f aca="false">('Data Constant'!F65-'Data Constant'!F61)/'Data Constant'!$E61*100</f>
        <v>-7.84490341999533</v>
      </c>
      <c r="E63" s="23" t="n">
        <f aca="false">('Data Constant'!G65-'Data Constant'!G61)/'Data Constant'!$E61*100</f>
        <v>-0.576679698248382</v>
      </c>
      <c r="F63" s="23" t="n">
        <f aca="false">('Data Constant'!H65-'Data Constant'!H61)/'Data Constant'!$E61*100</f>
        <v>-5.60658852665331</v>
      </c>
      <c r="G63" s="23" t="n">
        <f aca="false">('Data Constant'!M65-'Data Constant'!M61)/'Data Constant'!$E61*100</f>
        <v>-2.2123052393564</v>
      </c>
      <c r="H63" s="23" t="n">
        <f aca="false">('Data Constant'!K65-'Data Constant'!K61)/'Data Constant'!$E61*100</f>
        <v>2.13307370343541</v>
      </c>
      <c r="I63" s="23" t="n">
        <f aca="false">-('Data Constant'!L65-'Data Constant'!L61)/'Data Constant'!$E61*100</f>
        <v>7.76766401381047</v>
      </c>
      <c r="J63" s="24" t="n">
        <f aca="false">SUM(D63:I63)</f>
        <v>-6.33973916700755</v>
      </c>
      <c r="K63" s="25" t="n">
        <f aca="false">J63-C63</f>
        <v>-3.73034936274053E-014</v>
      </c>
      <c r="L63" s="26" t="str">
        <f aca="false">IF(OR('Data Constant'!J65="",'Data Constant'!J61=""),"",('Data Constant'!J65-'Data Constant'!J61)/'Data Constant'!$E61*100)</f>
        <v/>
      </c>
    </row>
    <row r="64" customFormat="false" ht="15" hidden="false" customHeight="false" outlineLevel="0" collapsed="false">
      <c r="B64" s="21" t="str">
        <f aca="false">'Data Constant'!B66</f>
        <v>2019-Q1</v>
      </c>
      <c r="C64" s="22" t="n">
        <f aca="false">('Data Constant'!E66/'Data Constant'!E62-1)*100</f>
        <v>-5.86372539873753</v>
      </c>
      <c r="D64" s="23" t="n">
        <f aca="false">('Data Constant'!F66-'Data Constant'!F62)/'Data Constant'!$E62*100</f>
        <v>-6.85984770422631</v>
      </c>
      <c r="E64" s="23" t="n">
        <f aca="false">('Data Constant'!G66-'Data Constant'!G62)/'Data Constant'!$E62*100</f>
        <v>-0.579692898149087</v>
      </c>
      <c r="F64" s="23" t="n">
        <f aca="false">('Data Constant'!H66-'Data Constant'!H62)/'Data Constant'!$E62*100</f>
        <v>-5.38830348802522</v>
      </c>
      <c r="G64" s="23" t="n">
        <f aca="false">('Data Constant'!M66-'Data Constant'!M62)/'Data Constant'!$E62*100</f>
        <v>-1.18121779429846</v>
      </c>
      <c r="H64" s="23" t="n">
        <f aca="false">('Data Constant'!K66-'Data Constant'!K62)/'Data Constant'!$E62*100</f>
        <v>0.14697003499539</v>
      </c>
      <c r="I64" s="23" t="n">
        <f aca="false">-('Data Constant'!L66-'Data Constant'!L62)/'Data Constant'!$E62*100</f>
        <v>7.99836645096616</v>
      </c>
      <c r="J64" s="24" t="n">
        <f aca="false">SUM(D64:I64)</f>
        <v>-5.86372539873752</v>
      </c>
      <c r="K64" s="25" t="n">
        <f aca="false">J64-C64</f>
        <v>0</v>
      </c>
      <c r="L64" s="26" t="str">
        <f aca="false">IF(OR('Data Constant'!J66="",'Data Constant'!J62=""),"",('Data Constant'!J66-'Data Constant'!J62)/'Data Constant'!$E62*100)</f>
        <v/>
      </c>
    </row>
    <row r="65" customFormat="false" ht="15" hidden="false" customHeight="false" outlineLevel="0" collapsed="false">
      <c r="B65" s="21" t="str">
        <f aca="false">'Data Constant'!B67</f>
        <v>2019-Q2</v>
      </c>
      <c r="C65" s="22" t="n">
        <f aca="false">('Data Constant'!E67/'Data Constant'!E63-1)*100</f>
        <v>0.582819893603537</v>
      </c>
      <c r="D65" s="23" t="n">
        <f aca="false">('Data Constant'!F67-'Data Constant'!F63)/'Data Constant'!$E63*100</f>
        <v>-5.05446089363393</v>
      </c>
      <c r="E65" s="23" t="n">
        <f aca="false">('Data Constant'!G67-'Data Constant'!G63)/'Data Constant'!$E63*100</f>
        <v>-0.567588387738141</v>
      </c>
      <c r="F65" s="23" t="n">
        <f aca="false">('Data Constant'!H67-'Data Constant'!H63)/'Data Constant'!$E63*100</f>
        <v>-3.75513479012941</v>
      </c>
      <c r="G65" s="23" t="n">
        <f aca="false">('Data Constant'!M67-'Data Constant'!M63)/'Data Constant'!$E63*100</f>
        <v>0.505652973648528</v>
      </c>
      <c r="H65" s="23" t="n">
        <f aca="false">('Data Constant'!K67-'Data Constant'!K63)/'Data Constant'!$E63*100</f>
        <v>2.89565609570637</v>
      </c>
      <c r="I65" s="23" t="n">
        <f aca="false">-('Data Constant'!L67-'Data Constant'!L63)/'Data Constant'!$E63*100</f>
        <v>6.55869489575011</v>
      </c>
      <c r="J65" s="24" t="n">
        <f aca="false">SUM(D65:I65)</f>
        <v>0.582819893603527</v>
      </c>
      <c r="K65" s="25" t="n">
        <f aca="false">J65-C65</f>
        <v>-9.76996261670138E-015</v>
      </c>
      <c r="L65" s="26" t="str">
        <f aca="false">IF(OR('Data Constant'!J67="",'Data Constant'!J63=""),"",('Data Constant'!J67-'Data Constant'!J63)/'Data Constant'!$E63*100)</f>
        <v/>
      </c>
    </row>
    <row r="66" customFormat="false" ht="15" hidden="false" customHeight="false" outlineLevel="0" collapsed="false">
      <c r="B66" s="21" t="str">
        <f aca="false">'Data Constant'!B68</f>
        <v>2019-Q3</v>
      </c>
      <c r="C66" s="22" t="n">
        <f aca="false">('Data Constant'!E68/'Data Constant'!E64-1)*100</f>
        <v>-1.75271616356651</v>
      </c>
      <c r="D66" s="23" t="n">
        <f aca="false">('Data Constant'!F68-'Data Constant'!F64)/'Data Constant'!$E64*100</f>
        <v>-4.72642023250814</v>
      </c>
      <c r="E66" s="23" t="n">
        <f aca="false">('Data Constant'!G68-'Data Constant'!G64)/'Data Constant'!$E64*100</f>
        <v>-1.18620376154208</v>
      </c>
      <c r="F66" s="23" t="n">
        <f aca="false">('Data Constant'!H68-'Data Constant'!H64)/'Data Constant'!$E64*100</f>
        <v>-2.05773374269066</v>
      </c>
      <c r="G66" s="23" t="n">
        <f aca="false">('Data Constant'!M68-'Data Constant'!M64)/'Data Constant'!$E64*100</f>
        <v>-1.28074819617967</v>
      </c>
      <c r="H66" s="23" t="n">
        <f aca="false">('Data Constant'!K68-'Data Constant'!K64)/'Data Constant'!$E64*100</f>
        <v>3.16041767692285</v>
      </c>
      <c r="I66" s="23" t="n">
        <f aca="false">-('Data Constant'!L68-'Data Constant'!L64)/'Data Constant'!$E64*100</f>
        <v>4.35743671852406</v>
      </c>
      <c r="J66" s="24" t="n">
        <f aca="false">SUM(D66:I66)</f>
        <v>-1.73325153747363</v>
      </c>
      <c r="K66" s="25" t="n">
        <f aca="false">J66-C66</f>
        <v>0.0194646260928879</v>
      </c>
      <c r="L66" s="26" t="str">
        <f aca="false">IF(OR('Data Constant'!J68="",'Data Constant'!J64=""),"",('Data Constant'!J68-'Data Constant'!J64)/'Data Constant'!$E64*100)</f>
        <v/>
      </c>
    </row>
    <row r="67" customFormat="false" ht="15" hidden="false" customHeight="false" outlineLevel="0" collapsed="false">
      <c r="B67" s="21" t="str">
        <f aca="false">'Data Constant'!B69</f>
        <v>2019-Q4</v>
      </c>
      <c r="C67" s="22" t="n">
        <f aca="false">('Data Constant'!E69/'Data Constant'!E65-1)*100</f>
        <v>-1.07484273951806</v>
      </c>
      <c r="D67" s="23" t="n">
        <f aca="false">('Data Constant'!F69-'Data Constant'!F65)/'Data Constant'!$E65*100</f>
        <v>-1.4483279808353</v>
      </c>
      <c r="E67" s="23" t="n">
        <f aca="false">('Data Constant'!G69-'Data Constant'!G65)/'Data Constant'!$E65*100</f>
        <v>-1.21136753556839</v>
      </c>
      <c r="F67" s="23" t="n">
        <f aca="false">('Data Constant'!H69-'Data Constant'!H65)/'Data Constant'!$E65*100</f>
        <v>-1.47700925833905</v>
      </c>
      <c r="G67" s="23" t="n">
        <f aca="false">('Data Constant'!M69-'Data Constant'!M65)/'Data Constant'!$E65*100</f>
        <v>-1.3443992431699</v>
      </c>
      <c r="H67" s="23" t="n">
        <f aca="false">('Data Constant'!K69-'Data Constant'!K65)/'Data Constant'!$E65*100</f>
        <v>1.86508070402886</v>
      </c>
      <c r="I67" s="23" t="n">
        <f aca="false">-('Data Constant'!L69-'Data Constant'!L65)/'Data Constant'!$E65*100</f>
        <v>2.67251873495336</v>
      </c>
      <c r="J67" s="24" t="n">
        <f aca="false">SUM(D67:I67)</f>
        <v>-0.943504578930416</v>
      </c>
      <c r="K67" s="25" t="n">
        <f aca="false">J67-C67</f>
        <v>0.13133816058764</v>
      </c>
      <c r="L67" s="26" t="str">
        <f aca="false">IF(OR('Data Constant'!J69="",'Data Constant'!J65=""),"",('Data Constant'!J69-'Data Constant'!J65)/'Data Constant'!$E65*100)</f>
        <v/>
      </c>
    </row>
    <row r="68" customFormat="false" ht="15" hidden="false" customHeight="false" outlineLevel="0" collapsed="false">
      <c r="B68" s="21" t="str">
        <f aca="false">'Data Constant'!B70</f>
        <v>2020-Q1</v>
      </c>
      <c r="C68" s="22" t="n">
        <f aca="false">('Data Constant'!E70/'Data Constant'!E66-1)*100</f>
        <v>-5.02506965865937</v>
      </c>
      <c r="D68" s="23" t="n">
        <f aca="false">('Data Constant'!F70-'Data Constant'!F66)/'Data Constant'!$E66*100</f>
        <v>-5.03178514532469</v>
      </c>
      <c r="E68" s="23" t="n">
        <f aca="false">('Data Constant'!G70-'Data Constant'!G66)/'Data Constant'!$E66*100</f>
        <v>-0.0329714437858366</v>
      </c>
      <c r="F68" s="23" t="n">
        <f aca="false">('Data Constant'!H70-'Data Constant'!H66)/'Data Constant'!$E66*100</f>
        <v>-3.11617739544862</v>
      </c>
      <c r="G68" s="23" t="n">
        <f aca="false">('Data Constant'!M70-'Data Constant'!M66)/'Data Constant'!$E66*100</f>
        <v>1.01359326161527</v>
      </c>
      <c r="H68" s="23" t="n">
        <f aca="false">('Data Constant'!K70-'Data Constant'!K66)/'Data Constant'!$E66*100</f>
        <v>-0.999646313594425</v>
      </c>
      <c r="I68" s="23" t="n">
        <f aca="false">-('Data Constant'!L70-'Data Constant'!L66)/'Data Constant'!$E66*100</f>
        <v>3.14191737787894</v>
      </c>
      <c r="J68" s="24" t="n">
        <f aca="false">SUM(D68:I68)</f>
        <v>-5.02506965865936</v>
      </c>
      <c r="K68" s="25" t="n">
        <f aca="false">J68-C68</f>
        <v>0</v>
      </c>
      <c r="L68" s="26" t="str">
        <f aca="false">IF(OR('Data Constant'!J70="",'Data Constant'!J66=""),"",('Data Constant'!J70-'Data Constant'!J66)/'Data Constant'!$E66*100)</f>
        <v/>
      </c>
    </row>
    <row r="69" customFormat="false" ht="15" hidden="false" customHeight="false" outlineLevel="0" collapsed="false">
      <c r="B69" s="21" t="str">
        <f aca="false">'Data Constant'!B71</f>
        <v>2020-Q2</v>
      </c>
      <c r="C69" s="22" t="n">
        <f aca="false">('Data Constant'!E71/'Data Constant'!E67-1)*100</f>
        <v>-18.9421940385846</v>
      </c>
      <c r="D69" s="23" t="n">
        <f aca="false">('Data Constant'!F71-'Data Constant'!F67)/'Data Constant'!$E67*100</f>
        <v>-15.4813074168168</v>
      </c>
      <c r="E69" s="23" t="n">
        <f aca="false">('Data Constant'!G71-'Data Constant'!G67)/'Data Constant'!$E67*100</f>
        <v>-0.725383375662034</v>
      </c>
      <c r="F69" s="23" t="n">
        <f aca="false">('Data Constant'!H71-'Data Constant'!H67)/'Data Constant'!$E67*100</f>
        <v>-6.29982028190476</v>
      </c>
      <c r="G69" s="23" t="n">
        <f aca="false">('Data Constant'!M71-'Data Constant'!M67)/'Data Constant'!$E67*100</f>
        <v>-0.360515162200338</v>
      </c>
      <c r="H69" s="23" t="n">
        <f aca="false">('Data Constant'!K71-'Data Constant'!K67)/'Data Constant'!$E67*100</f>
        <v>-3.02955788525706</v>
      </c>
      <c r="I69" s="23" t="n">
        <f aca="false">-('Data Constant'!L71-'Data Constant'!L67)/'Data Constant'!$E67*100</f>
        <v>6.95439008325639</v>
      </c>
      <c r="J69" s="24" t="n">
        <f aca="false">SUM(D69:I69)</f>
        <v>-18.9421940385846</v>
      </c>
      <c r="K69" s="25" t="n">
        <f aca="false">J69-C69</f>
        <v>0</v>
      </c>
      <c r="L69" s="26" t="str">
        <f aca="false">IF(OR('Data Constant'!J71="",'Data Constant'!J67=""),"",('Data Constant'!J71-'Data Constant'!J67)/'Data Constant'!$E67*100)</f>
        <v/>
      </c>
    </row>
    <row r="70" customFormat="false" ht="15" hidden="false" customHeight="false" outlineLevel="0" collapsed="false">
      <c r="B70" s="21" t="str">
        <f aca="false">'Data Constant'!B72</f>
        <v>2020-Q3</v>
      </c>
      <c r="C70" s="22" t="n">
        <f aca="false">('Data Constant'!E72/'Data Constant'!E68-1)*100</f>
        <v>-10.1927662759163</v>
      </c>
      <c r="D70" s="23" t="n">
        <f aca="false">('Data Constant'!F72-'Data Constant'!F68)/'Data Constant'!$E68*100</f>
        <v>-10.4465930768028</v>
      </c>
      <c r="E70" s="23" t="n">
        <f aca="false">('Data Constant'!G72-'Data Constant'!G68)/'Data Constant'!$E68*100</f>
        <v>-0.245900565637085</v>
      </c>
      <c r="F70" s="23" t="n">
        <f aca="false">('Data Constant'!H72-'Data Constant'!H68)/'Data Constant'!$E68*100</f>
        <v>-1.70928258756968</v>
      </c>
      <c r="G70" s="23" t="n">
        <f aca="false">('Data Constant'!M72-'Data Constant'!M68)/'Data Constant'!$E68*100</f>
        <v>0.824205259584576</v>
      </c>
      <c r="H70" s="23" t="n">
        <f aca="false">('Data Constant'!K72-'Data Constant'!K68)/'Data Constant'!$E68*100</f>
        <v>-4.40506354986358</v>
      </c>
      <c r="I70" s="23" t="n">
        <f aca="false">-('Data Constant'!L72-'Data Constant'!L68)/'Data Constant'!$E68*100</f>
        <v>5.77005637239702</v>
      </c>
      <c r="J70" s="24" t="n">
        <f aca="false">SUM(D70:I70)</f>
        <v>-10.2125781478915</v>
      </c>
      <c r="K70" s="25" t="n">
        <f aca="false">J70-C70</f>
        <v>-0.0198118719752696</v>
      </c>
      <c r="L70" s="26" t="str">
        <f aca="false">IF(OR('Data Constant'!J72="",'Data Constant'!J68=""),"",('Data Constant'!J72-'Data Constant'!J68)/'Data Constant'!$E68*100)</f>
        <v/>
      </c>
    </row>
    <row r="71" customFormat="false" ht="15" hidden="false" customHeight="false" outlineLevel="0" collapsed="false">
      <c r="B71" s="21" t="str">
        <f aca="false">'Data Constant'!B73</f>
        <v>2020-Q4</v>
      </c>
      <c r="C71" s="22" t="n">
        <f aca="false">('Data Constant'!E73/'Data Constant'!E69-1)*100</f>
        <v>-4.31329947641036</v>
      </c>
      <c r="D71" s="23" t="n">
        <f aca="false">('Data Constant'!F73-'Data Constant'!F69)/'Data Constant'!$E69*100</f>
        <v>-2.87233379044852</v>
      </c>
      <c r="E71" s="23" t="n">
        <f aca="false">('Data Constant'!G73-'Data Constant'!G69)/'Data Constant'!$E69*100</f>
        <v>0.002432914377494</v>
      </c>
      <c r="F71" s="23" t="n">
        <f aca="false">('Data Constant'!H73-'Data Constant'!H69)/'Data Constant'!$E69*100</f>
        <v>2.60320564299756</v>
      </c>
      <c r="G71" s="23" t="n">
        <f aca="false">('Data Constant'!M73-'Data Constant'!M69)/'Data Constant'!$E69*100</f>
        <v>3.3194873059567</v>
      </c>
      <c r="H71" s="23" t="n">
        <f aca="false">('Data Constant'!K73-'Data Constant'!K69)/'Data Constant'!$E69*100</f>
        <v>-7.89156328281254</v>
      </c>
      <c r="I71" s="23" t="n">
        <f aca="false">-('Data Constant'!L73-'Data Constant'!L69)/'Data Constant'!$E69*100</f>
        <v>0.392706556060822</v>
      </c>
      <c r="J71" s="24" t="n">
        <f aca="false">SUM(D71:I71)</f>
        <v>-4.44606465386848</v>
      </c>
      <c r="K71" s="25" t="n">
        <f aca="false">J71-C71</f>
        <v>-0.132765177458123</v>
      </c>
      <c r="L71" s="26" t="str">
        <f aca="false">IF(OR('Data Constant'!J73="",'Data Constant'!J69=""),"",('Data Constant'!J73-'Data Constant'!J69)/'Data Constant'!$E69*100)</f>
        <v/>
      </c>
    </row>
    <row r="72" customFormat="false" ht="15" hidden="false" customHeight="false" outlineLevel="0" collapsed="false">
      <c r="B72" s="21" t="str">
        <f aca="false">'Data Constant'!B74</f>
        <v>2021-Q1</v>
      </c>
      <c r="C72" s="22" t="n">
        <f aca="false">('Data Constant'!E74/'Data Constant'!E70-1)*100</f>
        <v>3.23260077948051</v>
      </c>
      <c r="D72" s="23" t="n">
        <f aca="false">('Data Constant'!F74-'Data Constant'!F70)/'Data Constant'!$E70*100</f>
        <v>0.400299647389837</v>
      </c>
      <c r="E72" s="23" t="n">
        <f aca="false">('Data Constant'!G74-'Data Constant'!G70)/'Data Constant'!$E70*100</f>
        <v>0.0974321345834623</v>
      </c>
      <c r="F72" s="23" t="n">
        <f aca="false">('Data Constant'!H74-'Data Constant'!H70)/'Data Constant'!$E70*100</f>
        <v>5.7321546096022</v>
      </c>
      <c r="G72" s="23" t="n">
        <f aca="false">('Data Constant'!M74-'Data Constant'!M70)/'Data Constant'!$E70*100</f>
        <v>-0.843168171601725</v>
      </c>
      <c r="H72" s="23" t="n">
        <f aca="false">('Data Constant'!K74-'Data Constant'!K70)/'Data Constant'!$E70*100</f>
        <v>-2.22207447028772</v>
      </c>
      <c r="I72" s="23" t="n">
        <f aca="false">-('Data Constant'!L74-'Data Constant'!L70)/'Data Constant'!$E70*100</f>
        <v>0.0679570297944267</v>
      </c>
      <c r="J72" s="24" t="n">
        <f aca="false">SUM(D72:I72)</f>
        <v>3.23260077948048</v>
      </c>
      <c r="K72" s="25" t="n">
        <f aca="false">J72-C72</f>
        <v>-2.97539770599542E-014</v>
      </c>
      <c r="L72" s="26" t="str">
        <f aca="false">IF(OR('Data Constant'!J74="",'Data Constant'!J70=""),"",('Data Constant'!J74-'Data Constant'!J70)/'Data Constant'!$E70*100)</f>
        <v/>
      </c>
    </row>
    <row r="73" customFormat="false" ht="15" hidden="false" customHeight="false" outlineLevel="0" collapsed="false">
      <c r="B73" s="21" t="str">
        <f aca="false">'Data Constant'!B75</f>
        <v>2021-Q2</v>
      </c>
      <c r="C73" s="22" t="n">
        <f aca="false">('Data Constant'!E75/'Data Constant'!E71-1)*100</f>
        <v>18.7299607796633</v>
      </c>
      <c r="D73" s="23" t="n">
        <f aca="false">('Data Constant'!F75-'Data Constant'!F71)/'Data Constant'!$E71*100</f>
        <v>13.2013805861898</v>
      </c>
      <c r="E73" s="23" t="n">
        <f aca="false">('Data Constant'!G75-'Data Constant'!G71)/'Data Constant'!$E71*100</f>
        <v>0.965129852333918</v>
      </c>
      <c r="F73" s="23" t="n">
        <f aca="false">('Data Constant'!H75-'Data Constant'!H71)/'Data Constant'!$E71*100</f>
        <v>9.83730022382869</v>
      </c>
      <c r="G73" s="23" t="n">
        <f aca="false">('Data Constant'!M75-'Data Constant'!M71)/'Data Constant'!$E71*100</f>
        <v>0.400174901269663</v>
      </c>
      <c r="H73" s="23" t="n">
        <f aca="false">('Data Constant'!K75-'Data Constant'!K71)/'Data Constant'!$E71*100</f>
        <v>1.58345134007003</v>
      </c>
      <c r="I73" s="23" t="n">
        <f aca="false">-('Data Constant'!L75-'Data Constant'!L71)/'Data Constant'!$E71*100</f>
        <v>-7.25747612402877</v>
      </c>
      <c r="J73" s="24" t="n">
        <f aca="false">SUM(D73:I73)</f>
        <v>18.7299607796633</v>
      </c>
      <c r="K73" s="25" t="n">
        <f aca="false">J73-C73</f>
        <v>0</v>
      </c>
      <c r="L73" s="26" t="str">
        <f aca="false">IF(OR('Data Constant'!J75="",'Data Constant'!J71=""),"",('Data Constant'!J75-'Data Constant'!J71)/'Data Constant'!$E71*100)</f>
        <v/>
      </c>
    </row>
    <row r="74" customFormat="false" ht="15" hidden="false" customHeight="false" outlineLevel="0" collapsed="false">
      <c r="B74" s="21" t="str">
        <f aca="false">'Data Constant'!B76</f>
        <v>2021-Q3</v>
      </c>
      <c r="C74" s="22" t="n">
        <f aca="false">('Data Constant'!E76/'Data Constant'!E72-1)*100</f>
        <v>11.814535666569</v>
      </c>
      <c r="D74" s="23" t="n">
        <f aca="false">('Data Constant'!F76-'Data Constant'!F72)/'Data Constant'!$E72*100</f>
        <v>6.59735703885057</v>
      </c>
      <c r="E74" s="23" t="n">
        <f aca="false">('Data Constant'!G76-'Data Constant'!G72)/'Data Constant'!$E72*100</f>
        <v>1.32270969195491</v>
      </c>
      <c r="F74" s="23" t="n">
        <f aca="false">('Data Constant'!H76-'Data Constant'!H72)/'Data Constant'!$E72*100</f>
        <v>4.18026123069748</v>
      </c>
      <c r="G74" s="23" t="n">
        <f aca="false">('Data Constant'!M76-'Data Constant'!M72)/'Data Constant'!$E72*100</f>
        <v>0.171943412132085</v>
      </c>
      <c r="H74" s="23" t="n">
        <f aca="false">('Data Constant'!K76-'Data Constant'!K72)/'Data Constant'!$E72*100</f>
        <v>4.09600680849889</v>
      </c>
      <c r="I74" s="23" t="n">
        <f aca="false">-('Data Constant'!L76-'Data Constant'!L72)/'Data Constant'!$E72*100</f>
        <v>-4.55374251556491</v>
      </c>
      <c r="J74" s="24" t="n">
        <f aca="false">SUM(D74:I74)</f>
        <v>11.814535666569</v>
      </c>
      <c r="K74" s="25" t="n">
        <f aca="false">J74-C74</f>
        <v>0</v>
      </c>
      <c r="L74" s="26" t="str">
        <f aca="false">IF(OR('Data Constant'!J76="",'Data Constant'!J72=""),"",('Data Constant'!J76-'Data Constant'!J72)/'Data Constant'!$E72*100)</f>
        <v/>
      </c>
    </row>
    <row r="75" customFormat="false" ht="15" hidden="false" customHeight="false" outlineLevel="0" collapsed="false">
      <c r="B75" s="21" t="str">
        <f aca="false">'Data Constant'!B77</f>
        <v>2021-Q4</v>
      </c>
      <c r="C75" s="22" t="n">
        <f aca="false">('Data Constant'!E77/'Data Constant'!E73-1)*100</f>
        <v>8.364113941174</v>
      </c>
      <c r="D75" s="23" t="n">
        <f aca="false">('Data Constant'!F77-'Data Constant'!F73)/'Data Constant'!$E73*100</f>
        <v>6.36099619178677</v>
      </c>
      <c r="E75" s="23" t="n">
        <f aca="false">('Data Constant'!G77-'Data Constant'!G73)/'Data Constant'!$E73*100</f>
        <v>1.6683831155218</v>
      </c>
      <c r="F75" s="23" t="n">
        <f aca="false">('Data Constant'!H77-'Data Constant'!H73)/'Data Constant'!$E73*100</f>
        <v>2.98621463851656</v>
      </c>
      <c r="G75" s="23" t="n">
        <f aca="false">('Data Constant'!M77-'Data Constant'!M73)/'Data Constant'!$E73*100</f>
        <v>-1.58025621040616</v>
      </c>
      <c r="H75" s="23" t="n">
        <f aca="false">('Data Constant'!K77-'Data Constant'!K73)/'Data Constant'!$E73*100</f>
        <v>3.78058787944172</v>
      </c>
      <c r="I75" s="23" t="n">
        <f aca="false">-('Data Constant'!L77-'Data Constant'!L73)/'Data Constant'!$E73*100</f>
        <v>-4.85181167368669</v>
      </c>
      <c r="J75" s="24" t="n">
        <f aca="false">SUM(D75:I75)</f>
        <v>8.36411394117399</v>
      </c>
      <c r="K75" s="25" t="n">
        <f aca="false">J75-C75</f>
        <v>0</v>
      </c>
      <c r="L75" s="26" t="str">
        <f aca="false">IF(OR('Data Constant'!J77="",'Data Constant'!J73=""),"",('Data Constant'!J77-'Data Constant'!J73)/'Data Constant'!$E73*100)</f>
        <v/>
      </c>
    </row>
    <row r="76" customFormat="false" ht="15" hidden="false" customHeight="false" outlineLevel="0" collapsed="false">
      <c r="B76" s="21" t="str">
        <f aca="false">'Data Constant'!B78</f>
        <v>2022-Q1</v>
      </c>
      <c r="C76" s="22" t="n">
        <f aca="false">('Data Constant'!E78/'Data Constant'!E74-1)*100</f>
        <v>6.86138387185451</v>
      </c>
      <c r="D76" s="23" t="n">
        <f aca="false">('Data Constant'!F78-'Data Constant'!F74)/'Data Constant'!$E74*100</f>
        <v>6.61174624602789</v>
      </c>
      <c r="E76" s="23" t="n">
        <f aca="false">('Data Constant'!G78-'Data Constant'!G74)/'Data Constant'!$E74*100</f>
        <v>0.999310669326526</v>
      </c>
      <c r="F76" s="23" t="n">
        <f aca="false">('Data Constant'!H78-'Data Constant'!H74)/'Data Constant'!$E74*100</f>
        <v>2.14379620096377</v>
      </c>
      <c r="G76" s="23" t="n">
        <f aca="false">('Data Constant'!M78-'Data Constant'!M74)/'Data Constant'!$E74*100</f>
        <v>0.933883924154232</v>
      </c>
      <c r="H76" s="23" t="n">
        <f aca="false">('Data Constant'!K78-'Data Constant'!K74)/'Data Constant'!$E74*100</f>
        <v>1.54273238499584</v>
      </c>
      <c r="I76" s="23" t="n">
        <f aca="false">-('Data Constant'!L78-'Data Constant'!L74)/'Data Constant'!$E74*100</f>
        <v>-5.37008555361374</v>
      </c>
      <c r="J76" s="24" t="n">
        <f aca="false">SUM(D76:I76)</f>
        <v>6.86138387185451</v>
      </c>
      <c r="K76" s="25" t="n">
        <f aca="false">J76-C76</f>
        <v>0</v>
      </c>
      <c r="L76" s="26" t="str">
        <f aca="false">IF(OR('Data Constant'!J78="",'Data Constant'!J74=""),"",('Data Constant'!J78-'Data Constant'!J74)/'Data Constant'!$E74*100)</f>
        <v/>
      </c>
    </row>
    <row r="77" customFormat="false" ht="15" hidden="false" customHeight="false" outlineLevel="0" collapsed="false">
      <c r="B77" s="21" t="str">
        <f aca="false">'Data Constant'!B79</f>
        <v>2022-Q2</v>
      </c>
      <c r="C77" s="22" t="n">
        <f aca="false">('Data Constant'!E79/'Data Constant'!E75-1)*100</f>
        <v>8.13001446194395</v>
      </c>
      <c r="D77" s="23" t="n">
        <f aca="false">('Data Constant'!F79-'Data Constant'!F75)/'Data Constant'!$E75*100</f>
        <v>8.52746755920239</v>
      </c>
      <c r="E77" s="23" t="n">
        <f aca="false">('Data Constant'!G79-'Data Constant'!G75)/'Data Constant'!$E75*100</f>
        <v>0.807362172520445</v>
      </c>
      <c r="F77" s="23" t="n">
        <f aca="false">('Data Constant'!H79-'Data Constant'!H75)/'Data Constant'!$E75*100</f>
        <v>3.37115320491794</v>
      </c>
      <c r="G77" s="23" t="n">
        <f aca="false">('Data Constant'!M79-'Data Constant'!M75)/'Data Constant'!$E75*100</f>
        <v>-0.41149555928019</v>
      </c>
      <c r="H77" s="23" t="n">
        <f aca="false">('Data Constant'!K79-'Data Constant'!K75)/'Data Constant'!$E75*100</f>
        <v>1.57247772819994</v>
      </c>
      <c r="I77" s="23" t="n">
        <f aca="false">-('Data Constant'!L79-'Data Constant'!L75)/'Data Constant'!$E75*100</f>
        <v>-5.73695064361661</v>
      </c>
      <c r="J77" s="24" t="n">
        <f aca="false">SUM(D77:I77)</f>
        <v>8.13001446194392</v>
      </c>
      <c r="K77" s="25" t="n">
        <f aca="false">J77-C77</f>
        <v>0</v>
      </c>
      <c r="L77" s="26" t="str">
        <f aca="false">IF(OR('Data Constant'!J79="",'Data Constant'!J75=""),"",('Data Constant'!J79-'Data Constant'!J75)/'Data Constant'!$E75*100)</f>
        <v/>
      </c>
    </row>
    <row r="78" customFormat="false" ht="15" hidden="false" customHeight="false" outlineLevel="0" collapsed="false">
      <c r="B78" s="21" t="str">
        <f aca="false">'Data Constant'!B80</f>
        <v>2022-Q3</v>
      </c>
      <c r="C78" s="22" t="n">
        <f aca="false">('Data Constant'!E80/'Data Constant'!E76-1)*100</f>
        <v>6.6844213632383</v>
      </c>
      <c r="D78" s="23" t="n">
        <f aca="false">('Data Constant'!F80-'Data Constant'!F76)/'Data Constant'!$E76*100</f>
        <v>6.97595838111061</v>
      </c>
      <c r="E78" s="23" t="n">
        <f aca="false">('Data Constant'!G80-'Data Constant'!G76)/'Data Constant'!$E76*100</f>
        <v>0.148549256042066</v>
      </c>
      <c r="F78" s="23" t="n">
        <f aca="false">('Data Constant'!H80-'Data Constant'!H76)/'Data Constant'!$E76*100</f>
        <v>2.79943823919628</v>
      </c>
      <c r="G78" s="23" t="n">
        <f aca="false">('Data Constant'!M80-'Data Constant'!M76)/'Data Constant'!$E76*100</f>
        <v>2.69944382987329</v>
      </c>
      <c r="H78" s="23" t="n">
        <f aca="false">('Data Constant'!K80-'Data Constant'!K76)/'Data Constant'!$E76*100</f>
        <v>-0.639184341111031</v>
      </c>
      <c r="I78" s="23" t="n">
        <f aca="false">-('Data Constant'!L80-'Data Constant'!L76)/'Data Constant'!$E76*100</f>
        <v>-5.29978400187287</v>
      </c>
      <c r="J78" s="24" t="n">
        <f aca="false">SUM(D78:I78)</f>
        <v>6.68442136323834</v>
      </c>
      <c r="K78" s="25" t="n">
        <f aca="false">J78-C78</f>
        <v>3.37507799486048E-014</v>
      </c>
      <c r="L78" s="26" t="str">
        <f aca="false">IF(OR('Data Constant'!J80="",'Data Constant'!J76=""),"",('Data Constant'!J80-'Data Constant'!J76)/'Data Constant'!$E76*100)</f>
        <v/>
      </c>
    </row>
    <row r="79" customFormat="false" ht="15" hidden="false" customHeight="false" outlineLevel="0" collapsed="false">
      <c r="B79" s="21" t="str">
        <f aca="false">'Data Constant'!B81</f>
        <v>2022-Q4</v>
      </c>
      <c r="C79" s="22" t="n">
        <f aca="false">('Data Constant'!E81/'Data Constant'!E77-1)*100</f>
        <v>2.3854276267842</v>
      </c>
      <c r="D79" s="23" t="n">
        <f aca="false">('Data Constant'!F81-'Data Constant'!F77)/'Data Constant'!$E77*100</f>
        <v>3.9004165801646</v>
      </c>
      <c r="E79" s="23" t="n">
        <f aca="false">('Data Constant'!G81-'Data Constant'!G77)/'Data Constant'!$E77*100</f>
        <v>-0.40860510383342</v>
      </c>
      <c r="F79" s="23" t="n">
        <f aca="false">('Data Constant'!H81-'Data Constant'!H77)/'Data Constant'!$E77*100</f>
        <v>0.068767866058841</v>
      </c>
      <c r="G79" s="23" t="n">
        <f aca="false">('Data Constant'!M81-'Data Constant'!M77)/'Data Constant'!$E77*100</f>
        <v>-2.1701796874463</v>
      </c>
      <c r="H79" s="23" t="n">
        <f aca="false">('Data Constant'!K81-'Data Constant'!K77)/'Data Constant'!$E77*100</f>
        <v>1.33230012139003</v>
      </c>
      <c r="I79" s="23" t="n">
        <f aca="false">-('Data Constant'!L81-'Data Constant'!L77)/'Data Constant'!$E77*100</f>
        <v>-0.337272149549579</v>
      </c>
      <c r="J79" s="24" t="n">
        <f aca="false">SUM(D79:I79)</f>
        <v>2.38542762678418</v>
      </c>
      <c r="K79" s="25" t="n">
        <f aca="false">J79-C79</f>
        <v>-1.73194791841524E-014</v>
      </c>
      <c r="L79" s="26" t="str">
        <f aca="false">IF(OR('Data Constant'!J81="",'Data Constant'!J77=""),"",('Data Constant'!J81-'Data Constant'!J77)/'Data Constant'!$E77*100)</f>
        <v/>
      </c>
    </row>
    <row r="80" customFormat="false" ht="15" hidden="false" customHeight="false" outlineLevel="0" collapsed="false">
      <c r="B80" s="21" t="str">
        <f aca="false">'Data Constant'!B82</f>
        <v>2023-Q1</v>
      </c>
      <c r="C80" s="22" t="n">
        <f aca="false">('Data Constant'!E82/'Data Constant'!E78-1)*100</f>
        <v>0.915068683856046</v>
      </c>
      <c r="D80" s="23" t="n">
        <f aca="false">('Data Constant'!F82-'Data Constant'!F78)/'Data Constant'!$E78*100</f>
        <v>2.77975106629046</v>
      </c>
      <c r="E80" s="23" t="n">
        <f aca="false">('Data Constant'!G82-'Data Constant'!G78)/'Data Constant'!$E78*100</f>
        <v>0.404666742587792</v>
      </c>
      <c r="F80" s="23" t="n">
        <f aca="false">('Data Constant'!H82-'Data Constant'!H78)/'Data Constant'!$E78*100</f>
        <v>-0.276310355927923</v>
      </c>
      <c r="G80" s="23" t="n">
        <f aca="false">('Data Constant'!M82-'Data Constant'!M78)/'Data Constant'!$E78*100</f>
        <v>0.320232453114122</v>
      </c>
      <c r="H80" s="23" t="n">
        <f aca="false">('Data Constant'!K82-'Data Constant'!K78)/'Data Constant'!$E78*100</f>
        <v>-1.2751608844566</v>
      </c>
      <c r="I80" s="23" t="n">
        <f aca="false">-('Data Constant'!L82-'Data Constant'!L78)/'Data Constant'!$E78*100</f>
        <v>-1.0381103377518</v>
      </c>
      <c r="J80" s="24" t="n">
        <f aca="false">SUM(D80:I80)</f>
        <v>0.91506868385605</v>
      </c>
      <c r="K80" s="25" t="n">
        <f aca="false">J80-C80</f>
        <v>3.77475828372553E-015</v>
      </c>
      <c r="L80" s="26" t="str">
        <f aca="false">IF(OR('Data Constant'!J82="",'Data Constant'!J78=""),"",('Data Constant'!J82-'Data Constant'!J78)/'Data Constant'!$E78*100)</f>
        <v/>
      </c>
    </row>
    <row r="81" customFormat="false" ht="15" hidden="false" customHeight="false" outlineLevel="0" collapsed="false">
      <c r="B81" s="21" t="str">
        <f aca="false">'Data Constant'!B83</f>
        <v>2023-Q2</v>
      </c>
      <c r="C81" s="22" t="n">
        <f aca="false">('Data Constant'!E83/'Data Constant'!E79-1)*100</f>
        <v>-5.65103341366259</v>
      </c>
      <c r="D81" s="23" t="n">
        <f aca="false">('Data Constant'!F83-'Data Constant'!F79)/'Data Constant'!$E79*100</f>
        <v>1.48932860897348</v>
      </c>
      <c r="E81" s="23" t="n">
        <f aca="false">('Data Constant'!G83-'Data Constant'!G79)/'Data Constant'!$E79*100</f>
        <v>0.55763555796942</v>
      </c>
      <c r="F81" s="23" t="n">
        <f aca="false">('Data Constant'!H83-'Data Constant'!H79)/'Data Constant'!$E79*100</f>
        <v>-0.380982684075347</v>
      </c>
      <c r="G81" s="23" t="n">
        <f aca="false">('Data Constant'!M83-'Data Constant'!M79)/'Data Constant'!$E79*100</f>
        <v>-3.66593862476848</v>
      </c>
      <c r="H81" s="23" t="n">
        <f aca="false">('Data Constant'!K83-'Data Constant'!K79)/'Data Constant'!$E79*100</f>
        <v>-2.64686237003</v>
      </c>
      <c r="I81" s="23" t="n">
        <f aca="false">-('Data Constant'!L83-'Data Constant'!L79)/'Data Constant'!$E79*100</f>
        <v>-1.00421390173166</v>
      </c>
      <c r="J81" s="24" t="n">
        <f aca="false">SUM(D81:I81)</f>
        <v>-5.65103341366258</v>
      </c>
      <c r="K81" s="25" t="n">
        <f aca="false">J81-C81</f>
        <v>0</v>
      </c>
      <c r="L81" s="26" t="str">
        <f aca="false">IF(OR('Data Constant'!J83="",'Data Constant'!J79=""),"",('Data Constant'!J83-'Data Constant'!J79)/'Data Constant'!$E79*100)</f>
        <v/>
      </c>
    </row>
    <row r="82" customFormat="false" ht="15" hidden="false" customHeight="false" outlineLevel="0" collapsed="false">
      <c r="B82" s="21" t="str">
        <f aca="false">'Data Constant'!B84</f>
        <v>2023-Q3</v>
      </c>
      <c r="C82" s="22" t="n">
        <f aca="false">('Data Constant'!E84/'Data Constant'!E80-1)*100</f>
        <v>-0.562320293192431</v>
      </c>
      <c r="D82" s="23" t="n">
        <f aca="false">('Data Constant'!F84-'Data Constant'!F80)/'Data Constant'!$E80*100</f>
        <v>-0.140011652561374</v>
      </c>
      <c r="E82" s="23" t="n">
        <f aca="false">('Data Constant'!G84-'Data Constant'!G80)/'Data Constant'!$E80*100</f>
        <v>0.465213094154101</v>
      </c>
      <c r="F82" s="23" t="n">
        <f aca="false">('Data Constant'!H84-'Data Constant'!H80)/'Data Constant'!$E80*100</f>
        <v>0.167091676185225</v>
      </c>
      <c r="G82" s="23" t="n">
        <f aca="false">('Data Constant'!M84-'Data Constant'!M80)/'Data Constant'!$E80*100</f>
        <v>1.24831270703501</v>
      </c>
      <c r="H82" s="23" t="n">
        <f aca="false">('Data Constant'!K84-'Data Constant'!K80)/'Data Constant'!$E80*100</f>
        <v>-1.80156147116508</v>
      </c>
      <c r="I82" s="23" t="n">
        <f aca="false">-('Data Constant'!L84-'Data Constant'!L80)/'Data Constant'!$E80*100</f>
        <v>-0.501364646840324</v>
      </c>
      <c r="J82" s="24" t="n">
        <f aca="false">SUM(D82:I82)</f>
        <v>-0.562320293192443</v>
      </c>
      <c r="K82" s="25" t="n">
        <f aca="false">J82-C82</f>
        <v>-1.19904086659517E-014</v>
      </c>
      <c r="L82" s="26" t="str">
        <f aca="false">IF(OR('Data Constant'!J84="",'Data Constant'!J80=""),"",('Data Constant'!J84-'Data Constant'!J80)/'Data Constant'!$E80*100)</f>
        <v/>
      </c>
    </row>
    <row r="83" customFormat="false" ht="15" hidden="false" customHeight="false" outlineLevel="0" collapsed="false">
      <c r="B83" s="21" t="str">
        <f aca="false">'Data Constant'!B85</f>
        <v>2023-Q4</v>
      </c>
      <c r="C83" s="22" t="n">
        <f aca="false">('Data Constant'!E85/'Data Constant'!E81-1)*100</f>
        <v>-1.71131847465702</v>
      </c>
      <c r="D83" s="23" t="n">
        <f aca="false">('Data Constant'!F85-'Data Constant'!F81)/'Data Constant'!$E81*100</f>
        <v>-1.33012075564091</v>
      </c>
      <c r="E83" s="23" t="n">
        <f aca="false">('Data Constant'!G85-'Data Constant'!G81)/'Data Constant'!$E81*100</f>
        <v>-0.225829847547047</v>
      </c>
      <c r="F83" s="23" t="n">
        <f aca="false">('Data Constant'!H85-'Data Constant'!H81)/'Data Constant'!$E81*100</f>
        <v>-1.62064953358042</v>
      </c>
      <c r="G83" s="23" t="n">
        <f aca="false">('Data Constant'!M85-'Data Constant'!M81)/'Data Constant'!$E81*100</f>
        <v>3.75901306485223</v>
      </c>
      <c r="H83" s="23" t="n">
        <f aca="false">('Data Constant'!K85-'Data Constant'!K81)/'Data Constant'!$E81*100</f>
        <v>-2.52794653749475</v>
      </c>
      <c r="I83" s="23" t="n">
        <f aca="false">-('Data Constant'!L85-'Data Constant'!L81)/'Data Constant'!$E81*100</f>
        <v>0.234215134753905</v>
      </c>
      <c r="J83" s="24" t="n">
        <f aca="false">SUM(D83:I83)</f>
        <v>-1.71131847465699</v>
      </c>
      <c r="K83" s="25" t="n">
        <f aca="false">J83-C83</f>
        <v>2.57571741713036E-014</v>
      </c>
      <c r="L83" s="26" t="str">
        <f aca="false">IF(OR('Data Constant'!J85="",'Data Constant'!J81=""),"",('Data Constant'!J85-'Data Constant'!J81)/'Data Constant'!$E81*100)</f>
        <v/>
      </c>
    </row>
    <row r="84" customFormat="false" ht="15" hidden="false" customHeight="false" outlineLevel="0" collapsed="false">
      <c r="B84" s="21" t="str">
        <f aca="false">'Data Constant'!B86</f>
        <v>2024-Q1</v>
      </c>
      <c r="C84" s="22" t="n">
        <f aca="false">('Data Constant'!E86/'Data Constant'!E82-1)*100</f>
        <v>-5.08365696484984</v>
      </c>
      <c r="D84" s="23" t="n">
        <f aca="false">('Data Constant'!F86-'Data Constant'!F82)/'Data Constant'!$E82*100</f>
        <v>-3.93290095060775</v>
      </c>
      <c r="E84" s="23" t="n">
        <f aca="false">('Data Constant'!G86-'Data Constant'!G82)/'Data Constant'!$E82*100</f>
        <v>-0.626211931034806</v>
      </c>
      <c r="F84" s="23" t="n">
        <f aca="false">('Data Constant'!H86-'Data Constant'!H82)/'Data Constant'!$E82*100</f>
        <v>-4.82719203518398</v>
      </c>
      <c r="G84" s="23" t="n">
        <f aca="false">('Data Constant'!M86-'Data Constant'!M82)/'Data Constant'!$E82*100</f>
        <v>-2.38252577724434</v>
      </c>
      <c r="H84" s="23" t="n">
        <f aca="false">('Data Constant'!K86-'Data Constant'!K82)/'Data Constant'!$E82*100</f>
        <v>2.97375303467884</v>
      </c>
      <c r="I84" s="23" t="n">
        <f aca="false">-('Data Constant'!L86-'Data Constant'!L82)/'Data Constant'!$E82*100</f>
        <v>3.71142069454222</v>
      </c>
      <c r="J84" s="24" t="n">
        <f aca="false">SUM(D84:I84)</f>
        <v>-5.08365696484982</v>
      </c>
      <c r="K84" s="25" t="n">
        <f aca="false">J84-C84</f>
        <v>0</v>
      </c>
      <c r="L84" s="26" t="str">
        <f aca="false">IF(OR('Data Constant'!J86="",'Data Constant'!J82=""),"",('Data Constant'!J86-'Data Constant'!J82)/'Data Constant'!$E82*100)</f>
        <v/>
      </c>
    </row>
    <row r="85" customFormat="false" ht="15" hidden="false" customHeight="false" outlineLevel="0" collapsed="false">
      <c r="B85" s="21" t="str">
        <f aca="false">'Data Constant'!B87</f>
        <v>2024-Q2</v>
      </c>
      <c r="C85" s="22" t="n">
        <f aca="false">('Data Constant'!E87/'Data Constant'!E83-1)*100</f>
        <v>-1.11349764925249</v>
      </c>
      <c r="D85" s="23" t="n">
        <f aca="false">('Data Constant'!F87-'Data Constant'!F83)/'Data Constant'!$E83*100</f>
        <v>-6.73230650207461</v>
      </c>
      <c r="E85" s="23" t="n">
        <f aca="false">('Data Constant'!G87-'Data Constant'!G83)/'Data Constant'!$E83*100</f>
        <v>-0.779317327050423</v>
      </c>
      <c r="F85" s="23" t="n">
        <f aca="false">('Data Constant'!H87-'Data Constant'!H83)/'Data Constant'!$E83*100</f>
        <v>-6.27767462499936</v>
      </c>
      <c r="G85" s="23" t="n">
        <f aca="false">('Data Constant'!M87-'Data Constant'!M83)/'Data Constant'!$E83*100</f>
        <v>2.42428404310959</v>
      </c>
      <c r="H85" s="23" t="n">
        <f aca="false">('Data Constant'!K87-'Data Constant'!K83)/'Data Constant'!$E83*100</f>
        <v>3.69413874940059</v>
      </c>
      <c r="I85" s="23" t="n">
        <f aca="false">-('Data Constant'!L87-'Data Constant'!L83)/'Data Constant'!$E83*100</f>
        <v>6.55737801236174</v>
      </c>
      <c r="J85" s="24" t="n">
        <f aca="false">SUM(D85:I85)</f>
        <v>-1.11349764925247</v>
      </c>
      <c r="K85" s="25" t="n">
        <f aca="false">J85-C85</f>
        <v>1.82076576038526E-014</v>
      </c>
      <c r="L85" s="26" t="str">
        <f aca="false">IF(OR('Data Constant'!J87="",'Data Constant'!J83=""),"",('Data Constant'!J87-'Data Constant'!J83)/'Data Constant'!$E83*100)</f>
        <v/>
      </c>
    </row>
    <row r="86" customFormat="false" ht="15" hidden="false" customHeight="false" outlineLevel="0" collapsed="false">
      <c r="B86" s="21" t="str">
        <f aca="false">'Data Constant'!B88</f>
        <v>2024-Q3</v>
      </c>
      <c r="C86" s="22" t="n">
        <f aca="false">('Data Constant'!E88/'Data Constant'!E84-1)*100</f>
        <v>-1.95500504973152</v>
      </c>
      <c r="D86" s="23" t="n">
        <f aca="false">('Data Constant'!F88-'Data Constant'!F84)/'Data Constant'!$E84*100</f>
        <v>-0.858489644135215</v>
      </c>
      <c r="E86" s="23" t="n">
        <f aca="false">('Data Constant'!G88-'Data Constant'!G84)/'Data Constant'!$E84*100</f>
        <v>-0.538452334651884</v>
      </c>
      <c r="F86" s="23" t="n">
        <f aca="false">('Data Constant'!H88-'Data Constant'!H84)/'Data Constant'!$E84*100</f>
        <v>-3.7303825502016</v>
      </c>
      <c r="G86" s="23" t="n">
        <f aca="false">('Data Constant'!M88-'Data Constant'!M84)/'Data Constant'!$E84*100</f>
        <v>-4.06986003674351</v>
      </c>
      <c r="H86" s="23" t="n">
        <f aca="false">('Data Constant'!K88-'Data Constant'!K84)/'Data Constant'!$E84*100</f>
        <v>3.86680751819958</v>
      </c>
      <c r="I86" s="23" t="n">
        <f aca="false">-('Data Constant'!L88-'Data Constant'!L84)/'Data Constant'!$E84*100</f>
        <v>3.37537199780109</v>
      </c>
      <c r="J86" s="24" t="n">
        <f aca="false">SUM(D86:I86)</f>
        <v>-1.95500504973154</v>
      </c>
      <c r="K86" s="25" t="n">
        <f aca="false">J86-C86</f>
        <v>-1.86517468137026E-014</v>
      </c>
      <c r="L86" s="26" t="str">
        <f aca="false">IF(OR('Data Constant'!J88="",'Data Constant'!J84=""),"",('Data Constant'!J88-'Data Constant'!J84)/'Data Constant'!$E84*100)</f>
        <v/>
      </c>
    </row>
    <row r="87" customFormat="false" ht="15" hidden="false" customHeight="false" outlineLevel="0" collapsed="false">
      <c r="B87" s="21" t="str">
        <f aca="false">'Data Constant'!B89</f>
        <v>2024-Q4</v>
      </c>
      <c r="C87" s="22" t="n">
        <f aca="false">('Data Constant'!E89/'Data Constant'!E85-1)*100</f>
        <v>2.70934355920698</v>
      </c>
      <c r="D87" s="23" t="n">
        <f aca="false">('Data Constant'!F89-'Data Constant'!F85)/'Data Constant'!$E85*100</f>
        <v>3.34137223662556</v>
      </c>
      <c r="E87" s="23" t="n">
        <f aca="false">('Data Constant'!G89-'Data Constant'!G85)/'Data Constant'!$E85*100</f>
        <v>0.277875724793777</v>
      </c>
      <c r="F87" s="23" t="n">
        <f aca="false">('Data Constant'!H89-'Data Constant'!H85)/'Data Constant'!$E85*100</f>
        <v>0.366200142672366</v>
      </c>
      <c r="G87" s="23" t="n">
        <f aca="false">('Data Constant'!M89-'Data Constant'!M85)/'Data Constant'!$E85*100</f>
        <v>-4.08538396213131</v>
      </c>
      <c r="H87" s="23" t="n">
        <f aca="false">('Data Constant'!K89-'Data Constant'!K85)/'Data Constant'!$E85*100</f>
        <v>5.20699111802493</v>
      </c>
      <c r="I87" s="23" t="n">
        <f aca="false">-('Data Constant'!L89-'Data Constant'!L85)/'Data Constant'!$E85*100</f>
        <v>-2.39771170077836</v>
      </c>
      <c r="J87" s="24" t="n">
        <f aca="false">SUM(D87:I87)</f>
        <v>2.70934355920697</v>
      </c>
      <c r="K87" s="25" t="n">
        <f aca="false">J87-C87</f>
        <v>-1.24344978758018E-014</v>
      </c>
      <c r="L87" s="26" t="str">
        <f aca="false">IF(OR('Data Constant'!J89="",'Data Constant'!J85=""),"",('Data Constant'!J89-'Data Constant'!J85)/'Data Constant'!$E85*100)</f>
        <v/>
      </c>
    </row>
    <row r="88" customFormat="false" ht="15" hidden="false" customHeight="false" outlineLevel="0" collapsed="false">
      <c r="B88" s="21" t="str">
        <f aca="false">'Data Constant'!B90</f>
        <v>2025-Q1</v>
      </c>
      <c r="C88" s="22" t="n">
        <f aca="false">('Data Constant'!E90/'Data Constant'!E86-1)*100</f>
        <v>6.11707468381002</v>
      </c>
      <c r="D88" s="23" t="n">
        <f aca="false">('Data Constant'!F90-'Data Constant'!F86)/'Data Constant'!$E86*100</f>
        <v>8.72527640365971</v>
      </c>
      <c r="E88" s="23" t="n">
        <f aca="false">('Data Constant'!G90-'Data Constant'!G86)/'Data Constant'!$E86*100</f>
        <v>-0.239889925712595</v>
      </c>
      <c r="F88" s="23" t="n">
        <f aca="false">('Data Constant'!H90-'Data Constant'!H86)/'Data Constant'!$E86*100</f>
        <v>5.06544679471949</v>
      </c>
      <c r="G88" s="23" t="n">
        <f aca="false">('Data Constant'!M90-'Data Constant'!M86)/'Data Constant'!$E86*100</f>
        <v>1.08517998891142</v>
      </c>
      <c r="H88" s="23" t="n">
        <f aca="false">('Data Constant'!K90-'Data Constant'!K86)/'Data Constant'!$E86*100</f>
        <v>1.42154243751419</v>
      </c>
      <c r="I88" s="23" t="n">
        <f aca="false">-('Data Constant'!L90-'Data Constant'!L86)/'Data Constant'!$E86*100</f>
        <v>-9.94048101528221</v>
      </c>
      <c r="J88" s="24" t="n">
        <f aca="false">SUM(D88:I88)</f>
        <v>6.11707468381</v>
      </c>
      <c r="K88" s="25" t="n">
        <f aca="false">J88-C88</f>
        <v>0</v>
      </c>
      <c r="L88" s="26" t="n">
        <f aca="false">IF(OR('Data Constant'!J90="",'Data Constant'!J86=""),"",('Data Constant'!J90-'Data Constant'!J86)/'Data Constant'!$E86*100)</f>
        <v>-0.42646375081443</v>
      </c>
    </row>
    <row r="89" customFormat="false" ht="15" hidden="false" customHeight="false" outlineLevel="0" collapsed="false">
      <c r="B89" s="21" t="str">
        <f aca="false">'Data Constant'!B91</f>
        <v>2025-Q2</v>
      </c>
      <c r="C89" s="22" t="n">
        <f aca="false">('Data Constant'!E91/'Data Constant'!E87-1)*100</f>
        <v>6.51768410241327</v>
      </c>
      <c r="D89" s="23" t="n">
        <f aca="false">('Data Constant'!F91-'Data Constant'!F87)/'Data Constant'!$E87*100</f>
        <v>8.59968443725671</v>
      </c>
      <c r="E89" s="23" t="n">
        <f aca="false">('Data Constant'!G91-'Data Constant'!G87)/'Data Constant'!$E87*100</f>
        <v>0.201462785997926</v>
      </c>
      <c r="F89" s="23" t="n">
        <f aca="false">('Data Constant'!H91-'Data Constant'!H87)/'Data Constant'!$E87*100</f>
        <v>4.93192067574688</v>
      </c>
      <c r="G89" s="23" t="n">
        <f aca="false">('Data Constant'!M91-'Data Constant'!M87)/'Data Constant'!$E87*100</f>
        <v>0.779919261296637</v>
      </c>
      <c r="H89" s="23" t="n">
        <f aca="false">('Data Constant'!K91-'Data Constant'!K87)/'Data Constant'!$E87*100</f>
        <v>0.794175431816797</v>
      </c>
      <c r="I89" s="23" t="n">
        <f aca="false">-('Data Constant'!L91-'Data Constant'!L87)/'Data Constant'!$E87*100</f>
        <v>-8.78947848970171</v>
      </c>
      <c r="J89" s="24" t="n">
        <f aca="false">SUM(D89:I89)</f>
        <v>6.51768410241324</v>
      </c>
      <c r="K89" s="25" t="n">
        <f aca="false">J89-C89</f>
        <v>-2.8421709430404E-014</v>
      </c>
      <c r="L89" s="26" t="n">
        <f aca="false">IF(OR('Data Constant'!J91="",'Data Constant'!J87=""),"",('Data Constant'!J91-'Data Constant'!J87)/'Data Constant'!$E87*100)</f>
        <v>-0.381425113504595</v>
      </c>
    </row>
    <row r="90" customFormat="false" ht="15" hidden="false" customHeight="false" outlineLevel="0" collapsed="false">
      <c r="B90" s="21" t="str">
        <f aca="false">'Data Constant'!B92</f>
        <v>2025-Q3</v>
      </c>
      <c r="C90" s="22" t="n">
        <f aca="false">('Data Constant'!E92/'Data Constant'!E88-1)*100</f>
        <v>3.19695852206128</v>
      </c>
      <c r="D90" s="23" t="n">
        <f aca="false">('Data Constant'!F92-'Data Constant'!F88)/'Data Constant'!$E88*100</f>
        <v>4.5380793067727</v>
      </c>
      <c r="E90" s="23" t="n">
        <f aca="false">('Data Constant'!G92-'Data Constant'!G88)/'Data Constant'!$E88*100</f>
        <v>0.171195474802181</v>
      </c>
      <c r="F90" s="23" t="n">
        <f aca="false">('Data Constant'!H92-'Data Constant'!H88)/'Data Constant'!$E88*100</f>
        <v>1.93613968659142</v>
      </c>
      <c r="G90" s="23" t="n">
        <f aca="false">('Data Constant'!M92-'Data Constant'!M88)/'Data Constant'!$E88*100</f>
        <v>0.444552450056138</v>
      </c>
      <c r="H90" s="23" t="n">
        <f aca="false">('Data Constant'!K92-'Data Constant'!K88)/'Data Constant'!$E88*100</f>
        <v>2.47355129999837</v>
      </c>
      <c r="I90" s="23" t="n">
        <f aca="false">-('Data Constant'!L92-'Data Constant'!L88)/'Data Constant'!$E88*100</f>
        <v>-6.36655969615951</v>
      </c>
      <c r="J90" s="24" t="n">
        <f aca="false">SUM(D90:I90)</f>
        <v>3.1969585220613</v>
      </c>
      <c r="K90" s="25" t="n">
        <f aca="false">J90-C90</f>
        <v>2.48689957516035E-014</v>
      </c>
      <c r="L90" s="26" t="n">
        <f aca="false">IF(OR('Data Constant'!J92="",'Data Constant'!J88=""),"",('Data Constant'!J92-'Data Constant'!J88)/'Data Constant'!$E88*100)</f>
        <v>0.0570928106611062</v>
      </c>
    </row>
    <row r="91" customFormat="false" ht="15" hidden="false" customHeight="false" outlineLevel="0" collapsed="false">
      <c r="B91" s="21" t="str">
        <f aca="false">'Data Constant'!B93</f>
        <v>2025-Q4</v>
      </c>
      <c r="C91" s="22" t="n">
        <f aca="false">('Data Constant'!E93/'Data Constant'!E89-1)*100</f>
        <v>2.17905164785197</v>
      </c>
      <c r="D91" s="23" t="n">
        <f aca="false">('Data Constant'!F93-'Data Constant'!F89)/'Data Constant'!$E89*100</f>
        <v>2.96732790449491</v>
      </c>
      <c r="E91" s="23" t="n">
        <f aca="false">('Data Constant'!G93-'Data Constant'!G89)/'Data Constant'!$E89*100</f>
        <v>0.0518301211021977</v>
      </c>
      <c r="F91" s="23" t="n">
        <f aca="false">('Data Constant'!H93-'Data Constant'!H89)/'Data Constant'!$E89*100</f>
        <v>-0.506511912256233</v>
      </c>
      <c r="G91" s="23" t="n">
        <f aca="false">('Data Constant'!M93-'Data Constant'!M89)/'Data Constant'!$E89*100</f>
        <v>-0.0872010479028236</v>
      </c>
      <c r="H91" s="23" t="n">
        <f aca="false">('Data Constant'!K93-'Data Constant'!K89)/'Data Constant'!$E89*100</f>
        <v>2.83197011302369</v>
      </c>
      <c r="I91" s="23" t="n">
        <f aca="false">-('Data Constant'!L93-'Data Constant'!L89)/'Data Constant'!$E89*100</f>
        <v>-3.07836353060979</v>
      </c>
      <c r="J91" s="24" t="n">
        <f aca="false">SUM(D91:I91)</f>
        <v>2.17905164785196</v>
      </c>
      <c r="K91" s="25" t="n">
        <f aca="false">J91-C91</f>
        <v>-1.4210854715202E-014</v>
      </c>
      <c r="L91" s="26" t="n">
        <f aca="false">IF(OR('Data Constant'!J93="",'Data Constant'!J89=""),"",('Data Constant'!J93-'Data Constant'!J89)/'Data Constant'!$E89*100)</f>
        <v>1.1837176420626</v>
      </c>
    </row>
    <row r="92" customFormat="false" ht="15" hidden="false" customHeight="false" outlineLevel="0" collapsed="false">
      <c r="B92" s="21" t="str">
        <f aca="false">'Data Constant'!B94</f>
        <v>2026-Q1</v>
      </c>
      <c r="C92" s="22" t="n">
        <f aca="false">('Data Constant'!E94/'Data Constant'!E90-1)*100</f>
        <v>2.32763127213582</v>
      </c>
      <c r="D92" s="23" t="n">
        <f aca="false">('Data Constant'!F94-'Data Constant'!F90)/'Data Constant'!$E90*100</f>
        <v>2.19491527171436</v>
      </c>
      <c r="E92" s="23" t="n">
        <f aca="false">('Data Constant'!G94-'Data Constant'!G90)/'Data Constant'!$E90*100</f>
        <v>-0.117153731055719</v>
      </c>
      <c r="F92" s="23" t="n">
        <f aca="false">('Data Constant'!H94-'Data Constant'!H90)/'Data Constant'!$E90*100</f>
        <v>-2.32480949932348</v>
      </c>
      <c r="G92" s="23" t="n">
        <f aca="false">('Data Constant'!M94-'Data Constant'!M90)/'Data Constant'!$E90*100</f>
        <v>-2.02007207895712</v>
      </c>
      <c r="H92" s="23" t="n">
        <f aca="false">('Data Constant'!K94-'Data Constant'!K90)/'Data Constant'!$E90*100</f>
        <v>2.17538714485356</v>
      </c>
      <c r="I92" s="23" t="n">
        <f aca="false">-('Data Constant'!L94-'Data Constant'!L90)/'Data Constant'!$E90*100</f>
        <v>2.4193641649042</v>
      </c>
      <c r="J92" s="24" t="n">
        <f aca="false">SUM(D92:I92)</f>
        <v>2.32763127213581</v>
      </c>
      <c r="K92" s="25" t="n">
        <f aca="false">J92-C92</f>
        <v>-8.43769498715119E-015</v>
      </c>
      <c r="L92" s="26" t="n">
        <f aca="false">IF(OR('Data Constant'!J94="",'Data Constant'!J90=""),"",('Data Constant'!J94-'Data Constant'!J90)/'Data Constant'!$E90*100)</f>
        <v>-0.221845215132525</v>
      </c>
    </row>
    <row r="94" customFormat="false" ht="15" hidden="false" customHeight="false" outlineLevel="0" collapsed="false">
      <c r="B94" s="13" t="s">
        <v>188</v>
      </c>
    </row>
    <row r="97" customFormat="false" ht="15" hidden="false" customHeight="false" outlineLevel="0" collapsed="false">
      <c r="B97" s="3" t="s">
        <v>189</v>
      </c>
    </row>
    <row r="98" customFormat="false" ht="30" hidden="false" customHeight="true" outlineLevel="0" collapsed="false">
      <c r="B98" s="6" t="s">
        <v>35</v>
      </c>
      <c r="C98" s="6" t="s">
        <v>48</v>
      </c>
      <c r="D98" s="6" t="s">
        <v>38</v>
      </c>
      <c r="E98" s="6" t="s">
        <v>39</v>
      </c>
      <c r="F98" s="6" t="s">
        <v>169</v>
      </c>
      <c r="G98" s="6" t="s">
        <v>45</v>
      </c>
      <c r="H98" s="6" t="s">
        <v>170</v>
      </c>
      <c r="I98" s="6" t="s">
        <v>171</v>
      </c>
      <c r="J98" s="6" t="s">
        <v>185</v>
      </c>
      <c r="K98" s="6" t="s">
        <v>186</v>
      </c>
    </row>
    <row r="99" customFormat="false" ht="15" hidden="false" customHeight="false" outlineLevel="0" collapsed="false">
      <c r="B99" s="27" t="n">
        <f aca="false">Annual!B7</f>
        <v>2005</v>
      </c>
      <c r="C99" s="22" t="n">
        <f aca="false">Annual!J7*100</f>
        <v>8.85165991941441</v>
      </c>
      <c r="D99" s="23" t="n">
        <f aca="false">(Annual!D7-Annual!D6)/Annual!$C6*100</f>
        <v>4.75575662774881</v>
      </c>
      <c r="E99" s="23" t="n">
        <f aca="false">(Annual!E7-Annual!E6)/Annual!$C6*100</f>
        <v>1.09539574328994</v>
      </c>
      <c r="F99" s="23" t="n">
        <f aca="false">(Annual!F7-Annual!F6)/Annual!$C6*100</f>
        <v>2.5157278398268</v>
      </c>
      <c r="G99" s="23" t="n">
        <f aca="false">(Annual!G7-Annual!G6)/Annual!$C6*100</f>
        <v>0.0812163285658139</v>
      </c>
      <c r="H99" s="23" t="n">
        <f aca="false">(Annual!H7-Annual!H6)/Annual!$C6*100</f>
        <v>3.07320226660341</v>
      </c>
      <c r="I99" s="23" t="n">
        <f aca="false">-(Annual!I7-Annual!I6)/Annual!$C6*100</f>
        <v>-2.66963888662036</v>
      </c>
      <c r="J99" s="24" t="n">
        <f aca="false">SUM(D99:I99)</f>
        <v>8.85165991941442</v>
      </c>
      <c r="K99" s="25" t="n">
        <f aca="false">J99-C99</f>
        <v>0</v>
      </c>
    </row>
    <row r="100" customFormat="false" ht="15" hidden="false" customHeight="false" outlineLevel="0" collapsed="false">
      <c r="B100" s="27" t="n">
        <f aca="false">Annual!B8</f>
        <v>2006</v>
      </c>
      <c r="C100" s="22" t="n">
        <f aca="false">Annual!J8*100</f>
        <v>8.04715150365769</v>
      </c>
      <c r="D100" s="23" t="n">
        <f aca="false">(Annual!D8-Annual!D7)/Annual!$C7*100</f>
        <v>6.95383228643927</v>
      </c>
      <c r="E100" s="23" t="n">
        <f aca="false">(Annual!E8-Annual!E7)/Annual!$C7*100</f>
        <v>0.417560230439625</v>
      </c>
      <c r="F100" s="23" t="n">
        <f aca="false">(Annual!F8-Annual!F7)/Annual!$C7*100</f>
        <v>2.4477120873811</v>
      </c>
      <c r="G100" s="23" t="n">
        <f aca="false">(Annual!G8-Annual!G7)/Annual!$C7*100</f>
        <v>-1.17673600474753</v>
      </c>
      <c r="H100" s="23" t="n">
        <f aca="false">(Annual!H8-Annual!H7)/Annual!$C7*100</f>
        <v>1.37537783232628</v>
      </c>
      <c r="I100" s="23" t="n">
        <f aca="false">-(Annual!I8-Annual!I7)/Annual!$C7*100</f>
        <v>-1.97059492818107</v>
      </c>
      <c r="J100" s="24" t="n">
        <f aca="false">SUM(D100:I100)</f>
        <v>8.04715150365768</v>
      </c>
      <c r="K100" s="25" t="n">
        <f aca="false">J100-C100</f>
        <v>0</v>
      </c>
    </row>
    <row r="101" customFormat="false" ht="15" hidden="false" customHeight="false" outlineLevel="0" collapsed="false">
      <c r="B101" s="27" t="n">
        <f aca="false">Annual!B9</f>
        <v>2007</v>
      </c>
      <c r="C101" s="22" t="n">
        <f aca="false">Annual!J9*100</f>
        <v>9.00765087916497</v>
      </c>
      <c r="D101" s="23" t="n">
        <f aca="false">(Annual!D9-Annual!D8)/Annual!$C8*100</f>
        <v>6.08687504314715</v>
      </c>
      <c r="E101" s="23" t="n">
        <f aca="false">(Annual!E9-Annual!E8)/Annual!$C8*100</f>
        <v>0.843123067157421</v>
      </c>
      <c r="F101" s="23" t="n">
        <f aca="false">(Annual!F9-Annual!F8)/Annual!$C8*100</f>
        <v>3.66486158259296</v>
      </c>
      <c r="G101" s="23" t="n">
        <f aca="false">(Annual!G9-Annual!G8)/Annual!$C8*100</f>
        <v>0.0570707098089907</v>
      </c>
      <c r="H101" s="23" t="n">
        <f aca="false">(Annual!H9-Annual!H8)/Annual!$C8*100</f>
        <v>1.97274658368913</v>
      </c>
      <c r="I101" s="23" t="n">
        <f aca="false">-(Annual!I9-Annual!I8)/Annual!$C8*100</f>
        <v>-3.61702610723071</v>
      </c>
      <c r="J101" s="24" t="n">
        <f aca="false">SUM(D101:I101)</f>
        <v>9.00765087916495</v>
      </c>
      <c r="K101" s="25" t="n">
        <f aca="false">J101-C101</f>
        <v>0</v>
      </c>
    </row>
    <row r="102" customFormat="false" ht="15" hidden="false" customHeight="false" outlineLevel="0" collapsed="false">
      <c r="B102" s="27" t="n">
        <f aca="false">Annual!B10</f>
        <v>2008</v>
      </c>
      <c r="C102" s="22" t="n">
        <f aca="false">Annual!J10*100</f>
        <v>4.05723310237889</v>
      </c>
      <c r="D102" s="23" t="n">
        <f aca="false">(Annual!D10-Annual!D9)/Annual!$C9*100</f>
        <v>4.73626644794531</v>
      </c>
      <c r="E102" s="23" t="n">
        <f aca="false">(Annual!E10-Annual!E9)/Annual!$C9*100</f>
        <v>0.534196398915823</v>
      </c>
      <c r="F102" s="23" t="n">
        <f aca="false">(Annual!F10-Annual!F9)/Annual!$C9*100</f>
        <v>1.72166634600346</v>
      </c>
      <c r="G102" s="23" t="n">
        <f aca="false">(Annual!G10-Annual!G9)/Annual!$C9*100</f>
        <v>-0.371002227488889</v>
      </c>
      <c r="H102" s="23" t="n">
        <f aca="false">(Annual!H10-Annual!H9)/Annual!$C9*100</f>
        <v>0.17739031485073</v>
      </c>
      <c r="I102" s="23" t="n">
        <f aca="false">-(Annual!I10-Annual!I9)/Annual!$C9*100</f>
        <v>-2.74128417784755</v>
      </c>
      <c r="J102" s="24" t="n">
        <f aca="false">SUM(D102:I102)</f>
        <v>4.05723310237889</v>
      </c>
      <c r="K102" s="25" t="n">
        <f aca="false">J102-C102</f>
        <v>0</v>
      </c>
    </row>
    <row r="103" customFormat="false" ht="15" hidden="false" customHeight="false" outlineLevel="0" collapsed="false">
      <c r="B103" s="27" t="n">
        <f aca="false">Annual!B11</f>
        <v>2009</v>
      </c>
      <c r="C103" s="22" t="n">
        <f aca="false">Annual!J11*100</f>
        <v>-5.91852508035117</v>
      </c>
      <c r="D103" s="23" t="n">
        <f aca="false">(Annual!D11-Annual!D10)/Annual!$C10*100</f>
        <v>-3.63686364649594</v>
      </c>
      <c r="E103" s="23" t="n">
        <f aca="false">(Annual!E11-Annual!E10)/Annual!$C10*100</f>
        <v>0.605674162449015</v>
      </c>
      <c r="F103" s="23" t="n">
        <f aca="false">(Annual!F11-Annual!F10)/Annual!$C10*100</f>
        <v>-4.66856240907371</v>
      </c>
      <c r="G103" s="23" t="n">
        <f aca="false">(Annual!G11-Annual!G10)/Annual!$C10*100</f>
        <v>-0.111662956199752</v>
      </c>
      <c r="H103" s="23" t="n">
        <f aca="false">(Annual!H11-Annual!H10)/Annual!$C10*100</f>
        <v>-2.16959244144829</v>
      </c>
      <c r="I103" s="23" t="n">
        <f aca="false">-(Annual!I11-Annual!I10)/Annual!$C10*100</f>
        <v>4.06248221041751</v>
      </c>
      <c r="J103" s="24" t="n">
        <f aca="false">SUM(D103:I103)</f>
        <v>-5.91852508035116</v>
      </c>
      <c r="K103" s="25" t="n">
        <f aca="false">J103-C103</f>
        <v>0</v>
      </c>
    </row>
    <row r="104" customFormat="false" ht="15" hidden="false" customHeight="false" outlineLevel="0" collapsed="false">
      <c r="B104" s="27" t="n">
        <f aca="false">Annual!B12</f>
        <v>2010</v>
      </c>
      <c r="C104" s="22" t="n">
        <f aca="false">Annual!J12*100</f>
        <v>10.1253981606365</v>
      </c>
      <c r="D104" s="23" t="n">
        <f aca="false">(Annual!D12-Annual!D11)/Annual!$C11*100</f>
        <v>7.58018472236112</v>
      </c>
      <c r="E104" s="23" t="n">
        <f aca="false">(Annual!E12-Annual!E11)/Annual!$C11*100</f>
        <v>0.658071528253518</v>
      </c>
      <c r="F104" s="23" t="n">
        <f aca="false">(Annual!F12-Annual!F11)/Annual!$C11*100</f>
        <v>4.46880087428798</v>
      </c>
      <c r="G104" s="23" t="n">
        <f aca="false">(Annual!G12-Annual!G11)/Annual!$C11*100</f>
        <v>1.04435757014204</v>
      </c>
      <c r="H104" s="23" t="n">
        <f aca="false">(Annual!H12-Annual!H11)/Annual!$C11*100</f>
        <v>3.10811358718001</v>
      </c>
      <c r="I104" s="23" t="n">
        <f aca="false">-(Annual!I12-Annual!I11)/Annual!$C11*100</f>
        <v>-6.73413012158813</v>
      </c>
      <c r="J104" s="24" t="n">
        <f aca="false">SUM(D104:I104)</f>
        <v>10.1253981606365</v>
      </c>
      <c r="K104" s="25" t="n">
        <f aca="false">J104-C104</f>
        <v>0</v>
      </c>
    </row>
    <row r="105" customFormat="false" ht="15" hidden="false" customHeight="false" outlineLevel="0" collapsed="false">
      <c r="B105" s="27" t="n">
        <f aca="false">Annual!B13</f>
        <v>2011</v>
      </c>
      <c r="C105" s="22" t="n">
        <f aca="false">Annual!J13*100</f>
        <v>6.00395168927028</v>
      </c>
      <c r="D105" s="23" t="n">
        <f aca="false">(Annual!D13-Annual!D12)/Annual!$C12*100</f>
        <v>6.40872032122044</v>
      </c>
      <c r="E105" s="23" t="n">
        <f aca="false">(Annual!E13-Annual!E12)/Annual!$C12*100</f>
        <v>0.527598427710398</v>
      </c>
      <c r="F105" s="23" t="n">
        <f aca="false">(Annual!F13-Annual!F12)/Annual!$C12*100</f>
        <v>3.39112955048663</v>
      </c>
      <c r="G105" s="23" t="n">
        <f aca="false">(Annual!G13-Annual!G12)/Annual!$C12*100</f>
        <v>-0.109791046332056</v>
      </c>
      <c r="H105" s="23" t="n">
        <f aca="false">(Annual!H13-Annual!H12)/Annual!$C12*100</f>
        <v>0.959681308618582</v>
      </c>
      <c r="I105" s="23" t="n">
        <f aca="false">-(Annual!I13-Annual!I12)/Annual!$C12*100</f>
        <v>-5.17338687243372</v>
      </c>
      <c r="J105" s="24" t="n">
        <f aca="false">SUM(D105:I105)</f>
        <v>6.00395168927027</v>
      </c>
      <c r="K105" s="25" t="n">
        <f aca="false">J105-C105</f>
        <v>0</v>
      </c>
    </row>
    <row r="106" customFormat="false" ht="15" hidden="false" customHeight="false" outlineLevel="0" collapsed="false">
      <c r="B106" s="27" t="n">
        <f aca="false">Annual!B14</f>
        <v>2012</v>
      </c>
      <c r="C106" s="22" t="n">
        <f aca="false">Annual!J14*100</f>
        <v>-1.02642046307625</v>
      </c>
      <c r="D106" s="23" t="n">
        <f aca="false">(Annual!D14-Annual!D13)/Annual!$C13*100</f>
        <v>0.783601748252657</v>
      </c>
      <c r="E106" s="23" t="n">
        <f aca="false">(Annual!E14-Annual!E13)/Annual!$C13*100</f>
        <v>0.34308374455593</v>
      </c>
      <c r="F106" s="23" t="n">
        <f aca="false">(Annual!F14-Annual!F13)/Annual!$C13*100</f>
        <v>-1.52879352029253</v>
      </c>
      <c r="G106" s="23" t="n">
        <f aca="false">(Annual!G14-Annual!G13)/Annual!$C13*100</f>
        <v>-0.968920113842406</v>
      </c>
      <c r="H106" s="23" t="n">
        <f aca="false">(Annual!H14-Annual!H13)/Annual!$C13*100</f>
        <v>-0.933681195682626</v>
      </c>
      <c r="I106" s="23" t="n">
        <f aca="false">-(Annual!I14-Annual!I13)/Annual!$C13*100</f>
        <v>1.27828887393271</v>
      </c>
      <c r="J106" s="24" t="n">
        <f aca="false">SUM(D106:I106)</f>
        <v>-1.02642046307626</v>
      </c>
      <c r="K106" s="25" t="n">
        <f aca="false">J106-C106</f>
        <v>-1.02140518265514E-014</v>
      </c>
    </row>
    <row r="107" customFormat="false" ht="15" hidden="false" customHeight="false" outlineLevel="0" collapsed="false">
      <c r="B107" s="27" t="n">
        <f aca="false">Annual!B15</f>
        <v>2013</v>
      </c>
      <c r="C107" s="22" t="n">
        <f aca="false">Annual!J15*100</f>
        <v>2.40532378717027</v>
      </c>
      <c r="D107" s="23" t="n">
        <f aca="false">(Annual!D15-Annual!D14)/Annual!$C14*100</f>
        <v>2.62374548084329</v>
      </c>
      <c r="E107" s="23" t="n">
        <f aca="false">(Annual!E15-Annual!E14)/Annual!$C14*100</f>
        <v>0.631560809270395</v>
      </c>
      <c r="F107" s="23" t="n">
        <f aca="false">(Annual!F15-Annual!F14)/Annual!$C14*100</f>
        <v>0.474617254352651</v>
      </c>
      <c r="G107" s="23" t="n">
        <f aca="false">(Annual!G15-Annual!G14)/Annual!$C14*100</f>
        <v>0.460997385287573</v>
      </c>
      <c r="H107" s="23" t="n">
        <f aca="false">(Annual!H15-Annual!H14)/Annual!$C14*100</f>
        <v>-0.775120577738919</v>
      </c>
      <c r="I107" s="23" t="n">
        <f aca="false">-(Annual!I15-Annual!I14)/Annual!$C14*100</f>
        <v>-1.01047656484472</v>
      </c>
      <c r="J107" s="24" t="n">
        <f aca="false">SUM(D107:I107)</f>
        <v>2.40532378717026</v>
      </c>
      <c r="K107" s="25" t="n">
        <f aca="false">J107-C107</f>
        <v>0</v>
      </c>
    </row>
    <row r="108" customFormat="false" ht="15" hidden="false" customHeight="false" outlineLevel="0" collapsed="false">
      <c r="B108" s="27" t="n">
        <f aca="false">Annual!B16</f>
        <v>2014</v>
      </c>
      <c r="C108" s="22" t="n">
        <f aca="false">Annual!J16*100</f>
        <v>-2.51261532628019</v>
      </c>
      <c r="D108" s="23" t="n">
        <f aca="false">(Annual!D16-Annual!D15)/Annual!$C15*100</f>
        <v>-3.18015962125666</v>
      </c>
      <c r="E108" s="23" t="n">
        <f aca="false">(Annual!E16-Annual!E15)/Annual!$C15*100</f>
        <v>0.35940253745286</v>
      </c>
      <c r="F108" s="23" t="n">
        <f aca="false">(Annual!F16-Annual!F15)/Annual!$C15*100</f>
        <v>-1.36963124148916</v>
      </c>
      <c r="G108" s="23" t="n">
        <f aca="false">(Annual!G16-Annual!G15)/Annual!$C15*100</f>
        <v>0.0949451962090145</v>
      </c>
      <c r="H108" s="23" t="n">
        <f aca="false">(Annual!H16-Annual!H15)/Annual!$C15*100</f>
        <v>-1.44781893286869</v>
      </c>
      <c r="I108" s="23" t="n">
        <f aca="false">-(Annual!I16-Annual!I15)/Annual!$C15*100</f>
        <v>3.03064673567245</v>
      </c>
      <c r="J108" s="24" t="n">
        <f aca="false">SUM(D108:I108)</f>
        <v>-2.51261532628019</v>
      </c>
      <c r="K108" s="25" t="n">
        <f aca="false">J108-C108</f>
        <v>0</v>
      </c>
    </row>
    <row r="109" customFormat="false" ht="15" hidden="false" customHeight="false" outlineLevel="0" collapsed="false">
      <c r="B109" s="27" t="n">
        <f aca="false">Annual!B17</f>
        <v>2015</v>
      </c>
      <c r="C109" s="22" t="n">
        <f aca="false">Annual!J17*100</f>
        <v>2.73115983906469</v>
      </c>
      <c r="D109" s="23" t="n">
        <f aca="false">(Annual!D17-Annual!D16)/Annual!$C16*100</f>
        <v>2.6173851464678</v>
      </c>
      <c r="E109" s="23" t="n">
        <f aca="false">(Annual!E17-Annual!E16)/Annual!$C16*100</f>
        <v>0.895124591216956</v>
      </c>
      <c r="F109" s="23" t="n">
        <f aca="false">(Annual!F17-Annual!F16)/Annual!$C16*100</f>
        <v>0.671441325564368</v>
      </c>
      <c r="G109" s="23" t="n">
        <f aca="false">(Annual!G17-Annual!G16)/Annual!$C16*100</f>
        <v>0.226324684546731</v>
      </c>
      <c r="H109" s="23" t="n">
        <f aca="false">(Annual!H17-Annual!H16)/Annual!$C16*100</f>
        <v>-0.549764420399123</v>
      </c>
      <c r="I109" s="23" t="n">
        <f aca="false">-(Annual!I17-Annual!I16)/Annual!$C16*100</f>
        <v>-1.12935148833202</v>
      </c>
      <c r="J109" s="24" t="n">
        <f aca="false">SUM(D109:I109)</f>
        <v>2.73115983906471</v>
      </c>
      <c r="K109" s="25" t="n">
        <f aca="false">J109-C109</f>
        <v>2.08721928629529E-014</v>
      </c>
    </row>
    <row r="110" customFormat="false" ht="15" hidden="false" customHeight="false" outlineLevel="0" collapsed="false">
      <c r="B110" s="27" t="n">
        <f aca="false">Annual!B18</f>
        <v>2016</v>
      </c>
      <c r="C110" s="22" t="n">
        <f aca="false">Annual!J18*100</f>
        <v>-2.08032784926491</v>
      </c>
      <c r="D110" s="23" t="n">
        <f aca="false">(Annual!D18-Annual!D17)/Annual!$C17*100</f>
        <v>-0.563606957920748</v>
      </c>
      <c r="E110" s="23" t="n">
        <f aca="false">(Annual!E18-Annual!E17)/Annual!$C17*100</f>
        <v>-0.0703482464517649</v>
      </c>
      <c r="F110" s="23" t="n">
        <f aca="false">(Annual!F18-Annual!F17)/Annual!$C17*100</f>
        <v>-1.1285252664669</v>
      </c>
      <c r="G110" s="23" t="n">
        <f aca="false">(Annual!G18-Annual!G17)/Annual!$C17*100</f>
        <v>0.109073991306841</v>
      </c>
      <c r="H110" s="23" t="n">
        <f aca="false">(Annual!H18-Annual!H17)/Annual!$C17*100</f>
        <v>0.996100550569288</v>
      </c>
      <c r="I110" s="23" t="n">
        <f aca="false">-(Annual!I18-Annual!I17)/Annual!$C17*100</f>
        <v>-1.42302192030164</v>
      </c>
      <c r="J110" s="24" t="n">
        <f aca="false">SUM(D110:I110)</f>
        <v>-2.08032784926492</v>
      </c>
      <c r="K110" s="25" t="n">
        <f aca="false">J110-C110</f>
        <v>-1.77635683940025E-014</v>
      </c>
    </row>
    <row r="111" customFormat="false" ht="15" hidden="false" customHeight="false" outlineLevel="0" collapsed="false">
      <c r="B111" s="27" t="n">
        <f aca="false">Annual!B19</f>
        <v>2017</v>
      </c>
      <c r="C111" s="22" t="n">
        <f aca="false">Annual!J19*100</f>
        <v>2.81850297283732</v>
      </c>
      <c r="D111" s="23" t="n">
        <f aca="false">(Annual!D19-Annual!D18)/Annual!$C18*100</f>
        <v>3.04361785384716</v>
      </c>
      <c r="E111" s="23" t="n">
        <f aca="false">(Annual!E19-Annual!E18)/Annual!$C18*100</f>
        <v>0.359408274574833</v>
      </c>
      <c r="F111" s="23" t="n">
        <f aca="false">(Annual!F19-Annual!F18)/Annual!$C18*100</f>
        <v>2.51451039898035</v>
      </c>
      <c r="G111" s="23" t="n">
        <f aca="false">(Annual!G19-Annual!G18)/Annual!$C18*100</f>
        <v>0.488976200669335</v>
      </c>
      <c r="H111" s="23" t="n">
        <f aca="false">(Annual!H19-Annual!H18)/Annual!$C18*100</f>
        <v>0.526955803609286</v>
      </c>
      <c r="I111" s="23" t="n">
        <f aca="false">-(Annual!I19-Annual!I18)/Annual!$C18*100</f>
        <v>-4.11496555884365</v>
      </c>
      <c r="J111" s="24" t="n">
        <f aca="false">SUM(D111:I111)</f>
        <v>2.81850297283732</v>
      </c>
      <c r="K111" s="25" t="n">
        <f aca="false">J111-C111</f>
        <v>0</v>
      </c>
    </row>
    <row r="112" customFormat="false" ht="15" hidden="false" customHeight="false" outlineLevel="0" collapsed="false">
      <c r="B112" s="27" t="n">
        <f aca="false">Annual!B20</f>
        <v>2018</v>
      </c>
      <c r="C112" s="22" t="n">
        <f aca="false">Annual!J20*100</f>
        <v>-2.61739646065688</v>
      </c>
      <c r="D112" s="23" t="n">
        <f aca="false">(Annual!D20-Annual!D19)/Annual!$C19*100</f>
        <v>-1.66509606454961</v>
      </c>
      <c r="E112" s="23" t="n">
        <f aca="false">(Annual!E20-Annual!E19)/Annual!$C19*100</f>
        <v>-0.257321540356801</v>
      </c>
      <c r="F112" s="23" t="n">
        <f aca="false">(Annual!F20-Annual!F19)/Annual!$C19*100</f>
        <v>-1.19065263676001</v>
      </c>
      <c r="G112" s="23" t="n">
        <f aca="false">(Annual!G20-Annual!G19)/Annual!$C19*100</f>
        <v>-0.958517854218388</v>
      </c>
      <c r="H112" s="23" t="n">
        <f aca="false">(Annual!H20-Annual!H19)/Annual!$C19*100</f>
        <v>0.129899895879248</v>
      </c>
      <c r="I112" s="23" t="n">
        <f aca="false">-(Annual!I20-Annual!I19)/Annual!$C19*100</f>
        <v>1.32429173934868</v>
      </c>
      <c r="J112" s="24" t="n">
        <f aca="false">SUM(D112:I112)</f>
        <v>-2.61739646065689</v>
      </c>
      <c r="K112" s="25" t="n">
        <f aca="false">J112-C112</f>
        <v>0</v>
      </c>
    </row>
    <row r="113" customFormat="false" ht="15" hidden="false" customHeight="false" outlineLevel="0" collapsed="false">
      <c r="B113" s="27" t="n">
        <f aca="false">Annual!B21</f>
        <v>2019</v>
      </c>
      <c r="C113" s="22" t="n">
        <f aca="false">Annual!J21*100</f>
        <v>-2.0008610017216</v>
      </c>
      <c r="D113" s="23" t="n">
        <f aca="false">(Annual!D21-Annual!D20)/Annual!$C20*100</f>
        <v>-4.56014272505492</v>
      </c>
      <c r="E113" s="23" t="n">
        <f aca="false">(Annual!E21-Annual!E20)/Annual!$C20*100</f>
        <v>-0.877212797209577</v>
      </c>
      <c r="F113" s="23" t="n">
        <f aca="false">(Annual!F21-Annual!F20)/Annual!$C20*100</f>
        <v>-3.19940375331256</v>
      </c>
      <c r="G113" s="23" t="n">
        <f aca="false">(Annual!G21-Annual!G20)/Annual!$C20*100</f>
        <v>-0.799247856156175</v>
      </c>
      <c r="H113" s="23" t="n">
        <f aca="false">(Annual!H21-Annual!H20)/Annual!$C20*100</f>
        <v>2.02648886176687</v>
      </c>
      <c r="I113" s="23" t="n">
        <f aca="false">-(Annual!I21-Annual!I20)/Annual!$C20*100</f>
        <v>5.44494720755465</v>
      </c>
      <c r="J113" s="24" t="n">
        <f aca="false">SUM(D113:I113)</f>
        <v>-1.96457106241171</v>
      </c>
      <c r="K113" s="25" t="n">
        <f aca="false">J113-C113</f>
        <v>0.0362899393098917</v>
      </c>
    </row>
    <row r="114" customFormat="false" ht="15" hidden="false" customHeight="false" outlineLevel="0" collapsed="false">
      <c r="B114" s="27" t="n">
        <f aca="false">Annual!B22</f>
        <v>2020</v>
      </c>
      <c r="C114" s="22" t="n">
        <f aca="false">Annual!J22*100</f>
        <v>-9.90048481923708</v>
      </c>
      <c r="D114" s="23" t="n">
        <f aca="false">(Annual!D22-Annual!D21)/Annual!$C21*100</f>
        <v>-8.67750846763856</v>
      </c>
      <c r="E114" s="23" t="n">
        <f aca="false">(Annual!E22-Annual!E21)/Annual!$C21*100</f>
        <v>-0.264641878005891</v>
      </c>
      <c r="F114" s="23" t="n">
        <f aca="false">(Annual!F22-Annual!F21)/Annual!$C21*100</f>
        <v>-2.24757807899761</v>
      </c>
      <c r="G114" s="23" t="n">
        <f aca="false">(Annual!G22-Annual!G21)/Annual!$C21*100</f>
        <v>1.15262904864443</v>
      </c>
      <c r="H114" s="23" t="n">
        <f aca="false">(Annual!H22-Annual!H21)/Annual!$C21*100</f>
        <v>-4.05853908083077</v>
      </c>
      <c r="I114" s="23" t="n">
        <f aca="false">-(Annual!I22-Annual!I21)/Annual!$C21*100</f>
        <v>4.15812276193178</v>
      </c>
      <c r="J114" s="24" t="n">
        <f aca="false">SUM(D114:I114)</f>
        <v>-9.93751569489662</v>
      </c>
      <c r="K114" s="25" t="n">
        <f aca="false">J114-C114</f>
        <v>-0.0370308756595446</v>
      </c>
    </row>
    <row r="115" customFormat="false" ht="15" hidden="false" customHeight="false" outlineLevel="0" collapsed="false">
      <c r="B115" s="27" t="n">
        <f aca="false">Annual!B23</f>
        <v>2021</v>
      </c>
      <c r="C115" s="22" t="n">
        <f aca="false">Annual!J23*100</f>
        <v>10.4418120024566</v>
      </c>
      <c r="D115" s="23" t="n">
        <f aca="false">(Annual!D23-Annual!D22)/Annual!$C22*100</f>
        <v>6.5787719606734</v>
      </c>
      <c r="E115" s="23" t="n">
        <f aca="false">(Annual!E23-Annual!E22)/Annual!$C22*100</f>
        <v>1.0142308745441</v>
      </c>
      <c r="F115" s="23" t="n">
        <f aca="false">(Annual!F23-Annual!F22)/Annual!$C22*100</f>
        <v>5.64587074006732</v>
      </c>
      <c r="G115" s="23" t="n">
        <f aca="false">(Annual!G23-Annual!G22)/Annual!$C22*100</f>
        <v>-0.479876807062168</v>
      </c>
      <c r="H115" s="23" t="n">
        <f aca="false">(Annual!H23-Annual!H22)/Annual!$C22*100</f>
        <v>1.80282138644106</v>
      </c>
      <c r="I115" s="23" t="n">
        <f aca="false">-(Annual!I23-Annual!I22)/Annual!$C22*100</f>
        <v>-4.1200061522071</v>
      </c>
      <c r="J115" s="24" t="n">
        <f aca="false">SUM(D115:I115)</f>
        <v>10.4418120024566</v>
      </c>
      <c r="K115" s="25" t="n">
        <f aca="false">J115-C115</f>
        <v>0</v>
      </c>
    </row>
    <row r="116" customFormat="false" ht="15" hidden="false" customHeight="false" outlineLevel="0" collapsed="false">
      <c r="B116" s="27" t="n">
        <f aca="false">Annual!B24</f>
        <v>2022</v>
      </c>
      <c r="C116" s="22" t="n">
        <f aca="false">Annual!J24*100</f>
        <v>6.02074537391237</v>
      </c>
      <c r="D116" s="23" t="n">
        <f aca="false">(Annual!D24-Annual!D23)/Annual!$C23*100</f>
        <v>6.52068155058354</v>
      </c>
      <c r="E116" s="23" t="n">
        <f aca="false">(Annual!E24-Annual!E23)/Annual!$C23*100</f>
        <v>0.382023671813393</v>
      </c>
      <c r="F116" s="23" t="n">
        <f aca="false">(Annual!F24-Annual!F23)/Annual!$C23*100</f>
        <v>2.10530024952476</v>
      </c>
      <c r="G116" s="23" t="n">
        <f aca="false">(Annual!G24-Annual!G23)/Annual!$C23*100</f>
        <v>0.237409092615844</v>
      </c>
      <c r="H116" s="23" t="n">
        <f aca="false">(Annual!H24-Annual!H23)/Annual!$C23*100</f>
        <v>0.954377068638836</v>
      </c>
      <c r="I116" s="23" t="n">
        <f aca="false">-(Annual!I24-Annual!I23)/Annual!$C23*100</f>
        <v>-4.17904625926401</v>
      </c>
      <c r="J116" s="24" t="n">
        <f aca="false">SUM(D116:I116)</f>
        <v>6.02074537391236</v>
      </c>
      <c r="K116" s="25" t="n">
        <f aca="false">J116-C116</f>
        <v>0</v>
      </c>
    </row>
    <row r="117" customFormat="false" ht="15" hidden="false" customHeight="false" outlineLevel="0" collapsed="false">
      <c r="B117" s="27" t="n">
        <f aca="false">Annual!B25</f>
        <v>2023</v>
      </c>
      <c r="C117" s="22" t="n">
        <f aca="false">Annual!J25*100</f>
        <v>-1.8508324789034</v>
      </c>
      <c r="D117" s="23" t="n">
        <f aca="false">(Annual!D25-Annual!D24)/Annual!$C24*100</f>
        <v>0.702056234362999</v>
      </c>
      <c r="E117" s="23" t="n">
        <f aca="false">(Annual!E25-Annual!E24)/Annual!$C24*100</f>
        <v>0.307124437813303</v>
      </c>
      <c r="F117" s="23" t="n">
        <f aca="false">(Annual!F25-Annual!F24)/Annual!$C24*100</f>
        <v>-0.520789201828856</v>
      </c>
      <c r="G117" s="23" t="n">
        <f aca="false">(Annual!G25-Annual!G24)/Annual!$C24*100</f>
        <v>0.32446841477952</v>
      </c>
      <c r="H117" s="23" t="n">
        <f aca="false">(Annual!H25-Annual!H24)/Annual!$C24*100</f>
        <v>-2.07906693990375</v>
      </c>
      <c r="I117" s="23" t="n">
        <f aca="false">-(Annual!I25-Annual!I24)/Annual!$C24*100</f>
        <v>-0.584625424126608</v>
      </c>
      <c r="J117" s="24" t="n">
        <f aca="false">SUM(D117:I117)</f>
        <v>-1.85083247890339</v>
      </c>
      <c r="K117" s="25" t="n">
        <f aca="false">J117-C117</f>
        <v>8.43769498715119E-015</v>
      </c>
    </row>
    <row r="118" customFormat="false" ht="15" hidden="false" customHeight="false" outlineLevel="0" collapsed="false">
      <c r="B118" s="27" t="n">
        <f aca="false">Annual!B26</f>
        <v>2024</v>
      </c>
      <c r="C118" s="22" t="n">
        <f aca="false">Annual!J26*100</f>
        <v>-1.36775736576618</v>
      </c>
      <c r="D118" s="23" t="n">
        <f aca="false">(Annual!D26-Annual!D25)/Annual!$C25*100</f>
        <v>-2.09763403992054</v>
      </c>
      <c r="E118" s="23" t="n">
        <f aca="false">(Annual!E26-Annual!E25)/Annual!$C25*100</f>
        <v>-0.422717597754833</v>
      </c>
      <c r="F118" s="23" t="n">
        <f aca="false">(Annual!F26-Annual!F25)/Annual!$C25*100</f>
        <v>-3.65465150754194</v>
      </c>
      <c r="G118" s="23" t="n">
        <f aca="false">(Annual!G26-Annual!G25)/Annual!$C25*100</f>
        <v>-1.99042007627487</v>
      </c>
      <c r="H118" s="23" t="n">
        <f aca="false">(Annual!H26-Annual!H25)/Annual!$C25*100</f>
        <v>3.93043418978859</v>
      </c>
      <c r="I118" s="23" t="n">
        <f aca="false">-(Annual!I26-Annual!I25)/Annual!$C25*100</f>
        <v>2.86723166593741</v>
      </c>
      <c r="J118" s="24" t="n">
        <f aca="false">SUM(D118:I118)</f>
        <v>-1.36775736576618</v>
      </c>
      <c r="K118" s="25" t="n">
        <f aca="false">J118-C118</f>
        <v>-6.66133814775094E-015</v>
      </c>
    </row>
    <row r="119" customFormat="false" ht="15" hidden="false" customHeight="false" outlineLevel="0" collapsed="false">
      <c r="B119" s="27" t="n">
        <f aca="false">Annual!B27</f>
        <v>2025</v>
      </c>
      <c r="C119" s="22" t="n">
        <f aca="false">Annual!J27*100</f>
        <v>4.48324462975642</v>
      </c>
      <c r="D119" s="23" t="n">
        <f aca="false">(Annual!D27-Annual!D26)/Annual!$C26*100</f>
        <v>6.17383422966297</v>
      </c>
      <c r="E119" s="23" t="n">
        <f aca="false">(Annual!E27-Annual!E26)/Annual!$C26*100</f>
        <v>0.0516704435058627</v>
      </c>
      <c r="F119" s="23" t="n">
        <f aca="false">(Annual!F27-Annual!F26)/Annual!$C26*100</f>
        <v>2.82604483762909</v>
      </c>
      <c r="G119" s="23" t="n">
        <f aca="false">(Annual!G27-Annual!G26)/Annual!$C26*100</f>
        <v>0.547046517632213</v>
      </c>
      <c r="H119" s="23" t="n">
        <f aca="false">(Annual!H27-Annual!H26)/Annual!$C26*100</f>
        <v>1.88354316024567</v>
      </c>
      <c r="I119" s="23" t="n">
        <f aca="false">-(Annual!I27-Annual!I26)/Annual!$C26*100</f>
        <v>-6.99889455891938</v>
      </c>
      <c r="J119" s="24" t="n">
        <f aca="false">SUM(D119:I119)</f>
        <v>4.48324462975643</v>
      </c>
      <c r="K119" s="25" t="n">
        <f aca="false">J119-C119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P2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7"/>
    <col collapsed="false" customWidth="true" hidden="false" outlineLevel="0" max="4" min="4" style="0" width="5"/>
    <col collapsed="false" customWidth="true" hidden="false" outlineLevel="0" max="5" min="5" style="0" width="11"/>
    <col collapsed="false" customWidth="true" hidden="false" outlineLevel="0" max="6" min="6" style="0" width="12"/>
    <col collapsed="false" customWidth="true" hidden="false" outlineLevel="0" max="7" min="7" style="0" width="11"/>
    <col collapsed="false" customWidth="true" hidden="false" outlineLevel="0" max="9" min="8" style="0" width="10"/>
    <col collapsed="false" customWidth="true" hidden="false" outlineLevel="0" max="10" min="10" style="0" width="12"/>
    <col collapsed="false" customWidth="true" hidden="false" outlineLevel="0" max="12" min="12" style="0" width="10"/>
    <col collapsed="false" customWidth="true" hidden="false" outlineLevel="0" max="14" min="13" style="0" width="12"/>
    <col collapsed="false" customWidth="true" hidden="false" outlineLevel="0" max="15" min="15" style="0" width="10"/>
    <col collapsed="false" customWidth="true" hidden="false" outlineLevel="0" max="16" min="16" style="0" width="11"/>
  </cols>
  <sheetData>
    <row r="2" customFormat="false" ht="25.5" hidden="false" customHeight="true" outlineLevel="0" collapsed="false">
      <c r="B2" s="1" t="s">
        <v>190</v>
      </c>
    </row>
    <row r="3" customFormat="false" ht="15" hidden="false" customHeight="false" outlineLevel="0" collapsed="false">
      <c r="B3" s="2" t="s">
        <v>191</v>
      </c>
    </row>
    <row r="5" customFormat="false" ht="30" hidden="false" customHeight="true" outlineLevel="0" collapsed="false">
      <c r="B5" s="6" t="s">
        <v>192</v>
      </c>
      <c r="C5" s="6" t="s">
        <v>35</v>
      </c>
      <c r="D5" s="6" t="s">
        <v>193</v>
      </c>
      <c r="E5" s="6" t="s">
        <v>194</v>
      </c>
      <c r="F5" s="6" t="s">
        <v>195</v>
      </c>
      <c r="G5" s="6" t="s">
        <v>196</v>
      </c>
      <c r="H5" s="6" t="s">
        <v>197</v>
      </c>
      <c r="I5" s="6" t="s">
        <v>198</v>
      </c>
      <c r="J5" s="6" t="s">
        <v>199</v>
      </c>
    </row>
    <row r="6" customFormat="false" ht="15" hidden="false" customHeight="false" outlineLevel="0" collapsed="false">
      <c r="B6" s="7" t="s">
        <v>200</v>
      </c>
      <c r="C6" s="8" t="n">
        <v>2004</v>
      </c>
      <c r="D6" s="8" t="n">
        <v>1</v>
      </c>
      <c r="E6" s="15" t="n">
        <v>92.6275060269105</v>
      </c>
      <c r="F6" s="15" t="n">
        <v>98.3395668556138</v>
      </c>
      <c r="G6" s="15" t="n">
        <v>96.0032888357385</v>
      </c>
      <c r="L6" s="3" t="s">
        <v>201</v>
      </c>
    </row>
    <row r="7" customFormat="false" ht="30" hidden="false" customHeight="true" outlineLevel="0" collapsed="false">
      <c r="B7" s="7" t="s">
        <v>202</v>
      </c>
      <c r="C7" s="8" t="n">
        <v>2004</v>
      </c>
      <c r="D7" s="8" t="n">
        <v>2</v>
      </c>
      <c r="E7" s="15" t="n">
        <v>90.1861793165596</v>
      </c>
      <c r="F7" s="15" t="n">
        <v>98.0707171588075</v>
      </c>
      <c r="G7" s="15" t="n">
        <v>96.6105063929032</v>
      </c>
      <c r="I7" s="14" t="n">
        <f aca="false">F7/F6-1</f>
        <v>-0.00273389140711844</v>
      </c>
      <c r="L7" s="28" t="s">
        <v>34</v>
      </c>
      <c r="M7" s="6" t="s">
        <v>203</v>
      </c>
      <c r="N7" s="6" t="s">
        <v>204</v>
      </c>
      <c r="O7" s="28" t="s">
        <v>205</v>
      </c>
      <c r="P7" s="6" t="s">
        <v>206</v>
      </c>
    </row>
    <row r="8" customFormat="false" ht="15" hidden="false" customHeight="false" outlineLevel="0" collapsed="false">
      <c r="B8" s="7" t="s">
        <v>207</v>
      </c>
      <c r="C8" s="8" t="n">
        <v>2004</v>
      </c>
      <c r="D8" s="8" t="n">
        <v>3</v>
      </c>
      <c r="E8" s="15" t="n">
        <v>101.883298042381</v>
      </c>
      <c r="F8" s="15" t="n">
        <v>97.6679520702628</v>
      </c>
      <c r="G8" s="15" t="n">
        <v>97.2899420312126</v>
      </c>
      <c r="I8" s="14" t="n">
        <f aca="false">F8/F7-1</f>
        <v>-0.00410688429954598</v>
      </c>
      <c r="L8" s="21" t="s">
        <v>125</v>
      </c>
      <c r="M8" s="12" t="n">
        <f aca="false">AVERAGEIFS($E$6:$E$274,$C$6:$C$274,2023,$D$6:$D$274,"&gt;="&amp;1,$D$6:$D$274,"&lt;="&amp;3)/AVERAGEIFS($E$6:$E$274,$C$6:$C$274,2022,$D$6:$D$274,"&gt;="&amp;1,$D$6:$D$274,"&lt;="&amp;3)-1</f>
        <v>0.00915068683856091</v>
      </c>
      <c r="N8" s="17" t="n">
        <f aca="false">'Data Constant'!P82</f>
        <v>0.00915068683856046</v>
      </c>
      <c r="O8" s="26" t="n">
        <f aca="false">(M8-N8)*100</f>
        <v>4.44089209850063E-014</v>
      </c>
      <c r="P8" s="8" t="n">
        <f aca="false">COUNTIFS($C$6:$C$274,2023,$D$6:$D$274,"&gt;="&amp;1,$D$6:$D$274,"&lt;="&amp;3)</f>
        <v>3</v>
      </c>
    </row>
    <row r="9" customFormat="false" ht="15" hidden="false" customHeight="false" outlineLevel="0" collapsed="false">
      <c r="B9" s="7" t="s">
        <v>208</v>
      </c>
      <c r="C9" s="8" t="n">
        <v>2004</v>
      </c>
      <c r="D9" s="8" t="n">
        <v>4</v>
      </c>
      <c r="E9" s="15" t="n">
        <v>102.567430251183</v>
      </c>
      <c r="F9" s="15" t="n">
        <v>95.2367846212111</v>
      </c>
      <c r="G9" s="15" t="n">
        <v>97.9976197841568</v>
      </c>
      <c r="I9" s="14" t="n">
        <f aca="false">F9/F8-1</f>
        <v>-0.0248921718692604</v>
      </c>
      <c r="L9" s="21" t="s">
        <v>126</v>
      </c>
      <c r="M9" s="12" t="n">
        <f aca="false">AVERAGEIFS($E$6:$E$274,$C$6:$C$274,2023,$D$6:$D$274,"&gt;="&amp;4,$D$6:$D$274,"&lt;="&amp;6)/AVERAGEIFS($E$6:$E$274,$C$6:$C$274,2022,$D$6:$D$274,"&gt;="&amp;4,$D$6:$D$274,"&lt;="&amp;6)-1</f>
        <v>-0.0565103341366254</v>
      </c>
      <c r="N9" s="17" t="n">
        <f aca="false">'Data Constant'!P83</f>
        <v>-0.0565103341366259</v>
      </c>
      <c r="O9" s="26" t="n">
        <f aca="false">(M9-N9)*100</f>
        <v>4.44089209850063E-014</v>
      </c>
      <c r="P9" s="8" t="n">
        <f aca="false">COUNTIFS($C$6:$C$274,2023,$D$6:$D$274,"&gt;="&amp;4,$D$6:$D$274,"&lt;="&amp;6)</f>
        <v>3</v>
      </c>
    </row>
    <row r="10" customFormat="false" ht="15" hidden="false" customHeight="false" outlineLevel="0" collapsed="false">
      <c r="B10" s="7" t="s">
        <v>209</v>
      </c>
      <c r="C10" s="8" t="n">
        <v>2004</v>
      </c>
      <c r="D10" s="8" t="n">
        <v>5</v>
      </c>
      <c r="E10" s="15" t="n">
        <v>109.877503940517</v>
      </c>
      <c r="F10" s="15" t="n">
        <v>96.9512653079633</v>
      </c>
      <c r="G10" s="15" t="n">
        <v>98.7317791435517</v>
      </c>
      <c r="I10" s="14" t="n">
        <f aca="false">F10/F9-1</f>
        <v>0.0180022949490712</v>
      </c>
      <c r="L10" s="21" t="s">
        <v>127</v>
      </c>
      <c r="M10" s="12" t="n">
        <f aca="false">AVERAGEIFS($E$6:$E$274,$C$6:$C$274,2023,$D$6:$D$274,"&gt;="&amp;7,$D$6:$D$274,"&lt;="&amp;9)/AVERAGEIFS($E$6:$E$274,$C$6:$C$274,2022,$D$6:$D$274,"&gt;="&amp;7,$D$6:$D$274,"&lt;="&amp;9)-1</f>
        <v>-0.00562320293192486</v>
      </c>
      <c r="N10" s="17" t="n">
        <f aca="false">'Data Constant'!P84</f>
        <v>-0.00562320293192431</v>
      </c>
      <c r="O10" s="26" t="n">
        <f aca="false">(M10-N10)*100</f>
        <v>-5.55111512312578E-014</v>
      </c>
      <c r="P10" s="8" t="n">
        <f aca="false">COUNTIFS($C$6:$C$274,2023,$D$6:$D$274,"&gt;="&amp;7,$D$6:$D$274,"&lt;="&amp;9)</f>
        <v>3</v>
      </c>
    </row>
    <row r="11" customFormat="false" ht="15" hidden="false" customHeight="false" outlineLevel="0" collapsed="false">
      <c r="B11" s="7" t="s">
        <v>210</v>
      </c>
      <c r="C11" s="8" t="n">
        <v>2004</v>
      </c>
      <c r="D11" s="8" t="n">
        <v>6</v>
      </c>
      <c r="E11" s="15" t="n">
        <v>105.662406202099</v>
      </c>
      <c r="F11" s="15" t="n">
        <v>98.6835560013506</v>
      </c>
      <c r="G11" s="15" t="n">
        <v>99.489770333174</v>
      </c>
      <c r="I11" s="14" t="n">
        <f aca="false">F11/F10-1</f>
        <v>0.0178676439949979</v>
      </c>
      <c r="L11" s="21" t="s">
        <v>128</v>
      </c>
      <c r="M11" s="12" t="n">
        <f aca="false">AVERAGEIFS($E$6:$E$274,$C$6:$C$274,2023,$D$6:$D$274,"&gt;="&amp;10,$D$6:$D$274,"&lt;="&amp;12)/AVERAGEIFS($E$6:$E$274,$C$6:$C$274,2022,$D$6:$D$274,"&gt;="&amp;10,$D$6:$D$274,"&lt;="&amp;12)-1</f>
        <v>-0.0171131847465698</v>
      </c>
      <c r="N11" s="17" t="n">
        <f aca="false">'Data Constant'!P85</f>
        <v>-0.0171131847465702</v>
      </c>
      <c r="O11" s="26" t="n">
        <f aca="false">(M11-N11)*100</f>
        <v>4.44089209850063E-014</v>
      </c>
      <c r="P11" s="8" t="n">
        <f aca="false">COUNTIFS($C$6:$C$274,2023,$D$6:$D$274,"&gt;="&amp;10,$D$6:$D$274,"&lt;="&amp;12)</f>
        <v>3</v>
      </c>
    </row>
    <row r="12" customFormat="false" ht="15" hidden="false" customHeight="false" outlineLevel="0" collapsed="false">
      <c r="B12" s="7" t="s">
        <v>211</v>
      </c>
      <c r="C12" s="8" t="n">
        <v>2004</v>
      </c>
      <c r="D12" s="8" t="n">
        <v>7</v>
      </c>
      <c r="E12" s="15" t="n">
        <v>101.106997290021</v>
      </c>
      <c r="F12" s="15" t="n">
        <v>100.841103216499</v>
      </c>
      <c r="G12" s="15" t="n">
        <v>100.2725158302</v>
      </c>
      <c r="I12" s="14" t="n">
        <f aca="false">F12/F11-1</f>
        <v>0.0218632901222002</v>
      </c>
      <c r="J12" s="12" t="n">
        <f aca="false">(AVERAGE(F10:F12)/AVERAGE(F7:F9))^4-1</f>
        <v>0.077785436980043</v>
      </c>
      <c r="L12" s="21" t="s">
        <v>129</v>
      </c>
      <c r="M12" s="12" t="n">
        <f aca="false">AVERAGEIFS($E$6:$E$274,$C$6:$C$274,2024,$D$6:$D$274,"&gt;="&amp;1,$D$6:$D$274,"&lt;="&amp;3)/AVERAGEIFS($E$6:$E$274,$C$6:$C$274,2023,$D$6:$D$274,"&gt;="&amp;1,$D$6:$D$274,"&lt;="&amp;3)-1</f>
        <v>-0.0508365696484988</v>
      </c>
      <c r="N12" s="17" t="n">
        <f aca="false">'Data Constant'!P86</f>
        <v>-0.0508365696484984</v>
      </c>
      <c r="O12" s="26" t="n">
        <f aca="false">(M12-N12)*100</f>
        <v>-4.44089209850063E-014</v>
      </c>
      <c r="P12" s="8" t="n">
        <f aca="false">COUNTIFS($C$6:$C$274,2024,$D$6:$D$274,"&gt;="&amp;1,$D$6:$D$274,"&lt;="&amp;3)</f>
        <v>3</v>
      </c>
    </row>
    <row r="13" customFormat="false" ht="15" hidden="false" customHeight="false" outlineLevel="0" collapsed="false">
      <c r="B13" s="7" t="s">
        <v>212</v>
      </c>
      <c r="C13" s="8" t="n">
        <v>2004</v>
      </c>
      <c r="D13" s="8" t="n">
        <v>8</v>
      </c>
      <c r="E13" s="15" t="n">
        <v>98.3557369424376</v>
      </c>
      <c r="F13" s="15" t="n">
        <v>102.177688838031</v>
      </c>
      <c r="G13" s="15" t="n">
        <v>101.077813193244</v>
      </c>
      <c r="I13" s="14" t="n">
        <f aca="false">F13/F12-1</f>
        <v>0.0132543732555499</v>
      </c>
      <c r="J13" s="12" t="n">
        <f aca="false">(AVERAGE(F11:F13)/AVERAGE(F8:F10))^4-1</f>
        <v>0.173776931620274</v>
      </c>
      <c r="L13" s="21" t="s">
        <v>130</v>
      </c>
      <c r="M13" s="12" t="n">
        <f aca="false">AVERAGEIFS($E$6:$E$274,$C$6:$C$274,2024,$D$6:$D$274,"&gt;="&amp;4,$D$6:$D$274,"&lt;="&amp;6)/AVERAGEIFS($E$6:$E$274,$C$6:$C$274,2023,$D$6:$D$274,"&gt;="&amp;4,$D$6:$D$274,"&lt;="&amp;6)-1</f>
        <v>-0.0111349764925249</v>
      </c>
      <c r="N13" s="17" t="n">
        <f aca="false">'Data Constant'!P87</f>
        <v>-0.0111349764925249</v>
      </c>
      <c r="O13" s="26" t="n">
        <f aca="false">(M13-N13)*100</f>
        <v>0</v>
      </c>
      <c r="P13" s="8" t="n">
        <f aca="false">COUNTIFS($C$6:$C$274,2024,$D$6:$D$274,"&gt;="&amp;4,$D$6:$D$274,"&lt;="&amp;6)</f>
        <v>3</v>
      </c>
    </row>
    <row r="14" customFormat="false" ht="15" hidden="false" customHeight="false" outlineLevel="0" collapsed="false">
      <c r="B14" s="7" t="s">
        <v>213</v>
      </c>
      <c r="C14" s="8" t="n">
        <v>2004</v>
      </c>
      <c r="D14" s="8" t="n">
        <v>9</v>
      </c>
      <c r="E14" s="15" t="n">
        <v>98.0863745346964</v>
      </c>
      <c r="F14" s="15" t="n">
        <v>102.350355261557</v>
      </c>
      <c r="G14" s="15" t="n">
        <v>101.899856034715</v>
      </c>
      <c r="I14" s="14" t="n">
        <f aca="false">F14/F13-1</f>
        <v>0.00168986425010154</v>
      </c>
      <c r="J14" s="12" t="n">
        <f aca="false">(AVERAGE(F12:F14)/AVERAGE(F9:F11))^4-1</f>
        <v>0.214773504093504</v>
      </c>
      <c r="L14" s="21" t="s">
        <v>131</v>
      </c>
      <c r="M14" s="12" t="n">
        <f aca="false">AVERAGEIFS($E$6:$E$274,$C$6:$C$274,2024,$D$6:$D$274,"&gt;="&amp;7,$D$6:$D$274,"&lt;="&amp;9)/AVERAGEIFS($E$6:$E$274,$C$6:$C$274,2023,$D$6:$D$274,"&gt;="&amp;7,$D$6:$D$274,"&lt;="&amp;9)-1</f>
        <v>-0.0195500504973148</v>
      </c>
      <c r="N14" s="17" t="n">
        <f aca="false">'Data Constant'!P88</f>
        <v>-0.0195500504973152</v>
      </c>
      <c r="O14" s="26" t="n">
        <f aca="false">(M14-N14)*100</f>
        <v>3.33066907387547E-014</v>
      </c>
      <c r="P14" s="8" t="n">
        <f aca="false">COUNTIFS($C$6:$C$274,2024,$D$6:$D$274,"&gt;="&amp;7,$D$6:$D$274,"&lt;="&amp;9)</f>
        <v>3</v>
      </c>
    </row>
    <row r="15" customFormat="false" ht="15" hidden="false" customHeight="false" outlineLevel="0" collapsed="false">
      <c r="B15" s="7" t="s">
        <v>214</v>
      </c>
      <c r="C15" s="8" t="n">
        <v>2004</v>
      </c>
      <c r="D15" s="8" t="n">
        <v>10</v>
      </c>
      <c r="E15" s="15" t="n">
        <v>97.8356659809799</v>
      </c>
      <c r="F15" s="15" t="n">
        <v>103.123678880046</v>
      </c>
      <c r="G15" s="15" t="n">
        <v>102.729834472918</v>
      </c>
      <c r="I15" s="14" t="n">
        <f aca="false">F15/F14-1</f>
        <v>0.0075556515315709</v>
      </c>
      <c r="J15" s="12" t="n">
        <f aca="false">(AVERAGE(F13:F15)/AVERAGE(F10:F12))^4-1</f>
        <v>0.159523830087097</v>
      </c>
      <c r="L15" s="21" t="s">
        <v>132</v>
      </c>
      <c r="M15" s="12" t="n">
        <f aca="false">AVERAGEIFS($E$6:$E$274,$C$6:$C$274,2024,$D$6:$D$274,"&gt;="&amp;10,$D$6:$D$274,"&lt;="&amp;12)/AVERAGEIFS($E$6:$E$274,$C$6:$C$274,2023,$D$6:$D$274,"&gt;="&amp;10,$D$6:$D$274,"&lt;="&amp;12)-1</f>
        <v>0.0270934355920691</v>
      </c>
      <c r="N15" s="17" t="n">
        <f aca="false">'Data Constant'!P89</f>
        <v>0.0270934355920698</v>
      </c>
      <c r="O15" s="26" t="n">
        <f aca="false">(M15-N15)*100</f>
        <v>-6.66133814775094E-014</v>
      </c>
      <c r="P15" s="8" t="n">
        <f aca="false">COUNTIFS($C$6:$C$274,2024,$D$6:$D$274,"&gt;="&amp;10,$D$6:$D$274,"&lt;="&amp;12)</f>
        <v>3</v>
      </c>
    </row>
    <row r="16" customFormat="false" ht="15" hidden="false" customHeight="false" outlineLevel="0" collapsed="false">
      <c r="B16" s="7" t="s">
        <v>215</v>
      </c>
      <c r="C16" s="8" t="n">
        <v>2004</v>
      </c>
      <c r="D16" s="8" t="n">
        <v>11</v>
      </c>
      <c r="E16" s="15" t="n">
        <v>100.131946681221</v>
      </c>
      <c r="F16" s="15" t="n">
        <v>103.578767665221</v>
      </c>
      <c r="G16" s="15" t="n">
        <v>103.550249884731</v>
      </c>
      <c r="I16" s="14" t="n">
        <f aca="false">F16/F15-1</f>
        <v>0.00441303869410215</v>
      </c>
      <c r="J16" s="12" t="n">
        <f aca="false">(AVERAGE(F14:F16)/AVERAGE(F11:F13))^4-1</f>
        <v>0.101072662287832</v>
      </c>
      <c r="L16" s="21" t="s">
        <v>133</v>
      </c>
      <c r="M16" s="12" t="n">
        <f aca="false">AVERAGEIFS($E$6:$E$274,$C$6:$C$274,2025,$D$6:$D$274,"&gt;="&amp;1,$D$6:$D$274,"&lt;="&amp;3)/AVERAGEIFS($E$6:$E$274,$C$6:$C$274,2024,$D$6:$D$274,"&gt;="&amp;1,$D$6:$D$274,"&lt;="&amp;3)-1</f>
        <v>0.0611707468381002</v>
      </c>
      <c r="N16" s="17" t="n">
        <f aca="false">'Data Constant'!P90</f>
        <v>0.0611707468381002</v>
      </c>
      <c r="O16" s="26" t="n">
        <f aca="false">(M16-N16)*100</f>
        <v>0</v>
      </c>
      <c r="P16" s="8" t="n">
        <f aca="false">COUNTIFS($C$6:$C$274,2025,$D$6:$D$274,"&gt;="&amp;1,$D$6:$D$274,"&lt;="&amp;3)</f>
        <v>3</v>
      </c>
    </row>
    <row r="17" customFormat="false" ht="15" hidden="false" customHeight="false" outlineLevel="0" collapsed="false">
      <c r="B17" s="7" t="s">
        <v>216</v>
      </c>
      <c r="C17" s="8" t="n">
        <v>2004</v>
      </c>
      <c r="D17" s="8" t="n">
        <v>12</v>
      </c>
      <c r="E17" s="15" t="n">
        <v>101.678954790995</v>
      </c>
      <c r="F17" s="15" t="n">
        <v>102.978564123437</v>
      </c>
      <c r="G17" s="15" t="n">
        <v>104.346824063455</v>
      </c>
      <c r="I17" s="14" t="n">
        <f aca="false">F17/F16-1</f>
        <v>-0.00579465806857293</v>
      </c>
      <c r="J17" s="12" t="n">
        <f aca="false">(AVERAGE(F15:F17)/AVERAGE(F12:F14))^4-1</f>
        <v>0.0576882434578765</v>
      </c>
      <c r="L17" s="21" t="s">
        <v>134</v>
      </c>
      <c r="M17" s="12" t="n">
        <f aca="false">AVERAGEIFS($E$6:$E$274,$C$6:$C$274,2025,$D$6:$D$274,"&gt;="&amp;4,$D$6:$D$274,"&lt;="&amp;6)/AVERAGEIFS($E$6:$E$274,$C$6:$C$274,2024,$D$6:$D$274,"&gt;="&amp;4,$D$6:$D$274,"&lt;="&amp;6)-1</f>
        <v>0.0651768410241327</v>
      </c>
      <c r="N17" s="17" t="n">
        <f aca="false">'Data Constant'!P91</f>
        <v>0.0651768410241327</v>
      </c>
      <c r="O17" s="26" t="n">
        <f aca="false">(M17-N17)*100</f>
        <v>0</v>
      </c>
      <c r="P17" s="8" t="n">
        <f aca="false">COUNTIFS($C$6:$C$274,2025,$D$6:$D$274,"&gt;="&amp;4,$D$6:$D$274,"&lt;="&amp;6)</f>
        <v>3</v>
      </c>
    </row>
    <row r="18" customFormat="false" ht="15" hidden="false" customHeight="false" outlineLevel="0" collapsed="false">
      <c r="B18" s="7" t="s">
        <v>217</v>
      </c>
      <c r="C18" s="8" t="n">
        <v>2005</v>
      </c>
      <c r="D18" s="8" t="n">
        <v>1</v>
      </c>
      <c r="E18" s="15" t="n">
        <v>98.473359529179</v>
      </c>
      <c r="F18" s="15" t="n">
        <v>105.749784993052</v>
      </c>
      <c r="G18" s="15" t="n">
        <v>105.10659699376</v>
      </c>
      <c r="H18" s="12" t="n">
        <f aca="false">E18/E6-1</f>
        <v>0.0631114207109291</v>
      </c>
      <c r="I18" s="14" t="n">
        <f aca="false">F18/F17-1</f>
        <v>0.026910657506281</v>
      </c>
      <c r="J18" s="12" t="n">
        <f aca="false">(AVERAGE(F16:F18)/AVERAGE(F13:F15))^4-1</f>
        <v>0.0619158843747605</v>
      </c>
      <c r="L18" s="21" t="s">
        <v>135</v>
      </c>
      <c r="M18" s="12" t="n">
        <f aca="false">AVERAGEIFS($E$6:$E$274,$C$6:$C$274,2025,$D$6:$D$274,"&gt;="&amp;7,$D$6:$D$274,"&lt;="&amp;9)/AVERAGEIFS($E$6:$E$274,$C$6:$C$274,2024,$D$6:$D$274,"&gt;="&amp;7,$D$6:$D$274,"&lt;="&amp;9)-1</f>
        <v>0.0319695852206134</v>
      </c>
      <c r="N18" s="17" t="n">
        <f aca="false">'Data Constant'!P92</f>
        <v>0.0319695852206128</v>
      </c>
      <c r="O18" s="26" t="n">
        <f aca="false">(M18-N18)*100</f>
        <v>6.66133814775094E-014</v>
      </c>
      <c r="P18" s="8" t="n">
        <f aca="false">COUNTIFS($C$6:$C$274,2025,$D$6:$D$274,"&gt;="&amp;7,$D$6:$D$274,"&lt;="&amp;9)</f>
        <v>3</v>
      </c>
    </row>
    <row r="19" customFormat="false" ht="15" hidden="false" customHeight="false" outlineLevel="0" collapsed="false">
      <c r="B19" s="7" t="s">
        <v>218</v>
      </c>
      <c r="C19" s="8" t="n">
        <v>2005</v>
      </c>
      <c r="D19" s="8" t="n">
        <v>2</v>
      </c>
      <c r="E19" s="15" t="n">
        <v>96.118866133434</v>
      </c>
      <c r="F19" s="15" t="n">
        <v>106.057410402197</v>
      </c>
      <c r="G19" s="15" t="n">
        <v>105.821516308835</v>
      </c>
      <c r="H19" s="12" t="n">
        <f aca="false">E19/E7-1</f>
        <v>0.0657826605122089</v>
      </c>
      <c r="I19" s="14" t="n">
        <f aca="false">F19/F18-1</f>
        <v>0.00290899323498306</v>
      </c>
      <c r="J19" s="12" t="n">
        <f aca="false">(AVERAGE(F17:F19)/AVERAGE(F14:F16))^4-1</f>
        <v>0.076290652013284</v>
      </c>
      <c r="L19" s="21" t="s">
        <v>136</v>
      </c>
      <c r="M19" s="12" t="n">
        <f aca="false">AVERAGEIFS($E$6:$E$274,$C$6:$C$274,2025,$D$6:$D$274,"&gt;="&amp;10,$D$6:$D$274,"&lt;="&amp;12)/AVERAGEIFS($E$6:$E$274,$C$6:$C$274,2024,$D$6:$D$274,"&gt;="&amp;10,$D$6:$D$274,"&lt;="&amp;12)-1</f>
        <v>0.0217905164785193</v>
      </c>
      <c r="N19" s="17" t="n">
        <f aca="false">'Data Constant'!P93</f>
        <v>0.0217905164785197</v>
      </c>
      <c r="O19" s="26" t="n">
        <f aca="false">(M19-N19)*100</f>
        <v>-4.44089209850063E-014</v>
      </c>
      <c r="P19" s="8" t="n">
        <f aca="false">COUNTIFS($C$6:$C$274,2025,$D$6:$D$274,"&gt;="&amp;10,$D$6:$D$274,"&lt;="&amp;12)</f>
        <v>3</v>
      </c>
    </row>
    <row r="20" customFormat="false" ht="15" hidden="false" customHeight="false" outlineLevel="0" collapsed="false">
      <c r="B20" s="7" t="s">
        <v>219</v>
      </c>
      <c r="C20" s="8" t="n">
        <v>2005</v>
      </c>
      <c r="D20" s="8" t="n">
        <v>3</v>
      </c>
      <c r="E20" s="15" t="n">
        <v>110.656425867195</v>
      </c>
      <c r="F20" s="15" t="n">
        <v>106.850616724173</v>
      </c>
      <c r="G20" s="15" t="n">
        <v>106.488776534322</v>
      </c>
      <c r="H20" s="12" t="n">
        <f aca="false">E20/E8-1</f>
        <v>0.0861095782467221</v>
      </c>
      <c r="I20" s="14" t="n">
        <f aca="false">F20/F19-1</f>
        <v>0.00747902781114052</v>
      </c>
      <c r="J20" s="12" t="n">
        <f aca="false">(AVERAGE(F18:F20)/AVERAGE(F15:F17))^4-1</f>
        <v>0.121088705477587</v>
      </c>
      <c r="L20" s="21" t="s">
        <v>137</v>
      </c>
      <c r="M20" s="12" t="n">
        <f aca="false">AVERAGEIFS($E$6:$E$274,$C$6:$C$274,2026,$D$6:$D$274,"&gt;="&amp;1,$D$6:$D$274,"&lt;="&amp;3)/AVERAGEIFS($E$6:$E$274,$C$6:$C$274,2025,$D$6:$D$274,"&gt;="&amp;1,$D$6:$D$274,"&lt;="&amp;3)-1</f>
        <v>0.0232763127213582</v>
      </c>
      <c r="N20" s="17" t="n">
        <f aca="false">'Data Constant'!P94</f>
        <v>0.0232763127213582</v>
      </c>
      <c r="O20" s="26" t="n">
        <f aca="false">(M20-N20)*100</f>
        <v>0</v>
      </c>
      <c r="P20" s="8" t="n">
        <f aca="false">COUNTIFS($C$6:$C$274,2026,$D$6:$D$274,"&gt;="&amp;1,$D$6:$D$274,"&lt;="&amp;3)</f>
        <v>3</v>
      </c>
    </row>
    <row r="21" customFormat="false" ht="15" hidden="false" customHeight="false" outlineLevel="0" collapsed="false">
      <c r="B21" s="7" t="s">
        <v>220</v>
      </c>
      <c r="C21" s="8" t="n">
        <v>2005</v>
      </c>
      <c r="D21" s="8" t="n">
        <v>4</v>
      </c>
      <c r="E21" s="15" t="n">
        <v>116.545190482149</v>
      </c>
      <c r="F21" s="15" t="n">
        <v>107.965692975279</v>
      </c>
      <c r="G21" s="15" t="n">
        <v>107.112911465161</v>
      </c>
      <c r="H21" s="12" t="n">
        <f aca="false">E21/E9-1</f>
        <v>0.136278740695128</v>
      </c>
      <c r="I21" s="14" t="n">
        <f aca="false">F21/F20-1</f>
        <v>0.0104358429112674</v>
      </c>
      <c r="J21" s="12" t="n">
        <f aca="false">(AVERAGE(F19:F21)/AVERAGE(F16:F18))^4-1</f>
        <v>0.114317814789602</v>
      </c>
    </row>
    <row r="22" customFormat="false" ht="15" hidden="false" customHeight="false" outlineLevel="0" collapsed="false">
      <c r="B22" s="7" t="s">
        <v>221</v>
      </c>
      <c r="C22" s="8" t="n">
        <v>2005</v>
      </c>
      <c r="D22" s="8" t="n">
        <v>5</v>
      </c>
      <c r="E22" s="15" t="n">
        <v>126.661943355027</v>
      </c>
      <c r="F22" s="15" t="n">
        <v>109.100321166976</v>
      </c>
      <c r="G22" s="15" t="n">
        <v>107.701600334875</v>
      </c>
      <c r="H22" s="12" t="n">
        <f aca="false">E22/E10-1</f>
        <v>0.152755921936461</v>
      </c>
      <c r="I22" s="14" t="n">
        <f aca="false">F22/F21-1</f>
        <v>0.0105091549031016</v>
      </c>
      <c r="J22" s="12" t="n">
        <f aca="false">(AVERAGE(F20:F22)/AVERAGE(F17:F19))^4-1</f>
        <v>0.121173120865778</v>
      </c>
      <c r="L22" s="29" t="s">
        <v>222</v>
      </c>
      <c r="M22" s="30" t="n">
        <f aca="false">AVERAGEIFS($E$6:$E$274,$C$6:$C$274,2026,$D$6:$D$274,"&gt;="&amp;4,$D$6:$D$274,"&lt;="&amp;6)/AVERAGEIFS($E$6:$E$274,$C$6:$C$274,2025,$D$6:$D$274,"&gt;="&amp;4,$D$6:$D$274,"&lt;="&amp;6)-1</f>
        <v>0.0204139624253925</v>
      </c>
      <c r="N22" s="2" t="s">
        <v>223</v>
      </c>
      <c r="P22" s="8" t="n">
        <f aca="false">COUNTIFS($C$6:$C$274,2026,$D$6:$D$274,"&gt;="&amp;4,$D$6:$D$274,"&lt;="&amp;6)</f>
        <v>2</v>
      </c>
    </row>
    <row r="23" customFormat="false" ht="15" hidden="false" customHeight="false" outlineLevel="0" collapsed="false">
      <c r="B23" s="7" t="s">
        <v>224</v>
      </c>
      <c r="C23" s="8" t="n">
        <v>2005</v>
      </c>
      <c r="D23" s="8" t="n">
        <v>6</v>
      </c>
      <c r="E23" s="15" t="n">
        <v>116.502223214929</v>
      </c>
      <c r="F23" s="15" t="n">
        <v>108.583631669072</v>
      </c>
      <c r="G23" s="15" t="n">
        <v>108.267358410656</v>
      </c>
      <c r="H23" s="12" t="n">
        <f aca="false">E23/E11-1</f>
        <v>0.102589155428632</v>
      </c>
      <c r="I23" s="14" t="n">
        <f aca="false">F23/F22-1</f>
        <v>-0.00473591179547128</v>
      </c>
      <c r="J23" s="12" t="n">
        <f aca="false">(AVERAGE(F21:F23)/AVERAGE(F18:F20))^4-1</f>
        <v>0.090697105750789</v>
      </c>
    </row>
    <row r="24" customFormat="false" ht="15" hidden="false" customHeight="false" outlineLevel="0" collapsed="false">
      <c r="B24" s="7" t="s">
        <v>225</v>
      </c>
      <c r="C24" s="8" t="n">
        <v>2005</v>
      </c>
      <c r="D24" s="8" t="n">
        <v>7</v>
      </c>
      <c r="E24" s="15" t="n">
        <v>107.58113926246</v>
      </c>
      <c r="F24" s="15" t="n">
        <v>109.134256403182</v>
      </c>
      <c r="G24" s="15" t="n">
        <v>108.825547802429</v>
      </c>
      <c r="H24" s="12" t="n">
        <f aca="false">E24/E12-1</f>
        <v>0.0640325807903048</v>
      </c>
      <c r="I24" s="14" t="n">
        <f aca="false">F24/F23-1</f>
        <v>0.00507097364166564</v>
      </c>
      <c r="J24" s="12" t="n">
        <f aca="false">(AVERAGE(F22:F24)/AVERAGE(F19:F21))^4-1</f>
        <v>0.0761885980818717</v>
      </c>
      <c r="L24" s="13" t="s">
        <v>226</v>
      </c>
    </row>
    <row r="25" customFormat="false" ht="15" hidden="false" customHeight="false" outlineLevel="0" collapsed="false">
      <c r="B25" s="7" t="s">
        <v>227</v>
      </c>
      <c r="C25" s="8" t="n">
        <v>2005</v>
      </c>
      <c r="D25" s="8" t="n">
        <v>8</v>
      </c>
      <c r="E25" s="15" t="n">
        <v>105.820892793101</v>
      </c>
      <c r="F25" s="15" t="n">
        <v>109.376910038123</v>
      </c>
      <c r="G25" s="15" t="n">
        <v>109.391005682385</v>
      </c>
      <c r="H25" s="12" t="n">
        <f aca="false">E25/E13-1</f>
        <v>0.0758995467141128</v>
      </c>
      <c r="I25" s="14" t="n">
        <f aca="false">F25/F24-1</f>
        <v>0.0022234415016742</v>
      </c>
      <c r="J25" s="12" t="n">
        <f aca="false">(AVERAGE(F23:F25)/AVERAGE(F20:F22))^4-1</f>
        <v>0.0398281335370259</v>
      </c>
      <c r="L25" s="13" t="s">
        <v>228</v>
      </c>
    </row>
    <row r="26" customFormat="false" ht="15" hidden="false" customHeight="false" outlineLevel="0" collapsed="false">
      <c r="B26" s="7" t="s">
        <v>229</v>
      </c>
      <c r="C26" s="8" t="n">
        <v>2005</v>
      </c>
      <c r="D26" s="8" t="n">
        <v>9</v>
      </c>
      <c r="E26" s="15" t="n">
        <v>104.892134726723</v>
      </c>
      <c r="F26" s="15" t="n">
        <v>109.261478841855</v>
      </c>
      <c r="G26" s="15" t="n">
        <v>109.978648613336</v>
      </c>
      <c r="H26" s="12" t="n">
        <f aca="false">E26/E14-1</f>
        <v>0.0693853781864413</v>
      </c>
      <c r="I26" s="14" t="n">
        <f aca="false">F26/F25-1</f>
        <v>-0.00105535250747046</v>
      </c>
      <c r="J26" s="12" t="n">
        <f aca="false">(AVERAGE(F24:F26)/AVERAGE(F21:F23))^4-1</f>
        <v>0.0263332142480692</v>
      </c>
    </row>
    <row r="27" customFormat="false" ht="15" hidden="false" customHeight="false" outlineLevel="0" collapsed="false">
      <c r="B27" s="7" t="s">
        <v>230</v>
      </c>
      <c r="C27" s="8" t="n">
        <v>2005</v>
      </c>
      <c r="D27" s="8" t="n">
        <v>10</v>
      </c>
      <c r="E27" s="15" t="n">
        <v>104.460665384984</v>
      </c>
      <c r="F27" s="15" t="n">
        <v>109.949656384307</v>
      </c>
      <c r="G27" s="15" t="n">
        <v>110.599370169692</v>
      </c>
      <c r="H27" s="12" t="n">
        <f aca="false">E27/E15-1</f>
        <v>0.0677155854930498</v>
      </c>
      <c r="I27" s="14" t="n">
        <f aca="false">F27/F26-1</f>
        <v>0.00629844616552999</v>
      </c>
      <c r="J27" s="12" t="n">
        <f aca="false">(AVERAGE(F25:F27)/AVERAGE(F22:F24))^4-1</f>
        <v>0.0218380050789149</v>
      </c>
    </row>
    <row r="28" customFormat="false" ht="15" hidden="false" customHeight="false" outlineLevel="0" collapsed="false">
      <c r="B28" s="7" t="s">
        <v>231</v>
      </c>
      <c r="C28" s="8" t="n">
        <v>2005</v>
      </c>
      <c r="D28" s="8" t="n">
        <v>11</v>
      </c>
      <c r="E28" s="15" t="n">
        <v>108.003754384548</v>
      </c>
      <c r="F28" s="15" t="n">
        <v>111.168069790454</v>
      </c>
      <c r="G28" s="15" t="n">
        <v>111.262610043025</v>
      </c>
      <c r="H28" s="12" t="n">
        <f aca="false">E28/E16-1</f>
        <v>0.0786143480101058</v>
      </c>
      <c r="I28" s="14" t="n">
        <f aca="false">F28/F27-1</f>
        <v>0.0110815571982206</v>
      </c>
      <c r="J28" s="12" t="n">
        <f aca="false">(AVERAGE(F26:F28)/AVERAGE(F23:F25))^4-1</f>
        <v>0.0407735949828783</v>
      </c>
    </row>
    <row r="29" customFormat="false" ht="15" hidden="false" customHeight="false" outlineLevel="0" collapsed="false">
      <c r="B29" s="7" t="s">
        <v>232</v>
      </c>
      <c r="C29" s="8" t="n">
        <v>2005</v>
      </c>
      <c r="D29" s="8" t="n">
        <v>12</v>
      </c>
      <c r="E29" s="15" t="n">
        <v>110.503323899244</v>
      </c>
      <c r="F29" s="15" t="n">
        <v>113.022090066658</v>
      </c>
      <c r="G29" s="15" t="n">
        <v>111.97153746651</v>
      </c>
      <c r="H29" s="12" t="n">
        <f aca="false">E29/E17-1</f>
        <v>0.0867865835795381</v>
      </c>
      <c r="I29" s="14" t="n">
        <f aca="false">F29/F28-1</f>
        <v>0.0166776330622491</v>
      </c>
      <c r="J29" s="12" t="n">
        <f aca="false">(AVERAGE(F27:F29)/AVERAGE(F24:F26))^4-1</f>
        <v>0.0799958665613869</v>
      </c>
    </row>
    <row r="30" customFormat="false" ht="15" hidden="false" customHeight="false" outlineLevel="0" collapsed="false">
      <c r="B30" s="7" t="s">
        <v>233</v>
      </c>
      <c r="C30" s="8" t="n">
        <v>2006</v>
      </c>
      <c r="D30" s="8" t="n">
        <v>1</v>
      </c>
      <c r="E30" s="15" t="n">
        <v>106.530947876924</v>
      </c>
      <c r="F30" s="15" t="n">
        <v>113.831804499827</v>
      </c>
      <c r="G30" s="15" t="n">
        <v>112.72229471952</v>
      </c>
      <c r="H30" s="12" t="n">
        <f aca="false">E30/E18-1</f>
        <v>0.0818250579270368</v>
      </c>
      <c r="I30" s="14" t="n">
        <f aca="false">F30/F29-1</f>
        <v>0.00716421393986844</v>
      </c>
      <c r="J30" s="12" t="n">
        <f aca="false">(AVERAGE(F28:F30)/AVERAGE(F25:F27))^4-1</f>
        <v>0.119882993990537</v>
      </c>
    </row>
    <row r="31" customFormat="false" ht="15" hidden="false" customHeight="false" outlineLevel="0" collapsed="false">
      <c r="B31" s="7" t="s">
        <v>234</v>
      </c>
      <c r="C31" s="8" t="n">
        <v>2006</v>
      </c>
      <c r="D31" s="8" t="n">
        <v>2</v>
      </c>
      <c r="E31" s="15" t="n">
        <v>104.090137043287</v>
      </c>
      <c r="F31" s="15" t="n">
        <v>114.749882466784</v>
      </c>
      <c r="G31" s="15" t="n">
        <v>113.50850516676</v>
      </c>
      <c r="H31" s="12" t="n">
        <f aca="false">E31/E19-1</f>
        <v>0.0829313872553104</v>
      </c>
      <c r="I31" s="14" t="n">
        <f aca="false">F31/F30-1</f>
        <v>0.00806521491064216</v>
      </c>
      <c r="J31" s="12" t="n">
        <f aca="false">(AVERAGE(F29:F31)/AVERAGE(F26:F28))^4-1</f>
        <v>0.142983182866072</v>
      </c>
    </row>
    <row r="32" customFormat="false" ht="15" hidden="false" customHeight="false" outlineLevel="0" collapsed="false">
      <c r="B32" s="7" t="s">
        <v>235</v>
      </c>
      <c r="C32" s="8" t="n">
        <v>2006</v>
      </c>
      <c r="D32" s="8" t="n">
        <v>3</v>
      </c>
      <c r="E32" s="15" t="n">
        <v>118.588276450431</v>
      </c>
      <c r="F32" s="15" t="n">
        <v>114.306868845595</v>
      </c>
      <c r="G32" s="15" t="n">
        <v>114.322501253267</v>
      </c>
      <c r="H32" s="12" t="n">
        <f aca="false">E32/E20-1</f>
        <v>0.0716799817188678</v>
      </c>
      <c r="I32" s="14" t="n">
        <f aca="false">F32/F31-1</f>
        <v>-0.00386068910630155</v>
      </c>
      <c r="J32" s="12" t="n">
        <f aca="false">(AVERAGE(F30:F32)/AVERAGE(F27:F29))^4-1</f>
        <v>0.108917006548309</v>
      </c>
    </row>
    <row r="33" customFormat="false" ht="15" hidden="false" customHeight="false" outlineLevel="0" collapsed="false">
      <c r="B33" s="7" t="s">
        <v>236</v>
      </c>
      <c r="C33" s="8" t="n">
        <v>2006</v>
      </c>
      <c r="D33" s="8" t="n">
        <v>4</v>
      </c>
      <c r="E33" s="15" t="n">
        <v>122.087107301316</v>
      </c>
      <c r="F33" s="15" t="n">
        <v>115.843976957886</v>
      </c>
      <c r="G33" s="15" t="n">
        <v>115.156768647082</v>
      </c>
      <c r="H33" s="12" t="n">
        <f aca="false">E33/E21-1</f>
        <v>0.0475516561107345</v>
      </c>
      <c r="I33" s="14" t="n">
        <f aca="false">F33/F32-1</f>
        <v>0.0134472068722966</v>
      </c>
      <c r="J33" s="12" t="n">
        <f aca="false">(AVERAGE(F31:F33)/AVERAGE(F28:F30))^4-1</f>
        <v>0.0839188290013326</v>
      </c>
    </row>
    <row r="34" customFormat="false" ht="15" hidden="false" customHeight="false" outlineLevel="0" collapsed="false">
      <c r="B34" s="7" t="s">
        <v>237</v>
      </c>
      <c r="C34" s="8" t="n">
        <v>2006</v>
      </c>
      <c r="D34" s="8" t="n">
        <v>5</v>
      </c>
      <c r="E34" s="15" t="n">
        <v>133.371015674774</v>
      </c>
      <c r="F34" s="15" t="n">
        <v>115.099694748529</v>
      </c>
      <c r="G34" s="15" t="n">
        <v>116.007235818228</v>
      </c>
      <c r="H34" s="12" t="n">
        <f aca="false">E34/E22-1</f>
        <v>0.0529683355713382</v>
      </c>
      <c r="I34" s="14" t="n">
        <f aca="false">F34/F33-1</f>
        <v>-0.00642486755809468</v>
      </c>
      <c r="J34" s="12" t="n">
        <f aca="false">(AVERAGE(F32:F34)/AVERAGE(F29:F31))^4-1</f>
        <v>0.0433903437001248</v>
      </c>
    </row>
    <row r="35" customFormat="false" ht="15" hidden="false" customHeight="false" outlineLevel="0" collapsed="false">
      <c r="B35" s="7" t="s">
        <v>238</v>
      </c>
      <c r="C35" s="8" t="n">
        <v>2006</v>
      </c>
      <c r="D35" s="8" t="n">
        <v>6</v>
      </c>
      <c r="E35" s="15" t="n">
        <v>124.292747751023</v>
      </c>
      <c r="F35" s="15" t="n">
        <v>116.253045856054</v>
      </c>
      <c r="G35" s="15" t="n">
        <v>116.868822648408</v>
      </c>
      <c r="H35" s="12" t="n">
        <f aca="false">E35/E23-1</f>
        <v>0.0668701791357411</v>
      </c>
      <c r="I35" s="14" t="n">
        <f aca="false">F35/F34-1</f>
        <v>0.0100204532257411</v>
      </c>
      <c r="J35" s="12" t="n">
        <f aca="false">(AVERAGE(F33:F35)/AVERAGE(F30:F32))^4-1</f>
        <v>0.0512124140162167</v>
      </c>
    </row>
    <row r="36" customFormat="false" ht="15" hidden="false" customHeight="false" outlineLevel="0" collapsed="false">
      <c r="B36" s="7" t="s">
        <v>239</v>
      </c>
      <c r="C36" s="8" t="n">
        <v>2006</v>
      </c>
      <c r="D36" s="8" t="n">
        <v>7</v>
      </c>
      <c r="E36" s="15" t="n">
        <v>117.045631853527</v>
      </c>
      <c r="F36" s="15" t="n">
        <v>118.145383477596</v>
      </c>
      <c r="G36" s="15" t="n">
        <v>117.736564403407</v>
      </c>
      <c r="H36" s="12" t="n">
        <f aca="false">E36/E24-1</f>
        <v>0.0879753891430468</v>
      </c>
      <c r="I36" s="14" t="n">
        <f aca="false">F36/F35-1</f>
        <v>0.0162777465967268</v>
      </c>
      <c r="J36" s="12" t="n">
        <f aca="false">(AVERAGE(F34:F36)/AVERAGE(F31:F33))^4-1</f>
        <v>0.0543940597551205</v>
      </c>
    </row>
    <row r="37" customFormat="false" ht="15" hidden="false" customHeight="false" outlineLevel="0" collapsed="false">
      <c r="B37" s="7" t="s">
        <v>240</v>
      </c>
      <c r="C37" s="8" t="n">
        <v>2006</v>
      </c>
      <c r="D37" s="8" t="n">
        <v>8</v>
      </c>
      <c r="E37" s="15" t="n">
        <v>116.303607975749</v>
      </c>
      <c r="F37" s="15" t="n">
        <v>118.753773120606</v>
      </c>
      <c r="G37" s="15" t="n">
        <v>118.610606704141</v>
      </c>
      <c r="H37" s="12" t="n">
        <f aca="false">E37/E25-1</f>
        <v>0.0990609217703673</v>
      </c>
      <c r="I37" s="14" t="n">
        <f aca="false">F37/F36-1</f>
        <v>0.00514949992206315</v>
      </c>
      <c r="J37" s="12" t="n">
        <f aca="false">(AVERAGE(F35:F37)/AVERAGE(F32:F34))^4-1</f>
        <v>0.0947380357031997</v>
      </c>
    </row>
    <row r="38" customFormat="false" ht="15" hidden="false" customHeight="false" outlineLevel="0" collapsed="false">
      <c r="B38" s="7" t="s">
        <v>241</v>
      </c>
      <c r="C38" s="8" t="n">
        <v>2006</v>
      </c>
      <c r="D38" s="8" t="n">
        <v>9</v>
      </c>
      <c r="E38" s="15" t="n">
        <v>114.802480333239</v>
      </c>
      <c r="F38" s="15" t="n">
        <v>119.809349051786</v>
      </c>
      <c r="G38" s="15" t="n">
        <v>119.49302154983</v>
      </c>
      <c r="H38" s="12" t="n">
        <f aca="false">E38/E26-1</f>
        <v>0.0944813034107415</v>
      </c>
      <c r="I38" s="14" t="n">
        <f aca="false">F38/F37-1</f>
        <v>0.00888877804420041</v>
      </c>
      <c r="J38" s="12" t="n">
        <f aca="false">(AVERAGE(F36:F38)/AVERAGE(F33:F35))^4-1</f>
        <v>0.11416989071749</v>
      </c>
    </row>
    <row r="39" customFormat="false" ht="15" hidden="false" customHeight="false" outlineLevel="0" collapsed="false">
      <c r="B39" s="7" t="s">
        <v>242</v>
      </c>
      <c r="C39" s="8" t="n">
        <v>2006</v>
      </c>
      <c r="D39" s="8" t="n">
        <v>10</v>
      </c>
      <c r="E39" s="15" t="n">
        <v>116.477508253246</v>
      </c>
      <c r="F39" s="15" t="n">
        <v>120.530066431463</v>
      </c>
      <c r="G39" s="15" t="n">
        <v>120.384856807091</v>
      </c>
      <c r="H39" s="12" t="n">
        <f aca="false">E39/E27-1</f>
        <v>0.115037012486698</v>
      </c>
      <c r="I39" s="14" t="n">
        <f aca="false">F39/F38-1</f>
        <v>0.00601553539335975</v>
      </c>
      <c r="J39" s="12" t="n">
        <f aca="false">(AVERAGE(F37:F39)/AVERAGE(F34:F36))^4-1</f>
        <v>0.114420964245528</v>
      </c>
    </row>
    <row r="40" customFormat="false" ht="15" hidden="false" customHeight="false" outlineLevel="0" collapsed="false">
      <c r="B40" s="7" t="s">
        <v>243</v>
      </c>
      <c r="C40" s="8" t="n">
        <v>2006</v>
      </c>
      <c r="D40" s="8" t="n">
        <v>11</v>
      </c>
      <c r="E40" s="15" t="n">
        <v>118.140782294066</v>
      </c>
      <c r="F40" s="15" t="n">
        <v>120.65318756393</v>
      </c>
      <c r="G40" s="15" t="n">
        <v>121.289034880721</v>
      </c>
      <c r="H40" s="12" t="n">
        <f aca="false">E40/E28-1</f>
        <v>0.0938581067601134</v>
      </c>
      <c r="I40" s="14" t="n">
        <f aca="false">F40/F39-1</f>
        <v>0.00102149725883316</v>
      </c>
      <c r="J40" s="12" t="n">
        <f aca="false">(AVERAGE(F38:F40)/AVERAGE(F35:F37))^4-1</f>
        <v>0.0918061487073725</v>
      </c>
    </row>
    <row r="41" customFormat="false" ht="15" hidden="false" customHeight="false" outlineLevel="0" collapsed="false">
      <c r="B41" s="7" t="s">
        <v>244</v>
      </c>
      <c r="C41" s="8" t="n">
        <v>2006</v>
      </c>
      <c r="D41" s="8" t="n">
        <v>12</v>
      </c>
      <c r="E41" s="15" t="n">
        <v>119.60317208093</v>
      </c>
      <c r="F41" s="15" t="n">
        <v>123.356382324797</v>
      </c>
      <c r="G41" s="15" t="n">
        <v>122.203886323049</v>
      </c>
      <c r="H41" s="12" t="n">
        <f aca="false">E41/E29-1</f>
        <v>0.0823490901502921</v>
      </c>
      <c r="I41" s="14" t="n">
        <f aca="false">F41/F40-1</f>
        <v>0.0224046692461786</v>
      </c>
      <c r="J41" s="12" t="n">
        <f aca="false">(AVERAGE(F39:F41)/AVERAGE(F36:F38))^4-1</f>
        <v>0.0907498535417428</v>
      </c>
    </row>
    <row r="42" customFormat="false" ht="15" hidden="false" customHeight="false" outlineLevel="0" collapsed="false">
      <c r="B42" s="7" t="s">
        <v>245</v>
      </c>
      <c r="C42" s="8" t="n">
        <v>2007</v>
      </c>
      <c r="D42" s="8" t="n">
        <v>1</v>
      </c>
      <c r="E42" s="15" t="n">
        <v>114.701764827224</v>
      </c>
      <c r="F42" s="15" t="n">
        <v>122.087440034328</v>
      </c>
      <c r="G42" s="15" t="n">
        <v>123.125625953481</v>
      </c>
      <c r="H42" s="12" t="n">
        <f aca="false">E42/E30-1</f>
        <v>0.0766989979263069</v>
      </c>
      <c r="I42" s="14" t="n">
        <f aca="false">F42/F41-1</f>
        <v>-0.0102867988388893</v>
      </c>
      <c r="J42" s="12" t="n">
        <f aca="false">(AVERAGE(F40:F42)/AVERAGE(F37:F39))^4-1</f>
        <v>0.0803290584844407</v>
      </c>
    </row>
    <row r="43" customFormat="false" ht="15" hidden="false" customHeight="false" outlineLevel="0" collapsed="false">
      <c r="B43" s="7" t="s">
        <v>246</v>
      </c>
      <c r="C43" s="8" t="n">
        <v>2007</v>
      </c>
      <c r="D43" s="8" t="n">
        <v>2</v>
      </c>
      <c r="E43" s="15" t="n">
        <v>112.743248286053</v>
      </c>
      <c r="F43" s="15" t="n">
        <v>124.633659033093</v>
      </c>
      <c r="G43" s="15" t="n">
        <v>124.051997627583</v>
      </c>
      <c r="H43" s="12" t="n">
        <f aca="false">E43/E31-1</f>
        <v>0.0831309429361908</v>
      </c>
      <c r="I43" s="14" t="n">
        <f aca="false">F43/F42-1</f>
        <v>0.0208556998004763</v>
      </c>
      <c r="J43" s="12" t="n">
        <f aca="false">(AVERAGE(F41:F43)/AVERAGE(F38:F40))^4-1</f>
        <v>0.104529773148398</v>
      </c>
    </row>
    <row r="44" customFormat="false" ht="15" hidden="false" customHeight="false" outlineLevel="0" collapsed="false">
      <c r="B44" s="7" t="s">
        <v>247</v>
      </c>
      <c r="C44" s="8" t="n">
        <v>2007</v>
      </c>
      <c r="D44" s="8" t="n">
        <v>3</v>
      </c>
      <c r="E44" s="15" t="n">
        <v>129.282764989447</v>
      </c>
      <c r="F44" s="15" t="n">
        <v>126.437578304296</v>
      </c>
      <c r="G44" s="15" t="n">
        <v>124.980590735093</v>
      </c>
      <c r="H44" s="12" t="n">
        <f aca="false">E44/E32-1</f>
        <v>0.0901816676919647</v>
      </c>
      <c r="I44" s="14" t="n">
        <f aca="false">F44/F43-1</f>
        <v>0.0144737728571687</v>
      </c>
      <c r="J44" s="12" t="n">
        <f aca="false">(AVERAGE(F42:F44)/AVERAGE(F39:F41))^4-1</f>
        <v>0.0979818381706554</v>
      </c>
    </row>
    <row r="45" customFormat="false" ht="15" hidden="false" customHeight="false" outlineLevel="0" collapsed="false">
      <c r="B45" s="7" t="s">
        <v>248</v>
      </c>
      <c r="C45" s="8" t="n">
        <v>2007</v>
      </c>
      <c r="D45" s="8" t="n">
        <v>4</v>
      </c>
      <c r="E45" s="15" t="n">
        <v>133.463083130088</v>
      </c>
      <c r="F45" s="15" t="n">
        <v>125.431965993476</v>
      </c>
      <c r="G45" s="15" t="n">
        <v>125.90877998542</v>
      </c>
      <c r="H45" s="12" t="n">
        <f aca="false">E45/E33-1</f>
        <v>0.0931791741178323</v>
      </c>
      <c r="I45" s="14" t="n">
        <f aca="false">F45/F44-1</f>
        <v>-0.00795342906995267</v>
      </c>
      <c r="J45" s="12" t="n">
        <f aca="false">(AVERAGE(F43:F45)/AVERAGE(F40:F42))^4-1</f>
        <v>0.118639047965393</v>
      </c>
    </row>
    <row r="46" customFormat="false" ht="15" hidden="false" customHeight="false" outlineLevel="0" collapsed="false">
      <c r="B46" s="7" t="s">
        <v>249</v>
      </c>
      <c r="C46" s="8" t="n">
        <v>2007</v>
      </c>
      <c r="D46" s="8" t="n">
        <v>5</v>
      </c>
      <c r="E46" s="15" t="n">
        <v>147.607910741676</v>
      </c>
      <c r="F46" s="15" t="n">
        <v>127.218231062393</v>
      </c>
      <c r="G46" s="15" t="n">
        <v>126.831829119061</v>
      </c>
      <c r="H46" s="12" t="n">
        <f aca="false">E46/E34-1</f>
        <v>0.106746544553713</v>
      </c>
      <c r="I46" s="14" t="n">
        <f aca="false">F46/F45-1</f>
        <v>0.014240907848081</v>
      </c>
      <c r="J46" s="12" t="n">
        <f aca="false">(AVERAGE(F44:F46)/AVERAGE(F41:F43))^4-1</f>
        <v>0.101002942782139</v>
      </c>
    </row>
    <row r="47" customFormat="false" ht="15" hidden="false" customHeight="false" outlineLevel="0" collapsed="false">
      <c r="B47" s="7" t="s">
        <v>250</v>
      </c>
      <c r="C47" s="8" t="n">
        <v>2007</v>
      </c>
      <c r="D47" s="8" t="n">
        <v>6</v>
      </c>
      <c r="E47" s="15" t="n">
        <v>136.120986304945</v>
      </c>
      <c r="F47" s="15" t="n">
        <v>128.475399141222</v>
      </c>
      <c r="G47" s="15" t="n">
        <v>127.752091497951</v>
      </c>
      <c r="H47" s="12" t="n">
        <f aca="false">E47/E35-1</f>
        <v>0.0951643500360584</v>
      </c>
      <c r="I47" s="14" t="n">
        <f aca="false">F47/F46-1</f>
        <v>0.00988198050177824</v>
      </c>
      <c r="J47" s="12" t="n">
        <f aca="false">(AVERAGE(F45:F47)/AVERAGE(F42:F44))^4-1</f>
        <v>0.0881738537486818</v>
      </c>
    </row>
    <row r="48" customFormat="false" ht="15" hidden="false" customHeight="false" outlineLevel="0" collapsed="false">
      <c r="B48" s="7" t="s">
        <v>251</v>
      </c>
      <c r="C48" s="8" t="n">
        <v>2007</v>
      </c>
      <c r="D48" s="8" t="n">
        <v>7</v>
      </c>
      <c r="E48" s="15" t="n">
        <v>127.387551897955</v>
      </c>
      <c r="F48" s="15" t="n">
        <v>127.735540530712</v>
      </c>
      <c r="G48" s="15" t="n">
        <v>128.669018765428</v>
      </c>
      <c r="H48" s="12" t="n">
        <f aca="false">E48/E36-1</f>
        <v>0.0883580179854187</v>
      </c>
      <c r="I48" s="14" t="n">
        <f aca="false">F48/F47-1</f>
        <v>-0.0057587570496398</v>
      </c>
      <c r="J48" s="12" t="n">
        <f aca="false">(AVERAGE(F46:F48)/AVERAGE(F43:F45))^4-1</f>
        <v>0.0756374113662179</v>
      </c>
    </row>
    <row r="49" customFormat="false" ht="15" hidden="false" customHeight="false" outlineLevel="0" collapsed="false">
      <c r="B49" s="7" t="s">
        <v>252</v>
      </c>
      <c r="C49" s="8" t="n">
        <v>2007</v>
      </c>
      <c r="D49" s="8" t="n">
        <v>8</v>
      </c>
      <c r="E49" s="15" t="n">
        <v>126.59522767863</v>
      </c>
      <c r="F49" s="15" t="n">
        <v>128.755883298023</v>
      </c>
      <c r="G49" s="15" t="n">
        <v>129.579883879926</v>
      </c>
      <c r="H49" s="12" t="n">
        <f aca="false">E49/E37-1</f>
        <v>0.0884892556817933</v>
      </c>
      <c r="I49" s="14" t="n">
        <f aca="false">F49/F48-1</f>
        <v>0.00798793165215983</v>
      </c>
      <c r="J49" s="12" t="n">
        <f aca="false">(AVERAGE(F47:F49)/AVERAGE(F44:F46))^4-1</f>
        <v>0.0634916708356594</v>
      </c>
    </row>
    <row r="50" customFormat="false" ht="15" hidden="false" customHeight="false" outlineLevel="0" collapsed="false">
      <c r="B50" s="7" t="s">
        <v>253</v>
      </c>
      <c r="C50" s="8" t="n">
        <v>2007</v>
      </c>
      <c r="D50" s="8" t="n">
        <v>9</v>
      </c>
      <c r="E50" s="15" t="n">
        <v>123.510463294445</v>
      </c>
      <c r="F50" s="15" t="n">
        <v>129.61434757701</v>
      </c>
      <c r="G50" s="15" t="n">
        <v>130.478754562189</v>
      </c>
      <c r="H50" s="12" t="n">
        <f aca="false">E50/E38-1</f>
        <v>0.075851871283001</v>
      </c>
      <c r="I50" s="14" t="n">
        <f aca="false">F50/F49-1</f>
        <v>0.00666737905094372</v>
      </c>
      <c r="J50" s="12" t="n">
        <f aca="false">(AVERAGE(F48:F50)/AVERAGE(F45:F47))^4-1</f>
        <v>0.0533015095210363</v>
      </c>
    </row>
    <row r="51" customFormat="false" ht="15" hidden="false" customHeight="false" outlineLevel="0" collapsed="false">
      <c r="B51" s="7" t="s">
        <v>254</v>
      </c>
      <c r="C51" s="8" t="n">
        <v>2007</v>
      </c>
      <c r="D51" s="8" t="n">
        <v>10</v>
      </c>
      <c r="E51" s="15" t="n">
        <v>128.415382661045</v>
      </c>
      <c r="F51" s="15" t="n">
        <v>131.239561744336</v>
      </c>
      <c r="G51" s="15" t="n">
        <v>131.352920620281</v>
      </c>
      <c r="H51" s="12" t="n">
        <f aca="false">E51/E39-1</f>
        <v>0.102490812061705</v>
      </c>
      <c r="I51" s="14" t="n">
        <f aca="false">F51/F50-1</f>
        <v>0.0125388446395565</v>
      </c>
      <c r="J51" s="12" t="n">
        <f aca="false">(AVERAGE(F49:F51)/AVERAGE(F46:F48))^4-1</f>
        <v>0.0660531436570255</v>
      </c>
    </row>
    <row r="52" customFormat="false" ht="15" hidden="false" customHeight="false" outlineLevel="0" collapsed="false">
      <c r="B52" s="7" t="s">
        <v>255</v>
      </c>
      <c r="C52" s="8" t="n">
        <v>2007</v>
      </c>
      <c r="D52" s="8" t="n">
        <v>11</v>
      </c>
      <c r="E52" s="15" t="n">
        <v>129.735089456174</v>
      </c>
      <c r="F52" s="15" t="n">
        <v>132.633580177713</v>
      </c>
      <c r="G52" s="15" t="n">
        <v>132.183624874575</v>
      </c>
      <c r="H52" s="12" t="n">
        <f aca="false">E52/E40-1</f>
        <v>0.0981397527337149</v>
      </c>
      <c r="I52" s="14" t="n">
        <f aca="false">F52/F51-1</f>
        <v>0.0106219375838312</v>
      </c>
      <c r="J52" s="12" t="n">
        <f aca="false">(AVERAGE(F50:F52)/AVERAGE(F47:F49))^4-1</f>
        <v>0.0915170002132384</v>
      </c>
    </row>
    <row r="53" customFormat="false" ht="15" hidden="false" customHeight="false" outlineLevel="0" collapsed="false">
      <c r="B53" s="7" t="s">
        <v>256</v>
      </c>
      <c r="C53" s="8" t="n">
        <v>2007</v>
      </c>
      <c r="D53" s="8" t="n">
        <v>12</v>
      </c>
      <c r="E53" s="15" t="n">
        <v>128.897928374986</v>
      </c>
      <c r="F53" s="15" t="n">
        <v>134.198215243497</v>
      </c>
      <c r="G53" s="15" t="n">
        <v>132.944147084894</v>
      </c>
      <c r="H53" s="12" t="n">
        <f aca="false">E53/E41-1</f>
        <v>0.0777132924849742</v>
      </c>
      <c r="I53" s="14" t="n">
        <f aca="false">F53/F52-1</f>
        <v>0.0117966736906805</v>
      </c>
      <c r="J53" s="12" t="n">
        <f aca="false">(AVERAGE(F51:F53)/AVERAGE(F48:F50))^4-1</f>
        <v>0.129844157889901</v>
      </c>
    </row>
    <row r="54" customFormat="false" ht="15" hidden="false" customHeight="false" outlineLevel="0" collapsed="false">
      <c r="B54" s="7" t="s">
        <v>257</v>
      </c>
      <c r="C54" s="8" t="n">
        <v>2008</v>
      </c>
      <c r="D54" s="8" t="n">
        <v>1</v>
      </c>
      <c r="E54" s="15" t="n">
        <v>126.226892510814</v>
      </c>
      <c r="F54" s="15" t="n">
        <v>135.194699728099</v>
      </c>
      <c r="G54" s="15" t="n">
        <v>133.601870113065</v>
      </c>
      <c r="H54" s="12" t="n">
        <f aca="false">E54/E42-1</f>
        <v>0.100479078948358</v>
      </c>
      <c r="I54" s="14" t="n">
        <f aca="false">F54/F53-1</f>
        <v>0.00742546749071238</v>
      </c>
      <c r="J54" s="12" t="n">
        <f aca="false">(AVERAGE(F52:F54)/AVERAGE(F49:F51))^4-1</f>
        <v>0.133702871692678</v>
      </c>
    </row>
    <row r="55" customFormat="false" ht="15" hidden="false" customHeight="false" outlineLevel="0" collapsed="false">
      <c r="B55" s="7" t="s">
        <v>258</v>
      </c>
      <c r="C55" s="8" t="n">
        <v>2008</v>
      </c>
      <c r="D55" s="8" t="n">
        <v>2</v>
      </c>
      <c r="E55" s="15" t="n">
        <v>122.824904509165</v>
      </c>
      <c r="F55" s="15" t="n">
        <v>133.426887371766</v>
      </c>
      <c r="G55" s="15" t="n">
        <v>134.119744809181</v>
      </c>
      <c r="H55" s="12" t="n">
        <f aca="false">E55/E43-1</f>
        <v>0.0894213744625509</v>
      </c>
      <c r="I55" s="14" t="n">
        <f aca="false">F55/F54-1</f>
        <v>-0.0130760478028236</v>
      </c>
      <c r="J55" s="12" t="n">
        <f aca="false">(AVERAGE(F53:F55)/AVERAGE(F50:F52))^4-1</f>
        <v>0.0982963292414965</v>
      </c>
    </row>
    <row r="56" customFormat="false" ht="15" hidden="false" customHeight="false" outlineLevel="0" collapsed="false">
      <c r="B56" s="7" t="s">
        <v>259</v>
      </c>
      <c r="C56" s="8" t="n">
        <v>2008</v>
      </c>
      <c r="D56" s="8" t="n">
        <v>3</v>
      </c>
      <c r="E56" s="15" t="n">
        <v>132.334127287436</v>
      </c>
      <c r="F56" s="15" t="n">
        <v>133.383651717726</v>
      </c>
      <c r="G56" s="15" t="n">
        <v>134.459675705783</v>
      </c>
      <c r="H56" s="12" t="n">
        <f aca="false">E56/E44-1</f>
        <v>0.0236022357522907</v>
      </c>
      <c r="I56" s="14" t="n">
        <f aca="false">F56/F55-1</f>
        <v>-0.000324040040887152</v>
      </c>
      <c r="J56" s="12" t="n">
        <f aca="false">(AVERAGE(F54:F56)/AVERAGE(F51:F53))^4-1</f>
        <v>0.0401192472274827</v>
      </c>
    </row>
    <row r="57" customFormat="false" ht="15" hidden="false" customHeight="false" outlineLevel="0" collapsed="false">
      <c r="B57" s="7" t="s">
        <v>260</v>
      </c>
      <c r="C57" s="8" t="n">
        <v>2008</v>
      </c>
      <c r="D57" s="8" t="n">
        <v>4</v>
      </c>
      <c r="E57" s="15" t="n">
        <v>145.280498552072</v>
      </c>
      <c r="F57" s="15" t="n">
        <v>135.748076349577</v>
      </c>
      <c r="G57" s="15" t="n">
        <v>134.587454530356</v>
      </c>
      <c r="H57" s="12" t="n">
        <f aca="false">E57/E45-1</f>
        <v>0.0885444509809907</v>
      </c>
      <c r="I57" s="14" t="n">
        <f aca="false">F57/F56-1</f>
        <v>0.0177264949744667</v>
      </c>
      <c r="J57" s="12" t="n">
        <f aca="false">(AVERAGE(F55:F57)/AVERAGE(F52:F54))^4-1</f>
        <v>0.00530490100945169</v>
      </c>
    </row>
    <row r="58" customFormat="false" ht="15" hidden="false" customHeight="false" outlineLevel="0" collapsed="false">
      <c r="B58" s="7" t="s">
        <v>261</v>
      </c>
      <c r="C58" s="8" t="n">
        <v>2008</v>
      </c>
      <c r="D58" s="8" t="n">
        <v>5</v>
      </c>
      <c r="E58" s="15" t="n">
        <v>154.156163912867</v>
      </c>
      <c r="F58" s="15" t="n">
        <v>134.856999722077</v>
      </c>
      <c r="G58" s="15" t="n">
        <v>134.473313478604</v>
      </c>
      <c r="H58" s="12" t="n">
        <f aca="false">E58/E46-1</f>
        <v>0.0443624812402561</v>
      </c>
      <c r="I58" s="14" t="n">
        <f aca="false">F58/F57-1</f>
        <v>-0.0065641934048849</v>
      </c>
      <c r="J58" s="12" t="n">
        <f aca="false">(AVERAGE(F56:F58)/AVERAGE(F53:F55))^4-1</f>
        <v>0.0116580502869448</v>
      </c>
    </row>
    <row r="59" customFormat="false" ht="15" hidden="false" customHeight="false" outlineLevel="0" collapsed="false">
      <c r="B59" s="7" t="s">
        <v>262</v>
      </c>
      <c r="C59" s="8" t="n">
        <v>2008</v>
      </c>
      <c r="D59" s="8" t="n">
        <v>6</v>
      </c>
      <c r="E59" s="15" t="n">
        <v>140.503484216698</v>
      </c>
      <c r="F59" s="15" t="n">
        <v>133.383358872054</v>
      </c>
      <c r="G59" s="15" t="n">
        <v>134.098208684677</v>
      </c>
      <c r="H59" s="12" t="n">
        <f aca="false">E59/E47-1</f>
        <v>0.0321956079713865</v>
      </c>
      <c r="I59" s="14" t="n">
        <f aca="false">F59/F58-1</f>
        <v>-0.0109274331555647</v>
      </c>
      <c r="J59" s="12" t="n">
        <f aca="false">(AVERAGE(F57:F59)/AVERAGE(F54:F56))^4-1</f>
        <v>0.0198795407550152</v>
      </c>
    </row>
    <row r="60" customFormat="false" ht="15" hidden="false" customHeight="false" outlineLevel="0" collapsed="false">
      <c r="B60" s="7" t="s">
        <v>263</v>
      </c>
      <c r="C60" s="8" t="n">
        <v>2008</v>
      </c>
      <c r="D60" s="8" t="n">
        <v>7</v>
      </c>
      <c r="E60" s="15" t="n">
        <v>136.638688053716</v>
      </c>
      <c r="F60" s="15" t="n">
        <v>135.270699401973</v>
      </c>
      <c r="G60" s="15" t="n">
        <v>133.462584262988</v>
      </c>
      <c r="H60" s="12" t="n">
        <f aca="false">E60/E48-1</f>
        <v>0.0726219792901828</v>
      </c>
      <c r="I60" s="14" t="n">
        <f aca="false">F60/F59-1</f>
        <v>0.0141497451097317</v>
      </c>
      <c r="J60" s="12" t="n">
        <f aca="false">(AVERAGE(F58:F60)/AVERAGE(F55:F57))^4-1</f>
        <v>0.00949752939604975</v>
      </c>
    </row>
    <row r="61" customFormat="false" ht="15" hidden="false" customHeight="false" outlineLevel="0" collapsed="false">
      <c r="B61" s="7" t="s">
        <v>264</v>
      </c>
      <c r="C61" s="8" t="n">
        <v>2008</v>
      </c>
      <c r="D61" s="8" t="n">
        <v>8</v>
      </c>
      <c r="E61" s="15" t="n">
        <v>131.340921435527</v>
      </c>
      <c r="F61" s="15" t="n">
        <v>135.693745003501</v>
      </c>
      <c r="G61" s="15" t="n">
        <v>132.586909788821</v>
      </c>
      <c r="H61" s="12" t="n">
        <f aca="false">E61/E49-1</f>
        <v>0.0374871457946602</v>
      </c>
      <c r="I61" s="14" t="n">
        <f aca="false">F61/F60-1</f>
        <v>0.00312740011989399</v>
      </c>
      <c r="J61" s="12" t="n">
        <f aca="false">(AVERAGE(F59:F61)/AVERAGE(F56:F58))^4-1</f>
        <v>0.00356004492536099</v>
      </c>
    </row>
    <row r="62" customFormat="false" ht="15" hidden="false" customHeight="false" outlineLevel="0" collapsed="false">
      <c r="B62" s="7" t="s">
        <v>265</v>
      </c>
      <c r="C62" s="8" t="n">
        <v>2008</v>
      </c>
      <c r="D62" s="8" t="n">
        <v>9</v>
      </c>
      <c r="E62" s="15" t="n">
        <v>132.185938489885</v>
      </c>
      <c r="F62" s="15" t="n">
        <v>135.910215015669</v>
      </c>
      <c r="G62" s="15" t="n">
        <v>131.510014052597</v>
      </c>
      <c r="H62" s="12" t="n">
        <f aca="false">E62/E50-1</f>
        <v>0.0702408117015747</v>
      </c>
      <c r="I62" s="14" t="n">
        <f aca="false">F62/F61-1</f>
        <v>0.00159528364525818</v>
      </c>
      <c r="J62" s="12" t="n">
        <f aca="false">(AVERAGE(F60:F62)/AVERAGE(F57:F59))^4-1</f>
        <v>0.0288850075050706</v>
      </c>
    </row>
    <row r="63" customFormat="false" ht="15" hidden="false" customHeight="false" outlineLevel="0" collapsed="false">
      <c r="B63" s="7" t="s">
        <v>266</v>
      </c>
      <c r="C63" s="8" t="n">
        <v>2008</v>
      </c>
      <c r="D63" s="8" t="n">
        <v>10</v>
      </c>
      <c r="E63" s="15" t="n">
        <v>130.395178842559</v>
      </c>
      <c r="F63" s="15" t="n">
        <v>132.515852497566</v>
      </c>
      <c r="G63" s="15" t="n">
        <v>130.289129801203</v>
      </c>
      <c r="H63" s="12" t="n">
        <f aca="false">E63/E51-1</f>
        <v>0.0154171263635923</v>
      </c>
      <c r="I63" s="14" t="n">
        <f aca="false">F63/F62-1</f>
        <v>-0.024975036039138</v>
      </c>
      <c r="J63" s="12" t="n">
        <f aca="false">(AVERAGE(F61:F63)/AVERAGE(F58:F60))^4-1</f>
        <v>0.00604824562142414</v>
      </c>
    </row>
    <row r="64" customFormat="false" ht="15" hidden="false" customHeight="false" outlineLevel="0" collapsed="false">
      <c r="B64" s="7" t="s">
        <v>267</v>
      </c>
      <c r="C64" s="8" t="n">
        <v>2008</v>
      </c>
      <c r="D64" s="8" t="n">
        <v>11</v>
      </c>
      <c r="E64" s="15" t="n">
        <v>125.527563292622</v>
      </c>
      <c r="F64" s="15" t="n">
        <v>130.327369844354</v>
      </c>
      <c r="G64" s="15" t="n">
        <v>128.995755625365</v>
      </c>
      <c r="H64" s="12" t="n">
        <f aca="false">E64/E52-1</f>
        <v>-0.0324316742770919</v>
      </c>
      <c r="I64" s="14" t="n">
        <f aca="false">F64/F63-1</f>
        <v>-0.016514874348731</v>
      </c>
      <c r="J64" s="12" t="n">
        <f aca="false">(AVERAGE(F62:F64)/AVERAGE(F59:F61))^4-1</f>
        <v>-0.0542041434055973</v>
      </c>
    </row>
    <row r="65" customFormat="false" ht="15" hidden="false" customHeight="false" outlineLevel="0" collapsed="false">
      <c r="B65" s="7" t="s">
        <v>268</v>
      </c>
      <c r="C65" s="8" t="n">
        <v>2008</v>
      </c>
      <c r="D65" s="8" t="n">
        <v>12</v>
      </c>
      <c r="E65" s="15" t="n">
        <v>123.466005794077</v>
      </c>
      <c r="F65" s="15" t="n">
        <v>125.168811890679</v>
      </c>
      <c r="G65" s="15" t="n">
        <v>127.708037190077</v>
      </c>
      <c r="H65" s="12" t="n">
        <f aca="false">E65/E53-1</f>
        <v>-0.0421412713872874</v>
      </c>
      <c r="I65" s="14" t="n">
        <f aca="false">F65/F64-1</f>
        <v>-0.0395815396246831</v>
      </c>
      <c r="J65" s="12" t="n">
        <f aca="false">(AVERAGE(F63:F65)/AVERAGE(F60:F62))^4-1</f>
        <v>-0.172937723586111</v>
      </c>
    </row>
    <row r="66" customFormat="false" ht="15" hidden="false" customHeight="false" outlineLevel="0" collapsed="false">
      <c r="B66" s="7" t="s">
        <v>269</v>
      </c>
      <c r="C66" s="8" t="n">
        <v>2009</v>
      </c>
      <c r="D66" s="8" t="n">
        <v>1</v>
      </c>
      <c r="E66" s="15" t="n">
        <v>116.758419202065</v>
      </c>
      <c r="F66" s="15" t="n">
        <v>124.289496008769</v>
      </c>
      <c r="G66" s="15" t="n">
        <v>126.511439360205</v>
      </c>
      <c r="H66" s="12" t="n">
        <f aca="false">E66/E54-1</f>
        <v>-0.0750115377191742</v>
      </c>
      <c r="I66" s="14" t="n">
        <f aca="false">F66/F65-1</f>
        <v>-0.00702503977330371</v>
      </c>
      <c r="J66" s="12" t="n">
        <f aca="false">(AVERAGE(F64:F66)/AVERAGE(F61:F63))^4-1</f>
        <v>-0.219965592296785</v>
      </c>
    </row>
    <row r="67" customFormat="false" ht="15" hidden="false" customHeight="false" outlineLevel="0" collapsed="false">
      <c r="B67" s="7" t="s">
        <v>270</v>
      </c>
      <c r="C67" s="8" t="n">
        <v>2009</v>
      </c>
      <c r="D67" s="8" t="n">
        <v>2</v>
      </c>
      <c r="E67" s="15" t="n">
        <v>114.858861485928</v>
      </c>
      <c r="F67" s="15" t="n">
        <v>126.229692410566</v>
      </c>
      <c r="G67" s="15" t="n">
        <v>125.486774500073</v>
      </c>
      <c r="H67" s="12" t="n">
        <f aca="false">E67/E55-1</f>
        <v>-0.0648569038589582</v>
      </c>
      <c r="I67" s="14" t="n">
        <f aca="false">F67/F66-1</f>
        <v>0.0156103006617687</v>
      </c>
      <c r="J67" s="12" t="n">
        <f aca="false">(AVERAGE(F65:F67)/AVERAGE(F62:F64))^4-1</f>
        <v>-0.212062925894919</v>
      </c>
    </row>
    <row r="68" customFormat="false" ht="15" hidden="false" customHeight="false" outlineLevel="0" collapsed="false">
      <c r="B68" s="7" t="s">
        <v>271</v>
      </c>
      <c r="C68" s="8" t="n">
        <v>2009</v>
      </c>
      <c r="D68" s="8" t="n">
        <v>3</v>
      </c>
      <c r="E68" s="15" t="n">
        <v>126.165602610261</v>
      </c>
      <c r="F68" s="15" t="n">
        <v>123.457841303412</v>
      </c>
      <c r="G68" s="15" t="n">
        <v>124.702383953151</v>
      </c>
      <c r="H68" s="12" t="n">
        <f aca="false">E68/E56-1</f>
        <v>-0.0466132569399584</v>
      </c>
      <c r="I68" s="14" t="n">
        <f aca="false">F68/F67-1</f>
        <v>-0.0219587884135698</v>
      </c>
      <c r="J68" s="12" t="n">
        <f aca="false">(AVERAGE(F66:F68)/AVERAGE(F63:F65))^4-1</f>
        <v>-0.137023578758035</v>
      </c>
    </row>
    <row r="69" customFormat="false" ht="15" hidden="false" customHeight="false" outlineLevel="0" collapsed="false">
      <c r="B69" s="7" t="s">
        <v>272</v>
      </c>
      <c r="C69" s="8" t="n">
        <v>2009</v>
      </c>
      <c r="D69" s="8" t="n">
        <v>4</v>
      </c>
      <c r="E69" s="15" t="n">
        <v>127.990558874504</v>
      </c>
      <c r="F69" s="15" t="n">
        <v>121.770510253346</v>
      </c>
      <c r="G69" s="15" t="n">
        <v>124.208356327704</v>
      </c>
      <c r="H69" s="12" t="n">
        <f aca="false">E69/E57-1</f>
        <v>-0.119010740256866</v>
      </c>
      <c r="I69" s="14" t="n">
        <f aca="false">F69/F68-1</f>
        <v>-0.0136672651348217</v>
      </c>
      <c r="J69" s="12" t="n">
        <f aca="false">(AVERAGE(F67:F69)/AVERAGE(F64:F66))^4-1</f>
        <v>-0.0848658998381949</v>
      </c>
    </row>
    <row r="70" customFormat="false" ht="15" hidden="false" customHeight="false" outlineLevel="0" collapsed="false">
      <c r="B70" s="7" t="s">
        <v>273</v>
      </c>
      <c r="C70" s="8" t="n">
        <v>2009</v>
      </c>
      <c r="D70" s="8" t="n">
        <v>5</v>
      </c>
      <c r="E70" s="15" t="n">
        <v>133.035670478143</v>
      </c>
      <c r="F70" s="15" t="n">
        <v>121.105779531383</v>
      </c>
      <c r="G70" s="15" t="n">
        <v>124.032085085084</v>
      </c>
      <c r="H70" s="12" t="n">
        <f aca="false">E70/E58-1</f>
        <v>-0.137007128995901</v>
      </c>
      <c r="I70" s="14" t="n">
        <f aca="false">F70/F69-1</f>
        <v>-0.00545888097684999</v>
      </c>
      <c r="J70" s="12" t="n">
        <f aca="false">(AVERAGE(F68:F70)/AVERAGE(F65:F67))^4-1</f>
        <v>-0.0959337866690332</v>
      </c>
    </row>
    <row r="71" customFormat="false" ht="15" hidden="false" customHeight="false" outlineLevel="0" collapsed="false">
      <c r="B71" s="7" t="s">
        <v>274</v>
      </c>
      <c r="C71" s="8" t="n">
        <v>2009</v>
      </c>
      <c r="D71" s="8" t="n">
        <v>6</v>
      </c>
      <c r="E71" s="15" t="n">
        <v>129.312658048059</v>
      </c>
      <c r="F71" s="15" t="n">
        <v>122.543452242643</v>
      </c>
      <c r="G71" s="15" t="n">
        <v>124.180053317472</v>
      </c>
      <c r="H71" s="12" t="n">
        <f aca="false">E71/E59-1</f>
        <v>-0.0796480331504025</v>
      </c>
      <c r="I71" s="14" t="n">
        <f aca="false">F71/F70-1</f>
        <v>0.0118712147085296</v>
      </c>
      <c r="J71" s="12" t="n">
        <f aca="false">(AVERAGE(F69:F71)/AVERAGE(F66:F68))^4-1</f>
        <v>-0.0884335872862399</v>
      </c>
    </row>
    <row r="72" customFormat="false" ht="15" hidden="false" customHeight="false" outlineLevel="0" collapsed="false">
      <c r="B72" s="7" t="s">
        <v>275</v>
      </c>
      <c r="C72" s="8" t="n">
        <v>2009</v>
      </c>
      <c r="D72" s="8" t="n">
        <v>7</v>
      </c>
      <c r="E72" s="15" t="n">
        <v>127.363058375014</v>
      </c>
      <c r="F72" s="15" t="n">
        <v>124.754643419951</v>
      </c>
      <c r="G72" s="15" t="n">
        <v>124.635264724</v>
      </c>
      <c r="H72" s="12" t="n">
        <f aca="false">E72/E60-1</f>
        <v>-0.0678843584553098</v>
      </c>
      <c r="I72" s="14" t="n">
        <f aca="false">F72/F71-1</f>
        <v>0.0180441397466828</v>
      </c>
      <c r="J72" s="12" t="n">
        <f aca="false">(AVERAGE(F70:F72)/AVERAGE(F67:F69))^4-1</f>
        <v>-0.0324850389247223</v>
      </c>
    </row>
    <row r="73" customFormat="false" ht="15" hidden="false" customHeight="false" outlineLevel="0" collapsed="false">
      <c r="B73" s="7" t="s">
        <v>276</v>
      </c>
      <c r="C73" s="8" t="n">
        <v>2009</v>
      </c>
      <c r="D73" s="8" t="n">
        <v>8</v>
      </c>
      <c r="E73" s="15" t="n">
        <v>124.003286208947</v>
      </c>
      <c r="F73" s="15" t="n">
        <v>126.792295329751</v>
      </c>
      <c r="G73" s="15" t="n">
        <v>125.363892305895</v>
      </c>
      <c r="H73" s="12" t="n">
        <f aca="false">E73/E61-1</f>
        <v>-0.0558670911272876</v>
      </c>
      <c r="I73" s="14" t="n">
        <f aca="false">F73/F72-1</f>
        <v>0.0163332750905409</v>
      </c>
      <c r="J73" s="12" t="n">
        <f aca="false">(AVERAGE(F71:F73)/AVERAGE(F68:F70))^4-1</f>
        <v>0.0874184012168373</v>
      </c>
    </row>
    <row r="74" customFormat="false" ht="15" hidden="false" customHeight="false" outlineLevel="0" collapsed="false">
      <c r="B74" s="7" t="s">
        <v>277</v>
      </c>
      <c r="C74" s="8" t="n">
        <v>2009</v>
      </c>
      <c r="D74" s="8" t="n">
        <v>9</v>
      </c>
      <c r="E74" s="15" t="n">
        <v>126.185128124728</v>
      </c>
      <c r="F74" s="15" t="n">
        <v>128.178670569903</v>
      </c>
      <c r="G74" s="15" t="n">
        <v>126.322082920036</v>
      </c>
      <c r="H74" s="12" t="n">
        <f aca="false">E74/E62-1</f>
        <v>-0.0453967376084877</v>
      </c>
      <c r="I74" s="14" t="n">
        <f aca="false">F74/F73-1</f>
        <v>0.0109342230657314</v>
      </c>
      <c r="J74" s="12" t="n">
        <f aca="false">(AVERAGE(F72:F74)/AVERAGE(F69:F71))^4-1</f>
        <v>0.166034831987366</v>
      </c>
    </row>
    <row r="75" customFormat="false" ht="15" hidden="false" customHeight="false" outlineLevel="0" collapsed="false">
      <c r="B75" s="7" t="s">
        <v>278</v>
      </c>
      <c r="C75" s="8" t="n">
        <v>2009</v>
      </c>
      <c r="D75" s="8" t="n">
        <v>10</v>
      </c>
      <c r="E75" s="15" t="n">
        <v>127.079861882695</v>
      </c>
      <c r="F75" s="15" t="n">
        <v>129.207254415407</v>
      </c>
      <c r="G75" s="15" t="n">
        <v>127.459733793389</v>
      </c>
      <c r="H75" s="12" t="n">
        <f aca="false">E75/E63-1</f>
        <v>-0.0254251498352317</v>
      </c>
      <c r="I75" s="14" t="n">
        <f aca="false">F75/F74-1</f>
        <v>0.00802461003013422</v>
      </c>
      <c r="J75" s="12" t="n">
        <f aca="false">(AVERAGE(F73:F75)/AVERAGE(F70:F72))^4-1</f>
        <v>0.182589999558412</v>
      </c>
    </row>
    <row r="76" customFormat="false" ht="15" hidden="false" customHeight="false" outlineLevel="0" collapsed="false">
      <c r="B76" s="7" t="s">
        <v>279</v>
      </c>
      <c r="C76" s="8" t="n">
        <v>2009</v>
      </c>
      <c r="D76" s="8" t="n">
        <v>11</v>
      </c>
      <c r="E76" s="15" t="n">
        <v>127.092191780291</v>
      </c>
      <c r="F76" s="15" t="n">
        <v>129.729783934195</v>
      </c>
      <c r="G76" s="15" t="n">
        <v>128.724890871859</v>
      </c>
      <c r="H76" s="12" t="n">
        <f aca="false">E76/E64-1</f>
        <v>0.012464421730408</v>
      </c>
      <c r="I76" s="14" t="n">
        <f aca="false">F76/F75-1</f>
        <v>0.00404411904851831</v>
      </c>
      <c r="J76" s="12" t="n">
        <f aca="false">(AVERAGE(F74:F76)/AVERAGE(F71:F73))^4-1</f>
        <v>0.146718895128256</v>
      </c>
    </row>
    <row r="77" customFormat="false" ht="15" hidden="false" customHeight="false" outlineLevel="0" collapsed="false">
      <c r="B77" s="7" t="s">
        <v>280</v>
      </c>
      <c r="C77" s="8" t="n">
        <v>2009</v>
      </c>
      <c r="D77" s="8" t="n">
        <v>12</v>
      </c>
      <c r="E77" s="15" t="n">
        <v>126.286563805558</v>
      </c>
      <c r="F77" s="15" t="n">
        <v>128.072441943839</v>
      </c>
      <c r="G77" s="15" t="n">
        <v>130.067901260081</v>
      </c>
      <c r="H77" s="12" t="n">
        <f aca="false">E77/E65-1</f>
        <v>0.0228448145976796</v>
      </c>
      <c r="I77" s="14" t="n">
        <f aca="false">F77/F76-1</f>
        <v>-0.0127753391711297</v>
      </c>
      <c r="J77" s="12" t="n">
        <f aca="false">(AVERAGE(F75:F77)/AVERAGE(F72:F74))^4-1</f>
        <v>0.0789637759294637</v>
      </c>
    </row>
    <row r="78" customFormat="false" ht="15" hidden="false" customHeight="false" outlineLevel="0" collapsed="false">
      <c r="B78" s="7" t="s">
        <v>281</v>
      </c>
      <c r="C78" s="8" t="n">
        <v>2010</v>
      </c>
      <c r="D78" s="8" t="n">
        <v>1</v>
      </c>
      <c r="E78" s="15" t="n">
        <v>121.505678529232</v>
      </c>
      <c r="F78" s="15" t="n">
        <v>131.720008468575</v>
      </c>
      <c r="G78" s="15" t="n">
        <v>131.443385633096</v>
      </c>
      <c r="H78" s="12" t="n">
        <f aca="false">E78/E66-1</f>
        <v>0.0406588180930292</v>
      </c>
      <c r="I78" s="14" t="n">
        <f aca="false">F78/F77-1</f>
        <v>0.0284804948619337</v>
      </c>
      <c r="J78" s="12" t="n">
        <f aca="false">(AVERAGE(F76:F78)/AVERAGE(F73:F75))^4-1</f>
        <v>0.056812762551689</v>
      </c>
    </row>
    <row r="79" customFormat="false" ht="15" hidden="false" customHeight="false" outlineLevel="0" collapsed="false">
      <c r="B79" s="7" t="s">
        <v>282</v>
      </c>
      <c r="C79" s="8" t="n">
        <v>2010</v>
      </c>
      <c r="D79" s="8" t="n">
        <v>2</v>
      </c>
      <c r="E79" s="15" t="n">
        <v>119.82280209204</v>
      </c>
      <c r="F79" s="15" t="n">
        <v>133.123264113797</v>
      </c>
      <c r="G79" s="15" t="n">
        <v>132.812396810757</v>
      </c>
      <c r="H79" s="12" t="n">
        <f aca="false">E79/E67-1</f>
        <v>0.0432177416865651</v>
      </c>
      <c r="I79" s="14" t="n">
        <f aca="false">F79/F78-1</f>
        <v>0.0106533218569946</v>
      </c>
      <c r="J79" s="12" t="n">
        <f aca="false">(AVERAGE(F77:F79)/AVERAGE(F74:F76))^4-1</f>
        <v>0.0612908357976743</v>
      </c>
    </row>
    <row r="80" customFormat="false" ht="15" hidden="false" customHeight="false" outlineLevel="0" collapsed="false">
      <c r="B80" s="7" t="s">
        <v>283</v>
      </c>
      <c r="C80" s="8" t="n">
        <v>2010</v>
      </c>
      <c r="D80" s="8" t="n">
        <v>3</v>
      </c>
      <c r="E80" s="15" t="n">
        <v>136.895501620461</v>
      </c>
      <c r="F80" s="15" t="n">
        <v>133.97038663481</v>
      </c>
      <c r="G80" s="15" t="n">
        <v>134.145338887224</v>
      </c>
      <c r="H80" s="12" t="n">
        <f aca="false">E80/E68-1</f>
        <v>0.0850461519479751</v>
      </c>
      <c r="I80" s="14" t="n">
        <f aca="false">F80/F79-1</f>
        <v>0.00636344463646243</v>
      </c>
      <c r="J80" s="12" t="n">
        <f aca="false">(AVERAGE(F78:F80)/AVERAGE(F75:F77))^4-1</f>
        <v>0.127700264425116</v>
      </c>
    </row>
    <row r="81" customFormat="false" ht="15" hidden="false" customHeight="false" outlineLevel="0" collapsed="false">
      <c r="B81" s="7" t="s">
        <v>284</v>
      </c>
      <c r="C81" s="8" t="n">
        <v>2010</v>
      </c>
      <c r="D81" s="8" t="n">
        <v>4</v>
      </c>
      <c r="E81" s="15" t="n">
        <v>145.774131493018</v>
      </c>
      <c r="F81" s="15" t="n">
        <v>136.865318244278</v>
      </c>
      <c r="G81" s="15" t="n">
        <v>135.418774571477</v>
      </c>
      <c r="H81" s="12" t="n">
        <f aca="false">E81/E69-1</f>
        <v>0.13894440945407</v>
      </c>
      <c r="I81" s="14" t="n">
        <f aca="false">F81/F80-1</f>
        <v>0.0216087426645941</v>
      </c>
      <c r="J81" s="12" t="n">
        <f aca="false">(AVERAGE(F79:F81)/AVERAGE(F76:F78))^4-1</f>
        <v>0.156698066290908</v>
      </c>
    </row>
    <row r="82" customFormat="false" ht="15" hidden="false" customHeight="false" outlineLevel="0" collapsed="false">
      <c r="B82" s="7" t="s">
        <v>285</v>
      </c>
      <c r="C82" s="8" t="n">
        <v>2010</v>
      </c>
      <c r="D82" s="8" t="n">
        <v>5</v>
      </c>
      <c r="E82" s="15" t="n">
        <v>158.110631530439</v>
      </c>
      <c r="F82" s="15" t="n">
        <v>139.191291045935</v>
      </c>
      <c r="G82" s="15" t="n">
        <v>136.615010335671</v>
      </c>
      <c r="H82" s="12" t="n">
        <f aca="false">E82/E70-1</f>
        <v>0.188482990781148</v>
      </c>
      <c r="I82" s="14" t="n">
        <f aca="false">F82/F81-1</f>
        <v>0.0169946106982748</v>
      </c>
      <c r="J82" s="12" t="n">
        <f aca="false">(AVERAGE(F80:F82)/AVERAGE(F77:F79))^4-1</f>
        <v>0.185911309933071</v>
      </c>
    </row>
    <row r="83" customFormat="false" ht="15" hidden="false" customHeight="false" outlineLevel="0" collapsed="false">
      <c r="B83" s="7" t="s">
        <v>286</v>
      </c>
      <c r="C83" s="8" t="n">
        <v>2010</v>
      </c>
      <c r="D83" s="8" t="n">
        <v>6</v>
      </c>
      <c r="E83" s="15" t="n">
        <v>149.861552008054</v>
      </c>
      <c r="F83" s="15" t="n">
        <v>140.568712152045</v>
      </c>
      <c r="G83" s="15" t="n">
        <v>137.723391560164</v>
      </c>
      <c r="H83" s="12" t="n">
        <f aca="false">E83/E71-1</f>
        <v>0.158908603923047</v>
      </c>
      <c r="I83" s="14" t="n">
        <f aca="false">F83/F82-1</f>
        <v>0.00989588569628785</v>
      </c>
      <c r="J83" s="12" t="n">
        <f aca="false">(AVERAGE(F81:F83)/AVERAGE(F78:F80))^4-1</f>
        <v>0.190974738092717</v>
      </c>
    </row>
    <row r="84" customFormat="false" ht="15" hidden="false" customHeight="false" outlineLevel="0" collapsed="false">
      <c r="B84" s="7" t="s">
        <v>287</v>
      </c>
      <c r="C84" s="8" t="n">
        <v>2010</v>
      </c>
      <c r="D84" s="8" t="n">
        <v>7</v>
      </c>
      <c r="E84" s="15" t="n">
        <v>139.505686628727</v>
      </c>
      <c r="F84" s="15" t="n">
        <v>139.396913783302</v>
      </c>
      <c r="G84" s="15" t="n">
        <v>138.740273853644</v>
      </c>
      <c r="H84" s="12" t="n">
        <f aca="false">E84/E72-1</f>
        <v>0.0953386987454385</v>
      </c>
      <c r="I84" s="14" t="n">
        <f aca="false">F84/F83-1</f>
        <v>-0.0083361250935744</v>
      </c>
      <c r="J84" s="12" t="n">
        <f aca="false">(AVERAGE(F82:F84)/AVERAGE(F79:F81))^4-1</f>
        <v>0.159197748547352</v>
      </c>
    </row>
    <row r="85" customFormat="false" ht="15" hidden="false" customHeight="false" outlineLevel="0" collapsed="false">
      <c r="B85" s="7" t="s">
        <v>288</v>
      </c>
      <c r="C85" s="8" t="n">
        <v>2010</v>
      </c>
      <c r="D85" s="8" t="n">
        <v>8</v>
      </c>
      <c r="E85" s="15" t="n">
        <v>137.245980687156</v>
      </c>
      <c r="F85" s="15" t="n">
        <v>140.002332180897</v>
      </c>
      <c r="G85" s="15" t="n">
        <v>139.669232091075</v>
      </c>
      <c r="H85" s="12" t="n">
        <f aca="false">E85/E73-1</f>
        <v>0.106793093014448</v>
      </c>
      <c r="I85" s="14" t="n">
        <f aca="false">F85/F84-1</f>
        <v>0.00434312626558753</v>
      </c>
      <c r="J85" s="12" t="n">
        <f aca="false">(AVERAGE(F83:F85)/AVERAGE(F80:F82))^4-1</f>
        <v>0.100562780567367</v>
      </c>
    </row>
    <row r="86" customFormat="false" ht="15" hidden="false" customHeight="false" outlineLevel="0" collapsed="false">
      <c r="B86" s="7" t="s">
        <v>289</v>
      </c>
      <c r="C86" s="8" t="n">
        <v>2010</v>
      </c>
      <c r="D86" s="8" t="n">
        <v>9</v>
      </c>
      <c r="E86" s="15" t="n">
        <v>136.696426721623</v>
      </c>
      <c r="F86" s="15" t="n">
        <v>139.385480305902</v>
      </c>
      <c r="G86" s="15" t="n">
        <v>140.522167579735</v>
      </c>
      <c r="H86" s="12" t="n">
        <f aca="false">E86/E74-1</f>
        <v>0.0833006135755183</v>
      </c>
      <c r="I86" s="14" t="n">
        <f aca="false">F86/F85-1</f>
        <v>-0.00440601142413299</v>
      </c>
      <c r="J86" s="12" t="n">
        <f aca="false">(AVERAGE(F84:F86)/AVERAGE(F81:F83))^4-1</f>
        <v>0.0208940875471755</v>
      </c>
    </row>
    <row r="87" customFormat="false" ht="15" hidden="false" customHeight="false" outlineLevel="0" collapsed="false">
      <c r="B87" s="7" t="s">
        <v>290</v>
      </c>
      <c r="C87" s="8" t="n">
        <v>2010</v>
      </c>
      <c r="D87" s="8" t="n">
        <v>10</v>
      </c>
      <c r="E87" s="15" t="n">
        <v>135.138844506923</v>
      </c>
      <c r="F87" s="15" t="n">
        <v>140.188638502719</v>
      </c>
      <c r="G87" s="15" t="n">
        <v>141.312770450585</v>
      </c>
      <c r="H87" s="12" t="n">
        <f aca="false">E87/E75-1</f>
        <v>0.0634166775509015</v>
      </c>
      <c r="I87" s="14" t="n">
        <f aca="false">F87/F86-1</f>
        <v>0.00576213673802006</v>
      </c>
      <c r="J87" s="12" t="n">
        <f aca="false">(AVERAGE(F85:F87)/AVERAGE(F82:F84))^4-1</f>
        <v>0.00400961338120709</v>
      </c>
    </row>
    <row r="88" customFormat="false" ht="15" hidden="false" customHeight="false" outlineLevel="0" collapsed="false">
      <c r="B88" s="7" t="s">
        <v>291</v>
      </c>
      <c r="C88" s="8" t="n">
        <v>2010</v>
      </c>
      <c r="D88" s="8" t="n">
        <v>11</v>
      </c>
      <c r="E88" s="15" t="n">
        <v>139.598823283722</v>
      </c>
      <c r="F88" s="15" t="n">
        <v>142.241573572224</v>
      </c>
      <c r="G88" s="15" t="n">
        <v>142.054109543055</v>
      </c>
      <c r="H88" s="12" t="n">
        <f aca="false">E88/E76-1</f>
        <v>0.0984059785911291</v>
      </c>
      <c r="I88" s="14" t="n">
        <f aca="false">F88/F87-1</f>
        <v>0.0146440902160889</v>
      </c>
      <c r="J88" s="12" t="n">
        <f aca="false">(AVERAGE(F86:F88)/AVERAGE(F83:F85))^4-1</f>
        <v>0.0177152971615873</v>
      </c>
    </row>
    <row r="89" customFormat="false" ht="15" hidden="false" customHeight="false" outlineLevel="0" collapsed="false">
      <c r="B89" s="7" t="s">
        <v>292</v>
      </c>
      <c r="C89" s="8" t="n">
        <v>2010</v>
      </c>
      <c r="D89" s="8" t="n">
        <v>12</v>
      </c>
      <c r="E89" s="15" t="n">
        <v>138.477649512717</v>
      </c>
      <c r="F89" s="15" t="n">
        <v>141.9797901459</v>
      </c>
      <c r="G89" s="15" t="n">
        <v>142.758620368592</v>
      </c>
      <c r="H89" s="12" t="n">
        <f aca="false">E89/E77-1</f>
        <v>0.0965350971614767</v>
      </c>
      <c r="I89" s="14" t="n">
        <f aca="false">F89/F88-1</f>
        <v>-0.00184041430187831</v>
      </c>
      <c r="J89" s="12" t="n">
        <f aca="false">(AVERAGE(F87:F89)/AVERAGE(F84:F86))^4-1</f>
        <v>0.054821823575183</v>
      </c>
    </row>
    <row r="90" customFormat="false" ht="15" hidden="false" customHeight="false" outlineLevel="0" collapsed="false">
      <c r="B90" s="7" t="s">
        <v>293</v>
      </c>
      <c r="C90" s="8" t="n">
        <v>2011</v>
      </c>
      <c r="D90" s="8" t="n">
        <v>1</v>
      </c>
      <c r="E90" s="15" t="n">
        <v>133.076919718552</v>
      </c>
      <c r="F90" s="15" t="n">
        <v>145.851146917627</v>
      </c>
      <c r="G90" s="15" t="n">
        <v>143.438663638209</v>
      </c>
      <c r="H90" s="12" t="n">
        <f aca="false">E90/E78-1</f>
        <v>0.0952321021485141</v>
      </c>
      <c r="I90" s="14" t="n">
        <f aca="false">F90/F89-1</f>
        <v>0.0272669565700108</v>
      </c>
      <c r="J90" s="12" t="n">
        <f aca="false">(AVERAGE(F88:F90)/AVERAGE(F85:F87))^4-1</f>
        <v>0.103881147410515</v>
      </c>
    </row>
    <row r="91" customFormat="false" ht="15" hidden="false" customHeight="false" outlineLevel="0" collapsed="false">
      <c r="B91" s="7" t="s">
        <v>294</v>
      </c>
      <c r="C91" s="8" t="n">
        <v>2011</v>
      </c>
      <c r="D91" s="8" t="n">
        <v>2</v>
      </c>
      <c r="E91" s="15" t="n">
        <v>129.509886842622</v>
      </c>
      <c r="F91" s="15" t="n">
        <v>143.853319291413</v>
      </c>
      <c r="G91" s="15" t="n">
        <v>144.097833563867</v>
      </c>
      <c r="H91" s="12" t="n">
        <f aca="false">E91/E79-1</f>
        <v>0.0808450860892174</v>
      </c>
      <c r="I91" s="14" t="n">
        <f aca="false">F91/F90-1</f>
        <v>-0.0136977162568576</v>
      </c>
      <c r="J91" s="12" t="n">
        <f aca="false">(AVERAGE(F89:F91)/AVERAGE(F86:F88))^4-1</f>
        <v>0.0969173634851659</v>
      </c>
    </row>
    <row r="92" customFormat="false" ht="15" hidden="false" customHeight="false" outlineLevel="0" collapsed="false">
      <c r="B92" s="7" t="s">
        <v>295</v>
      </c>
      <c r="C92" s="8" t="n">
        <v>2011</v>
      </c>
      <c r="D92" s="8" t="n">
        <v>3</v>
      </c>
      <c r="E92" s="15" t="n">
        <v>147.001839095024</v>
      </c>
      <c r="F92" s="15" t="n">
        <v>144.861505636531</v>
      </c>
      <c r="G92" s="15" t="n">
        <v>144.730200548053</v>
      </c>
      <c r="H92" s="12" t="n">
        <f aca="false">E92/E80-1</f>
        <v>0.0738251977233124</v>
      </c>
      <c r="I92" s="14" t="n">
        <f aca="false">F92/F91-1</f>
        <v>0.00700843296549714</v>
      </c>
      <c r="J92" s="12" t="n">
        <f aca="false">(AVERAGE(F90:F92)/AVERAGE(F87:F89))^4-1</f>
        <v>0.099209374560558</v>
      </c>
    </row>
    <row r="93" customFormat="false" ht="15" hidden="false" customHeight="false" outlineLevel="0" collapsed="false">
      <c r="B93" s="7" t="s">
        <v>296</v>
      </c>
      <c r="C93" s="8" t="n">
        <v>2011</v>
      </c>
      <c r="D93" s="8" t="n">
        <v>4</v>
      </c>
      <c r="E93" s="15" t="n">
        <v>151.035823039618</v>
      </c>
      <c r="F93" s="15" t="n">
        <v>144.92864694726</v>
      </c>
      <c r="G93" s="15" t="n">
        <v>145.317492143554</v>
      </c>
      <c r="H93" s="12" t="n">
        <f aca="false">E93/E81-1</f>
        <v>0.0360948234965286</v>
      </c>
      <c r="I93" s="14" t="n">
        <f aca="false">F93/F92-1</f>
        <v>0.000463486213502007</v>
      </c>
      <c r="J93" s="12" t="n">
        <f aca="false">(AVERAGE(F91:F93)/AVERAGE(F88:F90))^4-1</f>
        <v>0.0336285928574636</v>
      </c>
    </row>
    <row r="94" customFormat="false" ht="15" hidden="false" customHeight="false" outlineLevel="0" collapsed="false">
      <c r="B94" s="7" t="s">
        <v>297</v>
      </c>
      <c r="C94" s="8" t="n">
        <v>2011</v>
      </c>
      <c r="D94" s="8" t="n">
        <v>5</v>
      </c>
      <c r="E94" s="15" t="n">
        <v>166.178342081017</v>
      </c>
      <c r="F94" s="15" t="n">
        <v>147.186329306584</v>
      </c>
      <c r="G94" s="15" t="n">
        <v>145.832450110943</v>
      </c>
      <c r="H94" s="12" t="n">
        <f aca="false">E94/E82-1</f>
        <v>0.051025730986505</v>
      </c>
      <c r="I94" s="14" t="n">
        <f aca="false">F94/F93-1</f>
        <v>0.0155778888913916</v>
      </c>
      <c r="J94" s="12" t="n">
        <f aca="false">(AVERAGE(F92:F94)/AVERAGE(F89:F91))^4-1</f>
        <v>0.0499470917179552</v>
      </c>
    </row>
    <row r="95" customFormat="false" ht="15" hidden="false" customHeight="false" outlineLevel="0" collapsed="false">
      <c r="B95" s="7" t="s">
        <v>298</v>
      </c>
      <c r="C95" s="8" t="n">
        <v>2011</v>
      </c>
      <c r="D95" s="8" t="n">
        <v>6</v>
      </c>
      <c r="E95" s="15" t="n">
        <v>156.693658512255</v>
      </c>
      <c r="F95" s="15" t="n">
        <v>146.802690876266</v>
      </c>
      <c r="G95" s="15" t="n">
        <v>146.245227588041</v>
      </c>
      <c r="H95" s="12" t="n">
        <f aca="false">E95/E83-1</f>
        <v>0.0455894551514702</v>
      </c>
      <c r="I95" s="14" t="n">
        <f aca="false">F95/F94-1</f>
        <v>-0.00260648140438979</v>
      </c>
      <c r="J95" s="12" t="n">
        <f aca="false">(AVERAGE(F93:F95)/AVERAGE(F90:F92))^4-1</f>
        <v>0.0406612494383702</v>
      </c>
    </row>
    <row r="96" customFormat="false" ht="15" hidden="false" customHeight="false" outlineLevel="0" collapsed="false">
      <c r="B96" s="7" t="s">
        <v>299</v>
      </c>
      <c r="C96" s="8" t="n">
        <v>2011</v>
      </c>
      <c r="D96" s="8" t="n">
        <v>7</v>
      </c>
      <c r="E96" s="15" t="n">
        <v>146.378088280468</v>
      </c>
      <c r="F96" s="15" t="n">
        <v>147.156733024103</v>
      </c>
      <c r="G96" s="15" t="n">
        <v>146.527718670862</v>
      </c>
      <c r="H96" s="12" t="n">
        <f aca="false">E96/E84-1</f>
        <v>0.0492625198141983</v>
      </c>
      <c r="I96" s="14" t="n">
        <f aca="false">F96/F95-1</f>
        <v>0.00241168704553796</v>
      </c>
      <c r="J96" s="12" t="n">
        <f aca="false">(AVERAGE(F94:F96)/AVERAGE(F91:F93))^4-1</f>
        <v>0.0710189611468381</v>
      </c>
    </row>
    <row r="97" customFormat="false" ht="15" hidden="false" customHeight="false" outlineLevel="0" collapsed="false">
      <c r="B97" s="7" t="s">
        <v>300</v>
      </c>
      <c r="C97" s="8" t="n">
        <v>2011</v>
      </c>
      <c r="D97" s="8" t="n">
        <v>8</v>
      </c>
      <c r="E97" s="15" t="n">
        <v>146.398505384719</v>
      </c>
      <c r="F97" s="15" t="n">
        <v>146.95911473406</v>
      </c>
      <c r="G97" s="15" t="n">
        <v>146.657518705678</v>
      </c>
      <c r="H97" s="12" t="n">
        <f aca="false">E97/E85-1</f>
        <v>0.066687014451998</v>
      </c>
      <c r="I97" s="14" t="n">
        <f aca="false">F97/F96-1</f>
        <v>-0.00134291028335565</v>
      </c>
      <c r="J97" s="12" t="n">
        <f aca="false">(AVERAGE(F95:F97)/AVERAGE(F92:F94))^4-1</f>
        <v>0.0365760779445881</v>
      </c>
    </row>
    <row r="98" customFormat="false" ht="15" hidden="false" customHeight="false" outlineLevel="0" collapsed="false">
      <c r="B98" s="7" t="s">
        <v>301</v>
      </c>
      <c r="C98" s="8" t="n">
        <v>2011</v>
      </c>
      <c r="D98" s="8" t="n">
        <v>9</v>
      </c>
      <c r="E98" s="15" t="n">
        <v>147.170906821271</v>
      </c>
      <c r="F98" s="15" t="n">
        <v>148.265166664086</v>
      </c>
      <c r="G98" s="15" t="n">
        <v>146.626334552455</v>
      </c>
      <c r="H98" s="12" t="n">
        <f aca="false">E98/E86-1</f>
        <v>0.0766258515372833</v>
      </c>
      <c r="I98" s="14" t="n">
        <f aca="false">F98/F97-1</f>
        <v>0.0088871788074536</v>
      </c>
      <c r="J98" s="12" t="n">
        <f aca="false">(AVERAGE(F96:F98)/AVERAGE(F93:F95))^4-1</f>
        <v>0.0319381581308791</v>
      </c>
    </row>
    <row r="99" customFormat="false" ht="15" hidden="false" customHeight="false" outlineLevel="0" collapsed="false">
      <c r="B99" s="7" t="s">
        <v>302</v>
      </c>
      <c r="C99" s="8" t="n">
        <v>2011</v>
      </c>
      <c r="D99" s="8" t="n">
        <v>10</v>
      </c>
      <c r="E99" s="15" t="n">
        <v>145.050002427799</v>
      </c>
      <c r="F99" s="15" t="n">
        <v>147.291142182554</v>
      </c>
      <c r="G99" s="15" t="n">
        <v>146.442265878172</v>
      </c>
      <c r="H99" s="12" t="n">
        <f aca="false">E99/E87-1</f>
        <v>0.0733405554638169</v>
      </c>
      <c r="I99" s="14" t="n">
        <f aca="false">F99/F98-1</f>
        <v>-0.006569476185456</v>
      </c>
      <c r="J99" s="12" t="n">
        <f aca="false">(AVERAGE(F97:F99)/AVERAGE(F94:F96))^4-1</f>
        <v>0.0124771680202402</v>
      </c>
    </row>
    <row r="100" customFormat="false" ht="15" hidden="false" customHeight="false" outlineLevel="0" collapsed="false">
      <c r="B100" s="7" t="s">
        <v>303</v>
      </c>
      <c r="C100" s="8" t="n">
        <v>2011</v>
      </c>
      <c r="D100" s="8" t="n">
        <v>11</v>
      </c>
      <c r="E100" s="15" t="n">
        <v>146.361645124166</v>
      </c>
      <c r="F100" s="15" t="n">
        <v>147.215886221027</v>
      </c>
      <c r="G100" s="15" t="n">
        <v>146.130256939157</v>
      </c>
      <c r="H100" s="12" t="n">
        <f aca="false">E100/E88-1</f>
        <v>0.0484446908746383</v>
      </c>
      <c r="I100" s="14" t="n">
        <f aca="false">F100/F99-1</f>
        <v>-0.00051093338276742</v>
      </c>
      <c r="J100" s="12" t="n">
        <f aca="false">(AVERAGE(F98:F100)/AVERAGE(F95:F97))^4-1</f>
        <v>0.0169226598003915</v>
      </c>
    </row>
    <row r="101" customFormat="false" ht="15" hidden="false" customHeight="false" outlineLevel="0" collapsed="false">
      <c r="B101" s="7" t="s">
        <v>304</v>
      </c>
      <c r="C101" s="8" t="n">
        <v>2011</v>
      </c>
      <c r="D101" s="8" t="n">
        <v>12</v>
      </c>
      <c r="E101" s="15" t="n">
        <v>143.361657853743</v>
      </c>
      <c r="F101" s="15" t="n">
        <v>147.845593948209</v>
      </c>
      <c r="G101" s="15" t="n">
        <v>145.727622108774</v>
      </c>
      <c r="H101" s="12" t="n">
        <f aca="false">E101/E89-1</f>
        <v>0.0352692897244611</v>
      </c>
      <c r="I101" s="14" t="n">
        <f aca="false">F101/F100-1</f>
        <v>0.00427744412200837</v>
      </c>
      <c r="J101" s="12" t="n">
        <f aca="false">(AVERAGE(F99:F101)/AVERAGE(F96:F98))^4-1</f>
        <v>-0.000256695801490903</v>
      </c>
    </row>
    <row r="102" customFormat="false" ht="15" hidden="false" customHeight="false" outlineLevel="0" collapsed="false">
      <c r="B102" s="7" t="s">
        <v>305</v>
      </c>
      <c r="C102" s="8" t="n">
        <v>2012</v>
      </c>
      <c r="D102" s="8" t="n">
        <v>1</v>
      </c>
      <c r="E102" s="15" t="n">
        <v>136.194081293613</v>
      </c>
      <c r="F102" s="15" t="n">
        <v>147.733344845544</v>
      </c>
      <c r="G102" s="15" t="n">
        <v>145.283960991804</v>
      </c>
      <c r="H102" s="12" t="n">
        <f aca="false">E102/E90-1</f>
        <v>0.0234237580915877</v>
      </c>
      <c r="I102" s="14" t="n">
        <f aca="false">F102/F101-1</f>
        <v>-0.000759231977550345</v>
      </c>
      <c r="J102" s="12" t="n">
        <f aca="false">(AVERAGE(F100:F102)/AVERAGE(F97:F99))^4-1</f>
        <v>0.00252796760540175</v>
      </c>
    </row>
    <row r="103" customFormat="false" ht="15" hidden="false" customHeight="false" outlineLevel="0" collapsed="false">
      <c r="B103" s="7" t="s">
        <v>306</v>
      </c>
      <c r="C103" s="8" t="n">
        <v>2012</v>
      </c>
      <c r="D103" s="8" t="n">
        <v>2</v>
      </c>
      <c r="E103" s="15" t="n">
        <v>132.360525940741</v>
      </c>
      <c r="F103" s="15" t="n">
        <v>144.719606011736</v>
      </c>
      <c r="G103" s="15" t="n">
        <v>144.854776483691</v>
      </c>
      <c r="H103" s="12" t="n">
        <f aca="false">E103/E91-1</f>
        <v>0.0220109766722547</v>
      </c>
      <c r="I103" s="14" t="n">
        <f aca="false">F103/F102-1</f>
        <v>-0.0203998551373671</v>
      </c>
      <c r="J103" s="12" t="n">
        <f aca="false">(AVERAGE(F101:F103)/AVERAGE(F98:F100))^4-1</f>
        <v>-0.0221603610252974</v>
      </c>
    </row>
    <row r="104" customFormat="false" ht="15" hidden="false" customHeight="false" outlineLevel="0" collapsed="false">
      <c r="B104" s="7" t="s">
        <v>307</v>
      </c>
      <c r="C104" s="8" t="n">
        <v>2012</v>
      </c>
      <c r="D104" s="8" t="n">
        <v>3</v>
      </c>
      <c r="E104" s="15" t="n">
        <v>147.441016244958</v>
      </c>
      <c r="F104" s="15" t="n">
        <v>145.373917002849</v>
      </c>
      <c r="G104" s="15" t="n">
        <v>144.492788393157</v>
      </c>
      <c r="H104" s="12" t="n">
        <f aca="false">E104/E92-1</f>
        <v>0.00298756228246866</v>
      </c>
      <c r="I104" s="14" t="n">
        <f aca="false">F104/F103-1</f>
        <v>0.00452123253472592</v>
      </c>
      <c r="J104" s="12" t="n">
        <f aca="false">(AVERAGE(F102:F104)/AVERAGE(F99:F101))^4-1</f>
        <v>-0.0403006254381109</v>
      </c>
    </row>
    <row r="105" customFormat="false" ht="15" hidden="false" customHeight="false" outlineLevel="0" collapsed="false">
      <c r="B105" s="7" t="s">
        <v>308</v>
      </c>
      <c r="C105" s="8" t="n">
        <v>2012</v>
      </c>
      <c r="D105" s="8" t="n">
        <v>4</v>
      </c>
      <c r="E105" s="15" t="n">
        <v>145.520278318545</v>
      </c>
      <c r="F105" s="15" t="n">
        <v>141.92738498873</v>
      </c>
      <c r="G105" s="15" t="n">
        <v>144.239997261132</v>
      </c>
      <c r="H105" s="12" t="n">
        <f aca="false">E105/E93-1</f>
        <v>-0.0365181227212966</v>
      </c>
      <c r="I105" s="14" t="n">
        <f aca="false">F105/F104-1</f>
        <v>-0.0237080494573971</v>
      </c>
      <c r="J105" s="12" t="n">
        <f aca="false">(AVERAGE(F103:F105)/AVERAGE(F100:F102))^4-1</f>
        <v>-0.0938315964379792</v>
      </c>
    </row>
    <row r="106" customFormat="false" ht="15" hidden="false" customHeight="false" outlineLevel="0" collapsed="false">
      <c r="B106" s="7" t="s">
        <v>309</v>
      </c>
      <c r="C106" s="8" t="n">
        <v>2012</v>
      </c>
      <c r="D106" s="8" t="n">
        <v>5</v>
      </c>
      <c r="E106" s="15" t="n">
        <v>157.40418371936</v>
      </c>
      <c r="F106" s="15" t="n">
        <v>140.274891935469</v>
      </c>
      <c r="G106" s="15" t="n">
        <v>144.129211190977</v>
      </c>
      <c r="H106" s="12" t="n">
        <f aca="false">E106/E94-1</f>
        <v>-0.0527996503742914</v>
      </c>
      <c r="I106" s="14" t="n">
        <f aca="false">F106/F105-1</f>
        <v>-0.0116432290596498</v>
      </c>
      <c r="J106" s="12" t="n">
        <f aca="false">(AVERAGE(F104:F106)/AVERAGE(F101:F103))^4-1</f>
        <v>-0.110665648172882</v>
      </c>
    </row>
    <row r="107" customFormat="false" ht="15" hidden="false" customHeight="false" outlineLevel="0" collapsed="false">
      <c r="B107" s="7" t="s">
        <v>310</v>
      </c>
      <c r="C107" s="8" t="n">
        <v>2012</v>
      </c>
      <c r="D107" s="8" t="n">
        <v>6</v>
      </c>
      <c r="E107" s="15" t="n">
        <v>149.033101741505</v>
      </c>
      <c r="F107" s="15" t="n">
        <v>140.781024799533</v>
      </c>
      <c r="G107" s="15" t="n">
        <v>144.17650168037</v>
      </c>
      <c r="H107" s="12" t="n">
        <f aca="false">E107/E95-1</f>
        <v>-0.0488887479141413</v>
      </c>
      <c r="I107" s="14" t="n">
        <f aca="false">F107/F106-1</f>
        <v>0.0036081500907299</v>
      </c>
      <c r="J107" s="12" t="n">
        <f aca="false">(AVERAGE(F105:F107)/AVERAGE(F102:F104))^4-1</f>
        <v>-0.128869428728319</v>
      </c>
    </row>
    <row r="108" customFormat="false" ht="15" hidden="false" customHeight="false" outlineLevel="0" collapsed="false">
      <c r="B108" s="7" t="s">
        <v>311</v>
      </c>
      <c r="C108" s="8" t="n">
        <v>2012</v>
      </c>
      <c r="D108" s="8" t="n">
        <v>7</v>
      </c>
      <c r="E108" s="15" t="n">
        <v>146.862799619037</v>
      </c>
      <c r="F108" s="15" t="n">
        <v>144.767881213924</v>
      </c>
      <c r="G108" s="15" t="n">
        <v>144.380337939297</v>
      </c>
      <c r="H108" s="12" t="n">
        <f aca="false">E108/E96-1</f>
        <v>0.00331136541174026</v>
      </c>
      <c r="I108" s="14" t="n">
        <f aca="false">F108/F107-1</f>
        <v>0.0283195581227473</v>
      </c>
      <c r="J108" s="12" t="n">
        <f aca="false">(AVERAGE(F106:F108)/AVERAGE(F103:F105))^4-1</f>
        <v>-0.0561550530575051</v>
      </c>
    </row>
    <row r="109" customFormat="false" ht="15" hidden="false" customHeight="false" outlineLevel="0" collapsed="false">
      <c r="B109" s="7" t="s">
        <v>312</v>
      </c>
      <c r="C109" s="8" t="n">
        <v>2012</v>
      </c>
      <c r="D109" s="8" t="n">
        <v>8</v>
      </c>
      <c r="E109" s="15" t="n">
        <v>145.69325698881</v>
      </c>
      <c r="F109" s="15" t="n">
        <v>145.047360263963</v>
      </c>
      <c r="G109" s="15" t="n">
        <v>144.723986270754</v>
      </c>
      <c r="H109" s="12" t="n">
        <f aca="false">E109/E97-1</f>
        <v>-0.00481731964445464</v>
      </c>
      <c r="I109" s="14" t="n">
        <f aca="false">F109/F108-1</f>
        <v>0.00193053215738259</v>
      </c>
      <c r="J109" s="12" t="n">
        <f aca="false">(AVERAGE(F107:F109)/AVERAGE(F104:F106))^4-1</f>
        <v>0.0285536993227762</v>
      </c>
    </row>
    <row r="110" customFormat="false" ht="15" hidden="false" customHeight="false" outlineLevel="0" collapsed="false">
      <c r="B110" s="7" t="s">
        <v>313</v>
      </c>
      <c r="C110" s="8" t="n">
        <v>2012</v>
      </c>
      <c r="D110" s="8" t="n">
        <v>9</v>
      </c>
      <c r="E110" s="15" t="n">
        <v>142.471536517314</v>
      </c>
      <c r="F110" s="15" t="n">
        <v>146.231701990775</v>
      </c>
      <c r="G110" s="15" t="n">
        <v>145.177849877182</v>
      </c>
      <c r="H110" s="12" t="n">
        <f aca="false">E110/E98-1</f>
        <v>-0.0319313810416604</v>
      </c>
      <c r="I110" s="14" t="n">
        <f aca="false">F110/F109-1</f>
        <v>0.00816520703759216</v>
      </c>
      <c r="J110" s="12" t="n">
        <f aca="false">(AVERAGE(F108:F110)/AVERAGE(F105:F107))^4-1</f>
        <v>0.129380005543596</v>
      </c>
    </row>
    <row r="111" customFormat="false" ht="15" hidden="false" customHeight="false" outlineLevel="0" collapsed="false">
      <c r="B111" s="7" t="s">
        <v>314</v>
      </c>
      <c r="C111" s="8" t="n">
        <v>2012</v>
      </c>
      <c r="D111" s="8" t="n">
        <v>10</v>
      </c>
      <c r="E111" s="15" t="n">
        <v>147.231302955301</v>
      </c>
      <c r="F111" s="15" t="n">
        <v>147.089193473643</v>
      </c>
      <c r="G111" s="15" t="n">
        <v>145.702632184173</v>
      </c>
      <c r="H111" s="12" t="n">
        <f aca="false">E111/E99-1</f>
        <v>0.0150382660530273</v>
      </c>
      <c r="I111" s="14" t="n">
        <f aca="false">F111/F110-1</f>
        <v>0.00586392328882357</v>
      </c>
      <c r="J111" s="12" t="n">
        <f aca="false">(AVERAGE(F109:F111)/AVERAGE(F106:F108))^4-1</f>
        <v>0.123147184757418</v>
      </c>
    </row>
    <row r="112" customFormat="false" ht="15" hidden="false" customHeight="false" outlineLevel="0" collapsed="false">
      <c r="B112" s="7" t="s">
        <v>315</v>
      </c>
      <c r="C112" s="8" t="n">
        <v>2012</v>
      </c>
      <c r="D112" s="8" t="n">
        <v>11</v>
      </c>
      <c r="E112" s="15" t="n">
        <v>146.373431844686</v>
      </c>
      <c r="F112" s="15" t="n">
        <v>146.9514449552</v>
      </c>
      <c r="G112" s="15" t="n">
        <v>146.258228607227</v>
      </c>
      <c r="H112" s="12" t="n">
        <f aca="false">E112/E100-1</f>
        <v>8.05314842615701E-005</v>
      </c>
      <c r="I112" s="14" t="n">
        <f aca="false">F112/F111-1</f>
        <v>-0.000936496524247876</v>
      </c>
      <c r="J112" s="12" t="n">
        <f aca="false">(AVERAGE(F110:F112)/AVERAGE(F107:F109))^4-1</f>
        <v>0.0929607607930982</v>
      </c>
    </row>
    <row r="113" customFormat="false" ht="15" hidden="false" customHeight="false" outlineLevel="0" collapsed="false">
      <c r="B113" s="7" t="s">
        <v>316</v>
      </c>
      <c r="C113" s="8" t="n">
        <v>2012</v>
      </c>
      <c r="D113" s="8" t="n">
        <v>12</v>
      </c>
      <c r="E113" s="15" t="n">
        <v>143.585058099581</v>
      </c>
      <c r="F113" s="15" t="n">
        <v>149.272822364713</v>
      </c>
      <c r="G113" s="15" t="n">
        <v>146.808179179086</v>
      </c>
      <c r="H113" s="12" t="n">
        <f aca="false">E113/E101-1</f>
        <v>0.00155829842638955</v>
      </c>
      <c r="I113" s="14" t="n">
        <f aca="false">F113/F112-1</f>
        <v>0.0157969008758008</v>
      </c>
      <c r="J113" s="12" t="n">
        <f aca="false">(AVERAGE(F111:F113)/AVERAGE(F108:F110))^4-1</f>
        <v>0.0683429474359545</v>
      </c>
    </row>
    <row r="114" customFormat="false" ht="15" hidden="false" customHeight="false" outlineLevel="0" collapsed="false">
      <c r="B114" s="7" t="s">
        <v>317</v>
      </c>
      <c r="C114" s="8" t="n">
        <v>2013</v>
      </c>
      <c r="D114" s="8" t="n">
        <v>1</v>
      </c>
      <c r="E114" s="15" t="n">
        <v>136.517071825044</v>
      </c>
      <c r="F114" s="15" t="n">
        <v>145.880060245777</v>
      </c>
      <c r="G114" s="15" t="n">
        <v>147.323312651669</v>
      </c>
      <c r="H114" s="12" t="n">
        <f aca="false">E114/E102-1</f>
        <v>0.00237154601994116</v>
      </c>
      <c r="I114" s="14" t="n">
        <f aca="false">F114/F113-1</f>
        <v>-0.0227285989853342</v>
      </c>
      <c r="J114" s="12" t="n">
        <f aca="false">(AVERAGE(F112:F114)/AVERAGE(F109:F111))^4-1</f>
        <v>0.0345290129923164</v>
      </c>
    </row>
    <row r="115" customFormat="false" ht="15" hidden="false" customHeight="false" outlineLevel="0" collapsed="false">
      <c r="B115" s="7" t="s">
        <v>318</v>
      </c>
      <c r="C115" s="8" t="n">
        <v>2013</v>
      </c>
      <c r="D115" s="8" t="n">
        <v>2</v>
      </c>
      <c r="E115" s="15" t="n">
        <v>132.795321964955</v>
      </c>
      <c r="F115" s="15" t="n">
        <v>148.735470528472</v>
      </c>
      <c r="G115" s="15" t="n">
        <v>147.77851859891</v>
      </c>
      <c r="H115" s="12" t="n">
        <f aca="false">E115/E103-1</f>
        <v>0.00328493726602797</v>
      </c>
      <c r="I115" s="14" t="n">
        <f aca="false">F115/F114-1</f>
        <v>0.0195736845589776</v>
      </c>
      <c r="J115" s="12" t="n">
        <f aca="false">(AVERAGE(F113:F115)/AVERAGE(F110:F112))^4-1</f>
        <v>0.03325946204051</v>
      </c>
    </row>
    <row r="116" customFormat="false" ht="15" hidden="false" customHeight="false" outlineLevel="0" collapsed="false">
      <c r="B116" s="7" t="s">
        <v>319</v>
      </c>
      <c r="C116" s="8" t="n">
        <v>2013</v>
      </c>
      <c r="D116" s="8" t="n">
        <v>3</v>
      </c>
      <c r="E116" s="15" t="n">
        <v>149.403945667365</v>
      </c>
      <c r="F116" s="15" t="n">
        <v>148.758901246511</v>
      </c>
      <c r="G116" s="15" t="n">
        <v>148.152827817953</v>
      </c>
      <c r="H116" s="12" t="n">
        <f aca="false">E116/E104-1</f>
        <v>0.0133133199458284</v>
      </c>
      <c r="I116" s="14" t="n">
        <f aca="false">F116/F115-1</f>
        <v>0.000157532819547557</v>
      </c>
      <c r="J116" s="12" t="n">
        <f aca="false">(AVERAGE(F114:F116)/AVERAGE(F111:F113))^4-1</f>
        <v>0.000550254501971326</v>
      </c>
    </row>
    <row r="117" customFormat="false" ht="15" hidden="false" customHeight="false" outlineLevel="0" collapsed="false">
      <c r="B117" s="7" t="s">
        <v>320</v>
      </c>
      <c r="C117" s="8" t="n">
        <v>2013</v>
      </c>
      <c r="D117" s="8" t="n">
        <v>4</v>
      </c>
      <c r="E117" s="15" t="n">
        <v>155.941595841577</v>
      </c>
      <c r="F117" s="15" t="n">
        <v>148.521297276468</v>
      </c>
      <c r="G117" s="15" t="n">
        <v>148.432395619028</v>
      </c>
      <c r="H117" s="12" t="n">
        <f aca="false">E117/E105-1</f>
        <v>0.0716141945538267</v>
      </c>
      <c r="I117" s="14" t="n">
        <f aca="false">F117/F116-1</f>
        <v>-0.00159724203427636</v>
      </c>
      <c r="J117" s="12" t="n">
        <f aca="false">(AVERAGE(F115:F117)/AVERAGE(F112:F114))^4-1</f>
        <v>0.0358608057766823</v>
      </c>
    </row>
    <row r="118" customFormat="false" ht="15" hidden="false" customHeight="false" outlineLevel="0" collapsed="false">
      <c r="B118" s="7" t="s">
        <v>321</v>
      </c>
      <c r="C118" s="8" t="n">
        <v>2013</v>
      </c>
      <c r="D118" s="8" t="n">
        <v>5</v>
      </c>
      <c r="E118" s="15" t="n">
        <v>167.97347912253</v>
      </c>
      <c r="F118" s="15" t="n">
        <v>148.39638996491</v>
      </c>
      <c r="G118" s="15" t="n">
        <v>148.610235719454</v>
      </c>
      <c r="H118" s="12" t="n">
        <f aca="false">E118/E106-1</f>
        <v>0.0671474871469373</v>
      </c>
      <c r="I118" s="14" t="n">
        <f aca="false">F118/F117-1</f>
        <v>-0.000841006063424632</v>
      </c>
      <c r="J118" s="12" t="n">
        <f aca="false">(AVERAGE(F116:F118)/AVERAGE(F113:F115))^4-1</f>
        <v>0.016211918466237</v>
      </c>
    </row>
    <row r="119" customFormat="false" ht="15" hidden="false" customHeight="false" outlineLevel="0" collapsed="false">
      <c r="B119" s="7" t="s">
        <v>322</v>
      </c>
      <c r="C119" s="8" t="n">
        <v>2013</v>
      </c>
      <c r="D119" s="8" t="n">
        <v>6</v>
      </c>
      <c r="E119" s="15" t="n">
        <v>156.271864430241</v>
      </c>
      <c r="F119" s="15" t="n">
        <v>149.135346482153</v>
      </c>
      <c r="G119" s="15" t="n">
        <v>148.681542009768</v>
      </c>
      <c r="H119" s="12" t="n">
        <f aca="false">E119/E107-1</f>
        <v>0.0485715093099994</v>
      </c>
      <c r="I119" s="14" t="n">
        <f aca="false">F119/F118-1</f>
        <v>0.00497961249203605</v>
      </c>
      <c r="J119" s="12" t="n">
        <f aca="false">(AVERAGE(F117:F119)/AVERAGE(F114:F116))^4-1</f>
        <v>0.0243854689968062</v>
      </c>
    </row>
    <row r="120" customFormat="false" ht="15" hidden="false" customHeight="false" outlineLevel="0" collapsed="false">
      <c r="B120" s="7" t="s">
        <v>323</v>
      </c>
      <c r="C120" s="8" t="n">
        <v>2013</v>
      </c>
      <c r="D120" s="8" t="n">
        <v>7</v>
      </c>
      <c r="E120" s="15" t="n">
        <v>150.731001298259</v>
      </c>
      <c r="F120" s="15" t="n">
        <v>148.12423501583</v>
      </c>
      <c r="G120" s="15" t="n">
        <v>148.642614772747</v>
      </c>
      <c r="H120" s="12" t="n">
        <f aca="false">E120/E108-1</f>
        <v>0.0263388801606415</v>
      </c>
      <c r="I120" s="14" t="n">
        <f aca="false">F120/F119-1</f>
        <v>-0.00677982443580749</v>
      </c>
      <c r="J120" s="12" t="n">
        <f aca="false">(AVERAGE(F118:F120)/AVERAGE(F115:F117))^4-1</f>
        <v>-0.00322197375760869</v>
      </c>
    </row>
    <row r="121" customFormat="false" ht="15" hidden="false" customHeight="false" outlineLevel="0" collapsed="false">
      <c r="B121" s="7" t="s">
        <v>324</v>
      </c>
      <c r="C121" s="8" t="n">
        <v>2013</v>
      </c>
      <c r="D121" s="8" t="n">
        <v>8</v>
      </c>
      <c r="E121" s="15" t="n">
        <v>148.421449530501</v>
      </c>
      <c r="F121" s="15" t="n">
        <v>150.15944222601</v>
      </c>
      <c r="G121" s="15" t="n">
        <v>148.494959270898</v>
      </c>
      <c r="H121" s="12" t="n">
        <f aca="false">E121/E109-1</f>
        <v>0.0187255923717864</v>
      </c>
      <c r="I121" s="14" t="n">
        <f aca="false">F121/F120-1</f>
        <v>0.013739866470613</v>
      </c>
      <c r="J121" s="12" t="n">
        <f aca="false">(AVERAGE(F119:F121)/AVERAGE(F116:F118))^4-1</f>
        <v>0.0157305129689216</v>
      </c>
    </row>
    <row r="122" customFormat="false" ht="15" hidden="false" customHeight="false" outlineLevel="0" collapsed="false">
      <c r="B122" s="7" t="s">
        <v>325</v>
      </c>
      <c r="C122" s="8" t="n">
        <v>2013</v>
      </c>
      <c r="D122" s="8" t="n">
        <v>9</v>
      </c>
      <c r="E122" s="15" t="n">
        <v>147.004844188133</v>
      </c>
      <c r="F122" s="15" t="n">
        <v>150.204971214327</v>
      </c>
      <c r="G122" s="15" t="n">
        <v>148.246062961167</v>
      </c>
      <c r="H122" s="12" t="n">
        <f aca="false">E122/E110-1</f>
        <v>0.0318190410634631</v>
      </c>
      <c r="I122" s="14" t="n">
        <f aca="false">F122/F121-1</f>
        <v>0.000303204298327531</v>
      </c>
      <c r="J122" s="12" t="n">
        <f aca="false">(AVERAGE(F120:F122)/AVERAGE(F117:F119))^4-1</f>
        <v>0.0220210271247137</v>
      </c>
    </row>
    <row r="123" customFormat="false" ht="15" hidden="false" customHeight="false" outlineLevel="0" collapsed="false">
      <c r="B123" s="7" t="s">
        <v>326</v>
      </c>
      <c r="C123" s="8" t="n">
        <v>2013</v>
      </c>
      <c r="D123" s="8" t="n">
        <v>10</v>
      </c>
      <c r="E123" s="15" t="n">
        <v>148.693959395976</v>
      </c>
      <c r="F123" s="15" t="n">
        <v>148.867107539822</v>
      </c>
      <c r="G123" s="15" t="n">
        <v>147.904779403919</v>
      </c>
      <c r="H123" s="12" t="n">
        <f aca="false">E123/E111-1</f>
        <v>0.00993441212103341</v>
      </c>
      <c r="I123" s="14" t="n">
        <f aca="false">F123/F122-1</f>
        <v>-0.00890692008186322</v>
      </c>
      <c r="J123" s="12" t="n">
        <f aca="false">(AVERAGE(F121:F123)/AVERAGE(F118:F120))^4-1</f>
        <v>0.032480755941892</v>
      </c>
    </row>
    <row r="124" customFormat="false" ht="15" hidden="false" customHeight="false" outlineLevel="0" collapsed="false">
      <c r="B124" s="7" t="s">
        <v>327</v>
      </c>
      <c r="C124" s="8" t="n">
        <v>2013</v>
      </c>
      <c r="D124" s="8" t="n">
        <v>11</v>
      </c>
      <c r="E124" s="15" t="n">
        <v>145.69589762827</v>
      </c>
      <c r="F124" s="15" t="n">
        <v>148.050577271285</v>
      </c>
      <c r="G124" s="15" t="n">
        <v>147.481500123589</v>
      </c>
      <c r="H124" s="12" t="n">
        <f aca="false">E124/E112-1</f>
        <v>-0.00462880597850046</v>
      </c>
      <c r="I124" s="14" t="n">
        <f aca="false">F124/F123-1</f>
        <v>-0.00548496092945916</v>
      </c>
      <c r="J124" s="12" t="n">
        <f aca="false">(AVERAGE(F122:F124)/AVERAGE(F119:F121))^4-1</f>
        <v>-0.00264694476161498</v>
      </c>
    </row>
    <row r="125" customFormat="false" ht="15" hidden="false" customHeight="false" outlineLevel="0" collapsed="false">
      <c r="B125" s="7" t="s">
        <v>328</v>
      </c>
      <c r="C125" s="8" t="n">
        <v>2013</v>
      </c>
      <c r="D125" s="8" t="n">
        <v>12</v>
      </c>
      <c r="E125" s="15" t="n">
        <v>142.576879127126</v>
      </c>
      <c r="F125" s="15" t="n">
        <v>147.193511584573</v>
      </c>
      <c r="G125" s="15" t="n">
        <v>146.992162181784</v>
      </c>
      <c r="H125" s="12" t="n">
        <f aca="false">E125/E113-1</f>
        <v>-0.00702147553372712</v>
      </c>
      <c r="I125" s="14" t="n">
        <f aca="false">F125/F124-1</f>
        <v>-0.00578900604448052</v>
      </c>
      <c r="J125" s="12" t="n">
        <f aca="false">(AVERAGE(F123:F125)/AVERAGE(F120:F122))^4-1</f>
        <v>-0.0384739209246574</v>
      </c>
    </row>
    <row r="126" customFormat="false" ht="15" hidden="false" customHeight="false" outlineLevel="0" collapsed="false">
      <c r="B126" s="7" t="s">
        <v>329</v>
      </c>
      <c r="C126" s="8" t="n">
        <v>2014</v>
      </c>
      <c r="D126" s="8" t="n">
        <v>1</v>
      </c>
      <c r="E126" s="15" t="n">
        <v>137.969697395376</v>
      </c>
      <c r="F126" s="15" t="n">
        <v>145.479849573181</v>
      </c>
      <c r="G126" s="15" t="n">
        <v>146.459088394824</v>
      </c>
      <c r="H126" s="12" t="n">
        <f aca="false">E126/E114-1</f>
        <v>0.0106406147664353</v>
      </c>
      <c r="I126" s="14" t="n">
        <f aca="false">F126/F125-1</f>
        <v>-0.0116422387980539</v>
      </c>
      <c r="J126" s="12" t="n">
        <f aca="false">(AVERAGE(F124:F126)/AVERAGE(F121:F123))^4-1</f>
        <v>-0.0736274553348673</v>
      </c>
    </row>
    <row r="127" customFormat="false" ht="15" hidden="false" customHeight="false" outlineLevel="0" collapsed="false">
      <c r="B127" s="7" t="s">
        <v>330</v>
      </c>
      <c r="C127" s="8" t="n">
        <v>2014</v>
      </c>
      <c r="D127" s="8" t="n">
        <v>2</v>
      </c>
      <c r="E127" s="15" t="n">
        <v>132.486306872431</v>
      </c>
      <c r="F127" s="15" t="n">
        <v>146.619225459539</v>
      </c>
      <c r="G127" s="15" t="n">
        <v>145.907413459173</v>
      </c>
      <c r="H127" s="12" t="n">
        <f aca="false">E127/E115-1</f>
        <v>-0.00232700284883502</v>
      </c>
      <c r="I127" s="14" t="n">
        <f aca="false">F127/F126-1</f>
        <v>0.00783184674510529</v>
      </c>
      <c r="J127" s="12" t="n">
        <f aca="false">(AVERAGE(F125:F127)/AVERAGE(F122:F124))^4-1</f>
        <v>-0.0682298541909729</v>
      </c>
    </row>
    <row r="128" customFormat="false" ht="15" hidden="false" customHeight="false" outlineLevel="0" collapsed="false">
      <c r="B128" s="7" t="s">
        <v>331</v>
      </c>
      <c r="C128" s="8" t="n">
        <v>2014</v>
      </c>
      <c r="D128" s="8" t="n">
        <v>3</v>
      </c>
      <c r="E128" s="15" t="n">
        <v>144.53782808347</v>
      </c>
      <c r="F128" s="15" t="n">
        <v>145.490588376714</v>
      </c>
      <c r="G128" s="15" t="n">
        <v>145.366730119665</v>
      </c>
      <c r="H128" s="12" t="n">
        <f aca="false">E128/E116-1</f>
        <v>-0.0325702079831854</v>
      </c>
      <c r="I128" s="14" t="n">
        <f aca="false">F128/F127-1</f>
        <v>-0.00769774277068913</v>
      </c>
      <c r="J128" s="12" t="n">
        <f aca="false">(AVERAGE(F126:F128)/AVERAGE(F123:F125))^4-1</f>
        <v>-0.057456658175751</v>
      </c>
    </row>
    <row r="129" customFormat="false" ht="15" hidden="false" customHeight="false" outlineLevel="0" collapsed="false">
      <c r="B129" s="7" t="s">
        <v>332</v>
      </c>
      <c r="C129" s="8" t="n">
        <v>2014</v>
      </c>
      <c r="D129" s="8" t="n">
        <v>4</v>
      </c>
      <c r="E129" s="15" t="n">
        <v>152.341435461471</v>
      </c>
      <c r="F129" s="15" t="n">
        <v>144.97985757086</v>
      </c>
      <c r="G129" s="15" t="n">
        <v>144.870722809298</v>
      </c>
      <c r="H129" s="12" t="n">
        <f aca="false">E129/E117-1</f>
        <v>-0.0230865944437471</v>
      </c>
      <c r="I129" s="14" t="n">
        <f aca="false">F129/F128-1</f>
        <v>-0.00351040442926176</v>
      </c>
      <c r="J129" s="12" t="n">
        <f aca="false">(AVERAGE(F127:F129)/AVERAGE(F124:F126))^4-1</f>
        <v>-0.0325787674839321</v>
      </c>
    </row>
    <row r="130" customFormat="false" ht="15" hidden="false" customHeight="false" outlineLevel="0" collapsed="false">
      <c r="B130" s="7" t="s">
        <v>333</v>
      </c>
      <c r="C130" s="8" t="n">
        <v>2014</v>
      </c>
      <c r="D130" s="8" t="n">
        <v>5</v>
      </c>
      <c r="E130" s="15" t="n">
        <v>164.203243902561</v>
      </c>
      <c r="F130" s="15" t="n">
        <v>145.332653889794</v>
      </c>
      <c r="G130" s="15" t="n">
        <v>144.452692232117</v>
      </c>
      <c r="H130" s="12" t="n">
        <f aca="false">E130/E118-1</f>
        <v>-0.0224454195963808</v>
      </c>
      <c r="I130" s="14" t="n">
        <f aca="false">F130/F129-1</f>
        <v>0.00243341609548464</v>
      </c>
      <c r="J130" s="12" t="n">
        <f aca="false">(AVERAGE(F128:F130)/AVERAGE(F125:F127))^4-1</f>
        <v>-0.0313971045594469</v>
      </c>
    </row>
    <row r="131" customFormat="false" ht="15" hidden="false" customHeight="false" outlineLevel="0" collapsed="false">
      <c r="B131" s="7" t="s">
        <v>334</v>
      </c>
      <c r="C131" s="8" t="n">
        <v>2014</v>
      </c>
      <c r="D131" s="8" t="n">
        <v>6</v>
      </c>
      <c r="E131" s="15" t="n">
        <v>153.803524029901</v>
      </c>
      <c r="F131" s="15" t="n">
        <v>144.608014023757</v>
      </c>
      <c r="G131" s="15" t="n">
        <v>144.141041464008</v>
      </c>
      <c r="H131" s="12" t="n">
        <f aca="false">E131/E119-1</f>
        <v>-0.0157951683071015</v>
      </c>
      <c r="I131" s="14" t="n">
        <f aca="false">F131/F130-1</f>
        <v>-0.00498607743437263</v>
      </c>
      <c r="J131" s="12" t="n">
        <f aca="false">(AVERAGE(F129:F131)/AVERAGE(F126:F128))^4-1</f>
        <v>-0.0241762193623954</v>
      </c>
    </row>
    <row r="132" customFormat="false" ht="15" hidden="false" customHeight="false" outlineLevel="0" collapsed="false">
      <c r="B132" s="7" t="s">
        <v>335</v>
      </c>
      <c r="C132" s="8" t="n">
        <v>2014</v>
      </c>
      <c r="D132" s="8" t="n">
        <v>7</v>
      </c>
      <c r="E132" s="15" t="n">
        <v>145.422813734086</v>
      </c>
      <c r="F132" s="15" t="n">
        <v>144.013698509501</v>
      </c>
      <c r="G132" s="15" t="n">
        <v>143.961332263657</v>
      </c>
      <c r="H132" s="12" t="n">
        <f aca="false">E132/E120-1</f>
        <v>-0.0352162960403183</v>
      </c>
      <c r="I132" s="14" t="n">
        <f aca="false">F132/F131-1</f>
        <v>-0.00410983802155351</v>
      </c>
      <c r="J132" s="12" t="n">
        <f aca="false">(AVERAGE(F130:F132)/AVERAGE(F127:F129))^4-1</f>
        <v>-0.0283853062980396</v>
      </c>
    </row>
    <row r="133" customFormat="false" ht="15" hidden="false" customHeight="false" outlineLevel="0" collapsed="false">
      <c r="B133" s="7" t="s">
        <v>336</v>
      </c>
      <c r="C133" s="8" t="n">
        <v>2014</v>
      </c>
      <c r="D133" s="8" t="n">
        <v>8</v>
      </c>
      <c r="E133" s="15" t="n">
        <v>140.105303966059</v>
      </c>
      <c r="F133" s="15" t="n">
        <v>143.631896590204</v>
      </c>
      <c r="G133" s="15" t="n">
        <v>143.932253780403</v>
      </c>
      <c r="H133" s="12" t="n">
        <f aca="false">E133/E121-1</f>
        <v>-0.0560306181535617</v>
      </c>
      <c r="I133" s="14" t="n">
        <f aca="false">F133/F132-1</f>
        <v>-0.00265115001731131</v>
      </c>
      <c r="J133" s="12" t="n">
        <f aca="false">(AVERAGE(F131:F133)/AVERAGE(F128:F130))^4-1</f>
        <v>-0.0321829865536679</v>
      </c>
    </row>
    <row r="134" customFormat="false" ht="15" hidden="false" customHeight="false" outlineLevel="0" collapsed="false">
      <c r="B134" s="7" t="s">
        <v>337</v>
      </c>
      <c r="C134" s="8" t="n">
        <v>2014</v>
      </c>
      <c r="D134" s="8" t="n">
        <v>9</v>
      </c>
      <c r="E134" s="15" t="n">
        <v>141.718733199557</v>
      </c>
      <c r="F134" s="15" t="n">
        <v>143.525945332377</v>
      </c>
      <c r="G134" s="15" t="n">
        <v>144.062932621921</v>
      </c>
      <c r="H134" s="12" t="n">
        <f aca="false">E134/E122-1</f>
        <v>-0.0359587537252246</v>
      </c>
      <c r="I134" s="14" t="n">
        <f aca="false">F134/F133-1</f>
        <v>-0.000737658280244635</v>
      </c>
      <c r="J134" s="12" t="n">
        <f aca="false">(AVERAGE(F132:F134)/AVERAGE(F129:F131))^4-1</f>
        <v>-0.0340364623549673</v>
      </c>
    </row>
    <row r="135" customFormat="false" ht="15" hidden="false" customHeight="false" outlineLevel="0" collapsed="false">
      <c r="B135" s="7" t="s">
        <v>338</v>
      </c>
      <c r="C135" s="8" t="n">
        <v>2014</v>
      </c>
      <c r="D135" s="8" t="n">
        <v>10</v>
      </c>
      <c r="E135" s="15" t="n">
        <v>143.349397417613</v>
      </c>
      <c r="F135" s="15" t="n">
        <v>143.849815001782</v>
      </c>
      <c r="G135" s="15" t="n">
        <v>144.352417353786</v>
      </c>
      <c r="H135" s="12" t="n">
        <f aca="false">E135/E123-1</f>
        <v>-0.0359433698589592</v>
      </c>
      <c r="I135" s="14" t="n">
        <f aca="false">F135/F134-1</f>
        <v>0.00225652350629013</v>
      </c>
      <c r="J135" s="12" t="n">
        <f aca="false">(AVERAGE(F133:F135)/AVERAGE(F130:F132))^4-1</f>
        <v>-0.0268860645679814</v>
      </c>
    </row>
    <row r="136" customFormat="false" ht="15" hidden="false" customHeight="false" outlineLevel="0" collapsed="false">
      <c r="B136" s="7" t="s">
        <v>339</v>
      </c>
      <c r="C136" s="8" t="n">
        <v>2014</v>
      </c>
      <c r="D136" s="8" t="n">
        <v>11</v>
      </c>
      <c r="E136" s="15" t="n">
        <v>140.877596898263</v>
      </c>
      <c r="F136" s="15" t="n">
        <v>144.811134950935</v>
      </c>
      <c r="G136" s="15" t="n">
        <v>144.784974780664</v>
      </c>
      <c r="H136" s="12" t="n">
        <f aca="false">E136/E124-1</f>
        <v>-0.0330709430288857</v>
      </c>
      <c r="I136" s="14" t="n">
        <f aca="false">F136/F135-1</f>
        <v>0.00668280281862432</v>
      </c>
      <c r="J136" s="12" t="n">
        <f aca="false">(AVERAGE(F134:F136)/AVERAGE(F131:F133))^4-1</f>
        <v>-0.00061721539088011</v>
      </c>
    </row>
    <row r="137" customFormat="false" ht="15" hidden="false" customHeight="false" outlineLevel="0" collapsed="false">
      <c r="B137" s="7" t="s">
        <v>340</v>
      </c>
      <c r="C137" s="8" t="n">
        <v>2014</v>
      </c>
      <c r="D137" s="8" t="n">
        <v>12</v>
      </c>
      <c r="E137" s="15" t="n">
        <v>140.435937749128</v>
      </c>
      <c r="F137" s="15" t="n">
        <v>144.909139992942</v>
      </c>
      <c r="G137" s="15" t="n">
        <v>145.334103010566</v>
      </c>
      <c r="H137" s="12" t="n">
        <f aca="false">E137/E125-1</f>
        <v>-0.0150160488229601</v>
      </c>
      <c r="I137" s="14" t="n">
        <f aca="false">F137/F136-1</f>
        <v>0.000676778357138863</v>
      </c>
      <c r="J137" s="12" t="n">
        <f aca="false">(AVERAGE(F135:F137)/AVERAGE(F132:F134))^4-1</f>
        <v>0.0224378265136982</v>
      </c>
    </row>
    <row r="138" customFormat="false" ht="15" hidden="false" customHeight="false" outlineLevel="0" collapsed="false">
      <c r="B138" s="7" t="s">
        <v>341</v>
      </c>
      <c r="C138" s="8" t="n">
        <v>2015</v>
      </c>
      <c r="D138" s="8" t="n">
        <v>1</v>
      </c>
      <c r="E138" s="15" t="n">
        <v>133.99818907035</v>
      </c>
      <c r="F138" s="15" t="n">
        <v>144.244787514862</v>
      </c>
      <c r="G138" s="15" t="n">
        <v>145.964259429933</v>
      </c>
      <c r="H138" s="12" t="n">
        <f aca="false">E138/E126-1</f>
        <v>-0.0287853666421043</v>
      </c>
      <c r="I138" s="14" t="n">
        <f aca="false">F138/F137-1</f>
        <v>-0.00458461404237676</v>
      </c>
      <c r="J138" s="12" t="n">
        <f aca="false">(AVERAGE(F136:F138)/AVERAGE(F133:F135))^4-1</f>
        <v>0.0277302159297121</v>
      </c>
    </row>
    <row r="139" customFormat="false" ht="15" hidden="false" customHeight="false" outlineLevel="0" collapsed="false">
      <c r="B139" s="7" t="s">
        <v>342</v>
      </c>
      <c r="C139" s="8" t="n">
        <v>2015</v>
      </c>
      <c r="D139" s="8" t="n">
        <v>2</v>
      </c>
      <c r="E139" s="15" t="n">
        <v>132.627886955774</v>
      </c>
      <c r="F139" s="15" t="n">
        <v>148.087257284507</v>
      </c>
      <c r="G139" s="15" t="n">
        <v>146.630958036566</v>
      </c>
      <c r="H139" s="12" t="n">
        <f aca="false">E139/E127-1</f>
        <v>0.00106863936874424</v>
      </c>
      <c r="I139" s="14" t="n">
        <f aca="false">F139/F138-1</f>
        <v>0.0266385346454878</v>
      </c>
      <c r="J139" s="12" t="n">
        <f aca="false">(AVERAGE(F137:F139)/AVERAGE(F134:F136))^4-1</f>
        <v>0.047605749470002</v>
      </c>
    </row>
    <row r="140" customFormat="false" ht="15" hidden="false" customHeight="false" outlineLevel="0" collapsed="false">
      <c r="B140" s="7" t="s">
        <v>343</v>
      </c>
      <c r="C140" s="8" t="n">
        <v>2015</v>
      </c>
      <c r="D140" s="8" t="n">
        <v>3</v>
      </c>
      <c r="E140" s="15" t="n">
        <v>149.409012983328</v>
      </c>
      <c r="F140" s="15" t="n">
        <v>147.605591420534</v>
      </c>
      <c r="G140" s="15" t="n">
        <v>147.286592291404</v>
      </c>
      <c r="H140" s="12" t="n">
        <f aca="false">E140/E128-1</f>
        <v>0.0337017994835567</v>
      </c>
      <c r="I140" s="14" t="n">
        <f aca="false">F140/F139-1</f>
        <v>-0.00325258143614682</v>
      </c>
      <c r="J140" s="12" t="n">
        <f aca="false">(AVERAGE(F138:F140)/AVERAGE(F135:F137))^4-1</f>
        <v>0.0600520980688994</v>
      </c>
    </row>
    <row r="141" customFormat="false" ht="15" hidden="false" customHeight="false" outlineLevel="0" collapsed="false">
      <c r="B141" s="7" t="s">
        <v>344</v>
      </c>
      <c r="C141" s="8" t="n">
        <v>2015</v>
      </c>
      <c r="D141" s="8" t="n">
        <v>4</v>
      </c>
      <c r="E141" s="15" t="n">
        <v>157.484599537314</v>
      </c>
      <c r="F141" s="15" t="n">
        <v>149.566133780415</v>
      </c>
      <c r="G141" s="15" t="n">
        <v>147.88662883815</v>
      </c>
      <c r="H141" s="12" t="n">
        <f aca="false">E141/E129-1</f>
        <v>0.0337607694207645</v>
      </c>
      <c r="I141" s="14" t="n">
        <f aca="false">F141/F140-1</f>
        <v>0.0132823041526593</v>
      </c>
      <c r="J141" s="12" t="n">
        <f aca="false">(AVERAGE(F139:F141)/AVERAGE(F136:F138))^4-1</f>
        <v>0.108234563158119</v>
      </c>
    </row>
    <row r="142" customFormat="false" ht="15" hidden="false" customHeight="false" outlineLevel="0" collapsed="false">
      <c r="B142" s="7" t="s">
        <v>345</v>
      </c>
      <c r="C142" s="8" t="n">
        <v>2015</v>
      </c>
      <c r="D142" s="8" t="n">
        <v>5</v>
      </c>
      <c r="E142" s="15" t="n">
        <v>168.886100589834</v>
      </c>
      <c r="F142" s="15" t="n">
        <v>149.832901756199</v>
      </c>
      <c r="G142" s="15" t="n">
        <v>148.386673267554</v>
      </c>
      <c r="H142" s="12" t="n">
        <f aca="false">E142/E130-1</f>
        <v>0.0285186612394321</v>
      </c>
      <c r="I142" s="14" t="n">
        <f aca="false">F142/F141-1</f>
        <v>0.00178361216567624</v>
      </c>
      <c r="J142" s="12" t="n">
        <f aca="false">(AVERAGE(F140:F142)/AVERAGE(F137:F139))^4-1</f>
        <v>0.0923550592003612</v>
      </c>
    </row>
    <row r="143" customFormat="false" ht="15" hidden="false" customHeight="false" outlineLevel="0" collapsed="false">
      <c r="B143" s="7" t="s">
        <v>346</v>
      </c>
      <c r="C143" s="8" t="n">
        <v>2015</v>
      </c>
      <c r="D143" s="8" t="n">
        <v>6</v>
      </c>
      <c r="E143" s="15" t="n">
        <v>162.937390009122</v>
      </c>
      <c r="F143" s="15" t="n">
        <v>150.659508057403</v>
      </c>
      <c r="G143" s="15" t="n">
        <v>148.749899791079</v>
      </c>
      <c r="H143" s="12" t="n">
        <f aca="false">E143/E131-1</f>
        <v>0.0593865845196506</v>
      </c>
      <c r="I143" s="14" t="n">
        <f aca="false">F143/F142-1</f>
        <v>0.00551685438589189</v>
      </c>
      <c r="J143" s="12" t="n">
        <f aca="false">(AVERAGE(F141:F143)/AVERAGE(F138:F140))^4-1</f>
        <v>0.0952457427590443</v>
      </c>
    </row>
    <row r="144" customFormat="false" ht="15" hidden="false" customHeight="false" outlineLevel="0" collapsed="false">
      <c r="B144" s="7" t="s">
        <v>347</v>
      </c>
      <c r="C144" s="8" t="n">
        <v>2015</v>
      </c>
      <c r="D144" s="8" t="n">
        <v>7</v>
      </c>
      <c r="E144" s="15" t="n">
        <v>151.844796343063</v>
      </c>
      <c r="F144" s="15" t="n">
        <v>150.539130557285</v>
      </c>
      <c r="G144" s="15" t="n">
        <v>148.951933999871</v>
      </c>
      <c r="H144" s="12" t="n">
        <f aca="false">E144/E132-1</f>
        <v>0.0441607643537991</v>
      </c>
      <c r="I144" s="14" t="n">
        <f aca="false">F144/F143-1</f>
        <v>-0.00079900367172403</v>
      </c>
      <c r="J144" s="12" t="n">
        <f aca="false">(AVERAGE(F142:F144)/AVERAGE(F139:F141))^4-1</f>
        <v>0.0528751935370966</v>
      </c>
    </row>
    <row r="145" customFormat="false" ht="15" hidden="false" customHeight="false" outlineLevel="0" collapsed="false">
      <c r="B145" s="7" t="s">
        <v>348</v>
      </c>
      <c r="C145" s="8" t="n">
        <v>2015</v>
      </c>
      <c r="D145" s="8" t="n">
        <v>8</v>
      </c>
      <c r="E145" s="15" t="n">
        <v>146.465067204862</v>
      </c>
      <c r="F145" s="15" t="n">
        <v>150.345224486571</v>
      </c>
      <c r="G145" s="15" t="n">
        <v>148.984293206608</v>
      </c>
      <c r="H145" s="12" t="n">
        <f aca="false">E145/E133-1</f>
        <v>0.0453927371682095</v>
      </c>
      <c r="I145" s="14" t="n">
        <f aca="false">F145/F144-1</f>
        <v>-0.00128807752506988</v>
      </c>
      <c r="J145" s="12" t="n">
        <f aca="false">(AVERAGE(F143:F145)/AVERAGE(F140:F142))^4-1</f>
        <v>0.0412420596450436</v>
      </c>
    </row>
    <row r="146" customFormat="false" ht="15" hidden="false" customHeight="false" outlineLevel="0" collapsed="false">
      <c r="B146" s="7" t="s">
        <v>349</v>
      </c>
      <c r="C146" s="8" t="n">
        <v>2015</v>
      </c>
      <c r="D146" s="8" t="n">
        <v>9</v>
      </c>
      <c r="E146" s="15" t="n">
        <v>145.882323718601</v>
      </c>
      <c r="F146" s="15" t="n">
        <v>149.005372863167</v>
      </c>
      <c r="G146" s="15" t="n">
        <v>148.848252653949</v>
      </c>
      <c r="H146" s="12" t="n">
        <f aca="false">E146/E134-1</f>
        <v>0.029379253010825</v>
      </c>
      <c r="I146" s="14" t="n">
        <f aca="false">F146/F145-1</f>
        <v>-0.00891183360149261</v>
      </c>
      <c r="J146" s="12" t="n">
        <f aca="false">(AVERAGE(F144:F146)/AVERAGE(F141:F143))^4-1</f>
        <v>-0.00149954471225333</v>
      </c>
    </row>
    <row r="147" customFormat="false" ht="15" hidden="false" customHeight="false" outlineLevel="0" collapsed="false">
      <c r="B147" s="7" t="s">
        <v>350</v>
      </c>
      <c r="C147" s="8" t="n">
        <v>2015</v>
      </c>
      <c r="D147" s="8" t="n">
        <v>10</v>
      </c>
      <c r="E147" s="15" t="n">
        <v>147.045876153416</v>
      </c>
      <c r="F147" s="15" t="n">
        <v>149.300472519267</v>
      </c>
      <c r="G147" s="15" t="n">
        <v>148.557685946576</v>
      </c>
      <c r="H147" s="12" t="n">
        <f aca="false">E147/E135-1</f>
        <v>0.0257864965070946</v>
      </c>
      <c r="I147" s="14" t="n">
        <f aca="false">F147/F146-1</f>
        <v>0.00198046319021716</v>
      </c>
      <c r="J147" s="12" t="n">
        <f aca="false">(AVERAGE(F145:F147)/AVERAGE(F142:F144))^4-1</f>
        <v>-0.0209447979836915</v>
      </c>
    </row>
    <row r="148" customFormat="false" ht="15" hidden="false" customHeight="false" outlineLevel="0" collapsed="false">
      <c r="B148" s="7" t="s">
        <v>351</v>
      </c>
      <c r="C148" s="8" t="n">
        <v>2015</v>
      </c>
      <c r="D148" s="8" t="n">
        <v>11</v>
      </c>
      <c r="E148" s="15" t="n">
        <v>146.175581385648</v>
      </c>
      <c r="F148" s="15" t="n">
        <v>148.58070770809</v>
      </c>
      <c r="G148" s="15" t="n">
        <v>148.139319598969</v>
      </c>
      <c r="H148" s="12" t="n">
        <f aca="false">E148/E136-1</f>
        <v>0.0376070049747577</v>
      </c>
      <c r="I148" s="14" t="n">
        <f aca="false">F148/F147-1</f>
        <v>-0.00482091448896471</v>
      </c>
      <c r="J148" s="12" t="n">
        <f aca="false">(AVERAGE(F146:F148)/AVERAGE(F143:F145))^4-1</f>
        <v>-0.0406228495731399</v>
      </c>
    </row>
    <row r="149" customFormat="false" ht="15" hidden="false" customHeight="false" outlineLevel="0" collapsed="false">
      <c r="B149" s="7" t="s">
        <v>352</v>
      </c>
      <c r="C149" s="8" t="n">
        <v>2015</v>
      </c>
      <c r="D149" s="8" t="n">
        <v>12</v>
      </c>
      <c r="E149" s="15" t="n">
        <v>141.942118734626</v>
      </c>
      <c r="F149" s="15" t="n">
        <v>146.931855314642</v>
      </c>
      <c r="G149" s="15" t="n">
        <v>147.62715138394</v>
      </c>
      <c r="H149" s="12" t="n">
        <f aca="false">E149/E137-1</f>
        <v>0.0107250395421428</v>
      </c>
      <c r="I149" s="14" t="n">
        <f aca="false">F149/F148-1</f>
        <v>-0.0110973518627164</v>
      </c>
      <c r="J149" s="12" t="n">
        <f aca="false">(AVERAGE(F147:F149)/AVERAGE(F144:F146))^4-1</f>
        <v>-0.044378933472456</v>
      </c>
    </row>
    <row r="150" customFormat="false" ht="15" hidden="false" customHeight="false" outlineLevel="0" collapsed="false">
      <c r="B150" s="7" t="s">
        <v>353</v>
      </c>
      <c r="C150" s="8" t="n">
        <v>2016</v>
      </c>
      <c r="D150" s="8" t="n">
        <v>1</v>
      </c>
      <c r="E150" s="15" t="n">
        <v>134.746450413497</v>
      </c>
      <c r="F150" s="15" t="n">
        <v>147.902891729628</v>
      </c>
      <c r="G150" s="15" t="n">
        <v>147.060419144633</v>
      </c>
      <c r="H150" s="12" t="n">
        <f aca="false">E150/E138-1</f>
        <v>0.00558411534020031</v>
      </c>
      <c r="I150" s="14" t="n">
        <f aca="false">F150/F149-1</f>
        <v>0.00660875351302548</v>
      </c>
      <c r="J150" s="12" t="n">
        <f aca="false">(AVERAGE(F148:F150)/AVERAGE(F145:F147))^4-1</f>
        <v>-0.0458679756633857</v>
      </c>
    </row>
    <row r="151" customFormat="false" ht="15" hidden="false" customHeight="false" outlineLevel="0" collapsed="false">
      <c r="B151" s="7" t="s">
        <v>354</v>
      </c>
      <c r="C151" s="8" t="n">
        <v>2016</v>
      </c>
      <c r="D151" s="8" t="n">
        <v>2</v>
      </c>
      <c r="E151" s="15" t="n">
        <v>134.232361038625</v>
      </c>
      <c r="F151" s="15" t="n">
        <v>146.878692508972</v>
      </c>
      <c r="G151" s="15" t="n">
        <v>146.480104539068</v>
      </c>
      <c r="H151" s="12" t="n">
        <f aca="false">E151/E139-1</f>
        <v>0.01209756198096</v>
      </c>
      <c r="I151" s="14" t="n">
        <f aca="false">F151/F150-1</f>
        <v>-0.00692480862732459</v>
      </c>
      <c r="J151" s="12" t="n">
        <f aca="false">(AVERAGE(F149:F151)/AVERAGE(F146:F148))^4-1</f>
        <v>-0.0455057735977712</v>
      </c>
    </row>
    <row r="152" customFormat="false" ht="15" hidden="false" customHeight="false" outlineLevel="0" collapsed="false">
      <c r="B152" s="7" t="s">
        <v>355</v>
      </c>
      <c r="C152" s="8" t="n">
        <v>2016</v>
      </c>
      <c r="D152" s="8" t="n">
        <v>3</v>
      </c>
      <c r="E152" s="15" t="n">
        <v>150.087894236695</v>
      </c>
      <c r="F152" s="15" t="n">
        <v>145.965671071194</v>
      </c>
      <c r="G152" s="15" t="n">
        <v>145.929749520613</v>
      </c>
      <c r="H152" s="12" t="n">
        <f aca="false">E152/E140-1</f>
        <v>0.00454377711097687</v>
      </c>
      <c r="I152" s="14" t="n">
        <f aca="false">F152/F151-1</f>
        <v>-0.00621615989482371</v>
      </c>
      <c r="J152" s="12" t="n">
        <f aca="false">(AVERAGE(F150:F152)/AVERAGE(F147:F149))^4-1</f>
        <v>-0.0360634638043736</v>
      </c>
    </row>
    <row r="153" customFormat="false" ht="15" hidden="false" customHeight="false" outlineLevel="0" collapsed="false">
      <c r="B153" s="7" t="s">
        <v>356</v>
      </c>
      <c r="C153" s="8" t="n">
        <v>2016</v>
      </c>
      <c r="D153" s="8" t="n">
        <v>4</v>
      </c>
      <c r="E153" s="15" t="n">
        <v>153.250674366629</v>
      </c>
      <c r="F153" s="15" t="n">
        <v>144.715137957191</v>
      </c>
      <c r="G153" s="15" t="n">
        <v>145.44742030876</v>
      </c>
      <c r="H153" s="12" t="n">
        <f aca="false">E153/E141-1</f>
        <v>-0.0268846933803327</v>
      </c>
      <c r="I153" s="14" t="n">
        <f aca="false">F153/F152-1</f>
        <v>-0.00856730972992115</v>
      </c>
      <c r="J153" s="12" t="n">
        <f aca="false">(AVERAGE(F151:F153)/AVERAGE(F148:F150))^4-1</f>
        <v>-0.0517886006125426</v>
      </c>
    </row>
    <row r="154" customFormat="false" ht="15" hidden="false" customHeight="false" outlineLevel="0" collapsed="false">
      <c r="B154" s="7" t="s">
        <v>357</v>
      </c>
      <c r="C154" s="8" t="n">
        <v>2016</v>
      </c>
      <c r="D154" s="8" t="n">
        <v>5</v>
      </c>
      <c r="E154" s="15" t="n">
        <v>163.513608086905</v>
      </c>
      <c r="F154" s="15" t="n">
        <v>144.57674809589</v>
      </c>
      <c r="G154" s="15" t="n">
        <v>145.061637768678</v>
      </c>
      <c r="H154" s="12" t="n">
        <f aca="false">E154/E142-1</f>
        <v>-0.0318113360671221</v>
      </c>
      <c r="I154" s="14" t="n">
        <f aca="false">F154/F153-1</f>
        <v>-0.000956291534217613</v>
      </c>
      <c r="J154" s="12" t="n">
        <f aca="false">(AVERAGE(F152:F154)/AVERAGE(F149:F151))^4-1</f>
        <v>-0.0571929358441373</v>
      </c>
    </row>
    <row r="155" customFormat="false" ht="15" hidden="false" customHeight="false" outlineLevel="0" collapsed="false">
      <c r="B155" s="7" t="s">
        <v>358</v>
      </c>
      <c r="C155" s="8" t="n">
        <v>2016</v>
      </c>
      <c r="D155" s="8" t="n">
        <v>6</v>
      </c>
      <c r="E155" s="15" t="n">
        <v>153.662095240998</v>
      </c>
      <c r="F155" s="15" t="n">
        <v>144.379053934602</v>
      </c>
      <c r="G155" s="15" t="n">
        <v>144.793889308648</v>
      </c>
      <c r="H155" s="12" t="n">
        <f aca="false">E155/E143-1</f>
        <v>-0.0569255145648597</v>
      </c>
      <c r="I155" s="14" t="n">
        <f aca="false">F155/F154-1</f>
        <v>-0.00136739941858965</v>
      </c>
      <c r="J155" s="12" t="n">
        <f aca="false">(AVERAGE(F153:F155)/AVERAGE(F150:F152))^4-1</f>
        <v>-0.0626909302952271</v>
      </c>
    </row>
    <row r="156" customFormat="false" ht="15" hidden="false" customHeight="false" outlineLevel="0" collapsed="false">
      <c r="B156" s="7" t="s">
        <v>359</v>
      </c>
      <c r="C156" s="8" t="n">
        <v>2016</v>
      </c>
      <c r="D156" s="8" t="n">
        <v>7</v>
      </c>
      <c r="E156" s="15" t="n">
        <v>143.731100981801</v>
      </c>
      <c r="F156" s="15" t="n">
        <v>144.58278827114</v>
      </c>
      <c r="G156" s="15" t="n">
        <v>144.654159920448</v>
      </c>
      <c r="H156" s="12" t="n">
        <f aca="false">E156/E144-1</f>
        <v>-0.0534341350949605</v>
      </c>
      <c r="I156" s="14" t="n">
        <f aca="false">F156/F155-1</f>
        <v>0.00141110729698002</v>
      </c>
      <c r="J156" s="12" t="n">
        <f aca="false">(AVERAGE(F154:F156)/AVERAGE(F151:F153))^4-1</f>
        <v>-0.0362540437927168</v>
      </c>
    </row>
    <row r="157" customFormat="false" ht="15" hidden="false" customHeight="false" outlineLevel="0" collapsed="false">
      <c r="B157" s="7" t="s">
        <v>360</v>
      </c>
      <c r="C157" s="8" t="n">
        <v>2016</v>
      </c>
      <c r="D157" s="8" t="n">
        <v>8</v>
      </c>
      <c r="E157" s="15" t="n">
        <v>143.674102648605</v>
      </c>
      <c r="F157" s="15" t="n">
        <v>145.650897754866</v>
      </c>
      <c r="G157" s="15" t="n">
        <v>144.64490844808</v>
      </c>
      <c r="H157" s="12" t="n">
        <f aca="false">E157/E145-1</f>
        <v>-0.0190554963686572</v>
      </c>
      <c r="I157" s="14" t="n">
        <f aca="false">F157/F156-1</f>
        <v>0.00738752860210901</v>
      </c>
      <c r="J157" s="12" t="n">
        <f aca="false">(AVERAGE(F155:F157)/AVERAGE(F152:F154))^4-1</f>
        <v>-0.00591268926123634</v>
      </c>
    </row>
    <row r="158" customFormat="false" ht="15" hidden="false" customHeight="false" outlineLevel="0" collapsed="false">
      <c r="B158" s="7" t="s">
        <v>361</v>
      </c>
      <c r="C158" s="8" t="n">
        <v>2016</v>
      </c>
      <c r="D158" s="8" t="n">
        <v>9</v>
      </c>
      <c r="E158" s="15" t="n">
        <v>142.007737442821</v>
      </c>
      <c r="F158" s="15" t="n">
        <v>145.018798486401</v>
      </c>
      <c r="G158" s="15" t="n">
        <v>144.764418210071</v>
      </c>
      <c r="H158" s="12" t="n">
        <f aca="false">E158/E146-1</f>
        <v>-0.0265596693075307</v>
      </c>
      <c r="I158" s="14" t="n">
        <f aca="false">F158/F157-1</f>
        <v>-0.00433982404645961</v>
      </c>
      <c r="J158" s="12" t="n">
        <f aca="false">(AVERAGE(F156:F158)/AVERAGE(F153:F155))^4-1</f>
        <v>0.0146674999738263</v>
      </c>
    </row>
    <row r="159" customFormat="false" ht="15" hidden="false" customHeight="false" outlineLevel="0" collapsed="false">
      <c r="B159" s="7" t="s">
        <v>362</v>
      </c>
      <c r="C159" s="8" t="n">
        <v>2016</v>
      </c>
      <c r="D159" s="8" t="n">
        <v>10</v>
      </c>
      <c r="E159" s="15" t="n">
        <v>141.136863298081</v>
      </c>
      <c r="F159" s="15" t="n">
        <v>145.153543697921</v>
      </c>
      <c r="G159" s="15" t="n">
        <v>145.004235783318</v>
      </c>
      <c r="H159" s="12" t="n">
        <f aca="false">E159/E147-1</f>
        <v>-0.0401848253749726</v>
      </c>
      <c r="I159" s="14" t="n">
        <f aca="false">F159/F158-1</f>
        <v>0.000929156860534297</v>
      </c>
      <c r="J159" s="12" t="n">
        <f aca="false">(AVERAGE(F157:F159)/AVERAGE(F154:F156))^4-1</f>
        <v>0.0212462981930492</v>
      </c>
    </row>
    <row r="160" customFormat="false" ht="15" hidden="false" customHeight="false" outlineLevel="0" collapsed="false">
      <c r="B160" s="7" t="s">
        <v>363</v>
      </c>
      <c r="C160" s="8" t="n">
        <v>2016</v>
      </c>
      <c r="D160" s="8" t="n">
        <v>11</v>
      </c>
      <c r="E160" s="15" t="n">
        <v>144.93832064073</v>
      </c>
      <c r="F160" s="15" t="n">
        <v>145.788249142096</v>
      </c>
      <c r="G160" s="15" t="n">
        <v>145.349639453351</v>
      </c>
      <c r="H160" s="12" t="n">
        <f aca="false">E160/E148-1</f>
        <v>-0.00846420950195226</v>
      </c>
      <c r="I160" s="14" t="n">
        <f aca="false">F160/F159-1</f>
        <v>0.00437264863127274</v>
      </c>
      <c r="J160" s="12" t="n">
        <f aca="false">(AVERAGE(F158:F160)/AVERAGE(F155:F157))^4-1</f>
        <v>0.0124629058554999</v>
      </c>
    </row>
    <row r="161" customFormat="false" ht="15" hidden="false" customHeight="false" outlineLevel="0" collapsed="false">
      <c r="B161" s="7" t="s">
        <v>364</v>
      </c>
      <c r="C161" s="8" t="n">
        <v>2016</v>
      </c>
      <c r="D161" s="8" t="n">
        <v>12</v>
      </c>
      <c r="E161" s="15" t="n">
        <v>142.590145160319</v>
      </c>
      <c r="F161" s="15" t="n">
        <v>146.95888147081</v>
      </c>
      <c r="G161" s="15" t="n">
        <v>145.78841177631</v>
      </c>
      <c r="H161" s="12" t="n">
        <f aca="false">E161/E149-1</f>
        <v>0.00456542731270027</v>
      </c>
      <c r="I161" s="14" t="n">
        <f aca="false">F161/F160-1</f>
        <v>0.00802967547524114</v>
      </c>
      <c r="J161" s="12" t="n">
        <f aca="false">(AVERAGE(F159:F161)/AVERAGE(F156:F158))^4-1</f>
        <v>0.0245600564412591</v>
      </c>
    </row>
    <row r="162" customFormat="false" ht="15" hidden="false" customHeight="false" outlineLevel="0" collapsed="false">
      <c r="B162" s="7" t="s">
        <v>365</v>
      </c>
      <c r="C162" s="8" t="n">
        <v>2017</v>
      </c>
      <c r="D162" s="8" t="n">
        <v>1</v>
      </c>
      <c r="E162" s="15" t="n">
        <v>136.632659483162</v>
      </c>
      <c r="F162" s="15" t="n">
        <v>147.086273269505</v>
      </c>
      <c r="G162" s="15" t="n">
        <v>146.306581519181</v>
      </c>
      <c r="H162" s="12" t="n">
        <f aca="false">E162/E150-1</f>
        <v>0.0139982097033109</v>
      </c>
      <c r="I162" s="14" t="n">
        <f aca="false">F162/F161-1</f>
        <v>0.000866853349860364</v>
      </c>
      <c r="J162" s="12" t="n">
        <f aca="false">(AVERAGE(F160:F162)/AVERAGE(F157:F159))^4-1</f>
        <v>0.0373165290817301</v>
      </c>
    </row>
    <row r="163" customFormat="false" ht="15" hidden="false" customHeight="false" outlineLevel="0" collapsed="false">
      <c r="B163" s="7" t="s">
        <v>366</v>
      </c>
      <c r="C163" s="8" t="n">
        <v>2017</v>
      </c>
      <c r="D163" s="8" t="n">
        <v>2</v>
      </c>
      <c r="E163" s="15" t="n">
        <v>132.158516339823</v>
      </c>
      <c r="F163" s="15" t="n">
        <v>146.813950087052</v>
      </c>
      <c r="G163" s="15" t="n">
        <v>146.886692745456</v>
      </c>
      <c r="H163" s="12" t="n">
        <f aca="false">E163/E151-1</f>
        <v>-0.0154496626801175</v>
      </c>
      <c r="I163" s="14" t="n">
        <f aca="false">F163/F162-1</f>
        <v>-0.00185145205191062</v>
      </c>
      <c r="J163" s="12" t="n">
        <f aca="false">(AVERAGE(F161:F163)/AVERAGE(F158:F160))^4-1</f>
        <v>0.0457077482814214</v>
      </c>
    </row>
    <row r="164" customFormat="false" ht="15" hidden="false" customHeight="false" outlineLevel="0" collapsed="false">
      <c r="B164" s="7" t="s">
        <v>367</v>
      </c>
      <c r="C164" s="8" t="n">
        <v>2017</v>
      </c>
      <c r="D164" s="8" t="n">
        <v>3</v>
      </c>
      <c r="E164" s="15" t="n">
        <v>152.620958559057</v>
      </c>
      <c r="F164" s="15" t="n">
        <v>147.644809300227</v>
      </c>
      <c r="G164" s="15" t="n">
        <v>147.511391278868</v>
      </c>
      <c r="H164" s="12" t="n">
        <f aca="false">E164/E152-1</f>
        <v>0.0168772060881008</v>
      </c>
      <c r="I164" s="14" t="n">
        <f aca="false">F164/F163-1</f>
        <v>0.00565926611661949</v>
      </c>
      <c r="J164" s="12" t="n">
        <f aca="false">(AVERAGE(F162:F164)/AVERAGE(F159:F161))^4-1</f>
        <v>0.0337072389719313</v>
      </c>
    </row>
    <row r="165" customFormat="false" ht="15" hidden="false" customHeight="false" outlineLevel="0" collapsed="false">
      <c r="B165" s="7" t="s">
        <v>368</v>
      </c>
      <c r="C165" s="8" t="n">
        <v>2017</v>
      </c>
      <c r="D165" s="8" t="n">
        <v>4</v>
      </c>
      <c r="E165" s="15" t="n">
        <v>151.946344804487</v>
      </c>
      <c r="F165" s="15" t="n">
        <v>147.673290371057</v>
      </c>
      <c r="G165" s="15" t="n">
        <v>148.161084518348</v>
      </c>
      <c r="H165" s="12" t="n">
        <f aca="false">E165/E153-1</f>
        <v>-0.00851108530212019</v>
      </c>
      <c r="I165" s="14" t="n">
        <f aca="false">F165/F164-1</f>
        <v>0.000192902621936941</v>
      </c>
      <c r="J165" s="12" t="n">
        <f aca="false">(AVERAGE(F163:F165)/AVERAGE(F160:F162))^4-1</f>
        <v>0.0210691448621798</v>
      </c>
    </row>
    <row r="166" customFormat="false" ht="15" hidden="false" customHeight="false" outlineLevel="0" collapsed="false">
      <c r="B166" s="7" t="s">
        <v>369</v>
      </c>
      <c r="C166" s="8" t="n">
        <v>2017</v>
      </c>
      <c r="D166" s="8" t="n">
        <v>5</v>
      </c>
      <c r="E166" s="15" t="n">
        <v>168.389209469368</v>
      </c>
      <c r="F166" s="15" t="n">
        <v>148.674482047258</v>
      </c>
      <c r="G166" s="15" t="n">
        <v>148.809903634869</v>
      </c>
      <c r="H166" s="12" t="n">
        <f aca="false">E166/E154-1</f>
        <v>0.0298177102169459</v>
      </c>
      <c r="I166" s="14" t="n">
        <f aca="false">F166/F165-1</f>
        <v>0.00677977495920823</v>
      </c>
      <c r="J166" s="12" t="n">
        <f aca="false">(AVERAGE(F164:F166)/AVERAGE(F161:F163))^4-1</f>
        <v>0.028735194285644</v>
      </c>
    </row>
    <row r="167" customFormat="false" ht="15" hidden="false" customHeight="false" outlineLevel="0" collapsed="false">
      <c r="B167" s="7" t="s">
        <v>370</v>
      </c>
      <c r="C167" s="8" t="n">
        <v>2017</v>
      </c>
      <c r="D167" s="8" t="n">
        <v>6</v>
      </c>
      <c r="E167" s="15" t="n">
        <v>161.035685469452</v>
      </c>
      <c r="F167" s="15" t="n">
        <v>150.271993030465</v>
      </c>
      <c r="G167" s="15" t="n">
        <v>149.427634276534</v>
      </c>
      <c r="H167" s="12" t="n">
        <f aca="false">E167/E155-1</f>
        <v>0.047985745716209</v>
      </c>
      <c r="I167" s="14" t="n">
        <f aca="false">F167/F166-1</f>
        <v>0.010745024709073</v>
      </c>
      <c r="J167" s="12" t="n">
        <f aca="false">(AVERAGE(F165:F167)/AVERAGE(F162:F164))^4-1</f>
        <v>0.0467711466266163</v>
      </c>
    </row>
    <row r="168" customFormat="false" ht="15" hidden="false" customHeight="false" outlineLevel="0" collapsed="false">
      <c r="B168" s="7" t="s">
        <v>371</v>
      </c>
      <c r="C168" s="8" t="n">
        <v>2017</v>
      </c>
      <c r="D168" s="8" t="n">
        <v>7</v>
      </c>
      <c r="E168" s="15" t="n">
        <v>150.30605012392</v>
      </c>
      <c r="F168" s="15" t="n">
        <v>150.46351778389</v>
      </c>
      <c r="G168" s="15" t="n">
        <v>149.979526388369</v>
      </c>
      <c r="H168" s="12" t="n">
        <f aca="false">E168/E156-1</f>
        <v>0.0457447907739266</v>
      </c>
      <c r="I168" s="14" t="n">
        <f aca="false">F168/F167-1</f>
        <v>0.00127452061800026</v>
      </c>
      <c r="J168" s="12" t="n">
        <f aca="false">(AVERAGE(F166:F168)/AVERAGE(F163:F165))^4-1</f>
        <v>0.0674877725508296</v>
      </c>
    </row>
    <row r="169" customFormat="false" ht="15" hidden="false" customHeight="false" outlineLevel="0" collapsed="false">
      <c r="B169" s="7" t="s">
        <v>372</v>
      </c>
      <c r="C169" s="8" t="n">
        <v>2017</v>
      </c>
      <c r="D169" s="8" t="n">
        <v>8</v>
      </c>
      <c r="E169" s="15" t="n">
        <v>149.255342773841</v>
      </c>
      <c r="F169" s="15" t="n">
        <v>150.390577542228</v>
      </c>
      <c r="G169" s="15" t="n">
        <v>150.427764685175</v>
      </c>
      <c r="H169" s="12" t="n">
        <f aca="false">E169/E157-1</f>
        <v>0.0388465285138169</v>
      </c>
      <c r="I169" s="14" t="n">
        <f aca="false">F169/F168-1</f>
        <v>-0.000484770280103186</v>
      </c>
      <c r="J169" s="12" t="n">
        <f aca="false">(AVERAGE(F167:F169)/AVERAGE(F164:F166))^4-1</f>
        <v>0.0658323936808691</v>
      </c>
    </row>
    <row r="170" customFormat="false" ht="15" hidden="false" customHeight="false" outlineLevel="0" collapsed="false">
      <c r="B170" s="7" t="s">
        <v>373</v>
      </c>
      <c r="C170" s="8" t="n">
        <v>2017</v>
      </c>
      <c r="D170" s="8" t="n">
        <v>9</v>
      </c>
      <c r="E170" s="15" t="n">
        <v>146.386559657754</v>
      </c>
      <c r="F170" s="15" t="n">
        <v>151.21749422436</v>
      </c>
      <c r="G170" s="15" t="n">
        <v>150.733465099555</v>
      </c>
      <c r="H170" s="12" t="n">
        <f aca="false">E170/E158-1</f>
        <v>0.0308350959869095</v>
      </c>
      <c r="I170" s="14" t="n">
        <f aca="false">F170/F169-1</f>
        <v>0.00549846071240134</v>
      </c>
      <c r="J170" s="12" t="n">
        <f aca="false">(AVERAGE(F168:F170)/AVERAGE(F165:F167))^4-1</f>
        <v>0.0497287745611974</v>
      </c>
    </row>
    <row r="171" customFormat="false" ht="15" hidden="false" customHeight="false" outlineLevel="0" collapsed="false">
      <c r="B171" s="7" t="s">
        <v>374</v>
      </c>
      <c r="C171" s="8" t="n">
        <v>2017</v>
      </c>
      <c r="D171" s="8" t="n">
        <v>10</v>
      </c>
      <c r="E171" s="15" t="n">
        <v>149.385949666014</v>
      </c>
      <c r="F171" s="15" t="n">
        <v>151.712759278698</v>
      </c>
      <c r="G171" s="15" t="n">
        <v>150.865650200624</v>
      </c>
      <c r="H171" s="12" t="n">
        <f aca="false">E171/E159-1</f>
        <v>0.05844742596065</v>
      </c>
      <c r="I171" s="14" t="n">
        <f aca="false">F171/F170-1</f>
        <v>0.00327518358162626</v>
      </c>
      <c r="J171" s="12" t="n">
        <f aca="false">(AVERAGE(F169:F171)/AVERAGE(F166:F168))^4-1</f>
        <v>0.0352656519929702</v>
      </c>
    </row>
    <row r="172" customFormat="false" ht="15" hidden="false" customHeight="false" outlineLevel="0" collapsed="false">
      <c r="B172" s="7" t="s">
        <v>375</v>
      </c>
      <c r="C172" s="8" t="n">
        <v>2017</v>
      </c>
      <c r="D172" s="8" t="n">
        <v>11</v>
      </c>
      <c r="E172" s="15" t="n">
        <v>151.926042852027</v>
      </c>
      <c r="F172" s="15" t="n">
        <v>152.632214812244</v>
      </c>
      <c r="G172" s="15" t="n">
        <v>150.799072059193</v>
      </c>
      <c r="H172" s="12" t="n">
        <f aca="false">E172/E160-1</f>
        <v>0.0482116957089465</v>
      </c>
      <c r="I172" s="14" t="n">
        <f aca="false">F172/F171-1</f>
        <v>0.00606050234612798</v>
      </c>
      <c r="J172" s="12" t="n">
        <f aca="false">(AVERAGE(F170:F172)/AVERAGE(F167:F169))^4-1</f>
        <v>0.0399201136151228</v>
      </c>
    </row>
    <row r="173" customFormat="false" ht="15" hidden="false" customHeight="false" outlineLevel="0" collapsed="false">
      <c r="B173" s="7" t="s">
        <v>376</v>
      </c>
      <c r="C173" s="8" t="n">
        <v>2017</v>
      </c>
      <c r="D173" s="8" t="n">
        <v>12</v>
      </c>
      <c r="E173" s="15" t="n">
        <v>146.783384909224</v>
      </c>
      <c r="F173" s="15" t="n">
        <v>152.245342942072</v>
      </c>
      <c r="G173" s="15" t="n">
        <v>150.520739839839</v>
      </c>
      <c r="H173" s="12" t="n">
        <f aca="false">E173/E161-1</f>
        <v>0.0294076406485924</v>
      </c>
      <c r="I173" s="14" t="n">
        <f aca="false">F173/F172-1</f>
        <v>-0.00253466721064011</v>
      </c>
      <c r="J173" s="12" t="n">
        <f aca="false">(AVERAGE(F171:F173)/AVERAGE(F168:F170))^4-1</f>
        <v>0.0405858832206611</v>
      </c>
    </row>
    <row r="174" customFormat="false" ht="15" hidden="false" customHeight="false" outlineLevel="0" collapsed="false">
      <c r="B174" s="7" t="s">
        <v>377</v>
      </c>
      <c r="C174" s="8" t="n">
        <v>2018</v>
      </c>
      <c r="D174" s="8" t="n">
        <v>1</v>
      </c>
      <c r="E174" s="15" t="n">
        <v>142.740912606172</v>
      </c>
      <c r="F174" s="15" t="n">
        <v>150.97750196781</v>
      </c>
      <c r="G174" s="15" t="n">
        <v>150.035245744815</v>
      </c>
      <c r="H174" s="12" t="n">
        <f aca="false">E174/E162-1</f>
        <v>0.0447056592919706</v>
      </c>
      <c r="I174" s="14" t="n">
        <f aca="false">F174/F173-1</f>
        <v>-0.00832761744800625</v>
      </c>
      <c r="J174" s="12" t="n">
        <f aca="false">(AVERAGE(F172:F174)/AVERAGE(F169:F171))^4-1</f>
        <v>0.0225496708351602</v>
      </c>
    </row>
    <row r="175" customFormat="false" ht="15" hidden="false" customHeight="false" outlineLevel="0" collapsed="false">
      <c r="B175" s="7" t="s">
        <v>378</v>
      </c>
      <c r="C175" s="8" t="n">
        <v>2018</v>
      </c>
      <c r="D175" s="8" t="n">
        <v>2</v>
      </c>
      <c r="E175" s="15" t="n">
        <v>138.818040351657</v>
      </c>
      <c r="F175" s="15" t="n">
        <v>152.191474671749</v>
      </c>
      <c r="G175" s="15" t="n">
        <v>149.364354621155</v>
      </c>
      <c r="H175" s="12" t="n">
        <f aca="false">E175/E163-1</f>
        <v>0.0503904265595019</v>
      </c>
      <c r="I175" s="14" t="n">
        <f aca="false">F175/F174-1</f>
        <v>0.00804075235128421</v>
      </c>
      <c r="J175" s="12" t="n">
        <f aca="false">(AVERAGE(F173:F175)/AVERAGE(F170:F172))^4-1</f>
        <v>-0.00130016401940025</v>
      </c>
    </row>
    <row r="176" customFormat="false" ht="15" hidden="false" customHeight="false" outlineLevel="0" collapsed="false">
      <c r="B176" s="7" t="s">
        <v>379</v>
      </c>
      <c r="C176" s="8" t="n">
        <v>2018</v>
      </c>
      <c r="D176" s="8" t="n">
        <v>3</v>
      </c>
      <c r="E176" s="15" t="n">
        <v>155.85731953577</v>
      </c>
      <c r="F176" s="15" t="n">
        <v>151.528755810547</v>
      </c>
      <c r="G176" s="15" t="n">
        <v>148.546494973588</v>
      </c>
      <c r="H176" s="12" t="n">
        <f aca="false">E176/E164-1</f>
        <v>0.0212052198287045</v>
      </c>
      <c r="I176" s="14" t="n">
        <f aca="false">F176/F175-1</f>
        <v>-0.00435450712749297</v>
      </c>
      <c r="J176" s="12" t="n">
        <f aca="false">(AVERAGE(F174:F176)/AVERAGE(F171:F173))^4-1</f>
        <v>-0.016477351721118</v>
      </c>
    </row>
    <row r="177" customFormat="false" ht="15" hidden="false" customHeight="false" outlineLevel="0" collapsed="false">
      <c r="B177" s="7" t="s">
        <v>380</v>
      </c>
      <c r="C177" s="8" t="n">
        <v>2018</v>
      </c>
      <c r="D177" s="8" t="n">
        <v>4</v>
      </c>
      <c r="E177" s="15" t="n">
        <v>151.524543983943</v>
      </c>
      <c r="F177" s="15" t="n">
        <v>146.79265782594</v>
      </c>
      <c r="G177" s="15" t="n">
        <v>147.628453571972</v>
      </c>
      <c r="H177" s="12" t="n">
        <f aca="false">E177/E165-1</f>
        <v>-0.00277598530643663</v>
      </c>
      <c r="I177" s="14" t="n">
        <f aca="false">F177/F176-1</f>
        <v>-0.0312554403240037</v>
      </c>
      <c r="J177" s="12" t="n">
        <f aca="false">(AVERAGE(F175:F177)/AVERAGE(F172:F174))^4-1</f>
        <v>-0.0460584596431989</v>
      </c>
    </row>
    <row r="178" customFormat="false" ht="15" hidden="false" customHeight="false" outlineLevel="0" collapsed="false">
      <c r="B178" s="7" t="s">
        <v>381</v>
      </c>
      <c r="C178" s="8" t="n">
        <v>2018</v>
      </c>
      <c r="D178" s="8" t="n">
        <v>5</v>
      </c>
      <c r="E178" s="15" t="n">
        <v>159.566692377917</v>
      </c>
      <c r="F178" s="15" t="n">
        <v>144.563087407417</v>
      </c>
      <c r="G178" s="15" t="n">
        <v>146.665546605311</v>
      </c>
      <c r="H178" s="12" t="n">
        <f aca="false">E178/E166-1</f>
        <v>-0.0523936012245252</v>
      </c>
      <c r="I178" s="14" t="n">
        <f aca="false">F178/F177-1</f>
        <v>-0.0151885690438724</v>
      </c>
      <c r="J178" s="12" t="n">
        <f aca="false">(AVERAGE(F176:F178)/AVERAGE(F173:F175))^4-1</f>
        <v>-0.105592976765524</v>
      </c>
    </row>
    <row r="179" customFormat="false" ht="15" hidden="false" customHeight="false" outlineLevel="0" collapsed="false">
      <c r="B179" s="7" t="s">
        <v>382</v>
      </c>
      <c r="C179" s="8" t="n">
        <v>2018</v>
      </c>
      <c r="D179" s="8" t="n">
        <v>6</v>
      </c>
      <c r="E179" s="15" t="n">
        <v>151.125763233455</v>
      </c>
      <c r="F179" s="15" t="n">
        <v>143.259082889478</v>
      </c>
      <c r="G179" s="15" t="n">
        <v>145.715980876351</v>
      </c>
      <c r="H179" s="12" t="n">
        <f aca="false">E179/E167-1</f>
        <v>-0.0615386720471779</v>
      </c>
      <c r="I179" s="14" t="n">
        <f aca="false">F179/F178-1</f>
        <v>-0.00902031453066821</v>
      </c>
      <c r="J179" s="12" t="n">
        <f aca="false">(AVERAGE(F177:F179)/AVERAGE(F174:F176))^4-1</f>
        <v>-0.165306552770463</v>
      </c>
    </row>
    <row r="180" customFormat="false" ht="15" hidden="false" customHeight="false" outlineLevel="0" collapsed="false">
      <c r="B180" s="7" t="s">
        <v>383</v>
      </c>
      <c r="C180" s="8" t="n">
        <v>2018</v>
      </c>
      <c r="D180" s="8" t="n">
        <v>7</v>
      </c>
      <c r="E180" s="15" t="n">
        <v>145.963524430005</v>
      </c>
      <c r="F180" s="15" t="n">
        <v>143.579209000728</v>
      </c>
      <c r="G180" s="15" t="n">
        <v>144.832918425098</v>
      </c>
      <c r="H180" s="12" t="n">
        <f aca="false">E180/E168-1</f>
        <v>-0.0288912235424669</v>
      </c>
      <c r="I180" s="14" t="n">
        <f aca="false">F180/F179-1</f>
        <v>0.00223459556485772</v>
      </c>
      <c r="J180" s="12" t="n">
        <f aca="false">(AVERAGE(F178:F180)/AVERAGE(F175:F177))^4-1</f>
        <v>-0.159191220227963</v>
      </c>
    </row>
    <row r="181" customFormat="false" ht="15" hidden="false" customHeight="false" outlineLevel="0" collapsed="false">
      <c r="B181" s="7" t="s">
        <v>384</v>
      </c>
      <c r="C181" s="8" t="n">
        <v>2018</v>
      </c>
      <c r="D181" s="8" t="n">
        <v>8</v>
      </c>
      <c r="E181" s="15" t="n">
        <v>146.76596003414</v>
      </c>
      <c r="F181" s="15" t="n">
        <v>146.537230877005</v>
      </c>
      <c r="G181" s="15" t="n">
        <v>144.06472199993</v>
      </c>
      <c r="H181" s="12" t="n">
        <f aca="false">E181/E169-1</f>
        <v>-0.0166786842831712</v>
      </c>
      <c r="I181" s="14" t="n">
        <f aca="false">F181/F180-1</f>
        <v>0.0206020209810611</v>
      </c>
      <c r="J181" s="12" t="n">
        <f aca="false">(AVERAGE(F179:F181)/AVERAGE(F176:F178))^4-1</f>
        <v>-0.0831557084351828</v>
      </c>
    </row>
    <row r="182" customFormat="false" ht="15" hidden="false" customHeight="false" outlineLevel="0" collapsed="false">
      <c r="B182" s="7" t="s">
        <v>385</v>
      </c>
      <c r="C182" s="8" t="n">
        <v>2018</v>
      </c>
      <c r="D182" s="8" t="n">
        <v>9</v>
      </c>
      <c r="E182" s="15" t="n">
        <v>137.746569718648</v>
      </c>
      <c r="F182" s="15" t="n">
        <v>143.132241433321</v>
      </c>
      <c r="G182" s="15" t="n">
        <v>143.445952345238</v>
      </c>
      <c r="H182" s="12" t="n">
        <f aca="false">E182/E170-1</f>
        <v>-0.0590217432481902</v>
      </c>
      <c r="I182" s="14" t="n">
        <f aca="false">F182/F181-1</f>
        <v>-0.0232363435783896</v>
      </c>
      <c r="J182" s="12" t="n">
        <f aca="false">(AVERAGE(F180:F182)/AVERAGE(F177:F179))^4-1</f>
        <v>-0.0125142429007435</v>
      </c>
    </row>
    <row r="183" customFormat="false" ht="15" hidden="false" customHeight="false" outlineLevel="0" collapsed="false">
      <c r="B183" s="7" t="s">
        <v>386</v>
      </c>
      <c r="C183" s="8" t="n">
        <v>2018</v>
      </c>
      <c r="D183" s="8" t="n">
        <v>10</v>
      </c>
      <c r="E183" s="15" t="n">
        <v>142.843275984568</v>
      </c>
      <c r="F183" s="15" t="n">
        <v>143.595585095494</v>
      </c>
      <c r="G183" s="15" t="n">
        <v>142.993160830408</v>
      </c>
      <c r="H183" s="12" t="n">
        <f aca="false">E183/E171-1</f>
        <v>-0.043797115432037</v>
      </c>
      <c r="I183" s="14" t="n">
        <f aca="false">F183/F182-1</f>
        <v>0.00323717184564787</v>
      </c>
      <c r="J183" s="12" t="n">
        <f aca="false">(AVERAGE(F181:F183)/AVERAGE(F178:F180))^4-1</f>
        <v>0.0173925240670929</v>
      </c>
    </row>
    <row r="184" customFormat="false" ht="15" hidden="false" customHeight="false" outlineLevel="0" collapsed="false">
      <c r="B184" s="7" t="s">
        <v>387</v>
      </c>
      <c r="C184" s="8" t="n">
        <v>2018</v>
      </c>
      <c r="D184" s="8" t="n">
        <v>11</v>
      </c>
      <c r="E184" s="15" t="n">
        <v>140.592407325336</v>
      </c>
      <c r="F184" s="15" t="n">
        <v>141.666150377382</v>
      </c>
      <c r="G184" s="15" t="n">
        <v>142.707890042376</v>
      </c>
      <c r="H184" s="12" t="n">
        <f aca="false">E184/E172-1</f>
        <v>-0.0745996888613103</v>
      </c>
      <c r="I184" s="14" t="n">
        <f aca="false">F184/F183-1</f>
        <v>-0.0134365880178627</v>
      </c>
      <c r="J184" s="12" t="n">
        <f aca="false">(AVERAGE(F182:F184)/AVERAGE(F179:F181))^4-1</f>
        <v>-0.0451923049667869</v>
      </c>
    </row>
    <row r="185" customFormat="false" ht="15" hidden="false" customHeight="false" outlineLevel="0" collapsed="false">
      <c r="B185" s="7" t="s">
        <v>388</v>
      </c>
      <c r="C185" s="8" t="n">
        <v>2018</v>
      </c>
      <c r="D185" s="8" t="n">
        <v>12</v>
      </c>
      <c r="E185" s="15" t="n">
        <v>136.251615969056</v>
      </c>
      <c r="F185" s="15" t="n">
        <v>141.973648759504</v>
      </c>
      <c r="G185" s="15" t="n">
        <v>142.5771326797</v>
      </c>
      <c r="H185" s="12" t="n">
        <f aca="false">E185/E173-1</f>
        <v>-0.0717504160752349</v>
      </c>
      <c r="I185" s="14" t="n">
        <f aca="false">F185/F184-1</f>
        <v>0.00217058472544962</v>
      </c>
      <c r="J185" s="12" t="n">
        <f aca="false">(AVERAGE(F183:F185)/AVERAGE(F180:F182))^4-1</f>
        <v>-0.0543730096173177</v>
      </c>
    </row>
    <row r="186" customFormat="false" ht="15" hidden="false" customHeight="false" outlineLevel="0" collapsed="false">
      <c r="B186" s="7" t="s">
        <v>389</v>
      </c>
      <c r="C186" s="8" t="n">
        <v>2019</v>
      </c>
      <c r="D186" s="8" t="n">
        <v>1</v>
      </c>
      <c r="E186" s="15" t="n">
        <v>134.536239856696</v>
      </c>
      <c r="F186" s="15" t="n">
        <v>141.397729240628</v>
      </c>
      <c r="G186" s="15" t="n">
        <v>142.572453666645</v>
      </c>
      <c r="H186" s="12" t="n">
        <f aca="false">E186/E174-1</f>
        <v>-0.0574794752231508</v>
      </c>
      <c r="I186" s="14" t="n">
        <f aca="false">F186/F185-1</f>
        <v>-0.00405652403744061</v>
      </c>
      <c r="J186" s="12" t="n">
        <f aca="false">(AVERAGE(F184:F186)/AVERAGE(F181:F183))^4-1</f>
        <v>-0.0738220218485638</v>
      </c>
    </row>
    <row r="187" customFormat="false" ht="15" hidden="false" customHeight="false" outlineLevel="0" collapsed="false">
      <c r="B187" s="7" t="s">
        <v>390</v>
      </c>
      <c r="C187" s="8" t="n">
        <v>2019</v>
      </c>
      <c r="D187" s="8" t="n">
        <v>2</v>
      </c>
      <c r="E187" s="15" t="n">
        <v>132.267888612737</v>
      </c>
      <c r="F187" s="15" t="n">
        <v>143.658901683707</v>
      </c>
      <c r="G187" s="15" t="n">
        <v>142.655694349073</v>
      </c>
      <c r="H187" s="12" t="n">
        <f aca="false">E187/E175-1</f>
        <v>-0.0471851621181785</v>
      </c>
      <c r="I187" s="14" t="n">
        <f aca="false">F187/F186-1</f>
        <v>0.0159915753613793</v>
      </c>
      <c r="J187" s="12" t="n">
        <f aca="false">(AVERAGE(F185:F187)/AVERAGE(F182:F184))^4-1</f>
        <v>-0.0126724423002544</v>
      </c>
    </row>
    <row r="188" customFormat="false" ht="15" hidden="false" customHeight="false" outlineLevel="0" collapsed="false">
      <c r="B188" s="7" t="s">
        <v>391</v>
      </c>
      <c r="C188" s="8" t="n">
        <v>2019</v>
      </c>
      <c r="D188" s="8" t="n">
        <v>3</v>
      </c>
      <c r="E188" s="15" t="n">
        <v>144.963254955749</v>
      </c>
      <c r="F188" s="15" t="n">
        <v>142.259940041268</v>
      </c>
      <c r="G188" s="15" t="n">
        <v>142.78455876893</v>
      </c>
      <c r="H188" s="12" t="n">
        <f aca="false">E188/E176-1</f>
        <v>-0.0698976770065675</v>
      </c>
      <c r="I188" s="14" t="n">
        <f aca="false">F188/F187-1</f>
        <v>-0.00973807836509699</v>
      </c>
      <c r="J188" s="12" t="n">
        <f aca="false">(AVERAGE(F186:F188)/AVERAGE(F183:F185))^4-1</f>
        <v>0.000760329137473592</v>
      </c>
    </row>
    <row r="189" customFormat="false" ht="15" hidden="false" customHeight="false" outlineLevel="0" collapsed="false">
      <c r="B189" s="7" t="s">
        <v>392</v>
      </c>
      <c r="C189" s="8" t="n">
        <v>2019</v>
      </c>
      <c r="D189" s="8" t="n">
        <v>4</v>
      </c>
      <c r="E189" s="15" t="n">
        <v>149.916221403523</v>
      </c>
      <c r="F189" s="15" t="n">
        <v>142.605787253334</v>
      </c>
      <c r="G189" s="15" t="n">
        <v>142.91282858002</v>
      </c>
      <c r="H189" s="12" t="n">
        <f aca="false">E189/E177-1</f>
        <v>-0.0106142710489934</v>
      </c>
      <c r="I189" s="14" t="n">
        <f aca="false">F189/F188-1</f>
        <v>0.00243109347555159</v>
      </c>
      <c r="J189" s="12" t="n">
        <f aca="false">(AVERAGE(F187:F189)/AVERAGE(F184:F186))^4-1</f>
        <v>0.0332229411424401</v>
      </c>
    </row>
    <row r="190" customFormat="false" ht="15" hidden="false" customHeight="false" outlineLevel="0" collapsed="false">
      <c r="B190" s="7" t="s">
        <v>393</v>
      </c>
      <c r="C190" s="8" t="n">
        <v>2019</v>
      </c>
      <c r="D190" s="8" t="n">
        <v>5</v>
      </c>
      <c r="E190" s="15" t="n">
        <v>164.13569907592</v>
      </c>
      <c r="F190" s="15" t="n">
        <v>144.838249971983</v>
      </c>
      <c r="G190" s="15" t="n">
        <v>142.998202870719</v>
      </c>
      <c r="H190" s="12" t="n">
        <f aca="false">E190/E178-1</f>
        <v>0.0286338372370498</v>
      </c>
      <c r="I190" s="14" t="n">
        <f aca="false">F190/F189-1</f>
        <v>0.0156547834533705</v>
      </c>
      <c r="J190" s="12" t="n">
        <f aca="false">(AVERAGE(F188:F190)/AVERAGE(F185:F187))^4-1</f>
        <v>0.0252807661940724</v>
      </c>
    </row>
    <row r="191" customFormat="false" ht="15" hidden="false" customHeight="false" outlineLevel="0" collapsed="false">
      <c r="B191" s="7" t="s">
        <v>394</v>
      </c>
      <c r="C191" s="8" t="n">
        <v>2019</v>
      </c>
      <c r="D191" s="8" t="n">
        <v>6</v>
      </c>
      <c r="E191" s="15" t="n">
        <v>150.858971741131</v>
      </c>
      <c r="F191" s="15" t="n">
        <v>144.033781295784</v>
      </c>
      <c r="G191" s="15" t="n">
        <v>143.004742504236</v>
      </c>
      <c r="H191" s="12" t="n">
        <f aca="false">E191/E179-1</f>
        <v>-0.00176536076057299</v>
      </c>
      <c r="I191" s="14" t="n">
        <f aca="false">F191/F190-1</f>
        <v>-0.0055542557049274</v>
      </c>
      <c r="J191" s="12" t="n">
        <f aca="false">(AVERAGE(F189:F191)/AVERAGE(F186:F188))^4-1</f>
        <v>0.0395250484116418</v>
      </c>
    </row>
    <row r="192" customFormat="false" ht="15" hidden="false" customHeight="false" outlineLevel="0" collapsed="false">
      <c r="B192" s="7" t="s">
        <v>395</v>
      </c>
      <c r="C192" s="8" t="n">
        <v>2019</v>
      </c>
      <c r="D192" s="8" t="n">
        <v>7</v>
      </c>
      <c r="E192" s="15" t="n">
        <v>146.77702964007</v>
      </c>
      <c r="F192" s="15" t="n">
        <v>145.83568077856</v>
      </c>
      <c r="G192" s="15" t="n">
        <v>142.904912776184</v>
      </c>
      <c r="H192" s="12" t="n">
        <f aca="false">E192/E180-1</f>
        <v>0.00557334589749381</v>
      </c>
      <c r="I192" s="14" t="n">
        <f aca="false">F192/F191-1</f>
        <v>0.0125102560424728</v>
      </c>
      <c r="J192" s="12" t="n">
        <f aca="false">(AVERAGE(F190:F192)/AVERAGE(F187:F189))^4-1</f>
        <v>0.0589762730668426</v>
      </c>
    </row>
    <row r="193" customFormat="false" ht="15" hidden="false" customHeight="false" outlineLevel="0" collapsed="false">
      <c r="B193" s="7" t="s">
        <v>396</v>
      </c>
      <c r="C193" s="8" t="n">
        <v>2019</v>
      </c>
      <c r="D193" s="8" t="n">
        <v>8</v>
      </c>
      <c r="E193" s="15" t="n">
        <v>141.27693468084</v>
      </c>
      <c r="F193" s="15" t="n">
        <v>144.790593285846</v>
      </c>
      <c r="G193" s="15" t="n">
        <v>142.682084315883</v>
      </c>
      <c r="H193" s="12" t="n">
        <f aca="false">E193/E181-1</f>
        <v>-0.037399853154114</v>
      </c>
      <c r="I193" s="14" t="n">
        <f aca="false">F193/F192-1</f>
        <v>-0.00716619888311409</v>
      </c>
      <c r="J193" s="12" t="n">
        <f aca="false">(AVERAGE(F191:F193)/AVERAGE(F188:F190))^4-1</f>
        <v>0.0469391250725506</v>
      </c>
    </row>
    <row r="194" customFormat="false" ht="15" hidden="false" customHeight="false" outlineLevel="0" collapsed="false">
      <c r="B194" s="7" t="s">
        <v>397</v>
      </c>
      <c r="C194" s="8" t="n">
        <v>2019</v>
      </c>
      <c r="D194" s="8" t="n">
        <v>9</v>
      </c>
      <c r="E194" s="15" t="n">
        <v>134.877066479936</v>
      </c>
      <c r="F194" s="15" t="n">
        <v>140.55731399665</v>
      </c>
      <c r="G194" s="15" t="n">
        <v>142.331479853225</v>
      </c>
      <c r="H194" s="12" t="n">
        <f aca="false">E194/E182-1</f>
        <v>-0.0208317582395886</v>
      </c>
      <c r="I194" s="14" t="n">
        <f aca="false">F194/F193-1</f>
        <v>-0.0292372535613472</v>
      </c>
      <c r="J194" s="12" t="n">
        <f aca="false">(AVERAGE(F192:F194)/AVERAGE(F189:F191))^4-1</f>
        <v>-0.00272486440535635</v>
      </c>
    </row>
    <row r="195" customFormat="false" ht="15" hidden="false" customHeight="false" outlineLevel="0" collapsed="false">
      <c r="B195" s="7" t="s">
        <v>398</v>
      </c>
      <c r="C195" s="8" t="n">
        <v>2019</v>
      </c>
      <c r="D195" s="8" t="n">
        <v>10</v>
      </c>
      <c r="E195" s="15" t="n">
        <v>141.639336617014</v>
      </c>
      <c r="F195" s="15" t="n">
        <v>143.797274073401</v>
      </c>
      <c r="G195" s="15" t="n">
        <v>141.859560897374</v>
      </c>
      <c r="H195" s="12" t="n">
        <f aca="false">E195/E183-1</f>
        <v>-0.00842839370110693</v>
      </c>
      <c r="I195" s="14" t="n">
        <f aca="false">F195/F194-1</f>
        <v>0.0230508109796941</v>
      </c>
      <c r="J195" s="12" t="n">
        <f aca="false">(AVERAGE(F193:F195)/AVERAGE(F190:F192))^4-1</f>
        <v>-0.0502100239136853</v>
      </c>
    </row>
    <row r="196" customFormat="false" ht="15" hidden="false" customHeight="false" outlineLevel="0" collapsed="false">
      <c r="B196" s="7" t="s">
        <v>399</v>
      </c>
      <c r="C196" s="8" t="n">
        <v>2019</v>
      </c>
      <c r="D196" s="8" t="n">
        <v>11</v>
      </c>
      <c r="E196" s="15" t="n">
        <v>137.771829669331</v>
      </c>
      <c r="F196" s="15" t="n">
        <v>140.883689537146</v>
      </c>
      <c r="G196" s="15" t="n">
        <v>141.28341184211</v>
      </c>
      <c r="H196" s="12" t="n">
        <f aca="false">E196/E184-1</f>
        <v>-0.0200620909027988</v>
      </c>
      <c r="I196" s="14" t="n">
        <f aca="false">F196/F195-1</f>
        <v>-0.0202617508226705</v>
      </c>
      <c r="J196" s="12" t="n">
        <f aca="false">(AVERAGE(F194:F196)/AVERAGE(F191:F193))^4-1</f>
        <v>-0.0839261676237887</v>
      </c>
    </row>
    <row r="197" customFormat="false" ht="15" hidden="false" customHeight="false" outlineLevel="0" collapsed="false">
      <c r="B197" s="7" t="s">
        <v>400</v>
      </c>
      <c r="C197" s="8" t="n">
        <v>2019</v>
      </c>
      <c r="D197" s="8" t="n">
        <v>12</v>
      </c>
      <c r="E197" s="15" t="n">
        <v>135.765154527635</v>
      </c>
      <c r="F197" s="15" t="n">
        <v>140.126686656662</v>
      </c>
      <c r="G197" s="15" t="n">
        <v>140.630426316349</v>
      </c>
      <c r="H197" s="12" t="n">
        <f aca="false">E197/E185-1</f>
        <v>-0.00357031685797959</v>
      </c>
      <c r="I197" s="14" t="n">
        <f aca="false">F197/F196-1</f>
        <v>-0.00537324713010678</v>
      </c>
      <c r="J197" s="12" t="n">
        <f aca="false">(AVERAGE(F195:F197)/AVERAGE(F192:F194))^4-1</f>
        <v>-0.0578491843426267</v>
      </c>
    </row>
    <row r="198" customFormat="false" ht="15" hidden="false" customHeight="false" outlineLevel="0" collapsed="false">
      <c r="B198" s="7" t="s">
        <v>401</v>
      </c>
      <c r="C198" s="8" t="n">
        <v>2020</v>
      </c>
      <c r="D198" s="8" t="n">
        <v>1</v>
      </c>
      <c r="E198" s="15" t="n">
        <v>133.891086089572</v>
      </c>
      <c r="F198" s="15" t="n">
        <v>140.930177145382</v>
      </c>
      <c r="G198" s="15" t="n">
        <v>139.932375774692</v>
      </c>
      <c r="H198" s="12" t="n">
        <f aca="false">E198/E186-1</f>
        <v>-0.00479539020720798</v>
      </c>
      <c r="I198" s="14" t="n">
        <f aca="false">F198/F197-1</f>
        <v>0.00573402902681353</v>
      </c>
      <c r="J198" s="12" t="n">
        <f aca="false">(AVERAGE(F196:F198)/AVERAGE(F193:F195))^4-1</f>
        <v>-0.0654810537038676</v>
      </c>
    </row>
    <row r="199" customFormat="false" ht="15" hidden="false" customHeight="false" outlineLevel="0" collapsed="false">
      <c r="B199" s="7" t="s">
        <v>402</v>
      </c>
      <c r="C199" s="8" t="n">
        <v>2020</v>
      </c>
      <c r="D199" s="8" t="n">
        <v>2</v>
      </c>
      <c r="E199" s="15" t="n">
        <v>128.973638746598</v>
      </c>
      <c r="F199" s="15" t="n">
        <v>139.549761275606</v>
      </c>
      <c r="G199" s="15" t="n">
        <v>139.224483581077</v>
      </c>
      <c r="H199" s="12" t="n">
        <f aca="false">E199/E187-1</f>
        <v>-0.024905892886697</v>
      </c>
      <c r="I199" s="14" t="n">
        <f aca="false">F199/F198-1</f>
        <v>-0.00979503395041215</v>
      </c>
      <c r="J199" s="12" t="n">
        <f aca="false">(AVERAGE(F197:F199)/AVERAGE(F194:F196))^4-1</f>
        <v>-0.0428609511644922</v>
      </c>
    </row>
    <row r="200" customFormat="false" ht="15" hidden="false" customHeight="false" outlineLevel="0" collapsed="false">
      <c r="B200" s="7" t="s">
        <v>403</v>
      </c>
      <c r="C200" s="8" t="n">
        <v>2020</v>
      </c>
      <c r="D200" s="8" t="n">
        <v>3</v>
      </c>
      <c r="E200" s="15" t="n">
        <v>128.211060740257</v>
      </c>
      <c r="F200" s="15" t="n">
        <v>125.960247713308</v>
      </c>
      <c r="G200" s="15" t="n">
        <v>138.54271042735</v>
      </c>
      <c r="H200" s="12" t="n">
        <f aca="false">E200/E188-1</f>
        <v>-0.115561658853523</v>
      </c>
      <c r="I200" s="14" t="n">
        <f aca="false">F200/F199-1</f>
        <v>-0.0973811308459297</v>
      </c>
      <c r="J200" s="12" t="n">
        <f aca="false">(AVERAGE(F198:F200)/AVERAGE(F195:F197))^4-1</f>
        <v>-0.162051651601957</v>
      </c>
    </row>
    <row r="201" customFormat="false" ht="15" hidden="false" customHeight="false" outlineLevel="0" collapsed="false">
      <c r="B201" s="7" t="s">
        <v>404</v>
      </c>
      <c r="C201" s="8" t="n">
        <v>2020</v>
      </c>
      <c r="D201" s="8" t="n">
        <v>4</v>
      </c>
      <c r="E201" s="15" t="n">
        <v>113.295034445801</v>
      </c>
      <c r="F201" s="15" t="n">
        <v>105.992279092236</v>
      </c>
      <c r="G201" s="15" t="n">
        <v>137.922429352654</v>
      </c>
      <c r="H201" s="12" t="n">
        <f aca="false">E201/E189-1</f>
        <v>-0.244277681326757</v>
      </c>
      <c r="I201" s="14" t="n">
        <f aca="false">F201/F200-1</f>
        <v>-0.158525955478586</v>
      </c>
      <c r="J201" s="12" t="n">
        <f aca="false">(AVERAGE(F199:F201)/AVERAGE(F196:F198))^4-1</f>
        <v>-0.399046457821638</v>
      </c>
    </row>
    <row r="202" customFormat="false" ht="15" hidden="false" customHeight="false" outlineLevel="0" collapsed="false">
      <c r="B202" s="7" t="s">
        <v>405</v>
      </c>
      <c r="C202" s="8" t="n">
        <v>2020</v>
      </c>
      <c r="D202" s="8" t="n">
        <v>5</v>
      </c>
      <c r="E202" s="15" t="n">
        <v>131.029569197349</v>
      </c>
      <c r="F202" s="15" t="n">
        <v>117.209621767521</v>
      </c>
      <c r="G202" s="15" t="n">
        <v>137.397126683024</v>
      </c>
      <c r="H202" s="12" t="n">
        <f aca="false">E202/E190-1</f>
        <v>-0.201699752491127</v>
      </c>
      <c r="I202" s="14" t="n">
        <f aca="false">F202/F201-1</f>
        <v>0.105831696151409</v>
      </c>
      <c r="J202" s="12" t="n">
        <f aca="false">(AVERAGE(F200:F202)/AVERAGE(F197:F199))^4-1</f>
        <v>-0.52509778768865</v>
      </c>
    </row>
    <row r="203" customFormat="false" ht="15" hidden="false" customHeight="false" outlineLevel="0" collapsed="false">
      <c r="B203" s="7" t="s">
        <v>406</v>
      </c>
      <c r="C203" s="8" t="n">
        <v>2020</v>
      </c>
      <c r="D203" s="8" t="n">
        <v>6</v>
      </c>
      <c r="E203" s="15" t="n">
        <v>132.521965266488</v>
      </c>
      <c r="F203" s="15" t="n">
        <v>124.344972935887</v>
      </c>
      <c r="G203" s="15" t="n">
        <v>136.991652834453</v>
      </c>
      <c r="H203" s="12" t="n">
        <f aca="false">E203/E191-1</f>
        <v>-0.121550652659288</v>
      </c>
      <c r="I203" s="14" t="n">
        <f aca="false">F203/F202-1</f>
        <v>0.0608768381022378</v>
      </c>
      <c r="J203" s="12" t="n">
        <f aca="false">(AVERAGE(F201:F203)/AVERAGE(F198:F200))^4-1</f>
        <v>-0.465353191009431</v>
      </c>
    </row>
    <row r="204" customFormat="false" ht="15" hidden="false" customHeight="false" outlineLevel="0" collapsed="false">
      <c r="B204" s="7" t="s">
        <v>407</v>
      </c>
      <c r="C204" s="8" t="n">
        <v>2020</v>
      </c>
      <c r="D204" s="8" t="n">
        <v>7</v>
      </c>
      <c r="E204" s="15" t="n">
        <v>127.463689469794</v>
      </c>
      <c r="F204" s="15" t="n">
        <v>126.158194908386</v>
      </c>
      <c r="G204" s="15" t="n">
        <v>136.722091038419</v>
      </c>
      <c r="H204" s="12" t="n">
        <f aca="false">E204/E192-1</f>
        <v>-0.13158285201463</v>
      </c>
      <c r="I204" s="14" t="n">
        <f aca="false">F204/F203-1</f>
        <v>0.0145821896107832</v>
      </c>
      <c r="J204" s="12" t="n">
        <f aca="false">(AVERAGE(F202:F204)/AVERAGE(F199:F201))^4-1</f>
        <v>-0.0401818225431326</v>
      </c>
    </row>
    <row r="205" customFormat="false" ht="15" hidden="false" customHeight="false" outlineLevel="0" collapsed="false">
      <c r="B205" s="7" t="s">
        <v>408</v>
      </c>
      <c r="C205" s="8" t="n">
        <v>2020</v>
      </c>
      <c r="D205" s="8" t="n">
        <v>8</v>
      </c>
      <c r="E205" s="15" t="n">
        <v>125.183893759846</v>
      </c>
      <c r="F205" s="15" t="n">
        <v>128.844157875003</v>
      </c>
      <c r="G205" s="15" t="n">
        <v>136.596793307264</v>
      </c>
      <c r="H205" s="12" t="n">
        <f aca="false">E205/E193-1</f>
        <v>-0.113911311548129</v>
      </c>
      <c r="I205" s="14" t="n">
        <f aca="false">F205/F204-1</f>
        <v>0.0212904359369388</v>
      </c>
      <c r="J205" s="12" t="n">
        <f aca="false">(AVERAGE(F203:F205)/AVERAGE(F200:F202))^4-1</f>
        <v>0.393283448744947</v>
      </c>
    </row>
    <row r="206" customFormat="false" ht="15" hidden="false" customHeight="false" outlineLevel="0" collapsed="false">
      <c r="B206" s="7" t="s">
        <v>409</v>
      </c>
      <c r="C206" s="8" t="n">
        <v>2020</v>
      </c>
      <c r="D206" s="8" t="n">
        <v>9</v>
      </c>
      <c r="E206" s="15" t="n">
        <v>127.175076093353</v>
      </c>
      <c r="F206" s="15" t="n">
        <v>130.796547932016</v>
      </c>
      <c r="G206" s="15" t="n">
        <v>136.615366039281</v>
      </c>
      <c r="H206" s="12" t="n">
        <f aca="false">E206/E194-1</f>
        <v>-0.0571037804097659</v>
      </c>
      <c r="I206" s="14" t="n">
        <f aca="false">F206/F205-1</f>
        <v>0.0151531127931115</v>
      </c>
      <c r="J206" s="12" t="n">
        <f aca="false">(AVERAGE(F204:F206)/AVERAGE(F201:F203))^4-1</f>
        <v>0.518414694274899</v>
      </c>
    </row>
    <row r="207" customFormat="false" ht="15" hidden="false" customHeight="false" outlineLevel="0" collapsed="false">
      <c r="B207" s="7" t="s">
        <v>410</v>
      </c>
      <c r="C207" s="8" t="n">
        <v>2020</v>
      </c>
      <c r="D207" s="8" t="n">
        <v>10</v>
      </c>
      <c r="E207" s="15" t="n">
        <v>131.345501894528</v>
      </c>
      <c r="F207" s="15" t="n">
        <v>133.39866145683</v>
      </c>
      <c r="G207" s="15" t="n">
        <v>136.771126636052</v>
      </c>
      <c r="H207" s="12" t="n">
        <f aca="false">E207/E195-1</f>
        <v>-0.0726763833293003</v>
      </c>
      <c r="I207" s="14" t="n">
        <f aca="false">F207/F206-1</f>
        <v>0.0198943593386471</v>
      </c>
      <c r="J207" s="12" t="n">
        <f aca="false">(AVERAGE(F205:F207)/AVERAGE(F202:F204))^4-1</f>
        <v>0.305296777043157</v>
      </c>
    </row>
    <row r="208" customFormat="false" ht="15" hidden="false" customHeight="false" outlineLevel="0" collapsed="false">
      <c r="B208" s="7" t="s">
        <v>411</v>
      </c>
      <c r="C208" s="8" t="n">
        <v>2020</v>
      </c>
      <c r="D208" s="8" t="n">
        <v>11</v>
      </c>
      <c r="E208" s="15" t="n">
        <v>132.068655252997</v>
      </c>
      <c r="F208" s="15" t="n">
        <v>134.871321016984</v>
      </c>
      <c r="G208" s="15" t="n">
        <v>137.050767534126</v>
      </c>
      <c r="H208" s="12" t="n">
        <f aca="false">E208/E196-1</f>
        <v>-0.0413957949896072</v>
      </c>
      <c r="I208" s="14" t="n">
        <f aca="false">F208/F207-1</f>
        <v>0.0110395377590125</v>
      </c>
      <c r="J208" s="12" t="n">
        <f aca="false">(AVERAGE(F206:F208)/AVERAGE(F203:F205))^4-1</f>
        <v>0.224709575871254</v>
      </c>
    </row>
    <row r="209" customFormat="false" ht="15" hidden="false" customHeight="false" outlineLevel="0" collapsed="false">
      <c r="B209" s="7" t="s">
        <v>412</v>
      </c>
      <c r="C209" s="8" t="n">
        <v>2020</v>
      </c>
      <c r="D209" s="8" t="n">
        <v>12</v>
      </c>
      <c r="E209" s="15" t="n">
        <v>133.854365594606</v>
      </c>
      <c r="F209" s="15" t="n">
        <v>136.95759393152</v>
      </c>
      <c r="G209" s="15" t="n">
        <v>137.437903895569</v>
      </c>
      <c r="H209" s="12" t="n">
        <f aca="false">E209/E197-1</f>
        <v>-0.0140742220614491</v>
      </c>
      <c r="I209" s="14" t="n">
        <f aca="false">F209/F208-1</f>
        <v>0.0154686177817787</v>
      </c>
      <c r="J209" s="12" t="n">
        <f aca="false">(AVERAGE(F207:F209)/AVERAGE(F204:F206))^4-1</f>
        <v>0.217172201790133</v>
      </c>
    </row>
    <row r="210" customFormat="false" ht="15" hidden="false" customHeight="false" outlineLevel="0" collapsed="false">
      <c r="B210" s="7" t="s">
        <v>413</v>
      </c>
      <c r="C210" s="8" t="n">
        <v>2021</v>
      </c>
      <c r="D210" s="8" t="n">
        <v>1</v>
      </c>
      <c r="E210" s="15" t="n">
        <v>131.521537397319</v>
      </c>
      <c r="F210" s="15" t="n">
        <v>139.849767776997</v>
      </c>
      <c r="G210" s="15" t="n">
        <v>137.916424053989</v>
      </c>
      <c r="H210" s="12" t="n">
        <f aca="false">E210/E198-1</f>
        <v>-0.0176975836215734</v>
      </c>
      <c r="I210" s="14" t="n">
        <f aca="false">F210/F209-1</f>
        <v>0.0211172945030198</v>
      </c>
      <c r="J210" s="12" t="n">
        <f aca="false">(AVERAGE(F208:F210)/AVERAGE(F205:F207))^4-1</f>
        <v>0.203619760020305</v>
      </c>
    </row>
    <row r="211" customFormat="false" ht="15" hidden="false" customHeight="false" outlineLevel="0" collapsed="false">
      <c r="B211" s="7" t="s">
        <v>414</v>
      </c>
      <c r="C211" s="8" t="n">
        <v>2021</v>
      </c>
      <c r="D211" s="8" t="n">
        <v>2</v>
      </c>
      <c r="E211" s="15" t="n">
        <v>126.239266968364</v>
      </c>
      <c r="F211" s="15" t="n">
        <v>138.242679569702</v>
      </c>
      <c r="G211" s="15" t="n">
        <v>138.475034257967</v>
      </c>
      <c r="H211" s="12" t="n">
        <f aca="false">E211/E199-1</f>
        <v>-0.0212010128954063</v>
      </c>
      <c r="I211" s="14" t="n">
        <f aca="false">F211/F210-1</f>
        <v>-0.0114915328987721</v>
      </c>
      <c r="J211" s="12" t="n">
        <f aca="false">(AVERAGE(F209:F211)/AVERAGE(F206:F208))^4-1</f>
        <v>0.170093656588595</v>
      </c>
    </row>
    <row r="212" customFormat="false" ht="15" hidden="false" customHeight="false" outlineLevel="0" collapsed="false">
      <c r="B212" s="7" t="s">
        <v>415</v>
      </c>
      <c r="C212" s="8" t="n">
        <v>2021</v>
      </c>
      <c r="D212" s="8" t="n">
        <v>3</v>
      </c>
      <c r="E212" s="15" t="n">
        <v>145.956900103647</v>
      </c>
      <c r="F212" s="15" t="n">
        <v>140.891393298284</v>
      </c>
      <c r="G212" s="15" t="n">
        <v>139.104763447101</v>
      </c>
      <c r="H212" s="12" t="n">
        <f aca="false">E212/E200-1</f>
        <v>0.138411142228532</v>
      </c>
      <c r="I212" s="14" t="n">
        <f aca="false">F212/F211-1</f>
        <v>0.0191598841748941</v>
      </c>
      <c r="J212" s="12" t="n">
        <f aca="false">(AVERAGE(F210:F212)/AVERAGE(F207:F209))^4-1</f>
        <v>0.142860243213655</v>
      </c>
    </row>
    <row r="213" customFormat="false" ht="15" hidden="false" customHeight="false" outlineLevel="0" collapsed="false">
      <c r="B213" s="7" t="s">
        <v>416</v>
      </c>
      <c r="C213" s="8" t="n">
        <v>2021</v>
      </c>
      <c r="D213" s="8" t="n">
        <v>4</v>
      </c>
      <c r="E213" s="15" t="n">
        <v>147.280844018759</v>
      </c>
      <c r="F213" s="15" t="n">
        <v>139.3115864823</v>
      </c>
      <c r="G213" s="15" t="n">
        <v>139.802731848646</v>
      </c>
      <c r="H213" s="12" t="n">
        <f aca="false">E213/E201-1</f>
        <v>0.299976161702094</v>
      </c>
      <c r="I213" s="14" t="n">
        <f aca="false">F213/F212-1</f>
        <v>-0.0112129405423592</v>
      </c>
      <c r="J213" s="12" t="n">
        <f aca="false">(AVERAGE(F211:F213)/AVERAGE(F208:F210))^4-1</f>
        <v>0.067389070984103</v>
      </c>
    </row>
    <row r="214" customFormat="false" ht="15" hidden="false" customHeight="false" outlineLevel="0" collapsed="false">
      <c r="B214" s="7" t="s">
        <v>417</v>
      </c>
      <c r="C214" s="8" t="n">
        <v>2021</v>
      </c>
      <c r="D214" s="8" t="n">
        <v>5</v>
      </c>
      <c r="E214" s="15" t="n">
        <v>151.169322338748</v>
      </c>
      <c r="F214" s="15" t="n">
        <v>138.859164396742</v>
      </c>
      <c r="G214" s="15" t="n">
        <v>140.567951964597</v>
      </c>
      <c r="H214" s="12" t="n">
        <f aca="false">E214/E202-1</f>
        <v>0.153703879702648</v>
      </c>
      <c r="I214" s="14" t="n">
        <f aca="false">F214/F213-1</f>
        <v>-0.00324755533248911</v>
      </c>
      <c r="J214" s="12" t="n">
        <f aca="false">(AVERAGE(F212:F214)/AVERAGE(F209:F211))^4-1</f>
        <v>0.0392304840709368</v>
      </c>
    </row>
    <row r="215" customFormat="false" ht="15" hidden="false" customHeight="false" outlineLevel="0" collapsed="false">
      <c r="B215" s="7" t="s">
        <v>418</v>
      </c>
      <c r="C215" s="8" t="n">
        <v>2021</v>
      </c>
      <c r="D215" s="8" t="n">
        <v>6</v>
      </c>
      <c r="E215" s="15" t="n">
        <v>148.979617108412</v>
      </c>
      <c r="F215" s="15" t="n">
        <v>141.524107268231</v>
      </c>
      <c r="G215" s="15" t="n">
        <v>141.397675173066</v>
      </c>
      <c r="H215" s="12" t="n">
        <f aca="false">E215/E203-1</f>
        <v>0.124188105789332</v>
      </c>
      <c r="I215" s="14" t="n">
        <f aca="false">F215/F214-1</f>
        <v>0.0191916960113223</v>
      </c>
      <c r="J215" s="12" t="n">
        <f aca="false">(AVERAGE(F213:F215)/AVERAGE(F210:F212))^4-1</f>
        <v>0.00680531687923258</v>
      </c>
    </row>
    <row r="216" customFormat="false" ht="15" hidden="false" customHeight="false" outlineLevel="0" collapsed="false">
      <c r="B216" s="7" t="s">
        <v>419</v>
      </c>
      <c r="C216" s="8" t="n">
        <v>2021</v>
      </c>
      <c r="D216" s="8" t="n">
        <v>7</v>
      </c>
      <c r="E216" s="15" t="n">
        <v>142.425913060358</v>
      </c>
      <c r="F216" s="15" t="n">
        <v>141.379165811089</v>
      </c>
      <c r="G216" s="15" t="n">
        <v>142.291854414489</v>
      </c>
      <c r="H216" s="12" t="n">
        <f aca="false">E216/E204-1</f>
        <v>0.117384202927139</v>
      </c>
      <c r="I216" s="14" t="n">
        <f aca="false">F216/F215-1</f>
        <v>-0.00102414676862839</v>
      </c>
      <c r="J216" s="12" t="n">
        <f aca="false">(AVERAGE(F214:F216)/AVERAGE(F211:F213))^4-1</f>
        <v>0.0320846651451927</v>
      </c>
    </row>
    <row r="217" customFormat="false" ht="15" hidden="false" customHeight="false" outlineLevel="0" collapsed="false">
      <c r="B217" s="7" t="s">
        <v>420</v>
      </c>
      <c r="C217" s="8" t="n">
        <v>2021</v>
      </c>
      <c r="D217" s="8" t="n">
        <v>8</v>
      </c>
      <c r="E217" s="15" t="n">
        <v>140.974940727777</v>
      </c>
      <c r="F217" s="15" t="n">
        <v>143.315902384153</v>
      </c>
      <c r="G217" s="15" t="n">
        <v>143.249490897188</v>
      </c>
      <c r="H217" s="12" t="n">
        <f aca="false">E217/E205-1</f>
        <v>0.126142800752183</v>
      </c>
      <c r="I217" s="14" t="n">
        <f aca="false">F217/F216-1</f>
        <v>0.0136988824481561</v>
      </c>
      <c r="J217" s="12" t="n">
        <f aca="false">(AVERAGE(F215:F217)/AVERAGE(F212:F214))^4-1</f>
        <v>0.0700848494534068</v>
      </c>
    </row>
    <row r="218" customFormat="false" ht="15" hidden="false" customHeight="false" outlineLevel="0" collapsed="false">
      <c r="B218" s="7" t="s">
        <v>421</v>
      </c>
      <c r="C218" s="8" t="n">
        <v>2021</v>
      </c>
      <c r="D218" s="8" t="n">
        <v>9</v>
      </c>
      <c r="E218" s="15" t="n">
        <v>141.296089090284</v>
      </c>
      <c r="F218" s="15" t="n">
        <v>144.177346450918</v>
      </c>
      <c r="G218" s="15" t="n">
        <v>144.263236099306</v>
      </c>
      <c r="H218" s="12" t="n">
        <f aca="false">E218/E206-1</f>
        <v>0.111036009811905</v>
      </c>
      <c r="I218" s="14" t="n">
        <f aca="false">F218/F217-1</f>
        <v>0.0060108058661581</v>
      </c>
      <c r="J218" s="12" t="n">
        <f aca="false">(AVERAGE(F216:F218)/AVERAGE(F213:F215))^4-1</f>
        <v>0.090379952443131</v>
      </c>
    </row>
    <row r="219" customFormat="false" ht="15" hidden="false" customHeight="false" outlineLevel="0" collapsed="false">
      <c r="B219" s="7" t="s">
        <v>422</v>
      </c>
      <c r="C219" s="8" t="n">
        <v>2021</v>
      </c>
      <c r="D219" s="8" t="n">
        <v>10</v>
      </c>
      <c r="E219" s="15" t="n">
        <v>139.514758699679</v>
      </c>
      <c r="F219" s="15" t="n">
        <v>143.355861783136</v>
      </c>
      <c r="G219" s="15" t="n">
        <v>145.320063107092</v>
      </c>
      <c r="H219" s="12" t="n">
        <f aca="false">E219/E207-1</f>
        <v>0.0621967002091257</v>
      </c>
      <c r="I219" s="14" t="n">
        <f aca="false">F219/F218-1</f>
        <v>-0.00569773746017077</v>
      </c>
      <c r="J219" s="12" t="n">
        <f aca="false">(AVERAGE(F217:F219)/AVERAGE(F214:F216))^4-1</f>
        <v>0.0890033336208267</v>
      </c>
    </row>
    <row r="220" customFormat="false" ht="15" hidden="false" customHeight="false" outlineLevel="0" collapsed="false">
      <c r="B220" s="7" t="s">
        <v>423</v>
      </c>
      <c r="C220" s="8" t="n">
        <v>2021</v>
      </c>
      <c r="D220" s="8" t="n">
        <v>11</v>
      </c>
      <c r="E220" s="15" t="n">
        <v>143.751877618889</v>
      </c>
      <c r="F220" s="15" t="n">
        <v>145.713566991104</v>
      </c>
      <c r="G220" s="15" t="n">
        <v>146.395017683194</v>
      </c>
      <c r="H220" s="12" t="n">
        <f aca="false">E220/E208-1</f>
        <v>0.088463249235869</v>
      </c>
      <c r="I220" s="14" t="n">
        <f aca="false">F220/F219-1</f>
        <v>0.0164465211163423</v>
      </c>
      <c r="J220" s="12" t="n">
        <f aca="false">(AVERAGE(F218:F220)/AVERAGE(F215:F217))^4-1</f>
        <v>0.067602094021999</v>
      </c>
    </row>
    <row r="221" customFormat="false" ht="15" hidden="false" customHeight="false" outlineLevel="0" collapsed="false">
      <c r="B221" s="7" t="s">
        <v>424</v>
      </c>
      <c r="C221" s="8" t="n">
        <v>2021</v>
      </c>
      <c r="D221" s="8" t="n">
        <v>12</v>
      </c>
      <c r="E221" s="15" t="n">
        <v>147.229878318134</v>
      </c>
      <c r="F221" s="15" t="n">
        <v>149.720403789366</v>
      </c>
      <c r="G221" s="15" t="n">
        <v>147.451153303643</v>
      </c>
      <c r="H221" s="12" t="n">
        <f aca="false">E221/E209-1</f>
        <v>0.0999258609467923</v>
      </c>
      <c r="I221" s="14" t="n">
        <f aca="false">F221/F220-1</f>
        <v>0.0274980352276066</v>
      </c>
      <c r="J221" s="12" t="n">
        <f aca="false">(AVERAGE(F219:F221)/AVERAGE(F216:F218))^4-1</f>
        <v>0.0957557816816352</v>
      </c>
    </row>
    <row r="222" customFormat="false" ht="15" hidden="false" customHeight="false" outlineLevel="0" collapsed="false">
      <c r="B222" s="7" t="s">
        <v>425</v>
      </c>
      <c r="C222" s="8" t="n">
        <v>2022</v>
      </c>
      <c r="D222" s="8" t="n">
        <v>1</v>
      </c>
      <c r="E222" s="15" t="n">
        <v>139.637961612281</v>
      </c>
      <c r="F222" s="15" t="n">
        <v>148.524545672033</v>
      </c>
      <c r="G222" s="15" t="n">
        <v>148.445908746338</v>
      </c>
      <c r="H222" s="12" t="n">
        <f aca="false">E222/E210-1</f>
        <v>0.0617117498440043</v>
      </c>
      <c r="I222" s="14" t="n">
        <f aca="false">F222/F221-1</f>
        <v>-0.00798727552869483</v>
      </c>
      <c r="J222" s="12" t="n">
        <f aca="false">(AVERAGE(F220:F222)/AVERAGE(F217:F219))^4-1</f>
        <v>0.127375941780761</v>
      </c>
    </row>
    <row r="223" customFormat="false" ht="15" hidden="false" customHeight="false" outlineLevel="0" collapsed="false">
      <c r="B223" s="7" t="s">
        <v>426</v>
      </c>
      <c r="C223" s="8" t="n">
        <v>2022</v>
      </c>
      <c r="D223" s="8" t="n">
        <v>2</v>
      </c>
      <c r="E223" s="15" t="n">
        <v>137.849513525076</v>
      </c>
      <c r="F223" s="15" t="n">
        <v>150.709226388273</v>
      </c>
      <c r="G223" s="15" t="n">
        <v>149.334371920862</v>
      </c>
      <c r="H223" s="12" t="n">
        <f aca="false">E223/E211-1</f>
        <v>0.0919701677261884</v>
      </c>
      <c r="I223" s="14" t="n">
        <f aca="false">F223/F222-1</f>
        <v>0.0147092233566837</v>
      </c>
      <c r="J223" s="12" t="n">
        <f aca="false">(AVERAGE(F221:F223)/AVERAGE(F218:F220))^4-1</f>
        <v>0.153099294281924</v>
      </c>
    </row>
    <row r="224" customFormat="false" ht="15" hidden="false" customHeight="false" outlineLevel="0" collapsed="false">
      <c r="B224" s="7" t="s">
        <v>427</v>
      </c>
      <c r="C224" s="8" t="n">
        <v>2022</v>
      </c>
      <c r="D224" s="8" t="n">
        <v>3</v>
      </c>
      <c r="E224" s="15" t="n">
        <v>153.930850794253</v>
      </c>
      <c r="F224" s="15" t="n">
        <v>150.346723785422</v>
      </c>
      <c r="G224" s="15" t="n">
        <v>150.078769325279</v>
      </c>
      <c r="H224" s="12" t="n">
        <f aca="false">E224/E212-1</f>
        <v>0.0546322283149583</v>
      </c>
      <c r="I224" s="14" t="n">
        <f aca="false">F224/F223-1</f>
        <v>-0.00240531128410348</v>
      </c>
      <c r="J224" s="12" t="n">
        <f aca="false">(AVERAGE(F222:F224)/AVERAGE(F219:F221))^4-1</f>
        <v>0.102055902354857</v>
      </c>
    </row>
    <row r="225" customFormat="false" ht="15" hidden="false" customHeight="false" outlineLevel="0" collapsed="false">
      <c r="B225" s="7" t="s">
        <v>428</v>
      </c>
      <c r="C225" s="8" t="n">
        <v>2022</v>
      </c>
      <c r="D225" s="8" t="n">
        <v>4</v>
      </c>
      <c r="E225" s="15" t="n">
        <v>157.661692173447</v>
      </c>
      <c r="F225" s="15" t="n">
        <v>152.09770494153</v>
      </c>
      <c r="G225" s="15" t="n">
        <v>150.651688699202</v>
      </c>
      <c r="H225" s="12" t="n">
        <f aca="false">E225/E213-1</f>
        <v>0.070483355957446</v>
      </c>
      <c r="I225" s="14" t="n">
        <f aca="false">F225/F224-1</f>
        <v>0.0116462874083405</v>
      </c>
      <c r="J225" s="12" t="n">
        <f aca="false">(AVERAGE(F223:F225)/AVERAGE(F220:F222))^4-1</f>
        <v>0.0854563995815953</v>
      </c>
    </row>
    <row r="226" customFormat="false" ht="15" hidden="false" customHeight="false" outlineLevel="0" collapsed="false">
      <c r="B226" s="7" t="s">
        <v>429</v>
      </c>
      <c r="C226" s="8" t="n">
        <v>2022</v>
      </c>
      <c r="D226" s="8" t="n">
        <v>5</v>
      </c>
      <c r="E226" s="15" t="n">
        <v>164.689363114084</v>
      </c>
      <c r="F226" s="15" t="n">
        <v>152.126681744061</v>
      </c>
      <c r="G226" s="15" t="n">
        <v>151.03686923588</v>
      </c>
      <c r="H226" s="12" t="n">
        <f aca="false">E226/E214-1</f>
        <v>0.0894364052584651</v>
      </c>
      <c r="I226" s="14" t="n">
        <f aca="false">F226/F225-1</f>
        <v>0.000190514396928299</v>
      </c>
      <c r="J226" s="12" t="n">
        <f aca="false">(AVERAGE(F224:F226)/AVERAGE(F221:F223))^4-1</f>
        <v>0.0509916458227655</v>
      </c>
    </row>
    <row r="227" customFormat="false" ht="15" hidden="false" customHeight="false" outlineLevel="0" collapsed="false">
      <c r="B227" s="7" t="s">
        <v>430</v>
      </c>
      <c r="C227" s="8" t="n">
        <v>2022</v>
      </c>
      <c r="D227" s="8" t="n">
        <v>6</v>
      </c>
      <c r="E227" s="15" t="n">
        <v>161.454834281213</v>
      </c>
      <c r="F227" s="15" t="n">
        <v>154.302974508127</v>
      </c>
      <c r="G227" s="15" t="n">
        <v>151.230127513296</v>
      </c>
      <c r="H227" s="12" t="n">
        <f aca="false">E227/E215-1</f>
        <v>0.0837377449005134</v>
      </c>
      <c r="I227" s="14" t="n">
        <f aca="false">F227/F226-1</f>
        <v>0.0143057926401617</v>
      </c>
      <c r="J227" s="12" t="n">
        <f aca="false">(AVERAGE(F225:F227)/AVERAGE(F222:F224))^4-1</f>
        <v>0.0820097542621188</v>
      </c>
    </row>
    <row r="228" customFormat="false" ht="15" hidden="false" customHeight="false" outlineLevel="0" collapsed="false">
      <c r="B228" s="7" t="s">
        <v>431</v>
      </c>
      <c r="C228" s="8" t="n">
        <v>2022</v>
      </c>
      <c r="D228" s="8" t="n">
        <v>7</v>
      </c>
      <c r="E228" s="15" t="n">
        <v>152.445387435861</v>
      </c>
      <c r="F228" s="15" t="n">
        <v>152.558197358768</v>
      </c>
      <c r="G228" s="15" t="n">
        <v>151.243939620177</v>
      </c>
      <c r="H228" s="12" t="n">
        <f aca="false">E228/E216-1</f>
        <v>0.0703486757445369</v>
      </c>
      <c r="I228" s="14" t="n">
        <f aca="false">F228/F227-1</f>
        <v>-0.011307475795082</v>
      </c>
      <c r="J228" s="12" t="n">
        <f aca="false">(AVERAGE(F226:F228)/AVERAGE(F223:F225))^4-1</f>
        <v>0.0525017381468649</v>
      </c>
    </row>
    <row r="229" customFormat="false" ht="15" hidden="false" customHeight="false" outlineLevel="0" collapsed="false">
      <c r="B229" s="7" t="s">
        <v>432</v>
      </c>
      <c r="C229" s="8" t="n">
        <v>2022</v>
      </c>
      <c r="D229" s="8" t="n">
        <v>8</v>
      </c>
      <c r="E229" s="15" t="n">
        <v>151.465738916062</v>
      </c>
      <c r="F229" s="15" t="n">
        <v>151.723014990957</v>
      </c>
      <c r="G229" s="15" t="n">
        <v>151.104034813825</v>
      </c>
      <c r="H229" s="12" t="n">
        <f aca="false">E229/E217-1</f>
        <v>0.0744160496477324</v>
      </c>
      <c r="I229" s="14" t="n">
        <f aca="false">F229/F228-1</f>
        <v>-0.00547451649448905</v>
      </c>
      <c r="J229" s="12" t="n">
        <f aca="false">(AVERAGE(F227:F229)/AVERAGE(F224:F226))^4-1</f>
        <v>0.0357834674255575</v>
      </c>
    </row>
    <row r="230" customFormat="false" ht="15" hidden="false" customHeight="false" outlineLevel="0" collapsed="false">
      <c r="B230" s="7" t="s">
        <v>433</v>
      </c>
      <c r="C230" s="8" t="n">
        <v>2022</v>
      </c>
      <c r="D230" s="8" t="n">
        <v>9</v>
      </c>
      <c r="E230" s="15" t="n">
        <v>149.174349705282</v>
      </c>
      <c r="F230" s="15" t="n">
        <v>150.787751125179</v>
      </c>
      <c r="G230" s="15" t="n">
        <v>150.845261354454</v>
      </c>
      <c r="H230" s="12" t="n">
        <f aca="false">E230/E218-1</f>
        <v>0.0557571031563637</v>
      </c>
      <c r="I230" s="14" t="n">
        <f aca="false">F230/F229-1</f>
        <v>-0.00616428473843911</v>
      </c>
      <c r="J230" s="12" t="n">
        <f aca="false">(AVERAGE(F228:F230)/AVERAGE(F225:F227))^4-1</f>
        <v>-0.0298299943584538</v>
      </c>
    </row>
    <row r="231" customFormat="false" ht="15" hidden="false" customHeight="false" outlineLevel="0" collapsed="false">
      <c r="B231" s="7" t="s">
        <v>434</v>
      </c>
      <c r="C231" s="8" t="n">
        <v>2022</v>
      </c>
      <c r="D231" s="8" t="n">
        <v>10</v>
      </c>
      <c r="E231" s="15" t="n">
        <v>146.554396161703</v>
      </c>
      <c r="F231" s="15" t="n">
        <v>149.085759213899</v>
      </c>
      <c r="G231" s="15" t="n">
        <v>150.506455890495</v>
      </c>
      <c r="H231" s="12" t="n">
        <f aca="false">E231/E219-1</f>
        <v>0.0504580126693119</v>
      </c>
      <c r="I231" s="14" t="n">
        <f aca="false">F231/F230-1</f>
        <v>-0.011287335334462</v>
      </c>
      <c r="J231" s="12" t="n">
        <f aca="false">(AVERAGE(F229:F231)/AVERAGE(F226:F228))^4-1</f>
        <v>-0.062874844757486</v>
      </c>
    </row>
    <row r="232" customFormat="false" ht="15" hidden="false" customHeight="false" outlineLevel="0" collapsed="false">
      <c r="B232" s="7" t="s">
        <v>435</v>
      </c>
      <c r="C232" s="8" t="n">
        <v>2022</v>
      </c>
      <c r="D232" s="8" t="n">
        <v>11</v>
      </c>
      <c r="E232" s="15" t="n">
        <v>148.030494929525</v>
      </c>
      <c r="F232" s="15" t="n">
        <v>148.327566132046</v>
      </c>
      <c r="G232" s="15" t="n">
        <v>150.124867580783</v>
      </c>
      <c r="H232" s="12" t="n">
        <f aca="false">E232/E220-1</f>
        <v>0.0297639055677559</v>
      </c>
      <c r="I232" s="14" t="n">
        <f aca="false">F232/F231-1</f>
        <v>-0.00508561706933786</v>
      </c>
      <c r="J232" s="12" t="n">
        <f aca="false">(AVERAGE(F230:F232)/AVERAGE(F227:F229))^4-1</f>
        <v>-0.0875369627272596</v>
      </c>
    </row>
    <row r="233" customFormat="false" ht="15" hidden="false" customHeight="false" outlineLevel="0" collapsed="false">
      <c r="B233" s="7" t="s">
        <v>436</v>
      </c>
      <c r="C233" s="8" t="n">
        <v>2022</v>
      </c>
      <c r="D233" s="8" t="n">
        <v>12</v>
      </c>
      <c r="E233" s="15" t="n">
        <v>146.18080633796</v>
      </c>
      <c r="F233" s="15" t="n">
        <v>148.485243711314</v>
      </c>
      <c r="G233" s="15" t="n">
        <v>149.733369176475</v>
      </c>
      <c r="H233" s="12" t="n">
        <f aca="false">E233/E221-1</f>
        <v>-0.00712540139377671</v>
      </c>
      <c r="I233" s="14" t="n">
        <f aca="false">F233/F232-1</f>
        <v>0.00106303624726989</v>
      </c>
      <c r="J233" s="12" t="n">
        <f aca="false">(AVERAGE(F231:F233)/AVERAGE(F228:F230))^4-1</f>
        <v>-0.0782026671377721</v>
      </c>
    </row>
    <row r="234" customFormat="false" ht="15" hidden="false" customHeight="false" outlineLevel="0" collapsed="false">
      <c r="B234" s="7" t="s">
        <v>437</v>
      </c>
      <c r="C234" s="8" t="n">
        <v>2023</v>
      </c>
      <c r="D234" s="8" t="n">
        <v>1</v>
      </c>
      <c r="E234" s="15" t="n">
        <v>143.034623494875</v>
      </c>
      <c r="F234" s="15" t="n">
        <v>149.957729660816</v>
      </c>
      <c r="G234" s="15" t="n">
        <v>149.355039716359</v>
      </c>
      <c r="H234" s="12" t="n">
        <f aca="false">E234/E222-1</f>
        <v>0.0243247741758439</v>
      </c>
      <c r="I234" s="14" t="n">
        <f aca="false">F234/F233-1</f>
        <v>0.00991671571327735</v>
      </c>
      <c r="J234" s="12" t="n">
        <f aca="false">(AVERAGE(F232:F234)/AVERAGE(F229:F231))^4-1</f>
        <v>-0.0420656571210764</v>
      </c>
    </row>
    <row r="235" customFormat="false" ht="15" hidden="false" customHeight="false" outlineLevel="0" collapsed="false">
      <c r="B235" s="7" t="s">
        <v>438</v>
      </c>
      <c r="C235" s="8" t="n">
        <v>2023</v>
      </c>
      <c r="D235" s="8" t="n">
        <v>2</v>
      </c>
      <c r="E235" s="15" t="n">
        <v>137.266462764765</v>
      </c>
      <c r="F235" s="15" t="n">
        <v>150.15642424124</v>
      </c>
      <c r="G235" s="15" t="n">
        <v>148.999905222474</v>
      </c>
      <c r="H235" s="12" t="n">
        <f aca="false">E235/E223-1</f>
        <v>-0.00422961783035059</v>
      </c>
      <c r="I235" s="14" t="n">
        <f aca="false">F235/F234-1</f>
        <v>0.00132500392526702</v>
      </c>
      <c r="J235" s="12" t="n">
        <f aca="false">(AVERAGE(F233:F235)/AVERAGE(F230:F232))^4-1</f>
        <v>0.00355958489444452</v>
      </c>
    </row>
    <row r="236" customFormat="false" ht="15" hidden="false" customHeight="false" outlineLevel="0" collapsed="false">
      <c r="B236" s="7" t="s">
        <v>439</v>
      </c>
      <c r="C236" s="8" t="n">
        <v>2023</v>
      </c>
      <c r="D236" s="8" t="n">
        <v>3</v>
      </c>
      <c r="E236" s="15" t="n">
        <v>155.065013668986</v>
      </c>
      <c r="F236" s="15" t="n">
        <v>150.755963017803</v>
      </c>
      <c r="G236" s="15" t="n">
        <v>148.663738700249</v>
      </c>
      <c r="H236" s="12" t="n">
        <f aca="false">E236/E224-1</f>
        <v>0.00736800237821877</v>
      </c>
      <c r="I236" s="14" t="n">
        <f aca="false">F236/F235-1</f>
        <v>0.00399276141259186</v>
      </c>
      <c r="J236" s="12" t="n">
        <f aca="false">(AVERAGE(F234:F236)/AVERAGE(F231:F233))^4-1</f>
        <v>0.0453494439787152</v>
      </c>
    </row>
    <row r="237" customFormat="false" ht="15" hidden="false" customHeight="false" outlineLevel="0" collapsed="false">
      <c r="B237" s="7" t="s">
        <v>440</v>
      </c>
      <c r="C237" s="8" t="n">
        <v>2023</v>
      </c>
      <c r="D237" s="8" t="n">
        <v>4</v>
      </c>
      <c r="E237" s="15" t="n">
        <v>150.05952685125</v>
      </c>
      <c r="F237" s="15" t="n">
        <v>147.357487354051</v>
      </c>
      <c r="G237" s="15" t="n">
        <v>148.332214298471</v>
      </c>
      <c r="H237" s="12" t="n">
        <f aca="false">E237/E225-1</f>
        <v>-0.0482182146937318</v>
      </c>
      <c r="I237" s="14" t="n">
        <f aca="false">F237/F236-1</f>
        <v>-0.022542893798176</v>
      </c>
      <c r="J237" s="12" t="n">
        <f aca="false">(AVERAGE(F235:F237)/AVERAGE(F232:F234))^4-1</f>
        <v>0.0134914851699131</v>
      </c>
    </row>
    <row r="238" customFormat="false" ht="15" hidden="false" customHeight="false" outlineLevel="0" collapsed="false">
      <c r="B238" s="7" t="s">
        <v>441</v>
      </c>
      <c r="C238" s="8" t="n">
        <v>2023</v>
      </c>
      <c r="D238" s="8" t="n">
        <v>5</v>
      </c>
      <c r="E238" s="15" t="n">
        <v>153.810854192605</v>
      </c>
      <c r="F238" s="15" t="n">
        <v>145.552726052802</v>
      </c>
      <c r="G238" s="15" t="n">
        <v>147.982971452392</v>
      </c>
      <c r="H238" s="12" t="n">
        <f aca="false">E238/E226-1</f>
        <v>-0.0660547148630547</v>
      </c>
      <c r="I238" s="14" t="n">
        <f aca="false">F238/F237-1</f>
        <v>-0.0122475032226456</v>
      </c>
      <c r="J238" s="12" t="n">
        <f aca="false">(AVERAGE(F236:F238)/AVERAGE(F233:F235))^4-1</f>
        <v>-0.0432674733612711</v>
      </c>
    </row>
    <row r="239" customFormat="false" ht="15" hidden="false" customHeight="false" outlineLevel="0" collapsed="false">
      <c r="B239" s="7" t="s">
        <v>442</v>
      </c>
      <c r="C239" s="8" t="n">
        <v>2023</v>
      </c>
      <c r="D239" s="8" t="n">
        <v>6</v>
      </c>
      <c r="E239" s="15" t="n">
        <v>152.595476048091</v>
      </c>
      <c r="F239" s="15" t="n">
        <v>146.063267496761</v>
      </c>
      <c r="G239" s="15" t="n">
        <v>147.59607526378</v>
      </c>
      <c r="H239" s="12" t="n">
        <f aca="false">E239/E227-1</f>
        <v>-0.0548720530578297</v>
      </c>
      <c r="I239" s="14" t="n">
        <f aca="false">F239/F238-1</f>
        <v>0.00350760482338197</v>
      </c>
      <c r="J239" s="12" t="n">
        <f aca="false">(AVERAGE(F237:F239)/AVERAGE(F234:F236))^4-1</f>
        <v>-0.101439483839426</v>
      </c>
    </row>
    <row r="240" customFormat="false" ht="15" hidden="false" customHeight="false" outlineLevel="0" collapsed="false">
      <c r="B240" s="7" t="s">
        <v>443</v>
      </c>
      <c r="C240" s="8" t="n">
        <v>2023</v>
      </c>
      <c r="D240" s="8" t="n">
        <v>7</v>
      </c>
      <c r="E240" s="15" t="n">
        <v>150.203125481903</v>
      </c>
      <c r="F240" s="15" t="n">
        <v>148.724663808793</v>
      </c>
      <c r="G240" s="15" t="n">
        <v>147.15967189693</v>
      </c>
      <c r="H240" s="12" t="n">
        <f aca="false">E240/E228-1</f>
        <v>-0.0147086244567465</v>
      </c>
      <c r="I240" s="14" t="n">
        <f aca="false">F240/F239-1</f>
        <v>0.0182208460596818</v>
      </c>
      <c r="J240" s="12" t="n">
        <f aca="false">(AVERAGE(F238:F240)/AVERAGE(F235:F237))^4-1</f>
        <v>-0.0688987042324583</v>
      </c>
    </row>
    <row r="241" customFormat="false" ht="15" hidden="false" customHeight="false" outlineLevel="0" collapsed="false">
      <c r="B241" s="7" t="s">
        <v>444</v>
      </c>
      <c r="C241" s="8" t="n">
        <v>2023</v>
      </c>
      <c r="D241" s="8" t="n">
        <v>8</v>
      </c>
      <c r="E241" s="15" t="n">
        <v>151.922179358049</v>
      </c>
      <c r="F241" s="15" t="n">
        <v>150.056945840458</v>
      </c>
      <c r="G241" s="15" t="n">
        <v>146.670091442488</v>
      </c>
      <c r="H241" s="12" t="n">
        <f aca="false">E241/E229-1</f>
        <v>0.00301348968587889</v>
      </c>
      <c r="I241" s="14" t="n">
        <f aca="false">F241/F240-1</f>
        <v>0.00895804365964104</v>
      </c>
      <c r="J241" s="12" t="n">
        <f aca="false">(AVERAGE(F239:F241)/AVERAGE(F236:F238))^4-1</f>
        <v>0.0106693396211899</v>
      </c>
    </row>
    <row r="242" customFormat="false" ht="15" hidden="false" customHeight="false" outlineLevel="0" collapsed="false">
      <c r="B242" s="7" t="s">
        <v>445</v>
      </c>
      <c r="C242" s="8" t="n">
        <v>2023</v>
      </c>
      <c r="D242" s="8" t="n">
        <v>9</v>
      </c>
      <c r="E242" s="15" t="n">
        <v>148.412379639874</v>
      </c>
      <c r="F242" s="15" t="n">
        <v>149.698247005709</v>
      </c>
      <c r="G242" s="15" t="n">
        <v>146.136766119307</v>
      </c>
      <c r="H242" s="12" t="n">
        <f aca="false">E242/E230-1</f>
        <v>-0.00510791611904538</v>
      </c>
      <c r="I242" s="14" t="n">
        <f aca="false">F242/F241-1</f>
        <v>-0.00239041806922202</v>
      </c>
      <c r="J242" s="12" t="n">
        <f aca="false">(AVERAGE(F240:F242)/AVERAGE(F237:F239))^4-1</f>
        <v>0.0894784091807672</v>
      </c>
    </row>
    <row r="243" customFormat="false" ht="15" hidden="false" customHeight="false" outlineLevel="0" collapsed="false">
      <c r="B243" s="7" t="s">
        <v>446</v>
      </c>
      <c r="C243" s="8" t="n">
        <v>2023</v>
      </c>
      <c r="D243" s="8" t="n">
        <v>10</v>
      </c>
      <c r="E243" s="15" t="n">
        <v>147.513813054149</v>
      </c>
      <c r="F243" s="15" t="n">
        <v>148.013211371601</v>
      </c>
      <c r="G243" s="15" t="n">
        <v>145.582622676322</v>
      </c>
      <c r="H243" s="12" t="n">
        <f aca="false">E243/E231-1</f>
        <v>0.00654649002399577</v>
      </c>
      <c r="I243" s="14" t="n">
        <f aca="false">F243/F242-1</f>
        <v>-0.0112562148709962</v>
      </c>
      <c r="J243" s="12" t="n">
        <f aca="false">(AVERAGE(F241:F243)/AVERAGE(F238:F240))^4-1</f>
        <v>0.0691992255976297</v>
      </c>
    </row>
    <row r="244" customFormat="false" ht="15" hidden="false" customHeight="false" outlineLevel="0" collapsed="false">
      <c r="B244" s="7" t="s">
        <v>447</v>
      </c>
      <c r="C244" s="8" t="n">
        <v>2023</v>
      </c>
      <c r="D244" s="8" t="n">
        <v>11</v>
      </c>
      <c r="E244" s="15" t="n">
        <v>146.366352327212</v>
      </c>
      <c r="F244" s="15" t="n">
        <v>146.388298540618</v>
      </c>
      <c r="G244" s="15" t="n">
        <v>145.038680204669</v>
      </c>
      <c r="H244" s="12" t="n">
        <f aca="false">E244/E232-1</f>
        <v>-0.0112418904166028</v>
      </c>
      <c r="I244" s="14" t="n">
        <f aca="false">F244/F243-1</f>
        <v>-0.0109781607731203</v>
      </c>
      <c r="J244" s="12" t="n">
        <f aca="false">(AVERAGE(F242:F244)/AVERAGE(F239:F241))^4-1</f>
        <v>-0.00668323030041995</v>
      </c>
    </row>
    <row r="245" customFormat="false" ht="15" hidden="false" customHeight="false" outlineLevel="0" collapsed="false">
      <c r="B245" s="7" t="s">
        <v>448</v>
      </c>
      <c r="C245" s="8" t="n">
        <v>2023</v>
      </c>
      <c r="D245" s="8" t="n">
        <v>12</v>
      </c>
      <c r="E245" s="15" t="n">
        <v>139.342627237772</v>
      </c>
      <c r="F245" s="15" t="n">
        <v>142.867470302908</v>
      </c>
      <c r="G245" s="15" t="n">
        <v>144.548224394054</v>
      </c>
      <c r="H245" s="12" t="n">
        <f aca="false">E245/E233-1</f>
        <v>-0.0467789121670261</v>
      </c>
      <c r="I245" s="14" t="n">
        <f aca="false">F245/F244-1</f>
        <v>-0.0240512955803821</v>
      </c>
      <c r="J245" s="12" t="n">
        <f aca="false">(AVERAGE(F243:F245)/AVERAGE(F240:F242))^4-1</f>
        <v>-0.096302850856658</v>
      </c>
    </row>
    <row r="246" customFormat="false" ht="15" hidden="false" customHeight="false" outlineLevel="0" collapsed="false">
      <c r="B246" s="7" t="s">
        <v>449</v>
      </c>
      <c r="C246" s="8" t="n">
        <v>2024</v>
      </c>
      <c r="D246" s="8" t="n">
        <v>1</v>
      </c>
      <c r="E246" s="15" t="n">
        <v>137.373351200584</v>
      </c>
      <c r="F246" s="15" t="n">
        <v>143.553673105494</v>
      </c>
      <c r="G246" s="15" t="n">
        <v>144.158953321793</v>
      </c>
      <c r="H246" s="12" t="n">
        <f aca="false">E246/E234-1</f>
        <v>-0.0395797336055074</v>
      </c>
      <c r="I246" s="14" t="n">
        <f aca="false">F246/F245-1</f>
        <v>0.00480307239381106</v>
      </c>
      <c r="J246" s="12" t="n">
        <f aca="false">(AVERAGE(F244:F246)/AVERAGE(F241:F243))^4-1</f>
        <v>-0.127082651144844</v>
      </c>
    </row>
    <row r="247" customFormat="false" ht="15" hidden="false" customHeight="false" outlineLevel="0" collapsed="false">
      <c r="B247" s="7" t="s">
        <v>450</v>
      </c>
      <c r="C247" s="8" t="n">
        <v>2024</v>
      </c>
      <c r="D247" s="8" t="n">
        <v>2</v>
      </c>
      <c r="E247" s="15" t="n">
        <v>133.464505810053</v>
      </c>
      <c r="F247" s="15" t="n">
        <v>143.808819647812</v>
      </c>
      <c r="G247" s="15" t="n">
        <v>143.916703474042</v>
      </c>
      <c r="H247" s="12" t="n">
        <f aca="false">E247/E235-1</f>
        <v>-0.0276976391620671</v>
      </c>
      <c r="I247" s="14" t="n">
        <f aca="false">F247/F246-1</f>
        <v>0.0017773599016897</v>
      </c>
      <c r="J247" s="12" t="n">
        <f aca="false">(AVERAGE(F245:F247)/AVERAGE(F242:F244))^4-1</f>
        <v>-0.119193580728226</v>
      </c>
    </row>
    <row r="248" customFormat="false" ht="15" hidden="false" customHeight="false" outlineLevel="0" collapsed="false">
      <c r="B248" s="7" t="s">
        <v>451</v>
      </c>
      <c r="C248" s="8" t="n">
        <v>2024</v>
      </c>
      <c r="D248" s="8" t="n">
        <v>3</v>
      </c>
      <c r="E248" s="15" t="n">
        <v>142.395723856373</v>
      </c>
      <c r="F248" s="15" t="n">
        <v>142.114530417108</v>
      </c>
      <c r="G248" s="15" t="n">
        <v>143.86036158327</v>
      </c>
      <c r="H248" s="12" t="n">
        <f aca="false">E248/E236-1</f>
        <v>-0.0817030838410703</v>
      </c>
      <c r="I248" s="14" t="n">
        <f aca="false">F248/F247-1</f>
        <v>-0.0117815390937259</v>
      </c>
      <c r="J248" s="12" t="n">
        <f aca="false">(AVERAGE(F246:F248)/AVERAGE(F243:F245))^4-1</f>
        <v>-0.0693956928634706</v>
      </c>
    </row>
    <row r="249" customFormat="false" ht="15" hidden="false" customHeight="false" outlineLevel="0" collapsed="false">
      <c r="B249" s="7" t="s">
        <v>452</v>
      </c>
      <c r="C249" s="8" t="n">
        <v>2024</v>
      </c>
      <c r="D249" s="8" t="n">
        <v>4</v>
      </c>
      <c r="E249" s="15" t="n">
        <v>147.256900087678</v>
      </c>
      <c r="F249" s="15" t="n">
        <v>141.056115880009</v>
      </c>
      <c r="G249" s="15" t="n">
        <v>144.011259264449</v>
      </c>
      <c r="H249" s="12" t="n">
        <f aca="false">E249/E237-1</f>
        <v>-0.0186767666297574</v>
      </c>
      <c r="I249" s="14" t="n">
        <f aca="false">F249/F248-1</f>
        <v>-0.00744761660889259</v>
      </c>
      <c r="J249" s="12" t="n">
        <f aca="false">(AVERAGE(F247:F249)/AVERAGE(F244:F246))^4-1</f>
        <v>-0.0528013889517963</v>
      </c>
    </row>
    <row r="250" customFormat="false" ht="15" hidden="false" customHeight="false" outlineLevel="0" collapsed="false">
      <c r="B250" s="7" t="s">
        <v>453</v>
      </c>
      <c r="C250" s="8" t="n">
        <v>2024</v>
      </c>
      <c r="D250" s="8" t="n">
        <v>5</v>
      </c>
      <c r="E250" s="15" t="n">
        <v>156.769098896166</v>
      </c>
      <c r="F250" s="15" t="n">
        <v>142.836197278762</v>
      </c>
      <c r="G250" s="15" t="n">
        <v>144.370345915319</v>
      </c>
      <c r="H250" s="12" t="n">
        <f aca="false">E250/E238-1</f>
        <v>0.0192330035424979</v>
      </c>
      <c r="I250" s="14" t="n">
        <f aca="false">F250/F249-1</f>
        <v>0.0126196683330453</v>
      </c>
      <c r="J250" s="12" t="n">
        <f aca="false">(AVERAGE(F248:F250)/AVERAGE(F245:F247))^4-1</f>
        <v>-0.0386894898163843</v>
      </c>
    </row>
    <row r="251" customFormat="false" ht="15" hidden="false" customHeight="false" outlineLevel="0" collapsed="false">
      <c r="B251" s="7" t="s">
        <v>454</v>
      </c>
      <c r="C251" s="8" t="n">
        <v>2024</v>
      </c>
      <c r="D251" s="8" t="n">
        <v>6</v>
      </c>
      <c r="E251" s="15" t="n">
        <v>147.357121519744</v>
      </c>
      <c r="F251" s="15" t="n">
        <v>143.718751840871</v>
      </c>
      <c r="G251" s="15" t="n">
        <v>144.920870859941</v>
      </c>
      <c r="H251" s="12" t="n">
        <f aca="false">E251/E239-1</f>
        <v>-0.0343283737107417</v>
      </c>
      <c r="I251" s="14" t="n">
        <f aca="false">F251/F250-1</f>
        <v>0.00617878786276127</v>
      </c>
      <c r="J251" s="12" t="n">
        <f aca="false">(AVERAGE(F249:F251)/AVERAGE(F246:F248))^4-1</f>
        <v>-0.0172659551206477</v>
      </c>
    </row>
    <row r="252" customFormat="false" ht="15" hidden="false" customHeight="false" outlineLevel="0" collapsed="false">
      <c r="B252" s="7" t="s">
        <v>455</v>
      </c>
      <c r="C252" s="8" t="n">
        <v>2024</v>
      </c>
      <c r="D252" s="8" t="n">
        <v>7</v>
      </c>
      <c r="E252" s="15" t="n">
        <v>149.651700478372</v>
      </c>
      <c r="F252" s="15" t="n">
        <v>147.282943313062</v>
      </c>
      <c r="G252" s="15" t="n">
        <v>145.629500947586</v>
      </c>
      <c r="H252" s="12" t="n">
        <f aca="false">E252/E240-1</f>
        <v>-0.00367119526815407</v>
      </c>
      <c r="I252" s="14" t="n">
        <f aca="false">F252/F251-1</f>
        <v>0.0247997663946953</v>
      </c>
      <c r="J252" s="12" t="n">
        <f aca="false">(AVERAGE(F250:F252)/AVERAGE(F247:F249))^4-1</f>
        <v>0.0658153429993329</v>
      </c>
    </row>
    <row r="253" customFormat="false" ht="15" hidden="false" customHeight="false" outlineLevel="0" collapsed="false">
      <c r="B253" s="7" t="s">
        <v>456</v>
      </c>
      <c r="C253" s="8" t="n">
        <v>2024</v>
      </c>
      <c r="D253" s="8" t="n">
        <v>8</v>
      </c>
      <c r="E253" s="15" t="n">
        <v>147.281247623442</v>
      </c>
      <c r="F253" s="15" t="n">
        <v>147.774598454863</v>
      </c>
      <c r="G253" s="15" t="n">
        <v>146.449799460046</v>
      </c>
      <c r="H253" s="12" t="n">
        <f aca="false">E253/E241-1</f>
        <v>-0.0305480855673461</v>
      </c>
      <c r="I253" s="14" t="n">
        <f aca="false">F253/F252-1</f>
        <v>0.0033381675484061</v>
      </c>
      <c r="J253" s="12" t="n">
        <f aca="false">(AVERAGE(F251:F253)/AVERAGE(F248:F250))^4-1</f>
        <v>0.125398462978479</v>
      </c>
    </row>
    <row r="254" customFormat="false" ht="15" hidden="false" customHeight="false" outlineLevel="0" collapsed="false">
      <c r="B254" s="7" t="s">
        <v>457</v>
      </c>
      <c r="C254" s="8" t="n">
        <v>2024</v>
      </c>
      <c r="D254" s="8" t="n">
        <v>9</v>
      </c>
      <c r="E254" s="15" t="n">
        <v>144.796701895489</v>
      </c>
      <c r="F254" s="15" t="n">
        <v>147.826652668076</v>
      </c>
      <c r="G254" s="15" t="n">
        <v>147.329668840771</v>
      </c>
      <c r="H254" s="12" t="n">
        <f aca="false">E254/E242-1</f>
        <v>-0.0243623729580976</v>
      </c>
      <c r="I254" s="14" t="n">
        <f aca="false">F254/F253-1</f>
        <v>0.000352254134045271</v>
      </c>
      <c r="J254" s="12" t="n">
        <f aca="false">(AVERAGE(F252:F254)/AVERAGE(F249:F251))^4-1</f>
        <v>0.150707616498277</v>
      </c>
    </row>
    <row r="255" customFormat="false" ht="15" hidden="false" customHeight="false" outlineLevel="0" collapsed="false">
      <c r="B255" s="7" t="s">
        <v>458</v>
      </c>
      <c r="C255" s="8" t="n">
        <v>2024</v>
      </c>
      <c r="D255" s="8" t="n">
        <v>10</v>
      </c>
      <c r="E255" s="15" t="n">
        <v>148.103951402129</v>
      </c>
      <c r="F255" s="15" t="n">
        <v>149.047022108281</v>
      </c>
      <c r="G255" s="15" t="n">
        <v>148.212645994451</v>
      </c>
      <c r="H255" s="12" t="n">
        <f aca="false">E255/E243-1</f>
        <v>0.00400056330835574</v>
      </c>
      <c r="I255" s="14" t="n">
        <f aca="false">F255/F254-1</f>
        <v>0.00825540873840014</v>
      </c>
      <c r="J255" s="12" t="n">
        <f aca="false">(AVERAGE(F253:F255)/AVERAGE(F250:F252))^4-1</f>
        <v>0.103459794231396</v>
      </c>
    </row>
    <row r="256" customFormat="false" ht="15" hidden="false" customHeight="false" outlineLevel="0" collapsed="false">
      <c r="B256" s="7" t="s">
        <v>459</v>
      </c>
      <c r="C256" s="8" t="n">
        <v>2024</v>
      </c>
      <c r="D256" s="8" t="n">
        <v>11</v>
      </c>
      <c r="E256" s="15" t="n">
        <v>148.178733517471</v>
      </c>
      <c r="F256" s="15" t="n">
        <v>150.802058920112</v>
      </c>
      <c r="G256" s="15" t="n">
        <v>149.049515316086</v>
      </c>
      <c r="H256" s="12" t="n">
        <f aca="false">E256/E244-1</f>
        <v>0.0123824988560759</v>
      </c>
      <c r="I256" s="14" t="n">
        <f aca="false">F256/F255-1</f>
        <v>0.0117750545231081</v>
      </c>
      <c r="J256" s="12" t="n">
        <f aca="false">(AVERAGE(F254:F256)/AVERAGE(F251:F253))^4-1</f>
        <v>0.0836314351762246</v>
      </c>
    </row>
    <row r="257" customFormat="false" ht="15" hidden="false" customHeight="false" outlineLevel="0" collapsed="false">
      <c r="B257" s="7" t="s">
        <v>460</v>
      </c>
      <c r="C257" s="8" t="n">
        <v>2024</v>
      </c>
      <c r="D257" s="8" t="n">
        <v>12</v>
      </c>
      <c r="E257" s="15" t="n">
        <v>148.677601528375</v>
      </c>
      <c r="F257" s="15" t="n">
        <v>151.485274747597</v>
      </c>
      <c r="G257" s="15" t="n">
        <v>149.803997146575</v>
      </c>
      <c r="H257" s="12" t="n">
        <f aca="false">E257/E245-1</f>
        <v>0.0669929545298007</v>
      </c>
      <c r="I257" s="14" t="n">
        <f aca="false">F257/F256-1</f>
        <v>0.00453054707858436</v>
      </c>
      <c r="J257" s="12" t="n">
        <f aca="false">(AVERAGE(F255:F257)/AVERAGE(F252:F254))^4-1</f>
        <v>0.0785315345483972</v>
      </c>
    </row>
    <row r="258" customFormat="false" ht="15" hidden="false" customHeight="false" outlineLevel="0" collapsed="false">
      <c r="B258" s="7" t="s">
        <v>461</v>
      </c>
      <c r="C258" s="8" t="n">
        <v>2025</v>
      </c>
      <c r="D258" s="8" t="n">
        <v>1</v>
      </c>
      <c r="E258" s="15" t="n">
        <v>146.496636450522</v>
      </c>
      <c r="F258" s="15" t="n">
        <v>151.930933398711</v>
      </c>
      <c r="G258" s="15" t="n">
        <v>150.451088612135</v>
      </c>
      <c r="H258" s="12" t="n">
        <f aca="false">E258/E246-1</f>
        <v>0.0664123366737808</v>
      </c>
      <c r="I258" s="14" t="n">
        <f aca="false">F258/F257-1</f>
        <v>0.00294192720616415</v>
      </c>
      <c r="J258" s="12" t="n">
        <f aca="false">(AVERAGE(F256:F258)/AVERAGE(F253:F255))^4-1</f>
        <v>0.0889098936932624</v>
      </c>
    </row>
    <row r="259" customFormat="false" ht="15" hidden="false" customHeight="false" outlineLevel="0" collapsed="false">
      <c r="B259" s="7" t="s">
        <v>462</v>
      </c>
      <c r="C259" s="8" t="n">
        <v>2025</v>
      </c>
      <c r="D259" s="8" t="n">
        <v>2</v>
      </c>
      <c r="E259" s="15" t="n">
        <v>141.404599640534</v>
      </c>
      <c r="F259" s="15" t="n">
        <v>153.542654381892</v>
      </c>
      <c r="G259" s="15" t="n">
        <v>150.980348913238</v>
      </c>
      <c r="H259" s="12" t="n">
        <f aca="false">E259/E247-1</f>
        <v>0.059492175708362</v>
      </c>
      <c r="I259" s="14" t="n">
        <f aca="false">F259/F258-1</f>
        <v>0.0106082477552572</v>
      </c>
      <c r="J259" s="12" t="n">
        <f aca="false">(AVERAGE(F257:F259)/AVERAGE(F254:F256))^4-1</f>
        <v>0.0855609255405621</v>
      </c>
    </row>
    <row r="260" customFormat="false" ht="15" hidden="false" customHeight="false" outlineLevel="0" collapsed="false">
      <c r="B260" s="7" t="s">
        <v>463</v>
      </c>
      <c r="C260" s="8" t="n">
        <v>2025</v>
      </c>
      <c r="D260" s="8" t="n">
        <v>3</v>
      </c>
      <c r="E260" s="15" t="n">
        <v>150.61015153617</v>
      </c>
      <c r="F260" s="15" t="n">
        <v>149.34718181687</v>
      </c>
      <c r="G260" s="15" t="n">
        <v>151.39565416408</v>
      </c>
      <c r="H260" s="12" t="n">
        <f aca="false">E260/E248-1</f>
        <v>0.057687319937239</v>
      </c>
      <c r="I260" s="14" t="n">
        <f aca="false">F260/F259-1</f>
        <v>-0.027324475937396</v>
      </c>
      <c r="J260" s="12" t="n">
        <f aca="false">(AVERAGE(F258:F260)/AVERAGE(F255:F257))^4-1</f>
        <v>0.0312585945701875</v>
      </c>
    </row>
    <row r="261" customFormat="false" ht="15" hidden="false" customHeight="false" outlineLevel="0" collapsed="false">
      <c r="B261" s="7" t="s">
        <v>464</v>
      </c>
      <c r="C261" s="8" t="n">
        <v>2025</v>
      </c>
      <c r="D261" s="8" t="n">
        <v>4</v>
      </c>
      <c r="E261" s="15" t="n">
        <v>158.939298772999</v>
      </c>
      <c r="F261" s="15" t="n">
        <v>152.384098030815</v>
      </c>
      <c r="G261" s="15" t="n">
        <v>151.712066880801</v>
      </c>
      <c r="H261" s="12" t="n">
        <f aca="false">E261/E249-1</f>
        <v>0.079333455195413</v>
      </c>
      <c r="I261" s="14" t="n">
        <f aca="false">F261/F260-1</f>
        <v>0.0203346067665937</v>
      </c>
      <c r="J261" s="12" t="n">
        <f aca="false">(AVERAGE(F259:F261)/AVERAGE(F256:F258))^4-1</f>
        <v>0.00932902284331627</v>
      </c>
    </row>
    <row r="262" customFormat="false" ht="15" hidden="false" customHeight="false" outlineLevel="0" collapsed="false">
      <c r="B262" s="7" t="s">
        <v>465</v>
      </c>
      <c r="C262" s="8" t="n">
        <v>2025</v>
      </c>
      <c r="D262" s="8" t="n">
        <v>5</v>
      </c>
      <c r="E262" s="15" t="n">
        <v>165.0746434472</v>
      </c>
      <c r="F262" s="15" t="n">
        <v>152.270518826338</v>
      </c>
      <c r="G262" s="15" t="n">
        <v>151.955394632273</v>
      </c>
      <c r="H262" s="12" t="n">
        <f aca="false">E262/E250-1</f>
        <v>0.0529794749699692</v>
      </c>
      <c r="I262" s="14" t="n">
        <f aca="false">F262/F261-1</f>
        <v>-0.000745348142911495</v>
      </c>
      <c r="J262" s="12" t="n">
        <f aca="false">(AVERAGE(F260:F262)/AVERAGE(F257:F259))^4-1</f>
        <v>-0.0256345520620876</v>
      </c>
    </row>
    <row r="263" customFormat="false" ht="15" hidden="false" customHeight="false" outlineLevel="0" collapsed="false">
      <c r="B263" s="7" t="s">
        <v>466</v>
      </c>
      <c r="C263" s="8" t="n">
        <v>2025</v>
      </c>
      <c r="D263" s="8" t="n">
        <v>6</v>
      </c>
      <c r="E263" s="15" t="n">
        <v>156.788904169427</v>
      </c>
      <c r="F263" s="15" t="n">
        <v>151.548301951458</v>
      </c>
      <c r="G263" s="15" t="n">
        <v>152.151798129168</v>
      </c>
      <c r="H263" s="12" t="n">
        <f aca="false">E263/E251-1</f>
        <v>0.0640062899737099</v>
      </c>
      <c r="I263" s="14" t="n">
        <f aca="false">F263/F262-1</f>
        <v>-0.00474298557886821</v>
      </c>
      <c r="J263" s="12" t="n">
        <f aca="false">(AVERAGE(F261:F263)/AVERAGE(F258:F260))^4-1</f>
        <v>0.0122110718928015</v>
      </c>
    </row>
    <row r="264" customFormat="false" ht="15" hidden="false" customHeight="false" outlineLevel="0" collapsed="false">
      <c r="B264" s="7" t="s">
        <v>467</v>
      </c>
      <c r="C264" s="8" t="n">
        <v>2025</v>
      </c>
      <c r="D264" s="8" t="n">
        <v>7</v>
      </c>
      <c r="E264" s="15" t="n">
        <v>153.770221533856</v>
      </c>
      <c r="F264" s="15" t="n">
        <v>151.293300948977</v>
      </c>
      <c r="G264" s="15" t="n">
        <v>152.324982897744</v>
      </c>
      <c r="H264" s="12" t="n">
        <f aca="false">E264/E252-1</f>
        <v>0.0275207100374999</v>
      </c>
      <c r="I264" s="14" t="n">
        <f aca="false">F264/F263-1</f>
        <v>-0.00168263846705963</v>
      </c>
      <c r="J264" s="12" t="n">
        <f aca="false">(AVERAGE(F262:F264)/AVERAGE(F259:F261))^4-1</f>
        <v>-0.00142091382346898</v>
      </c>
    </row>
    <row r="265" customFormat="false" ht="15" hidden="false" customHeight="false" outlineLevel="0" collapsed="false">
      <c r="B265" s="7" t="s">
        <v>468</v>
      </c>
      <c r="C265" s="8" t="n">
        <v>2025</v>
      </c>
      <c r="D265" s="8" t="n">
        <v>8</v>
      </c>
      <c r="E265" s="15" t="n">
        <v>150.375794487285</v>
      </c>
      <c r="F265" s="15" t="n">
        <v>152.175943810366</v>
      </c>
      <c r="G265" s="15" t="n">
        <v>152.495333156898</v>
      </c>
      <c r="H265" s="12" t="n">
        <f aca="false">E265/E253-1</f>
        <v>0.0210111396649437</v>
      </c>
      <c r="I265" s="14" t="n">
        <f aca="false">F265/F264-1</f>
        <v>0.00583398508627009</v>
      </c>
      <c r="J265" s="12" t="n">
        <f aca="false">(AVERAGE(F263:F265)/AVERAGE(F260:F262))^4-1</f>
        <v>0.00897936492401885</v>
      </c>
    </row>
    <row r="266" customFormat="false" ht="15" hidden="false" customHeight="false" outlineLevel="0" collapsed="false">
      <c r="B266" s="7" t="s">
        <v>469</v>
      </c>
      <c r="C266" s="8" t="n">
        <v>2025</v>
      </c>
      <c r="D266" s="8" t="n">
        <v>9</v>
      </c>
      <c r="E266" s="15" t="n">
        <v>151.705547666222</v>
      </c>
      <c r="F266" s="15" t="n">
        <v>153.277721823983</v>
      </c>
      <c r="G266" s="15" t="n">
        <v>152.674676605044</v>
      </c>
      <c r="H266" s="12" t="n">
        <f aca="false">E266/E254-1</f>
        <v>0.0477141100611516</v>
      </c>
      <c r="I266" s="14" t="n">
        <f aca="false">F266/F265-1</f>
        <v>0.00724015889784702</v>
      </c>
      <c r="J266" s="12" t="n">
        <f aca="false">(AVERAGE(F264:F266)/AVERAGE(F261:F263))^4-1</f>
        <v>0.00477876609563932</v>
      </c>
    </row>
    <row r="267" customFormat="false" ht="15" hidden="false" customHeight="false" outlineLevel="0" collapsed="false">
      <c r="B267" s="7" t="s">
        <v>470</v>
      </c>
      <c r="C267" s="8" t="n">
        <v>2025</v>
      </c>
      <c r="D267" s="8" t="n">
        <v>10</v>
      </c>
      <c r="E267" s="15" t="n">
        <v>152.838348644922</v>
      </c>
      <c r="F267" s="15" t="n">
        <v>153.090734729268</v>
      </c>
      <c r="G267" s="15" t="n">
        <v>152.867032129812</v>
      </c>
      <c r="H267" s="12" t="n">
        <f aca="false">E267/E255-1</f>
        <v>0.0319667179570291</v>
      </c>
      <c r="I267" s="14" t="n">
        <f aca="false">F267/F266-1</f>
        <v>-0.00121992349892652</v>
      </c>
      <c r="J267" s="12" t="n">
        <f aca="false">(AVERAGE(F265:F267)/AVERAGE(F262:F264))^4-1</f>
        <v>0.0305094188372572</v>
      </c>
    </row>
    <row r="268" customFormat="false" ht="15" hidden="false" customHeight="false" outlineLevel="0" collapsed="false">
      <c r="B268" s="7" t="s">
        <v>471</v>
      </c>
      <c r="C268" s="8" t="n">
        <v>2025</v>
      </c>
      <c r="D268" s="8" t="n">
        <v>11</v>
      </c>
      <c r="E268" s="15" t="n">
        <v>147.971686349983</v>
      </c>
      <c r="F268" s="15" t="n">
        <v>153.012787837257</v>
      </c>
      <c r="G268" s="15" t="n">
        <v>153.074967271097</v>
      </c>
      <c r="H268" s="12" t="n">
        <f aca="false">E268/E256-1</f>
        <v>-0.00139727991037042</v>
      </c>
      <c r="I268" s="14" t="n">
        <f aca="false">F268/F267-1</f>
        <v>-0.000509154862628702</v>
      </c>
      <c r="J268" s="12" t="n">
        <f aca="false">(AVERAGE(F266:F268)/AVERAGE(F263:F265))^4-1</f>
        <v>0.0389160632852696</v>
      </c>
    </row>
    <row r="269" customFormat="false" ht="15" hidden="false" customHeight="false" outlineLevel="0" collapsed="false">
      <c r="B269" s="7" t="s">
        <v>472</v>
      </c>
      <c r="C269" s="8" t="n">
        <v>2025</v>
      </c>
      <c r="D269" s="8" t="n">
        <v>12</v>
      </c>
      <c r="E269" s="15" t="n">
        <v>153.846165907201</v>
      </c>
      <c r="F269" s="15" t="n">
        <v>155.947822026171</v>
      </c>
      <c r="G269" s="15" t="n">
        <v>153.301798671806</v>
      </c>
      <c r="H269" s="12" t="n">
        <f aca="false">E269/E257-1</f>
        <v>0.034763571147868</v>
      </c>
      <c r="I269" s="14" t="n">
        <f aca="false">F269/F268-1</f>
        <v>0.0191816267803433</v>
      </c>
      <c r="J269" s="12" t="n">
        <f aca="false">(AVERAGE(F267:F269)/AVERAGE(F264:F266))^4-1</f>
        <v>0.0472690444048083</v>
      </c>
    </row>
    <row r="270" customFormat="false" ht="15" hidden="false" customHeight="false" outlineLevel="0" collapsed="false">
      <c r="B270" s="7" t="s">
        <v>473</v>
      </c>
      <c r="C270" s="8" t="n">
        <v>2026</v>
      </c>
      <c r="D270" s="8" t="n">
        <v>1</v>
      </c>
      <c r="E270" s="15" t="n">
        <v>149.429834187148</v>
      </c>
      <c r="F270" s="15" t="n">
        <v>156.300870710309</v>
      </c>
      <c r="G270" s="15" t="n">
        <v>153.547925245156</v>
      </c>
      <c r="H270" s="12" t="n">
        <f aca="false">E270/E258-1</f>
        <v>0.020022287253102</v>
      </c>
      <c r="I270" s="14" t="n">
        <f aca="false">F270/F269-1</f>
        <v>0.00226388980334091</v>
      </c>
      <c r="J270" s="12" t="n">
        <f aca="false">(AVERAGE(F268:F270)/AVERAGE(F265:F267))^4-1</f>
        <v>0.0598949338156225</v>
      </c>
    </row>
    <row r="271" customFormat="false" ht="15" hidden="false" customHeight="false" outlineLevel="0" collapsed="false">
      <c r="B271" s="7" t="s">
        <v>474</v>
      </c>
      <c r="C271" s="8" t="n">
        <v>2026</v>
      </c>
      <c r="D271" s="8" t="n">
        <v>2</v>
      </c>
      <c r="E271" s="15" t="n">
        <v>139.311631572628</v>
      </c>
      <c r="F271" s="15" t="n">
        <v>152.462325180149</v>
      </c>
      <c r="G271" s="15" t="n">
        <v>153.811460810159</v>
      </c>
      <c r="H271" s="12" t="n">
        <f aca="false">E271/E259-1</f>
        <v>-0.0148012728951289</v>
      </c>
      <c r="I271" s="14" t="n">
        <f aca="false">F271/F270-1</f>
        <v>-0.024558695755924</v>
      </c>
      <c r="J271" s="12" t="n">
        <f aca="false">(AVERAGE(F269:F271)/AVERAGE(F266:F268))^4-1</f>
        <v>0.0472221947666436</v>
      </c>
    </row>
    <row r="272" customFormat="false" ht="15" hidden="false" customHeight="false" outlineLevel="0" collapsed="false">
      <c r="B272" s="7" t="s">
        <v>475</v>
      </c>
      <c r="C272" s="8" t="n">
        <v>2026</v>
      </c>
      <c r="D272" s="8" t="n">
        <v>3</v>
      </c>
      <c r="E272" s="15" t="n">
        <v>159.976850057738</v>
      </c>
      <c r="F272" s="15" t="n">
        <v>156.731112313453</v>
      </c>
      <c r="G272" s="15" t="n">
        <v>154.088014581613</v>
      </c>
      <c r="H272" s="12" t="n">
        <f aca="false">E272/E260-1</f>
        <v>0.062191681145205</v>
      </c>
      <c r="I272" s="14" t="n">
        <f aca="false">F272/F271-1</f>
        <v>0.0279989638637632</v>
      </c>
      <c r="J272" s="12" t="n">
        <f aca="false">(AVERAGE(F270:F272)/AVERAGE(F267:F269))^4-1</f>
        <v>0.0301407010964005</v>
      </c>
    </row>
    <row r="273" customFormat="false" ht="15" hidden="false" customHeight="false" outlineLevel="0" collapsed="false">
      <c r="B273" s="7" t="s">
        <v>476</v>
      </c>
      <c r="C273" s="8" t="n">
        <v>2026</v>
      </c>
      <c r="D273" s="8" t="n">
        <v>4</v>
      </c>
      <c r="E273" s="15" t="n">
        <v>161.607211010158</v>
      </c>
      <c r="F273" s="15" t="n">
        <v>154.336402014869</v>
      </c>
      <c r="G273" s="15" t="n">
        <v>154.369942010638</v>
      </c>
      <c r="H273" s="12" t="n">
        <f aca="false">E273/E261-1</f>
        <v>0.016785730513188</v>
      </c>
      <c r="I273" s="14" t="n">
        <f aca="false">F273/F272-1</f>
        <v>-0.0152790997475645</v>
      </c>
      <c r="J273" s="12" t="n">
        <f aca="false">(AVERAGE(F271:F273)/AVERAGE(F268:F270))^4-1</f>
        <v>-0.0148045578413785</v>
      </c>
    </row>
    <row r="274" customFormat="false" ht="15" hidden="false" customHeight="false" outlineLevel="0" collapsed="false">
      <c r="B274" s="7" t="s">
        <v>477</v>
      </c>
      <c r="C274" s="8" t="n">
        <v>2026</v>
      </c>
      <c r="D274" s="8" t="n">
        <v>5</v>
      </c>
      <c r="E274" s="15" t="n">
        <v>165.471414076407</v>
      </c>
      <c r="F274" s="15" t="n">
        <v>153.62027214485</v>
      </c>
      <c r="G274" s="15" t="n">
        <v>154.655612627235</v>
      </c>
      <c r="H274" s="12" t="n">
        <f aca="false">E274/E262-1</f>
        <v>0.00240358313621503</v>
      </c>
      <c r="I274" s="14" t="n">
        <f aca="false">F274/F273-1</f>
        <v>-0.00464005808525914</v>
      </c>
      <c r="J274" s="12" t="n">
        <f aca="false">(AVERAGE(F272:F274)/AVERAGE(F269:F271))^4-1</f>
        <v>-0.000199949651021547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63"/>
    <pageSetUpPr fitToPage="false"/>
  </sheetPr>
  <dimension ref="B2: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5" min="3" style="0" width="36"/>
    <col collapsed="false" customWidth="true" hidden="false" outlineLevel="0" max="7" min="6" style="0" width="13"/>
    <col collapsed="false" customWidth="true" hidden="false" outlineLevel="0" max="9" min="8" style="0" width="12"/>
  </cols>
  <sheetData>
    <row r="2" customFormat="false" ht="25.5" hidden="false" customHeight="true" outlineLevel="0" collapsed="false">
      <c r="B2" s="1" t="s">
        <v>478</v>
      </c>
    </row>
    <row r="3" customFormat="false" ht="15" hidden="false" customHeight="false" outlineLevel="0" collapsed="false">
      <c r="B3" s="2" t="s">
        <v>479</v>
      </c>
    </row>
    <row r="6" customFormat="false" ht="30" hidden="false" customHeight="true" outlineLevel="0" collapsed="false">
      <c r="B6" s="6" t="s">
        <v>34</v>
      </c>
      <c r="C6" s="6" t="s">
        <v>480</v>
      </c>
      <c r="D6" s="6" t="s">
        <v>481</v>
      </c>
      <c r="E6" s="6" t="s">
        <v>482</v>
      </c>
      <c r="F6" s="6" t="s">
        <v>483</v>
      </c>
      <c r="G6" s="6" t="s">
        <v>484</v>
      </c>
      <c r="H6" s="6" t="s">
        <v>485</v>
      </c>
      <c r="I6" s="6" t="s">
        <v>486</v>
      </c>
    </row>
    <row r="7" customFormat="false" ht="15" hidden="false" customHeight="false" outlineLevel="0" collapsed="false">
      <c r="B7" s="21" t="s">
        <v>129</v>
      </c>
      <c r="C7" s="16" t="n">
        <f aca="false">'Data SA'!L86</f>
        <v>-0.0178195970838784</v>
      </c>
      <c r="G7" s="31" t="n">
        <f aca="false">'Data SA'!E86</f>
        <v>694486.099548666</v>
      </c>
      <c r="H7" s="31" t="n">
        <f aca="false">'Data SA'!E86</f>
        <v>694486.099548666</v>
      </c>
      <c r="I7" s="31" t="n">
        <f aca="false">'Data SA'!E86</f>
        <v>694486.099548666</v>
      </c>
    </row>
    <row r="8" customFormat="false" ht="15" hidden="false" customHeight="false" outlineLevel="0" collapsed="false">
      <c r="B8" s="21" t="s">
        <v>130</v>
      </c>
      <c r="C8" s="16" t="n">
        <f aca="false">'Data SA'!L87</f>
        <v>-0.00434472176647871</v>
      </c>
      <c r="G8" s="31" t="n">
        <f aca="false">'Data SA'!E87</f>
        <v>691468.75067544</v>
      </c>
      <c r="H8" s="31" t="n">
        <f aca="false">'Data SA'!E87</f>
        <v>691468.75067544</v>
      </c>
      <c r="I8" s="31" t="n">
        <f aca="false">'Data SA'!E87</f>
        <v>691468.75067544</v>
      </c>
    </row>
    <row r="9" customFormat="false" ht="15" hidden="false" customHeight="false" outlineLevel="0" collapsed="false">
      <c r="B9" s="21" t="s">
        <v>131</v>
      </c>
      <c r="C9" s="16" t="n">
        <f aca="false">'Data SA'!L88</f>
        <v>0.0357173391581247</v>
      </c>
      <c r="G9" s="31" t="n">
        <f aca="false">'Data SA'!E88</f>
        <v>716166.17456056</v>
      </c>
      <c r="H9" s="31" t="n">
        <f aca="false">'Data SA'!E88</f>
        <v>716166.17456056</v>
      </c>
      <c r="I9" s="31" t="n">
        <f aca="false">'Data SA'!E88</f>
        <v>716166.17456056</v>
      </c>
    </row>
    <row r="10" customFormat="false" ht="15" hidden="false" customHeight="false" outlineLevel="0" collapsed="false">
      <c r="B10" s="21" t="s">
        <v>132</v>
      </c>
      <c r="C10" s="16" t="n">
        <f aca="false">'Data SA'!L89</f>
        <v>0.0190798440001885</v>
      </c>
      <c r="G10" s="31" t="n">
        <f aca="false">'Data SA'!E89</f>
        <v>729830.513449387</v>
      </c>
      <c r="H10" s="31" t="n">
        <f aca="false">'Data SA'!E89</f>
        <v>729830.513449387</v>
      </c>
      <c r="I10" s="31" t="n">
        <f aca="false">'Data SA'!E89</f>
        <v>729830.513449387</v>
      </c>
    </row>
    <row r="11" customFormat="false" ht="15" hidden="false" customHeight="false" outlineLevel="0" collapsed="false">
      <c r="B11" s="21" t="s">
        <v>133</v>
      </c>
      <c r="C11" s="16" t="n">
        <f aca="false">'Data SA'!L90</f>
        <v>0.00772468077572008</v>
      </c>
      <c r="G11" s="31" t="n">
        <f aca="false">'Data SA'!E90</f>
        <v>735468.221186163</v>
      </c>
      <c r="H11" s="31" t="n">
        <f aca="false">'Data SA'!E90</f>
        <v>735468.221186163</v>
      </c>
      <c r="I11" s="31" t="n">
        <f aca="false">'Data SA'!E90</f>
        <v>735468.221186163</v>
      </c>
    </row>
    <row r="12" customFormat="false" ht="15" hidden="false" customHeight="false" outlineLevel="0" collapsed="false">
      <c r="B12" s="21" t="s">
        <v>134</v>
      </c>
      <c r="C12" s="16" t="n">
        <f aca="false">'Data SA'!L91</f>
        <v>0.00303888763118576</v>
      </c>
      <c r="G12" s="31" t="n">
        <f aca="false">'Data SA'!E91</f>
        <v>737703.226466656</v>
      </c>
      <c r="H12" s="31" t="n">
        <f aca="false">'Data SA'!E91</f>
        <v>737703.226466656</v>
      </c>
      <c r="I12" s="31" t="n">
        <f aca="false">'Data SA'!E91</f>
        <v>737703.226466656</v>
      </c>
    </row>
    <row r="13" customFormat="false" ht="15" hidden="false" customHeight="false" outlineLevel="0" collapsed="false">
      <c r="B13" s="21" t="s">
        <v>135</v>
      </c>
      <c r="C13" s="16" t="n">
        <f aca="false">'Data SA'!L92</f>
        <v>0.00119255654071138</v>
      </c>
      <c r="G13" s="31" t="n">
        <f aca="false">'Data SA'!E92</f>
        <v>738582.979274483</v>
      </c>
      <c r="H13" s="31" t="n">
        <f aca="false">'Data SA'!E92</f>
        <v>738582.979274483</v>
      </c>
      <c r="I13" s="31" t="n">
        <f aca="false">'Data SA'!E92</f>
        <v>738582.979274483</v>
      </c>
    </row>
    <row r="14" customFormat="false" ht="15" hidden="false" customHeight="false" outlineLevel="0" collapsed="false">
      <c r="B14" s="21" t="s">
        <v>136</v>
      </c>
      <c r="C14" s="16" t="n">
        <f aca="false">'Data SA'!L93</f>
        <v>0.0116133842093116</v>
      </c>
      <c r="G14" s="31" t="n">
        <f aca="false">'Data SA'!E93</f>
        <v>747160.427183255</v>
      </c>
      <c r="H14" s="31" t="n">
        <f aca="false">'Data SA'!E93</f>
        <v>747160.427183255</v>
      </c>
      <c r="I14" s="31" t="n">
        <f aca="false">'Data SA'!E93</f>
        <v>747160.427183255</v>
      </c>
    </row>
    <row r="15" customFormat="false" ht="15" hidden="false" customHeight="false" outlineLevel="0" collapsed="false">
      <c r="B15" s="21" t="s">
        <v>137</v>
      </c>
      <c r="C15" s="16" t="n">
        <f aca="false">'Data SA'!L94</f>
        <v>0.00745147406561508</v>
      </c>
      <c r="G15" s="31" t="n">
        <f aca="false">'Data SA'!E94</f>
        <v>752727.873729265</v>
      </c>
      <c r="H15" s="31" t="n">
        <f aca="false">'Data SA'!E94</f>
        <v>752727.873729265</v>
      </c>
      <c r="I15" s="31" t="n">
        <f aca="false">'Data SA'!E94</f>
        <v>752727.873729265</v>
      </c>
    </row>
    <row r="16" customFormat="false" ht="15" hidden="false" customHeight="false" outlineLevel="0" collapsed="false">
      <c r="B16" s="32" t="s">
        <v>222</v>
      </c>
      <c r="D16" s="33" t="n">
        <v>0.013</v>
      </c>
      <c r="E16" s="33" t="n">
        <v>0.008</v>
      </c>
      <c r="F16" s="33" t="n">
        <v>0</v>
      </c>
      <c r="G16" s="10" t="n">
        <f aca="false">G15*(1+D16)</f>
        <v>762513.336087746</v>
      </c>
      <c r="H16" s="10" t="n">
        <f aca="false">H15*(1+E16)</f>
        <v>758749.6967191</v>
      </c>
      <c r="I16" s="10" t="n">
        <f aca="false">I15*(1+F16)</f>
        <v>752727.873729265</v>
      </c>
    </row>
    <row r="17" customFormat="false" ht="15" hidden="false" customHeight="false" outlineLevel="0" collapsed="false">
      <c r="B17" s="32" t="s">
        <v>487</v>
      </c>
      <c r="D17" s="33" t="n">
        <v>0.014</v>
      </c>
      <c r="E17" s="33" t="n">
        <v>0.009</v>
      </c>
      <c r="F17" s="33" t="n">
        <v>-0.003</v>
      </c>
      <c r="G17" s="10" t="n">
        <f aca="false">G16*(1+D17)</f>
        <v>773188.522792974</v>
      </c>
      <c r="H17" s="10" t="n">
        <f aca="false">H16*(1+E17)</f>
        <v>765578.443989571</v>
      </c>
      <c r="I17" s="10" t="n">
        <f aca="false">I16*(1+F17)</f>
        <v>750469.690108078</v>
      </c>
    </row>
    <row r="18" customFormat="false" ht="15" hidden="false" customHeight="false" outlineLevel="0" collapsed="false">
      <c r="B18" s="32" t="s">
        <v>488</v>
      </c>
      <c r="D18" s="33" t="n">
        <v>0.014</v>
      </c>
      <c r="E18" s="33" t="n">
        <v>0.009</v>
      </c>
      <c r="F18" s="33" t="n">
        <v>0.001</v>
      </c>
      <c r="G18" s="10" t="n">
        <f aca="false">G17*(1+D18)</f>
        <v>784013.162112076</v>
      </c>
      <c r="H18" s="10" t="n">
        <f aca="false">H17*(1+E18)</f>
        <v>772468.649985477</v>
      </c>
      <c r="I18" s="10" t="n">
        <f aca="false">I17*(1+F18)</f>
        <v>751220.159798186</v>
      </c>
    </row>
    <row r="19" customFormat="false" ht="15" hidden="false" customHeight="false" outlineLevel="0" collapsed="false">
      <c r="B19" s="32" t="s">
        <v>489</v>
      </c>
      <c r="D19" s="33" t="n">
        <v>0.013</v>
      </c>
      <c r="E19" s="33" t="n">
        <v>0.008</v>
      </c>
      <c r="F19" s="33" t="n">
        <v>0.003</v>
      </c>
      <c r="G19" s="10" t="n">
        <f aca="false">G18*(1+D19)</f>
        <v>794205.333219533</v>
      </c>
      <c r="H19" s="10" t="n">
        <f aca="false">H18*(1+E19)</f>
        <v>778648.399185361</v>
      </c>
      <c r="I19" s="10" t="n">
        <f aca="false">I18*(1+F19)</f>
        <v>753473.82027758</v>
      </c>
    </row>
    <row r="20" customFormat="false" ht="15" hidden="false" customHeight="false" outlineLevel="0" collapsed="false">
      <c r="B20" s="32" t="s">
        <v>490</v>
      </c>
      <c r="D20" s="33" t="n">
        <v>0.012</v>
      </c>
      <c r="E20" s="33" t="n">
        <v>0.008</v>
      </c>
      <c r="F20" s="33" t="n">
        <v>0.004</v>
      </c>
      <c r="G20" s="10" t="n">
        <f aca="false">G19*(1+D20)</f>
        <v>803735.797218167</v>
      </c>
      <c r="H20" s="10" t="n">
        <f aca="false">H19*(1+E20)</f>
        <v>784877.586378844</v>
      </c>
      <c r="I20" s="10" t="n">
        <f aca="false">I19*(1+F20)</f>
        <v>756487.71555869</v>
      </c>
    </row>
    <row r="21" customFormat="false" ht="15" hidden="false" customHeight="false" outlineLevel="0" collapsed="false">
      <c r="B21" s="32" t="s">
        <v>491</v>
      </c>
      <c r="D21" s="33" t="n">
        <v>0.012</v>
      </c>
      <c r="E21" s="33" t="n">
        <v>0.008</v>
      </c>
      <c r="F21" s="33" t="n">
        <v>0.005</v>
      </c>
      <c r="G21" s="10" t="n">
        <f aca="false">G20*(1+D21)</f>
        <v>813380.626784785</v>
      </c>
      <c r="H21" s="10" t="n">
        <f aca="false">H20*(1+E21)</f>
        <v>791156.607069875</v>
      </c>
      <c r="I21" s="10" t="n">
        <f aca="false">I20*(1+F21)</f>
        <v>760270.154136484</v>
      </c>
    </row>
    <row r="22" customFormat="false" ht="15" hidden="false" customHeight="false" outlineLevel="0" collapsed="false">
      <c r="B22" s="32" t="s">
        <v>492</v>
      </c>
      <c r="D22" s="33" t="n">
        <v>0.011</v>
      </c>
      <c r="E22" s="33" t="n">
        <v>0.007</v>
      </c>
      <c r="F22" s="33" t="n">
        <v>0.005</v>
      </c>
      <c r="G22" s="10" t="n">
        <f aca="false">G21*(1+D22)</f>
        <v>822327.813679418</v>
      </c>
      <c r="H22" s="10" t="n">
        <f aca="false">H21*(1+E22)</f>
        <v>796694.703319364</v>
      </c>
      <c r="I22" s="10" t="n">
        <f aca="false">I21*(1+F22)</f>
        <v>764071.504907166</v>
      </c>
    </row>
    <row r="24" customFormat="false" ht="15" hidden="false" customHeight="false" outlineLevel="0" collapsed="false">
      <c r="B24" s="3" t="s">
        <v>493</v>
      </c>
    </row>
    <row r="25" customFormat="false" ht="30" hidden="false" customHeight="true" outlineLevel="0" collapsed="false">
      <c r="B25" s="28" t="s">
        <v>35</v>
      </c>
      <c r="C25" s="28" t="s">
        <v>494</v>
      </c>
      <c r="D25" s="28" t="s">
        <v>495</v>
      </c>
      <c r="E25" s="28" t="s">
        <v>496</v>
      </c>
      <c r="F25" s="6" t="s">
        <v>497</v>
      </c>
      <c r="G25" s="6" t="s">
        <v>498</v>
      </c>
    </row>
    <row r="26" customFormat="false" ht="15" hidden="false" customHeight="false" outlineLevel="0" collapsed="false">
      <c r="B26" s="18" t="n">
        <v>2025</v>
      </c>
      <c r="C26" s="34" t="n">
        <f aca="false">AVERAGE(G11,G12,G13,G14)/AVERAGE(G7,G8,G9,G10)-1</f>
        <v>0.0448324465169612</v>
      </c>
      <c r="D26" s="34" t="n">
        <f aca="false">AVERAGE(H11,H12,H13,H14)/AVERAGE(H7,H8,H9,H10)-1</f>
        <v>0.0448324465169612</v>
      </c>
      <c r="E26" s="34" t="n">
        <f aca="false">AVERAGE(I11,I12,I13,I14)/AVERAGE(I7,I8,I9,I10)-1</f>
        <v>0.0448324465169612</v>
      </c>
    </row>
    <row r="27" customFormat="false" ht="15" hidden="false" customHeight="false" outlineLevel="0" collapsed="false">
      <c r="B27" s="18" t="n">
        <v>2026</v>
      </c>
      <c r="C27" s="34" t="n">
        <f aca="false">AVERAGE(G15,G16,G17,G18)/AVERAGE(G11,G12,G13,G14)-1</f>
        <v>0.0383681336601454</v>
      </c>
      <c r="D27" s="34" t="n">
        <f aca="false">AVERAGE(H15,H16,H17,H18)/AVERAGE(H11,H12,H13,H14)-1</f>
        <v>0.0306226487683414</v>
      </c>
      <c r="E27" s="34" t="n">
        <f aca="false">AVERAGE(I15,I16,I17,I18)/AVERAGE(I11,I12,I13,I14)-1</f>
        <v>0.0163001457061982</v>
      </c>
      <c r="F27" s="33" t="n">
        <v>0.03</v>
      </c>
      <c r="G27" s="33" t="n">
        <v>0.035</v>
      </c>
    </row>
    <row r="28" customFormat="false" ht="15" hidden="false" customHeight="false" outlineLevel="0" collapsed="false">
      <c r="B28" s="18" t="n">
        <v>2027</v>
      </c>
      <c r="C28" s="34" t="n">
        <f aca="false">AVERAGE(G19,G20,G21,G22)/AVERAGE(G15,G16,G17,G18)-1</f>
        <v>0.0524685670990881</v>
      </c>
      <c r="D28" s="34" t="n">
        <f aca="false">AVERAGE(H19,H20,H21,H22)/AVERAGE(H15,H16,H17,H18)-1</f>
        <v>0.0333995106576022</v>
      </c>
      <c r="E28" s="34" t="n">
        <f aca="false">AVERAGE(I19,I20,I21,I22)/AVERAGE(I15,I16,I17,I18)-1</f>
        <v>0.00903102182312843</v>
      </c>
      <c r="F28" s="7"/>
      <c r="G28" s="33" t="n">
        <v>0.04</v>
      </c>
    </row>
    <row r="29" customFormat="false" ht="15" hidden="false" customHeight="false" outlineLevel="0" collapsed="false">
      <c r="B29" s="13" t="s">
        <v>499</v>
      </c>
    </row>
    <row r="30" customFormat="false" ht="15" hidden="false" customHeight="false" outlineLevel="0" collapsed="false">
      <c r="B30" s="13" t="s">
        <v>500</v>
      </c>
    </row>
    <row r="33" customFormat="false" ht="15" hidden="false" customHeight="false" outlineLevel="0" collapsed="false">
      <c r="B33" s="3" t="s">
        <v>501</v>
      </c>
    </row>
    <row r="34" customFormat="false" ht="15" hidden="false" customHeight="false" outlineLevel="0" collapsed="false">
      <c r="B34" s="28" t="s">
        <v>502</v>
      </c>
      <c r="C34" s="6" t="s">
        <v>494</v>
      </c>
      <c r="D34" s="6" t="s">
        <v>495</v>
      </c>
      <c r="E34" s="6" t="s">
        <v>496</v>
      </c>
    </row>
    <row r="35" customFormat="false" ht="45.75" hidden="false" customHeight="true" outlineLevel="0" collapsed="false">
      <c r="B35" s="35" t="s">
        <v>503</v>
      </c>
      <c r="C35" s="36" t="s">
        <v>504</v>
      </c>
      <c r="D35" s="36" t="s">
        <v>505</v>
      </c>
      <c r="E35" s="36" t="s">
        <v>506</v>
      </c>
    </row>
    <row r="36" customFormat="false" ht="45.75" hidden="false" customHeight="true" outlineLevel="0" collapsed="false">
      <c r="B36" s="35" t="s">
        <v>507</v>
      </c>
      <c r="C36" s="36" t="s">
        <v>508</v>
      </c>
      <c r="D36" s="36" t="s">
        <v>509</v>
      </c>
      <c r="E36" s="36" t="s">
        <v>510</v>
      </c>
    </row>
    <row r="37" customFormat="false" ht="45.75" hidden="false" customHeight="true" outlineLevel="0" collapsed="false">
      <c r="B37" s="35" t="s">
        <v>511</v>
      </c>
      <c r="C37" s="36" t="s">
        <v>512</v>
      </c>
      <c r="D37" s="36" t="s">
        <v>513</v>
      </c>
      <c r="E37" s="36" t="s">
        <v>514</v>
      </c>
    </row>
    <row r="38" customFormat="false" ht="45.75" hidden="false" customHeight="true" outlineLevel="0" collapsed="false">
      <c r="B38" s="35" t="s">
        <v>515</v>
      </c>
      <c r="C38" s="36" t="s">
        <v>516</v>
      </c>
      <c r="D38" s="36" t="s">
        <v>517</v>
      </c>
      <c r="E38" s="36" t="s">
        <v>518</v>
      </c>
    </row>
    <row r="39" customFormat="false" ht="45.75" hidden="false" customHeight="true" outlineLevel="0" collapsed="false">
      <c r="B39" s="35" t="s">
        <v>519</v>
      </c>
      <c r="C39" s="36" t="s">
        <v>520</v>
      </c>
      <c r="D39" s="36" t="s">
        <v>521</v>
      </c>
      <c r="E39" s="36" t="s">
        <v>522</v>
      </c>
    </row>
    <row r="40" customFormat="false" ht="45.75" hidden="false" customHeight="true" outlineLevel="0" collapsed="false">
      <c r="B40" s="35" t="s">
        <v>523</v>
      </c>
      <c r="C40" s="36" t="s">
        <v>524</v>
      </c>
      <c r="D40" s="36" t="s">
        <v>525</v>
      </c>
      <c r="E40" s="36" t="s">
        <v>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2026-08-04T12:34:57Z</dcterms:created>
  <dc:creator>openpyxl</dc:creator>
  <dc:description/>
  <dc:language>en-US</dc:language>
  <cp:lastModifiedBy/>
  <dcterms:modified xsi:type="dcterms:W3CDTF">2026-08-04T12:35:02Z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