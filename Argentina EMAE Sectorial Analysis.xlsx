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 name="Weights &amp; Assumptions" sheetId="2" state="visible" r:id="rId4"/>
    <sheet name="SA Data" sheetId="3" state="visible" r:id="rId5"/>
    <sheet name="EMAE Analysis" sheetId="4" state="visible" r:id="rId6"/>
    <sheet name="Sub-Index Analysis" sheetId="5" state="visible" r:id="rId7"/>
    <sheet name="Forecast" sheetId="6" state="visible" r:id="rId8"/>
    <sheet name="Dashboard" sheetId="7" state="visible" r:id="rId9"/>
    <sheet name="Methodology" sheetId="8" state="visible" r:id="rId10"/>
  </sheets>
  <definedNames>
    <definedName function="false" hidden="false" name="_DLX1" vbProcedure="false">Tabelle1!$B$2:$Y$7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<sst xmlns="http://schemas.openxmlformats.org/spreadsheetml/2006/main" count="921" uniqueCount="506">
  <si>
    <t xml:space="preserve">EMAE</t>
  </si>
  <si>
    <t xml:space="preserve">Agri.</t>
  </si>
  <si>
    <t xml:space="preserve">Fishing</t>
  </si>
  <si>
    <t xml:space="preserve">Mining</t>
  </si>
  <si>
    <t xml:space="preserve">Mfg.</t>
  </si>
  <si>
    <t xml:space="preserve">Utilities</t>
  </si>
  <si>
    <t xml:space="preserve">Const.</t>
  </si>
  <si>
    <t xml:space="preserve">Trade</t>
  </si>
  <si>
    <t xml:space="preserve">Hotels</t>
  </si>
  <si>
    <t xml:space="preserve">Transport</t>
  </si>
  <si>
    <t xml:space="preserve">Finance</t>
  </si>
  <si>
    <t xml:space="preserve">Real Estate</t>
  </si>
  <si>
    <t xml:space="preserve">Public Admin.</t>
  </si>
  <si>
    <t xml:space="preserve">Education</t>
  </si>
  <si>
    <t xml:space="preserve">Health</t>
  </si>
  <si>
    <t xml:space="preserve">Other Services</t>
  </si>
  <si>
    <t xml:space="preserve">10401 !M NA_</t>
  </si>
  <si>
    <t xml:space="preserve">.excel_last</t>
  </si>
  <si>
    <t xml:space="preserve">S213GVI@EMERGELA</t>
  </si>
  <si>
    <t xml:space="preserve">N213GAFI@EMERGELA</t>
  </si>
  <si>
    <t xml:space="preserve">N213GFFI@EMERGELA</t>
  </si>
  <si>
    <t xml:space="preserve">N213GQI@EMERGELA</t>
  </si>
  <si>
    <t xml:space="preserve">N213GMI@EMERGELA</t>
  </si>
  <si>
    <t xml:space="preserve">N213GEI@EMERGELA</t>
  </si>
  <si>
    <t xml:space="preserve">N213GCOI@EMERGELA</t>
  </si>
  <si>
    <t xml:space="preserve">N213GWRI@EMERGELA</t>
  </si>
  <si>
    <t xml:space="preserve">N213GHI@EMERGELA</t>
  </si>
  <si>
    <t xml:space="preserve">N213GTSI@EMERGELA</t>
  </si>
  <si>
    <t xml:space="preserve">N213GFMI@EMERGELA</t>
  </si>
  <si>
    <t xml:space="preserve">N213GPRI@EMERGELA</t>
  </si>
  <si>
    <t xml:space="preserve">N213GGI@EMERGELA</t>
  </si>
  <si>
    <t xml:space="preserve">N213GDI@EMERGELA</t>
  </si>
  <si>
    <t xml:space="preserve">N213GHSI@EMERGELA</t>
  </si>
  <si>
    <t xml:space="preserve">N213GSOI@EMERGELA</t>
  </si>
  <si>
    <t xml:space="preserve">.DESC</t>
  </si>
  <si>
    <t xml:space="preserve">Argentina: Economic Activity Indicator (SA, 2004=100)</t>
  </si>
  <si>
    <t xml:space="preserve">Argentina: Economic Act: Agr, Livestock, Hunting &amp; Forestry (NSA, 2004=100)</t>
  </si>
  <si>
    <t xml:space="preserve">Argentina: Economic Activity: Fishing (NSA, 2004=100)</t>
  </si>
  <si>
    <t xml:space="preserve">Argentina: Economic Activity: Mining &amp; Quarrying(NSA, 2004=100)</t>
  </si>
  <si>
    <t xml:space="preserve">Argentina: Economic Activity: Manufacturing (NSA, 2004=100)</t>
  </si>
  <si>
    <t xml:space="preserve">Argentina: Economic Activity: Electricity, Gas &amp; Water (NSA, 2004=100)</t>
  </si>
  <si>
    <t xml:space="preserve">Argentina: Economic Activity: Construction (NSA, 2004=100)</t>
  </si>
  <si>
    <t xml:space="preserve">Argentina: Economic Act: Wholesale &amp; Retail Trade and Repairs (NSA, 2004=100)</t>
  </si>
  <si>
    <t xml:space="preserve">Argentina: Economic Activity: Hotel &amp; Restaurants (NSA, 2004=100)</t>
  </si>
  <si>
    <t xml:space="preserve">Argentina: Economic Activity: Transportation &amp; Communications (NSA, 2004=100)</t>
  </si>
  <si>
    <t xml:space="preserve">Argentina: Economic Activity: Financial Intermediation (NSA, 2004=100)</t>
  </si>
  <si>
    <t xml:space="preserve">Argentina: Econ Act: Real Estate, Business &amp; Rental Activities (NSA, 2004=100)</t>
  </si>
  <si>
    <t xml:space="preserve">Argentina: Econ Act: Public Admin &amp; Defense, SocSec Plans (NSA, 2004=100)</t>
  </si>
  <si>
    <t xml:space="preserve">Argentina: Economic Activity: Education (NSA, 2004=100)</t>
  </si>
  <si>
    <t xml:space="preserve">Argentina: Economic Activity: Social &amp; Health Services (NSA, 2004=100)</t>
  </si>
  <si>
    <t xml:space="preserve">Argentina: EconAct: Other Community, Social &amp; Personal Srvc Act (NSA, 2004=100)</t>
  </si>
  <si>
    <t xml:space="preserve">.SOURCE</t>
  </si>
  <si>
    <t xml:space="preserve">INDEC</t>
  </si>
  <si>
    <t xml:space="preserve">.DTLM</t>
  </si>
  <si>
    <t xml:space="preserve">Jul-22-2026 15:06</t>
  </si>
  <si>
    <t xml:space="preserve">.DATA_TYPE</t>
  </si>
  <si>
    <t xml:space="preserve">INDEX</t>
  </si>
  <si>
    <t xml:space="preserve">.MAG</t>
  </si>
  <si>
    <t xml:space="preserve">0</t>
  </si>
  <si>
    <t xml:space="preserve">0401</t>
  </si>
  <si>
    <t xml:space="preserve">0402</t>
  </si>
  <si>
    <t xml:space="preserve">0403</t>
  </si>
  <si>
    <t xml:space="preserve">0404</t>
  </si>
  <si>
    <t xml:space="preserve">0405</t>
  </si>
  <si>
    <t xml:space="preserve">0406</t>
  </si>
  <si>
    <t xml:space="preserve">0407</t>
  </si>
  <si>
    <t xml:space="preserve">0408</t>
  </si>
  <si>
    <t xml:space="preserve">0409</t>
  </si>
  <si>
    <t xml:space="preserve">0410</t>
  </si>
  <si>
    <t xml:space="preserve">0411</t>
  </si>
  <si>
    <t xml:space="preserve">0412</t>
  </si>
  <si>
    <t xml:space="preserve">0501</t>
  </si>
  <si>
    <t xml:space="preserve">0502</t>
  </si>
  <si>
    <t xml:space="preserve">0503</t>
  </si>
  <si>
    <t xml:space="preserve">0504</t>
  </si>
  <si>
    <t xml:space="preserve">0505</t>
  </si>
  <si>
    <t xml:space="preserve">0506</t>
  </si>
  <si>
    <t xml:space="preserve">0507</t>
  </si>
  <si>
    <t xml:space="preserve">0508</t>
  </si>
  <si>
    <t xml:space="preserve">0509</t>
  </si>
  <si>
    <t xml:space="preserve">0510</t>
  </si>
  <si>
    <t xml:space="preserve">0511</t>
  </si>
  <si>
    <t xml:space="preserve">0512</t>
  </si>
  <si>
    <t xml:space="preserve">0601</t>
  </si>
  <si>
    <t xml:space="preserve">0602</t>
  </si>
  <si>
    <t xml:space="preserve">0603</t>
  </si>
  <si>
    <t xml:space="preserve">0604</t>
  </si>
  <si>
    <t xml:space="preserve">0605</t>
  </si>
  <si>
    <t xml:space="preserve">0606</t>
  </si>
  <si>
    <t xml:space="preserve">0607</t>
  </si>
  <si>
    <t xml:space="preserve">0608</t>
  </si>
  <si>
    <t xml:space="preserve">0609</t>
  </si>
  <si>
    <t xml:space="preserve">0610</t>
  </si>
  <si>
    <t xml:space="preserve">0611</t>
  </si>
  <si>
    <t xml:space="preserve">0612</t>
  </si>
  <si>
    <t xml:space="preserve">0701</t>
  </si>
  <si>
    <t xml:space="preserve">0702</t>
  </si>
  <si>
    <t xml:space="preserve">0703</t>
  </si>
  <si>
    <t xml:space="preserve">0704</t>
  </si>
  <si>
    <t xml:space="preserve">0705</t>
  </si>
  <si>
    <t xml:space="preserve">0706</t>
  </si>
  <si>
    <t xml:space="preserve">0707</t>
  </si>
  <si>
    <t xml:space="preserve">0708</t>
  </si>
  <si>
    <t xml:space="preserve">0709</t>
  </si>
  <si>
    <t xml:space="preserve">0710</t>
  </si>
  <si>
    <t xml:space="preserve">0711</t>
  </si>
  <si>
    <t xml:space="preserve">0712</t>
  </si>
  <si>
    <t xml:space="preserve">0801</t>
  </si>
  <si>
    <t xml:space="preserve">0802</t>
  </si>
  <si>
    <t xml:space="preserve">0803</t>
  </si>
  <si>
    <t xml:space="preserve">0804</t>
  </si>
  <si>
    <t xml:space="preserve">0805</t>
  </si>
  <si>
    <t xml:space="preserve">0806</t>
  </si>
  <si>
    <t xml:space="preserve">0807</t>
  </si>
  <si>
    <t xml:space="preserve">0808</t>
  </si>
  <si>
    <t xml:space="preserve">0809</t>
  </si>
  <si>
    <t xml:space="preserve">0810</t>
  </si>
  <si>
    <t xml:space="preserve">0811</t>
  </si>
  <si>
    <t xml:space="preserve">0812</t>
  </si>
  <si>
    <t xml:space="preserve">0901</t>
  </si>
  <si>
    <t xml:space="preserve">0902</t>
  </si>
  <si>
    <t xml:space="preserve">0903</t>
  </si>
  <si>
    <t xml:space="preserve">0904</t>
  </si>
  <si>
    <t xml:space="preserve">0905</t>
  </si>
  <si>
    <t xml:space="preserve">0906</t>
  </si>
  <si>
    <t xml:space="preserve">0907</t>
  </si>
  <si>
    <t xml:space="preserve">0908</t>
  </si>
  <si>
    <t xml:space="preserve">0909</t>
  </si>
  <si>
    <t xml:space="preserve">0910</t>
  </si>
  <si>
    <t xml:space="preserve">0911</t>
  </si>
  <si>
    <t xml:space="preserve">0912</t>
  </si>
  <si>
    <t xml:space="preserve">1001</t>
  </si>
  <si>
    <t xml:space="preserve">1002</t>
  </si>
  <si>
    <t xml:space="preserve">1003</t>
  </si>
  <si>
    <t xml:space="preserve">1004</t>
  </si>
  <si>
    <t xml:space="preserve">1005</t>
  </si>
  <si>
    <t xml:space="preserve">1006</t>
  </si>
  <si>
    <t xml:space="preserve">1007</t>
  </si>
  <si>
    <t xml:space="preserve">1008</t>
  </si>
  <si>
    <t xml:space="preserve">1009</t>
  </si>
  <si>
    <t xml:space="preserve">1010</t>
  </si>
  <si>
    <t xml:space="preserve">1011</t>
  </si>
  <si>
    <t xml:space="preserve">1012</t>
  </si>
  <si>
    <t xml:space="preserve">1101</t>
  </si>
  <si>
    <t xml:space="preserve">1102</t>
  </si>
  <si>
    <t xml:space="preserve">1103</t>
  </si>
  <si>
    <t xml:space="preserve">1104</t>
  </si>
  <si>
    <t xml:space="preserve">1105</t>
  </si>
  <si>
    <t xml:space="preserve">1106</t>
  </si>
  <si>
    <t xml:space="preserve">1107</t>
  </si>
  <si>
    <t xml:space="preserve">1108</t>
  </si>
  <si>
    <t xml:space="preserve">1109</t>
  </si>
  <si>
    <t xml:space="preserve">1110</t>
  </si>
  <si>
    <t xml:space="preserve">1111</t>
  </si>
  <si>
    <t xml:space="preserve">1112</t>
  </si>
  <si>
    <t xml:space="preserve">1201</t>
  </si>
  <si>
    <t xml:space="preserve">1202</t>
  </si>
  <si>
    <t xml:space="preserve">1203</t>
  </si>
  <si>
    <t xml:space="preserve">1204</t>
  </si>
  <si>
    <t xml:space="preserve">1205</t>
  </si>
  <si>
    <t xml:space="preserve">1206</t>
  </si>
  <si>
    <t xml:space="preserve">1207</t>
  </si>
  <si>
    <t xml:space="preserve">1208</t>
  </si>
  <si>
    <t xml:space="preserve">1209</t>
  </si>
  <si>
    <t xml:space="preserve">1210</t>
  </si>
  <si>
    <t xml:space="preserve">1211</t>
  </si>
  <si>
    <t xml:space="preserve">1212</t>
  </si>
  <si>
    <t xml:space="preserve">1301</t>
  </si>
  <si>
    <t xml:space="preserve">1302</t>
  </si>
  <si>
    <t xml:space="preserve">1303</t>
  </si>
  <si>
    <t xml:space="preserve">1304</t>
  </si>
  <si>
    <t xml:space="preserve">1305</t>
  </si>
  <si>
    <t xml:space="preserve">1306</t>
  </si>
  <si>
    <t xml:space="preserve">1307</t>
  </si>
  <si>
    <t xml:space="preserve">1308</t>
  </si>
  <si>
    <t xml:space="preserve">1309</t>
  </si>
  <si>
    <t xml:space="preserve">1310</t>
  </si>
  <si>
    <t xml:space="preserve">1311</t>
  </si>
  <si>
    <t xml:space="preserve">1312</t>
  </si>
  <si>
    <t xml:space="preserve">1401</t>
  </si>
  <si>
    <t xml:space="preserve">1402</t>
  </si>
  <si>
    <t xml:space="preserve">1403</t>
  </si>
  <si>
    <t xml:space="preserve">1404</t>
  </si>
  <si>
    <t xml:space="preserve">1405</t>
  </si>
  <si>
    <t xml:space="preserve">1406</t>
  </si>
  <si>
    <t xml:space="preserve">1407</t>
  </si>
  <si>
    <t xml:space="preserve">1408</t>
  </si>
  <si>
    <t xml:space="preserve">1409</t>
  </si>
  <si>
    <t xml:space="preserve">1410</t>
  </si>
  <si>
    <t xml:space="preserve">1411</t>
  </si>
  <si>
    <t xml:space="preserve">1412</t>
  </si>
  <si>
    <t xml:space="preserve">1501</t>
  </si>
  <si>
    <t xml:space="preserve">1502</t>
  </si>
  <si>
    <t xml:space="preserve">1503</t>
  </si>
  <si>
    <t xml:space="preserve">1504</t>
  </si>
  <si>
    <t xml:space="preserve">1505</t>
  </si>
  <si>
    <t xml:space="preserve">1506</t>
  </si>
  <si>
    <t xml:space="preserve">1507</t>
  </si>
  <si>
    <t xml:space="preserve">1508</t>
  </si>
  <si>
    <t xml:space="preserve">1509</t>
  </si>
  <si>
    <t xml:space="preserve">1510</t>
  </si>
  <si>
    <t xml:space="preserve">1511</t>
  </si>
  <si>
    <t xml:space="preserve">1512</t>
  </si>
  <si>
    <t xml:space="preserve">1601</t>
  </si>
  <si>
    <t xml:space="preserve">1602</t>
  </si>
  <si>
    <t xml:space="preserve">1603</t>
  </si>
  <si>
    <t xml:space="preserve">1604</t>
  </si>
  <si>
    <t xml:space="preserve">1605</t>
  </si>
  <si>
    <t xml:space="preserve">1606</t>
  </si>
  <si>
    <t xml:space="preserve">1607</t>
  </si>
  <si>
    <t xml:space="preserve">1608</t>
  </si>
  <si>
    <t xml:space="preserve">1609</t>
  </si>
  <si>
    <t xml:space="preserve">1610</t>
  </si>
  <si>
    <t xml:space="preserve">1611</t>
  </si>
  <si>
    <t xml:space="preserve">1612</t>
  </si>
  <si>
    <t xml:space="preserve">1701</t>
  </si>
  <si>
    <t xml:space="preserve">1702</t>
  </si>
  <si>
    <t xml:space="preserve">1703</t>
  </si>
  <si>
    <t xml:space="preserve">1704</t>
  </si>
  <si>
    <t xml:space="preserve">1705</t>
  </si>
  <si>
    <t xml:space="preserve">1706</t>
  </si>
  <si>
    <t xml:space="preserve">1707</t>
  </si>
  <si>
    <t xml:space="preserve">1708</t>
  </si>
  <si>
    <t xml:space="preserve">1709</t>
  </si>
  <si>
    <t xml:space="preserve">1710</t>
  </si>
  <si>
    <t xml:space="preserve">1711</t>
  </si>
  <si>
    <t xml:space="preserve">1712</t>
  </si>
  <si>
    <t xml:space="preserve">1801</t>
  </si>
  <si>
    <t xml:space="preserve">1802</t>
  </si>
  <si>
    <t xml:space="preserve">1803</t>
  </si>
  <si>
    <t xml:space="preserve">1804</t>
  </si>
  <si>
    <t xml:space="preserve">1805</t>
  </si>
  <si>
    <t xml:space="preserve">1806</t>
  </si>
  <si>
    <t xml:space="preserve">1807</t>
  </si>
  <si>
    <t xml:space="preserve">1808</t>
  </si>
  <si>
    <t xml:space="preserve">1809</t>
  </si>
  <si>
    <t xml:space="preserve">1810</t>
  </si>
  <si>
    <t xml:space="preserve">1811</t>
  </si>
  <si>
    <t xml:space="preserve">1812</t>
  </si>
  <si>
    <t xml:space="preserve">1901</t>
  </si>
  <si>
    <t xml:space="preserve">1902</t>
  </si>
  <si>
    <t xml:space="preserve">1903</t>
  </si>
  <si>
    <t xml:space="preserve">1904</t>
  </si>
  <si>
    <t xml:space="preserve">1905</t>
  </si>
  <si>
    <t xml:space="preserve">1906</t>
  </si>
  <si>
    <t xml:space="preserve">1907</t>
  </si>
  <si>
    <t xml:space="preserve">1908</t>
  </si>
  <si>
    <t xml:space="preserve">1909</t>
  </si>
  <si>
    <t xml:space="preserve">1910</t>
  </si>
  <si>
    <t xml:space="preserve">1911</t>
  </si>
  <si>
    <t xml:space="preserve">1912</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</si>
  <si>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</si>
  <si>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</si>
  <si>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</si>
  <si>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</si>
  <si>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</si>
  <si>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</si>
  <si>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</si>
  <si>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</si>
  <si>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</si>
  <si>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</si>
  <si>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</si>
  <si>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</si>
  <si>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2101</t>
  </si>
  <si>
    <t xml:space="preserve">2102</t>
  </si>
  <si>
    <t xml:space="preserve">2103</t>
  </si>
  <si>
    <t xml:space="preserve">2104</t>
  </si>
  <si>
    <t xml:space="preserve">2105</t>
  </si>
  <si>
    <t xml:space="preserve">2106</t>
  </si>
  <si>
    <t xml:space="preserve">2107</t>
  </si>
  <si>
    <t xml:space="preserve">2108</t>
  </si>
  <si>
    <t xml:space="preserve">2109</t>
  </si>
  <si>
    <t xml:space="preserve">2110</t>
  </si>
  <si>
    <t xml:space="preserve">2111</t>
  </si>
  <si>
    <t xml:space="preserve">2112</t>
  </si>
  <si>
    <t xml:space="preserve">2201</t>
  </si>
  <si>
    <t xml:space="preserve">2202</t>
  </si>
  <si>
    <t xml:space="preserve">2203</t>
  </si>
  <si>
    <t xml:space="preserve">2204</t>
  </si>
  <si>
    <t xml:space="preserve">2205</t>
  </si>
  <si>
    <t xml:space="preserve">2206</t>
  </si>
  <si>
    <t xml:space="preserve">2207</t>
  </si>
  <si>
    <t xml:space="preserve">2208</t>
  </si>
  <si>
    <t xml:space="preserve">2209</t>
  </si>
  <si>
    <t xml:space="preserve">2210</t>
  </si>
  <si>
    <t xml:space="preserve">2211</t>
  </si>
  <si>
    <t xml:space="preserve">2212</t>
  </si>
  <si>
    <t xml:space="preserve">2301</t>
  </si>
  <si>
    <t xml:space="preserve">2302</t>
  </si>
  <si>
    <t xml:space="preserve">2303</t>
  </si>
  <si>
    <t xml:space="preserve">2304</t>
  </si>
  <si>
    <t xml:space="preserve">2305</t>
  </si>
  <si>
    <t xml:space="preserve">2306</t>
  </si>
  <si>
    <t xml:space="preserve">2307</t>
  </si>
  <si>
    <t xml:space="preserve">2308</t>
  </si>
  <si>
    <t xml:space="preserve">2309</t>
  </si>
  <si>
    <t xml:space="preserve">2310</t>
  </si>
  <si>
    <t xml:space="preserve">2311</t>
  </si>
  <si>
    <t xml:space="preserve">2312</t>
  </si>
  <si>
    <t xml:space="preserve">2401</t>
  </si>
  <si>
    <t xml:space="preserve">2402</t>
  </si>
  <si>
    <t xml:space="preserve">2403</t>
  </si>
  <si>
    <t xml:space="preserve">2404</t>
  </si>
  <si>
    <t xml:space="preserve">2405</t>
  </si>
  <si>
    <t xml:space="preserve">2406</t>
  </si>
  <si>
    <t xml:space="preserve">2407</t>
  </si>
  <si>
    <t xml:space="preserve">2408</t>
  </si>
  <si>
    <t xml:space="preserve">2409</t>
  </si>
  <si>
    <t xml:space="preserve">2410</t>
  </si>
  <si>
    <t xml:space="preserve">2411</t>
  </si>
  <si>
    <t xml:space="preserve">2412</t>
  </si>
  <si>
    <t xml:space="preserve">2501</t>
  </si>
  <si>
    <t xml:space="preserve">2502</t>
  </si>
  <si>
    <t xml:space="preserve">2503</t>
  </si>
  <si>
    <t xml:space="preserve">2504</t>
  </si>
  <si>
    <t xml:space="preserve">2505</t>
  </si>
  <si>
    <t xml:space="preserve">2506</t>
  </si>
  <si>
    <t xml:space="preserve">2507</t>
  </si>
  <si>
    <t xml:space="preserve">2508</t>
  </si>
  <si>
    <t xml:space="preserve">2509</t>
  </si>
  <si>
    <t xml:space="preserve">2510</t>
  </si>
  <si>
    <t xml:space="preserve">2511</t>
  </si>
  <si>
    <t xml:space="preserve">2512</t>
  </si>
  <si>
    <t xml:space="preserve">2601</t>
  </si>
  <si>
    <t xml:space="preserve">2602</t>
  </si>
  <si>
    <t xml:space="preserve">2603</t>
  </si>
  <si>
    <t xml:space="preserve">2604</t>
  </si>
  <si>
    <t xml:space="preserve">2605</t>
  </si>
  <si>
    <t xml:space="preserve">Weights, Sector Mapping and Forecast Assumptions</t>
  </si>
  <si>
    <t xml:space="preserve">Blue cells are inputs you can overwrite. Everything downstream is formula-driven and will recalculate.</t>
  </si>
  <si>
    <t xml:space="preserve">1 | Sector weights and bucket mapping</t>
  </si>
  <si>
    <t xml:space="preserve">Sector</t>
  </si>
  <si>
    <t xml:space="preserve">Bucket</t>
  </si>
  <si>
    <t xml:space="preserve">Weight (%)</t>
  </si>
  <si>
    <t xml:space="preserve">INDEC 2004 prior (%)</t>
  </si>
  <si>
    <t xml:space="preserve">Deviation (pp)</t>
  </si>
  <si>
    <t xml:space="preserve">Weight within bucket</t>
  </si>
  <si>
    <t xml:space="preserve">Contribution check</t>
  </si>
  <si>
    <t xml:space="preserve">Primary</t>
  </si>
  <si>
    <t xml:space="preserve">Industrial</t>
  </si>
  <si>
    <t xml:space="preserve">Services</t>
  </si>
  <si>
    <t xml:space="preserve">Total</t>
  </si>
  <si>
    <t xml:space="preserve">2 | Bucket weights (derived)</t>
  </si>
  <si>
    <t xml:space="preserve">Share of EMAE</t>
  </si>
  <si>
    <t xml:space="preserve">3 | Forecast assumptions — average m/m growth of each sub-index, SA (%)</t>
  </si>
  <si>
    <t xml:space="preserve">The forecast is built bottom-up: these three pairs of assumptions drive the sub-index level paths, which aggregate to EMAE using the bucket weights above. Change a cell and every forecast number moves.</t>
  </si>
  <si>
    <t xml:space="preserve">Sub-index</t>
  </si>
  <si>
    <t xml:space="preserve">May-26 to Dec-26 (% m/m)</t>
  </si>
  <si>
    <t xml:space="preserve">2027 (% m/m)</t>
  </si>
  <si>
    <t xml:space="preserve">Implied ann. pace 2026H2</t>
  </si>
  <si>
    <t xml:space="preserve">Implied ann. pace 2027</t>
  </si>
  <si>
    <t xml:space="preserve">Trailing 6m actual (% m/m)</t>
  </si>
  <si>
    <t xml:space="preserve">4 | Weight estimation diagnostics</t>
  </si>
  <si>
    <t xml:space="preserve">Method</t>
  </si>
  <si>
    <t xml:space="preserve">Constrained least squares of the 15 seasonally-adjusted sector indices on the published SA EMAE, shrunk toward the INDEC 2004 value-added shares.</t>
  </si>
  <si>
    <t xml:space="preserve">Why shrinkage</t>
  </si>
  <si>
    <t xml:space="preserve">Every series is rebased to 2004=100, so EMAE is exactly a convex combination of the sectors and the weights are the 2004 value-added shares. But the services block is highly collinear: the unpenalised fit pins Education, Utilities, Public Admin and Other Services at zero and pushes Trade to 22.9%. Shrinkage restores economically sensible weights at almost no cost in fit.</t>
  </si>
  <si>
    <t xml:space="preserve">Shrinkage parameter</t>
  </si>
  <si>
    <t xml:space="preserve">lambda = 5.0</t>
  </si>
  <si>
    <t xml:space="preserve">R-squared</t>
  </si>
  <si>
    <t xml:space="preserve">Residual std. dev. (index pts)</t>
  </si>
  <si>
    <t xml:space="preserve">Max abs. residual (index pts)</t>
  </si>
  <si>
    <t xml:space="preserve">Bucket weights: stability</t>
  </si>
  <si>
    <t xml:space="preserve">Primary 8-10%, Industrial 26-27%, Services 63-65% across the entire shrinkage range. The bucket split is well identified even though individual sector weights are not.</t>
  </si>
  <si>
    <t xml:space="preserve">Override</t>
  </si>
  <si>
    <t xml:space="preserve">If you have INDEC's official EMAE base-2004 weights, paste them into column C. Nothing else needs changing.</t>
  </si>
  <si>
    <t xml:space="preserve">Seasonally Adjusted Levels</t>
  </si>
  <si>
    <t xml:space="preserve">Sector SA levels are computed values (X-11-style multiplicative decomposition) and do NOT auto-update with Haver. NSA columns and all sub-indices are live formulas.</t>
  </si>
  <si>
    <t xml:space="preserve">Sub-index levels are SUMPRODUCTs of the sector indices and the within-bucket weights on 'Weights &amp; Assumptions', so they respond immediately to any weight change.</t>
  </si>
  <si>
    <t xml:space="preserve">Date</t>
  </si>
  <si>
    <t xml:space="preserve">EMAE published (SA)</t>
  </si>
  <si>
    <t xml:space="preserve">Agri. (SA)</t>
  </si>
  <si>
    <t xml:space="preserve">Fishing (SA)</t>
  </si>
  <si>
    <t xml:space="preserve">Mining (SA)</t>
  </si>
  <si>
    <t xml:space="preserve">Mfg. (SA)</t>
  </si>
  <si>
    <t xml:space="preserve">Utilities (SA)</t>
  </si>
  <si>
    <t xml:space="preserve">Const. (SA)</t>
  </si>
  <si>
    <t xml:space="preserve">Trade (SA)</t>
  </si>
  <si>
    <t xml:space="preserve">Hotels (SA)</t>
  </si>
  <si>
    <t xml:space="preserve">Transport (SA)</t>
  </si>
  <si>
    <t xml:space="preserve">Finance (SA)</t>
  </si>
  <si>
    <t xml:space="preserve">Real Estate (SA)</t>
  </si>
  <si>
    <t xml:space="preserve">Public Admin. (SA)</t>
  </si>
  <si>
    <t xml:space="preserve">Education (SA)</t>
  </si>
  <si>
    <t xml:space="preserve">Health (SA)</t>
  </si>
  <si>
    <t xml:space="preserve">Other Services (SA)</t>
  </si>
  <si>
    <t xml:space="preserve">Primary (SA)</t>
  </si>
  <si>
    <t xml:space="preserve">Industrial (SA)</t>
  </si>
  <si>
    <t xml:space="preserve">Services (SA)</t>
  </si>
  <si>
    <t xml:space="preserve">EMAE reconstructed (SA)</t>
  </si>
  <si>
    <t xml:space="preserve">Primary (NSA)</t>
  </si>
  <si>
    <t xml:space="preserve">Industrial (NSA)</t>
  </si>
  <si>
    <t xml:space="preserve">Services (NSA)</t>
  </si>
  <si>
    <t xml:space="preserve">EMAE reconstructed (NSA)</t>
  </si>
  <si>
    <t xml:space="preserve">EMAE Analysis</t>
  </si>
  <si>
    <t xml:space="preserve">Headline activity. 'Published' is INDEC's own SA series; 'reconstructed' is our weighted aggregate of the three sub-indices — the gap between them is the aggregation error and is the honest measure of model quality.</t>
  </si>
  <si>
    <t xml:space="preserve">EMAE published: SA level</t>
  </si>
  <si>
    <t xml:space="preserve">EMAE published: m/m %</t>
  </si>
  <si>
    <t xml:space="preserve">EMAE published: 3m/3m %</t>
  </si>
  <si>
    <t xml:space="preserve">EMAE published: 3m/3m ann. %</t>
  </si>
  <si>
    <t xml:space="preserve">EMAE published: y/y %</t>
  </si>
  <si>
    <t xml:space="preserve">EMAE published: YTD avg %</t>
  </si>
  <si>
    <t xml:space="preserve">EMAE reconstructed: SA level</t>
  </si>
  <si>
    <t xml:space="preserve">EMAE reconstructed: m/m %</t>
  </si>
  <si>
    <t xml:space="preserve">EMAE reconstructed: 3m/3m %</t>
  </si>
  <si>
    <t xml:space="preserve">EMAE reconstructed: 3m/3m ann. %</t>
  </si>
  <si>
    <t xml:space="preserve">EMAE reconstructed: y/y %</t>
  </si>
  <si>
    <t xml:space="preserve">EMAE reconstructed: YTD avg %</t>
  </si>
  <si>
    <t xml:space="preserve">Sub-Index Analysis</t>
  </si>
  <si>
    <t xml:space="preserve">Primary = agriculture + fishing. Industrial = mining + manufacturing + construction. Services = the remaining ten. Growth rates on SA levels; y/y and YTD on NSA levels, which is how INDEC headlines them.</t>
  </si>
  <si>
    <t xml:space="preserve">Primary: SA level</t>
  </si>
  <si>
    <t xml:space="preserve">Primary: m/m %</t>
  </si>
  <si>
    <t xml:space="preserve">Primary: 3m/3m %</t>
  </si>
  <si>
    <t xml:space="preserve">Primary: 3m/3m ann. %</t>
  </si>
  <si>
    <t xml:space="preserve">Primary: y/y %</t>
  </si>
  <si>
    <t xml:space="preserve">Primary: YTD avg %</t>
  </si>
  <si>
    <t xml:space="preserve">Industrial: SA level</t>
  </si>
  <si>
    <t xml:space="preserve">Industrial: m/m %</t>
  </si>
  <si>
    <t xml:space="preserve">Industrial: 3m/3m %</t>
  </si>
  <si>
    <t xml:space="preserve">Industrial: 3m/3m ann. %</t>
  </si>
  <si>
    <t xml:space="preserve">Industrial: y/y %</t>
  </si>
  <si>
    <t xml:space="preserve">Industrial: YTD avg %</t>
  </si>
  <si>
    <t xml:space="preserve">Services: SA level</t>
  </si>
  <si>
    <t xml:space="preserve">Services: m/m %</t>
  </si>
  <si>
    <t xml:space="preserve">Services: 3m/3m %</t>
  </si>
  <si>
    <t xml:space="preserve">Services: 3m/3m ann. %</t>
  </si>
  <si>
    <t xml:space="preserve">Services: y/y %</t>
  </si>
  <si>
    <t xml:space="preserve">Services: YTD avg %</t>
  </si>
  <si>
    <t xml:space="preserve">Bottom-Up Forecast — 2026 and 2027</t>
  </si>
  <si>
    <t xml:space="preserve">Sub-index level paths are projected from the assumptions on 'Weights &amp; Assumptions' and aggregated to EMAE. History is linked; the forecast rows are live formulas.</t>
  </si>
  <si>
    <t xml:space="preserve">Annual growth is computed on annual averages of the monthly SA level path, which is the convention INDEC and consensus use. The 2026 number is therefore already largely determined by the realised path: see the carry-over decomposition below.</t>
  </si>
  <si>
    <t xml:space="preserve">Flag</t>
  </si>
  <si>
    <t xml:space="preserve">EMAE m/m %</t>
  </si>
  <si>
    <t xml:space="preserve">EMAE y/y %</t>
  </si>
  <si>
    <t xml:space="preserve">Primary m/m %</t>
  </si>
  <si>
    <t xml:space="preserve">Industrial m/m %</t>
  </si>
  <si>
    <t xml:space="preserve">Services m/m %</t>
  </si>
  <si>
    <t xml:space="preserve">A</t>
  </si>
  <si>
    <t xml:space="preserve">F</t>
  </si>
  <si>
    <t xml:space="preserve">Annual averages and growth</t>
  </si>
  <si>
    <t xml:space="preserve">Year</t>
  </si>
  <si>
    <t xml:space="preserve">Primary lvl</t>
  </si>
  <si>
    <t xml:space="preserve">Industrial lvl</t>
  </si>
  <si>
    <t xml:space="preserve">Services lvl</t>
  </si>
  <si>
    <t xml:space="preserve">EMAE lvl</t>
  </si>
  <si>
    <t xml:space="preserve">Primary %</t>
  </si>
  <si>
    <t xml:space="preserve">Industrial %</t>
  </si>
  <si>
    <t xml:space="preserve">Services %</t>
  </si>
  <si>
    <t xml:space="preserve">EMAE %</t>
  </si>
  <si>
    <t xml:space="preserve">Primary contrib (pp)</t>
  </si>
  <si>
    <t xml:space="preserve">Industrial contrib (pp)</t>
  </si>
  <si>
    <t xml:space="preserve">Services contrib (pp)</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</si>
  <si>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</si>
  <si>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</si>
  <si>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</si>
  <si>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</si>
  <si>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</si>
  <si>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</si>
  <si>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</si>
  <si>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</si>
  <si>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</si>
  <si>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Carry-over decomposition of the forecast</t>
  </si>
  <si>
    <t xml:space="preserve">Carry-over is the annual growth that would be printed if the SA level simply held flat at its last actual reading for the rest of the year. It isolates how much of the forecast is already locked in.</t>
  </si>
  <si>
    <t xml:space="preserve">EMAE: carry-over (pp)</t>
  </si>
  <si>
    <t xml:space="preserve">EMAE: total forecast (%)</t>
  </si>
  <si>
    <t xml:space="preserve">EMAE: contribution from assumed momentum (pp)</t>
  </si>
  <si>
    <t xml:space="preserve">Argentina Activity Dashboard</t>
  </si>
  <si>
    <t xml:space="preserve">Data through May 2026. All figures percent unless stated.</t>
  </si>
  <si>
    <t xml:space="preserve">Latest readings</t>
  </si>
  <si>
    <t xml:space="preserve">Series</t>
  </si>
  <si>
    <t xml:space="preserve">SA level</t>
  </si>
  <si>
    <t xml:space="preserve">m/m %</t>
  </si>
  <si>
    <t xml:space="preserve">3m/3m ann. %</t>
  </si>
  <si>
    <t xml:space="preserve">y/y %</t>
  </si>
  <si>
    <t xml:space="preserve">YTD %</t>
  </si>
  <si>
    <t xml:space="preserve">2026F %</t>
  </si>
  <si>
    <t xml:space="preserve">2027F %</t>
  </si>
  <si>
    <t xml:space="preserve">EMAE (published)</t>
  </si>
  <si>
    <t xml:space="preserve">EMAE (reconstructed)</t>
  </si>
  <si>
    <t xml:space="preserve">Sector detail — latest m/m and y/y (SA levels, NSA y/y)</t>
  </si>
  <si>
    <t xml:space="preserve">Weight %</t>
  </si>
  <si>
    <t xml:space="preserve">Methodology and Caveats</t>
  </si>
  <si>
    <t xml:space="preserve">Source data</t>
  </si>
  <si>
    <t xml:space="preserve">Tabelle1, untouched. Haver codes and the _DLX1 range are preserved so the sheet refreshes normally.</t>
  </si>
  <si>
    <t xml:space="preserve">The core problem</t>
  </si>
  <si>
    <t xml:space="preserve">INDEC publishes EMAE seasonally adjusted but the 15 sector series NSA. Month-on-month and 3m/3m readings on NSA sector data are meaningless — agriculture swings from 65 to 298 on harvest timing alone. Every sector series is therefore seasonally adjusted before any high-frequency transformation.</t>
  </si>
  <si>
    <t xml:space="preserve">Seasonal adjustment</t>
  </si>
  <si>
    <t xml:space="preserve">X-11-style multiplicative decomposition in logs: 2x12 centred moving average for trend, within-month 3x3 smoother for slowly-evolving seasonal factors, two iterations, with within-month outliers clipped at 3 MADs before the seasonal factors are estimated. Cross-check: our own SA of EMAE correlates 0.9985 with INDEC's published SA series.</t>
  </si>
  <si>
    <t xml:space="preserve">IMPORTANT — SA does not auto-update</t>
  </si>
  <si>
    <t xml:space="preserve">The SA sector levels on 'SA Data' are static values. When Haver delivers new months, the NSA columns, y/y and YTD figures update automatically, but the SA levels and everything derived from them will not. The adjustment has to be re-run.</t>
  </si>
  <si>
    <t xml:space="preserve">Weights</t>
  </si>
  <si>
    <t xml:space="preserve">Estimated by constrained least squares shrunk toward the INDEC 2004 value-added shares (lambda=5.0); R-squared 0.9896. See 'Weights &amp; Assumptions' for the full diagnostic and for how to override with official INDEC weights.</t>
  </si>
  <si>
    <t xml:space="preserve">Bucket definitions</t>
  </si>
  <si>
    <t xml:space="preserve">Primary = agriculture, livestock, hunting &amp; forestry + fishing. Industrial = mining &amp; quarrying + manufacturing + construction. Services = utilities, trade, hotels &amp; restaurants, transport &amp; communications, finance, real estate &amp; business, public administration, education, health, other. Utilities sits in Services here; if you would rather treat it as industrial, change column B on 'Weights &amp; Assumptions' and everything re-aggregates.</t>
  </si>
  <si>
    <t xml:space="preserve">Transformations</t>
  </si>
  <si>
    <t xml:space="preserve">m/m and 3m/3m computed on SA levels. 3m/3m annualised compounds the quarterly rate to the fourth power. y/y and YTD computed on NSA levels, which is how INDEC headlines them and where seasonality cancels.</t>
  </si>
  <si>
    <t xml:space="preserve">Forecast</t>
  </si>
  <si>
    <t xml:space="preserve">Bottom-up. Each sub-index is projected forward at an assumed average monthly SA growth rate — one for the remainder of 2026, one for 2027 — and the three paths are aggregated to EMAE using the bucket weights. Annual growth is the ratio of annual averages of the monthly level path.</t>
  </si>
  <si>
    <t xml:space="preserve">Forecast defaults</t>
  </si>
  <si>
    <t xml:space="preserve">Primary is held near flat despite very strong recent momentum: the trailing 3m average of +6.1% m/m reflects a record harvest level shift, not a sustainable growth rate, and extrapolating it would be an error. Industrial and Services are set to a mild recovery from a stalled base.</t>
  </si>
  <si>
    <t xml:space="preserve">Reading the result</t>
  </si>
  <si>
    <t xml:space="preserve">On the defaults, 2026 is roughly a flat year for headline activity with the Primary sector doing essentially all the work, and 2027 recovers to the low single digits. The carry-over block on 'Forecast' shows how much of each year is already locked in versus driven by the assumptions.</t>
  </si>
  <si>
    <t xml:space="preserve">Colour convention</t>
  </si>
  <si>
    <t xml:space="preserve">Blue = hardcoded input you may overwrite. Green = link to another sheet. Black = formula. Yellow fill = forecast cells and key assumptions.</t>
  </si>
  <si>
    <t xml:space="preserve">Known limitations</t>
  </si>
  <si>
    <t xml:space="preserve">Aggregation error between reconstructed and published EMAE runs at about 1.5 index points (roughly 1%); individual sector weights inside the services block are only weakly identified even after shrinkage, though the bucket split is robust. The forecast is a mechanical level path, not a structural model — it has no explicit treatment of policy, the exchange rate, or the harvest cycle.</t>
  </si>
</sst>
</file>

<file path=xl/styles.xml><?xml version="1.0" encoding="utf-8"?>
<styleSheet xmlns="http://schemas.openxmlformats.org/spreadsheetml/2006/main">
  <numFmts count="8">
    <numFmt numFmtId="164" formatCode="General"/>
    <numFmt numFmtId="165" formatCode="yymm"/>
    <numFmt numFmtId="166" formatCode="0.00000"/>
    <numFmt numFmtId="167" formatCode="0.00"/>
    <numFmt numFmtId="168" formatCode="0.0;\(0.0\);\-"/>
    <numFmt numFmtId="169" formatCode="0.00%"/>
    <numFmt numFmtId="170" formatCode="mmm\-yy"/>
    <numFmt numFmtId="171"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C00000"/>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C46728"/>
      <rgbColor rgb="FF800080"/>
      <rgbColor rgb="FF008080"/>
      <rgbColor rgb="FFBFBFBF"/>
      <rgbColor rgb="FF8B8B8B"/>
      <rgbColor rgb="FF5B9BD5"/>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3B8A4"/>
      <rgbColor rgb="FF3366FF"/>
      <rgbColor rgb="FF33CCCC"/>
      <rgbColor rgb="FF99CC00"/>
      <rgbColor rgb="FFFFCC00"/>
      <rgbColor rgb="FFFF9900"/>
      <rgbColor rgb="FFED7D31"/>
      <rgbColor rgb="FF595959"/>
      <rgbColor rgb="FFA5A5A5"/>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Sub-index levels, SA (2004=100)</a:t>
            </a:r>
          </a:p>
        </c:rich>
      </c:tx>
      <c:overlay val="0"/>
      <c:spPr>
        <a:noFill/>
        <a:ln w="0">
          <a:noFill/>
        </a:ln>
      </c:spPr>
    </c:title>
    <c:autoTitleDeleted val="0"/>
    <c:plotArea>
      <c:lineChart>
        <c:grouping val="standard"/>
        <c:varyColors val="0"/>
        <c:ser>
          <c:idx val="0"/>
          <c:order val="0"/>
          <c:tx>
            <c:strRef>
              <c:f>'Sub-Index Analysis'!B6</c:f>
              <c:strCache>
                <c:ptCount val="1"/>
                <c:pt idx="0">
                  <c:v>Primary: SA level</c:v>
                </c:pt>
              </c:strCache>
            </c:strRef>
          </c:tx>
          <c:spPr>
            <a:solidFill>
              <a:srgbClr val="c46728"/>
            </a:solidFill>
            <a:ln w="31680">
              <a:solidFill>
                <a:srgbClr val="c4672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'Sub-Index Analysis'!$A$7:$A$275</c:f>
              <c:strCache>
                <c:ptCount val="269"/>
                <c:pt idx="0">
                  <c:v>Jan-04</c:v>
                </c:pt>
                <c:pt idx="1">
                  <c:v>Feb-04</c:v>
                </c:pt>
                <c:pt idx="2">
                  <c:v>Mar-04</c:v>
                </c:pt>
                <c:pt idx="3">
                  <c:v>Apr-04</c:v>
                </c:pt>
                <c:pt idx="4">
                  <c:v>May-04</c:v>
                </c:pt>
                <c:pt idx="5">
                  <c:v>Jun-04</c:v>
                </c:pt>
                <c:pt idx="6">
                  <c:v>Jul-04</c:v>
                </c:pt>
                <c:pt idx="7">
                  <c:v>Aug-04</c:v>
                </c:pt>
                <c:pt idx="8">
                  <c:v>Sep-04</c:v>
                </c:pt>
                <c:pt idx="9">
                  <c:v>Oct-04</c:v>
                </c:pt>
                <c:pt idx="10">
                  <c:v>Nov-04</c:v>
                </c:pt>
                <c:pt idx="11">
                  <c:v>Dec-04</c:v>
                </c:pt>
                <c:pt idx="12">
                  <c:v>Jan-05</c:v>
                </c:pt>
                <c:pt idx="13">
                  <c:v>Feb-05</c:v>
                </c:pt>
                <c:pt idx="14">
                  <c:v>Mar-05</c:v>
                </c:pt>
                <c:pt idx="15">
                  <c:v>Apr-05</c:v>
                </c:pt>
                <c:pt idx="16">
                  <c:v>May-05</c:v>
                </c:pt>
                <c:pt idx="17">
                  <c:v>Jun-05</c:v>
                </c:pt>
                <c:pt idx="18">
                  <c:v>Jul-05</c:v>
                </c:pt>
                <c:pt idx="19">
                  <c:v>Aug-05</c:v>
                </c:pt>
                <c:pt idx="20">
                  <c:v>Sep-05</c:v>
                </c:pt>
                <c:pt idx="21">
                  <c:v>Oct-05</c:v>
                </c:pt>
                <c:pt idx="22">
                  <c:v>Nov-05</c:v>
                </c:pt>
                <c:pt idx="23">
                  <c:v>Dec-05</c:v>
                </c:pt>
                <c:pt idx="24">
                  <c:v>Jan-06</c:v>
                </c:pt>
                <c:pt idx="25">
                  <c:v>Feb-06</c:v>
                </c:pt>
                <c:pt idx="26">
                  <c:v>Mar-06</c:v>
                </c:pt>
                <c:pt idx="27">
                  <c:v>Apr-06</c:v>
                </c:pt>
                <c:pt idx="28">
                  <c:v>May-06</c:v>
                </c:pt>
                <c:pt idx="29">
                  <c:v>Jun-06</c:v>
                </c:pt>
                <c:pt idx="30">
                  <c:v>Jul-06</c:v>
                </c:pt>
                <c:pt idx="31">
                  <c:v>Aug-06</c:v>
                </c:pt>
                <c:pt idx="32">
                  <c:v>Sep-06</c:v>
                </c:pt>
                <c:pt idx="33">
                  <c:v>Oct-06</c:v>
                </c:pt>
                <c:pt idx="34">
                  <c:v>Nov-06</c:v>
                </c:pt>
                <c:pt idx="35">
                  <c:v>Dec-06</c:v>
                </c:pt>
                <c:pt idx="36">
                  <c:v>Jan-07</c:v>
                </c:pt>
                <c:pt idx="37">
                  <c:v>Feb-07</c:v>
                </c:pt>
                <c:pt idx="38">
                  <c:v>Mar-07</c:v>
                </c:pt>
                <c:pt idx="39">
                  <c:v>Apr-07</c:v>
                </c:pt>
                <c:pt idx="40">
                  <c:v>May-07</c:v>
                </c:pt>
                <c:pt idx="41">
                  <c:v>Jun-07</c:v>
                </c:pt>
                <c:pt idx="42">
                  <c:v>Jul-07</c:v>
                </c:pt>
                <c:pt idx="43">
                  <c:v>Aug-07</c:v>
                </c:pt>
                <c:pt idx="44">
                  <c:v>Sep-07</c:v>
                </c:pt>
                <c:pt idx="45">
                  <c:v>Oct-07</c:v>
                </c:pt>
                <c:pt idx="46">
                  <c:v>Nov-07</c:v>
                </c:pt>
                <c:pt idx="47">
                  <c:v>Dec-07</c:v>
                </c:pt>
                <c:pt idx="48">
                  <c:v>Jan-08</c:v>
                </c:pt>
                <c:pt idx="49">
                  <c:v>Feb-08</c:v>
                </c:pt>
                <c:pt idx="50">
                  <c:v>Mar-08</c:v>
                </c:pt>
                <c:pt idx="51">
                  <c:v>Apr-08</c:v>
                </c:pt>
                <c:pt idx="52">
                  <c:v>May-08</c:v>
                </c:pt>
                <c:pt idx="53">
                  <c:v>Jun-08</c:v>
                </c:pt>
                <c:pt idx="54">
                  <c:v>Jul-08</c:v>
                </c:pt>
                <c:pt idx="55">
                  <c:v>Aug-08</c:v>
                </c:pt>
                <c:pt idx="56">
                  <c:v>Sep-08</c:v>
                </c:pt>
                <c:pt idx="57">
                  <c:v>Oct-08</c:v>
                </c:pt>
                <c:pt idx="58">
                  <c:v>Nov-08</c:v>
                </c:pt>
                <c:pt idx="59">
                  <c:v>Dec-08</c:v>
                </c:pt>
                <c:pt idx="60">
                  <c:v>Jan-09</c:v>
                </c:pt>
                <c:pt idx="61">
                  <c:v>Feb-09</c:v>
                </c:pt>
                <c:pt idx="62">
                  <c:v>Mar-09</c:v>
                </c:pt>
                <c:pt idx="63">
                  <c:v>Apr-09</c:v>
                </c:pt>
                <c:pt idx="64">
                  <c:v>May-09</c:v>
                </c:pt>
                <c:pt idx="65">
                  <c:v>Jun-09</c:v>
                </c:pt>
                <c:pt idx="66">
                  <c:v>Jul-09</c:v>
                </c:pt>
                <c:pt idx="67">
                  <c:v>Aug-09</c:v>
                </c:pt>
                <c:pt idx="68">
                  <c:v>Sep-09</c:v>
                </c:pt>
                <c:pt idx="69">
                  <c:v>Oct-09</c:v>
                </c:pt>
                <c:pt idx="70">
                  <c:v>Nov-09</c:v>
                </c:pt>
                <c:pt idx="71">
                  <c:v>Dec-09</c:v>
                </c:pt>
                <c:pt idx="72">
                  <c:v>Jan-10</c:v>
                </c:pt>
                <c:pt idx="73">
                  <c:v>Feb-10</c:v>
                </c:pt>
                <c:pt idx="74">
                  <c:v>Mar-10</c:v>
                </c:pt>
                <c:pt idx="75">
                  <c:v>Apr-10</c:v>
                </c:pt>
                <c:pt idx="76">
                  <c:v>May-10</c:v>
                </c:pt>
                <c:pt idx="77">
                  <c:v>Jun-10</c:v>
                </c:pt>
                <c:pt idx="78">
                  <c:v>Jul-10</c:v>
                </c:pt>
                <c:pt idx="79">
                  <c:v>Aug-10</c:v>
                </c:pt>
                <c:pt idx="80">
                  <c:v>Sep-10</c:v>
                </c:pt>
                <c:pt idx="81">
                  <c:v>Oct-10</c:v>
                </c:pt>
                <c:pt idx="82">
                  <c:v>Nov-10</c:v>
                </c:pt>
                <c:pt idx="83">
                  <c:v>Dec-10</c:v>
                </c:pt>
                <c:pt idx="84">
                  <c:v>Jan-11</c:v>
                </c:pt>
                <c:pt idx="85">
                  <c:v>Feb-11</c:v>
                </c:pt>
                <c:pt idx="86">
                  <c:v>Mar-11</c:v>
                </c:pt>
                <c:pt idx="87">
                  <c:v>Apr-11</c:v>
                </c:pt>
                <c:pt idx="88">
                  <c:v>May-11</c:v>
                </c:pt>
                <c:pt idx="89">
                  <c:v>Jun-11</c:v>
                </c:pt>
                <c:pt idx="90">
                  <c:v>Jul-11</c:v>
                </c:pt>
                <c:pt idx="91">
                  <c:v>Aug-11</c:v>
                </c:pt>
                <c:pt idx="92">
                  <c:v>Sep-11</c:v>
                </c:pt>
                <c:pt idx="93">
                  <c:v>Oct-11</c:v>
                </c:pt>
                <c:pt idx="94">
                  <c:v>Nov-11</c:v>
                </c:pt>
                <c:pt idx="95">
                  <c:v>Dec-11</c:v>
                </c:pt>
                <c:pt idx="96">
                  <c:v>Jan-12</c:v>
                </c:pt>
                <c:pt idx="97">
                  <c:v>Feb-12</c:v>
                </c:pt>
                <c:pt idx="98">
                  <c:v>Mar-12</c:v>
                </c:pt>
                <c:pt idx="99">
                  <c:v>Apr-12</c:v>
                </c:pt>
                <c:pt idx="100">
                  <c:v>May-12</c:v>
                </c:pt>
                <c:pt idx="101">
                  <c:v>Jun-12</c:v>
                </c:pt>
                <c:pt idx="102">
                  <c:v>Jul-12</c:v>
                </c:pt>
                <c:pt idx="103">
                  <c:v>Aug-12</c:v>
                </c:pt>
                <c:pt idx="104">
                  <c:v>Sep-12</c:v>
                </c:pt>
                <c:pt idx="105">
                  <c:v>Oct-12</c:v>
                </c:pt>
                <c:pt idx="106">
                  <c:v>Nov-12</c:v>
                </c:pt>
                <c:pt idx="107">
                  <c:v>Dec-12</c:v>
                </c:pt>
                <c:pt idx="108">
                  <c:v>Jan-13</c:v>
                </c:pt>
                <c:pt idx="109">
                  <c:v>Feb-13</c:v>
                </c:pt>
                <c:pt idx="110">
                  <c:v>Mar-13</c:v>
                </c:pt>
                <c:pt idx="111">
                  <c:v>Apr-13</c:v>
                </c:pt>
                <c:pt idx="112">
                  <c:v>May-13</c:v>
                </c:pt>
                <c:pt idx="113">
                  <c:v>Jun-13</c:v>
                </c:pt>
                <c:pt idx="114">
                  <c:v>Jul-13</c:v>
                </c:pt>
                <c:pt idx="115">
                  <c:v>Aug-13</c:v>
                </c:pt>
                <c:pt idx="116">
                  <c:v>Sep-13</c:v>
                </c:pt>
                <c:pt idx="117">
                  <c:v>Oct-13</c:v>
                </c:pt>
                <c:pt idx="118">
                  <c:v>Nov-13</c:v>
                </c:pt>
                <c:pt idx="119">
                  <c:v>Dec-13</c:v>
                </c:pt>
                <c:pt idx="120">
                  <c:v>Jan-14</c:v>
                </c:pt>
                <c:pt idx="121">
                  <c:v>Feb-14</c:v>
                </c:pt>
                <c:pt idx="122">
                  <c:v>Mar-14</c:v>
                </c:pt>
                <c:pt idx="123">
                  <c:v>Apr-14</c:v>
                </c:pt>
                <c:pt idx="124">
                  <c:v>May-14</c:v>
                </c:pt>
                <c:pt idx="125">
                  <c:v>Jun-14</c:v>
                </c:pt>
                <c:pt idx="126">
                  <c:v>Jul-14</c:v>
                </c:pt>
                <c:pt idx="127">
                  <c:v>Aug-14</c:v>
                </c:pt>
                <c:pt idx="128">
                  <c:v>Sep-14</c:v>
                </c:pt>
                <c:pt idx="129">
                  <c:v>Oct-14</c:v>
                </c:pt>
                <c:pt idx="130">
                  <c:v>Nov-14</c:v>
                </c:pt>
                <c:pt idx="131">
                  <c:v>Dec-14</c:v>
                </c:pt>
                <c:pt idx="132">
                  <c:v>Jan-15</c:v>
                </c:pt>
                <c:pt idx="133">
                  <c:v>Feb-15</c:v>
                </c:pt>
                <c:pt idx="134">
                  <c:v>Mar-15</c:v>
                </c:pt>
                <c:pt idx="135">
                  <c:v>Apr-15</c:v>
                </c:pt>
                <c:pt idx="136">
                  <c:v>May-15</c:v>
                </c:pt>
                <c:pt idx="137">
                  <c:v>Jun-15</c:v>
                </c:pt>
                <c:pt idx="138">
                  <c:v>Jul-15</c:v>
                </c:pt>
                <c:pt idx="139">
                  <c:v>Aug-15</c:v>
                </c:pt>
                <c:pt idx="140">
                  <c:v>Sep-15</c:v>
                </c:pt>
                <c:pt idx="141">
                  <c:v>Oct-15</c:v>
                </c:pt>
                <c:pt idx="142">
                  <c:v>Nov-15</c:v>
                </c:pt>
                <c:pt idx="143">
                  <c:v>Dec-15</c:v>
                </c:pt>
                <c:pt idx="144">
                  <c:v>Jan-16</c:v>
                </c:pt>
                <c:pt idx="145">
                  <c:v>Feb-16</c:v>
                </c:pt>
                <c:pt idx="146">
                  <c:v>Mar-16</c:v>
                </c:pt>
                <c:pt idx="147">
                  <c:v>Apr-16</c:v>
                </c:pt>
                <c:pt idx="148">
                  <c:v>May-16</c:v>
                </c:pt>
                <c:pt idx="149">
                  <c:v>Jun-16</c:v>
                </c:pt>
                <c:pt idx="150">
                  <c:v>Jul-16</c:v>
                </c:pt>
                <c:pt idx="151">
                  <c:v>Aug-16</c:v>
                </c:pt>
                <c:pt idx="152">
                  <c:v>Sep-16</c:v>
                </c:pt>
                <c:pt idx="153">
                  <c:v>Oct-16</c:v>
                </c:pt>
                <c:pt idx="154">
                  <c:v>Nov-16</c:v>
                </c:pt>
                <c:pt idx="155">
                  <c:v>Dec-16</c:v>
                </c:pt>
                <c:pt idx="156">
                  <c:v>Jan-17</c:v>
                </c:pt>
                <c:pt idx="157">
                  <c:v>Feb-17</c:v>
                </c:pt>
                <c:pt idx="158">
                  <c:v>Mar-17</c:v>
                </c:pt>
                <c:pt idx="159">
                  <c:v>Apr-17</c:v>
                </c:pt>
                <c:pt idx="160">
                  <c:v>May-17</c:v>
                </c:pt>
                <c:pt idx="161">
                  <c:v>Jun-17</c:v>
                </c:pt>
                <c:pt idx="162">
                  <c:v>Jul-17</c:v>
                </c:pt>
                <c:pt idx="163">
                  <c:v>Aug-17</c:v>
                </c:pt>
                <c:pt idx="164">
                  <c:v>Sep-17</c:v>
                </c:pt>
                <c:pt idx="165">
                  <c:v>Oct-17</c:v>
                </c:pt>
                <c:pt idx="166">
                  <c:v>Nov-17</c:v>
                </c:pt>
                <c:pt idx="167">
                  <c:v>Dec-17</c:v>
                </c:pt>
                <c:pt idx="168">
                  <c:v>Jan-18</c:v>
                </c:pt>
                <c:pt idx="169">
                  <c:v>Feb-18</c:v>
                </c:pt>
                <c:pt idx="170">
                  <c:v>Mar-18</c:v>
                </c:pt>
                <c:pt idx="171">
                  <c:v>Apr-18</c:v>
                </c:pt>
                <c:pt idx="172">
                  <c:v>May-18</c:v>
                </c:pt>
                <c:pt idx="173">
                  <c:v>Jun-18</c:v>
                </c:pt>
                <c:pt idx="174">
                  <c:v>Jul-18</c:v>
                </c:pt>
                <c:pt idx="175">
                  <c:v>Aug-18</c:v>
                </c:pt>
                <c:pt idx="176">
                  <c:v>Sep-18</c:v>
                </c:pt>
                <c:pt idx="177">
                  <c:v>Oct-18</c:v>
                </c:pt>
                <c:pt idx="178">
                  <c:v>Nov-18</c:v>
                </c:pt>
                <c:pt idx="179">
                  <c:v>Dec-18</c:v>
                </c:pt>
                <c:pt idx="180">
                  <c:v>Jan-19</c:v>
                </c:pt>
                <c:pt idx="181">
                  <c:v>Feb-19</c:v>
                </c:pt>
                <c:pt idx="182">
                  <c:v>Mar-19</c:v>
                </c:pt>
                <c:pt idx="183">
                  <c:v>Apr-19</c:v>
                </c:pt>
                <c:pt idx="184">
                  <c:v>May-19</c:v>
                </c:pt>
                <c:pt idx="185">
                  <c:v>Jun-19</c:v>
                </c:pt>
                <c:pt idx="186">
                  <c:v>Jul-19</c:v>
                </c:pt>
                <c:pt idx="187">
                  <c:v>Aug-19</c:v>
                </c:pt>
                <c:pt idx="188">
                  <c:v>Sep-19</c:v>
                </c:pt>
                <c:pt idx="189">
                  <c:v>Oct-19</c:v>
                </c:pt>
                <c:pt idx="190">
                  <c:v>Nov-19</c:v>
                </c:pt>
                <c:pt idx="191">
                  <c:v>Dec-19</c:v>
                </c:pt>
                <c:pt idx="192">
                  <c:v>Jan-20</c:v>
                </c:pt>
                <c:pt idx="193">
                  <c:v>Feb-20</c:v>
                </c:pt>
                <c:pt idx="194">
                  <c:v>Mar-20</c:v>
                </c:pt>
                <c:pt idx="195">
                  <c:v>Apr-20</c:v>
                </c:pt>
                <c:pt idx="196">
                  <c:v>May-20</c:v>
                </c:pt>
                <c:pt idx="197">
                  <c:v>Jun-20</c:v>
                </c:pt>
                <c:pt idx="198">
                  <c:v>Jul-20</c:v>
                </c:pt>
                <c:pt idx="199">
                  <c:v>Aug-20</c:v>
                </c:pt>
                <c:pt idx="200">
                  <c:v>Sep-20</c:v>
                </c:pt>
                <c:pt idx="201">
                  <c:v>Oct-20</c:v>
                </c:pt>
                <c:pt idx="202">
                  <c:v>Nov-20</c:v>
                </c:pt>
                <c:pt idx="203">
                  <c:v>Dec-20</c:v>
                </c:pt>
                <c:pt idx="204">
                  <c:v>Jan-21</c:v>
                </c:pt>
                <c:pt idx="205">
                  <c:v>Feb-21</c:v>
                </c:pt>
                <c:pt idx="206">
                  <c:v>Mar-21</c:v>
                </c:pt>
                <c:pt idx="207">
                  <c:v>Apr-21</c:v>
                </c:pt>
                <c:pt idx="208">
                  <c:v>May-21</c:v>
                </c:pt>
                <c:pt idx="209">
                  <c:v>Jun-21</c:v>
                </c:pt>
                <c:pt idx="210">
                  <c:v>Jul-21</c:v>
                </c:pt>
                <c:pt idx="211">
                  <c:v>Aug-21</c:v>
                </c:pt>
                <c:pt idx="212">
                  <c:v>Sep-21</c:v>
                </c:pt>
                <c:pt idx="213">
                  <c:v>Oct-21</c:v>
                </c:pt>
                <c:pt idx="214">
                  <c:v>Nov-21</c:v>
                </c:pt>
                <c:pt idx="215">
                  <c:v>Dec-21</c:v>
                </c:pt>
                <c:pt idx="216">
                  <c:v>Jan-22</c:v>
                </c:pt>
                <c:pt idx="217">
                  <c:v>Feb-22</c:v>
                </c:pt>
                <c:pt idx="218">
                  <c:v>Mar-22</c:v>
                </c:pt>
                <c:pt idx="219">
                  <c:v>Apr-22</c:v>
                </c:pt>
                <c:pt idx="220">
                  <c:v>May-22</c:v>
                </c:pt>
                <c:pt idx="221">
                  <c:v>Jun-22</c:v>
                </c:pt>
                <c:pt idx="222">
                  <c:v>Jul-22</c:v>
                </c:pt>
                <c:pt idx="223">
                  <c:v>Aug-22</c:v>
                </c:pt>
                <c:pt idx="224">
                  <c:v>Sep-22</c:v>
                </c:pt>
                <c:pt idx="225">
                  <c:v>Oct-22</c:v>
                </c:pt>
                <c:pt idx="226">
                  <c:v>Nov-22</c:v>
                </c:pt>
                <c:pt idx="227">
                  <c:v>Dec-22</c:v>
                </c:pt>
                <c:pt idx="228">
                  <c:v>Jan-23</c:v>
                </c:pt>
                <c:pt idx="229">
                  <c:v>Feb-23</c:v>
                </c:pt>
                <c:pt idx="230">
                  <c:v>Mar-23</c:v>
                </c:pt>
                <c:pt idx="231">
                  <c:v>Apr-23</c:v>
                </c:pt>
                <c:pt idx="232">
                  <c:v>May-23</c:v>
                </c:pt>
                <c:pt idx="233">
                  <c:v>Jun-23</c:v>
                </c:pt>
                <c:pt idx="234">
                  <c:v>Jul-23</c:v>
                </c:pt>
                <c:pt idx="235">
                  <c:v>Aug-23</c:v>
                </c:pt>
                <c:pt idx="236">
                  <c:v>Sep-23</c:v>
                </c:pt>
                <c:pt idx="237">
                  <c:v>Oct-23</c:v>
                </c:pt>
                <c:pt idx="238">
                  <c:v>Nov-23</c:v>
                </c:pt>
                <c:pt idx="239">
                  <c:v>Dec-23</c:v>
                </c:pt>
                <c:pt idx="240">
                  <c:v>Jan-24</c:v>
                </c:pt>
                <c:pt idx="241">
                  <c:v>Feb-24</c:v>
                </c:pt>
                <c:pt idx="242">
                  <c:v>Mar-24</c:v>
                </c:pt>
                <c:pt idx="243">
                  <c:v>Apr-24</c:v>
                </c:pt>
                <c:pt idx="244">
                  <c:v>May-24</c:v>
                </c:pt>
                <c:pt idx="245">
                  <c:v>Jun-24</c:v>
                </c:pt>
                <c:pt idx="246">
                  <c:v>Jul-24</c:v>
                </c:pt>
                <c:pt idx="247">
                  <c:v>Aug-24</c:v>
                </c:pt>
                <c:pt idx="248">
                  <c:v>Sep-24</c:v>
                </c:pt>
                <c:pt idx="249">
                  <c:v>Oct-24</c:v>
                </c:pt>
                <c:pt idx="250">
                  <c:v>Nov-24</c:v>
                </c:pt>
                <c:pt idx="251">
                  <c:v>Dec-24</c:v>
                </c:pt>
                <c:pt idx="252">
                  <c:v>Jan-25</c:v>
                </c:pt>
                <c:pt idx="253">
                  <c:v>Feb-25</c:v>
                </c:pt>
                <c:pt idx="254">
                  <c:v>Mar-25</c:v>
                </c:pt>
                <c:pt idx="255">
                  <c:v>Apr-25</c:v>
                </c:pt>
                <c:pt idx="256">
                  <c:v>May-25</c:v>
                </c:pt>
                <c:pt idx="257">
                  <c:v>Jun-25</c:v>
                </c:pt>
                <c:pt idx="258">
                  <c:v>Jul-25</c:v>
                </c:pt>
                <c:pt idx="259">
                  <c:v>Aug-25</c:v>
                </c:pt>
                <c:pt idx="260">
                  <c:v>Sep-25</c:v>
                </c:pt>
                <c:pt idx="261">
                  <c:v>Oct-25</c:v>
                </c:pt>
                <c:pt idx="262">
                  <c:v>Nov-25</c:v>
                </c:pt>
                <c:pt idx="263">
                  <c:v>Dec-25</c:v>
                </c:pt>
                <c:pt idx="264">
                  <c:v>Jan-26</c:v>
                </c:pt>
                <c:pt idx="265">
                  <c:v>Feb-26</c:v>
                </c:pt>
                <c:pt idx="266">
                  <c:v>Mar-26</c:v>
                </c:pt>
                <c:pt idx="267">
                  <c:v>Apr-26</c:v>
                </c:pt>
                <c:pt idx="268">
                  <c:v>May-26</c:v>
                </c:pt>
              </c:strCache>
            </c:strRef>
          </c:cat>
          <c:val>
            <c:numRef>
              <c:f>'Sub-Index Analysis'!$B$7:$B$275</c:f>
              <c:numCache>
                <c:formatCode>0.0</c:formatCode>
                <c:ptCount val="269"/>
                <c:pt idx="0">
                  <c:v>122.271003647106</c:v>
                </c:pt>
                <c:pt idx="1">
                  <c:v>115.464796860099</c:v>
                </c:pt>
                <c:pt idx="2">
                  <c:v>100.885593988849</c:v>
                </c:pt>
                <c:pt idx="3">
                  <c:v>90.4107011787294</c:v>
                </c:pt>
                <c:pt idx="4">
                  <c:v>85.0619589326564</c:v>
                </c:pt>
                <c:pt idx="5">
                  <c:v>85.021263338882</c:v>
                </c:pt>
                <c:pt idx="6">
                  <c:v>95.6231073086497</c:v>
                </c:pt>
                <c:pt idx="7">
                  <c:v>96.5352215493299</c:v>
                </c:pt>
                <c:pt idx="8">
                  <c:v>96.4359450740561</c:v>
                </c:pt>
                <c:pt idx="9">
                  <c:v>98.3839937010436</c:v>
                </c:pt>
                <c:pt idx="10">
                  <c:v>98.0098797412493</c:v>
                </c:pt>
                <c:pt idx="11">
                  <c:v>96.7747695515707</c:v>
                </c:pt>
                <c:pt idx="12">
                  <c:v>96.0059667499202</c:v>
                </c:pt>
                <c:pt idx="13">
                  <c:v>101.412423173975</c:v>
                </c:pt>
                <c:pt idx="14">
                  <c:v>108.683955444092</c:v>
                </c:pt>
                <c:pt idx="15">
                  <c:v>111.81223063323</c:v>
                </c:pt>
                <c:pt idx="16">
                  <c:v>111.221203010982</c:v>
                </c:pt>
                <c:pt idx="17">
                  <c:v>110.040658308453</c:v>
                </c:pt>
                <c:pt idx="18">
                  <c:v>99.1775235635913</c:v>
                </c:pt>
                <c:pt idx="19">
                  <c:v>95.6039984365283</c:v>
                </c:pt>
                <c:pt idx="20">
                  <c:v>95.1372384721311</c:v>
                </c:pt>
                <c:pt idx="21">
                  <c:v>96.9887172302538</c:v>
                </c:pt>
                <c:pt idx="22">
                  <c:v>100.74580168644</c:v>
                </c:pt>
                <c:pt idx="23">
                  <c:v>106.91859011196</c:v>
                </c:pt>
                <c:pt idx="24">
                  <c:v>104.331700328236</c:v>
                </c:pt>
                <c:pt idx="25">
                  <c:v>101.929108664951</c:v>
                </c:pt>
                <c:pt idx="26">
                  <c:v>100.991423606809</c:v>
                </c:pt>
                <c:pt idx="27">
                  <c:v>99.4785236871123</c:v>
                </c:pt>
                <c:pt idx="28">
                  <c:v>100.824326523288</c:v>
                </c:pt>
                <c:pt idx="29">
                  <c:v>101.249190367772</c:v>
                </c:pt>
                <c:pt idx="30">
                  <c:v>104.531586297755</c:v>
                </c:pt>
                <c:pt idx="31">
                  <c:v>108.085467770028</c:v>
                </c:pt>
                <c:pt idx="32">
                  <c:v>108.573522918957</c:v>
                </c:pt>
                <c:pt idx="33">
                  <c:v>102.666139473435</c:v>
                </c:pt>
                <c:pt idx="34">
                  <c:v>102.672933649458</c:v>
                </c:pt>
                <c:pt idx="35">
                  <c:v>105.996381210025</c:v>
                </c:pt>
                <c:pt idx="36">
                  <c:v>107.987555687397</c:v>
                </c:pt>
                <c:pt idx="37">
                  <c:v>106.290294976754</c:v>
                </c:pt>
                <c:pt idx="38">
                  <c:v>108.17119906644</c:v>
                </c:pt>
                <c:pt idx="39">
                  <c:v>115.292233689491</c:v>
                </c:pt>
                <c:pt idx="40">
                  <c:v>117.285706085309</c:v>
                </c:pt>
                <c:pt idx="41">
                  <c:v>116.682980438266</c:v>
                </c:pt>
                <c:pt idx="42">
                  <c:v>108.550985987907</c:v>
                </c:pt>
                <c:pt idx="43">
                  <c:v>104.776229537325</c:v>
                </c:pt>
                <c:pt idx="44">
                  <c:v>102.351617157073</c:v>
                </c:pt>
                <c:pt idx="45">
                  <c:v>105.874479663934</c:v>
                </c:pt>
                <c:pt idx="46">
                  <c:v>106.184395388554</c:v>
                </c:pt>
                <c:pt idx="47">
                  <c:v>108.587187153734</c:v>
                </c:pt>
                <c:pt idx="48">
                  <c:v>104.999962291975</c:v>
                </c:pt>
                <c:pt idx="49">
                  <c:v>104.46361054939</c:v>
                </c:pt>
                <c:pt idx="50">
                  <c:v>108.13136242974</c:v>
                </c:pt>
                <c:pt idx="51">
                  <c:v>115.71479188178</c:v>
                </c:pt>
                <c:pt idx="52">
                  <c:v>115.555867190809</c:v>
                </c:pt>
                <c:pt idx="53">
                  <c:v>113.800447954632</c:v>
                </c:pt>
                <c:pt idx="54">
                  <c:v>108.316329998412</c:v>
                </c:pt>
                <c:pt idx="55">
                  <c:v>104.643812380026</c:v>
                </c:pt>
                <c:pt idx="56">
                  <c:v>104.444836027565</c:v>
                </c:pt>
                <c:pt idx="57">
                  <c:v>103.388244473148</c:v>
                </c:pt>
                <c:pt idx="58">
                  <c:v>100.043314820948</c:v>
                </c:pt>
                <c:pt idx="59">
                  <c:v>93.4603425329705</c:v>
                </c:pt>
                <c:pt idx="60">
                  <c:v>94.2554039918236</c:v>
                </c:pt>
                <c:pt idx="61">
                  <c:v>94.4264333979289</c:v>
                </c:pt>
                <c:pt idx="62">
                  <c:v>85.3558243409207</c:v>
                </c:pt>
                <c:pt idx="63">
                  <c:v>69.9984739969282</c:v>
                </c:pt>
                <c:pt idx="64">
                  <c:v>68.2376285124753</c:v>
                </c:pt>
                <c:pt idx="65">
                  <c:v>70.113670123094</c:v>
                </c:pt>
                <c:pt idx="66">
                  <c:v>86.7799293365066</c:v>
                </c:pt>
                <c:pt idx="67">
                  <c:v>95.5736170412799</c:v>
                </c:pt>
                <c:pt idx="68">
                  <c:v>98.006693193524</c:v>
                </c:pt>
                <c:pt idx="69">
                  <c:v>95.5183372393267</c:v>
                </c:pt>
                <c:pt idx="70">
                  <c:v>94.5060136040198</c:v>
                </c:pt>
                <c:pt idx="71">
                  <c:v>86.1225341631735</c:v>
                </c:pt>
                <c:pt idx="72">
                  <c:v>90.4533526670743</c:v>
                </c:pt>
                <c:pt idx="73">
                  <c:v>98.0775514534396</c:v>
                </c:pt>
                <c:pt idx="74">
                  <c:v>104.868788336862</c:v>
                </c:pt>
                <c:pt idx="75">
                  <c:v>121.025170471104</c:v>
                </c:pt>
                <c:pt idx="76">
                  <c:v>124.928482053906</c:v>
                </c:pt>
                <c:pt idx="77">
                  <c:v>123.164924399534</c:v>
                </c:pt>
                <c:pt idx="78">
                  <c:v>107.584268885533</c:v>
                </c:pt>
                <c:pt idx="79">
                  <c:v>99.5091857754933</c:v>
                </c:pt>
                <c:pt idx="80">
                  <c:v>98.8685188441891</c:v>
                </c:pt>
                <c:pt idx="81">
                  <c:v>102.135283146323</c:v>
                </c:pt>
                <c:pt idx="82">
                  <c:v>106.102009816561</c:v>
                </c:pt>
                <c:pt idx="83">
                  <c:v>117.53678641724</c:v>
                </c:pt>
                <c:pt idx="84">
                  <c:v>111.964890482158</c:v>
                </c:pt>
                <c:pt idx="85">
                  <c:v>107.172569841034</c:v>
                </c:pt>
                <c:pt idx="86">
                  <c:v>109.842146599865</c:v>
                </c:pt>
                <c:pt idx="87">
                  <c:v>113.981737174511</c:v>
                </c:pt>
                <c:pt idx="88">
                  <c:v>114.025037427225</c:v>
                </c:pt>
                <c:pt idx="89">
                  <c:v>114.466923825573</c:v>
                </c:pt>
                <c:pt idx="90">
                  <c:v>106.051357971047</c:v>
                </c:pt>
                <c:pt idx="91">
                  <c:v>104.536703362164</c:v>
                </c:pt>
                <c:pt idx="92">
                  <c:v>104.091994514489</c:v>
                </c:pt>
                <c:pt idx="93">
                  <c:v>104.612329187847</c:v>
                </c:pt>
                <c:pt idx="94">
                  <c:v>106.037183772022</c:v>
                </c:pt>
                <c:pt idx="95">
                  <c:v>112.021277962321</c:v>
                </c:pt>
                <c:pt idx="96">
                  <c:v>109.947698669178</c:v>
                </c:pt>
                <c:pt idx="97">
                  <c:v>102.569088514743</c:v>
                </c:pt>
                <c:pt idx="98">
                  <c:v>98.389169019329</c:v>
                </c:pt>
                <c:pt idx="99">
                  <c:v>89.0300066457769</c:v>
                </c:pt>
                <c:pt idx="100">
                  <c:v>87.5156874817345</c:v>
                </c:pt>
                <c:pt idx="101">
                  <c:v>88.1383938018605</c:v>
                </c:pt>
                <c:pt idx="102">
                  <c:v>100.994962073818</c:v>
                </c:pt>
                <c:pt idx="103">
                  <c:v>109.439719143844</c:v>
                </c:pt>
                <c:pt idx="104">
                  <c:v>110.328428879153</c:v>
                </c:pt>
                <c:pt idx="105">
                  <c:v>108.232822975072</c:v>
                </c:pt>
                <c:pt idx="106">
                  <c:v>105.405018606663</c:v>
                </c:pt>
                <c:pt idx="107">
                  <c:v>97.2377115861067</c:v>
                </c:pt>
                <c:pt idx="108">
                  <c:v>102.893870188914</c:v>
                </c:pt>
                <c:pt idx="109">
                  <c:v>110.104471131257</c:v>
                </c:pt>
                <c:pt idx="110">
                  <c:v>109.912152420986</c:v>
                </c:pt>
                <c:pt idx="111">
                  <c:v>106.944783981036</c:v>
                </c:pt>
                <c:pt idx="112">
                  <c:v>106.353075879865</c:v>
                </c:pt>
                <c:pt idx="113">
                  <c:v>106.285681826702</c:v>
                </c:pt>
                <c:pt idx="114">
                  <c:v>106.016721112484</c:v>
                </c:pt>
                <c:pt idx="115">
                  <c:v>105.058966960932</c:v>
                </c:pt>
                <c:pt idx="116">
                  <c:v>104.774536884974</c:v>
                </c:pt>
                <c:pt idx="117">
                  <c:v>106.139870656102</c:v>
                </c:pt>
                <c:pt idx="118">
                  <c:v>105.908581406586</c:v>
                </c:pt>
                <c:pt idx="119">
                  <c:v>105.403886469887</c:v>
                </c:pt>
                <c:pt idx="120">
                  <c:v>108.636551412529</c:v>
                </c:pt>
                <c:pt idx="121">
                  <c:v>105.888491878058</c:v>
                </c:pt>
                <c:pt idx="122">
                  <c:v>104.476729526629</c:v>
                </c:pt>
                <c:pt idx="123">
                  <c:v>108.623795571616</c:v>
                </c:pt>
                <c:pt idx="124">
                  <c:v>110.20571359546</c:v>
                </c:pt>
                <c:pt idx="125">
                  <c:v>109.531530832917</c:v>
                </c:pt>
                <c:pt idx="126">
                  <c:v>107.693608779765</c:v>
                </c:pt>
                <c:pt idx="127">
                  <c:v>105.680652852726</c:v>
                </c:pt>
                <c:pt idx="128">
                  <c:v>108.639603492172</c:v>
                </c:pt>
                <c:pt idx="129">
                  <c:v>106.478968564751</c:v>
                </c:pt>
                <c:pt idx="130">
                  <c:v>107.049079316715</c:v>
                </c:pt>
                <c:pt idx="131">
                  <c:v>109.945376916103</c:v>
                </c:pt>
                <c:pt idx="132">
                  <c:v>105.541874790019</c:v>
                </c:pt>
                <c:pt idx="133">
                  <c:v>109.177702211066</c:v>
                </c:pt>
                <c:pt idx="134">
                  <c:v>114.325731630717</c:v>
                </c:pt>
                <c:pt idx="135">
                  <c:v>117.612994736774</c:v>
                </c:pt>
                <c:pt idx="136">
                  <c:v>119.546192408771</c:v>
                </c:pt>
                <c:pt idx="137">
                  <c:v>118.713268208006</c:v>
                </c:pt>
                <c:pt idx="138">
                  <c:v>113.169740056964</c:v>
                </c:pt>
                <c:pt idx="139">
                  <c:v>109.049839362089</c:v>
                </c:pt>
                <c:pt idx="140">
                  <c:v>110.211354674198</c:v>
                </c:pt>
                <c:pt idx="141">
                  <c:v>109.017124850272</c:v>
                </c:pt>
                <c:pt idx="142">
                  <c:v>111.155404662455</c:v>
                </c:pt>
                <c:pt idx="143">
                  <c:v>108.709507326528</c:v>
                </c:pt>
                <c:pt idx="144">
                  <c:v>108.556877496499</c:v>
                </c:pt>
                <c:pt idx="145">
                  <c:v>106.789586935644</c:v>
                </c:pt>
                <c:pt idx="146">
                  <c:v>106.872401646407</c:v>
                </c:pt>
                <c:pt idx="147">
                  <c:v>110.336218830081</c:v>
                </c:pt>
                <c:pt idx="148">
                  <c:v>111.844784350126</c:v>
                </c:pt>
                <c:pt idx="149">
                  <c:v>112.351995369376</c:v>
                </c:pt>
                <c:pt idx="150">
                  <c:v>111.381364000137</c:v>
                </c:pt>
                <c:pt idx="151">
                  <c:v>110.356130972135</c:v>
                </c:pt>
                <c:pt idx="152">
                  <c:v>107.145335283516</c:v>
                </c:pt>
                <c:pt idx="153">
                  <c:v>108.145145596999</c:v>
                </c:pt>
                <c:pt idx="154">
                  <c:v>109.901477681292</c:v>
                </c:pt>
                <c:pt idx="155">
                  <c:v>110.394280464381</c:v>
                </c:pt>
                <c:pt idx="156">
                  <c:v>110.287352203804</c:v>
                </c:pt>
                <c:pt idx="157">
                  <c:v>112.486505100505</c:v>
                </c:pt>
                <c:pt idx="158">
                  <c:v>109.116054072847</c:v>
                </c:pt>
                <c:pt idx="159">
                  <c:v>119.752380915273</c:v>
                </c:pt>
                <c:pt idx="160">
                  <c:v>119.310785319808</c:v>
                </c:pt>
                <c:pt idx="161">
                  <c:v>122.032925964256</c:v>
                </c:pt>
                <c:pt idx="162">
                  <c:v>110.41399199262</c:v>
                </c:pt>
                <c:pt idx="163">
                  <c:v>112.135847505481</c:v>
                </c:pt>
                <c:pt idx="164">
                  <c:v>112.192414786491</c:v>
                </c:pt>
                <c:pt idx="165">
                  <c:v>115.403676047957</c:v>
                </c:pt>
                <c:pt idx="166">
                  <c:v>111.905942610817</c:v>
                </c:pt>
                <c:pt idx="167">
                  <c:v>110.536041421471</c:v>
                </c:pt>
                <c:pt idx="168">
                  <c:v>107.210296757519</c:v>
                </c:pt>
                <c:pt idx="169">
                  <c:v>110.969041829949</c:v>
                </c:pt>
                <c:pt idx="170">
                  <c:v>109.624967814053</c:v>
                </c:pt>
                <c:pt idx="171">
                  <c:v>89.3484056802062</c:v>
                </c:pt>
                <c:pt idx="172">
                  <c:v>86.5105163069676</c:v>
                </c:pt>
                <c:pt idx="173">
                  <c:v>86.339341670623</c:v>
                </c:pt>
                <c:pt idx="174">
                  <c:v>104.031701483699</c:v>
                </c:pt>
                <c:pt idx="175">
                  <c:v>111.745904263705</c:v>
                </c:pt>
                <c:pt idx="176">
                  <c:v>109.671597495461</c:v>
                </c:pt>
                <c:pt idx="177">
                  <c:v>114.122962270396</c:v>
                </c:pt>
                <c:pt idx="178">
                  <c:v>113.642251593507</c:v>
                </c:pt>
                <c:pt idx="179">
                  <c:v>113.991428658199</c:v>
                </c:pt>
                <c:pt idx="180">
                  <c:v>110.455617105282</c:v>
                </c:pt>
                <c:pt idx="181">
                  <c:v>118.32334370242</c:v>
                </c:pt>
                <c:pt idx="182">
                  <c:v>122.698238335962</c:v>
                </c:pt>
                <c:pt idx="183">
                  <c:v>126.855699195951</c:v>
                </c:pt>
                <c:pt idx="184">
                  <c:v>131.455616754831</c:v>
                </c:pt>
                <c:pt idx="185">
                  <c:v>128.574038518169</c:v>
                </c:pt>
                <c:pt idx="186">
                  <c:v>124.151607541434</c:v>
                </c:pt>
                <c:pt idx="187">
                  <c:v>117.607797617014</c:v>
                </c:pt>
                <c:pt idx="188">
                  <c:v>115.650798964712</c:v>
                </c:pt>
                <c:pt idx="189">
                  <c:v>118.947498765849</c:v>
                </c:pt>
                <c:pt idx="190">
                  <c:v>116.037153052193</c:v>
                </c:pt>
                <c:pt idx="191">
                  <c:v>109.254639959966</c:v>
                </c:pt>
                <c:pt idx="192">
                  <c:v>117.802183079798</c:v>
                </c:pt>
                <c:pt idx="193">
                  <c:v>108.013269703555</c:v>
                </c:pt>
                <c:pt idx="194">
                  <c:v>107.547822418865</c:v>
                </c:pt>
                <c:pt idx="195">
                  <c:v>116.406036930531</c:v>
                </c:pt>
                <c:pt idx="196">
                  <c:v>116.411153477624</c:v>
                </c:pt>
                <c:pt idx="197">
                  <c:v>116.245763304892</c:v>
                </c:pt>
                <c:pt idx="198">
                  <c:v>114.111926647286</c:v>
                </c:pt>
                <c:pt idx="199">
                  <c:v>113.629914589535</c:v>
                </c:pt>
                <c:pt idx="200">
                  <c:v>118.096684490545</c:v>
                </c:pt>
                <c:pt idx="201">
                  <c:v>112.663035113485</c:v>
                </c:pt>
                <c:pt idx="202">
                  <c:v>113.048716586676</c:v>
                </c:pt>
                <c:pt idx="203">
                  <c:v>116.558816915326</c:v>
                </c:pt>
                <c:pt idx="204">
                  <c:v>112.620991943316</c:v>
                </c:pt>
                <c:pt idx="205">
                  <c:v>111.22523098914</c:v>
                </c:pt>
                <c:pt idx="206">
                  <c:v>115.383931068884</c:v>
                </c:pt>
                <c:pt idx="207">
                  <c:v>118.508814979638</c:v>
                </c:pt>
                <c:pt idx="208">
                  <c:v>117.874936495734</c:v>
                </c:pt>
                <c:pt idx="209">
                  <c:v>116.732729125367</c:v>
                </c:pt>
                <c:pt idx="210">
                  <c:v>115.764381681777</c:v>
                </c:pt>
                <c:pt idx="211">
                  <c:v>115.967422738562</c:v>
                </c:pt>
                <c:pt idx="212">
                  <c:v>114.85935068119</c:v>
                </c:pt>
                <c:pt idx="213">
                  <c:v>118.459981262465</c:v>
                </c:pt>
                <c:pt idx="214">
                  <c:v>120.939010768074</c:v>
                </c:pt>
                <c:pt idx="215">
                  <c:v>129.712852321548</c:v>
                </c:pt>
                <c:pt idx="216">
                  <c:v>124.140800739205</c:v>
                </c:pt>
                <c:pt idx="217">
                  <c:v>118.023669729311</c:v>
                </c:pt>
                <c:pt idx="218">
                  <c:v>116.965334168329</c:v>
                </c:pt>
                <c:pt idx="219">
                  <c:v>122.487272300249</c:v>
                </c:pt>
                <c:pt idx="220">
                  <c:v>122.148202860183</c:v>
                </c:pt>
                <c:pt idx="221">
                  <c:v>121.058947884249</c:v>
                </c:pt>
                <c:pt idx="222">
                  <c:v>108.459006819546</c:v>
                </c:pt>
                <c:pt idx="223">
                  <c:v>109.324689611562</c:v>
                </c:pt>
                <c:pt idx="224">
                  <c:v>107.534026674072</c:v>
                </c:pt>
                <c:pt idx="225">
                  <c:v>101.734067532531</c:v>
                </c:pt>
                <c:pt idx="226">
                  <c:v>99.032859682761</c:v>
                </c:pt>
                <c:pt idx="227">
                  <c:v>92.8565959593108</c:v>
                </c:pt>
                <c:pt idx="228">
                  <c:v>96.7127001172562</c:v>
                </c:pt>
                <c:pt idx="229">
                  <c:v>100.747998994416</c:v>
                </c:pt>
                <c:pt idx="230">
                  <c:v>94.9852467745967</c:v>
                </c:pt>
                <c:pt idx="231">
                  <c:v>74.5269067800164</c:v>
                </c:pt>
                <c:pt idx="232">
                  <c:v>65.5896205390877</c:v>
                </c:pt>
                <c:pt idx="233">
                  <c:v>71.147395991892</c:v>
                </c:pt>
                <c:pt idx="234">
                  <c:v>93.1321071412454</c:v>
                </c:pt>
                <c:pt idx="235">
                  <c:v>104.263698923864</c:v>
                </c:pt>
                <c:pt idx="236">
                  <c:v>103.623917600055</c:v>
                </c:pt>
                <c:pt idx="237">
                  <c:v>103.207750499712</c:v>
                </c:pt>
                <c:pt idx="238">
                  <c:v>103.837548329832</c:v>
                </c:pt>
                <c:pt idx="239">
                  <c:v>101.558595436614</c:v>
                </c:pt>
                <c:pt idx="240">
                  <c:v>106.519074359762</c:v>
                </c:pt>
                <c:pt idx="241">
                  <c:v>105.887740706318</c:v>
                </c:pt>
                <c:pt idx="242">
                  <c:v>106.286907443189</c:v>
                </c:pt>
                <c:pt idx="243">
                  <c:v>118.786950672167</c:v>
                </c:pt>
                <c:pt idx="244">
                  <c:v>122.299961340833</c:v>
                </c:pt>
                <c:pt idx="245">
                  <c:v>120.748137750883</c:v>
                </c:pt>
                <c:pt idx="246">
                  <c:v>116.314844820837</c:v>
                </c:pt>
                <c:pt idx="247">
                  <c:v>113.49955346767</c:v>
                </c:pt>
                <c:pt idx="248">
                  <c:v>110.974575470388</c:v>
                </c:pt>
                <c:pt idx="249">
                  <c:v>110.488816930863</c:v>
                </c:pt>
                <c:pt idx="250">
                  <c:v>111.177833707827</c:v>
                </c:pt>
                <c:pt idx="251">
                  <c:v>107.977928174775</c:v>
                </c:pt>
                <c:pt idx="252">
                  <c:v>109.268883215593</c:v>
                </c:pt>
                <c:pt idx="253">
                  <c:v>115.410751016827</c:v>
                </c:pt>
                <c:pt idx="254">
                  <c:v>112.890368560009</c:v>
                </c:pt>
                <c:pt idx="255">
                  <c:v>121.493948388102</c:v>
                </c:pt>
                <c:pt idx="256">
                  <c:v>124.857870890144</c:v>
                </c:pt>
                <c:pt idx="257">
                  <c:v>121.063840379067</c:v>
                </c:pt>
                <c:pt idx="258">
                  <c:v>116.980443506212</c:v>
                </c:pt>
                <c:pt idx="259">
                  <c:v>116.452160217614</c:v>
                </c:pt>
                <c:pt idx="260">
                  <c:v>117.54926758748</c:v>
                </c:pt>
                <c:pt idx="261">
                  <c:v>120.989814563438</c:v>
                </c:pt>
                <c:pt idx="262">
                  <c:v>125.072821354058</c:v>
                </c:pt>
                <c:pt idx="263">
                  <c:v>137.042762859312</c:v>
                </c:pt>
                <c:pt idx="264">
                  <c:v>128.472534461243</c:v>
                </c:pt>
                <c:pt idx="265">
                  <c:v>120.857960946207</c:v>
                </c:pt>
                <c:pt idx="266">
                  <c:v>132.862696312943</c:v>
                </c:pt>
                <c:pt idx="267">
                  <c:v>135.667385768109</c:v>
                </c:pt>
                <c:pt idx="268">
                  <c:v>144.185327441084</c:v>
                </c:pt>
              </c:numCache>
            </c:numRef>
          </c:val>
          <c:smooth val="0"/>
        </c:ser>
        <c:ser>
          <c:idx val="1"/>
          <c:order val="1"/>
          <c:tx>
            <c:strRef>
              <c:f>'Sub-Index Analysis'!H6</c:f>
              <c:strCache>
                <c:ptCount val="1"/>
                <c:pt idx="0">
                  <c:v>Industrial: SA level</c:v>
                </c:pt>
              </c:strCache>
            </c:strRef>
          </c:tx>
          <c:spPr>
            <a:solidFill>
              <a:srgbClr val="ed7d31"/>
            </a:solidFill>
            <a:ln w="31680">
              <a:solidFill>
                <a:srgbClr val="ed7d3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'Sub-Index Analysis'!$A$7:$A$275</c:f>
              <c:strCache>
                <c:ptCount val="269"/>
                <c:pt idx="0">
                  <c:v>Jan-04</c:v>
                </c:pt>
                <c:pt idx="1">
                  <c:v>Feb-04</c:v>
                </c:pt>
                <c:pt idx="2">
                  <c:v>Mar-04</c:v>
                </c:pt>
                <c:pt idx="3">
                  <c:v>Apr-04</c:v>
                </c:pt>
                <c:pt idx="4">
                  <c:v>May-04</c:v>
                </c:pt>
                <c:pt idx="5">
                  <c:v>Jun-04</c:v>
                </c:pt>
                <c:pt idx="6">
                  <c:v>Jul-04</c:v>
                </c:pt>
                <c:pt idx="7">
                  <c:v>Aug-04</c:v>
                </c:pt>
                <c:pt idx="8">
                  <c:v>Sep-04</c:v>
                </c:pt>
                <c:pt idx="9">
                  <c:v>Oct-04</c:v>
                </c:pt>
                <c:pt idx="10">
                  <c:v>Nov-04</c:v>
                </c:pt>
                <c:pt idx="11">
                  <c:v>Dec-04</c:v>
                </c:pt>
                <c:pt idx="12">
                  <c:v>Jan-05</c:v>
                </c:pt>
                <c:pt idx="13">
                  <c:v>Feb-05</c:v>
                </c:pt>
                <c:pt idx="14">
                  <c:v>Mar-05</c:v>
                </c:pt>
                <c:pt idx="15">
                  <c:v>Apr-05</c:v>
                </c:pt>
                <c:pt idx="16">
                  <c:v>May-05</c:v>
                </c:pt>
                <c:pt idx="17">
                  <c:v>Jun-05</c:v>
                </c:pt>
                <c:pt idx="18">
                  <c:v>Jul-05</c:v>
                </c:pt>
                <c:pt idx="19">
                  <c:v>Aug-05</c:v>
                </c:pt>
                <c:pt idx="20">
                  <c:v>Sep-05</c:v>
                </c:pt>
                <c:pt idx="21">
                  <c:v>Oct-05</c:v>
                </c:pt>
                <c:pt idx="22">
                  <c:v>Nov-05</c:v>
                </c:pt>
                <c:pt idx="23">
                  <c:v>Dec-05</c:v>
                </c:pt>
                <c:pt idx="24">
                  <c:v>Jan-06</c:v>
                </c:pt>
                <c:pt idx="25">
                  <c:v>Feb-06</c:v>
                </c:pt>
                <c:pt idx="26">
                  <c:v>Mar-06</c:v>
                </c:pt>
                <c:pt idx="27">
                  <c:v>Apr-06</c:v>
                </c:pt>
                <c:pt idx="28">
                  <c:v>May-06</c:v>
                </c:pt>
                <c:pt idx="29">
                  <c:v>Jun-06</c:v>
                </c:pt>
                <c:pt idx="30">
                  <c:v>Jul-06</c:v>
                </c:pt>
                <c:pt idx="31">
                  <c:v>Aug-06</c:v>
                </c:pt>
                <c:pt idx="32">
                  <c:v>Sep-06</c:v>
                </c:pt>
                <c:pt idx="33">
                  <c:v>Oct-06</c:v>
                </c:pt>
                <c:pt idx="34">
                  <c:v>Nov-06</c:v>
                </c:pt>
                <c:pt idx="35">
                  <c:v>Dec-06</c:v>
                </c:pt>
                <c:pt idx="36">
                  <c:v>Jan-07</c:v>
                </c:pt>
                <c:pt idx="37">
                  <c:v>Feb-07</c:v>
                </c:pt>
                <c:pt idx="38">
                  <c:v>Mar-07</c:v>
                </c:pt>
                <c:pt idx="39">
                  <c:v>Apr-07</c:v>
                </c:pt>
                <c:pt idx="40">
                  <c:v>May-07</c:v>
                </c:pt>
                <c:pt idx="41">
                  <c:v>Jun-07</c:v>
                </c:pt>
                <c:pt idx="42">
                  <c:v>Jul-07</c:v>
                </c:pt>
                <c:pt idx="43">
                  <c:v>Aug-07</c:v>
                </c:pt>
                <c:pt idx="44">
                  <c:v>Sep-07</c:v>
                </c:pt>
                <c:pt idx="45">
                  <c:v>Oct-07</c:v>
                </c:pt>
                <c:pt idx="46">
                  <c:v>Nov-07</c:v>
                </c:pt>
                <c:pt idx="47">
                  <c:v>Dec-07</c:v>
                </c:pt>
                <c:pt idx="48">
                  <c:v>Jan-08</c:v>
                </c:pt>
                <c:pt idx="49">
                  <c:v>Feb-08</c:v>
                </c:pt>
                <c:pt idx="50">
                  <c:v>Mar-08</c:v>
                </c:pt>
                <c:pt idx="51">
                  <c:v>Apr-08</c:v>
                </c:pt>
                <c:pt idx="52">
                  <c:v>May-08</c:v>
                </c:pt>
                <c:pt idx="53">
                  <c:v>Jun-08</c:v>
                </c:pt>
                <c:pt idx="54">
                  <c:v>Jul-08</c:v>
                </c:pt>
                <c:pt idx="55">
                  <c:v>Aug-08</c:v>
                </c:pt>
                <c:pt idx="56">
                  <c:v>Sep-08</c:v>
                </c:pt>
                <c:pt idx="57">
                  <c:v>Oct-08</c:v>
                </c:pt>
                <c:pt idx="58">
                  <c:v>Nov-08</c:v>
                </c:pt>
                <c:pt idx="59">
                  <c:v>Dec-08</c:v>
                </c:pt>
                <c:pt idx="60">
                  <c:v>Jan-09</c:v>
                </c:pt>
                <c:pt idx="61">
                  <c:v>Feb-09</c:v>
                </c:pt>
                <c:pt idx="62">
                  <c:v>Mar-09</c:v>
                </c:pt>
                <c:pt idx="63">
                  <c:v>Apr-09</c:v>
                </c:pt>
                <c:pt idx="64">
                  <c:v>May-09</c:v>
                </c:pt>
                <c:pt idx="65">
                  <c:v>Jun-09</c:v>
                </c:pt>
                <c:pt idx="66">
                  <c:v>Jul-09</c:v>
                </c:pt>
                <c:pt idx="67">
                  <c:v>Aug-09</c:v>
                </c:pt>
                <c:pt idx="68">
                  <c:v>Sep-09</c:v>
                </c:pt>
                <c:pt idx="69">
                  <c:v>Oct-09</c:v>
                </c:pt>
                <c:pt idx="70">
                  <c:v>Nov-09</c:v>
                </c:pt>
                <c:pt idx="71">
                  <c:v>Dec-09</c:v>
                </c:pt>
                <c:pt idx="72">
                  <c:v>Jan-10</c:v>
                </c:pt>
                <c:pt idx="73">
                  <c:v>Feb-10</c:v>
                </c:pt>
                <c:pt idx="74">
                  <c:v>Mar-10</c:v>
                </c:pt>
                <c:pt idx="75">
                  <c:v>Apr-10</c:v>
                </c:pt>
                <c:pt idx="76">
                  <c:v>May-10</c:v>
                </c:pt>
                <c:pt idx="77">
                  <c:v>Jun-10</c:v>
                </c:pt>
                <c:pt idx="78">
                  <c:v>Jul-10</c:v>
                </c:pt>
                <c:pt idx="79">
                  <c:v>Aug-10</c:v>
                </c:pt>
                <c:pt idx="80">
                  <c:v>Sep-10</c:v>
                </c:pt>
                <c:pt idx="81">
                  <c:v>Oct-10</c:v>
                </c:pt>
                <c:pt idx="82">
                  <c:v>Nov-10</c:v>
                </c:pt>
                <c:pt idx="83">
                  <c:v>Dec-10</c:v>
                </c:pt>
                <c:pt idx="84">
                  <c:v>Jan-11</c:v>
                </c:pt>
                <c:pt idx="85">
                  <c:v>Feb-11</c:v>
                </c:pt>
                <c:pt idx="86">
                  <c:v>Mar-11</c:v>
                </c:pt>
                <c:pt idx="87">
                  <c:v>Apr-11</c:v>
                </c:pt>
                <c:pt idx="88">
                  <c:v>May-11</c:v>
                </c:pt>
                <c:pt idx="89">
                  <c:v>Jun-11</c:v>
                </c:pt>
                <c:pt idx="90">
                  <c:v>Jul-11</c:v>
                </c:pt>
                <c:pt idx="91">
                  <c:v>Aug-11</c:v>
                </c:pt>
                <c:pt idx="92">
                  <c:v>Sep-11</c:v>
                </c:pt>
                <c:pt idx="93">
                  <c:v>Oct-11</c:v>
                </c:pt>
                <c:pt idx="94">
                  <c:v>Nov-11</c:v>
                </c:pt>
                <c:pt idx="95">
                  <c:v>Dec-11</c:v>
                </c:pt>
                <c:pt idx="96">
                  <c:v>Jan-12</c:v>
                </c:pt>
                <c:pt idx="97">
                  <c:v>Feb-12</c:v>
                </c:pt>
                <c:pt idx="98">
                  <c:v>Mar-12</c:v>
                </c:pt>
                <c:pt idx="99">
                  <c:v>Apr-12</c:v>
                </c:pt>
                <c:pt idx="100">
                  <c:v>May-12</c:v>
                </c:pt>
                <c:pt idx="101">
                  <c:v>Jun-12</c:v>
                </c:pt>
                <c:pt idx="102">
                  <c:v>Jul-12</c:v>
                </c:pt>
                <c:pt idx="103">
                  <c:v>Aug-12</c:v>
                </c:pt>
                <c:pt idx="104">
                  <c:v>Sep-12</c:v>
                </c:pt>
                <c:pt idx="105">
                  <c:v>Oct-12</c:v>
                </c:pt>
                <c:pt idx="106">
                  <c:v>Nov-12</c:v>
                </c:pt>
                <c:pt idx="107">
                  <c:v>Dec-12</c:v>
                </c:pt>
                <c:pt idx="108">
                  <c:v>Jan-13</c:v>
                </c:pt>
                <c:pt idx="109">
                  <c:v>Feb-13</c:v>
                </c:pt>
                <c:pt idx="110">
                  <c:v>Mar-13</c:v>
                </c:pt>
                <c:pt idx="111">
                  <c:v>Apr-13</c:v>
                </c:pt>
                <c:pt idx="112">
                  <c:v>May-13</c:v>
                </c:pt>
                <c:pt idx="113">
                  <c:v>Jun-13</c:v>
                </c:pt>
                <c:pt idx="114">
                  <c:v>Jul-13</c:v>
                </c:pt>
                <c:pt idx="115">
                  <c:v>Aug-13</c:v>
                </c:pt>
                <c:pt idx="116">
                  <c:v>Sep-13</c:v>
                </c:pt>
                <c:pt idx="117">
                  <c:v>Oct-13</c:v>
                </c:pt>
                <c:pt idx="118">
                  <c:v>Nov-13</c:v>
                </c:pt>
                <c:pt idx="119">
                  <c:v>Dec-13</c:v>
                </c:pt>
                <c:pt idx="120">
                  <c:v>Jan-14</c:v>
                </c:pt>
                <c:pt idx="121">
                  <c:v>Feb-14</c:v>
                </c:pt>
                <c:pt idx="122">
                  <c:v>Mar-14</c:v>
                </c:pt>
                <c:pt idx="123">
                  <c:v>Apr-14</c:v>
                </c:pt>
                <c:pt idx="124">
                  <c:v>May-14</c:v>
                </c:pt>
                <c:pt idx="125">
                  <c:v>Jun-14</c:v>
                </c:pt>
                <c:pt idx="126">
                  <c:v>Jul-14</c:v>
                </c:pt>
                <c:pt idx="127">
                  <c:v>Aug-14</c:v>
                </c:pt>
                <c:pt idx="128">
                  <c:v>Sep-14</c:v>
                </c:pt>
                <c:pt idx="129">
                  <c:v>Oct-14</c:v>
                </c:pt>
                <c:pt idx="130">
                  <c:v>Nov-14</c:v>
                </c:pt>
                <c:pt idx="131">
                  <c:v>Dec-14</c:v>
                </c:pt>
                <c:pt idx="132">
                  <c:v>Jan-15</c:v>
                </c:pt>
                <c:pt idx="133">
                  <c:v>Feb-15</c:v>
                </c:pt>
                <c:pt idx="134">
                  <c:v>Mar-15</c:v>
                </c:pt>
                <c:pt idx="135">
                  <c:v>Apr-15</c:v>
                </c:pt>
                <c:pt idx="136">
                  <c:v>May-15</c:v>
                </c:pt>
                <c:pt idx="137">
                  <c:v>Jun-15</c:v>
                </c:pt>
                <c:pt idx="138">
                  <c:v>Jul-15</c:v>
                </c:pt>
                <c:pt idx="139">
                  <c:v>Aug-15</c:v>
                </c:pt>
                <c:pt idx="140">
                  <c:v>Sep-15</c:v>
                </c:pt>
                <c:pt idx="141">
                  <c:v>Oct-15</c:v>
                </c:pt>
                <c:pt idx="142">
                  <c:v>Nov-15</c:v>
                </c:pt>
                <c:pt idx="143">
                  <c:v>Dec-15</c:v>
                </c:pt>
                <c:pt idx="144">
                  <c:v>Jan-16</c:v>
                </c:pt>
                <c:pt idx="145">
                  <c:v>Feb-16</c:v>
                </c:pt>
                <c:pt idx="146">
                  <c:v>Mar-16</c:v>
                </c:pt>
                <c:pt idx="147">
                  <c:v>Apr-16</c:v>
                </c:pt>
                <c:pt idx="148">
                  <c:v>May-16</c:v>
                </c:pt>
                <c:pt idx="149">
                  <c:v>Jun-16</c:v>
                </c:pt>
                <c:pt idx="150">
                  <c:v>Jul-16</c:v>
                </c:pt>
                <c:pt idx="151">
                  <c:v>Aug-16</c:v>
                </c:pt>
                <c:pt idx="152">
                  <c:v>Sep-16</c:v>
                </c:pt>
                <c:pt idx="153">
                  <c:v>Oct-16</c:v>
                </c:pt>
                <c:pt idx="154">
                  <c:v>Nov-16</c:v>
                </c:pt>
                <c:pt idx="155">
                  <c:v>Dec-16</c:v>
                </c:pt>
                <c:pt idx="156">
                  <c:v>Jan-17</c:v>
                </c:pt>
                <c:pt idx="157">
                  <c:v>Feb-17</c:v>
                </c:pt>
                <c:pt idx="158">
                  <c:v>Mar-17</c:v>
                </c:pt>
                <c:pt idx="159">
                  <c:v>Apr-17</c:v>
                </c:pt>
                <c:pt idx="160">
                  <c:v>May-17</c:v>
                </c:pt>
                <c:pt idx="161">
                  <c:v>Jun-17</c:v>
                </c:pt>
                <c:pt idx="162">
                  <c:v>Jul-17</c:v>
                </c:pt>
                <c:pt idx="163">
                  <c:v>Aug-17</c:v>
                </c:pt>
                <c:pt idx="164">
                  <c:v>Sep-17</c:v>
                </c:pt>
                <c:pt idx="165">
                  <c:v>Oct-17</c:v>
                </c:pt>
                <c:pt idx="166">
                  <c:v>Nov-17</c:v>
                </c:pt>
                <c:pt idx="167">
                  <c:v>Dec-17</c:v>
                </c:pt>
                <c:pt idx="168">
                  <c:v>Jan-18</c:v>
                </c:pt>
                <c:pt idx="169">
                  <c:v>Feb-18</c:v>
                </c:pt>
                <c:pt idx="170">
                  <c:v>Mar-18</c:v>
                </c:pt>
                <c:pt idx="171">
                  <c:v>Apr-18</c:v>
                </c:pt>
                <c:pt idx="172">
                  <c:v>May-18</c:v>
                </c:pt>
                <c:pt idx="173">
                  <c:v>Jun-18</c:v>
                </c:pt>
                <c:pt idx="174">
                  <c:v>Jul-18</c:v>
                </c:pt>
                <c:pt idx="175">
                  <c:v>Aug-18</c:v>
                </c:pt>
                <c:pt idx="176">
                  <c:v>Sep-18</c:v>
                </c:pt>
                <c:pt idx="177">
                  <c:v>Oct-18</c:v>
                </c:pt>
                <c:pt idx="178">
                  <c:v>Nov-18</c:v>
                </c:pt>
                <c:pt idx="179">
                  <c:v>Dec-18</c:v>
                </c:pt>
                <c:pt idx="180">
                  <c:v>Jan-19</c:v>
                </c:pt>
                <c:pt idx="181">
                  <c:v>Feb-19</c:v>
                </c:pt>
                <c:pt idx="182">
                  <c:v>Mar-19</c:v>
                </c:pt>
                <c:pt idx="183">
                  <c:v>Apr-19</c:v>
                </c:pt>
                <c:pt idx="184">
                  <c:v>May-19</c:v>
                </c:pt>
                <c:pt idx="185">
                  <c:v>Jun-19</c:v>
                </c:pt>
                <c:pt idx="186">
                  <c:v>Jul-19</c:v>
                </c:pt>
                <c:pt idx="187">
                  <c:v>Aug-19</c:v>
                </c:pt>
                <c:pt idx="188">
                  <c:v>Sep-19</c:v>
                </c:pt>
                <c:pt idx="189">
                  <c:v>Oct-19</c:v>
                </c:pt>
                <c:pt idx="190">
                  <c:v>Nov-19</c:v>
                </c:pt>
                <c:pt idx="191">
                  <c:v>Dec-19</c:v>
                </c:pt>
                <c:pt idx="192">
                  <c:v>Jan-20</c:v>
                </c:pt>
                <c:pt idx="193">
                  <c:v>Feb-20</c:v>
                </c:pt>
                <c:pt idx="194">
                  <c:v>Mar-20</c:v>
                </c:pt>
                <c:pt idx="195">
                  <c:v>Apr-20</c:v>
                </c:pt>
                <c:pt idx="196">
                  <c:v>May-20</c:v>
                </c:pt>
                <c:pt idx="197">
                  <c:v>Jun-20</c:v>
                </c:pt>
                <c:pt idx="198">
                  <c:v>Jul-20</c:v>
                </c:pt>
                <c:pt idx="199">
                  <c:v>Aug-20</c:v>
                </c:pt>
                <c:pt idx="200">
                  <c:v>Sep-20</c:v>
                </c:pt>
                <c:pt idx="201">
                  <c:v>Oct-20</c:v>
                </c:pt>
                <c:pt idx="202">
                  <c:v>Nov-20</c:v>
                </c:pt>
                <c:pt idx="203">
                  <c:v>Dec-20</c:v>
                </c:pt>
                <c:pt idx="204">
                  <c:v>Jan-21</c:v>
                </c:pt>
                <c:pt idx="205">
                  <c:v>Feb-21</c:v>
                </c:pt>
                <c:pt idx="206">
                  <c:v>Mar-21</c:v>
                </c:pt>
                <c:pt idx="207">
                  <c:v>Apr-21</c:v>
                </c:pt>
                <c:pt idx="208">
                  <c:v>May-21</c:v>
                </c:pt>
                <c:pt idx="209">
                  <c:v>Jun-21</c:v>
                </c:pt>
                <c:pt idx="210">
                  <c:v>Jul-21</c:v>
                </c:pt>
                <c:pt idx="211">
                  <c:v>Aug-21</c:v>
                </c:pt>
                <c:pt idx="212">
                  <c:v>Sep-21</c:v>
                </c:pt>
                <c:pt idx="213">
                  <c:v>Oct-21</c:v>
                </c:pt>
                <c:pt idx="214">
                  <c:v>Nov-21</c:v>
                </c:pt>
                <c:pt idx="215">
                  <c:v>Dec-21</c:v>
                </c:pt>
                <c:pt idx="216">
                  <c:v>Jan-22</c:v>
                </c:pt>
                <c:pt idx="217">
                  <c:v>Feb-22</c:v>
                </c:pt>
                <c:pt idx="218">
                  <c:v>Mar-22</c:v>
                </c:pt>
                <c:pt idx="219">
                  <c:v>Apr-22</c:v>
                </c:pt>
                <c:pt idx="220">
                  <c:v>May-22</c:v>
                </c:pt>
                <c:pt idx="221">
                  <c:v>Jun-22</c:v>
                </c:pt>
                <c:pt idx="222">
                  <c:v>Jul-22</c:v>
                </c:pt>
                <c:pt idx="223">
                  <c:v>Aug-22</c:v>
                </c:pt>
                <c:pt idx="224">
                  <c:v>Sep-22</c:v>
                </c:pt>
                <c:pt idx="225">
                  <c:v>Oct-22</c:v>
                </c:pt>
                <c:pt idx="226">
                  <c:v>Nov-22</c:v>
                </c:pt>
                <c:pt idx="227">
                  <c:v>Dec-22</c:v>
                </c:pt>
                <c:pt idx="228">
                  <c:v>Jan-23</c:v>
                </c:pt>
                <c:pt idx="229">
                  <c:v>Feb-23</c:v>
                </c:pt>
                <c:pt idx="230">
                  <c:v>Mar-23</c:v>
                </c:pt>
                <c:pt idx="231">
                  <c:v>Apr-23</c:v>
                </c:pt>
                <c:pt idx="232">
                  <c:v>May-23</c:v>
                </c:pt>
                <c:pt idx="233">
                  <c:v>Jun-23</c:v>
                </c:pt>
                <c:pt idx="234">
                  <c:v>Jul-23</c:v>
                </c:pt>
                <c:pt idx="235">
                  <c:v>Aug-23</c:v>
                </c:pt>
                <c:pt idx="236">
                  <c:v>Sep-23</c:v>
                </c:pt>
                <c:pt idx="237">
                  <c:v>Oct-23</c:v>
                </c:pt>
                <c:pt idx="238">
                  <c:v>Nov-23</c:v>
                </c:pt>
                <c:pt idx="239">
                  <c:v>Dec-23</c:v>
                </c:pt>
                <c:pt idx="240">
                  <c:v>Jan-24</c:v>
                </c:pt>
                <c:pt idx="241">
                  <c:v>Feb-24</c:v>
                </c:pt>
                <c:pt idx="242">
                  <c:v>Mar-24</c:v>
                </c:pt>
                <c:pt idx="243">
                  <c:v>Apr-24</c:v>
                </c:pt>
                <c:pt idx="244">
                  <c:v>May-24</c:v>
                </c:pt>
                <c:pt idx="245">
                  <c:v>Jun-24</c:v>
                </c:pt>
                <c:pt idx="246">
                  <c:v>Jul-24</c:v>
                </c:pt>
                <c:pt idx="247">
                  <c:v>Aug-24</c:v>
                </c:pt>
                <c:pt idx="248">
                  <c:v>Sep-24</c:v>
                </c:pt>
                <c:pt idx="249">
                  <c:v>Oct-24</c:v>
                </c:pt>
                <c:pt idx="250">
                  <c:v>Nov-24</c:v>
                </c:pt>
                <c:pt idx="251">
                  <c:v>Dec-24</c:v>
                </c:pt>
                <c:pt idx="252">
                  <c:v>Jan-25</c:v>
                </c:pt>
                <c:pt idx="253">
                  <c:v>Feb-25</c:v>
                </c:pt>
                <c:pt idx="254">
                  <c:v>Mar-25</c:v>
                </c:pt>
                <c:pt idx="255">
                  <c:v>Apr-25</c:v>
                </c:pt>
                <c:pt idx="256">
                  <c:v>May-25</c:v>
                </c:pt>
                <c:pt idx="257">
                  <c:v>Jun-25</c:v>
                </c:pt>
                <c:pt idx="258">
                  <c:v>Jul-25</c:v>
                </c:pt>
                <c:pt idx="259">
                  <c:v>Aug-25</c:v>
                </c:pt>
                <c:pt idx="260">
                  <c:v>Sep-25</c:v>
                </c:pt>
                <c:pt idx="261">
                  <c:v>Oct-25</c:v>
                </c:pt>
                <c:pt idx="262">
                  <c:v>Nov-25</c:v>
                </c:pt>
                <c:pt idx="263">
                  <c:v>Dec-25</c:v>
                </c:pt>
                <c:pt idx="264">
                  <c:v>Jan-26</c:v>
                </c:pt>
                <c:pt idx="265">
                  <c:v>Feb-26</c:v>
                </c:pt>
                <c:pt idx="266">
                  <c:v>Mar-26</c:v>
                </c:pt>
                <c:pt idx="267">
                  <c:v>Apr-26</c:v>
                </c:pt>
                <c:pt idx="268">
                  <c:v>May-26</c:v>
                </c:pt>
              </c:strCache>
            </c:strRef>
          </c:cat>
          <c:val>
            <c:numRef>
              <c:f>'Sub-Index Analysis'!$H$7:$H$275</c:f>
              <c:numCache>
                <c:formatCode>0.0</c:formatCode>
                <c:ptCount val="269"/>
                <c:pt idx="0">
                  <c:v>96.4182886250338</c:v>
                </c:pt>
                <c:pt idx="1">
                  <c:v>97.5102687739221</c:v>
                </c:pt>
                <c:pt idx="2">
                  <c:v>97.8632230118885</c:v>
                </c:pt>
                <c:pt idx="3">
                  <c:v>97.5890937267519</c:v>
                </c:pt>
                <c:pt idx="4">
                  <c:v>98.5573594361852</c:v>
                </c:pt>
                <c:pt idx="5">
                  <c:v>99.8230427258324</c:v>
                </c:pt>
                <c:pt idx="6">
                  <c:v>100.482995571248</c:v>
                </c:pt>
                <c:pt idx="7">
                  <c:v>100.452155470503</c:v>
                </c:pt>
                <c:pt idx="8">
                  <c:v>101.999172130323</c:v>
                </c:pt>
                <c:pt idx="9">
                  <c:v>101.636564393941</c:v>
                </c:pt>
                <c:pt idx="10">
                  <c:v>102.203591507175</c:v>
                </c:pt>
                <c:pt idx="11">
                  <c:v>103.212512925594</c:v>
                </c:pt>
                <c:pt idx="12">
                  <c:v>103.62723141018</c:v>
                </c:pt>
                <c:pt idx="13">
                  <c:v>103.926598690131</c:v>
                </c:pt>
                <c:pt idx="14">
                  <c:v>104.430963169115</c:v>
                </c:pt>
                <c:pt idx="15">
                  <c:v>106.492604190122</c:v>
                </c:pt>
                <c:pt idx="16">
                  <c:v>106.935086289398</c:v>
                </c:pt>
                <c:pt idx="17">
                  <c:v>107.42571718436</c:v>
                </c:pt>
                <c:pt idx="18">
                  <c:v>107.309774396988</c:v>
                </c:pt>
                <c:pt idx="19">
                  <c:v>108.520596004306</c:v>
                </c:pt>
                <c:pt idx="20">
                  <c:v>108.125915651811</c:v>
                </c:pt>
                <c:pt idx="21">
                  <c:v>109.373998044871</c:v>
                </c:pt>
                <c:pt idx="22">
                  <c:v>111.090139300936</c:v>
                </c:pt>
                <c:pt idx="23">
                  <c:v>111.588765297084</c:v>
                </c:pt>
                <c:pt idx="24">
                  <c:v>113.357870563521</c:v>
                </c:pt>
                <c:pt idx="25">
                  <c:v>113.507257811259</c:v>
                </c:pt>
                <c:pt idx="26">
                  <c:v>115.358830604447</c:v>
                </c:pt>
                <c:pt idx="27">
                  <c:v>115.192388993552</c:v>
                </c:pt>
                <c:pt idx="28">
                  <c:v>116.226828522063</c:v>
                </c:pt>
                <c:pt idx="29">
                  <c:v>117.635287469428</c:v>
                </c:pt>
                <c:pt idx="30">
                  <c:v>118.927463573122</c:v>
                </c:pt>
                <c:pt idx="31">
                  <c:v>118.818218035893</c:v>
                </c:pt>
                <c:pt idx="32">
                  <c:v>118.409546082489</c:v>
                </c:pt>
                <c:pt idx="33">
                  <c:v>119.12083758259</c:v>
                </c:pt>
                <c:pt idx="34">
                  <c:v>120.462928856224</c:v>
                </c:pt>
                <c:pt idx="35">
                  <c:v>121.526689094341</c:v>
                </c:pt>
                <c:pt idx="36">
                  <c:v>120.93754686173</c:v>
                </c:pt>
                <c:pt idx="37">
                  <c:v>122.550988996317</c:v>
                </c:pt>
                <c:pt idx="38">
                  <c:v>124.843213826163</c:v>
                </c:pt>
                <c:pt idx="39">
                  <c:v>123.272404377157</c:v>
                </c:pt>
                <c:pt idx="40">
                  <c:v>125.139429705348</c:v>
                </c:pt>
                <c:pt idx="41">
                  <c:v>125.005539729227</c:v>
                </c:pt>
                <c:pt idx="42">
                  <c:v>123.135949598508</c:v>
                </c:pt>
                <c:pt idx="43">
                  <c:v>126.254333191216</c:v>
                </c:pt>
                <c:pt idx="44">
                  <c:v>126.661310904959</c:v>
                </c:pt>
                <c:pt idx="45">
                  <c:v>129.473571478446</c:v>
                </c:pt>
                <c:pt idx="46">
                  <c:v>130.711105000073</c:v>
                </c:pt>
                <c:pt idx="47">
                  <c:v>131.143084111442</c:v>
                </c:pt>
                <c:pt idx="48">
                  <c:v>133.277239238915</c:v>
                </c:pt>
                <c:pt idx="49">
                  <c:v>133.657883514551</c:v>
                </c:pt>
                <c:pt idx="50">
                  <c:v>130.025983241168</c:v>
                </c:pt>
                <c:pt idx="51">
                  <c:v>134.462847870124</c:v>
                </c:pt>
                <c:pt idx="52">
                  <c:v>132.176014626943</c:v>
                </c:pt>
                <c:pt idx="53">
                  <c:v>130.220141304419</c:v>
                </c:pt>
                <c:pt idx="54">
                  <c:v>132.868824788376</c:v>
                </c:pt>
                <c:pt idx="55">
                  <c:v>129.992333930642</c:v>
                </c:pt>
                <c:pt idx="56">
                  <c:v>132.236836972444</c:v>
                </c:pt>
                <c:pt idx="57">
                  <c:v>126.908654879358</c:v>
                </c:pt>
                <c:pt idx="58">
                  <c:v>122.953976383968</c:v>
                </c:pt>
                <c:pt idx="59">
                  <c:v>121.298017388775</c:v>
                </c:pt>
                <c:pt idx="60">
                  <c:v>118.024631860018</c:v>
                </c:pt>
                <c:pt idx="61">
                  <c:v>118.024106449744</c:v>
                </c:pt>
                <c:pt idx="62">
                  <c:v>117.669658952396</c:v>
                </c:pt>
                <c:pt idx="63">
                  <c:v>117.479606475771</c:v>
                </c:pt>
                <c:pt idx="64">
                  <c:v>117.033947416046</c:v>
                </c:pt>
                <c:pt idx="65">
                  <c:v>118.68437617063</c:v>
                </c:pt>
                <c:pt idx="66">
                  <c:v>120.617926064597</c:v>
                </c:pt>
                <c:pt idx="67">
                  <c:v>119.061960438224</c:v>
                </c:pt>
                <c:pt idx="68">
                  <c:v>119.581432157637</c:v>
                </c:pt>
                <c:pt idx="69">
                  <c:v>123.509935939516</c:v>
                </c:pt>
                <c:pt idx="70">
                  <c:v>124.197597993083</c:v>
                </c:pt>
                <c:pt idx="71">
                  <c:v>125.915335628367</c:v>
                </c:pt>
                <c:pt idx="72">
                  <c:v>127.122226831571</c:v>
                </c:pt>
                <c:pt idx="73">
                  <c:v>126.822108677345</c:v>
                </c:pt>
                <c:pt idx="74">
                  <c:v>129.403387542369</c:v>
                </c:pt>
                <c:pt idx="75">
                  <c:v>130.987734889461</c:v>
                </c:pt>
                <c:pt idx="76">
                  <c:v>130.713654159404</c:v>
                </c:pt>
                <c:pt idx="77">
                  <c:v>132.280811970924</c:v>
                </c:pt>
                <c:pt idx="78">
                  <c:v>131.461921421012</c:v>
                </c:pt>
                <c:pt idx="79">
                  <c:v>133.729058486464</c:v>
                </c:pt>
                <c:pt idx="80">
                  <c:v>133.022277490882</c:v>
                </c:pt>
                <c:pt idx="81">
                  <c:v>132.842086873816</c:v>
                </c:pt>
                <c:pt idx="82">
                  <c:v>135.927674381628</c:v>
                </c:pt>
                <c:pt idx="83">
                  <c:v>135.079955909669</c:v>
                </c:pt>
                <c:pt idx="84">
                  <c:v>139.334958579976</c:v>
                </c:pt>
                <c:pt idx="85">
                  <c:v>139.770410861762</c:v>
                </c:pt>
                <c:pt idx="86">
                  <c:v>139.745222867372</c:v>
                </c:pt>
                <c:pt idx="87">
                  <c:v>138.612033726556</c:v>
                </c:pt>
                <c:pt idx="88">
                  <c:v>141.865523058187</c:v>
                </c:pt>
                <c:pt idx="89">
                  <c:v>142.806921381098</c:v>
                </c:pt>
                <c:pt idx="90">
                  <c:v>140.761402843287</c:v>
                </c:pt>
                <c:pt idx="91">
                  <c:v>141.589144676014</c:v>
                </c:pt>
                <c:pt idx="92">
                  <c:v>143.059834346572</c:v>
                </c:pt>
                <c:pt idx="93">
                  <c:v>140.328636824109</c:v>
                </c:pt>
                <c:pt idx="94">
                  <c:v>139.981193907037</c:v>
                </c:pt>
                <c:pt idx="95">
                  <c:v>139.533870262182</c:v>
                </c:pt>
                <c:pt idx="96">
                  <c:v>137.719070398275</c:v>
                </c:pt>
                <c:pt idx="97">
                  <c:v>139.436247011654</c:v>
                </c:pt>
                <c:pt idx="98">
                  <c:v>139.904994628857</c:v>
                </c:pt>
                <c:pt idx="99">
                  <c:v>135.973765796827</c:v>
                </c:pt>
                <c:pt idx="100">
                  <c:v>135.334338420837</c:v>
                </c:pt>
                <c:pt idx="101">
                  <c:v>134.93726660207</c:v>
                </c:pt>
                <c:pt idx="102">
                  <c:v>137.442776636827</c:v>
                </c:pt>
                <c:pt idx="103">
                  <c:v>135.769093631854</c:v>
                </c:pt>
                <c:pt idx="104">
                  <c:v>134.284587014024</c:v>
                </c:pt>
                <c:pt idx="105">
                  <c:v>137.155938602751</c:v>
                </c:pt>
                <c:pt idx="106">
                  <c:v>137.083933232652</c:v>
                </c:pt>
                <c:pt idx="107">
                  <c:v>137.681823079666</c:v>
                </c:pt>
                <c:pt idx="108">
                  <c:v>136.619415390884</c:v>
                </c:pt>
                <c:pt idx="109">
                  <c:v>135.319122739859</c:v>
                </c:pt>
                <c:pt idx="110">
                  <c:v>136.805821806726</c:v>
                </c:pt>
                <c:pt idx="111">
                  <c:v>139.937102629816</c:v>
                </c:pt>
                <c:pt idx="112">
                  <c:v>139.288358117276</c:v>
                </c:pt>
                <c:pt idx="113">
                  <c:v>137.118821012532</c:v>
                </c:pt>
                <c:pt idx="114">
                  <c:v>137.233650634444</c:v>
                </c:pt>
                <c:pt idx="115">
                  <c:v>139.046002815461</c:v>
                </c:pt>
                <c:pt idx="116">
                  <c:v>139.134123375434</c:v>
                </c:pt>
                <c:pt idx="117">
                  <c:v>138.250643755083</c:v>
                </c:pt>
                <c:pt idx="118">
                  <c:v>136.996840642389</c:v>
                </c:pt>
                <c:pt idx="119">
                  <c:v>136.917491285237</c:v>
                </c:pt>
                <c:pt idx="120">
                  <c:v>137.447001650963</c:v>
                </c:pt>
                <c:pt idx="121">
                  <c:v>135.718203638844</c:v>
                </c:pt>
                <c:pt idx="122">
                  <c:v>133.371549733061</c:v>
                </c:pt>
                <c:pt idx="123">
                  <c:v>132.796413267135</c:v>
                </c:pt>
                <c:pt idx="124">
                  <c:v>133.486258926083</c:v>
                </c:pt>
                <c:pt idx="125">
                  <c:v>132.800114777392</c:v>
                </c:pt>
                <c:pt idx="126">
                  <c:v>131.71316294926</c:v>
                </c:pt>
                <c:pt idx="127">
                  <c:v>129.514488633179</c:v>
                </c:pt>
                <c:pt idx="128">
                  <c:v>131.115382553312</c:v>
                </c:pt>
                <c:pt idx="129">
                  <c:v>131.344410767523</c:v>
                </c:pt>
                <c:pt idx="130">
                  <c:v>130.524982066873</c:v>
                </c:pt>
                <c:pt idx="131">
                  <c:v>131.469316990141</c:v>
                </c:pt>
                <c:pt idx="132">
                  <c:v>132.503839773124</c:v>
                </c:pt>
                <c:pt idx="133">
                  <c:v>133.609672277327</c:v>
                </c:pt>
                <c:pt idx="134">
                  <c:v>133.503332689067</c:v>
                </c:pt>
                <c:pt idx="135">
                  <c:v>136.441407558297</c:v>
                </c:pt>
                <c:pt idx="136">
                  <c:v>134.361582597329</c:v>
                </c:pt>
                <c:pt idx="137">
                  <c:v>138.229629692488</c:v>
                </c:pt>
                <c:pt idx="138">
                  <c:v>137.68537087583</c:v>
                </c:pt>
                <c:pt idx="139">
                  <c:v>135.005299593451</c:v>
                </c:pt>
                <c:pt idx="140">
                  <c:v>133.328960974601</c:v>
                </c:pt>
                <c:pt idx="141">
                  <c:v>134.169355380751</c:v>
                </c:pt>
                <c:pt idx="142">
                  <c:v>131.765709935009</c:v>
                </c:pt>
                <c:pt idx="143">
                  <c:v>130.425372607699</c:v>
                </c:pt>
                <c:pt idx="144">
                  <c:v>127.79167269958</c:v>
                </c:pt>
                <c:pt idx="145">
                  <c:v>129.734739507274</c:v>
                </c:pt>
                <c:pt idx="146">
                  <c:v>126.883692586656</c:v>
                </c:pt>
                <c:pt idx="147">
                  <c:v>126.748696658494</c:v>
                </c:pt>
                <c:pt idx="148">
                  <c:v>124.916152314894</c:v>
                </c:pt>
                <c:pt idx="149">
                  <c:v>120.084284804871</c:v>
                </c:pt>
                <c:pt idx="150">
                  <c:v>121.772023815686</c:v>
                </c:pt>
                <c:pt idx="151">
                  <c:v>123.657772234113</c:v>
                </c:pt>
                <c:pt idx="152">
                  <c:v>125.906765331913</c:v>
                </c:pt>
                <c:pt idx="153">
                  <c:v>121.978511241846</c:v>
                </c:pt>
                <c:pt idx="154">
                  <c:v>125.352995655621</c:v>
                </c:pt>
                <c:pt idx="155">
                  <c:v>126.634611097483</c:v>
                </c:pt>
                <c:pt idx="156">
                  <c:v>126.129896926639</c:v>
                </c:pt>
                <c:pt idx="157">
                  <c:v>123.395358257946</c:v>
                </c:pt>
                <c:pt idx="158">
                  <c:v>128.349096820239</c:v>
                </c:pt>
                <c:pt idx="159">
                  <c:v>124.029319376089</c:v>
                </c:pt>
                <c:pt idx="160">
                  <c:v>127.814435187069</c:v>
                </c:pt>
                <c:pt idx="161">
                  <c:v>132.774158862517</c:v>
                </c:pt>
                <c:pt idx="162">
                  <c:v>129.734745491193</c:v>
                </c:pt>
                <c:pt idx="163">
                  <c:v>130.887861451846</c:v>
                </c:pt>
                <c:pt idx="164">
                  <c:v>131.752411070052</c:v>
                </c:pt>
                <c:pt idx="165">
                  <c:v>131.294365829788</c:v>
                </c:pt>
                <c:pt idx="166">
                  <c:v>133.903360661343</c:v>
                </c:pt>
                <c:pt idx="167">
                  <c:v>131.829677680569</c:v>
                </c:pt>
                <c:pt idx="168">
                  <c:v>131.612156880587</c:v>
                </c:pt>
                <c:pt idx="169">
                  <c:v>129.714808798755</c:v>
                </c:pt>
                <c:pt idx="170">
                  <c:v>133.13459620636</c:v>
                </c:pt>
                <c:pt idx="171">
                  <c:v>131.098490081169</c:v>
                </c:pt>
                <c:pt idx="172">
                  <c:v>129.660387680946</c:v>
                </c:pt>
                <c:pt idx="173">
                  <c:v>127.315469591235</c:v>
                </c:pt>
                <c:pt idx="174">
                  <c:v>124.086200461336</c:v>
                </c:pt>
                <c:pt idx="175">
                  <c:v>126.023258295621</c:v>
                </c:pt>
                <c:pt idx="176">
                  <c:v>121.360714156491</c:v>
                </c:pt>
                <c:pt idx="177">
                  <c:v>121.658040396791</c:v>
                </c:pt>
                <c:pt idx="178">
                  <c:v>118.659078543438</c:v>
                </c:pt>
                <c:pt idx="179">
                  <c:v>114.862609567658</c:v>
                </c:pt>
                <c:pt idx="180">
                  <c:v>118.629192754398</c:v>
                </c:pt>
                <c:pt idx="181">
                  <c:v>120.58664606682</c:v>
                </c:pt>
                <c:pt idx="182">
                  <c:v>119.658012281594</c:v>
                </c:pt>
                <c:pt idx="183">
                  <c:v>122.338834194047</c:v>
                </c:pt>
                <c:pt idx="184">
                  <c:v>125.004712127356</c:v>
                </c:pt>
                <c:pt idx="185">
                  <c:v>119.402647341898</c:v>
                </c:pt>
                <c:pt idx="186">
                  <c:v>122.042204003317</c:v>
                </c:pt>
                <c:pt idx="187">
                  <c:v>120.438285392845</c:v>
                </c:pt>
                <c:pt idx="188">
                  <c:v>116.4095206122</c:v>
                </c:pt>
                <c:pt idx="189">
                  <c:v>118.020015107597</c:v>
                </c:pt>
                <c:pt idx="190">
                  <c:v>114.082569609461</c:v>
                </c:pt>
                <c:pt idx="191">
                  <c:v>113.959049499135</c:v>
                </c:pt>
                <c:pt idx="192">
                  <c:v>113.811480739839</c:v>
                </c:pt>
                <c:pt idx="193">
                  <c:v>114.02260561507</c:v>
                </c:pt>
                <c:pt idx="194">
                  <c:v>98.3128581683377</c:v>
                </c:pt>
                <c:pt idx="195">
                  <c:v>72.654446883139</c:v>
                </c:pt>
                <c:pt idx="196">
                  <c:v>87.9887421089288</c:v>
                </c:pt>
                <c:pt idx="197">
                  <c:v>103.171106572784</c:v>
                </c:pt>
                <c:pt idx="198">
                  <c:v>106.878105326259</c:v>
                </c:pt>
                <c:pt idx="199">
                  <c:v>105.320400386799</c:v>
                </c:pt>
                <c:pt idx="200">
                  <c:v>110.213260950743</c:v>
                </c:pt>
                <c:pt idx="201">
                  <c:v>115.446040027203</c:v>
                </c:pt>
                <c:pt idx="202">
                  <c:v>116.764068029479</c:v>
                </c:pt>
                <c:pt idx="203">
                  <c:v>119.151444949078</c:v>
                </c:pt>
                <c:pt idx="204">
                  <c:v>120.997298899862</c:v>
                </c:pt>
                <c:pt idx="205">
                  <c:v>118.229019414111</c:v>
                </c:pt>
                <c:pt idx="206">
                  <c:v>127.709908581463</c:v>
                </c:pt>
                <c:pt idx="207">
                  <c:v>125.268114999128</c:v>
                </c:pt>
                <c:pt idx="208">
                  <c:v>120.567728716865</c:v>
                </c:pt>
                <c:pt idx="209">
                  <c:v>125.469641892182</c:v>
                </c:pt>
                <c:pt idx="210">
                  <c:v>123.727214886574</c:v>
                </c:pt>
                <c:pt idx="211">
                  <c:v>123.472563224322</c:v>
                </c:pt>
                <c:pt idx="212">
                  <c:v>125.738427531233</c:v>
                </c:pt>
                <c:pt idx="213">
                  <c:v>123.647257374846</c:v>
                </c:pt>
                <c:pt idx="214">
                  <c:v>127.716658466217</c:v>
                </c:pt>
                <c:pt idx="215">
                  <c:v>130.425566226303</c:v>
                </c:pt>
                <c:pt idx="216">
                  <c:v>124.085727932632</c:v>
                </c:pt>
                <c:pt idx="217">
                  <c:v>130.555599357693</c:v>
                </c:pt>
                <c:pt idx="218">
                  <c:v>132.011453789556</c:v>
                </c:pt>
                <c:pt idx="219">
                  <c:v>133.085197897615</c:v>
                </c:pt>
                <c:pt idx="220">
                  <c:v>135.060943198131</c:v>
                </c:pt>
                <c:pt idx="221">
                  <c:v>135.710259865582</c:v>
                </c:pt>
                <c:pt idx="222">
                  <c:v>131.840275777864</c:v>
                </c:pt>
                <c:pt idx="223">
                  <c:v>132.885538901262</c:v>
                </c:pt>
                <c:pt idx="224">
                  <c:v>131.436467509908</c:v>
                </c:pt>
                <c:pt idx="225">
                  <c:v>129.1739392293</c:v>
                </c:pt>
                <c:pt idx="226">
                  <c:v>130.643447476516</c:v>
                </c:pt>
                <c:pt idx="227">
                  <c:v>131.249602013788</c:v>
                </c:pt>
                <c:pt idx="228">
                  <c:v>133.887199779139</c:v>
                </c:pt>
                <c:pt idx="229">
                  <c:v>131.258596867813</c:v>
                </c:pt>
                <c:pt idx="230">
                  <c:v>137.543076774367</c:v>
                </c:pt>
                <c:pt idx="231">
                  <c:v>134.457370250376</c:v>
                </c:pt>
                <c:pt idx="232">
                  <c:v>134.787125886026</c:v>
                </c:pt>
                <c:pt idx="233">
                  <c:v>134.374482624486</c:v>
                </c:pt>
                <c:pt idx="234">
                  <c:v>129.678592780516</c:v>
                </c:pt>
                <c:pt idx="235">
                  <c:v>131.141921838341</c:v>
                </c:pt>
                <c:pt idx="236">
                  <c:v>129.407026695402</c:v>
                </c:pt>
                <c:pt idx="237">
                  <c:v>128.189882326302</c:v>
                </c:pt>
                <c:pt idx="238">
                  <c:v>127.167544237187</c:v>
                </c:pt>
                <c:pt idx="239">
                  <c:v>119.612068043683</c:v>
                </c:pt>
                <c:pt idx="240">
                  <c:v>118.688928756397</c:v>
                </c:pt>
                <c:pt idx="241">
                  <c:v>119.230791634206</c:v>
                </c:pt>
                <c:pt idx="242">
                  <c:v>112.689304604068</c:v>
                </c:pt>
                <c:pt idx="243">
                  <c:v>113.504300593803</c:v>
                </c:pt>
                <c:pt idx="244">
                  <c:v>115.701902710153</c:v>
                </c:pt>
                <c:pt idx="245">
                  <c:v>111.933364005965</c:v>
                </c:pt>
                <c:pt idx="246">
                  <c:v>120.394737227346</c:v>
                </c:pt>
                <c:pt idx="247">
                  <c:v>121.191544413978</c:v>
                </c:pt>
                <c:pt idx="248">
                  <c:v>120.005623028695</c:v>
                </c:pt>
                <c:pt idx="249">
                  <c:v>122.025467270255</c:v>
                </c:pt>
                <c:pt idx="250">
                  <c:v>123.762250168812</c:v>
                </c:pt>
                <c:pt idx="251">
                  <c:v>124.164998293655</c:v>
                </c:pt>
                <c:pt idx="252">
                  <c:v>123.732430026818</c:v>
                </c:pt>
                <c:pt idx="253">
                  <c:v>125.299017680691</c:v>
                </c:pt>
                <c:pt idx="254">
                  <c:v>118.784064755</c:v>
                </c:pt>
                <c:pt idx="255">
                  <c:v>123.48012118393</c:v>
                </c:pt>
                <c:pt idx="256">
                  <c:v>122.7391518145</c:v>
                </c:pt>
                <c:pt idx="257">
                  <c:v>123.409216968041</c:v>
                </c:pt>
                <c:pt idx="258">
                  <c:v>121.308403889094</c:v>
                </c:pt>
                <c:pt idx="259">
                  <c:v>119.387788040638</c:v>
                </c:pt>
                <c:pt idx="260">
                  <c:v>121.195437415296</c:v>
                </c:pt>
                <c:pt idx="261">
                  <c:v>121.26099894089</c:v>
                </c:pt>
                <c:pt idx="262">
                  <c:v>118.565562455619</c:v>
                </c:pt>
                <c:pt idx="263">
                  <c:v>121.487897205204</c:v>
                </c:pt>
                <c:pt idx="264">
                  <c:v>122.79645932816</c:v>
                </c:pt>
                <c:pt idx="265">
                  <c:v>119.886678077389</c:v>
                </c:pt>
                <c:pt idx="266">
                  <c:v>125.309677864503</c:v>
                </c:pt>
                <c:pt idx="267">
                  <c:v>120.97304368655</c:v>
                </c:pt>
                <c:pt idx="268">
                  <c:v>118.28642060301</c:v>
                </c:pt>
              </c:numCache>
            </c:numRef>
          </c:val>
          <c:smooth val="0"/>
        </c:ser>
        <c:ser>
          <c:idx val="2"/>
          <c:order val="2"/>
          <c:tx>
            <c:strRef>
              <c:f>'Sub-Index Analysis'!N6</c:f>
              <c:strCache>
                <c:ptCount val="1"/>
                <c:pt idx="0">
                  <c:v>Services: SA level</c:v>
                </c:pt>
              </c:strCache>
            </c:strRef>
          </c:tx>
          <c:spPr>
            <a:solidFill>
              <a:srgbClr val="f3b8a4"/>
            </a:solidFill>
            <a:ln w="31680">
              <a:solidFill>
                <a:srgbClr val="f3b8a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'Sub-Index Analysis'!$A$7:$A$275</c:f>
              <c:strCache>
                <c:ptCount val="269"/>
                <c:pt idx="0">
                  <c:v>Jan-04</c:v>
                </c:pt>
                <c:pt idx="1">
                  <c:v>Feb-04</c:v>
                </c:pt>
                <c:pt idx="2">
                  <c:v>Mar-04</c:v>
                </c:pt>
                <c:pt idx="3">
                  <c:v>Apr-04</c:v>
                </c:pt>
                <c:pt idx="4">
                  <c:v>May-04</c:v>
                </c:pt>
                <c:pt idx="5">
                  <c:v>Jun-04</c:v>
                </c:pt>
                <c:pt idx="6">
                  <c:v>Jul-04</c:v>
                </c:pt>
                <c:pt idx="7">
                  <c:v>Aug-04</c:v>
                </c:pt>
                <c:pt idx="8">
                  <c:v>Sep-04</c:v>
                </c:pt>
                <c:pt idx="9">
                  <c:v>Oct-04</c:v>
                </c:pt>
                <c:pt idx="10">
                  <c:v>Nov-04</c:v>
                </c:pt>
                <c:pt idx="11">
                  <c:v>Dec-04</c:v>
                </c:pt>
                <c:pt idx="12">
                  <c:v>Jan-05</c:v>
                </c:pt>
                <c:pt idx="13">
                  <c:v>Feb-05</c:v>
                </c:pt>
                <c:pt idx="14">
                  <c:v>Mar-05</c:v>
                </c:pt>
                <c:pt idx="15">
                  <c:v>Apr-05</c:v>
                </c:pt>
                <c:pt idx="16">
                  <c:v>May-05</c:v>
                </c:pt>
                <c:pt idx="17">
                  <c:v>Jun-05</c:v>
                </c:pt>
                <c:pt idx="18">
                  <c:v>Jul-05</c:v>
                </c:pt>
                <c:pt idx="19">
                  <c:v>Aug-05</c:v>
                </c:pt>
                <c:pt idx="20">
                  <c:v>Sep-05</c:v>
                </c:pt>
                <c:pt idx="21">
                  <c:v>Oct-05</c:v>
                </c:pt>
                <c:pt idx="22">
                  <c:v>Nov-05</c:v>
                </c:pt>
                <c:pt idx="23">
                  <c:v>Dec-05</c:v>
                </c:pt>
                <c:pt idx="24">
                  <c:v>Jan-06</c:v>
                </c:pt>
                <c:pt idx="25">
                  <c:v>Feb-06</c:v>
                </c:pt>
                <c:pt idx="26">
                  <c:v>Mar-06</c:v>
                </c:pt>
                <c:pt idx="27">
                  <c:v>Apr-06</c:v>
                </c:pt>
                <c:pt idx="28">
                  <c:v>May-06</c:v>
                </c:pt>
                <c:pt idx="29">
                  <c:v>Jun-06</c:v>
                </c:pt>
                <c:pt idx="30">
                  <c:v>Jul-06</c:v>
                </c:pt>
                <c:pt idx="31">
                  <c:v>Aug-06</c:v>
                </c:pt>
                <c:pt idx="32">
                  <c:v>Sep-06</c:v>
                </c:pt>
                <c:pt idx="33">
                  <c:v>Oct-06</c:v>
                </c:pt>
                <c:pt idx="34">
                  <c:v>Nov-06</c:v>
                </c:pt>
                <c:pt idx="35">
                  <c:v>Dec-06</c:v>
                </c:pt>
                <c:pt idx="36">
                  <c:v>Jan-07</c:v>
                </c:pt>
                <c:pt idx="37">
                  <c:v>Feb-07</c:v>
                </c:pt>
                <c:pt idx="38">
                  <c:v>Mar-07</c:v>
                </c:pt>
                <c:pt idx="39">
                  <c:v>Apr-07</c:v>
                </c:pt>
                <c:pt idx="40">
                  <c:v>May-07</c:v>
                </c:pt>
                <c:pt idx="41">
                  <c:v>Jun-07</c:v>
                </c:pt>
                <c:pt idx="42">
                  <c:v>Jul-07</c:v>
                </c:pt>
                <c:pt idx="43">
                  <c:v>Aug-07</c:v>
                </c:pt>
                <c:pt idx="44">
                  <c:v>Sep-07</c:v>
                </c:pt>
                <c:pt idx="45">
                  <c:v>Oct-07</c:v>
                </c:pt>
                <c:pt idx="46">
                  <c:v>Nov-07</c:v>
                </c:pt>
                <c:pt idx="47">
                  <c:v>Dec-07</c:v>
                </c:pt>
                <c:pt idx="48">
                  <c:v>Jan-08</c:v>
                </c:pt>
                <c:pt idx="49">
                  <c:v>Feb-08</c:v>
                </c:pt>
                <c:pt idx="50">
                  <c:v>Mar-08</c:v>
                </c:pt>
                <c:pt idx="51">
                  <c:v>Apr-08</c:v>
                </c:pt>
                <c:pt idx="52">
                  <c:v>May-08</c:v>
                </c:pt>
                <c:pt idx="53">
                  <c:v>Jun-08</c:v>
                </c:pt>
                <c:pt idx="54">
                  <c:v>Jul-08</c:v>
                </c:pt>
                <c:pt idx="55">
                  <c:v>Aug-08</c:v>
                </c:pt>
                <c:pt idx="56">
                  <c:v>Sep-08</c:v>
                </c:pt>
                <c:pt idx="57">
                  <c:v>Oct-08</c:v>
                </c:pt>
                <c:pt idx="58">
                  <c:v>Nov-08</c:v>
                </c:pt>
                <c:pt idx="59">
                  <c:v>Dec-08</c:v>
                </c:pt>
                <c:pt idx="60">
                  <c:v>Jan-09</c:v>
                </c:pt>
                <c:pt idx="61">
                  <c:v>Feb-09</c:v>
                </c:pt>
                <c:pt idx="62">
                  <c:v>Mar-09</c:v>
                </c:pt>
                <c:pt idx="63">
                  <c:v>Apr-09</c:v>
                </c:pt>
                <c:pt idx="64">
                  <c:v>May-09</c:v>
                </c:pt>
                <c:pt idx="65">
                  <c:v>Jun-09</c:v>
                </c:pt>
                <c:pt idx="66">
                  <c:v>Jul-09</c:v>
                </c:pt>
                <c:pt idx="67">
                  <c:v>Aug-09</c:v>
                </c:pt>
                <c:pt idx="68">
                  <c:v>Sep-09</c:v>
                </c:pt>
                <c:pt idx="69">
                  <c:v>Oct-09</c:v>
                </c:pt>
                <c:pt idx="70">
                  <c:v>Nov-09</c:v>
                </c:pt>
                <c:pt idx="71">
                  <c:v>Dec-09</c:v>
                </c:pt>
                <c:pt idx="72">
                  <c:v>Jan-10</c:v>
                </c:pt>
                <c:pt idx="73">
                  <c:v>Feb-10</c:v>
                </c:pt>
                <c:pt idx="74">
                  <c:v>Mar-10</c:v>
                </c:pt>
                <c:pt idx="75">
                  <c:v>Apr-10</c:v>
                </c:pt>
                <c:pt idx="76">
                  <c:v>May-10</c:v>
                </c:pt>
                <c:pt idx="77">
                  <c:v>Jun-10</c:v>
                </c:pt>
                <c:pt idx="78">
                  <c:v>Jul-10</c:v>
                </c:pt>
                <c:pt idx="79">
                  <c:v>Aug-10</c:v>
                </c:pt>
                <c:pt idx="80">
                  <c:v>Sep-10</c:v>
                </c:pt>
                <c:pt idx="81">
                  <c:v>Oct-10</c:v>
                </c:pt>
                <c:pt idx="82">
                  <c:v>Nov-10</c:v>
                </c:pt>
                <c:pt idx="83">
                  <c:v>Dec-10</c:v>
                </c:pt>
                <c:pt idx="84">
                  <c:v>Jan-11</c:v>
                </c:pt>
                <c:pt idx="85">
                  <c:v>Feb-11</c:v>
                </c:pt>
                <c:pt idx="86">
                  <c:v>Mar-11</c:v>
                </c:pt>
                <c:pt idx="87">
                  <c:v>Apr-11</c:v>
                </c:pt>
                <c:pt idx="88">
                  <c:v>May-11</c:v>
                </c:pt>
                <c:pt idx="89">
                  <c:v>Jun-11</c:v>
                </c:pt>
                <c:pt idx="90">
                  <c:v>Jul-11</c:v>
                </c:pt>
                <c:pt idx="91">
                  <c:v>Aug-11</c:v>
                </c:pt>
                <c:pt idx="92">
                  <c:v>Sep-11</c:v>
                </c:pt>
                <c:pt idx="93">
                  <c:v>Oct-11</c:v>
                </c:pt>
                <c:pt idx="94">
                  <c:v>Nov-11</c:v>
                </c:pt>
                <c:pt idx="95">
                  <c:v>Dec-11</c:v>
                </c:pt>
                <c:pt idx="96">
                  <c:v>Jan-12</c:v>
                </c:pt>
                <c:pt idx="97">
                  <c:v>Feb-12</c:v>
                </c:pt>
                <c:pt idx="98">
                  <c:v>Mar-12</c:v>
                </c:pt>
                <c:pt idx="99">
                  <c:v>Apr-12</c:v>
                </c:pt>
                <c:pt idx="100">
                  <c:v>May-12</c:v>
                </c:pt>
                <c:pt idx="101">
                  <c:v>Jun-12</c:v>
                </c:pt>
                <c:pt idx="102">
                  <c:v>Jul-12</c:v>
                </c:pt>
                <c:pt idx="103">
                  <c:v>Aug-12</c:v>
                </c:pt>
                <c:pt idx="104">
                  <c:v>Sep-12</c:v>
                </c:pt>
                <c:pt idx="105">
                  <c:v>Oct-12</c:v>
                </c:pt>
                <c:pt idx="106">
                  <c:v>Nov-12</c:v>
                </c:pt>
                <c:pt idx="107">
                  <c:v>Dec-12</c:v>
                </c:pt>
                <c:pt idx="108">
                  <c:v>Jan-13</c:v>
                </c:pt>
                <c:pt idx="109">
                  <c:v>Feb-13</c:v>
                </c:pt>
                <c:pt idx="110">
                  <c:v>Mar-13</c:v>
                </c:pt>
                <c:pt idx="111">
                  <c:v>Apr-13</c:v>
                </c:pt>
                <c:pt idx="112">
                  <c:v>May-13</c:v>
                </c:pt>
                <c:pt idx="113">
                  <c:v>Jun-13</c:v>
                </c:pt>
                <c:pt idx="114">
                  <c:v>Jul-13</c:v>
                </c:pt>
                <c:pt idx="115">
                  <c:v>Aug-13</c:v>
                </c:pt>
                <c:pt idx="116">
                  <c:v>Sep-13</c:v>
                </c:pt>
                <c:pt idx="117">
                  <c:v>Oct-13</c:v>
                </c:pt>
                <c:pt idx="118">
                  <c:v>Nov-13</c:v>
                </c:pt>
                <c:pt idx="119">
                  <c:v>Dec-13</c:v>
                </c:pt>
                <c:pt idx="120">
                  <c:v>Jan-14</c:v>
                </c:pt>
                <c:pt idx="121">
                  <c:v>Feb-14</c:v>
                </c:pt>
                <c:pt idx="122">
                  <c:v>Mar-14</c:v>
                </c:pt>
                <c:pt idx="123">
                  <c:v>Apr-14</c:v>
                </c:pt>
                <c:pt idx="124">
                  <c:v>May-14</c:v>
                </c:pt>
                <c:pt idx="125">
                  <c:v>Jun-14</c:v>
                </c:pt>
                <c:pt idx="126">
                  <c:v>Jul-14</c:v>
                </c:pt>
                <c:pt idx="127">
                  <c:v>Aug-14</c:v>
                </c:pt>
                <c:pt idx="128">
                  <c:v>Sep-14</c:v>
                </c:pt>
                <c:pt idx="129">
                  <c:v>Oct-14</c:v>
                </c:pt>
                <c:pt idx="130">
                  <c:v>Nov-14</c:v>
                </c:pt>
                <c:pt idx="131">
                  <c:v>Dec-14</c:v>
                </c:pt>
                <c:pt idx="132">
                  <c:v>Jan-15</c:v>
                </c:pt>
                <c:pt idx="133">
                  <c:v>Feb-15</c:v>
                </c:pt>
                <c:pt idx="134">
                  <c:v>Mar-15</c:v>
                </c:pt>
                <c:pt idx="135">
                  <c:v>Apr-15</c:v>
                </c:pt>
                <c:pt idx="136">
                  <c:v>May-15</c:v>
                </c:pt>
                <c:pt idx="137">
                  <c:v>Jun-15</c:v>
                </c:pt>
                <c:pt idx="138">
                  <c:v>Jul-15</c:v>
                </c:pt>
                <c:pt idx="139">
                  <c:v>Aug-15</c:v>
                </c:pt>
                <c:pt idx="140">
                  <c:v>Sep-15</c:v>
                </c:pt>
                <c:pt idx="141">
                  <c:v>Oct-15</c:v>
                </c:pt>
                <c:pt idx="142">
                  <c:v>Nov-15</c:v>
                </c:pt>
                <c:pt idx="143">
                  <c:v>Dec-15</c:v>
                </c:pt>
                <c:pt idx="144">
                  <c:v>Jan-16</c:v>
                </c:pt>
                <c:pt idx="145">
                  <c:v>Feb-16</c:v>
                </c:pt>
                <c:pt idx="146">
                  <c:v>Mar-16</c:v>
                </c:pt>
                <c:pt idx="147">
                  <c:v>Apr-16</c:v>
                </c:pt>
                <c:pt idx="148">
                  <c:v>May-16</c:v>
                </c:pt>
                <c:pt idx="149">
                  <c:v>Jun-16</c:v>
                </c:pt>
                <c:pt idx="150">
                  <c:v>Jul-16</c:v>
                </c:pt>
                <c:pt idx="151">
                  <c:v>Aug-16</c:v>
                </c:pt>
                <c:pt idx="152">
                  <c:v>Sep-16</c:v>
                </c:pt>
                <c:pt idx="153">
                  <c:v>Oct-16</c:v>
                </c:pt>
                <c:pt idx="154">
                  <c:v>Nov-16</c:v>
                </c:pt>
                <c:pt idx="155">
                  <c:v>Dec-16</c:v>
                </c:pt>
                <c:pt idx="156">
                  <c:v>Jan-17</c:v>
                </c:pt>
                <c:pt idx="157">
                  <c:v>Feb-17</c:v>
                </c:pt>
                <c:pt idx="158">
                  <c:v>Mar-17</c:v>
                </c:pt>
                <c:pt idx="159">
                  <c:v>Apr-17</c:v>
                </c:pt>
                <c:pt idx="160">
                  <c:v>May-17</c:v>
                </c:pt>
                <c:pt idx="161">
                  <c:v>Jun-17</c:v>
                </c:pt>
                <c:pt idx="162">
                  <c:v>Jul-17</c:v>
                </c:pt>
                <c:pt idx="163">
                  <c:v>Aug-17</c:v>
                </c:pt>
                <c:pt idx="164">
                  <c:v>Sep-17</c:v>
                </c:pt>
                <c:pt idx="165">
                  <c:v>Oct-17</c:v>
                </c:pt>
                <c:pt idx="166">
                  <c:v>Nov-17</c:v>
                </c:pt>
                <c:pt idx="167">
                  <c:v>Dec-17</c:v>
                </c:pt>
                <c:pt idx="168">
                  <c:v>Jan-18</c:v>
                </c:pt>
                <c:pt idx="169">
                  <c:v>Feb-18</c:v>
                </c:pt>
                <c:pt idx="170">
                  <c:v>Mar-18</c:v>
                </c:pt>
                <c:pt idx="171">
                  <c:v>Apr-18</c:v>
                </c:pt>
                <c:pt idx="172">
                  <c:v>May-18</c:v>
                </c:pt>
                <c:pt idx="173">
                  <c:v>Jun-18</c:v>
                </c:pt>
                <c:pt idx="174">
                  <c:v>Jul-18</c:v>
                </c:pt>
                <c:pt idx="175">
                  <c:v>Aug-18</c:v>
                </c:pt>
                <c:pt idx="176">
                  <c:v>Sep-18</c:v>
                </c:pt>
                <c:pt idx="177">
                  <c:v>Oct-18</c:v>
                </c:pt>
                <c:pt idx="178">
                  <c:v>Nov-18</c:v>
                </c:pt>
                <c:pt idx="179">
                  <c:v>Dec-18</c:v>
                </c:pt>
                <c:pt idx="180">
                  <c:v>Jan-19</c:v>
                </c:pt>
                <c:pt idx="181">
                  <c:v>Feb-19</c:v>
                </c:pt>
                <c:pt idx="182">
                  <c:v>Mar-19</c:v>
                </c:pt>
                <c:pt idx="183">
                  <c:v>Apr-19</c:v>
                </c:pt>
                <c:pt idx="184">
                  <c:v>May-19</c:v>
                </c:pt>
                <c:pt idx="185">
                  <c:v>Jun-19</c:v>
                </c:pt>
                <c:pt idx="186">
                  <c:v>Jul-19</c:v>
                </c:pt>
                <c:pt idx="187">
                  <c:v>Aug-19</c:v>
                </c:pt>
                <c:pt idx="188">
                  <c:v>Sep-19</c:v>
                </c:pt>
                <c:pt idx="189">
                  <c:v>Oct-19</c:v>
                </c:pt>
                <c:pt idx="190">
                  <c:v>Nov-19</c:v>
                </c:pt>
                <c:pt idx="191">
                  <c:v>Dec-19</c:v>
                </c:pt>
                <c:pt idx="192">
                  <c:v>Jan-20</c:v>
                </c:pt>
                <c:pt idx="193">
                  <c:v>Feb-20</c:v>
                </c:pt>
                <c:pt idx="194">
                  <c:v>Mar-20</c:v>
                </c:pt>
                <c:pt idx="195">
                  <c:v>Apr-20</c:v>
                </c:pt>
                <c:pt idx="196">
                  <c:v>May-20</c:v>
                </c:pt>
                <c:pt idx="197">
                  <c:v>Jun-20</c:v>
                </c:pt>
                <c:pt idx="198">
                  <c:v>Jul-20</c:v>
                </c:pt>
                <c:pt idx="199">
                  <c:v>Aug-20</c:v>
                </c:pt>
                <c:pt idx="200">
                  <c:v>Sep-20</c:v>
                </c:pt>
                <c:pt idx="201">
                  <c:v>Oct-20</c:v>
                </c:pt>
                <c:pt idx="202">
                  <c:v>Nov-20</c:v>
                </c:pt>
                <c:pt idx="203">
                  <c:v>Dec-20</c:v>
                </c:pt>
                <c:pt idx="204">
                  <c:v>Jan-21</c:v>
                </c:pt>
                <c:pt idx="205">
                  <c:v>Feb-21</c:v>
                </c:pt>
                <c:pt idx="206">
                  <c:v>Mar-21</c:v>
                </c:pt>
                <c:pt idx="207">
                  <c:v>Apr-21</c:v>
                </c:pt>
                <c:pt idx="208">
                  <c:v>May-21</c:v>
                </c:pt>
                <c:pt idx="209">
                  <c:v>Jun-21</c:v>
                </c:pt>
                <c:pt idx="210">
                  <c:v>Jul-21</c:v>
                </c:pt>
                <c:pt idx="211">
                  <c:v>Aug-21</c:v>
                </c:pt>
                <c:pt idx="212">
                  <c:v>Sep-21</c:v>
                </c:pt>
                <c:pt idx="213">
                  <c:v>Oct-21</c:v>
                </c:pt>
                <c:pt idx="214">
                  <c:v>Nov-21</c:v>
                </c:pt>
                <c:pt idx="215">
                  <c:v>Dec-21</c:v>
                </c:pt>
                <c:pt idx="216">
                  <c:v>Jan-22</c:v>
                </c:pt>
                <c:pt idx="217">
                  <c:v>Feb-22</c:v>
                </c:pt>
                <c:pt idx="218">
                  <c:v>Mar-22</c:v>
                </c:pt>
                <c:pt idx="219">
                  <c:v>Apr-22</c:v>
                </c:pt>
                <c:pt idx="220">
                  <c:v>May-22</c:v>
                </c:pt>
                <c:pt idx="221">
                  <c:v>Jun-22</c:v>
                </c:pt>
                <c:pt idx="222">
                  <c:v>Jul-22</c:v>
                </c:pt>
                <c:pt idx="223">
                  <c:v>Aug-22</c:v>
                </c:pt>
                <c:pt idx="224">
                  <c:v>Sep-22</c:v>
                </c:pt>
                <c:pt idx="225">
                  <c:v>Oct-22</c:v>
                </c:pt>
                <c:pt idx="226">
                  <c:v>Nov-22</c:v>
                </c:pt>
                <c:pt idx="227">
                  <c:v>Dec-22</c:v>
                </c:pt>
                <c:pt idx="228">
                  <c:v>Jan-23</c:v>
                </c:pt>
                <c:pt idx="229">
                  <c:v>Feb-23</c:v>
                </c:pt>
                <c:pt idx="230">
                  <c:v>Mar-23</c:v>
                </c:pt>
                <c:pt idx="231">
                  <c:v>Apr-23</c:v>
                </c:pt>
                <c:pt idx="232">
                  <c:v>May-23</c:v>
                </c:pt>
                <c:pt idx="233">
                  <c:v>Jun-23</c:v>
                </c:pt>
                <c:pt idx="234">
                  <c:v>Jul-23</c:v>
                </c:pt>
                <c:pt idx="235">
                  <c:v>Aug-23</c:v>
                </c:pt>
                <c:pt idx="236">
                  <c:v>Sep-23</c:v>
                </c:pt>
                <c:pt idx="237">
                  <c:v>Oct-23</c:v>
                </c:pt>
                <c:pt idx="238">
                  <c:v>Nov-23</c:v>
                </c:pt>
                <c:pt idx="239">
                  <c:v>Dec-23</c:v>
                </c:pt>
                <c:pt idx="240">
                  <c:v>Jan-24</c:v>
                </c:pt>
                <c:pt idx="241">
                  <c:v>Feb-24</c:v>
                </c:pt>
                <c:pt idx="242">
                  <c:v>Mar-24</c:v>
                </c:pt>
                <c:pt idx="243">
                  <c:v>Apr-24</c:v>
                </c:pt>
                <c:pt idx="244">
                  <c:v>May-24</c:v>
                </c:pt>
                <c:pt idx="245">
                  <c:v>Jun-24</c:v>
                </c:pt>
                <c:pt idx="246">
                  <c:v>Jul-24</c:v>
                </c:pt>
                <c:pt idx="247">
                  <c:v>Aug-24</c:v>
                </c:pt>
                <c:pt idx="248">
                  <c:v>Sep-24</c:v>
                </c:pt>
                <c:pt idx="249">
                  <c:v>Oct-24</c:v>
                </c:pt>
                <c:pt idx="250">
                  <c:v>Nov-24</c:v>
                </c:pt>
                <c:pt idx="251">
                  <c:v>Dec-24</c:v>
                </c:pt>
                <c:pt idx="252">
                  <c:v>Jan-25</c:v>
                </c:pt>
                <c:pt idx="253">
                  <c:v>Feb-25</c:v>
                </c:pt>
                <c:pt idx="254">
                  <c:v>Mar-25</c:v>
                </c:pt>
                <c:pt idx="255">
                  <c:v>Apr-25</c:v>
                </c:pt>
                <c:pt idx="256">
                  <c:v>May-25</c:v>
                </c:pt>
                <c:pt idx="257">
                  <c:v>Jun-25</c:v>
                </c:pt>
                <c:pt idx="258">
                  <c:v>Jul-25</c:v>
                </c:pt>
                <c:pt idx="259">
                  <c:v>Aug-25</c:v>
                </c:pt>
                <c:pt idx="260">
                  <c:v>Sep-25</c:v>
                </c:pt>
                <c:pt idx="261">
                  <c:v>Oct-25</c:v>
                </c:pt>
                <c:pt idx="262">
                  <c:v>Nov-25</c:v>
                </c:pt>
                <c:pt idx="263">
                  <c:v>Dec-25</c:v>
                </c:pt>
                <c:pt idx="264">
                  <c:v>Jan-26</c:v>
                </c:pt>
                <c:pt idx="265">
                  <c:v>Feb-26</c:v>
                </c:pt>
                <c:pt idx="266">
                  <c:v>Mar-26</c:v>
                </c:pt>
                <c:pt idx="267">
                  <c:v>Apr-26</c:v>
                </c:pt>
                <c:pt idx="268">
                  <c:v>May-26</c:v>
                </c:pt>
              </c:strCache>
            </c:strRef>
          </c:cat>
          <c:val>
            <c:numRef>
              <c:f>'Sub-Index Analysis'!$N$7:$N$275</c:f>
              <c:numCache>
                <c:formatCode>0.0</c:formatCode>
                <c:ptCount val="269"/>
                <c:pt idx="0">
                  <c:v>96.9902889398585</c:v>
                </c:pt>
                <c:pt idx="1">
                  <c:v>97.5693131731017</c:v>
                </c:pt>
                <c:pt idx="2">
                  <c:v>98.1603673343293</c:v>
                </c:pt>
                <c:pt idx="3">
                  <c:v>98.241863657927</c:v>
                </c:pt>
                <c:pt idx="4">
                  <c:v>98.4173819514406</c:v>
                </c:pt>
                <c:pt idx="5">
                  <c:v>99.4693792133017</c:v>
                </c:pt>
                <c:pt idx="6">
                  <c:v>100.41219682459</c:v>
                </c:pt>
                <c:pt idx="7">
                  <c:v>100.689701105785</c:v>
                </c:pt>
                <c:pt idx="8">
                  <c:v>101.627320610243</c:v>
                </c:pt>
                <c:pt idx="9">
                  <c:v>102.366769163811</c:v>
                </c:pt>
                <c:pt idx="10">
                  <c:v>102.838031432622</c:v>
                </c:pt>
                <c:pt idx="11">
                  <c:v>103.736396337837</c:v>
                </c:pt>
                <c:pt idx="12">
                  <c:v>104.104014223814</c:v>
                </c:pt>
                <c:pt idx="13">
                  <c:v>105.055083045692</c:v>
                </c:pt>
                <c:pt idx="14">
                  <c:v>106.039984147401</c:v>
                </c:pt>
                <c:pt idx="15">
                  <c:v>107.667181219196</c:v>
                </c:pt>
                <c:pt idx="16">
                  <c:v>108.421533270753</c:v>
                </c:pt>
                <c:pt idx="17">
                  <c:v>108.737955632002</c:v>
                </c:pt>
                <c:pt idx="18">
                  <c:v>109.563748903938</c:v>
                </c:pt>
                <c:pt idx="19">
                  <c:v>110.52469579387</c:v>
                </c:pt>
                <c:pt idx="20">
                  <c:v>111.590569006179</c:v>
                </c:pt>
                <c:pt idx="21">
                  <c:v>111.051621647687</c:v>
                </c:pt>
                <c:pt idx="22">
                  <c:v>112.605783873198</c:v>
                </c:pt>
                <c:pt idx="23">
                  <c:v>113.931640670348</c:v>
                </c:pt>
                <c:pt idx="24">
                  <c:v>113.495463539517</c:v>
                </c:pt>
                <c:pt idx="25">
                  <c:v>114.4435384934</c:v>
                </c:pt>
                <c:pt idx="26">
                  <c:v>115.432171467149</c:v>
                </c:pt>
                <c:pt idx="27">
                  <c:v>115.562982490933</c:v>
                </c:pt>
                <c:pt idx="28">
                  <c:v>116.886266438969</c:v>
                </c:pt>
                <c:pt idx="29">
                  <c:v>117.808787561056</c:v>
                </c:pt>
                <c:pt idx="30">
                  <c:v>118.568022851998</c:v>
                </c:pt>
                <c:pt idx="31">
                  <c:v>120.035426908073</c:v>
                </c:pt>
                <c:pt idx="32">
                  <c:v>120.42099557935</c:v>
                </c:pt>
                <c:pt idx="33">
                  <c:v>121.161417698126</c:v>
                </c:pt>
                <c:pt idx="34">
                  <c:v>122.630973172102</c:v>
                </c:pt>
                <c:pt idx="35">
                  <c:v>123.224562936012</c:v>
                </c:pt>
                <c:pt idx="36">
                  <c:v>124.596962613354</c:v>
                </c:pt>
                <c:pt idx="37">
                  <c:v>125.067085573328</c:v>
                </c:pt>
                <c:pt idx="38">
                  <c:v>127.262621334116</c:v>
                </c:pt>
                <c:pt idx="39">
                  <c:v>125.874604569415</c:v>
                </c:pt>
                <c:pt idx="40">
                  <c:v>128.039195918006</c:v>
                </c:pt>
                <c:pt idx="41">
                  <c:v>129.072262958564</c:v>
                </c:pt>
                <c:pt idx="42">
                  <c:v>129.115058995781</c:v>
                </c:pt>
                <c:pt idx="43">
                  <c:v>130.689140123243</c:v>
                </c:pt>
                <c:pt idx="44">
                  <c:v>129.669718580701</c:v>
                </c:pt>
                <c:pt idx="45">
                  <c:v>132.181560489157</c:v>
                </c:pt>
                <c:pt idx="46">
                  <c:v>133.532078628011</c:v>
                </c:pt>
                <c:pt idx="47">
                  <c:v>132.789108722233</c:v>
                </c:pt>
                <c:pt idx="48">
                  <c:v>134.960995665557</c:v>
                </c:pt>
                <c:pt idx="49">
                  <c:v>136.029465308039</c:v>
                </c:pt>
                <c:pt idx="50">
                  <c:v>133.107488228642</c:v>
                </c:pt>
                <c:pt idx="51">
                  <c:v>137.874926818728</c:v>
                </c:pt>
                <c:pt idx="52">
                  <c:v>137.107996787573</c:v>
                </c:pt>
                <c:pt idx="53">
                  <c:v>134.779318308605</c:v>
                </c:pt>
                <c:pt idx="54">
                  <c:v>137.482500021559</c:v>
                </c:pt>
                <c:pt idx="55">
                  <c:v>136.033201082372</c:v>
                </c:pt>
                <c:pt idx="56">
                  <c:v>136.848869788357</c:v>
                </c:pt>
                <c:pt idx="57">
                  <c:v>135.935312076253</c:v>
                </c:pt>
                <c:pt idx="58">
                  <c:v>132.812792484122</c:v>
                </c:pt>
                <c:pt idx="59">
                  <c:v>133.418229705405</c:v>
                </c:pt>
                <c:pt idx="60">
                  <c:v>131.95026651994</c:v>
                </c:pt>
                <c:pt idx="61">
                  <c:v>131.994621019864</c:v>
                </c:pt>
                <c:pt idx="62">
                  <c:v>132.236368041534</c:v>
                </c:pt>
                <c:pt idx="63">
                  <c:v>131.654557819922</c:v>
                </c:pt>
                <c:pt idx="64">
                  <c:v>131.020287389094</c:v>
                </c:pt>
                <c:pt idx="65">
                  <c:v>132.873696056219</c:v>
                </c:pt>
                <c:pt idx="66">
                  <c:v>133.112451667403</c:v>
                </c:pt>
                <c:pt idx="67">
                  <c:v>133.151516625742</c:v>
                </c:pt>
                <c:pt idx="68">
                  <c:v>135.148514225384</c:v>
                </c:pt>
                <c:pt idx="69">
                  <c:v>135.619491209269</c:v>
                </c:pt>
                <c:pt idx="70">
                  <c:v>136.195987602956</c:v>
                </c:pt>
                <c:pt idx="71">
                  <c:v>137.379851722741</c:v>
                </c:pt>
                <c:pt idx="72">
                  <c:v>137.934673772136</c:v>
                </c:pt>
                <c:pt idx="73">
                  <c:v>138.925548692962</c:v>
                </c:pt>
                <c:pt idx="74">
                  <c:v>140.621908762666</c:v>
                </c:pt>
                <c:pt idx="75">
                  <c:v>141.027304199983</c:v>
                </c:pt>
                <c:pt idx="76">
                  <c:v>141.342770628502</c:v>
                </c:pt>
                <c:pt idx="77">
                  <c:v>142.563251115156</c:v>
                </c:pt>
                <c:pt idx="78">
                  <c:v>142.878131955055</c:v>
                </c:pt>
                <c:pt idx="79">
                  <c:v>143.46596198271</c:v>
                </c:pt>
                <c:pt idx="80">
                  <c:v>143.638599797106</c:v>
                </c:pt>
                <c:pt idx="81">
                  <c:v>143.455646528542</c:v>
                </c:pt>
                <c:pt idx="82">
                  <c:v>146.677166517095</c:v>
                </c:pt>
                <c:pt idx="83">
                  <c:v>146.662969188197</c:v>
                </c:pt>
                <c:pt idx="84">
                  <c:v>148.060414269618</c:v>
                </c:pt>
                <c:pt idx="85">
                  <c:v>148.218992161793</c:v>
                </c:pt>
                <c:pt idx="86">
                  <c:v>149.029111323479</c:v>
                </c:pt>
                <c:pt idx="87">
                  <c:v>150.135734003216</c:v>
                </c:pt>
                <c:pt idx="88">
                  <c:v>151.710578183924</c:v>
                </c:pt>
                <c:pt idx="89">
                  <c:v>152.224457178421</c:v>
                </c:pt>
                <c:pt idx="90">
                  <c:v>150.999511546512</c:v>
                </c:pt>
                <c:pt idx="91">
                  <c:v>152.80656713547</c:v>
                </c:pt>
                <c:pt idx="92">
                  <c:v>154.054353831096</c:v>
                </c:pt>
                <c:pt idx="93">
                  <c:v>152.765168626149</c:v>
                </c:pt>
                <c:pt idx="94">
                  <c:v>152.756153554523</c:v>
                </c:pt>
                <c:pt idx="95">
                  <c:v>153.013852127745</c:v>
                </c:pt>
                <c:pt idx="96">
                  <c:v>152.774181082855</c:v>
                </c:pt>
                <c:pt idx="97">
                  <c:v>153.037413917079</c:v>
                </c:pt>
                <c:pt idx="98">
                  <c:v>153.358152589523</c:v>
                </c:pt>
                <c:pt idx="99">
                  <c:v>150.628114845018</c:v>
                </c:pt>
                <c:pt idx="100">
                  <c:v>151.994516458406</c:v>
                </c:pt>
                <c:pt idx="101">
                  <c:v>152.059093319893</c:v>
                </c:pt>
                <c:pt idx="102">
                  <c:v>153.589944546033</c:v>
                </c:pt>
                <c:pt idx="103">
                  <c:v>153.821603664407</c:v>
                </c:pt>
                <c:pt idx="104">
                  <c:v>151.611774503077</c:v>
                </c:pt>
                <c:pt idx="105">
                  <c:v>154.509067419321</c:v>
                </c:pt>
                <c:pt idx="106">
                  <c:v>154.835820761446</c:v>
                </c:pt>
                <c:pt idx="107">
                  <c:v>154.784525982052</c:v>
                </c:pt>
                <c:pt idx="108">
                  <c:v>154.309036794611</c:v>
                </c:pt>
                <c:pt idx="109">
                  <c:v>154.286191446201</c:v>
                </c:pt>
                <c:pt idx="110">
                  <c:v>155.739065487955</c:v>
                </c:pt>
                <c:pt idx="111">
                  <c:v>157.690296401833</c:v>
                </c:pt>
                <c:pt idx="112">
                  <c:v>157.034227795641</c:v>
                </c:pt>
                <c:pt idx="113">
                  <c:v>155.82858814815</c:v>
                </c:pt>
                <c:pt idx="114">
                  <c:v>156.57680503294</c:v>
                </c:pt>
                <c:pt idx="115">
                  <c:v>156.549749240669</c:v>
                </c:pt>
                <c:pt idx="116">
                  <c:v>156.504312337215</c:v>
                </c:pt>
                <c:pt idx="117">
                  <c:v>155.932343330484</c:v>
                </c:pt>
                <c:pt idx="118">
                  <c:v>155.435751344408</c:v>
                </c:pt>
                <c:pt idx="119">
                  <c:v>155.333028209962</c:v>
                </c:pt>
                <c:pt idx="120">
                  <c:v>156.535107319858</c:v>
                </c:pt>
                <c:pt idx="121">
                  <c:v>154.757008253318</c:v>
                </c:pt>
                <c:pt idx="122">
                  <c:v>152.154743741081</c:v>
                </c:pt>
                <c:pt idx="123">
                  <c:v>153.898053885643</c:v>
                </c:pt>
                <c:pt idx="124">
                  <c:v>154.276292316515</c:v>
                </c:pt>
                <c:pt idx="125">
                  <c:v>153.488853162366</c:v>
                </c:pt>
                <c:pt idx="126">
                  <c:v>153.39124428079</c:v>
                </c:pt>
                <c:pt idx="127">
                  <c:v>152.617043335825</c:v>
                </c:pt>
                <c:pt idx="128">
                  <c:v>154.675816470096</c:v>
                </c:pt>
                <c:pt idx="129">
                  <c:v>155.005656013748</c:v>
                </c:pt>
                <c:pt idx="130">
                  <c:v>153.739422413902</c:v>
                </c:pt>
                <c:pt idx="131">
                  <c:v>155.236079874744</c:v>
                </c:pt>
                <c:pt idx="132">
                  <c:v>155.068011476737</c:v>
                </c:pt>
                <c:pt idx="133">
                  <c:v>156.603307310406</c:v>
                </c:pt>
                <c:pt idx="134">
                  <c:v>156.881300528252</c:v>
                </c:pt>
                <c:pt idx="135">
                  <c:v>157.515883514932</c:v>
                </c:pt>
                <c:pt idx="136">
                  <c:v>156.557866803261</c:v>
                </c:pt>
                <c:pt idx="137">
                  <c:v>159.894584157501</c:v>
                </c:pt>
                <c:pt idx="138">
                  <c:v>160.185656075831</c:v>
                </c:pt>
                <c:pt idx="139">
                  <c:v>158.969385020618</c:v>
                </c:pt>
                <c:pt idx="140">
                  <c:v>159.340200302182</c:v>
                </c:pt>
                <c:pt idx="141">
                  <c:v>159.555138417614</c:v>
                </c:pt>
                <c:pt idx="142">
                  <c:v>159.317996293168</c:v>
                </c:pt>
                <c:pt idx="143">
                  <c:v>158.465654407664</c:v>
                </c:pt>
                <c:pt idx="144">
                  <c:v>157.611461844497</c:v>
                </c:pt>
                <c:pt idx="145">
                  <c:v>159.298649335425</c:v>
                </c:pt>
                <c:pt idx="146">
                  <c:v>159.676787281624</c:v>
                </c:pt>
                <c:pt idx="147">
                  <c:v>158.928290852474</c:v>
                </c:pt>
                <c:pt idx="148">
                  <c:v>158.148217637061</c:v>
                </c:pt>
                <c:pt idx="149">
                  <c:v>157.551257158239</c:v>
                </c:pt>
                <c:pt idx="150">
                  <c:v>157.030675007024</c:v>
                </c:pt>
                <c:pt idx="151">
                  <c:v>158.910616008054</c:v>
                </c:pt>
                <c:pt idx="152">
                  <c:v>159.104734812618</c:v>
                </c:pt>
                <c:pt idx="153">
                  <c:v>157.964775044433</c:v>
                </c:pt>
                <c:pt idx="154">
                  <c:v>159.802559879609</c:v>
                </c:pt>
                <c:pt idx="155">
                  <c:v>160.984193496154</c:v>
                </c:pt>
                <c:pt idx="156">
                  <c:v>160.265025976958</c:v>
                </c:pt>
                <c:pt idx="157">
                  <c:v>159.510212492737</c:v>
                </c:pt>
                <c:pt idx="158">
                  <c:v>161.959109009929</c:v>
                </c:pt>
                <c:pt idx="159">
                  <c:v>159.837682519369</c:v>
                </c:pt>
                <c:pt idx="160">
                  <c:v>162.212357534406</c:v>
                </c:pt>
                <c:pt idx="161">
                  <c:v>163.407412082199</c:v>
                </c:pt>
                <c:pt idx="162">
                  <c:v>162.906944363467</c:v>
                </c:pt>
                <c:pt idx="163">
                  <c:v>163.29451514092</c:v>
                </c:pt>
                <c:pt idx="164">
                  <c:v>164.356192722317</c:v>
                </c:pt>
                <c:pt idx="165">
                  <c:v>164.523158973437</c:v>
                </c:pt>
                <c:pt idx="166">
                  <c:v>165.920379990008</c:v>
                </c:pt>
                <c:pt idx="167">
                  <c:v>163.813230830158</c:v>
                </c:pt>
                <c:pt idx="168">
                  <c:v>164.9456518453</c:v>
                </c:pt>
                <c:pt idx="169">
                  <c:v>164.711109708368</c:v>
                </c:pt>
                <c:pt idx="170">
                  <c:v>165.269789312756</c:v>
                </c:pt>
                <c:pt idx="171">
                  <c:v>165.227636053982</c:v>
                </c:pt>
                <c:pt idx="172">
                  <c:v>164.476249654705</c:v>
                </c:pt>
                <c:pt idx="173">
                  <c:v>162.333639793994</c:v>
                </c:pt>
                <c:pt idx="174">
                  <c:v>161.688789305866</c:v>
                </c:pt>
                <c:pt idx="175">
                  <c:v>162.148252733319</c:v>
                </c:pt>
                <c:pt idx="176">
                  <c:v>158.848580749311</c:v>
                </c:pt>
                <c:pt idx="177">
                  <c:v>158.611872583597</c:v>
                </c:pt>
                <c:pt idx="178">
                  <c:v>157.166930024387</c:v>
                </c:pt>
                <c:pt idx="179">
                  <c:v>155.85612528467</c:v>
                </c:pt>
                <c:pt idx="180">
                  <c:v>155.779028884451</c:v>
                </c:pt>
                <c:pt idx="181">
                  <c:v>156.891991154384</c:v>
                </c:pt>
                <c:pt idx="182">
                  <c:v>156.311044808237</c:v>
                </c:pt>
                <c:pt idx="183">
                  <c:v>159.013102816493</c:v>
                </c:pt>
                <c:pt idx="184">
                  <c:v>159.996948097921</c:v>
                </c:pt>
                <c:pt idx="185">
                  <c:v>158.049406971831</c:v>
                </c:pt>
                <c:pt idx="186">
                  <c:v>159.969473209736</c:v>
                </c:pt>
                <c:pt idx="187">
                  <c:v>157.410980290415</c:v>
                </c:pt>
                <c:pt idx="188">
                  <c:v>155.929709689293</c:v>
                </c:pt>
                <c:pt idx="189">
                  <c:v>156.630274607684</c:v>
                </c:pt>
                <c:pt idx="190">
                  <c:v>154.71223753344</c:v>
                </c:pt>
                <c:pt idx="191">
                  <c:v>154.048812412124</c:v>
                </c:pt>
                <c:pt idx="192">
                  <c:v>153.887331855641</c:v>
                </c:pt>
                <c:pt idx="193">
                  <c:v>153.702452736808</c:v>
                </c:pt>
                <c:pt idx="194">
                  <c:v>141.276504924637</c:v>
                </c:pt>
                <c:pt idx="195">
                  <c:v>119.062131807841</c:v>
                </c:pt>
                <c:pt idx="196">
                  <c:v>127.405367351497</c:v>
                </c:pt>
                <c:pt idx="197">
                  <c:v>133.364182996721</c:v>
                </c:pt>
                <c:pt idx="198">
                  <c:v>135.383132619095</c:v>
                </c:pt>
                <c:pt idx="199">
                  <c:v>136.437342601611</c:v>
                </c:pt>
                <c:pt idx="200">
                  <c:v>139.608195309435</c:v>
                </c:pt>
                <c:pt idx="201">
                  <c:v>142.384738960654</c:v>
                </c:pt>
                <c:pt idx="202">
                  <c:v>143.113188953595</c:v>
                </c:pt>
                <c:pt idx="203">
                  <c:v>145.216373915108</c:v>
                </c:pt>
                <c:pt idx="204">
                  <c:v>147.06868670296</c:v>
                </c:pt>
                <c:pt idx="205">
                  <c:v>147.501062115503</c:v>
                </c:pt>
                <c:pt idx="206">
                  <c:v>150.776680405545</c:v>
                </c:pt>
                <c:pt idx="207">
                  <c:v>152.023946673464</c:v>
                </c:pt>
                <c:pt idx="208">
                  <c:v>150.315786406368</c:v>
                </c:pt>
                <c:pt idx="209">
                  <c:v>151.752820512573</c:v>
                </c:pt>
                <c:pt idx="210">
                  <c:v>152.086799853875</c:v>
                </c:pt>
                <c:pt idx="211">
                  <c:v>153.241404887703</c:v>
                </c:pt>
                <c:pt idx="212">
                  <c:v>154.639024728771</c:v>
                </c:pt>
                <c:pt idx="213">
                  <c:v>153.875888189904</c:v>
                </c:pt>
                <c:pt idx="214">
                  <c:v>156.685429966218</c:v>
                </c:pt>
                <c:pt idx="215">
                  <c:v>158.474782924539</c:v>
                </c:pt>
                <c:pt idx="216">
                  <c:v>157.273227488108</c:v>
                </c:pt>
                <c:pt idx="217">
                  <c:v>159.881201933644</c:v>
                </c:pt>
                <c:pt idx="218">
                  <c:v>160.546614102482</c:v>
                </c:pt>
                <c:pt idx="219">
                  <c:v>162.286190681023</c:v>
                </c:pt>
                <c:pt idx="220">
                  <c:v>163.837226660968</c:v>
                </c:pt>
                <c:pt idx="221">
                  <c:v>165.13757655238</c:v>
                </c:pt>
                <c:pt idx="222">
                  <c:v>162.470812549582</c:v>
                </c:pt>
                <c:pt idx="223">
                  <c:v>162.264524416448</c:v>
                </c:pt>
                <c:pt idx="224">
                  <c:v>161.543104139802</c:v>
                </c:pt>
                <c:pt idx="225">
                  <c:v>160.911264968334</c:v>
                </c:pt>
                <c:pt idx="226">
                  <c:v>161.392688519445</c:v>
                </c:pt>
                <c:pt idx="227">
                  <c:v>161.808684622106</c:v>
                </c:pt>
                <c:pt idx="228">
                  <c:v>162.709861673654</c:v>
                </c:pt>
                <c:pt idx="229">
                  <c:v>162.116198330979</c:v>
                </c:pt>
                <c:pt idx="230">
                  <c:v>164.740925675764</c:v>
                </c:pt>
                <c:pt idx="231">
                  <c:v>162.070843393855</c:v>
                </c:pt>
                <c:pt idx="232">
                  <c:v>163.728220867253</c:v>
                </c:pt>
                <c:pt idx="233">
                  <c:v>165.478879725741</c:v>
                </c:pt>
                <c:pt idx="234">
                  <c:v>162.860870554867</c:v>
                </c:pt>
                <c:pt idx="235">
                  <c:v>164.18236060729</c:v>
                </c:pt>
                <c:pt idx="236">
                  <c:v>163.341421067251</c:v>
                </c:pt>
                <c:pt idx="237">
                  <c:v>162.751726167585</c:v>
                </c:pt>
                <c:pt idx="238">
                  <c:v>161.891708046703</c:v>
                </c:pt>
                <c:pt idx="239">
                  <c:v>158.365066673165</c:v>
                </c:pt>
                <c:pt idx="240">
                  <c:v>158.560332006462</c:v>
                </c:pt>
                <c:pt idx="241">
                  <c:v>159.359689062926</c:v>
                </c:pt>
                <c:pt idx="242">
                  <c:v>156.883408518722</c:v>
                </c:pt>
                <c:pt idx="243">
                  <c:v>155.775506053364</c:v>
                </c:pt>
                <c:pt idx="244">
                  <c:v>158.67527703982</c:v>
                </c:pt>
                <c:pt idx="245">
                  <c:v>157.373690769582</c:v>
                </c:pt>
                <c:pt idx="246">
                  <c:v>161.168885099421</c:v>
                </c:pt>
                <c:pt idx="247">
                  <c:v>161.136441483372</c:v>
                </c:pt>
                <c:pt idx="248">
                  <c:v>160.530078440946</c:v>
                </c:pt>
                <c:pt idx="249">
                  <c:v>162.659195633162</c:v>
                </c:pt>
                <c:pt idx="250">
                  <c:v>164.273865967506</c:v>
                </c:pt>
                <c:pt idx="251">
                  <c:v>165.144323327622</c:v>
                </c:pt>
                <c:pt idx="252">
                  <c:v>166.125929081943</c:v>
                </c:pt>
                <c:pt idx="253">
                  <c:v>166.970389769608</c:v>
                </c:pt>
                <c:pt idx="254">
                  <c:v>164.419605632887</c:v>
                </c:pt>
                <c:pt idx="255">
                  <c:v>166.262378240631</c:v>
                </c:pt>
                <c:pt idx="256">
                  <c:v>167.043076004204</c:v>
                </c:pt>
                <c:pt idx="257">
                  <c:v>167.51111640977</c:v>
                </c:pt>
                <c:pt idx="258">
                  <c:v>165.788907595789</c:v>
                </c:pt>
                <c:pt idx="259">
                  <c:v>165.525891136215</c:v>
                </c:pt>
                <c:pt idx="260">
                  <c:v>168.104681108495</c:v>
                </c:pt>
                <c:pt idx="261">
                  <c:v>166.999640125627</c:v>
                </c:pt>
                <c:pt idx="262">
                  <c:v>165.403739956172</c:v>
                </c:pt>
                <c:pt idx="263">
                  <c:v>167.523259225952</c:v>
                </c:pt>
                <c:pt idx="264">
                  <c:v>166.979350865301</c:v>
                </c:pt>
                <c:pt idx="265">
                  <c:v>166.305820856957</c:v>
                </c:pt>
                <c:pt idx="266">
                  <c:v>168.953185542302</c:v>
                </c:pt>
                <c:pt idx="267">
                  <c:v>165.788705939412</c:v>
                </c:pt>
                <c:pt idx="268">
                  <c:v>165.683622195333</c:v>
                </c:pt>
              </c:numCache>
            </c:numRef>
          </c:val>
          <c:smooth val="0"/>
        </c:ser>
        <c:hiLowLines>
          <c:spPr>
            <a:ln w="0">
              <a:noFill/>
            </a:ln>
          </c:spPr>
        </c:hiLowLines>
        <c:marker val="0"/>
        <c:axId val="79583976"/>
        <c:axId val="16288966"/>
      </c:lineChart>
      <c:catAx>
        <c:axId val="79583976"/>
        <c:scaling>
          <c:orientation val="minMax"/>
        </c:scaling>
        <c:delete val="0"/>
        <c:axPos val="b"/>
        <c:numFmt formatCode="mmm\-yy"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6288966"/>
        <c:crosses val="autoZero"/>
        <c:auto val="1"/>
        <c:lblAlgn val="ctr"/>
        <c:lblOffset val="100"/>
        <c:noMultiLvlLbl val="0"/>
      </c:catAx>
      <c:valAx>
        <c:axId val="16288966"/>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Index</a:t>
                </a:r>
              </a:p>
            </c:rich>
          </c:tx>
          <c:overlay val="0"/>
          <c:spPr>
            <a:noFill/>
            <a:ln w="0">
              <a:noFill/>
            </a:ln>
          </c:spPr>
        </c:title>
        <c:numFmt formatCode="0.0"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795839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growth: EMAE and contributions (pp)</a:t>
            </a:r>
          </a:p>
        </c:rich>
      </c:tx>
      <c:overlay val="0"/>
      <c:spPr>
        <a:noFill/>
        <a:ln w="0">
          <a:noFill/>
        </a:ln>
      </c:spPr>
    </c:title>
    <c:autoTitleDeleted val="0"/>
    <c:plotArea>
      <c:barChart>
        <c:barDir val="col"/>
        <c:grouping val="stacked"/>
        <c:varyColors val="0"/>
        <c:ser>
          <c:idx val="0"/>
          <c:order val="0"/>
          <c:tx>
            <c:strRef>
              <c:f>Forecast!J298</c:f>
              <c:strCache>
                <c:ptCount val="1"/>
                <c:pt idx="0">
                  <c:v>Primary contrib (pp)</c:v>
                </c:pt>
              </c:strCache>
            </c:strRef>
          </c:tx>
          <c:spPr>
            <a:solidFill>
              <a:srgbClr val="5b9bd5"/>
            </a:solidFill>
            <a:ln w="64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Forecast!$A$300:$A$307</c:f>
              <c:strCache>
                <c:ptCount val="8"/>
                <c:pt idx="0">
                  <c:v>2020</c:v>
                </c:pt>
                <c:pt idx="1">
                  <c:v>2021</c:v>
                </c:pt>
                <c:pt idx="2">
                  <c:v>2022</c:v>
                </c:pt>
                <c:pt idx="3">
                  <c:v>2023</c:v>
                </c:pt>
                <c:pt idx="4">
                  <c:v>2024</c:v>
                </c:pt>
                <c:pt idx="5">
                  <c:v>2025</c:v>
                </c:pt>
                <c:pt idx="6">
                  <c:v>2026</c:v>
                </c:pt>
                <c:pt idx="7">
                  <c:v>2027</c:v>
                </c:pt>
              </c:strCache>
            </c:strRef>
          </c:cat>
          <c:val>
            <c:numRef>
              <c:f>Forecast!$J$299:$J$307</c:f>
              <c:numCache>
                <c:formatCode>0.0;\(0.0\);\-</c:formatCode>
                <c:ptCount val="9"/>
                <c:pt idx="1">
                  <c:v>-0.337597626041191</c:v>
                </c:pt>
                <c:pt idx="2">
                  <c:v>0.204729136134291</c:v>
                </c:pt>
                <c:pt idx="3">
                  <c:v>-0.316526521638273</c:v>
                </c:pt>
                <c:pt idx="4">
                  <c:v>-1.07813884354315</c:v>
                </c:pt>
                <c:pt idx="5">
                  <c:v>1.11887001767531</c:v>
                </c:pt>
                <c:pt idx="6">
                  <c:v>0.424572436971761</c:v>
                </c:pt>
                <c:pt idx="7">
                  <c:v>1.09662643627321</c:v>
                </c:pt>
                <c:pt idx="8">
                  <c:v>0.439496808127474</c:v>
                </c:pt>
              </c:numCache>
            </c:numRef>
          </c:val>
        </c:ser>
        <c:ser>
          <c:idx val="1"/>
          <c:order val="1"/>
          <c:tx>
            <c:strRef>
              <c:f>Forecast!K298</c:f>
              <c:strCache>
                <c:ptCount val="1"/>
                <c:pt idx="0">
                  <c:v>Industrial contrib (pp)</c:v>
                </c:pt>
              </c:strCache>
            </c:strRef>
          </c:tx>
          <c:spPr>
            <a:solidFill>
              <a:srgbClr val="ed7d31"/>
            </a:solidFill>
            <a:ln w="64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Forecast!$A$300:$A$307</c:f>
              <c:strCache>
                <c:ptCount val="8"/>
                <c:pt idx="0">
                  <c:v>2020</c:v>
                </c:pt>
                <c:pt idx="1">
                  <c:v>2021</c:v>
                </c:pt>
                <c:pt idx="2">
                  <c:v>2022</c:v>
                </c:pt>
                <c:pt idx="3">
                  <c:v>2023</c:v>
                </c:pt>
                <c:pt idx="4">
                  <c:v>2024</c:v>
                </c:pt>
                <c:pt idx="5">
                  <c:v>2025</c:v>
                </c:pt>
                <c:pt idx="6">
                  <c:v>2026</c:v>
                </c:pt>
                <c:pt idx="7">
                  <c:v>2027</c:v>
                </c:pt>
              </c:strCache>
            </c:strRef>
          </c:cat>
          <c:val>
            <c:numRef>
              <c:f>Forecast!$K$299:$K$307</c:f>
              <c:numCache>
                <c:formatCode>0.0;\(0.0\);\-</c:formatCode>
                <c:ptCount val="9"/>
                <c:pt idx="1">
                  <c:v>-2.5694096133321</c:v>
                </c:pt>
                <c:pt idx="2">
                  <c:v>3.96500651563773</c:v>
                </c:pt>
                <c:pt idx="3">
                  <c:v>1.32289099427941</c:v>
                </c:pt>
                <c:pt idx="4">
                  <c:v>-0.0924376740564061</c:v>
                </c:pt>
                <c:pt idx="5">
                  <c:v>-2.21178805169807</c:v>
                </c:pt>
                <c:pt idx="6">
                  <c:v>0.570525117191188</c:v>
                </c:pt>
                <c:pt idx="7">
                  <c:v>-0.300184325976474</c:v>
                </c:pt>
                <c:pt idx="8">
                  <c:v>0.396836729896637</c:v>
                </c:pt>
              </c:numCache>
            </c:numRef>
          </c:val>
        </c:ser>
        <c:ser>
          <c:idx val="2"/>
          <c:order val="2"/>
          <c:tx>
            <c:strRef>
              <c:f>Forecast!L298</c:f>
              <c:strCache>
                <c:ptCount val="1"/>
                <c:pt idx="0">
                  <c:v>Services contrib (pp)</c:v>
                </c:pt>
              </c:strCache>
            </c:strRef>
          </c:tx>
          <c:spPr>
            <a:solidFill>
              <a:srgbClr val="a5a5a5"/>
            </a:solidFill>
            <a:ln w="64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Forecast!$A$300:$A$307</c:f>
              <c:strCache>
                <c:ptCount val="8"/>
                <c:pt idx="0">
                  <c:v>2020</c:v>
                </c:pt>
                <c:pt idx="1">
                  <c:v>2021</c:v>
                </c:pt>
                <c:pt idx="2">
                  <c:v>2022</c:v>
                </c:pt>
                <c:pt idx="3">
                  <c:v>2023</c:v>
                </c:pt>
                <c:pt idx="4">
                  <c:v>2024</c:v>
                </c:pt>
                <c:pt idx="5">
                  <c:v>2025</c:v>
                </c:pt>
                <c:pt idx="6">
                  <c:v>2026</c:v>
                </c:pt>
                <c:pt idx="7">
                  <c:v>2027</c:v>
                </c:pt>
              </c:strCache>
            </c:strRef>
          </c:cat>
          <c:val>
            <c:numRef>
              <c:f>Forecast!$L$299:$L$307</c:f>
              <c:numCache>
                <c:formatCode>0.0;\(0.0\);\-</c:formatCode>
                <c:ptCount val="9"/>
                <c:pt idx="1">
                  <c:v>-8.05459096907391</c:v>
                </c:pt>
                <c:pt idx="2">
                  <c:v>6.6651686245806</c:v>
                </c:pt>
                <c:pt idx="3">
                  <c:v>4.23202724379278</c:v>
                </c:pt>
                <c:pt idx="4">
                  <c:v>0.539694824139015</c:v>
                </c:pt>
                <c:pt idx="5">
                  <c:v>-1.19305933863815</c:v>
                </c:pt>
                <c:pt idx="6">
                  <c:v>2.84310622463451</c:v>
                </c:pt>
                <c:pt idx="7">
                  <c:v>0.100585585261498</c:v>
                </c:pt>
                <c:pt idx="8">
                  <c:v>1.72188651840787</c:v>
                </c:pt>
              </c:numCache>
            </c:numRef>
          </c:val>
        </c:ser>
        <c:gapWidth val="150"/>
        <c:overlap val="100"/>
        <c:axId val="33381706"/>
        <c:axId val="68492055"/>
      </c:barChart>
      <c:catAx>
        <c:axId val="33381706"/>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68492055"/>
        <c:crosses val="autoZero"/>
        <c:auto val="1"/>
        <c:lblAlgn val="ctr"/>
        <c:lblOffset val="100"/>
        <c:noMultiLvlLbl val="0"/>
      </c:catAx>
      <c:valAx>
        <c:axId val="68492055"/>
        <c:scaling>
          <c:orientation val="minMax"/>
        </c:scaling>
        <c:delete val="0"/>
        <c:axPos val="l"/>
        <c:majorGridlines>
          <c:spPr>
            <a:ln w="6480">
              <a:solidFill>
                <a:srgbClr val="8b8b8b"/>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 sourceLinked="1"/>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333817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160920</xdr:rowOff>
    </xdr:from>
    <xdr:to>
      <xdr:col>19</xdr:col>
      <xdr:colOff>4320</xdr:colOff>
      <xdr:row>18</xdr:row>
      <xdr:rowOff>60120</xdr:rowOff>
    </xdr:to>
    <xdr:graphicFrame>
      <xdr:nvGraphicFramePr>
        <xdr:cNvPr id="0" name="Chart 1"/>
        <xdr:cNvGraphicFramePr/>
      </xdr:nvGraphicFramePr>
      <xdr:xfrm>
        <a:off x="8505720" y="57168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22</xdr:row>
      <xdr:rowOff>48240</xdr:rowOff>
    </xdr:from>
    <xdr:to>
      <xdr:col>19</xdr:col>
      <xdr:colOff>4320</xdr:colOff>
      <xdr:row>38</xdr:row>
      <xdr:rowOff>60120</xdr:rowOff>
    </xdr:to>
    <xdr:graphicFrame>
      <xdr:nvGraphicFramePr>
        <xdr:cNvPr id="1" name="Chart 2"/>
        <xdr:cNvGraphicFramePr/>
      </xdr:nvGraphicFramePr>
      <xdr:xfrm>
        <a:off x="8505720" y="438156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2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5" activeCellId="0" sqref="F15"/>
    </sheetView>
  </sheetViews>
  <sheetFormatPr defaultColWidth="8.6796875" defaultRowHeight="15" zeroHeight="false" outlineLevelRow="0" outlineLevelCol="0"/>
  <cols>
    <col collapsed="false" customWidth="true" hidden="false" outlineLevel="0" max="19" min="4" style="0" width="9.57"/>
  </cols>
  <sheetData>
    <row r="1" customFormat="false" ht="15" hidden="false" customHeight="false" outlineLevel="0" collapsed="false">
      <c r="D1" s="0" t="s">
        <v>0</v>
      </c>
      <c r="E1" s="0" t="s">
        <v>1</v>
      </c>
      <c r="F1" s="0" t="s">
        <v>2</v>
      </c>
      <c r="G1" s="0" t="s">
        <v>3</v>
      </c>
      <c r="H1" s="0" t="s">
        <v>4</v>
      </c>
      <c r="I1" s="0" t="s">
        <v>5</v>
      </c>
      <c r="J1" s="0" t="s">
        <v>6</v>
      </c>
      <c r="K1" s="0" t="s">
        <v>7</v>
      </c>
      <c r="L1" s="0" t="s">
        <v>8</v>
      </c>
      <c r="M1" s="0" t="s">
        <v>9</v>
      </c>
      <c r="N1" s="0" t="s">
        <v>10</v>
      </c>
      <c r="O1" s="0" t="s">
        <v>11</v>
      </c>
      <c r="P1" s="0" t="s">
        <v>12</v>
      </c>
      <c r="Q1" s="0" t="s">
        <v>13</v>
      </c>
      <c r="R1" s="0" t="s">
        <v>14</v>
      </c>
      <c r="S1" s="0" t="s">
        <v>15</v>
      </c>
    </row>
    <row r="2" customFormat="false" ht="15" hidden="false" customHeight="false" outlineLevel="0" collapsed="false">
      <c r="B2" s="1" t="s">
        <v>16</v>
      </c>
      <c r="C2" s="1" t="s">
        <v>17</v>
      </c>
      <c r="D2" s="1" t="s">
        <v>18</v>
      </c>
      <c r="E2" s="1" t="s">
        <v>19</v>
      </c>
      <c r="F2" s="1" t="s">
        <v>20</v>
      </c>
      <c r="G2" s="1" t="s">
        <v>21</v>
      </c>
      <c r="H2" s="1" t="s">
        <v>22</v>
      </c>
      <c r="I2" s="1" t="s">
        <v>23</v>
      </c>
      <c r="J2" s="1" t="s">
        <v>24</v>
      </c>
      <c r="K2" s="1" t="s">
        <v>25</v>
      </c>
      <c r="L2" s="1" t="s">
        <v>26</v>
      </c>
      <c r="M2" s="1" t="s">
        <v>27</v>
      </c>
      <c r="N2" s="1" t="s">
        <v>28</v>
      </c>
      <c r="O2" s="1" t="s">
        <v>29</v>
      </c>
      <c r="P2" s="1" t="s">
        <v>30</v>
      </c>
      <c r="Q2" s="1" t="s">
        <v>31</v>
      </c>
      <c r="R2" s="1" t="s">
        <v>32</v>
      </c>
      <c r="S2" s="1" t="s">
        <v>33</v>
      </c>
    </row>
    <row r="3" customFormat="false" ht="15" hidden="false" customHeight="false" outlineLevel="0" collapsed="false">
      <c r="B3" s="0" t="s">
        <v>34</v>
      </c>
      <c r="D3" s="0" t="s">
        <v>35</v>
      </c>
      <c r="E3" s="0" t="s">
        <v>36</v>
      </c>
      <c r="F3" s="0" t="s">
        <v>37</v>
      </c>
      <c r="G3" s="0" t="s">
        <v>38</v>
      </c>
      <c r="H3" s="0" t="s">
        <v>39</v>
      </c>
      <c r="I3" s="0" t="s">
        <v>40</v>
      </c>
      <c r="J3" s="0" t="s">
        <v>41</v>
      </c>
      <c r="K3" s="0" t="s">
        <v>42</v>
      </c>
      <c r="L3" s="0" t="s">
        <v>43</v>
      </c>
      <c r="M3" s="0" t="s">
        <v>44</v>
      </c>
      <c r="N3" s="0" t="s">
        <v>45</v>
      </c>
      <c r="O3" s="0" t="s">
        <v>46</v>
      </c>
      <c r="P3" s="0" t="s">
        <v>47</v>
      </c>
      <c r="Q3" s="0" t="s">
        <v>48</v>
      </c>
      <c r="R3" s="0" t="s">
        <v>49</v>
      </c>
      <c r="S3" s="0" t="s">
        <v>50</v>
      </c>
    </row>
    <row r="4" customFormat="false" ht="15" hidden="false" customHeight="false" outlineLevel="0" collapsed="false">
      <c r="B4" s="0" t="s">
        <v>51</v>
      </c>
      <c r="D4" s="0" t="s">
        <v>52</v>
      </c>
      <c r="E4" s="0" t="s">
        <v>52</v>
      </c>
      <c r="F4" s="0" t="s">
        <v>52</v>
      </c>
      <c r="G4" s="0" t="s">
        <v>52</v>
      </c>
      <c r="H4" s="0" t="s">
        <v>52</v>
      </c>
      <c r="I4" s="0" t="s">
        <v>52</v>
      </c>
      <c r="J4" s="0" t="s">
        <v>52</v>
      </c>
      <c r="K4" s="0" t="s">
        <v>52</v>
      </c>
      <c r="L4" s="0" t="s">
        <v>52</v>
      </c>
      <c r="M4" s="0" t="s">
        <v>52</v>
      </c>
      <c r="N4" s="0" t="s">
        <v>52</v>
      </c>
      <c r="O4" s="0" t="s">
        <v>52</v>
      </c>
      <c r="P4" s="0" t="s">
        <v>52</v>
      </c>
      <c r="Q4" s="0" t="s">
        <v>52</v>
      </c>
      <c r="R4" s="0" t="s">
        <v>52</v>
      </c>
      <c r="S4" s="0" t="s">
        <v>52</v>
      </c>
    </row>
    <row r="5" customFormat="false" ht="15" hidden="false" customHeight="false" outlineLevel="0" collapsed="false">
      <c r="B5" s="0" t="s">
        <v>53</v>
      </c>
      <c r="D5" s="0" t="s">
        <v>54</v>
      </c>
      <c r="E5" s="0" t="s">
        <v>54</v>
      </c>
      <c r="F5" s="0" t="s">
        <v>54</v>
      </c>
      <c r="G5" s="0" t="s">
        <v>54</v>
      </c>
      <c r="H5" s="0" t="s">
        <v>54</v>
      </c>
      <c r="I5" s="0" t="s">
        <v>54</v>
      </c>
      <c r="J5" s="0" t="s">
        <v>54</v>
      </c>
      <c r="K5" s="0" t="s">
        <v>54</v>
      </c>
      <c r="L5" s="0" t="s">
        <v>54</v>
      </c>
      <c r="M5" s="0" t="s">
        <v>54</v>
      </c>
      <c r="N5" s="0" t="s">
        <v>54</v>
      </c>
      <c r="O5" s="0" t="s">
        <v>54</v>
      </c>
      <c r="P5" s="0" t="s">
        <v>54</v>
      </c>
      <c r="Q5" s="0" t="s">
        <v>54</v>
      </c>
      <c r="R5" s="0" t="s">
        <v>54</v>
      </c>
      <c r="S5" s="0" t="s">
        <v>54</v>
      </c>
    </row>
    <row r="6" customFormat="false" ht="15" hidden="false" customHeight="false" outlineLevel="0" collapsed="false">
      <c r="B6" s="0" t="s">
        <v>55</v>
      </c>
      <c r="D6" s="0" t="s">
        <v>56</v>
      </c>
      <c r="E6" s="0" t="s">
        <v>56</v>
      </c>
      <c r="F6" s="0" t="s">
        <v>56</v>
      </c>
      <c r="G6" s="0" t="s">
        <v>56</v>
      </c>
      <c r="H6" s="0" t="s">
        <v>56</v>
      </c>
      <c r="I6" s="0" t="s">
        <v>56</v>
      </c>
      <c r="J6" s="0" t="s">
        <v>56</v>
      </c>
      <c r="K6" s="0" t="s">
        <v>56</v>
      </c>
      <c r="L6" s="0" t="s">
        <v>56</v>
      </c>
      <c r="M6" s="0" t="s">
        <v>56</v>
      </c>
      <c r="N6" s="0" t="s">
        <v>56</v>
      </c>
      <c r="O6" s="0" t="s">
        <v>56</v>
      </c>
      <c r="P6" s="0" t="s">
        <v>56</v>
      </c>
      <c r="Q6" s="0" t="s">
        <v>56</v>
      </c>
      <c r="R6" s="0" t="s">
        <v>56</v>
      </c>
      <c r="S6" s="0" t="s">
        <v>56</v>
      </c>
    </row>
    <row r="7" customFormat="false" ht="15" hidden="false" customHeight="false" outlineLevel="0" collapsed="false">
      <c r="B7" s="0" t="s">
        <v>57</v>
      </c>
      <c r="D7" s="0" t="s">
        <v>58</v>
      </c>
      <c r="E7" s="0" t="s">
        <v>58</v>
      </c>
      <c r="F7" s="0" t="s">
        <v>58</v>
      </c>
      <c r="G7" s="0" t="s">
        <v>58</v>
      </c>
      <c r="H7" s="0" t="s">
        <v>58</v>
      </c>
      <c r="I7" s="0" t="s">
        <v>58</v>
      </c>
      <c r="J7" s="0" t="s">
        <v>58</v>
      </c>
      <c r="K7" s="0" t="s">
        <v>58</v>
      </c>
      <c r="L7" s="0" t="s">
        <v>58</v>
      </c>
      <c r="M7" s="0" t="s">
        <v>58</v>
      </c>
      <c r="N7" s="0" t="s">
        <v>58</v>
      </c>
      <c r="O7" s="0" t="s">
        <v>58</v>
      </c>
      <c r="P7" s="0" t="s">
        <v>58</v>
      </c>
      <c r="Q7" s="0" t="s">
        <v>58</v>
      </c>
      <c r="R7" s="0" t="s">
        <v>58</v>
      </c>
      <c r="S7" s="0" t="s">
        <v>58</v>
      </c>
    </row>
    <row r="8" customFormat="false" ht="15" hidden="false" customHeight="false" outlineLevel="0" collapsed="false">
      <c r="B8" s="0" t="s">
        <v>59</v>
      </c>
      <c r="C8" s="2" t="n">
        <v>38017</v>
      </c>
      <c r="D8" s="3" t="n">
        <v>98.33957</v>
      </c>
      <c r="E8" s="3" t="n">
        <v>65.99535</v>
      </c>
      <c r="F8" s="3" t="n">
        <v>42.54787</v>
      </c>
      <c r="G8" s="3" t="n">
        <v>100.7045</v>
      </c>
      <c r="H8" s="3" t="n">
        <v>91.45461</v>
      </c>
      <c r="I8" s="3" t="n">
        <v>99.91798</v>
      </c>
      <c r="J8" s="3" t="n">
        <v>95.93805</v>
      </c>
      <c r="K8" s="3" t="n">
        <v>92.06534</v>
      </c>
      <c r="L8" s="3" t="n">
        <v>108.41168</v>
      </c>
      <c r="M8" s="3" t="n">
        <v>95.50673</v>
      </c>
      <c r="N8" s="3" t="n">
        <v>103.89026</v>
      </c>
      <c r="O8" s="3" t="n">
        <v>91.41838</v>
      </c>
      <c r="P8" s="3" t="n">
        <v>97.26127</v>
      </c>
      <c r="Q8" s="3" t="n">
        <v>95.6277</v>
      </c>
      <c r="R8" s="3" t="n">
        <v>94.19839</v>
      </c>
      <c r="S8" s="3" t="n">
        <v>97.00618</v>
      </c>
    </row>
    <row r="9" customFormat="false" ht="15" hidden="false" customHeight="false" outlineLevel="0" collapsed="false">
      <c r="B9" s="0" t="s">
        <v>60</v>
      </c>
      <c r="C9" s="2" t="n">
        <v>38046</v>
      </c>
      <c r="D9" s="3" t="n">
        <v>98.07072</v>
      </c>
      <c r="E9" s="3" t="n">
        <v>64.9266</v>
      </c>
      <c r="F9" s="3" t="n">
        <v>62.44077</v>
      </c>
      <c r="G9" s="3" t="n">
        <v>95.41419</v>
      </c>
      <c r="H9" s="3" t="n">
        <v>89.42485</v>
      </c>
      <c r="I9" s="3" t="n">
        <v>92.89344</v>
      </c>
      <c r="J9" s="3" t="n">
        <v>98.85339</v>
      </c>
      <c r="K9" s="3" t="n">
        <v>91.46472</v>
      </c>
      <c r="L9" s="3" t="n">
        <v>103.44826</v>
      </c>
      <c r="M9" s="3" t="n">
        <v>90.73641</v>
      </c>
      <c r="N9" s="3" t="n">
        <v>96.48146</v>
      </c>
      <c r="O9" s="3" t="n">
        <v>94.04698</v>
      </c>
      <c r="P9" s="3" t="n">
        <v>97.88228</v>
      </c>
      <c r="Q9" s="3" t="n">
        <v>96.08425</v>
      </c>
      <c r="R9" s="3" t="n">
        <v>90.31346</v>
      </c>
      <c r="S9" s="3" t="n">
        <v>96.83613</v>
      </c>
    </row>
    <row r="10" customFormat="false" ht="15" hidden="false" customHeight="false" outlineLevel="0" collapsed="false">
      <c r="B10" s="0" t="s">
        <v>61</v>
      </c>
      <c r="C10" s="2" t="n">
        <v>38077</v>
      </c>
      <c r="D10" s="3" t="n">
        <v>97.66795</v>
      </c>
      <c r="E10" s="3" t="n">
        <v>110.66656</v>
      </c>
      <c r="F10" s="3" t="n">
        <v>174.08465</v>
      </c>
      <c r="G10" s="3" t="n">
        <v>100.25104</v>
      </c>
      <c r="H10" s="3" t="n">
        <v>101.42643</v>
      </c>
      <c r="I10" s="3" t="n">
        <v>103.77021</v>
      </c>
      <c r="J10" s="3" t="n">
        <v>103.12453</v>
      </c>
      <c r="K10" s="3" t="n">
        <v>109.12778</v>
      </c>
      <c r="L10" s="3" t="n">
        <v>101.06184</v>
      </c>
      <c r="M10" s="3" t="n">
        <v>97.17581</v>
      </c>
      <c r="N10" s="3" t="n">
        <v>98.30457</v>
      </c>
      <c r="O10" s="3" t="n">
        <v>99.64872</v>
      </c>
      <c r="P10" s="3" t="n">
        <v>97.71846</v>
      </c>
      <c r="Q10" s="3" t="n">
        <v>96.3803</v>
      </c>
      <c r="R10" s="3" t="n">
        <v>98.08149</v>
      </c>
      <c r="S10" s="3" t="n">
        <v>96.15504</v>
      </c>
    </row>
    <row r="11" customFormat="false" ht="15" hidden="false" customHeight="false" outlineLevel="0" collapsed="false">
      <c r="B11" s="0" t="s">
        <v>62</v>
      </c>
      <c r="C11" s="2" t="n">
        <v>38107</v>
      </c>
      <c r="D11" s="3" t="n">
        <v>95.23678</v>
      </c>
      <c r="E11" s="3" t="n">
        <v>150.06592</v>
      </c>
      <c r="F11" s="3" t="n">
        <v>153.87764</v>
      </c>
      <c r="G11" s="3" t="n">
        <v>96.69755</v>
      </c>
      <c r="H11" s="3" t="n">
        <v>98.43731</v>
      </c>
      <c r="I11" s="3" t="n">
        <v>97.00985</v>
      </c>
      <c r="J11" s="3" t="n">
        <v>95.81549</v>
      </c>
      <c r="K11" s="3" t="n">
        <v>99.42014</v>
      </c>
      <c r="L11" s="3" t="n">
        <v>93.243</v>
      </c>
      <c r="M11" s="3" t="n">
        <v>99.70693</v>
      </c>
      <c r="N11" s="3" t="n">
        <v>95.3159</v>
      </c>
      <c r="O11" s="3" t="n">
        <v>97.60226</v>
      </c>
      <c r="P11" s="3" t="n">
        <v>98.40554</v>
      </c>
      <c r="Q11" s="3" t="n">
        <v>97.71187</v>
      </c>
      <c r="R11" s="3" t="n">
        <v>102.18435</v>
      </c>
      <c r="S11" s="3" t="n">
        <v>98.08314</v>
      </c>
    </row>
    <row r="12" customFormat="false" ht="15" hidden="false" customHeight="false" outlineLevel="0" collapsed="false">
      <c r="B12" s="0" t="s">
        <v>63</v>
      </c>
      <c r="C12" s="2" t="n">
        <v>38138</v>
      </c>
      <c r="D12" s="3" t="n">
        <v>96.95127</v>
      </c>
      <c r="E12" s="3" t="n">
        <v>209.38808</v>
      </c>
      <c r="F12" s="3" t="n">
        <v>132.35766</v>
      </c>
      <c r="G12" s="3" t="n">
        <v>104.10053</v>
      </c>
      <c r="H12" s="3" t="n">
        <v>100.35314</v>
      </c>
      <c r="I12" s="3" t="n">
        <v>102.47183</v>
      </c>
      <c r="J12" s="3" t="n">
        <v>97.99457</v>
      </c>
      <c r="K12" s="3" t="n">
        <v>100.53274</v>
      </c>
      <c r="L12" s="3" t="n">
        <v>90.98526</v>
      </c>
      <c r="M12" s="3" t="n">
        <v>105.55244</v>
      </c>
      <c r="N12" s="3" t="n">
        <v>97.00467</v>
      </c>
      <c r="O12" s="3" t="n">
        <v>99.80349</v>
      </c>
      <c r="P12" s="3" t="n">
        <v>99.20852</v>
      </c>
      <c r="Q12" s="3" t="n">
        <v>99.13689</v>
      </c>
      <c r="R12" s="3" t="n">
        <v>102.76126</v>
      </c>
      <c r="S12" s="3" t="n">
        <v>98.05435</v>
      </c>
    </row>
    <row r="13" customFormat="false" ht="15" hidden="false" customHeight="false" outlineLevel="0" collapsed="false">
      <c r="B13" s="0" t="s">
        <v>64</v>
      </c>
      <c r="C13" s="2" t="n">
        <v>38168</v>
      </c>
      <c r="D13" s="3" t="n">
        <v>98.68356</v>
      </c>
      <c r="E13" s="3" t="n">
        <v>144.66132</v>
      </c>
      <c r="F13" s="3" t="n">
        <v>158.95986</v>
      </c>
      <c r="G13" s="3" t="n">
        <v>100.67785</v>
      </c>
      <c r="H13" s="3" t="n">
        <v>100.66693</v>
      </c>
      <c r="I13" s="3" t="n">
        <v>101.91112</v>
      </c>
      <c r="J13" s="3" t="n">
        <v>99.15678</v>
      </c>
      <c r="K13" s="3" t="n">
        <v>104.34202</v>
      </c>
      <c r="L13" s="3" t="n">
        <v>90.55608</v>
      </c>
      <c r="M13" s="3" t="n">
        <v>101.67565</v>
      </c>
      <c r="N13" s="3" t="n">
        <v>97.31215</v>
      </c>
      <c r="O13" s="3" t="n">
        <v>101.71298</v>
      </c>
      <c r="P13" s="3" t="n">
        <v>100.4454</v>
      </c>
      <c r="Q13" s="3" t="n">
        <v>102.20951</v>
      </c>
      <c r="R13" s="3" t="n">
        <v>104.26446</v>
      </c>
      <c r="S13" s="3" t="n">
        <v>99.76658</v>
      </c>
    </row>
    <row r="14" customFormat="false" ht="15" hidden="false" customHeight="false" outlineLevel="0" collapsed="false">
      <c r="B14" s="0" t="s">
        <v>65</v>
      </c>
      <c r="C14" s="2" t="n">
        <v>38199</v>
      </c>
      <c r="D14" s="3" t="n">
        <v>100.8411</v>
      </c>
      <c r="E14" s="3" t="n">
        <v>94.86246</v>
      </c>
      <c r="F14" s="3" t="n">
        <v>77.40334</v>
      </c>
      <c r="G14" s="3" t="n">
        <v>100.80174</v>
      </c>
      <c r="H14" s="3" t="n">
        <v>102.50853</v>
      </c>
      <c r="I14" s="3" t="n">
        <v>105.41654</v>
      </c>
      <c r="J14" s="3" t="n">
        <v>98.906</v>
      </c>
      <c r="K14" s="3" t="n">
        <v>100.82722</v>
      </c>
      <c r="L14" s="3" t="n">
        <v>99.05112</v>
      </c>
      <c r="M14" s="3" t="n">
        <v>99.8302</v>
      </c>
      <c r="N14" s="3" t="n">
        <v>99.01951</v>
      </c>
      <c r="O14" s="3" t="n">
        <v>100.85959</v>
      </c>
      <c r="P14" s="3" t="n">
        <v>100.16519</v>
      </c>
      <c r="Q14" s="3" t="n">
        <v>100.50009</v>
      </c>
      <c r="R14" s="3" t="n">
        <v>101.84397</v>
      </c>
      <c r="S14" s="3" t="n">
        <v>108.7301</v>
      </c>
    </row>
    <row r="15" customFormat="false" ht="15" hidden="false" customHeight="false" outlineLevel="0" collapsed="false">
      <c r="B15" s="0" t="s">
        <v>66</v>
      </c>
      <c r="C15" s="2" t="n">
        <v>38230</v>
      </c>
      <c r="D15" s="3" t="n">
        <v>102.17769</v>
      </c>
      <c r="E15" s="3" t="n">
        <v>64.86116</v>
      </c>
      <c r="F15" s="3" t="n">
        <v>99.29888</v>
      </c>
      <c r="G15" s="3" t="n">
        <v>102.27351</v>
      </c>
      <c r="H15" s="3" t="n">
        <v>101.01094</v>
      </c>
      <c r="I15" s="3" t="n">
        <v>103.97781</v>
      </c>
      <c r="J15" s="3" t="n">
        <v>102.03281</v>
      </c>
      <c r="K15" s="3" t="n">
        <v>99.55237</v>
      </c>
      <c r="L15" s="3" t="n">
        <v>98.1705</v>
      </c>
      <c r="M15" s="3" t="n">
        <v>99.2237</v>
      </c>
      <c r="N15" s="3" t="n">
        <v>101.18031</v>
      </c>
      <c r="O15" s="3" t="n">
        <v>101.57448</v>
      </c>
      <c r="P15" s="3" t="n">
        <v>100.67623</v>
      </c>
      <c r="Q15" s="3" t="n">
        <v>101.39315</v>
      </c>
      <c r="R15" s="3" t="n">
        <v>104.49316</v>
      </c>
      <c r="S15" s="3" t="n">
        <v>100.45682</v>
      </c>
    </row>
    <row r="16" customFormat="false" ht="15" hidden="false" customHeight="false" outlineLevel="0" collapsed="false">
      <c r="B16" s="0" t="s">
        <v>67</v>
      </c>
      <c r="C16" s="2" t="n">
        <v>38260</v>
      </c>
      <c r="D16" s="3" t="n">
        <v>102.35036</v>
      </c>
      <c r="E16" s="3" t="n">
        <v>60.7499</v>
      </c>
      <c r="F16" s="3" t="n">
        <v>68.15818</v>
      </c>
      <c r="G16" s="3" t="n">
        <v>100.58408</v>
      </c>
      <c r="H16" s="3" t="n">
        <v>102.56272</v>
      </c>
      <c r="I16" s="3" t="n">
        <v>97.65632</v>
      </c>
      <c r="J16" s="3" t="n">
        <v>106.81513</v>
      </c>
      <c r="K16" s="3" t="n">
        <v>99.96032</v>
      </c>
      <c r="L16" s="3" t="n">
        <v>100.05105</v>
      </c>
      <c r="M16" s="3" t="n">
        <v>98.89115</v>
      </c>
      <c r="N16" s="3" t="n">
        <v>100.80853</v>
      </c>
      <c r="O16" s="3" t="n">
        <v>103.00434</v>
      </c>
      <c r="P16" s="3" t="n">
        <v>101.52659</v>
      </c>
      <c r="Q16" s="3" t="n">
        <v>101.80328</v>
      </c>
      <c r="R16" s="3" t="n">
        <v>104.69994</v>
      </c>
      <c r="S16" s="3" t="n">
        <v>99.92452</v>
      </c>
    </row>
    <row r="17" customFormat="false" ht="15" hidden="false" customHeight="false" outlineLevel="0" collapsed="false">
      <c r="B17" s="0" t="s">
        <v>68</v>
      </c>
      <c r="C17" s="2" t="n">
        <v>38291</v>
      </c>
      <c r="D17" s="3" t="n">
        <v>103.12368</v>
      </c>
      <c r="E17" s="3" t="n">
        <v>62.66926</v>
      </c>
      <c r="F17" s="3" t="n">
        <v>84.44642</v>
      </c>
      <c r="G17" s="3" t="n">
        <v>101.39273</v>
      </c>
      <c r="H17" s="3" t="n">
        <v>105.90569</v>
      </c>
      <c r="I17" s="3" t="n">
        <v>96.18753</v>
      </c>
      <c r="J17" s="3" t="n">
        <v>97.84211</v>
      </c>
      <c r="K17" s="3" t="n">
        <v>101.16296</v>
      </c>
      <c r="L17" s="3" t="n">
        <v>102.93943</v>
      </c>
      <c r="M17" s="3" t="n">
        <v>101.57252</v>
      </c>
      <c r="N17" s="3" t="n">
        <v>102.0793</v>
      </c>
      <c r="O17" s="3" t="n">
        <v>100.69115</v>
      </c>
      <c r="P17" s="3" t="n">
        <v>101.68981</v>
      </c>
      <c r="Q17" s="3" t="n">
        <v>102.21213</v>
      </c>
      <c r="R17" s="3" t="n">
        <v>100.22067</v>
      </c>
      <c r="S17" s="3" t="n">
        <v>101.16164</v>
      </c>
    </row>
    <row r="18" customFormat="false" ht="15" hidden="false" customHeight="false" outlineLevel="0" collapsed="false">
      <c r="B18" s="0" t="s">
        <v>69</v>
      </c>
      <c r="C18" s="2" t="n">
        <v>38321</v>
      </c>
      <c r="D18" s="3" t="n">
        <v>103.57877</v>
      </c>
      <c r="E18" s="3" t="n">
        <v>78.41525</v>
      </c>
      <c r="F18" s="3" t="n">
        <v>70.43561</v>
      </c>
      <c r="G18" s="3" t="n">
        <v>96.38347</v>
      </c>
      <c r="H18" s="3" t="n">
        <v>104.37511</v>
      </c>
      <c r="I18" s="3" t="n">
        <v>95.06963</v>
      </c>
      <c r="J18" s="3" t="n">
        <v>101.65557</v>
      </c>
      <c r="K18" s="3" t="n">
        <v>102.41598</v>
      </c>
      <c r="L18" s="3" t="n">
        <v>106.49311</v>
      </c>
      <c r="M18" s="3" t="n">
        <v>104.54272</v>
      </c>
      <c r="N18" s="3" t="n">
        <v>102.96217</v>
      </c>
      <c r="O18" s="3" t="n">
        <v>103.28028</v>
      </c>
      <c r="P18" s="3" t="n">
        <v>102.03612</v>
      </c>
      <c r="Q18" s="3" t="n">
        <v>102.50137</v>
      </c>
      <c r="R18" s="3" t="n">
        <v>99.69656</v>
      </c>
      <c r="S18" s="3" t="n">
        <v>100.02634</v>
      </c>
    </row>
    <row r="19" customFormat="false" ht="15" hidden="false" customHeight="false" outlineLevel="0" collapsed="false">
      <c r="B19" s="0" t="s">
        <v>70</v>
      </c>
      <c r="C19" s="2" t="n">
        <v>38352</v>
      </c>
      <c r="D19" s="3" t="n">
        <v>102.97856</v>
      </c>
      <c r="E19" s="3" t="n">
        <v>92.73814</v>
      </c>
      <c r="F19" s="3" t="n">
        <v>75.98912</v>
      </c>
      <c r="G19" s="3" t="n">
        <v>100.71881</v>
      </c>
      <c r="H19" s="3" t="n">
        <v>101.87374</v>
      </c>
      <c r="I19" s="3" t="n">
        <v>103.71775</v>
      </c>
      <c r="J19" s="3" t="n">
        <v>101.86557</v>
      </c>
      <c r="K19" s="3" t="n">
        <v>99.12842</v>
      </c>
      <c r="L19" s="3" t="n">
        <v>105.58867</v>
      </c>
      <c r="M19" s="3" t="n">
        <v>105.58575</v>
      </c>
      <c r="N19" s="3" t="n">
        <v>105.64116</v>
      </c>
      <c r="O19" s="3" t="n">
        <v>106.35733</v>
      </c>
      <c r="P19" s="3" t="n">
        <v>102.9846</v>
      </c>
      <c r="Q19" s="3" t="n">
        <v>104.43946</v>
      </c>
      <c r="R19" s="3" t="n">
        <v>97.24229</v>
      </c>
      <c r="S19" s="3" t="n">
        <v>103.79916</v>
      </c>
    </row>
    <row r="20" customFormat="false" ht="15" hidden="false" customHeight="false" outlineLevel="0" collapsed="false">
      <c r="B20" s="0" t="s">
        <v>71</v>
      </c>
      <c r="C20" s="2" t="n">
        <v>38383</v>
      </c>
      <c r="D20" s="3" t="n">
        <v>105.74978</v>
      </c>
      <c r="E20" s="3" t="n">
        <v>65.69547</v>
      </c>
      <c r="F20" s="3" t="n">
        <v>35.83964</v>
      </c>
      <c r="G20" s="3" t="n">
        <v>101.19731</v>
      </c>
      <c r="H20" s="3" t="n">
        <v>97.29837</v>
      </c>
      <c r="I20" s="3" t="n">
        <v>109.06422</v>
      </c>
      <c r="J20" s="3" t="n">
        <v>105.31705</v>
      </c>
      <c r="K20" s="3" t="n">
        <v>99.65137</v>
      </c>
      <c r="L20" s="3" t="n">
        <v>118.47379</v>
      </c>
      <c r="M20" s="3" t="n">
        <v>107.25698</v>
      </c>
      <c r="N20" s="3" t="n">
        <v>105.08495</v>
      </c>
      <c r="O20" s="3" t="n">
        <v>95.9073</v>
      </c>
      <c r="P20" s="3" t="n">
        <v>102.39479</v>
      </c>
      <c r="Q20" s="3" t="n">
        <v>101.47357</v>
      </c>
      <c r="R20" s="3" t="n">
        <v>103.77332</v>
      </c>
      <c r="S20" s="3" t="n">
        <v>106.67906</v>
      </c>
    </row>
    <row r="21" customFormat="false" ht="15" hidden="false" customHeight="false" outlineLevel="0" collapsed="false">
      <c r="B21" s="0" t="s">
        <v>72</v>
      </c>
      <c r="C21" s="2" t="n">
        <v>38411</v>
      </c>
      <c r="D21" s="3" t="n">
        <v>106.05741</v>
      </c>
      <c r="E21" s="3" t="n">
        <v>69.20975</v>
      </c>
      <c r="F21" s="3" t="n">
        <v>88.96043</v>
      </c>
      <c r="G21" s="3" t="n">
        <v>93.22341</v>
      </c>
      <c r="H21" s="3" t="n">
        <v>94.70785</v>
      </c>
      <c r="I21" s="3" t="n">
        <v>99.19242</v>
      </c>
      <c r="J21" s="3" t="n">
        <v>109.01469</v>
      </c>
      <c r="K21" s="3" t="n">
        <v>99.73582</v>
      </c>
      <c r="L21" s="3" t="n">
        <v>112.70657</v>
      </c>
      <c r="M21" s="3" t="n">
        <v>102.01017</v>
      </c>
      <c r="N21" s="3" t="n">
        <v>102.10314</v>
      </c>
      <c r="O21" s="3" t="n">
        <v>98.55163</v>
      </c>
      <c r="P21" s="3" t="n">
        <v>102.94994</v>
      </c>
      <c r="Q21" s="3" t="n">
        <v>102.04402</v>
      </c>
      <c r="R21" s="3" t="n">
        <v>99.89043</v>
      </c>
      <c r="S21" s="3" t="n">
        <v>105.45618</v>
      </c>
    </row>
    <row r="22" customFormat="false" ht="15" hidden="false" customHeight="false" outlineLevel="0" collapsed="false">
      <c r="B22" s="0" t="s">
        <v>73</v>
      </c>
      <c r="C22" s="2" t="n">
        <v>38442</v>
      </c>
      <c r="D22" s="3" t="n">
        <v>106.85062</v>
      </c>
      <c r="E22" s="3" t="n">
        <v>138.56358</v>
      </c>
      <c r="F22" s="3" t="n">
        <v>146.68698</v>
      </c>
      <c r="G22" s="3" t="n">
        <v>101.59125</v>
      </c>
      <c r="H22" s="3" t="n">
        <v>107.56974</v>
      </c>
      <c r="I22" s="3" t="n">
        <v>107.90898</v>
      </c>
      <c r="J22" s="3" t="n">
        <v>114.23107</v>
      </c>
      <c r="K22" s="3" t="n">
        <v>118.32505</v>
      </c>
      <c r="L22" s="3" t="n">
        <v>110.76757</v>
      </c>
      <c r="M22" s="3" t="n">
        <v>111.18571</v>
      </c>
      <c r="N22" s="3" t="n">
        <v>106.16691</v>
      </c>
      <c r="O22" s="3" t="n">
        <v>102.97959</v>
      </c>
      <c r="P22" s="3" t="n">
        <v>103.54588</v>
      </c>
      <c r="Q22" s="3" t="n">
        <v>103.9057</v>
      </c>
      <c r="R22" s="3" t="n">
        <v>110.52482</v>
      </c>
      <c r="S22" s="3" t="n">
        <v>104.69418</v>
      </c>
    </row>
    <row r="23" customFormat="false" ht="15" hidden="false" customHeight="false" outlineLevel="0" collapsed="false">
      <c r="B23" s="0" t="s">
        <v>74</v>
      </c>
      <c r="C23" s="2" t="n">
        <v>38472</v>
      </c>
      <c r="D23" s="3" t="n">
        <v>107.96569</v>
      </c>
      <c r="E23" s="3" t="n">
        <v>208.89982</v>
      </c>
      <c r="F23" s="3" t="n">
        <v>122.48874</v>
      </c>
      <c r="G23" s="3" t="n">
        <v>99.12524</v>
      </c>
      <c r="H23" s="3" t="n">
        <v>107.55166</v>
      </c>
      <c r="I23" s="3" t="n">
        <v>103.21117</v>
      </c>
      <c r="J23" s="3" t="n">
        <v>108.78738</v>
      </c>
      <c r="K23" s="3" t="n">
        <v>112.52418</v>
      </c>
      <c r="L23" s="3" t="n">
        <v>102.6943</v>
      </c>
      <c r="M23" s="3" t="n">
        <v>115.22445</v>
      </c>
      <c r="N23" s="3" t="n">
        <v>106.63906</v>
      </c>
      <c r="O23" s="3" t="n">
        <v>103.97996</v>
      </c>
      <c r="P23" s="3" t="n">
        <v>103.45545</v>
      </c>
      <c r="Q23" s="3" t="n">
        <v>103.64102</v>
      </c>
      <c r="R23" s="3" t="n">
        <v>109.49178</v>
      </c>
      <c r="S23" s="3" t="n">
        <v>106.03204</v>
      </c>
    </row>
    <row r="24" customFormat="false" ht="15" hidden="false" customHeight="false" outlineLevel="0" collapsed="false">
      <c r="B24" s="0" t="s">
        <v>75</v>
      </c>
      <c r="C24" s="2" t="n">
        <v>38503</v>
      </c>
      <c r="D24" s="3" t="n">
        <v>109.10032</v>
      </c>
      <c r="E24" s="3" t="n">
        <v>294.8644</v>
      </c>
      <c r="F24" s="3" t="n">
        <v>193.25425</v>
      </c>
      <c r="G24" s="3" t="n">
        <v>104.30551</v>
      </c>
      <c r="H24" s="3" t="n">
        <v>109.43599</v>
      </c>
      <c r="I24" s="3" t="n">
        <v>108.03871</v>
      </c>
      <c r="J24" s="3" t="n">
        <v>111.05513</v>
      </c>
      <c r="K24" s="3" t="n">
        <v>115.05014</v>
      </c>
      <c r="L24" s="3" t="n">
        <v>99.6698</v>
      </c>
      <c r="M24" s="3" t="n">
        <v>124.37399</v>
      </c>
      <c r="N24" s="3" t="n">
        <v>109.78718</v>
      </c>
      <c r="O24" s="3" t="n">
        <v>105.89732</v>
      </c>
      <c r="P24" s="3" t="n">
        <v>104.50985</v>
      </c>
      <c r="Q24" s="3" t="n">
        <v>105.17824</v>
      </c>
      <c r="R24" s="3" t="n">
        <v>111.68503</v>
      </c>
      <c r="S24" s="3" t="n">
        <v>107.59593</v>
      </c>
    </row>
    <row r="25" customFormat="false" ht="15" hidden="false" customHeight="false" outlineLevel="0" collapsed="false">
      <c r="B25" s="0" t="s">
        <v>76</v>
      </c>
      <c r="C25" s="2" t="n">
        <v>38533</v>
      </c>
      <c r="D25" s="3" t="n">
        <v>108.58363</v>
      </c>
      <c r="E25" s="3" t="n">
        <v>197.55381</v>
      </c>
      <c r="F25" s="3" t="n">
        <v>110.95701</v>
      </c>
      <c r="G25" s="3" t="n">
        <v>99.49475</v>
      </c>
      <c r="H25" s="3" t="n">
        <v>107.96514</v>
      </c>
      <c r="I25" s="3" t="n">
        <v>106.26375</v>
      </c>
      <c r="J25" s="3" t="n">
        <v>111.98183</v>
      </c>
      <c r="K25" s="3" t="n">
        <v>112.99622</v>
      </c>
      <c r="L25" s="3" t="n">
        <v>100.19355</v>
      </c>
      <c r="M25" s="3" t="n">
        <v>118.47904</v>
      </c>
      <c r="N25" s="3" t="n">
        <v>110.43084</v>
      </c>
      <c r="O25" s="3" t="n">
        <v>107.1167</v>
      </c>
      <c r="P25" s="3" t="n">
        <v>106.00525</v>
      </c>
      <c r="Q25" s="3" t="n">
        <v>108.16451</v>
      </c>
      <c r="R25" s="3" t="n">
        <v>117.95139</v>
      </c>
      <c r="S25" s="3" t="n">
        <v>110.5618</v>
      </c>
    </row>
    <row r="26" customFormat="false" ht="15" hidden="false" customHeight="false" outlineLevel="0" collapsed="false">
      <c r="B26" s="0" t="s">
        <v>77</v>
      </c>
      <c r="C26" s="2" t="n">
        <v>38564</v>
      </c>
      <c r="D26" s="3" t="n">
        <v>109.13426</v>
      </c>
      <c r="E26" s="3" t="n">
        <v>98.41303</v>
      </c>
      <c r="F26" s="3" t="n">
        <v>74.54625</v>
      </c>
      <c r="G26" s="3" t="n">
        <v>104.12866</v>
      </c>
      <c r="H26" s="3" t="n">
        <v>108.63271</v>
      </c>
      <c r="I26" s="3" t="n">
        <v>112.65387</v>
      </c>
      <c r="J26" s="3" t="n">
        <v>108.84565</v>
      </c>
      <c r="K26" s="3" t="n">
        <v>109.85625</v>
      </c>
      <c r="L26" s="3" t="n">
        <v>113.50016</v>
      </c>
      <c r="M26" s="3" t="n">
        <v>116.43926</v>
      </c>
      <c r="N26" s="3" t="n">
        <v>112.53992</v>
      </c>
      <c r="O26" s="3" t="n">
        <v>104.60415</v>
      </c>
      <c r="P26" s="3" t="n">
        <v>104.98282</v>
      </c>
      <c r="Q26" s="3" t="n">
        <v>106.39712</v>
      </c>
      <c r="R26" s="3" t="n">
        <v>111.83937</v>
      </c>
      <c r="S26" s="3" t="n">
        <v>122.5637</v>
      </c>
    </row>
    <row r="27" customFormat="false" ht="15" hidden="false" customHeight="false" outlineLevel="0" collapsed="false">
      <c r="B27" s="0" t="s">
        <v>78</v>
      </c>
      <c r="C27" s="2" t="n">
        <v>38595</v>
      </c>
      <c r="D27" s="3" t="n">
        <v>109.37691</v>
      </c>
      <c r="E27" s="3" t="n">
        <v>63.85266</v>
      </c>
      <c r="F27" s="3" t="n">
        <v>56.44058</v>
      </c>
      <c r="G27" s="3" t="n">
        <v>102.77977</v>
      </c>
      <c r="H27" s="3" t="n">
        <v>109.72189</v>
      </c>
      <c r="I27" s="3" t="n">
        <v>111.99118</v>
      </c>
      <c r="J27" s="3" t="n">
        <v>113.68084</v>
      </c>
      <c r="K27" s="3" t="n">
        <v>111.87007</v>
      </c>
      <c r="L27" s="3" t="n">
        <v>114.8998</v>
      </c>
      <c r="M27" s="3" t="n">
        <v>115.39256</v>
      </c>
      <c r="N27" s="3" t="n">
        <v>110.38335</v>
      </c>
      <c r="O27" s="3" t="n">
        <v>107.84918</v>
      </c>
      <c r="P27" s="3" t="n">
        <v>105.45171</v>
      </c>
      <c r="Q27" s="3" t="n">
        <v>106.77496</v>
      </c>
      <c r="R27" s="3" t="n">
        <v>115.49028</v>
      </c>
      <c r="S27" s="3" t="n">
        <v>112.01173</v>
      </c>
    </row>
    <row r="28" customFormat="false" ht="15" hidden="false" customHeight="false" outlineLevel="0" collapsed="false">
      <c r="B28" s="0" t="s">
        <v>79</v>
      </c>
      <c r="C28" s="2" t="n">
        <v>38625</v>
      </c>
      <c r="D28" s="3" t="n">
        <v>109.26148</v>
      </c>
      <c r="E28" s="3" t="n">
        <v>59.38842</v>
      </c>
      <c r="F28" s="3" t="n">
        <v>41.20736</v>
      </c>
      <c r="G28" s="3" t="n">
        <v>98.04109</v>
      </c>
      <c r="H28" s="3" t="n">
        <v>108.68922</v>
      </c>
      <c r="I28" s="3" t="n">
        <v>105.81064</v>
      </c>
      <c r="J28" s="3" t="n">
        <v>117.97642</v>
      </c>
      <c r="K28" s="3" t="n">
        <v>111.40217</v>
      </c>
      <c r="L28" s="3" t="n">
        <v>117.74852</v>
      </c>
      <c r="M28" s="3" t="n">
        <v>114.58516</v>
      </c>
      <c r="N28" s="3" t="n">
        <v>110.35222</v>
      </c>
      <c r="O28" s="3" t="n">
        <v>109.22298</v>
      </c>
      <c r="P28" s="3" t="n">
        <v>106.24349</v>
      </c>
      <c r="Q28" s="3" t="n">
        <v>107.7223</v>
      </c>
      <c r="R28" s="3" t="n">
        <v>114.05532</v>
      </c>
      <c r="S28" s="3" t="n">
        <v>110.60942</v>
      </c>
    </row>
    <row r="29" customFormat="false" ht="15" hidden="false" customHeight="false" outlineLevel="0" collapsed="false">
      <c r="B29" s="0" t="s">
        <v>80</v>
      </c>
      <c r="C29" s="2" t="n">
        <v>38656</v>
      </c>
      <c r="D29" s="3" t="n">
        <v>109.94966</v>
      </c>
      <c r="E29" s="3" t="n">
        <v>60.65839</v>
      </c>
      <c r="F29" s="3" t="n">
        <v>61.35736</v>
      </c>
      <c r="G29" s="3" t="n">
        <v>96.29388</v>
      </c>
      <c r="H29" s="3" t="n">
        <v>114.31417</v>
      </c>
      <c r="I29" s="3" t="n">
        <v>98.78331</v>
      </c>
      <c r="J29" s="3" t="n">
        <v>113.89162</v>
      </c>
      <c r="K29" s="3" t="n">
        <v>109.47016</v>
      </c>
      <c r="L29" s="3" t="n">
        <v>117.43116</v>
      </c>
      <c r="M29" s="3" t="n">
        <v>116.54991</v>
      </c>
      <c r="N29" s="3" t="n">
        <v>110.89907</v>
      </c>
      <c r="O29" s="3" t="n">
        <v>107.44326</v>
      </c>
      <c r="P29" s="3" t="n">
        <v>106.86253</v>
      </c>
      <c r="Q29" s="3" t="n">
        <v>108.08092</v>
      </c>
      <c r="R29" s="3" t="n">
        <v>109.39494</v>
      </c>
      <c r="S29" s="3" t="n">
        <v>112.49781</v>
      </c>
    </row>
    <row r="30" customFormat="false" ht="15" hidden="false" customHeight="false" outlineLevel="0" collapsed="false">
      <c r="B30" s="0" t="s">
        <v>81</v>
      </c>
      <c r="C30" s="2" t="n">
        <v>38686</v>
      </c>
      <c r="D30" s="3" t="n">
        <v>111.16807</v>
      </c>
      <c r="E30" s="3" t="n">
        <v>79.32336</v>
      </c>
      <c r="F30" s="3" t="n">
        <v>67.77853</v>
      </c>
      <c r="G30" s="3" t="n">
        <v>97.36115</v>
      </c>
      <c r="H30" s="3" t="n">
        <v>113.20834</v>
      </c>
      <c r="I30" s="3" t="n">
        <v>104.51267</v>
      </c>
      <c r="J30" s="3" t="n">
        <v>117.74808</v>
      </c>
      <c r="K30" s="3" t="n">
        <v>115.19793</v>
      </c>
      <c r="L30" s="3" t="n">
        <v>119.79389</v>
      </c>
      <c r="M30" s="3" t="n">
        <v>117.49112</v>
      </c>
      <c r="N30" s="3" t="n">
        <v>114.05774</v>
      </c>
      <c r="O30" s="3" t="n">
        <v>109.87131</v>
      </c>
      <c r="P30" s="3" t="n">
        <v>107.924</v>
      </c>
      <c r="Q30" s="3" t="n">
        <v>109.36644</v>
      </c>
      <c r="R30" s="3" t="n">
        <v>109.21923</v>
      </c>
      <c r="S30" s="3" t="n">
        <v>112.20742</v>
      </c>
    </row>
    <row r="31" customFormat="false" ht="15" hidden="false" customHeight="false" outlineLevel="0" collapsed="false">
      <c r="B31" s="0" t="s">
        <v>82</v>
      </c>
      <c r="C31" s="2" t="n">
        <v>38717</v>
      </c>
      <c r="D31" s="3" t="n">
        <v>113.02209</v>
      </c>
      <c r="E31" s="3" t="n">
        <v>100.75216</v>
      </c>
      <c r="F31" s="3" t="n">
        <v>108.24704</v>
      </c>
      <c r="G31" s="3" t="n">
        <v>98.73507</v>
      </c>
      <c r="H31" s="3" t="n">
        <v>109.98285</v>
      </c>
      <c r="I31" s="3" t="n">
        <v>105.97126</v>
      </c>
      <c r="J31" s="3" t="n">
        <v>117.1022</v>
      </c>
      <c r="K31" s="3" t="n">
        <v>108.93114</v>
      </c>
      <c r="L31" s="3" t="n">
        <v>117.44461</v>
      </c>
      <c r="M31" s="3" t="n">
        <v>120.37943</v>
      </c>
      <c r="N31" s="3" t="n">
        <v>119.60863</v>
      </c>
      <c r="O31" s="3" t="n">
        <v>114.80661</v>
      </c>
      <c r="P31" s="3" t="n">
        <v>109.46518</v>
      </c>
      <c r="Q31" s="3" t="n">
        <v>111.02766</v>
      </c>
      <c r="R31" s="3" t="n">
        <v>106.1791</v>
      </c>
      <c r="S31" s="3" t="n">
        <v>116.75269</v>
      </c>
    </row>
    <row r="32" customFormat="false" ht="15" hidden="false" customHeight="false" outlineLevel="0" collapsed="false">
      <c r="B32" s="0" t="s">
        <v>83</v>
      </c>
      <c r="C32" s="2" t="n">
        <v>38748</v>
      </c>
      <c r="D32" s="3" t="n">
        <v>113.8318</v>
      </c>
      <c r="E32" s="3" t="n">
        <v>69.22548</v>
      </c>
      <c r="F32" s="3" t="n">
        <v>44.49589</v>
      </c>
      <c r="G32" s="3" t="n">
        <v>104.02548</v>
      </c>
      <c r="H32" s="3" t="n">
        <v>104.8674</v>
      </c>
      <c r="I32" s="3" t="n">
        <v>110.89814</v>
      </c>
      <c r="J32" s="3" t="n">
        <v>122.05354</v>
      </c>
      <c r="K32" s="3" t="n">
        <v>110.07995</v>
      </c>
      <c r="L32" s="3" t="n">
        <v>132.76065</v>
      </c>
      <c r="M32" s="3" t="n">
        <v>120.53438</v>
      </c>
      <c r="N32" s="3" t="n">
        <v>121.18752</v>
      </c>
      <c r="O32" s="3" t="n">
        <v>103.1197</v>
      </c>
      <c r="P32" s="3" t="n">
        <v>106.0654</v>
      </c>
      <c r="Q32" s="3" t="n">
        <v>105.61424</v>
      </c>
      <c r="R32" s="3" t="n">
        <v>107.20997</v>
      </c>
      <c r="S32" s="3" t="n">
        <v>119.76304</v>
      </c>
    </row>
    <row r="33" customFormat="false" ht="15" hidden="false" customHeight="false" outlineLevel="0" collapsed="false">
      <c r="B33" s="0" t="s">
        <v>84</v>
      </c>
      <c r="C33" s="2" t="n">
        <v>38776</v>
      </c>
      <c r="D33" s="3" t="n">
        <v>114.74988</v>
      </c>
      <c r="E33" s="3" t="n">
        <v>66.79994</v>
      </c>
      <c r="F33" s="3" t="n">
        <v>152.81713</v>
      </c>
      <c r="G33" s="3" t="n">
        <v>94.47668</v>
      </c>
      <c r="H33" s="3" t="n">
        <v>102.7688</v>
      </c>
      <c r="I33" s="3" t="n">
        <v>105.97879</v>
      </c>
      <c r="J33" s="3" t="n">
        <v>123.93133</v>
      </c>
      <c r="K33" s="3" t="n">
        <v>110.13885</v>
      </c>
      <c r="L33" s="3" t="n">
        <v>127.92916</v>
      </c>
      <c r="M33" s="3" t="n">
        <v>116.16327</v>
      </c>
      <c r="N33" s="3" t="n">
        <v>115.14634</v>
      </c>
      <c r="O33" s="3" t="n">
        <v>105.62499</v>
      </c>
      <c r="P33" s="3" t="n">
        <v>106.55129</v>
      </c>
      <c r="Q33" s="3" t="n">
        <v>105.8765</v>
      </c>
      <c r="R33" s="3" t="n">
        <v>103.17926</v>
      </c>
      <c r="S33" s="3" t="n">
        <v>114.79023</v>
      </c>
    </row>
    <row r="34" customFormat="false" ht="15" hidden="false" customHeight="false" outlineLevel="0" collapsed="false">
      <c r="B34" s="0" t="s">
        <v>85</v>
      </c>
      <c r="C34" s="2" t="n">
        <v>38807</v>
      </c>
      <c r="D34" s="3" t="n">
        <v>114.30687</v>
      </c>
      <c r="E34" s="3" t="n">
        <v>126.90149</v>
      </c>
      <c r="F34" s="3" t="n">
        <v>238.1848</v>
      </c>
      <c r="G34" s="3" t="n">
        <v>106.30049</v>
      </c>
      <c r="H34" s="3" t="n">
        <v>118.41693</v>
      </c>
      <c r="I34" s="3" t="n">
        <v>107.80847</v>
      </c>
      <c r="J34" s="3" t="n">
        <v>128.27956</v>
      </c>
      <c r="K34" s="3" t="n">
        <v>130.60249</v>
      </c>
      <c r="L34" s="3" t="n">
        <v>126.3465</v>
      </c>
      <c r="M34" s="3" t="n">
        <v>125.89131</v>
      </c>
      <c r="N34" s="3" t="n">
        <v>118.87873</v>
      </c>
      <c r="O34" s="3" t="n">
        <v>110.92707</v>
      </c>
      <c r="P34" s="3" t="n">
        <v>106.51618</v>
      </c>
      <c r="Q34" s="3" t="n">
        <v>106.48492</v>
      </c>
      <c r="R34" s="3" t="n">
        <v>110.66655</v>
      </c>
      <c r="S34" s="3" t="n">
        <v>115.67678</v>
      </c>
    </row>
    <row r="35" customFormat="false" ht="15" hidden="false" customHeight="false" outlineLevel="0" collapsed="false">
      <c r="B35" s="0" t="s">
        <v>86</v>
      </c>
      <c r="C35" s="2" t="n">
        <v>38837</v>
      </c>
      <c r="D35" s="3" t="n">
        <v>115.84398</v>
      </c>
      <c r="E35" s="3" t="n">
        <v>190.89326</v>
      </c>
      <c r="F35" s="3" t="n">
        <v>212.95588</v>
      </c>
      <c r="G35" s="3" t="n">
        <v>104.06233</v>
      </c>
      <c r="H35" s="3" t="n">
        <v>116.27656</v>
      </c>
      <c r="I35" s="3" t="n">
        <v>103.30812</v>
      </c>
      <c r="J35" s="3" t="n">
        <v>121.06324</v>
      </c>
      <c r="K35" s="3" t="n">
        <v>119.69961</v>
      </c>
      <c r="L35" s="3" t="n">
        <v>119.95938</v>
      </c>
      <c r="M35" s="3" t="n">
        <v>128.24261</v>
      </c>
      <c r="N35" s="3" t="n">
        <v>116.67163</v>
      </c>
      <c r="O35" s="3" t="n">
        <v>109.55963</v>
      </c>
      <c r="P35" s="3" t="n">
        <v>106.16647</v>
      </c>
      <c r="Q35" s="3" t="n">
        <v>106.48941</v>
      </c>
      <c r="R35" s="3" t="n">
        <v>113.79317</v>
      </c>
      <c r="S35" s="3" t="n">
        <v>124.47529</v>
      </c>
    </row>
    <row r="36" customFormat="false" ht="15" hidden="false" customHeight="false" outlineLevel="0" collapsed="false">
      <c r="B36" s="0" t="s">
        <v>87</v>
      </c>
      <c r="C36" s="2" t="n">
        <v>38868</v>
      </c>
      <c r="D36" s="3" t="n">
        <v>115.09969</v>
      </c>
      <c r="E36" s="3" t="n">
        <v>279.84558</v>
      </c>
      <c r="F36" s="3" t="n">
        <v>264.9245</v>
      </c>
      <c r="G36" s="3" t="n">
        <v>109.14778</v>
      </c>
      <c r="H36" s="3" t="n">
        <v>118.86465</v>
      </c>
      <c r="I36" s="3" t="n">
        <v>113.8303</v>
      </c>
      <c r="J36" s="3" t="n">
        <v>123.63453</v>
      </c>
      <c r="K36" s="3" t="n">
        <v>125.38776</v>
      </c>
      <c r="L36" s="3" t="n">
        <v>114.01019</v>
      </c>
      <c r="M36" s="3" t="n">
        <v>137.11278</v>
      </c>
      <c r="N36" s="3" t="n">
        <v>120.7504</v>
      </c>
      <c r="O36" s="3" t="n">
        <v>112.86654</v>
      </c>
      <c r="P36" s="3" t="n">
        <v>108.2407</v>
      </c>
      <c r="Q36" s="3" t="n">
        <v>109.95545</v>
      </c>
      <c r="R36" s="3" t="n">
        <v>115.61973</v>
      </c>
      <c r="S36" s="3" t="n">
        <v>121.67594</v>
      </c>
    </row>
    <row r="37" customFormat="false" ht="15" hidden="false" customHeight="false" outlineLevel="0" collapsed="false">
      <c r="B37" s="0" t="s">
        <v>88</v>
      </c>
      <c r="C37" s="2" t="n">
        <v>38898</v>
      </c>
      <c r="D37" s="3" t="n">
        <v>116.25305</v>
      </c>
      <c r="E37" s="3" t="n">
        <v>188.65737</v>
      </c>
      <c r="F37" s="3" t="n">
        <v>183.923</v>
      </c>
      <c r="G37" s="3" t="n">
        <v>106.2955</v>
      </c>
      <c r="H37" s="3" t="n">
        <v>117.28655</v>
      </c>
      <c r="I37" s="3" t="n">
        <v>116.36177</v>
      </c>
      <c r="J37" s="3" t="n">
        <v>123.04388</v>
      </c>
      <c r="K37" s="3" t="n">
        <v>124.08964</v>
      </c>
      <c r="L37" s="3" t="n">
        <v>113.57676</v>
      </c>
      <c r="M37" s="3" t="n">
        <v>131.55583</v>
      </c>
      <c r="N37" s="3" t="n">
        <v>124.12378</v>
      </c>
      <c r="O37" s="3" t="n">
        <v>114.64182</v>
      </c>
      <c r="P37" s="3" t="n">
        <v>109.73537</v>
      </c>
      <c r="Q37" s="3" t="n">
        <v>113.13564</v>
      </c>
      <c r="R37" s="3" t="n">
        <v>119.51322</v>
      </c>
      <c r="S37" s="3" t="n">
        <v>118.53055</v>
      </c>
    </row>
    <row r="38" customFormat="false" ht="15" hidden="false" customHeight="false" outlineLevel="0" collapsed="false">
      <c r="B38" s="0" t="s">
        <v>89</v>
      </c>
      <c r="C38" s="2" t="n">
        <v>38929</v>
      </c>
      <c r="D38" s="3" t="n">
        <v>118.14538</v>
      </c>
      <c r="E38" s="3" t="n">
        <v>103.80806</v>
      </c>
      <c r="F38" s="3" t="n">
        <v>153.09808</v>
      </c>
      <c r="G38" s="3" t="n">
        <v>109.34349</v>
      </c>
      <c r="H38" s="3" t="n">
        <v>119.78074</v>
      </c>
      <c r="I38" s="3" t="n">
        <v>118.15558</v>
      </c>
      <c r="J38" s="3" t="n">
        <v>126.5983</v>
      </c>
      <c r="K38" s="3" t="n">
        <v>121.81954</v>
      </c>
      <c r="L38" s="3" t="n">
        <v>126.24678</v>
      </c>
      <c r="M38" s="3" t="n">
        <v>129.90728</v>
      </c>
      <c r="N38" s="3" t="n">
        <v>123.79528</v>
      </c>
      <c r="O38" s="3" t="n">
        <v>113.98021</v>
      </c>
      <c r="P38" s="3" t="n">
        <v>108.9722</v>
      </c>
      <c r="Q38" s="3" t="n">
        <v>110.93059</v>
      </c>
      <c r="R38" s="3" t="n">
        <v>113.40797</v>
      </c>
      <c r="S38" s="3" t="n">
        <v>134.382</v>
      </c>
    </row>
    <row r="39" customFormat="false" ht="15" hidden="false" customHeight="false" outlineLevel="0" collapsed="false">
      <c r="B39" s="0" t="s">
        <v>90</v>
      </c>
      <c r="C39" s="2" t="n">
        <v>38960</v>
      </c>
      <c r="D39" s="3" t="n">
        <v>118.75377</v>
      </c>
      <c r="E39" s="3" t="n">
        <v>71.25445</v>
      </c>
      <c r="F39" s="3" t="n">
        <v>162.44218</v>
      </c>
      <c r="G39" s="3" t="n">
        <v>107.52377</v>
      </c>
      <c r="H39" s="3" t="n">
        <v>120.7444</v>
      </c>
      <c r="I39" s="3" t="n">
        <v>119.41584</v>
      </c>
      <c r="J39" s="3" t="n">
        <v>128.15127</v>
      </c>
      <c r="K39" s="3" t="n">
        <v>125.43098</v>
      </c>
      <c r="L39" s="3" t="n">
        <v>126.72358</v>
      </c>
      <c r="M39" s="3" t="n">
        <v>130.90287</v>
      </c>
      <c r="N39" s="3" t="n">
        <v>126.5975</v>
      </c>
      <c r="O39" s="3" t="n">
        <v>113.75739</v>
      </c>
      <c r="P39" s="3" t="n">
        <v>109.83618</v>
      </c>
      <c r="Q39" s="3" t="n">
        <v>111.71014</v>
      </c>
      <c r="R39" s="3" t="n">
        <v>118.97512</v>
      </c>
      <c r="S39" s="3" t="n">
        <v>125.08217</v>
      </c>
    </row>
    <row r="40" customFormat="false" ht="15" hidden="false" customHeight="false" outlineLevel="0" collapsed="false">
      <c r="B40" s="0" t="s">
        <v>91</v>
      </c>
      <c r="C40" s="2" t="n">
        <v>38990</v>
      </c>
      <c r="D40" s="3" t="n">
        <v>119.80935</v>
      </c>
      <c r="E40" s="3" t="n">
        <v>66.92232</v>
      </c>
      <c r="F40" s="3" t="n">
        <v>102.82189</v>
      </c>
      <c r="G40" s="3" t="n">
        <v>107.01663</v>
      </c>
      <c r="H40" s="3" t="n">
        <v>119.71065</v>
      </c>
      <c r="I40" s="3" t="n">
        <v>109.77899</v>
      </c>
      <c r="J40" s="3" t="n">
        <v>131.87538</v>
      </c>
      <c r="K40" s="3" t="n">
        <v>123.16277</v>
      </c>
      <c r="L40" s="3" t="n">
        <v>126.64825</v>
      </c>
      <c r="M40" s="3" t="n">
        <v>130.17492</v>
      </c>
      <c r="N40" s="3" t="n">
        <v>125.77791</v>
      </c>
      <c r="O40" s="3" t="n">
        <v>114.54727</v>
      </c>
      <c r="P40" s="3" t="n">
        <v>111.02796</v>
      </c>
      <c r="Q40" s="3" t="n">
        <v>113.17142</v>
      </c>
      <c r="R40" s="3" t="n">
        <v>116.19524</v>
      </c>
      <c r="S40" s="3" t="n">
        <v>119.39897</v>
      </c>
    </row>
    <row r="41" customFormat="false" ht="15" hidden="false" customHeight="false" outlineLevel="0" collapsed="false">
      <c r="B41" s="0" t="s">
        <v>92</v>
      </c>
      <c r="C41" s="2" t="n">
        <v>39021</v>
      </c>
      <c r="D41" s="3" t="n">
        <v>120.53007</v>
      </c>
      <c r="E41" s="3" t="n">
        <v>62.94514</v>
      </c>
      <c r="F41" s="3" t="n">
        <v>110.57112</v>
      </c>
      <c r="G41" s="3" t="n">
        <v>109.48228</v>
      </c>
      <c r="H41" s="3" t="n">
        <v>124.11589</v>
      </c>
      <c r="I41" s="3" t="n">
        <v>112.62058</v>
      </c>
      <c r="J41" s="3" t="n">
        <v>127.96111</v>
      </c>
      <c r="K41" s="3" t="n">
        <v>124.44133</v>
      </c>
      <c r="L41" s="3" t="n">
        <v>128.57783</v>
      </c>
      <c r="M41" s="3" t="n">
        <v>132.2248</v>
      </c>
      <c r="N41" s="3" t="n">
        <v>130.18145</v>
      </c>
      <c r="O41" s="3" t="n">
        <v>115.52887</v>
      </c>
      <c r="P41" s="3" t="n">
        <v>110.56395</v>
      </c>
      <c r="Q41" s="3" t="n">
        <v>113.35877</v>
      </c>
      <c r="R41" s="3" t="n">
        <v>111.84535</v>
      </c>
      <c r="S41" s="3" t="n">
        <v>119.82165</v>
      </c>
    </row>
    <row r="42" customFormat="false" ht="15" hidden="false" customHeight="false" outlineLevel="0" collapsed="false">
      <c r="B42" s="0" t="s">
        <v>93</v>
      </c>
      <c r="C42" s="2" t="n">
        <v>39051</v>
      </c>
      <c r="D42" s="3" t="n">
        <v>120.65319</v>
      </c>
      <c r="E42" s="3" t="n">
        <v>80.07303</v>
      </c>
      <c r="F42" s="3" t="n">
        <v>63.65408</v>
      </c>
      <c r="G42" s="3" t="n">
        <v>98.22967</v>
      </c>
      <c r="H42" s="3" t="n">
        <v>123.80693</v>
      </c>
      <c r="I42" s="3" t="n">
        <v>110.51193</v>
      </c>
      <c r="J42" s="3" t="n">
        <v>131.10739</v>
      </c>
      <c r="K42" s="3" t="n">
        <v>129.73407</v>
      </c>
      <c r="L42" s="3" t="n">
        <v>130.71585</v>
      </c>
      <c r="M42" s="3" t="n">
        <v>134.1227</v>
      </c>
      <c r="N42" s="3" t="n">
        <v>132.01832</v>
      </c>
      <c r="O42" s="3" t="n">
        <v>117.10427</v>
      </c>
      <c r="P42" s="3" t="n">
        <v>110.86949</v>
      </c>
      <c r="Q42" s="3" t="n">
        <v>113.81305</v>
      </c>
      <c r="R42" s="3" t="n">
        <v>111.26478</v>
      </c>
      <c r="S42" s="3" t="n">
        <v>120.52661</v>
      </c>
    </row>
    <row r="43" customFormat="false" ht="15" hidden="false" customHeight="false" outlineLevel="0" collapsed="false">
      <c r="B43" s="0" t="s">
        <v>94</v>
      </c>
      <c r="C43" s="2" t="n">
        <v>39082</v>
      </c>
      <c r="D43" s="3" t="n">
        <v>123.35638</v>
      </c>
      <c r="E43" s="3" t="n">
        <v>97.56012</v>
      </c>
      <c r="F43" s="3" t="n">
        <v>82.96293</v>
      </c>
      <c r="G43" s="3" t="n">
        <v>104.99298</v>
      </c>
      <c r="H43" s="3" t="n">
        <v>119.74175</v>
      </c>
      <c r="I43" s="3" t="n">
        <v>119.22396</v>
      </c>
      <c r="J43" s="3" t="n">
        <v>128.95722</v>
      </c>
      <c r="K43" s="3" t="n">
        <v>118.90352</v>
      </c>
      <c r="L43" s="3" t="n">
        <v>131.13682</v>
      </c>
      <c r="M43" s="3" t="n">
        <v>135.4701</v>
      </c>
      <c r="N43" s="3" t="n">
        <v>136.39178</v>
      </c>
      <c r="O43" s="3" t="n">
        <v>120.9172</v>
      </c>
      <c r="P43" s="3" t="n">
        <v>112.09775</v>
      </c>
      <c r="Q43" s="3" t="n">
        <v>115.03008</v>
      </c>
      <c r="R43" s="3" t="n">
        <v>109.26235</v>
      </c>
      <c r="S43" s="3" t="n">
        <v>123.11579</v>
      </c>
    </row>
    <row r="44" customFormat="false" ht="15" hidden="false" customHeight="false" outlineLevel="0" collapsed="false">
      <c r="B44" s="0" t="s">
        <v>95</v>
      </c>
      <c r="C44" s="2" t="n">
        <v>39113</v>
      </c>
      <c r="D44" s="3" t="n">
        <v>122.08744</v>
      </c>
      <c r="E44" s="3" t="n">
        <v>69.90778</v>
      </c>
      <c r="F44" s="3" t="n">
        <v>50.88753</v>
      </c>
      <c r="G44" s="3" t="n">
        <v>102.20541</v>
      </c>
      <c r="H44" s="3" t="n">
        <v>109.93223</v>
      </c>
      <c r="I44" s="3" t="n">
        <v>116.55531</v>
      </c>
      <c r="J44" s="3" t="n">
        <v>135.75124</v>
      </c>
      <c r="K44" s="3" t="n">
        <v>122.23919</v>
      </c>
      <c r="L44" s="3" t="n">
        <v>148.90692</v>
      </c>
      <c r="M44" s="3" t="n">
        <v>136.6066</v>
      </c>
      <c r="N44" s="3" t="n">
        <v>140.95887</v>
      </c>
      <c r="O44" s="3" t="n">
        <v>109.43889</v>
      </c>
      <c r="P44" s="3" t="n">
        <v>111.9041</v>
      </c>
      <c r="Q44" s="3" t="n">
        <v>112.18968</v>
      </c>
      <c r="R44" s="3" t="n">
        <v>114.39913</v>
      </c>
      <c r="S44" s="3" t="n">
        <v>130.8774</v>
      </c>
    </row>
    <row r="45" customFormat="false" ht="15" hidden="false" customHeight="false" outlineLevel="0" collapsed="false">
      <c r="B45" s="0" t="s">
        <v>96</v>
      </c>
      <c r="C45" s="2" t="n">
        <v>39141</v>
      </c>
      <c r="D45" s="3" t="n">
        <v>124.63366</v>
      </c>
      <c r="E45" s="3" t="n">
        <v>69.77521</v>
      </c>
      <c r="F45" s="3" t="n">
        <v>72.00833</v>
      </c>
      <c r="G45" s="3" t="n">
        <v>94.44749</v>
      </c>
      <c r="H45" s="3" t="n">
        <v>109.69852</v>
      </c>
      <c r="I45" s="3" t="n">
        <v>110.69664</v>
      </c>
      <c r="J45" s="3" t="n">
        <v>138.79714</v>
      </c>
      <c r="K45" s="3" t="n">
        <v>120.4579</v>
      </c>
      <c r="L45" s="3" t="n">
        <v>145.14226</v>
      </c>
      <c r="M45" s="3" t="n">
        <v>130.76191</v>
      </c>
      <c r="N45" s="3" t="n">
        <v>134.14479</v>
      </c>
      <c r="O45" s="3" t="n">
        <v>111.08668</v>
      </c>
      <c r="P45" s="3" t="n">
        <v>112.5604</v>
      </c>
      <c r="Q45" s="3" t="n">
        <v>112.72932</v>
      </c>
      <c r="R45" s="3" t="n">
        <v>109.76856</v>
      </c>
      <c r="S45" s="3" t="n">
        <v>128.38996</v>
      </c>
    </row>
    <row r="46" customFormat="false" ht="15" hidden="false" customHeight="false" outlineLevel="0" collapsed="false">
      <c r="B46" s="0" t="s">
        <v>97</v>
      </c>
      <c r="C46" s="2" t="n">
        <v>39172</v>
      </c>
      <c r="D46" s="3" t="n">
        <v>126.43758</v>
      </c>
      <c r="E46" s="3" t="n">
        <v>135.07051</v>
      </c>
      <c r="F46" s="3" t="n">
        <v>247.66896</v>
      </c>
      <c r="G46" s="3" t="n">
        <v>104.5811</v>
      </c>
      <c r="H46" s="3" t="n">
        <v>126.8827</v>
      </c>
      <c r="I46" s="3" t="n">
        <v>114.42696</v>
      </c>
      <c r="J46" s="3" t="n">
        <v>142.99604</v>
      </c>
      <c r="K46" s="3" t="n">
        <v>143.63859</v>
      </c>
      <c r="L46" s="3" t="n">
        <v>141.3796</v>
      </c>
      <c r="M46" s="3" t="n">
        <v>142.6367</v>
      </c>
      <c r="N46" s="3" t="n">
        <v>139.42221</v>
      </c>
      <c r="O46" s="3" t="n">
        <v>117.47126</v>
      </c>
      <c r="P46" s="3" t="n">
        <v>112.68684</v>
      </c>
      <c r="Q46" s="3" t="n">
        <v>113.43395</v>
      </c>
      <c r="R46" s="3" t="n">
        <v>118.64032</v>
      </c>
      <c r="S46" s="3" t="n">
        <v>129.10292</v>
      </c>
    </row>
    <row r="47" customFormat="false" ht="15" hidden="false" customHeight="false" outlineLevel="0" collapsed="false">
      <c r="B47" s="0" t="s">
        <v>98</v>
      </c>
      <c r="C47" s="2" t="n">
        <v>39202</v>
      </c>
      <c r="D47" s="3" t="n">
        <v>125.43197</v>
      </c>
      <c r="E47" s="3" t="n">
        <v>221.84991</v>
      </c>
      <c r="F47" s="3" t="n">
        <v>255.28242</v>
      </c>
      <c r="G47" s="3" t="n">
        <v>103.14937</v>
      </c>
      <c r="H47" s="3" t="n">
        <v>124.85819</v>
      </c>
      <c r="I47" s="3" t="n">
        <v>110.87351</v>
      </c>
      <c r="J47" s="3" t="n">
        <v>133.47483</v>
      </c>
      <c r="K47" s="3" t="n">
        <v>133.59185</v>
      </c>
      <c r="L47" s="3" t="n">
        <v>134.17227</v>
      </c>
      <c r="M47" s="3" t="n">
        <v>145.60313</v>
      </c>
      <c r="N47" s="3" t="n">
        <v>136.65726</v>
      </c>
      <c r="O47" s="3" t="n">
        <v>114.59945</v>
      </c>
      <c r="P47" s="3" t="n">
        <v>112.16895</v>
      </c>
      <c r="Q47" s="3" t="n">
        <v>112.80429</v>
      </c>
      <c r="R47" s="3" t="n">
        <v>121.85408</v>
      </c>
      <c r="S47" s="3" t="n">
        <v>124.68581</v>
      </c>
    </row>
    <row r="48" customFormat="false" ht="15" hidden="false" customHeight="false" outlineLevel="0" collapsed="false">
      <c r="B48" s="0" t="s">
        <v>99</v>
      </c>
      <c r="C48" s="2" t="n">
        <v>39233</v>
      </c>
      <c r="D48" s="3" t="n">
        <v>127.21823</v>
      </c>
      <c r="E48" s="3" t="n">
        <v>329.80886</v>
      </c>
      <c r="F48" s="3" t="n">
        <v>253.63222</v>
      </c>
      <c r="G48" s="3" t="n">
        <v>106.49724</v>
      </c>
      <c r="H48" s="3" t="n">
        <v>128.45394</v>
      </c>
      <c r="I48" s="3" t="n">
        <v>120.48274</v>
      </c>
      <c r="J48" s="3" t="n">
        <v>137.02396</v>
      </c>
      <c r="K48" s="3" t="n">
        <v>137.27301</v>
      </c>
      <c r="L48" s="3" t="n">
        <v>126.81859</v>
      </c>
      <c r="M48" s="3" t="n">
        <v>156.85605</v>
      </c>
      <c r="N48" s="3" t="n">
        <v>141.0553</v>
      </c>
      <c r="O48" s="3" t="n">
        <v>119.7159</v>
      </c>
      <c r="P48" s="3" t="n">
        <v>115.21381</v>
      </c>
      <c r="Q48" s="3" t="n">
        <v>117.16466</v>
      </c>
      <c r="R48" s="3" t="n">
        <v>124.18883</v>
      </c>
      <c r="S48" s="3" t="n">
        <v>130.8014</v>
      </c>
    </row>
    <row r="49" customFormat="false" ht="15" hidden="false" customHeight="false" outlineLevel="0" collapsed="false">
      <c r="B49" s="0" t="s">
        <v>100</v>
      </c>
      <c r="C49" s="2" t="n">
        <v>39263</v>
      </c>
      <c r="D49" s="3" t="n">
        <v>128.4754</v>
      </c>
      <c r="E49" s="3" t="n">
        <v>219.70145</v>
      </c>
      <c r="F49" s="3" t="n">
        <v>180.29199</v>
      </c>
      <c r="G49" s="3" t="n">
        <v>102.77532</v>
      </c>
      <c r="H49" s="3" t="n">
        <v>123.61382</v>
      </c>
      <c r="I49" s="3" t="n">
        <v>118.91859</v>
      </c>
      <c r="J49" s="3" t="n">
        <v>135.98659</v>
      </c>
      <c r="K49" s="3" t="n">
        <v>136.94505</v>
      </c>
      <c r="L49" s="3" t="n">
        <v>124.51905</v>
      </c>
      <c r="M49" s="3" t="n">
        <v>150.37635</v>
      </c>
      <c r="N49" s="3" t="n">
        <v>143.65223</v>
      </c>
      <c r="O49" s="3" t="n">
        <v>121.31784</v>
      </c>
      <c r="P49" s="3" t="n">
        <v>116.44294</v>
      </c>
      <c r="Q49" s="3" t="n">
        <v>119.71262</v>
      </c>
      <c r="R49" s="3" t="n">
        <v>128.16288</v>
      </c>
      <c r="S49" s="3" t="n">
        <v>131.71204</v>
      </c>
    </row>
    <row r="50" customFormat="false" ht="15" hidden="false" customHeight="false" outlineLevel="0" collapsed="false">
      <c r="B50" s="0" t="s">
        <v>101</v>
      </c>
      <c r="C50" s="2" t="n">
        <v>39294</v>
      </c>
      <c r="D50" s="3" t="n">
        <v>127.73554</v>
      </c>
      <c r="E50" s="3" t="n">
        <v>109.57606</v>
      </c>
      <c r="F50" s="3" t="n">
        <v>158.41213</v>
      </c>
      <c r="G50" s="3" t="n">
        <v>101.30076</v>
      </c>
      <c r="H50" s="3" t="n">
        <v>123.18963</v>
      </c>
      <c r="I50" s="3" t="n">
        <v>117.67898</v>
      </c>
      <c r="J50" s="3" t="n">
        <v>142.82249</v>
      </c>
      <c r="K50" s="3" t="n">
        <v>135.91223</v>
      </c>
      <c r="L50" s="3" t="n">
        <v>138.49153</v>
      </c>
      <c r="M50" s="3" t="n">
        <v>147.58889</v>
      </c>
      <c r="N50" s="3" t="n">
        <v>142.17835</v>
      </c>
      <c r="O50" s="3" t="n">
        <v>120.39366</v>
      </c>
      <c r="P50" s="3" t="n">
        <v>115.08763</v>
      </c>
      <c r="Q50" s="3" t="n">
        <v>117.83415</v>
      </c>
      <c r="R50" s="3" t="n">
        <v>120.01477</v>
      </c>
      <c r="S50" s="3" t="n">
        <v>147.53146</v>
      </c>
    </row>
    <row r="51" customFormat="false" ht="15" hidden="false" customHeight="false" outlineLevel="0" collapsed="false">
      <c r="B51" s="0" t="s">
        <v>102</v>
      </c>
      <c r="C51" s="2" t="n">
        <v>39325</v>
      </c>
      <c r="D51" s="3" t="n">
        <v>128.75588</v>
      </c>
      <c r="E51" s="3" t="n">
        <v>70.40975</v>
      </c>
      <c r="F51" s="3" t="n">
        <v>105.27367</v>
      </c>
      <c r="G51" s="3" t="n">
        <v>105.42477</v>
      </c>
      <c r="H51" s="3" t="n">
        <v>128.42225</v>
      </c>
      <c r="I51" s="3" t="n">
        <v>118.00216</v>
      </c>
      <c r="J51" s="3" t="n">
        <v>144.03195</v>
      </c>
      <c r="K51" s="3" t="n">
        <v>140.28456</v>
      </c>
      <c r="L51" s="3" t="n">
        <v>135.97773</v>
      </c>
      <c r="M51" s="3" t="n">
        <v>146.79564</v>
      </c>
      <c r="N51" s="3" t="n">
        <v>145.02093</v>
      </c>
      <c r="O51" s="3" t="n">
        <v>122.01944</v>
      </c>
      <c r="P51" s="3" t="n">
        <v>115.32336</v>
      </c>
      <c r="Q51" s="3" t="n">
        <v>118.03771</v>
      </c>
      <c r="R51" s="3" t="n">
        <v>125.22863</v>
      </c>
      <c r="S51" s="3" t="n">
        <v>137.95009</v>
      </c>
    </row>
    <row r="52" customFormat="false" ht="15" hidden="false" customHeight="false" outlineLevel="0" collapsed="false">
      <c r="B52" s="0" t="s">
        <v>103</v>
      </c>
      <c r="C52" s="2" t="n">
        <v>39355</v>
      </c>
      <c r="D52" s="3" t="n">
        <v>129.61435</v>
      </c>
      <c r="E52" s="3" t="n">
        <v>64.36351</v>
      </c>
      <c r="F52" s="3" t="n">
        <v>80.56722</v>
      </c>
      <c r="G52" s="3" t="n">
        <v>103.24314</v>
      </c>
      <c r="H52" s="3" t="n">
        <v>131.08455</v>
      </c>
      <c r="I52" s="3" t="n">
        <v>112.13813</v>
      </c>
      <c r="J52" s="3" t="n">
        <v>144.6334</v>
      </c>
      <c r="K52" s="3" t="n">
        <v>137.95224</v>
      </c>
      <c r="L52" s="3" t="n">
        <v>137.36398</v>
      </c>
      <c r="M52" s="3" t="n">
        <v>143.87713</v>
      </c>
      <c r="N52" s="3" t="n">
        <v>139.88084</v>
      </c>
      <c r="O52" s="3" t="n">
        <v>121.01716</v>
      </c>
      <c r="P52" s="3" t="n">
        <v>115.49902</v>
      </c>
      <c r="Q52" s="3" t="n">
        <v>118.03153</v>
      </c>
      <c r="R52" s="3" t="n">
        <v>121.5479</v>
      </c>
      <c r="S52" s="3" t="n">
        <v>129.39774</v>
      </c>
    </row>
    <row r="53" customFormat="false" ht="15" hidden="false" customHeight="false" outlineLevel="0" collapsed="false">
      <c r="B53" s="0" t="s">
        <v>104</v>
      </c>
      <c r="C53" s="2" t="n">
        <v>39386</v>
      </c>
      <c r="D53" s="3" t="n">
        <v>131.23956</v>
      </c>
      <c r="E53" s="3" t="n">
        <v>66.72752</v>
      </c>
      <c r="F53" s="3" t="n">
        <v>67.2137</v>
      </c>
      <c r="G53" s="3" t="n">
        <v>104.56883</v>
      </c>
      <c r="H53" s="3" t="n">
        <v>138.76001</v>
      </c>
      <c r="I53" s="3" t="n">
        <v>111.84105</v>
      </c>
      <c r="J53" s="3" t="n">
        <v>142.74653</v>
      </c>
      <c r="K53" s="3" t="n">
        <v>145.73802</v>
      </c>
      <c r="L53" s="3" t="n">
        <v>141.39326</v>
      </c>
      <c r="M53" s="3" t="n">
        <v>149.04246</v>
      </c>
      <c r="N53" s="3" t="n">
        <v>143.96145</v>
      </c>
      <c r="O53" s="3" t="n">
        <v>123.77768</v>
      </c>
      <c r="P53" s="3" t="n">
        <v>115.86999</v>
      </c>
      <c r="Q53" s="3" t="n">
        <v>118.21041</v>
      </c>
      <c r="R53" s="3" t="n">
        <v>118.93247</v>
      </c>
      <c r="S53" s="3" t="n">
        <v>127.4445</v>
      </c>
    </row>
    <row r="54" customFormat="false" ht="15" hidden="false" customHeight="false" outlineLevel="0" collapsed="false">
      <c r="B54" s="0" t="s">
        <v>105</v>
      </c>
      <c r="C54" s="2" t="n">
        <v>39416</v>
      </c>
      <c r="D54" s="3" t="n">
        <v>132.63358</v>
      </c>
      <c r="E54" s="3" t="n">
        <v>83.9648</v>
      </c>
      <c r="F54" s="3" t="n">
        <v>53.16506</v>
      </c>
      <c r="G54" s="3" t="n">
        <v>97.3397</v>
      </c>
      <c r="H54" s="3" t="n">
        <v>136.61399</v>
      </c>
      <c r="I54" s="3" t="n">
        <v>110.52503</v>
      </c>
      <c r="J54" s="3" t="n">
        <v>143.21543</v>
      </c>
      <c r="K54" s="3" t="n">
        <v>146.75402</v>
      </c>
      <c r="L54" s="3" t="n">
        <v>144.96855</v>
      </c>
      <c r="M54" s="3" t="n">
        <v>148.87285</v>
      </c>
      <c r="N54" s="3" t="n">
        <v>144.28543</v>
      </c>
      <c r="O54" s="3" t="n">
        <v>124.35614</v>
      </c>
      <c r="P54" s="3" t="n">
        <v>118.35075</v>
      </c>
      <c r="Q54" s="3" t="n">
        <v>121.13843</v>
      </c>
      <c r="R54" s="3" t="n">
        <v>118.95044</v>
      </c>
      <c r="S54" s="3" t="n">
        <v>127.5005</v>
      </c>
    </row>
    <row r="55" customFormat="false" ht="15" hidden="false" customHeight="false" outlineLevel="0" collapsed="false">
      <c r="B55" s="0" t="s">
        <v>106</v>
      </c>
      <c r="C55" s="2" t="n">
        <v>39447</v>
      </c>
      <c r="D55" s="3" t="n">
        <v>134.19822</v>
      </c>
      <c r="E55" s="3" t="n">
        <v>95.8848</v>
      </c>
      <c r="F55" s="3" t="n">
        <v>68.6152</v>
      </c>
      <c r="G55" s="3" t="n">
        <v>104.53256</v>
      </c>
      <c r="H55" s="3" t="n">
        <v>130.82771</v>
      </c>
      <c r="I55" s="3" t="n">
        <v>120.25047</v>
      </c>
      <c r="J55" s="3" t="n">
        <v>138.39451</v>
      </c>
      <c r="K55" s="3" t="n">
        <v>133.34146</v>
      </c>
      <c r="L55" s="3" t="n">
        <v>145.04545</v>
      </c>
      <c r="M55" s="3" t="n">
        <v>150.37318</v>
      </c>
      <c r="N55" s="3" t="n">
        <v>148.16453</v>
      </c>
      <c r="O55" s="3" t="n">
        <v>123.24751</v>
      </c>
      <c r="P55" s="3" t="n">
        <v>119.02683</v>
      </c>
      <c r="Q55" s="3" t="n">
        <v>120.67058</v>
      </c>
      <c r="R55" s="3" t="n">
        <v>116.21405</v>
      </c>
      <c r="S55" s="3" t="n">
        <v>129.11812</v>
      </c>
    </row>
    <row r="56" customFormat="false" ht="15" hidden="false" customHeight="false" outlineLevel="0" collapsed="false">
      <c r="B56" s="0" t="s">
        <v>107</v>
      </c>
      <c r="C56" s="2" t="n">
        <v>39478</v>
      </c>
      <c r="D56" s="3" t="n">
        <v>135.1947</v>
      </c>
      <c r="E56" s="3" t="n">
        <v>66.47802</v>
      </c>
      <c r="F56" s="3" t="n">
        <v>34.1555</v>
      </c>
      <c r="G56" s="3" t="n">
        <v>101.51196</v>
      </c>
      <c r="H56" s="3" t="n">
        <v>121.8446</v>
      </c>
      <c r="I56" s="3" t="n">
        <v>125.75605</v>
      </c>
      <c r="J56" s="3" t="n">
        <v>147.91517</v>
      </c>
      <c r="K56" s="3" t="n">
        <v>137.41853</v>
      </c>
      <c r="L56" s="3" t="n">
        <v>156.68158</v>
      </c>
      <c r="M56" s="3" t="n">
        <v>152.23999</v>
      </c>
      <c r="N56" s="3" t="n">
        <v>153.10122</v>
      </c>
      <c r="O56" s="3" t="n">
        <v>118.0455</v>
      </c>
      <c r="P56" s="3" t="n">
        <v>113.80871</v>
      </c>
      <c r="Q56" s="3" t="n">
        <v>112.82231</v>
      </c>
      <c r="R56" s="3" t="n">
        <v>122.65756</v>
      </c>
      <c r="S56" s="3" t="n">
        <v>135.59705</v>
      </c>
    </row>
    <row r="57" customFormat="false" ht="15" hidden="false" customHeight="false" outlineLevel="0" collapsed="false">
      <c r="B57" s="0" t="s">
        <v>108</v>
      </c>
      <c r="C57" s="2" t="n">
        <v>39507</v>
      </c>
      <c r="D57" s="3" t="n">
        <v>133.42689</v>
      </c>
      <c r="E57" s="3" t="n">
        <v>68.6845</v>
      </c>
      <c r="F57" s="3" t="n">
        <v>58.97301</v>
      </c>
      <c r="G57" s="3" t="n">
        <v>97.65461</v>
      </c>
      <c r="H57" s="3" t="n">
        <v>119.05996</v>
      </c>
      <c r="I57" s="3" t="n">
        <v>119.2242</v>
      </c>
      <c r="J57" s="3" t="n">
        <v>150.62739</v>
      </c>
      <c r="K57" s="3" t="n">
        <v>134.8747</v>
      </c>
      <c r="L57" s="3" t="n">
        <v>150.98107</v>
      </c>
      <c r="M57" s="3" t="n">
        <v>146.23769</v>
      </c>
      <c r="N57" s="3" t="n">
        <v>146.66367</v>
      </c>
      <c r="O57" s="3" t="n">
        <v>121.34103</v>
      </c>
      <c r="P57" s="3" t="n">
        <v>117.07542</v>
      </c>
      <c r="Q57" s="3" t="n">
        <v>116.67436</v>
      </c>
      <c r="R57" s="3" t="n">
        <v>115.68528</v>
      </c>
      <c r="S57" s="3" t="n">
        <v>134.30506</v>
      </c>
    </row>
    <row r="58" customFormat="false" ht="15" hidden="false" customHeight="false" outlineLevel="0" collapsed="false">
      <c r="B58" s="0" t="s">
        <v>109</v>
      </c>
      <c r="C58" s="2" t="n">
        <v>39538</v>
      </c>
      <c r="D58" s="3" t="n">
        <v>133.38365</v>
      </c>
      <c r="E58" s="3" t="n">
        <v>134.99408</v>
      </c>
      <c r="F58" s="3" t="n">
        <v>157.05404</v>
      </c>
      <c r="G58" s="3" t="n">
        <v>104.39753</v>
      </c>
      <c r="H58" s="3" t="n">
        <v>129.66358</v>
      </c>
      <c r="I58" s="3" t="n">
        <v>120.24886</v>
      </c>
      <c r="J58" s="3" t="n">
        <v>151.29946</v>
      </c>
      <c r="K58" s="3" t="n">
        <v>148.09038</v>
      </c>
      <c r="L58" s="3" t="n">
        <v>146.14583</v>
      </c>
      <c r="M58" s="3" t="n">
        <v>150.31607</v>
      </c>
      <c r="N58" s="3" t="n">
        <v>144.80846</v>
      </c>
      <c r="O58" s="3" t="n">
        <v>121.38912</v>
      </c>
      <c r="P58" s="3" t="n">
        <v>117.22839</v>
      </c>
      <c r="Q58" s="3" t="n">
        <v>116.9817</v>
      </c>
      <c r="R58" s="3" t="n">
        <v>124.81951</v>
      </c>
      <c r="S58" s="3" t="n">
        <v>134.57425</v>
      </c>
    </row>
    <row r="59" customFormat="false" ht="15" hidden="false" customHeight="false" outlineLevel="0" collapsed="false">
      <c r="B59" s="0" t="s">
        <v>110</v>
      </c>
      <c r="C59" s="2" t="n">
        <v>39568</v>
      </c>
      <c r="D59" s="3" t="n">
        <v>135.74808</v>
      </c>
      <c r="E59" s="3" t="n">
        <v>220.23862</v>
      </c>
      <c r="F59" s="3" t="n">
        <v>239.91334</v>
      </c>
      <c r="G59" s="3" t="n">
        <v>100.5856</v>
      </c>
      <c r="H59" s="3" t="n">
        <v>137.3136</v>
      </c>
      <c r="I59" s="3" t="n">
        <v>114.97871</v>
      </c>
      <c r="J59" s="3" t="n">
        <v>148.68453</v>
      </c>
      <c r="K59" s="3" t="n">
        <v>156.59721</v>
      </c>
      <c r="L59" s="3" t="n">
        <v>136.05825</v>
      </c>
      <c r="M59" s="3" t="n">
        <v>158.74103</v>
      </c>
      <c r="N59" s="3" t="n">
        <v>149.61238</v>
      </c>
      <c r="O59" s="3" t="n">
        <v>125.82177</v>
      </c>
      <c r="P59" s="3" t="n">
        <v>118.02643</v>
      </c>
      <c r="Q59" s="3" t="n">
        <v>119.25466</v>
      </c>
      <c r="R59" s="3" t="n">
        <v>131.24948</v>
      </c>
      <c r="S59" s="3" t="n">
        <v>136.27307</v>
      </c>
    </row>
    <row r="60" customFormat="false" ht="15" hidden="false" customHeight="false" outlineLevel="0" collapsed="false">
      <c r="B60" s="0" t="s">
        <v>111</v>
      </c>
      <c r="C60" s="2" t="n">
        <v>39599</v>
      </c>
      <c r="D60" s="3" t="n">
        <v>134.857</v>
      </c>
      <c r="E60" s="3" t="n">
        <v>321.72079</v>
      </c>
      <c r="F60" s="3" t="n">
        <v>276.52825</v>
      </c>
      <c r="G60" s="3" t="n">
        <v>90.95123</v>
      </c>
      <c r="H60" s="3" t="n">
        <v>137.48693</v>
      </c>
      <c r="I60" s="3" t="n">
        <v>118.2811</v>
      </c>
      <c r="J60" s="3" t="n">
        <v>149.09926</v>
      </c>
      <c r="K60" s="3" t="n">
        <v>153.45632</v>
      </c>
      <c r="L60" s="3" t="n">
        <v>131.38468</v>
      </c>
      <c r="M60" s="3" t="n">
        <v>165.88869</v>
      </c>
      <c r="N60" s="3" t="n">
        <v>151.21577</v>
      </c>
      <c r="O60" s="3" t="n">
        <v>127.59402</v>
      </c>
      <c r="P60" s="3" t="n">
        <v>119.15231</v>
      </c>
      <c r="Q60" s="3" t="n">
        <v>120.97955</v>
      </c>
      <c r="R60" s="3" t="n">
        <v>133.85055</v>
      </c>
      <c r="S60" s="3" t="n">
        <v>139.58975</v>
      </c>
    </row>
    <row r="61" customFormat="false" ht="15" hidden="false" customHeight="false" outlineLevel="0" collapsed="false">
      <c r="B61" s="0" t="s">
        <v>112</v>
      </c>
      <c r="C61" s="2" t="n">
        <v>39629</v>
      </c>
      <c r="D61" s="3" t="n">
        <v>133.38336</v>
      </c>
      <c r="E61" s="3" t="n">
        <v>211.85741</v>
      </c>
      <c r="F61" s="3" t="n">
        <v>225.78967</v>
      </c>
      <c r="G61" s="3" t="n">
        <v>98.07133</v>
      </c>
      <c r="H61" s="3" t="n">
        <v>128.33319</v>
      </c>
      <c r="I61" s="3" t="n">
        <v>128.4128</v>
      </c>
      <c r="J61" s="3" t="n">
        <v>147.06546</v>
      </c>
      <c r="K61" s="3" t="n">
        <v>142.70971</v>
      </c>
      <c r="L61" s="3" t="n">
        <v>125.2245</v>
      </c>
      <c r="M61" s="3" t="n">
        <v>154.64867</v>
      </c>
      <c r="N61" s="3" t="n">
        <v>150.23475</v>
      </c>
      <c r="O61" s="3" t="n">
        <v>127.53844</v>
      </c>
      <c r="P61" s="3" t="n">
        <v>121.38057</v>
      </c>
      <c r="Q61" s="3" t="n">
        <v>124.62259</v>
      </c>
      <c r="R61" s="3" t="n">
        <v>135.6315</v>
      </c>
      <c r="S61" s="3" t="n">
        <v>141.66703</v>
      </c>
    </row>
    <row r="62" customFormat="false" ht="15" hidden="false" customHeight="false" outlineLevel="0" collapsed="false">
      <c r="B62" s="0" t="s">
        <v>113</v>
      </c>
      <c r="C62" s="2" t="n">
        <v>39660</v>
      </c>
      <c r="D62" s="3" t="n">
        <v>135.2707</v>
      </c>
      <c r="E62" s="3" t="n">
        <v>110.97879</v>
      </c>
      <c r="F62" s="3" t="n">
        <v>172.39082</v>
      </c>
      <c r="G62" s="3" t="n">
        <v>103.67887</v>
      </c>
      <c r="H62" s="3" t="n">
        <v>136.75464</v>
      </c>
      <c r="I62" s="3" t="n">
        <v>123.69675</v>
      </c>
      <c r="J62" s="3" t="n">
        <v>152.13607</v>
      </c>
      <c r="K62" s="3" t="n">
        <v>152.20251</v>
      </c>
      <c r="L62" s="3" t="n">
        <v>138.95826</v>
      </c>
      <c r="M62" s="3" t="n">
        <v>157.12993</v>
      </c>
      <c r="N62" s="3" t="n">
        <v>146.85224</v>
      </c>
      <c r="O62" s="3" t="n">
        <v>128.84794</v>
      </c>
      <c r="P62" s="3" t="n">
        <v>120.7667</v>
      </c>
      <c r="Q62" s="3" t="n">
        <v>123.588</v>
      </c>
      <c r="R62" s="3" t="n">
        <v>129.98158</v>
      </c>
      <c r="S62" s="3" t="n">
        <v>150.49598</v>
      </c>
    </row>
    <row r="63" customFormat="false" ht="15" hidden="false" customHeight="false" outlineLevel="0" collapsed="false">
      <c r="B63" s="0" t="s">
        <v>114</v>
      </c>
      <c r="C63" s="2" t="n">
        <v>39691</v>
      </c>
      <c r="D63" s="3" t="n">
        <v>135.69375</v>
      </c>
      <c r="E63" s="3" t="n">
        <v>70.81372</v>
      </c>
      <c r="F63" s="3" t="n">
        <v>176.42805</v>
      </c>
      <c r="G63" s="3" t="n">
        <v>104.76908</v>
      </c>
      <c r="H63" s="3" t="n">
        <v>134.09634</v>
      </c>
      <c r="I63" s="3" t="n">
        <v>126.32093</v>
      </c>
      <c r="J63" s="3" t="n">
        <v>149.61283</v>
      </c>
      <c r="K63" s="3" t="n">
        <v>142.84046</v>
      </c>
      <c r="L63" s="3" t="n">
        <v>139.44352</v>
      </c>
      <c r="M63" s="3" t="n">
        <v>154.04953</v>
      </c>
      <c r="N63" s="3" t="n">
        <v>155.14314</v>
      </c>
      <c r="O63" s="3" t="n">
        <v>126.00455</v>
      </c>
      <c r="P63" s="3" t="n">
        <v>121.26434</v>
      </c>
      <c r="Q63" s="3" t="n">
        <v>124.28776</v>
      </c>
      <c r="R63" s="3" t="n">
        <v>133.08794</v>
      </c>
      <c r="S63" s="3" t="n">
        <v>143.81542</v>
      </c>
    </row>
    <row r="64" customFormat="false" ht="15" hidden="false" customHeight="false" outlineLevel="0" collapsed="false">
      <c r="B64" s="0" t="s">
        <v>115</v>
      </c>
      <c r="C64" s="2" t="n">
        <v>39721</v>
      </c>
      <c r="D64" s="3" t="n">
        <v>135.91022</v>
      </c>
      <c r="E64" s="3" t="n">
        <v>67.16126</v>
      </c>
      <c r="F64" s="3" t="n">
        <v>86.88275</v>
      </c>
      <c r="G64" s="3" t="n">
        <v>102.46918</v>
      </c>
      <c r="H64" s="3" t="n">
        <v>140.77953</v>
      </c>
      <c r="I64" s="3" t="n">
        <v>120.10366</v>
      </c>
      <c r="J64" s="3" t="n">
        <v>149.98842</v>
      </c>
      <c r="K64" s="3" t="n">
        <v>148.4033</v>
      </c>
      <c r="L64" s="3" t="n">
        <v>138.45378</v>
      </c>
      <c r="M64" s="3" t="n">
        <v>153.65089</v>
      </c>
      <c r="N64" s="3" t="n">
        <v>150.67969</v>
      </c>
      <c r="O64" s="3" t="n">
        <v>127.33159</v>
      </c>
      <c r="P64" s="3" t="n">
        <v>121.77432</v>
      </c>
      <c r="Q64" s="3" t="n">
        <v>124.79368</v>
      </c>
      <c r="R64" s="3" t="n">
        <v>131.10744</v>
      </c>
      <c r="S64" s="3" t="n">
        <v>135.83322</v>
      </c>
    </row>
    <row r="65" customFormat="false" ht="15" hidden="false" customHeight="false" outlineLevel="0" collapsed="false">
      <c r="B65" s="0" t="s">
        <v>116</v>
      </c>
      <c r="C65" s="2" t="n">
        <v>39752</v>
      </c>
      <c r="D65" s="3" t="n">
        <v>132.51585</v>
      </c>
      <c r="E65" s="3" t="n">
        <v>66.49249</v>
      </c>
      <c r="F65" s="3" t="n">
        <v>107.59852</v>
      </c>
      <c r="G65" s="3" t="n">
        <v>104.91981</v>
      </c>
      <c r="H65" s="3" t="n">
        <v>137.17683</v>
      </c>
      <c r="I65" s="3" t="n">
        <v>112.85634</v>
      </c>
      <c r="J65" s="3" t="n">
        <v>138.28099</v>
      </c>
      <c r="K65" s="3" t="n">
        <v>144.93943</v>
      </c>
      <c r="L65" s="3" t="n">
        <v>137.85613</v>
      </c>
      <c r="M65" s="3" t="n">
        <v>153.61917</v>
      </c>
      <c r="N65" s="3" t="n">
        <v>157.18486</v>
      </c>
      <c r="O65" s="3" t="n">
        <v>127.93237</v>
      </c>
      <c r="P65" s="3" t="n">
        <v>121.05672</v>
      </c>
      <c r="Q65" s="3" t="n">
        <v>124.76943</v>
      </c>
      <c r="R65" s="3" t="n">
        <v>125.55961</v>
      </c>
      <c r="S65" s="3" t="n">
        <v>136.54055</v>
      </c>
    </row>
    <row r="66" customFormat="false" ht="15" hidden="false" customHeight="false" outlineLevel="0" collapsed="false">
      <c r="B66" s="0" t="s">
        <v>117</v>
      </c>
      <c r="C66" s="2" t="n">
        <v>39782</v>
      </c>
      <c r="D66" s="3" t="n">
        <v>130.32737</v>
      </c>
      <c r="E66" s="3" t="n">
        <v>80.22294</v>
      </c>
      <c r="F66" s="3" t="n">
        <v>62.39521</v>
      </c>
      <c r="G66" s="3" t="n">
        <v>102.721</v>
      </c>
      <c r="H66" s="3" t="n">
        <v>126.10218</v>
      </c>
      <c r="I66" s="3" t="n">
        <v>118.13284</v>
      </c>
      <c r="J66" s="3" t="n">
        <v>136.19411</v>
      </c>
      <c r="K66" s="3" t="n">
        <v>133.01685</v>
      </c>
      <c r="L66" s="3" t="n">
        <v>136.73028</v>
      </c>
      <c r="M66" s="3" t="n">
        <v>148.66963</v>
      </c>
      <c r="N66" s="3" t="n">
        <v>149.27482</v>
      </c>
      <c r="O66" s="3" t="n">
        <v>126.43614</v>
      </c>
      <c r="P66" s="3" t="n">
        <v>121.86256</v>
      </c>
      <c r="Q66" s="3" t="n">
        <v>125.22744</v>
      </c>
      <c r="R66" s="3" t="n">
        <v>126.03622</v>
      </c>
      <c r="S66" s="3" t="n">
        <v>131.02576</v>
      </c>
    </row>
    <row r="67" customFormat="false" ht="15" hidden="false" customHeight="false" outlineLevel="0" collapsed="false">
      <c r="B67" s="0" t="s">
        <v>118</v>
      </c>
      <c r="C67" s="2" t="n">
        <v>39813</v>
      </c>
      <c r="D67" s="3" t="n">
        <v>125.16881</v>
      </c>
      <c r="E67" s="3" t="n">
        <v>79.39646</v>
      </c>
      <c r="F67" s="3" t="n">
        <v>79.54291</v>
      </c>
      <c r="G67" s="3" t="n">
        <v>104.38528</v>
      </c>
      <c r="H67" s="3" t="n">
        <v>118.48942</v>
      </c>
      <c r="I67" s="3" t="n">
        <v>121.37018</v>
      </c>
      <c r="J67" s="3" t="n">
        <v>129.50512</v>
      </c>
      <c r="K67" s="3" t="n">
        <v>126.03383</v>
      </c>
      <c r="L67" s="3" t="n">
        <v>134.54159</v>
      </c>
      <c r="M67" s="3" t="n">
        <v>149.33868</v>
      </c>
      <c r="N67" s="3" t="n">
        <v>150.46493</v>
      </c>
      <c r="O67" s="3" t="n">
        <v>128.64941</v>
      </c>
      <c r="P67" s="3" t="n">
        <v>123.61003</v>
      </c>
      <c r="Q67" s="3" t="n">
        <v>126.63382</v>
      </c>
      <c r="R67" s="3" t="n">
        <v>122.04311</v>
      </c>
      <c r="S67" s="3" t="n">
        <v>134.15255</v>
      </c>
    </row>
    <row r="68" customFormat="false" ht="15" hidden="false" customHeight="false" outlineLevel="0" collapsed="false">
      <c r="B68" s="0" t="s">
        <v>119</v>
      </c>
      <c r="C68" s="2" t="n">
        <v>39844</v>
      </c>
      <c r="D68" s="3" t="n">
        <v>124.2895</v>
      </c>
      <c r="E68" s="3" t="n">
        <v>58.55011</v>
      </c>
      <c r="F68" s="3" t="n">
        <v>34.84538</v>
      </c>
      <c r="G68" s="3" t="n">
        <v>104.92022</v>
      </c>
      <c r="H68" s="3" t="n">
        <v>105.19123</v>
      </c>
      <c r="I68" s="3" t="n">
        <v>124.30868</v>
      </c>
      <c r="J68" s="3" t="n">
        <v>125.99261</v>
      </c>
      <c r="K68" s="3" t="n">
        <v>120.26612</v>
      </c>
      <c r="L68" s="3" t="n">
        <v>146.41677</v>
      </c>
      <c r="M68" s="3" t="n">
        <v>146.82269</v>
      </c>
      <c r="N68" s="3" t="n">
        <v>152.42089</v>
      </c>
      <c r="O68" s="3" t="n">
        <v>116.23294</v>
      </c>
      <c r="P68" s="3" t="n">
        <v>118.98874</v>
      </c>
      <c r="Q68" s="3" t="n">
        <v>121.22617</v>
      </c>
      <c r="R68" s="3" t="n">
        <v>131.75328</v>
      </c>
      <c r="S68" s="3" t="n">
        <v>136.33252</v>
      </c>
    </row>
    <row r="69" customFormat="false" ht="15" hidden="false" customHeight="false" outlineLevel="0" collapsed="false">
      <c r="B69" s="0" t="s">
        <v>120</v>
      </c>
      <c r="C69" s="2" t="n">
        <v>39872</v>
      </c>
      <c r="D69" s="3" t="n">
        <v>126.22969</v>
      </c>
      <c r="E69" s="3" t="n">
        <v>62.70701</v>
      </c>
      <c r="F69" s="3" t="n">
        <v>53.18348</v>
      </c>
      <c r="G69" s="3" t="n">
        <v>97.66844</v>
      </c>
      <c r="H69" s="3" t="n">
        <v>103.25427</v>
      </c>
      <c r="I69" s="3" t="n">
        <v>113.49132</v>
      </c>
      <c r="J69" s="3" t="n">
        <v>126.56238</v>
      </c>
      <c r="K69" s="3" t="n">
        <v>117.65104</v>
      </c>
      <c r="L69" s="3" t="n">
        <v>140.20528</v>
      </c>
      <c r="M69" s="3" t="n">
        <v>142.49545</v>
      </c>
      <c r="N69" s="3" t="n">
        <v>145.76916</v>
      </c>
      <c r="O69" s="3" t="n">
        <v>117.40609</v>
      </c>
      <c r="P69" s="3" t="n">
        <v>120.88068</v>
      </c>
      <c r="Q69" s="3" t="n">
        <v>121.27729</v>
      </c>
      <c r="R69" s="3" t="n">
        <v>123.41542</v>
      </c>
      <c r="S69" s="3" t="n">
        <v>134.24128</v>
      </c>
    </row>
    <row r="70" customFormat="false" ht="15" hidden="false" customHeight="false" outlineLevel="0" collapsed="false">
      <c r="B70" s="0" t="s">
        <v>121</v>
      </c>
      <c r="C70" s="2" t="n">
        <v>39903</v>
      </c>
      <c r="D70" s="3" t="n">
        <v>123.45784</v>
      </c>
      <c r="E70" s="3" t="n">
        <v>107.09319</v>
      </c>
      <c r="F70" s="3" t="n">
        <v>130.07123</v>
      </c>
      <c r="G70" s="3" t="n">
        <v>107.0721</v>
      </c>
      <c r="H70" s="3" t="n">
        <v>117.24068</v>
      </c>
      <c r="I70" s="3" t="n">
        <v>123.53953</v>
      </c>
      <c r="J70" s="3" t="n">
        <v>127.48666</v>
      </c>
      <c r="K70" s="3" t="n">
        <v>137.40331</v>
      </c>
      <c r="L70" s="3" t="n">
        <v>133.27104</v>
      </c>
      <c r="M70" s="3" t="n">
        <v>150.89527</v>
      </c>
      <c r="N70" s="3" t="n">
        <v>149.99451</v>
      </c>
      <c r="O70" s="3" t="n">
        <v>121.145</v>
      </c>
      <c r="P70" s="3" t="n">
        <v>121.17669</v>
      </c>
      <c r="Q70" s="3" t="n">
        <v>121.67568</v>
      </c>
      <c r="R70" s="3" t="n">
        <v>133.27848</v>
      </c>
      <c r="S70" s="3" t="n">
        <v>131.09912</v>
      </c>
    </row>
    <row r="71" customFormat="false" ht="15" hidden="false" customHeight="false" outlineLevel="0" collapsed="false">
      <c r="B71" s="0" t="s">
        <v>122</v>
      </c>
      <c r="C71" s="2" t="n">
        <v>39933</v>
      </c>
      <c r="D71" s="3" t="n">
        <v>121.77051</v>
      </c>
      <c r="E71" s="3" t="n">
        <v>131.07232</v>
      </c>
      <c r="F71" s="3" t="n">
        <v>154.14665</v>
      </c>
      <c r="G71" s="3" t="n">
        <v>102.09554</v>
      </c>
      <c r="H71" s="3" t="n">
        <v>119.35513</v>
      </c>
      <c r="I71" s="3" t="n">
        <v>115.48844</v>
      </c>
      <c r="J71" s="3" t="n">
        <v>122.06602</v>
      </c>
      <c r="K71" s="3" t="n">
        <v>129.50056</v>
      </c>
      <c r="L71" s="3" t="n">
        <v>133.07241</v>
      </c>
      <c r="M71" s="3" t="n">
        <v>154.77599</v>
      </c>
      <c r="N71" s="3" t="n">
        <v>149.27282</v>
      </c>
      <c r="O71" s="3" t="n">
        <v>120.43156</v>
      </c>
      <c r="P71" s="3" t="n">
        <v>119.10548</v>
      </c>
      <c r="Q71" s="3" t="n">
        <v>120.83437</v>
      </c>
      <c r="R71" s="3" t="n">
        <v>140.98607</v>
      </c>
      <c r="S71" s="3" t="n">
        <v>136.44365</v>
      </c>
    </row>
    <row r="72" customFormat="false" ht="15" hidden="false" customHeight="false" outlineLevel="0" collapsed="false">
      <c r="B72" s="0" t="s">
        <v>123</v>
      </c>
      <c r="C72" s="2" t="n">
        <v>39964</v>
      </c>
      <c r="D72" s="3" t="n">
        <v>121.10578</v>
      </c>
      <c r="E72" s="3" t="n">
        <v>187.01353</v>
      </c>
      <c r="F72" s="3" t="n">
        <v>179.42068</v>
      </c>
      <c r="G72" s="3" t="n">
        <v>104.00745</v>
      </c>
      <c r="H72" s="3" t="n">
        <v>120.74205</v>
      </c>
      <c r="I72" s="3" t="n">
        <v>121.93546</v>
      </c>
      <c r="J72" s="3" t="n">
        <v>121.64189</v>
      </c>
      <c r="K72" s="3" t="n">
        <v>128.6443</v>
      </c>
      <c r="L72" s="3" t="n">
        <v>129.25188</v>
      </c>
      <c r="M72" s="3" t="n">
        <v>159.66237</v>
      </c>
      <c r="N72" s="3" t="n">
        <v>149.0496</v>
      </c>
      <c r="O72" s="3" t="n">
        <v>121.13459</v>
      </c>
      <c r="P72" s="3" t="n">
        <v>121.00533</v>
      </c>
      <c r="Q72" s="3" t="n">
        <v>123.14612</v>
      </c>
      <c r="R72" s="3" t="n">
        <v>143.87056</v>
      </c>
      <c r="S72" s="3" t="n">
        <v>137.48234</v>
      </c>
    </row>
    <row r="73" customFormat="false" ht="15" hidden="false" customHeight="false" outlineLevel="0" collapsed="false">
      <c r="B73" s="0" t="s">
        <v>124</v>
      </c>
      <c r="C73" s="2" t="n">
        <v>39994</v>
      </c>
      <c r="D73" s="3" t="n">
        <v>122.54345</v>
      </c>
      <c r="E73" s="3" t="n">
        <v>129.43471</v>
      </c>
      <c r="F73" s="3" t="n">
        <v>125.08378</v>
      </c>
      <c r="G73" s="3" t="n">
        <v>100.34862</v>
      </c>
      <c r="H73" s="3" t="n">
        <v>120.03731</v>
      </c>
      <c r="I73" s="3" t="n">
        <v>129.85826</v>
      </c>
      <c r="J73" s="3" t="n">
        <v>121.74694</v>
      </c>
      <c r="K73" s="3" t="n">
        <v>132.88544</v>
      </c>
      <c r="L73" s="3" t="n">
        <v>126.9389</v>
      </c>
      <c r="M73" s="3" t="n">
        <v>156.78493</v>
      </c>
      <c r="N73" s="3" t="n">
        <v>153.87433</v>
      </c>
      <c r="O73" s="3" t="n">
        <v>123.94397</v>
      </c>
      <c r="P73" s="3" t="n">
        <v>122.67577</v>
      </c>
      <c r="Q73" s="3" t="n">
        <v>126.24965</v>
      </c>
      <c r="R73" s="3" t="n">
        <v>144.13332</v>
      </c>
      <c r="S73" s="3" t="n">
        <v>137.62645</v>
      </c>
    </row>
    <row r="74" customFormat="false" ht="15" hidden="false" customHeight="false" outlineLevel="0" collapsed="false">
      <c r="B74" s="0" t="s">
        <v>125</v>
      </c>
      <c r="C74" s="2" t="n">
        <v>40025</v>
      </c>
      <c r="D74" s="3" t="n">
        <v>124.75464</v>
      </c>
      <c r="E74" s="3" t="n">
        <v>89.27759</v>
      </c>
      <c r="F74" s="3" t="n">
        <v>96.40436</v>
      </c>
      <c r="G74" s="3" t="n">
        <v>103.15891</v>
      </c>
      <c r="H74" s="3" t="n">
        <v>124.92474</v>
      </c>
      <c r="I74" s="3" t="n">
        <v>130.82581</v>
      </c>
      <c r="J74" s="3" t="n">
        <v>133.13331</v>
      </c>
      <c r="K74" s="3" t="n">
        <v>135.41131</v>
      </c>
      <c r="L74" s="3" t="n">
        <v>128.20027</v>
      </c>
      <c r="M74" s="3" t="n">
        <v>152.93957</v>
      </c>
      <c r="N74" s="3" t="n">
        <v>148.30136</v>
      </c>
      <c r="O74" s="3" t="n">
        <v>121.54044</v>
      </c>
      <c r="P74" s="3" t="n">
        <v>125.27834</v>
      </c>
      <c r="Q74" s="3" t="n">
        <v>128.0803</v>
      </c>
      <c r="R74" s="3" t="n">
        <v>139.58517</v>
      </c>
      <c r="S74" s="3" t="n">
        <v>142.76372</v>
      </c>
    </row>
    <row r="75" customFormat="false" ht="15" hidden="false" customHeight="false" outlineLevel="0" collapsed="false">
      <c r="B75" s="0" t="s">
        <v>126</v>
      </c>
      <c r="C75" s="2" t="n">
        <v>40056</v>
      </c>
      <c r="D75" s="3" t="n">
        <v>126.7923</v>
      </c>
      <c r="E75" s="3" t="n">
        <v>64.71539</v>
      </c>
      <c r="F75" s="3" t="n">
        <v>148.11397</v>
      </c>
      <c r="G75" s="3" t="n">
        <v>93.87471</v>
      </c>
      <c r="H75" s="3" t="n">
        <v>125.41001</v>
      </c>
      <c r="I75" s="3" t="n">
        <v>120.69719</v>
      </c>
      <c r="J75" s="3" t="n">
        <v>132.86596</v>
      </c>
      <c r="K75" s="3" t="n">
        <v>132.06273</v>
      </c>
      <c r="L75" s="3" t="n">
        <v>129.63058</v>
      </c>
      <c r="M75" s="3" t="n">
        <v>151.22961</v>
      </c>
      <c r="N75" s="3" t="n">
        <v>150.27918</v>
      </c>
      <c r="O75" s="3" t="n">
        <v>122.72013</v>
      </c>
      <c r="P75" s="3" t="n">
        <v>125.5244</v>
      </c>
      <c r="Q75" s="3" t="n">
        <v>128.54416</v>
      </c>
      <c r="R75" s="3" t="n">
        <v>142.92644</v>
      </c>
      <c r="S75" s="3" t="n">
        <v>142.72815</v>
      </c>
    </row>
    <row r="76" customFormat="false" ht="15" hidden="false" customHeight="false" outlineLevel="0" collapsed="false">
      <c r="B76" s="0" t="s">
        <v>127</v>
      </c>
      <c r="C76" s="2" t="n">
        <v>40086</v>
      </c>
      <c r="D76" s="3" t="n">
        <v>128.17867</v>
      </c>
      <c r="E76" s="3" t="n">
        <v>63.0563</v>
      </c>
      <c r="F76" s="3" t="n">
        <v>148.60768</v>
      </c>
      <c r="G76" s="3" t="n">
        <v>100.19597</v>
      </c>
      <c r="H76" s="3" t="n">
        <v>126.60793</v>
      </c>
      <c r="I76" s="3" t="n">
        <v>116.35778</v>
      </c>
      <c r="J76" s="3" t="n">
        <v>133.30444</v>
      </c>
      <c r="K76" s="3" t="n">
        <v>138.35082</v>
      </c>
      <c r="L76" s="3" t="n">
        <v>133.84814</v>
      </c>
      <c r="M76" s="3" t="n">
        <v>151.80212</v>
      </c>
      <c r="N76" s="3" t="n">
        <v>153.103</v>
      </c>
      <c r="O76" s="3" t="n">
        <v>123.72933</v>
      </c>
      <c r="P76" s="3" t="n">
        <v>126.95438</v>
      </c>
      <c r="Q76" s="3" t="n">
        <v>130.4684</v>
      </c>
      <c r="R76" s="3" t="n">
        <v>140.68605</v>
      </c>
      <c r="S76" s="3" t="n">
        <v>141.19617</v>
      </c>
    </row>
    <row r="77" customFormat="false" ht="15" hidden="false" customHeight="false" outlineLevel="0" collapsed="false">
      <c r="B77" s="0" t="s">
        <v>128</v>
      </c>
      <c r="C77" s="2" t="n">
        <v>40117</v>
      </c>
      <c r="D77" s="3" t="n">
        <v>129.20725</v>
      </c>
      <c r="E77" s="3" t="n">
        <v>62.25635</v>
      </c>
      <c r="F77" s="3" t="n">
        <v>116.24535</v>
      </c>
      <c r="G77" s="3" t="n">
        <v>104.92291</v>
      </c>
      <c r="H77" s="3" t="n">
        <v>133.75188</v>
      </c>
      <c r="I77" s="3" t="n">
        <v>115.25899</v>
      </c>
      <c r="J77" s="3" t="n">
        <v>131.41324</v>
      </c>
      <c r="K77" s="3" t="n">
        <v>139.52278</v>
      </c>
      <c r="L77" s="3" t="n">
        <v>142.42034</v>
      </c>
      <c r="M77" s="3" t="n">
        <v>154.80998</v>
      </c>
      <c r="N77" s="3" t="n">
        <v>149.42292</v>
      </c>
      <c r="O77" s="3" t="n">
        <v>123.44279</v>
      </c>
      <c r="P77" s="3" t="n">
        <v>126.32223</v>
      </c>
      <c r="Q77" s="3" t="n">
        <v>130.17821</v>
      </c>
      <c r="R77" s="3" t="n">
        <v>134.16398</v>
      </c>
      <c r="S77" s="3" t="n">
        <v>138.5284</v>
      </c>
    </row>
    <row r="78" customFormat="false" ht="15" hidden="false" customHeight="false" outlineLevel="0" collapsed="false">
      <c r="B78" s="0" t="s">
        <v>129</v>
      </c>
      <c r="C78" s="2" t="n">
        <v>40147</v>
      </c>
      <c r="D78" s="3" t="n">
        <v>129.72978</v>
      </c>
      <c r="E78" s="3" t="n">
        <v>76.30145</v>
      </c>
      <c r="F78" s="3" t="n">
        <v>80.85368</v>
      </c>
      <c r="G78" s="3" t="n">
        <v>98.98985</v>
      </c>
      <c r="H78" s="3" t="n">
        <v>130.62056</v>
      </c>
      <c r="I78" s="3" t="n">
        <v>114.36469</v>
      </c>
      <c r="J78" s="3" t="n">
        <v>131.43286</v>
      </c>
      <c r="K78" s="3" t="n">
        <v>138.41927</v>
      </c>
      <c r="L78" s="3" t="n">
        <v>142.59641</v>
      </c>
      <c r="M78" s="3" t="n">
        <v>154.37512</v>
      </c>
      <c r="N78" s="3" t="n">
        <v>149.46153</v>
      </c>
      <c r="O78" s="3" t="n">
        <v>124.60679</v>
      </c>
      <c r="P78" s="3" t="n">
        <v>127.26532</v>
      </c>
      <c r="Q78" s="3" t="n">
        <v>131.00839</v>
      </c>
      <c r="R78" s="3" t="n">
        <v>134.51406</v>
      </c>
      <c r="S78" s="3" t="n">
        <v>138.42491</v>
      </c>
    </row>
    <row r="79" customFormat="false" ht="15" hidden="false" customHeight="false" outlineLevel="0" collapsed="false">
      <c r="B79" s="0" t="s">
        <v>130</v>
      </c>
      <c r="C79" s="2" t="n">
        <v>40178</v>
      </c>
      <c r="D79" s="3" t="n">
        <v>128.07244</v>
      </c>
      <c r="E79" s="3" t="n">
        <v>72.4782</v>
      </c>
      <c r="F79" s="3" t="n">
        <v>76.17508</v>
      </c>
      <c r="G79" s="3" t="n">
        <v>101.89216</v>
      </c>
      <c r="H79" s="3" t="n">
        <v>126.19625</v>
      </c>
      <c r="I79" s="3" t="n">
        <v>115.6474</v>
      </c>
      <c r="J79" s="3" t="n">
        <v>127.36768</v>
      </c>
      <c r="K79" s="3" t="n">
        <v>131.56071</v>
      </c>
      <c r="L79" s="3" t="n">
        <v>142.05162</v>
      </c>
      <c r="M79" s="3" t="n">
        <v>155.65149</v>
      </c>
      <c r="N79" s="3" t="n">
        <v>151.39096</v>
      </c>
      <c r="O79" s="3" t="n">
        <v>128.82137</v>
      </c>
      <c r="P79" s="3" t="n">
        <v>128.59687</v>
      </c>
      <c r="Q79" s="3" t="n">
        <v>132.21059</v>
      </c>
      <c r="R79" s="3" t="n">
        <v>130.05422</v>
      </c>
      <c r="S79" s="3" t="n">
        <v>140.84804</v>
      </c>
    </row>
    <row r="80" customFormat="false" ht="15" hidden="false" customHeight="false" outlineLevel="0" collapsed="false">
      <c r="B80" s="0" t="s">
        <v>131</v>
      </c>
      <c r="C80" s="2" t="n">
        <v>40209</v>
      </c>
      <c r="D80" s="3" t="n">
        <v>131.72001</v>
      </c>
      <c r="E80" s="3" t="n">
        <v>56.01883</v>
      </c>
      <c r="F80" s="3" t="n">
        <v>21.87595</v>
      </c>
      <c r="G80" s="3" t="n">
        <v>103.62415</v>
      </c>
      <c r="H80" s="3" t="n">
        <v>115.15503</v>
      </c>
      <c r="I80" s="3" t="n">
        <v>124.13139</v>
      </c>
      <c r="J80" s="3" t="n">
        <v>133.22835</v>
      </c>
      <c r="K80" s="3" t="n">
        <v>126.1397</v>
      </c>
      <c r="L80" s="3" t="n">
        <v>156.74286</v>
      </c>
      <c r="M80" s="3" t="n">
        <v>156.11257</v>
      </c>
      <c r="N80" s="3" t="n">
        <v>148.76434</v>
      </c>
      <c r="O80" s="3" t="n">
        <v>120.26391</v>
      </c>
      <c r="P80" s="3" t="n">
        <v>126.62219</v>
      </c>
      <c r="Q80" s="3" t="n">
        <v>127.5877</v>
      </c>
      <c r="R80" s="3" t="n">
        <v>136.42044</v>
      </c>
      <c r="S80" s="3" t="n">
        <v>145.74326</v>
      </c>
    </row>
    <row r="81" customFormat="false" ht="15" hidden="false" customHeight="false" outlineLevel="0" collapsed="false">
      <c r="B81" s="0" t="s">
        <v>132</v>
      </c>
      <c r="C81" s="2" t="n">
        <v>40237</v>
      </c>
      <c r="D81" s="3" t="n">
        <v>133.12326</v>
      </c>
      <c r="E81" s="3" t="n">
        <v>64.67635</v>
      </c>
      <c r="F81" s="3" t="n">
        <v>57.00376</v>
      </c>
      <c r="G81" s="3" t="n">
        <v>98.59075</v>
      </c>
      <c r="H81" s="3" t="n">
        <v>111.43871</v>
      </c>
      <c r="I81" s="3" t="n">
        <v>114.99657</v>
      </c>
      <c r="J81" s="3" t="n">
        <v>135.49078</v>
      </c>
      <c r="K81" s="3" t="n">
        <v>125.50303</v>
      </c>
      <c r="L81" s="3" t="n">
        <v>150.24617</v>
      </c>
      <c r="M81" s="3" t="n">
        <v>150.3208</v>
      </c>
      <c r="N81" s="3" t="n">
        <v>143.88753</v>
      </c>
      <c r="O81" s="3" t="n">
        <v>122.31814</v>
      </c>
      <c r="P81" s="3" t="n">
        <v>127.29933</v>
      </c>
      <c r="Q81" s="3" t="n">
        <v>128.30565</v>
      </c>
      <c r="R81" s="3" t="n">
        <v>129.68857</v>
      </c>
      <c r="S81" s="3" t="n">
        <v>142.91728</v>
      </c>
    </row>
    <row r="82" customFormat="false" ht="15" hidden="false" customHeight="false" outlineLevel="0" collapsed="false">
      <c r="B82" s="0" t="s">
        <v>133</v>
      </c>
      <c r="C82" s="2" t="n">
        <v>40268</v>
      </c>
      <c r="D82" s="3" t="n">
        <v>133.97039</v>
      </c>
      <c r="E82" s="3" t="n">
        <v>132.68326</v>
      </c>
      <c r="F82" s="3" t="n">
        <v>107.62323</v>
      </c>
      <c r="G82" s="3" t="n">
        <v>106.71996</v>
      </c>
      <c r="H82" s="3" t="n">
        <v>132.32417</v>
      </c>
      <c r="I82" s="3" t="n">
        <v>125.0452</v>
      </c>
      <c r="J82" s="3" t="n">
        <v>138.56826</v>
      </c>
      <c r="K82" s="3" t="n">
        <v>152.80121</v>
      </c>
      <c r="L82" s="3" t="n">
        <v>144.99973</v>
      </c>
      <c r="M82" s="3" t="n">
        <v>162.37765</v>
      </c>
      <c r="N82" s="3" t="n">
        <v>151.16545</v>
      </c>
      <c r="O82" s="3" t="n">
        <v>126.8045</v>
      </c>
      <c r="P82" s="3" t="n">
        <v>126.92718</v>
      </c>
      <c r="Q82" s="3" t="n">
        <v>128.85141</v>
      </c>
      <c r="R82" s="3" t="n">
        <v>139.74239</v>
      </c>
      <c r="S82" s="3" t="n">
        <v>140.34197</v>
      </c>
    </row>
    <row r="83" customFormat="false" ht="15" hidden="false" customHeight="false" outlineLevel="0" collapsed="false">
      <c r="B83" s="0" t="s">
        <v>134</v>
      </c>
      <c r="C83" s="2" t="n">
        <v>40298</v>
      </c>
      <c r="D83" s="3" t="n">
        <v>136.86532</v>
      </c>
      <c r="E83" s="3" t="n">
        <v>232.44862</v>
      </c>
      <c r="F83" s="3" t="n">
        <v>92.05784</v>
      </c>
      <c r="G83" s="3" t="n">
        <v>103.74503</v>
      </c>
      <c r="H83" s="3" t="n">
        <v>132.98049</v>
      </c>
      <c r="I83" s="3" t="n">
        <v>114.698</v>
      </c>
      <c r="J83" s="3" t="n">
        <v>139.77889</v>
      </c>
      <c r="K83" s="3" t="n">
        <v>145.21374</v>
      </c>
      <c r="L83" s="3" t="n">
        <v>141.98045</v>
      </c>
      <c r="M83" s="3" t="n">
        <v>169.65268</v>
      </c>
      <c r="N83" s="3" t="n">
        <v>149.26112</v>
      </c>
      <c r="O83" s="3" t="n">
        <v>126.39803</v>
      </c>
      <c r="P83" s="3" t="n">
        <v>126.60834</v>
      </c>
      <c r="Q83" s="3" t="n">
        <v>129.32946</v>
      </c>
      <c r="R83" s="3" t="n">
        <v>147.10104</v>
      </c>
      <c r="S83" s="3" t="n">
        <v>141.50041</v>
      </c>
    </row>
    <row r="84" customFormat="false" ht="15" hidden="false" customHeight="false" outlineLevel="0" collapsed="false">
      <c r="B84" s="0" t="s">
        <v>135</v>
      </c>
      <c r="C84" s="2" t="n">
        <v>40329</v>
      </c>
      <c r="D84" s="3" t="n">
        <v>139.19129</v>
      </c>
      <c r="E84" s="3" t="n">
        <v>351.01806</v>
      </c>
      <c r="F84" s="3" t="n">
        <v>165.26494</v>
      </c>
      <c r="G84" s="3" t="n">
        <v>105.99494</v>
      </c>
      <c r="H84" s="3" t="n">
        <v>135.83994</v>
      </c>
      <c r="I84" s="3" t="n">
        <v>122.22695</v>
      </c>
      <c r="J84" s="3" t="n">
        <v>139.17218</v>
      </c>
      <c r="K84" s="3" t="n">
        <v>147.20022</v>
      </c>
      <c r="L84" s="3" t="n">
        <v>138.3492</v>
      </c>
      <c r="M84" s="3" t="n">
        <v>181.20534</v>
      </c>
      <c r="N84" s="3" t="n">
        <v>151.0788</v>
      </c>
      <c r="O84" s="3" t="n">
        <v>126.85021</v>
      </c>
      <c r="P84" s="3" t="n">
        <v>127.45071</v>
      </c>
      <c r="Q84" s="3" t="n">
        <v>130.67897</v>
      </c>
      <c r="R84" s="3" t="n">
        <v>149.53182</v>
      </c>
      <c r="S84" s="3" t="n">
        <v>144.55629</v>
      </c>
    </row>
    <row r="85" customFormat="false" ht="15" hidden="false" customHeight="false" outlineLevel="0" collapsed="false">
      <c r="B85" s="0" t="s">
        <v>136</v>
      </c>
      <c r="C85" s="2" t="n">
        <v>40359</v>
      </c>
      <c r="D85" s="3" t="n">
        <v>140.56871</v>
      </c>
      <c r="E85" s="3" t="n">
        <v>231.31112</v>
      </c>
      <c r="F85" s="3" t="n">
        <v>165.13657</v>
      </c>
      <c r="G85" s="3" t="n">
        <v>105.32556</v>
      </c>
      <c r="H85" s="3" t="n">
        <v>134.92884</v>
      </c>
      <c r="I85" s="3" t="n">
        <v>123.262</v>
      </c>
      <c r="J85" s="3" t="n">
        <v>139.20843</v>
      </c>
      <c r="K85" s="3" t="n">
        <v>151.04527</v>
      </c>
      <c r="L85" s="3" t="n">
        <v>136.31664</v>
      </c>
      <c r="M85" s="3" t="n">
        <v>174.17172</v>
      </c>
      <c r="N85" s="3" t="n">
        <v>157.59376</v>
      </c>
      <c r="O85" s="3" t="n">
        <v>129.77639</v>
      </c>
      <c r="P85" s="3" t="n">
        <v>129.14916</v>
      </c>
      <c r="Q85" s="3" t="n">
        <v>133.62993</v>
      </c>
      <c r="R85" s="3" t="n">
        <v>153.62914</v>
      </c>
      <c r="S85" s="3" t="n">
        <v>144.7401</v>
      </c>
    </row>
    <row r="86" customFormat="false" ht="15" hidden="false" customHeight="false" outlineLevel="0" collapsed="false">
      <c r="B86" s="0" t="s">
        <v>137</v>
      </c>
      <c r="C86" s="2" t="n">
        <v>40390</v>
      </c>
      <c r="D86" s="3" t="n">
        <v>139.39691</v>
      </c>
      <c r="E86" s="3" t="n">
        <v>108.79993</v>
      </c>
      <c r="F86" s="3" t="n">
        <v>182.14913</v>
      </c>
      <c r="G86" s="3" t="n">
        <v>107.074</v>
      </c>
      <c r="H86" s="3" t="n">
        <v>137.56758</v>
      </c>
      <c r="I86" s="3" t="n">
        <v>130.71289</v>
      </c>
      <c r="J86" s="3" t="n">
        <v>143.70378</v>
      </c>
      <c r="K86" s="3" t="n">
        <v>150.81996</v>
      </c>
      <c r="L86" s="3" t="n">
        <v>151.32398</v>
      </c>
      <c r="M86" s="3" t="n">
        <v>168.8645</v>
      </c>
      <c r="N86" s="3" t="n">
        <v>146.25228</v>
      </c>
      <c r="O86" s="3" t="n">
        <v>128.12131</v>
      </c>
      <c r="P86" s="3" t="n">
        <v>127.37046</v>
      </c>
      <c r="Q86" s="3" t="n">
        <v>131.46611</v>
      </c>
      <c r="R86" s="3" t="n">
        <v>147.80475</v>
      </c>
      <c r="S86" s="3" t="n">
        <v>161.30601</v>
      </c>
    </row>
    <row r="87" customFormat="false" ht="15" hidden="false" customHeight="false" outlineLevel="0" collapsed="false">
      <c r="B87" s="0" t="s">
        <v>138</v>
      </c>
      <c r="C87" s="2" t="n">
        <v>40421</v>
      </c>
      <c r="D87" s="3" t="n">
        <v>140.00233</v>
      </c>
      <c r="E87" s="3" t="n">
        <v>65.88319</v>
      </c>
      <c r="F87" s="3" t="n">
        <v>164.52301</v>
      </c>
      <c r="G87" s="3" t="n">
        <v>106.96708</v>
      </c>
      <c r="H87" s="3" t="n">
        <v>141.99986</v>
      </c>
      <c r="I87" s="3" t="n">
        <v>127.94687</v>
      </c>
      <c r="J87" s="3" t="n">
        <v>146.3669</v>
      </c>
      <c r="K87" s="3" t="n">
        <v>155.6929</v>
      </c>
      <c r="L87" s="3" t="n">
        <v>148.02375</v>
      </c>
      <c r="M87" s="3" t="n">
        <v>167.60949</v>
      </c>
      <c r="N87" s="3" t="n">
        <v>151.1991</v>
      </c>
      <c r="O87" s="3" t="n">
        <v>129.64634</v>
      </c>
      <c r="P87" s="3" t="n">
        <v>127.51645</v>
      </c>
      <c r="Q87" s="3" t="n">
        <v>131.62517</v>
      </c>
      <c r="R87" s="3" t="n">
        <v>146.72869</v>
      </c>
      <c r="S87" s="3" t="n">
        <v>148.33672</v>
      </c>
    </row>
    <row r="88" customFormat="false" ht="15" hidden="false" customHeight="false" outlineLevel="0" collapsed="false">
      <c r="B88" s="0" t="s">
        <v>139</v>
      </c>
      <c r="C88" s="2" t="n">
        <v>40451</v>
      </c>
      <c r="D88" s="3" t="n">
        <v>139.38548</v>
      </c>
      <c r="E88" s="3" t="n">
        <v>62.24432</v>
      </c>
      <c r="F88" s="3" t="n">
        <v>181.35571</v>
      </c>
      <c r="G88" s="3" t="n">
        <v>103.22263</v>
      </c>
      <c r="H88" s="3" t="n">
        <v>141.63377</v>
      </c>
      <c r="I88" s="3" t="n">
        <v>118.09139</v>
      </c>
      <c r="J88" s="3" t="n">
        <v>148.74256</v>
      </c>
      <c r="K88" s="3" t="n">
        <v>156.71794</v>
      </c>
      <c r="L88" s="3" t="n">
        <v>150.41602</v>
      </c>
      <c r="M88" s="3" t="n">
        <v>165.70629</v>
      </c>
      <c r="N88" s="3" t="n">
        <v>150.7847</v>
      </c>
      <c r="O88" s="3" t="n">
        <v>131.04464</v>
      </c>
      <c r="P88" s="3" t="n">
        <v>127.88455</v>
      </c>
      <c r="Q88" s="3" t="n">
        <v>131.7563</v>
      </c>
      <c r="R88" s="3" t="n">
        <v>144.55641</v>
      </c>
      <c r="S88" s="3" t="n">
        <v>143.76256</v>
      </c>
    </row>
    <row r="89" customFormat="false" ht="15" hidden="false" customHeight="false" outlineLevel="0" collapsed="false">
      <c r="B89" s="0" t="s">
        <v>140</v>
      </c>
      <c r="C89" s="2" t="n">
        <v>40482</v>
      </c>
      <c r="D89" s="3" t="n">
        <v>140.18864</v>
      </c>
      <c r="E89" s="3" t="n">
        <v>66.21698</v>
      </c>
      <c r="F89" s="3" t="n">
        <v>93.29197</v>
      </c>
      <c r="G89" s="3" t="n">
        <v>103.2743</v>
      </c>
      <c r="H89" s="3" t="n">
        <v>145.56468</v>
      </c>
      <c r="I89" s="3" t="n">
        <v>118.44288</v>
      </c>
      <c r="J89" s="3" t="n">
        <v>138.73948</v>
      </c>
      <c r="K89" s="3" t="n">
        <v>155.40844</v>
      </c>
      <c r="L89" s="3" t="n">
        <v>154.1943</v>
      </c>
      <c r="M89" s="3" t="n">
        <v>166.71581</v>
      </c>
      <c r="N89" s="3" t="n">
        <v>149.23945</v>
      </c>
      <c r="O89" s="3" t="n">
        <v>129.69302</v>
      </c>
      <c r="P89" s="3" t="n">
        <v>128.24643</v>
      </c>
      <c r="Q89" s="3" t="n">
        <v>131.51535</v>
      </c>
      <c r="R89" s="3" t="n">
        <v>139.20061</v>
      </c>
      <c r="S89" s="3" t="n">
        <v>142.70687</v>
      </c>
    </row>
    <row r="90" customFormat="false" ht="15" hidden="false" customHeight="false" outlineLevel="0" collapsed="false">
      <c r="B90" s="0" t="s">
        <v>141</v>
      </c>
      <c r="C90" s="2" t="n">
        <v>40512</v>
      </c>
      <c r="D90" s="3" t="n">
        <v>142.24157</v>
      </c>
      <c r="E90" s="3" t="n">
        <v>85.84106</v>
      </c>
      <c r="F90" s="3" t="n">
        <v>72.75389</v>
      </c>
      <c r="G90" s="3" t="n">
        <v>101.50728</v>
      </c>
      <c r="H90" s="3" t="n">
        <v>145.08496</v>
      </c>
      <c r="I90" s="3" t="n">
        <v>117.00008</v>
      </c>
      <c r="J90" s="3" t="n">
        <v>142.07103</v>
      </c>
      <c r="K90" s="3" t="n">
        <v>164.91353</v>
      </c>
      <c r="L90" s="3" t="n">
        <v>155.94638</v>
      </c>
      <c r="M90" s="3" t="n">
        <v>166.71256</v>
      </c>
      <c r="N90" s="3" t="n">
        <v>154.38004</v>
      </c>
      <c r="O90" s="3" t="n">
        <v>133.55824</v>
      </c>
      <c r="P90" s="3" t="n">
        <v>129.23933</v>
      </c>
      <c r="Q90" s="3" t="n">
        <v>132.37731</v>
      </c>
      <c r="R90" s="3" t="n">
        <v>139.65627</v>
      </c>
      <c r="S90" s="3" t="n">
        <v>145.39445</v>
      </c>
    </row>
    <row r="91" customFormat="false" ht="15" hidden="false" customHeight="false" outlineLevel="0" collapsed="false">
      <c r="B91" s="0" t="s">
        <v>142</v>
      </c>
      <c r="C91" s="2" t="n">
        <v>40543</v>
      </c>
      <c r="D91" s="3" t="n">
        <v>141.97979</v>
      </c>
      <c r="E91" s="3" t="n">
        <v>101.36221</v>
      </c>
      <c r="F91" s="3" t="n">
        <v>76.78538</v>
      </c>
      <c r="G91" s="3" t="n">
        <v>92.28962</v>
      </c>
      <c r="H91" s="3" t="n">
        <v>137.34264</v>
      </c>
      <c r="I91" s="3" t="n">
        <v>130.3302</v>
      </c>
      <c r="J91" s="3" t="n">
        <v>140.02872</v>
      </c>
      <c r="K91" s="3" t="n">
        <v>150.69449</v>
      </c>
      <c r="L91" s="3" t="n">
        <v>153.34018</v>
      </c>
      <c r="M91" s="3" t="n">
        <v>165.72048</v>
      </c>
      <c r="N91" s="3" t="n">
        <v>157.7885</v>
      </c>
      <c r="O91" s="3" t="n">
        <v>137.15282</v>
      </c>
      <c r="P91" s="3" t="n">
        <v>130.69773</v>
      </c>
      <c r="Q91" s="3" t="n">
        <v>133.86809</v>
      </c>
      <c r="R91" s="3" t="n">
        <v>135.51101</v>
      </c>
      <c r="S91" s="3" t="n">
        <v>145.54055</v>
      </c>
    </row>
    <row r="92" customFormat="false" ht="15" hidden="false" customHeight="false" outlineLevel="0" collapsed="false">
      <c r="B92" s="0" t="s">
        <v>143</v>
      </c>
      <c r="C92" s="2" t="n">
        <v>40574</v>
      </c>
      <c r="D92" s="3" t="n">
        <v>145.85115</v>
      </c>
      <c r="E92" s="3" t="n">
        <v>70.92886</v>
      </c>
      <c r="F92" s="3" t="n">
        <v>40.39553</v>
      </c>
      <c r="G92" s="3" t="n">
        <v>99.42726</v>
      </c>
      <c r="H92" s="3" t="n">
        <v>127.12641</v>
      </c>
      <c r="I92" s="3" t="n">
        <v>132.59669</v>
      </c>
      <c r="J92" s="3" t="n">
        <v>149.2881</v>
      </c>
      <c r="K92" s="3" t="n">
        <v>145.58576</v>
      </c>
      <c r="L92" s="3" t="n">
        <v>165.19937</v>
      </c>
      <c r="M92" s="3" t="n">
        <v>169.18512</v>
      </c>
      <c r="N92" s="3" t="n">
        <v>159.24717</v>
      </c>
      <c r="O92" s="3" t="n">
        <v>124.09558</v>
      </c>
      <c r="P92" s="3" t="n">
        <v>129.38689</v>
      </c>
      <c r="Q92" s="3" t="n">
        <v>130.14565</v>
      </c>
      <c r="R92" s="3" t="n">
        <v>145.39633</v>
      </c>
      <c r="S92" s="3" t="n">
        <v>153.06368</v>
      </c>
    </row>
    <row r="93" customFormat="false" ht="15" hidden="false" customHeight="false" outlineLevel="0" collapsed="false">
      <c r="B93" s="0" t="s">
        <v>144</v>
      </c>
      <c r="C93" s="2" t="n">
        <v>40602</v>
      </c>
      <c r="D93" s="3" t="n">
        <v>143.85332</v>
      </c>
      <c r="E93" s="3" t="n">
        <v>71.39902</v>
      </c>
      <c r="F93" s="3" t="n">
        <v>71.0993</v>
      </c>
      <c r="G93" s="3" t="n">
        <v>93.89886</v>
      </c>
      <c r="H93" s="3" t="n">
        <v>124.19082</v>
      </c>
      <c r="I93" s="3" t="n">
        <v>120.89072</v>
      </c>
      <c r="J93" s="3" t="n">
        <v>151.77651</v>
      </c>
      <c r="K93" s="3" t="n">
        <v>141.15349</v>
      </c>
      <c r="L93" s="3" t="n">
        <v>154.85384</v>
      </c>
      <c r="M93" s="3" t="n">
        <v>161.65064</v>
      </c>
      <c r="N93" s="3" t="n">
        <v>155.94532</v>
      </c>
      <c r="O93" s="3" t="n">
        <v>125.52429</v>
      </c>
      <c r="P93" s="3" t="n">
        <v>129.99665</v>
      </c>
      <c r="Q93" s="3" t="n">
        <v>131.05419</v>
      </c>
      <c r="R93" s="3" t="n">
        <v>138.11169</v>
      </c>
      <c r="S93" s="3" t="n">
        <v>148.382</v>
      </c>
    </row>
    <row r="94" customFormat="false" ht="15" hidden="false" customHeight="false" outlineLevel="0" collapsed="false">
      <c r="B94" s="0" t="s">
        <v>145</v>
      </c>
      <c r="C94" s="2" t="n">
        <v>40633</v>
      </c>
      <c r="D94" s="3" t="n">
        <v>144.86151</v>
      </c>
      <c r="E94" s="3" t="n">
        <v>139.76586</v>
      </c>
      <c r="F94" s="3" t="n">
        <v>126.00072</v>
      </c>
      <c r="G94" s="3" t="n">
        <v>101.56634</v>
      </c>
      <c r="H94" s="3" t="n">
        <v>145.23558</v>
      </c>
      <c r="I94" s="3" t="n">
        <v>129.82139</v>
      </c>
      <c r="J94" s="3" t="n">
        <v>154.68058</v>
      </c>
      <c r="K94" s="3" t="n">
        <v>171.3862</v>
      </c>
      <c r="L94" s="3" t="n">
        <v>154.09497</v>
      </c>
      <c r="M94" s="3" t="n">
        <v>174.30562</v>
      </c>
      <c r="N94" s="3" t="n">
        <v>160.17654</v>
      </c>
      <c r="O94" s="3" t="n">
        <v>128.88547</v>
      </c>
      <c r="P94" s="3" t="n">
        <v>129.80722</v>
      </c>
      <c r="Q94" s="3" t="n">
        <v>131.47875</v>
      </c>
      <c r="R94" s="3" t="n">
        <v>149.4864</v>
      </c>
      <c r="S94" s="3" t="n">
        <v>147.4497</v>
      </c>
    </row>
    <row r="95" customFormat="false" ht="15" hidden="false" customHeight="false" outlineLevel="0" collapsed="false">
      <c r="B95" s="0" t="s">
        <v>146</v>
      </c>
      <c r="C95" s="2" t="n">
        <v>40663</v>
      </c>
      <c r="D95" s="3" t="n">
        <v>144.92865</v>
      </c>
      <c r="E95" s="3" t="n">
        <v>215.24184</v>
      </c>
      <c r="F95" s="3" t="n">
        <v>121.91762</v>
      </c>
      <c r="G95" s="3" t="n">
        <v>87.86934</v>
      </c>
      <c r="H95" s="3" t="n">
        <v>143.28057</v>
      </c>
      <c r="I95" s="3" t="n">
        <v>117.95473</v>
      </c>
      <c r="J95" s="3" t="n">
        <v>150.13307</v>
      </c>
      <c r="K95" s="3" t="n">
        <v>160.97847</v>
      </c>
      <c r="L95" s="3" t="n">
        <v>151.79461</v>
      </c>
      <c r="M95" s="3" t="n">
        <v>178.42109</v>
      </c>
      <c r="N95" s="3" t="n">
        <v>158.8779</v>
      </c>
      <c r="O95" s="3" t="n">
        <v>131.05874</v>
      </c>
      <c r="P95" s="3" t="n">
        <v>129.59293</v>
      </c>
      <c r="Q95" s="3" t="n">
        <v>131.72734</v>
      </c>
      <c r="R95" s="3" t="n">
        <v>157.27862</v>
      </c>
      <c r="S95" s="3" t="n">
        <v>152.2508</v>
      </c>
    </row>
    <row r="96" customFormat="false" ht="15" hidden="false" customHeight="false" outlineLevel="0" collapsed="false">
      <c r="B96" s="0" t="s">
        <v>147</v>
      </c>
      <c r="C96" s="2" t="n">
        <v>40694</v>
      </c>
      <c r="D96" s="3" t="n">
        <v>147.18633</v>
      </c>
      <c r="E96" s="3" t="n">
        <v>315.76257</v>
      </c>
      <c r="F96" s="3" t="n">
        <v>114.15721</v>
      </c>
      <c r="G96" s="3" t="n">
        <v>93.55247</v>
      </c>
      <c r="H96" s="3" t="n">
        <v>151.49661</v>
      </c>
      <c r="I96" s="3" t="n">
        <v>127.52698</v>
      </c>
      <c r="J96" s="3" t="n">
        <v>152.92878</v>
      </c>
      <c r="K96" s="3" t="n">
        <v>169.6156</v>
      </c>
      <c r="L96" s="3" t="n">
        <v>148.61006</v>
      </c>
      <c r="M96" s="3" t="n">
        <v>188.96939</v>
      </c>
      <c r="N96" s="3" t="n">
        <v>163.8461</v>
      </c>
      <c r="O96" s="3" t="n">
        <v>134.50754</v>
      </c>
      <c r="P96" s="3" t="n">
        <v>130.15823</v>
      </c>
      <c r="Q96" s="3" t="n">
        <v>132.84018</v>
      </c>
      <c r="R96" s="3" t="n">
        <v>160.4641</v>
      </c>
      <c r="S96" s="3" t="n">
        <v>155.78237</v>
      </c>
    </row>
    <row r="97" customFormat="false" ht="15" hidden="false" customHeight="false" outlineLevel="0" collapsed="false">
      <c r="B97" s="0" t="s">
        <v>148</v>
      </c>
      <c r="C97" s="2" t="n">
        <v>40724</v>
      </c>
      <c r="D97" s="3" t="n">
        <v>146.80269</v>
      </c>
      <c r="E97" s="3" t="n">
        <v>211.20463</v>
      </c>
      <c r="F97" s="3" t="n">
        <v>194.08656</v>
      </c>
      <c r="G97" s="3" t="n">
        <v>91.96131</v>
      </c>
      <c r="H97" s="3" t="n">
        <v>149.38833</v>
      </c>
      <c r="I97" s="3" t="n">
        <v>130.40271</v>
      </c>
      <c r="J97" s="3" t="n">
        <v>152.46658</v>
      </c>
      <c r="K97" s="3" t="n">
        <v>170.76069</v>
      </c>
      <c r="L97" s="3" t="n">
        <v>146.26104</v>
      </c>
      <c r="M97" s="3" t="n">
        <v>181.18654</v>
      </c>
      <c r="N97" s="3" t="n">
        <v>169.00437</v>
      </c>
      <c r="O97" s="3" t="n">
        <v>137.96069</v>
      </c>
      <c r="P97" s="3" t="n">
        <v>132.25716</v>
      </c>
      <c r="Q97" s="3" t="n">
        <v>136.16715</v>
      </c>
      <c r="R97" s="3" t="n">
        <v>164.40586</v>
      </c>
      <c r="S97" s="3" t="n">
        <v>153.15998</v>
      </c>
    </row>
    <row r="98" customFormat="false" ht="15" hidden="false" customHeight="false" outlineLevel="0" collapsed="false">
      <c r="B98" s="0" t="s">
        <v>149</v>
      </c>
      <c r="C98" s="2" t="n">
        <v>40755</v>
      </c>
      <c r="D98" s="3" t="n">
        <v>147.15673</v>
      </c>
      <c r="E98" s="3" t="n">
        <v>106.38926</v>
      </c>
      <c r="F98" s="3" t="n">
        <v>153.69373</v>
      </c>
      <c r="G98" s="3" t="n">
        <v>97.54148</v>
      </c>
      <c r="H98" s="3" t="n">
        <v>147.86586</v>
      </c>
      <c r="I98" s="3" t="n">
        <v>135.54123</v>
      </c>
      <c r="J98" s="3" t="n">
        <v>158.44671</v>
      </c>
      <c r="K98" s="3" t="n">
        <v>163.91119</v>
      </c>
      <c r="L98" s="3" t="n">
        <v>158.88001</v>
      </c>
      <c r="M98" s="3" t="n">
        <v>175.85309</v>
      </c>
      <c r="N98" s="3" t="n">
        <v>162.79401</v>
      </c>
      <c r="O98" s="3" t="n">
        <v>135.07032</v>
      </c>
      <c r="P98" s="3" t="n">
        <v>132.72764</v>
      </c>
      <c r="Q98" s="3" t="n">
        <v>136.05697</v>
      </c>
      <c r="R98" s="3" t="n">
        <v>152.49343</v>
      </c>
      <c r="S98" s="3" t="n">
        <v>163.19632</v>
      </c>
    </row>
    <row r="99" customFormat="false" ht="15" hidden="false" customHeight="false" outlineLevel="0" collapsed="false">
      <c r="B99" s="0" t="s">
        <v>150</v>
      </c>
      <c r="C99" s="2" t="n">
        <v>40786</v>
      </c>
      <c r="D99" s="3" t="n">
        <v>146.95911</v>
      </c>
      <c r="E99" s="3" t="n">
        <v>69.22022</v>
      </c>
      <c r="F99" s="3" t="n">
        <v>177.63676</v>
      </c>
      <c r="G99" s="3" t="n">
        <v>101.44357</v>
      </c>
      <c r="H99" s="3" t="n">
        <v>150.55717</v>
      </c>
      <c r="I99" s="3" t="n">
        <v>133.79461</v>
      </c>
      <c r="J99" s="3" t="n">
        <v>160.28789</v>
      </c>
      <c r="K99" s="3" t="n">
        <v>173.68302</v>
      </c>
      <c r="L99" s="3" t="n">
        <v>154.73039</v>
      </c>
      <c r="M99" s="3" t="n">
        <v>176.63432</v>
      </c>
      <c r="N99" s="3" t="n">
        <v>172.17561</v>
      </c>
      <c r="O99" s="3" t="n">
        <v>136.40615</v>
      </c>
      <c r="P99" s="3" t="n">
        <v>133.41082</v>
      </c>
      <c r="Q99" s="3" t="n">
        <v>136.96963</v>
      </c>
      <c r="R99" s="3" t="n">
        <v>152.69666</v>
      </c>
      <c r="S99" s="3" t="n">
        <v>150.24747</v>
      </c>
    </row>
    <row r="100" customFormat="false" ht="15" hidden="false" customHeight="false" outlineLevel="0" collapsed="false">
      <c r="B100" s="0" t="s">
        <v>151</v>
      </c>
      <c r="C100" s="2" t="n">
        <v>40816</v>
      </c>
      <c r="D100" s="3" t="n">
        <v>148.26517</v>
      </c>
      <c r="E100" s="3" t="n">
        <v>66.00842</v>
      </c>
      <c r="F100" s="3" t="n">
        <v>151.42661</v>
      </c>
      <c r="G100" s="3" t="n">
        <v>99.13591</v>
      </c>
      <c r="H100" s="3" t="n">
        <v>152.97576</v>
      </c>
      <c r="I100" s="3" t="n">
        <v>120.01467</v>
      </c>
      <c r="J100" s="3" t="n">
        <v>162.60856</v>
      </c>
      <c r="K100" s="3" t="n">
        <v>176.84087</v>
      </c>
      <c r="L100" s="3" t="n">
        <v>159.17346</v>
      </c>
      <c r="M100" s="3" t="n">
        <v>175.71469</v>
      </c>
      <c r="N100" s="3" t="n">
        <v>172.49301</v>
      </c>
      <c r="O100" s="3" t="n">
        <v>136.73572</v>
      </c>
      <c r="P100" s="3" t="n">
        <v>133.88011</v>
      </c>
      <c r="Q100" s="3" t="n">
        <v>137.49466</v>
      </c>
      <c r="R100" s="3" t="n">
        <v>150.34476</v>
      </c>
      <c r="S100" s="3" t="n">
        <v>143.61343</v>
      </c>
    </row>
    <row r="101" customFormat="false" ht="15" hidden="false" customHeight="false" outlineLevel="0" collapsed="false">
      <c r="B101" s="0" t="s">
        <v>152</v>
      </c>
      <c r="C101" s="2" t="n">
        <v>40847</v>
      </c>
      <c r="D101" s="3" t="n">
        <v>147.29114</v>
      </c>
      <c r="E101" s="3" t="n">
        <v>68.28615</v>
      </c>
      <c r="F101" s="3" t="n">
        <v>149.531</v>
      </c>
      <c r="G101" s="3" t="n">
        <v>101.71533</v>
      </c>
      <c r="H101" s="3" t="n">
        <v>153.79986</v>
      </c>
      <c r="I101" s="3" t="n">
        <v>123.28808</v>
      </c>
      <c r="J101" s="3" t="n">
        <v>151.59301</v>
      </c>
      <c r="K101" s="3" t="n">
        <v>171.63206</v>
      </c>
      <c r="L101" s="3" t="n">
        <v>159.75297</v>
      </c>
      <c r="M101" s="3" t="n">
        <v>174.63023</v>
      </c>
      <c r="N101" s="3" t="n">
        <v>170.6511</v>
      </c>
      <c r="O101" s="3" t="n">
        <v>137.45861</v>
      </c>
      <c r="P101" s="3" t="n">
        <v>133.3206</v>
      </c>
      <c r="Q101" s="3" t="n">
        <v>137.39858</v>
      </c>
      <c r="R101" s="3" t="n">
        <v>144.47982</v>
      </c>
      <c r="S101" s="3" t="n">
        <v>150.50646</v>
      </c>
    </row>
    <row r="102" customFormat="false" ht="15" hidden="false" customHeight="false" outlineLevel="0" collapsed="false">
      <c r="B102" s="0" t="s">
        <v>153</v>
      </c>
      <c r="C102" s="2" t="n">
        <v>40877</v>
      </c>
      <c r="D102" s="3" t="n">
        <v>147.21589</v>
      </c>
      <c r="E102" s="3" t="n">
        <v>85.99847</v>
      </c>
      <c r="F102" s="3" t="n">
        <v>82.57444</v>
      </c>
      <c r="G102" s="3" t="n">
        <v>99.08576</v>
      </c>
      <c r="H102" s="3" t="n">
        <v>148.42963</v>
      </c>
      <c r="I102" s="3" t="n">
        <v>128.06261</v>
      </c>
      <c r="J102" s="3" t="n">
        <v>153.60136</v>
      </c>
      <c r="K102" s="3" t="n">
        <v>169.79583</v>
      </c>
      <c r="L102" s="3" t="n">
        <v>160.92754</v>
      </c>
      <c r="M102" s="3" t="n">
        <v>173.08575</v>
      </c>
      <c r="N102" s="3" t="n">
        <v>170.0105</v>
      </c>
      <c r="O102" s="3" t="n">
        <v>140.41086</v>
      </c>
      <c r="P102" s="3" t="n">
        <v>133.76672</v>
      </c>
      <c r="Q102" s="3" t="n">
        <v>137.77691</v>
      </c>
      <c r="R102" s="3" t="n">
        <v>144.44427</v>
      </c>
      <c r="S102" s="3" t="n">
        <v>148.70641</v>
      </c>
    </row>
    <row r="103" customFormat="false" ht="15" hidden="false" customHeight="false" outlineLevel="0" collapsed="false">
      <c r="B103" s="0" t="s">
        <v>154</v>
      </c>
      <c r="C103" s="2" t="n">
        <v>40908</v>
      </c>
      <c r="D103" s="3" t="n">
        <v>147.84559</v>
      </c>
      <c r="E103" s="3" t="n">
        <v>96.55958</v>
      </c>
      <c r="F103" s="3" t="n">
        <v>69.33141</v>
      </c>
      <c r="G103" s="3" t="n">
        <v>98.94223</v>
      </c>
      <c r="H103" s="3" t="n">
        <v>141.08911</v>
      </c>
      <c r="I103" s="3" t="n">
        <v>136.5431</v>
      </c>
      <c r="J103" s="3" t="n">
        <v>148.1399</v>
      </c>
      <c r="K103" s="3" t="n">
        <v>157.19392</v>
      </c>
      <c r="L103" s="3" t="n">
        <v>157.90878</v>
      </c>
      <c r="M103" s="3" t="n">
        <v>173.19981</v>
      </c>
      <c r="N103" s="3" t="n">
        <v>174.22053</v>
      </c>
      <c r="O103" s="3" t="n">
        <v>142.11489</v>
      </c>
      <c r="P103" s="3" t="n">
        <v>135.51472</v>
      </c>
      <c r="Q103" s="3" t="n">
        <v>139.46737</v>
      </c>
      <c r="R103" s="3" t="n">
        <v>140.31347</v>
      </c>
      <c r="S103" s="3" t="n">
        <v>150.02929</v>
      </c>
    </row>
    <row r="104" customFormat="false" ht="15" hidden="false" customHeight="false" outlineLevel="0" collapsed="false">
      <c r="B104" s="0" t="s">
        <v>155</v>
      </c>
      <c r="C104" s="2" t="n">
        <v>40939</v>
      </c>
      <c r="D104" s="3" t="n">
        <v>147.73334</v>
      </c>
      <c r="E104" s="3" t="n">
        <v>70.39899</v>
      </c>
      <c r="F104" s="3" t="n">
        <v>39.72061</v>
      </c>
      <c r="G104" s="3" t="n">
        <v>94.55614</v>
      </c>
      <c r="H104" s="3" t="n">
        <v>124.61343</v>
      </c>
      <c r="I104" s="3" t="n">
        <v>144.08935</v>
      </c>
      <c r="J104" s="3" t="n">
        <v>153.10461</v>
      </c>
      <c r="K104" s="3" t="n">
        <v>148.06072</v>
      </c>
      <c r="L104" s="3" t="n">
        <v>167.86684</v>
      </c>
      <c r="M104" s="3" t="n">
        <v>172.66479</v>
      </c>
      <c r="N104" s="3" t="n">
        <v>172.896</v>
      </c>
      <c r="O104" s="3" t="n">
        <v>128.01528</v>
      </c>
      <c r="P104" s="3" t="n">
        <v>133.9588</v>
      </c>
      <c r="Q104" s="3" t="n">
        <v>134.93086</v>
      </c>
      <c r="R104" s="3" t="n">
        <v>155.9109</v>
      </c>
      <c r="S104" s="3" t="n">
        <v>150.96007</v>
      </c>
    </row>
    <row r="105" customFormat="false" ht="15" hidden="false" customHeight="false" outlineLevel="0" collapsed="false">
      <c r="B105" s="0" t="s">
        <v>156</v>
      </c>
      <c r="C105" s="2" t="n">
        <v>40968</v>
      </c>
      <c r="D105" s="3" t="n">
        <v>144.71961</v>
      </c>
      <c r="E105" s="3" t="n">
        <v>68.38754</v>
      </c>
      <c r="F105" s="3" t="n">
        <v>79.54644</v>
      </c>
      <c r="G105" s="3" t="n">
        <v>91.82365</v>
      </c>
      <c r="H105" s="3" t="n">
        <v>123.60877</v>
      </c>
      <c r="I105" s="3" t="n">
        <v>131.63209</v>
      </c>
      <c r="J105" s="3" t="n">
        <v>152.77454</v>
      </c>
      <c r="K105" s="3" t="n">
        <v>142.0686</v>
      </c>
      <c r="L105" s="3" t="n">
        <v>160.03862</v>
      </c>
      <c r="M105" s="3" t="n">
        <v>166.11119</v>
      </c>
      <c r="N105" s="3" t="n">
        <v>167.48554</v>
      </c>
      <c r="O105" s="3" t="n">
        <v>127.89019</v>
      </c>
      <c r="P105" s="3" t="n">
        <v>134.70405</v>
      </c>
      <c r="Q105" s="3" t="n">
        <v>135.87786</v>
      </c>
      <c r="R105" s="3" t="n">
        <v>147.82345</v>
      </c>
      <c r="S105" s="3" t="n">
        <v>152.57746</v>
      </c>
    </row>
    <row r="106" customFormat="false" ht="15" hidden="false" customHeight="false" outlineLevel="0" collapsed="false">
      <c r="B106" s="0" t="s">
        <v>157</v>
      </c>
      <c r="C106" s="2" t="n">
        <v>40999</v>
      </c>
      <c r="D106" s="3" t="n">
        <v>145.37392</v>
      </c>
      <c r="E106" s="3" t="n">
        <v>124.36091</v>
      </c>
      <c r="F106" s="3" t="n">
        <v>148.77202</v>
      </c>
      <c r="G106" s="3" t="n">
        <v>99.00597</v>
      </c>
      <c r="H106" s="3" t="n">
        <v>145.85052</v>
      </c>
      <c r="I106" s="3" t="n">
        <v>134.94136</v>
      </c>
      <c r="J106" s="3" t="n">
        <v>155.52464</v>
      </c>
      <c r="K106" s="3" t="n">
        <v>168.58441</v>
      </c>
      <c r="L106" s="3" t="n">
        <v>157.3692</v>
      </c>
      <c r="M106" s="3" t="n">
        <v>175.49859</v>
      </c>
      <c r="N106" s="3" t="n">
        <v>176.61776</v>
      </c>
      <c r="O106" s="3" t="n">
        <v>133.56874</v>
      </c>
      <c r="P106" s="3" t="n">
        <v>135.03709</v>
      </c>
      <c r="Q106" s="3" t="n">
        <v>136.87101</v>
      </c>
      <c r="R106" s="3" t="n">
        <v>160.57418</v>
      </c>
      <c r="S106" s="3" t="n">
        <v>147.94738</v>
      </c>
    </row>
    <row r="107" customFormat="false" ht="15" hidden="false" customHeight="false" outlineLevel="0" collapsed="false">
      <c r="B107" s="0" t="s">
        <v>158</v>
      </c>
      <c r="C107" s="2" t="n">
        <v>41029</v>
      </c>
      <c r="D107" s="3" t="n">
        <v>141.92738</v>
      </c>
      <c r="E107" s="3" t="n">
        <v>166.14674</v>
      </c>
      <c r="F107" s="3" t="n">
        <v>117.44106</v>
      </c>
      <c r="G107" s="3" t="n">
        <v>95.2231</v>
      </c>
      <c r="H107" s="3" t="n">
        <v>138.24663</v>
      </c>
      <c r="I107" s="3" t="n">
        <v>127.49513</v>
      </c>
      <c r="J107" s="3" t="n">
        <v>149.2555</v>
      </c>
      <c r="K107" s="3" t="n">
        <v>150.704</v>
      </c>
      <c r="L107" s="3" t="n">
        <v>154.87357</v>
      </c>
      <c r="M107" s="3" t="n">
        <v>176.90228</v>
      </c>
      <c r="N107" s="3" t="n">
        <v>169.92641</v>
      </c>
      <c r="O107" s="3" t="n">
        <v>130.39097</v>
      </c>
      <c r="P107" s="3" t="n">
        <v>134.06795</v>
      </c>
      <c r="Q107" s="3" t="n">
        <v>136.57267</v>
      </c>
      <c r="R107" s="3" t="n">
        <v>165.33209</v>
      </c>
      <c r="S107" s="3" t="n">
        <v>152.33466</v>
      </c>
    </row>
    <row r="108" customFormat="false" ht="15" hidden="false" customHeight="false" outlineLevel="0" collapsed="false">
      <c r="B108" s="0" t="s">
        <v>159</v>
      </c>
      <c r="C108" s="2" t="n">
        <v>41060</v>
      </c>
      <c r="D108" s="3" t="n">
        <v>140.27489</v>
      </c>
      <c r="E108" s="3" t="n">
        <v>239.34957</v>
      </c>
      <c r="F108" s="3" t="n">
        <v>128.07405</v>
      </c>
      <c r="G108" s="3" t="n">
        <v>98.72975</v>
      </c>
      <c r="H108" s="3" t="n">
        <v>141.96639</v>
      </c>
      <c r="I108" s="3" t="n">
        <v>131.40796</v>
      </c>
      <c r="J108" s="3" t="n">
        <v>150.01095</v>
      </c>
      <c r="K108" s="3" t="n">
        <v>160.46781</v>
      </c>
      <c r="L108" s="3" t="n">
        <v>148.6399</v>
      </c>
      <c r="M108" s="3" t="n">
        <v>187.46116</v>
      </c>
      <c r="N108" s="3" t="n">
        <v>174.75161</v>
      </c>
      <c r="O108" s="3" t="n">
        <v>135.3668</v>
      </c>
      <c r="P108" s="3" t="n">
        <v>134.75318</v>
      </c>
      <c r="Q108" s="3" t="n">
        <v>138.02758</v>
      </c>
      <c r="R108" s="3" t="n">
        <v>168.05173</v>
      </c>
      <c r="S108" s="3" t="n">
        <v>153.55025</v>
      </c>
    </row>
    <row r="109" customFormat="false" ht="15" hidden="false" customHeight="false" outlineLevel="0" collapsed="false">
      <c r="B109" s="0" t="s">
        <v>160</v>
      </c>
      <c r="C109" s="2" t="n">
        <v>41090</v>
      </c>
      <c r="D109" s="3" t="n">
        <v>140.78102</v>
      </c>
      <c r="E109" s="3" t="n">
        <v>162.02064</v>
      </c>
      <c r="F109" s="3" t="n">
        <v>108.7479</v>
      </c>
      <c r="G109" s="3" t="n">
        <v>94.07845</v>
      </c>
      <c r="H109" s="3" t="n">
        <v>138.10691</v>
      </c>
      <c r="I109" s="3" t="n">
        <v>135.04233</v>
      </c>
      <c r="J109" s="3" t="n">
        <v>147.78203</v>
      </c>
      <c r="K109" s="3" t="n">
        <v>158.87011</v>
      </c>
      <c r="L109" s="3" t="n">
        <v>147.7724</v>
      </c>
      <c r="M109" s="3" t="n">
        <v>180.9523</v>
      </c>
      <c r="N109" s="3" t="n">
        <v>176.63907</v>
      </c>
      <c r="O109" s="3" t="n">
        <v>135.96357</v>
      </c>
      <c r="P109" s="3" t="n">
        <v>136.67643</v>
      </c>
      <c r="Q109" s="3" t="n">
        <v>141.33411</v>
      </c>
      <c r="R109" s="3" t="n">
        <v>172.65623</v>
      </c>
      <c r="S109" s="3" t="n">
        <v>155.85037</v>
      </c>
    </row>
    <row r="110" customFormat="false" ht="15" hidden="false" customHeight="false" outlineLevel="0" collapsed="false">
      <c r="B110" s="0" t="s">
        <v>161</v>
      </c>
      <c r="C110" s="2" t="n">
        <v>41121</v>
      </c>
      <c r="D110" s="3" t="n">
        <v>144.76788</v>
      </c>
      <c r="E110" s="3" t="n">
        <v>101.7206</v>
      </c>
      <c r="F110" s="3" t="n">
        <v>150.82884</v>
      </c>
      <c r="G110" s="3" t="n">
        <v>98.31248</v>
      </c>
      <c r="H110" s="3" t="n">
        <v>144.1783</v>
      </c>
      <c r="I110" s="3" t="n">
        <v>142.59172</v>
      </c>
      <c r="J110" s="3" t="n">
        <v>151.94171</v>
      </c>
      <c r="K110" s="3" t="n">
        <v>164.00638</v>
      </c>
      <c r="L110" s="3" t="n">
        <v>163.6282</v>
      </c>
      <c r="M110" s="3" t="n">
        <v>181.74382</v>
      </c>
      <c r="N110" s="3" t="n">
        <v>176.65561</v>
      </c>
      <c r="O110" s="3" t="n">
        <v>131.61866</v>
      </c>
      <c r="P110" s="3" t="n">
        <v>136.14055</v>
      </c>
      <c r="Q110" s="3" t="n">
        <v>139.8603</v>
      </c>
      <c r="R110" s="3" t="n">
        <v>158.996</v>
      </c>
      <c r="S110" s="3" t="n">
        <v>170.86657</v>
      </c>
    </row>
    <row r="111" customFormat="false" ht="15" hidden="false" customHeight="false" outlineLevel="0" collapsed="false">
      <c r="B111" s="0" t="s">
        <v>162</v>
      </c>
      <c r="C111" s="2" t="n">
        <v>41152</v>
      </c>
      <c r="D111" s="3" t="n">
        <v>145.04736</v>
      </c>
      <c r="E111" s="3" t="n">
        <v>73.19557</v>
      </c>
      <c r="F111" s="3" t="n">
        <v>177.71456</v>
      </c>
      <c r="G111" s="3" t="n">
        <v>98.2519</v>
      </c>
      <c r="H111" s="3" t="n">
        <v>144.35547</v>
      </c>
      <c r="I111" s="3" t="n">
        <v>138.21356</v>
      </c>
      <c r="J111" s="3" t="n">
        <v>151.17411</v>
      </c>
      <c r="K111" s="3" t="n">
        <v>167.15565</v>
      </c>
      <c r="L111" s="3" t="n">
        <v>157.29851</v>
      </c>
      <c r="M111" s="3" t="n">
        <v>177.49792</v>
      </c>
      <c r="N111" s="3" t="n">
        <v>184.82344</v>
      </c>
      <c r="O111" s="3" t="n">
        <v>135.79918</v>
      </c>
      <c r="P111" s="3" t="n">
        <v>136.19315</v>
      </c>
      <c r="Q111" s="3" t="n">
        <v>140.37036</v>
      </c>
      <c r="R111" s="3" t="n">
        <v>159.46624</v>
      </c>
      <c r="S111" s="3" t="n">
        <v>154.99102</v>
      </c>
    </row>
    <row r="112" customFormat="false" ht="15" hidden="false" customHeight="false" outlineLevel="0" collapsed="false">
      <c r="B112" s="0" t="s">
        <v>163</v>
      </c>
      <c r="C112" s="2" t="n">
        <v>41182</v>
      </c>
      <c r="D112" s="3" t="n">
        <v>146.2317</v>
      </c>
      <c r="E112" s="3" t="n">
        <v>70.83069</v>
      </c>
      <c r="F112" s="3" t="n">
        <v>182.74665</v>
      </c>
      <c r="G112" s="3" t="n">
        <v>97.07239</v>
      </c>
      <c r="H112" s="3" t="n">
        <v>143.52223</v>
      </c>
      <c r="I112" s="3" t="n">
        <v>124.89932</v>
      </c>
      <c r="J112" s="3" t="n">
        <v>149.81668</v>
      </c>
      <c r="K112" s="3" t="n">
        <v>161.02366</v>
      </c>
      <c r="L112" s="3" t="n">
        <v>158.56908</v>
      </c>
      <c r="M112" s="3" t="n">
        <v>172.07588</v>
      </c>
      <c r="N112" s="3" t="n">
        <v>178.83275</v>
      </c>
      <c r="O112" s="3" t="n">
        <v>132.05057</v>
      </c>
      <c r="P112" s="3" t="n">
        <v>136.29805</v>
      </c>
      <c r="Q112" s="3" t="n">
        <v>140.40028</v>
      </c>
      <c r="R112" s="3" t="n">
        <v>156.57795</v>
      </c>
      <c r="S112" s="3" t="n">
        <v>149.62785</v>
      </c>
    </row>
    <row r="113" customFormat="false" ht="15" hidden="false" customHeight="false" outlineLevel="0" collapsed="false">
      <c r="B113" s="0" t="s">
        <v>164</v>
      </c>
      <c r="C113" s="2" t="n">
        <v>41213</v>
      </c>
      <c r="D113" s="3" t="n">
        <v>147.08919</v>
      </c>
      <c r="E113" s="3" t="n">
        <v>71.87308</v>
      </c>
      <c r="F113" s="3" t="n">
        <v>147.77375</v>
      </c>
      <c r="G113" s="3" t="n">
        <v>97.10624</v>
      </c>
      <c r="H113" s="3" t="n">
        <v>151.92463</v>
      </c>
      <c r="I113" s="3" t="n">
        <v>127.11721</v>
      </c>
      <c r="J113" s="3" t="n">
        <v>148.11871</v>
      </c>
      <c r="K113" s="3" t="n">
        <v>171.39768</v>
      </c>
      <c r="L113" s="3" t="n">
        <v>160.60567</v>
      </c>
      <c r="M113" s="3" t="n">
        <v>175.89154</v>
      </c>
      <c r="N113" s="3" t="n">
        <v>184.48417</v>
      </c>
      <c r="O113" s="3" t="n">
        <v>134.91154</v>
      </c>
      <c r="P113" s="3" t="n">
        <v>137.27476</v>
      </c>
      <c r="Q113" s="3" t="n">
        <v>142.1415</v>
      </c>
      <c r="R113" s="3" t="n">
        <v>153.03485</v>
      </c>
      <c r="S113" s="3" t="n">
        <v>156.11007</v>
      </c>
    </row>
    <row r="114" customFormat="false" ht="15" hidden="false" customHeight="false" outlineLevel="0" collapsed="false">
      <c r="B114" s="0" t="s">
        <v>165</v>
      </c>
      <c r="C114" s="2" t="n">
        <v>41243</v>
      </c>
      <c r="D114" s="3" t="n">
        <v>146.95144</v>
      </c>
      <c r="E114" s="3" t="n">
        <v>84.9092</v>
      </c>
      <c r="F114" s="3" t="n">
        <v>110.38975</v>
      </c>
      <c r="G114" s="3" t="n">
        <v>92.07596</v>
      </c>
      <c r="H114" s="3" t="n">
        <v>147.09261</v>
      </c>
      <c r="I114" s="3" t="n">
        <v>132.37062</v>
      </c>
      <c r="J114" s="3" t="n">
        <v>148.60584</v>
      </c>
      <c r="K114" s="3" t="n">
        <v>168.86188</v>
      </c>
      <c r="L114" s="3" t="n">
        <v>162.09531</v>
      </c>
      <c r="M114" s="3" t="n">
        <v>175.32986</v>
      </c>
      <c r="N114" s="3" t="n">
        <v>183.3603</v>
      </c>
      <c r="O114" s="3" t="n">
        <v>135.81751</v>
      </c>
      <c r="P114" s="3" t="n">
        <v>137.50099</v>
      </c>
      <c r="Q114" s="3" t="n">
        <v>142.21987</v>
      </c>
      <c r="R114" s="3" t="n">
        <v>152.78098</v>
      </c>
      <c r="S114" s="3" t="n">
        <v>152.95969</v>
      </c>
    </row>
    <row r="115" customFormat="false" ht="15" hidden="false" customHeight="false" outlineLevel="0" collapsed="false">
      <c r="B115" s="0" t="s">
        <v>166</v>
      </c>
      <c r="C115" s="2" t="n">
        <v>41274</v>
      </c>
      <c r="D115" s="3" t="n">
        <v>149.27282</v>
      </c>
      <c r="E115" s="3" t="n">
        <v>81.0775</v>
      </c>
      <c r="F115" s="3" t="n">
        <v>68.67316</v>
      </c>
      <c r="G115" s="3" t="n">
        <v>95.82766</v>
      </c>
      <c r="H115" s="3" t="n">
        <v>141.41091</v>
      </c>
      <c r="I115" s="3" t="n">
        <v>138.29487</v>
      </c>
      <c r="J115" s="3" t="n">
        <v>142.88948</v>
      </c>
      <c r="K115" s="3" t="n">
        <v>156.60558</v>
      </c>
      <c r="L115" s="3" t="n">
        <v>159.18892</v>
      </c>
      <c r="M115" s="3" t="n">
        <v>173.27875</v>
      </c>
      <c r="N115" s="3" t="n">
        <v>189.10029</v>
      </c>
      <c r="O115" s="3" t="n">
        <v>139.27411</v>
      </c>
      <c r="P115" s="3" t="n">
        <v>138.87441</v>
      </c>
      <c r="Q115" s="3" t="n">
        <v>143.66175</v>
      </c>
      <c r="R115" s="3" t="n">
        <v>147.87978</v>
      </c>
      <c r="S115" s="3" t="n">
        <v>150.52457</v>
      </c>
    </row>
    <row r="116" customFormat="false" ht="15" hidden="false" customHeight="false" outlineLevel="0" collapsed="false">
      <c r="B116" s="0" t="s">
        <v>167</v>
      </c>
      <c r="C116" s="2" t="n">
        <v>41305</v>
      </c>
      <c r="D116" s="3" t="n">
        <v>145.88006</v>
      </c>
      <c r="E116" s="3" t="n">
        <v>64.01654</v>
      </c>
      <c r="F116" s="3" t="n">
        <v>45.05152</v>
      </c>
      <c r="G116" s="3" t="n">
        <v>92.30055</v>
      </c>
      <c r="H116" s="3" t="n">
        <v>124.30704</v>
      </c>
      <c r="I116" s="3" t="n">
        <v>140.30803</v>
      </c>
      <c r="J116" s="3" t="n">
        <v>148.74701</v>
      </c>
      <c r="K116" s="3" t="n">
        <v>147.57996</v>
      </c>
      <c r="L116" s="3" t="n">
        <v>166.20642</v>
      </c>
      <c r="M116" s="3" t="n">
        <v>172.08614</v>
      </c>
      <c r="N116" s="3" t="n">
        <v>183.48864</v>
      </c>
      <c r="O116" s="3" t="n">
        <v>127.79543</v>
      </c>
      <c r="P116" s="3" t="n">
        <v>137.01684</v>
      </c>
      <c r="Q116" s="3" t="n">
        <v>139.07299</v>
      </c>
      <c r="R116" s="3" t="n">
        <v>160.36179</v>
      </c>
      <c r="S116" s="3" t="n">
        <v>149.72143</v>
      </c>
    </row>
    <row r="117" customFormat="false" ht="15" hidden="false" customHeight="false" outlineLevel="0" collapsed="false">
      <c r="B117" s="0" t="s">
        <v>168</v>
      </c>
      <c r="C117" s="2" t="n">
        <v>41333</v>
      </c>
      <c r="D117" s="3" t="n">
        <v>148.73547</v>
      </c>
      <c r="E117" s="3" t="n">
        <v>72.8336</v>
      </c>
      <c r="F117" s="3" t="n">
        <v>114.13595</v>
      </c>
      <c r="G117" s="3" t="n">
        <v>85.57672</v>
      </c>
      <c r="H117" s="3" t="n">
        <v>119.40568</v>
      </c>
      <c r="I117" s="3" t="n">
        <v>125.70012</v>
      </c>
      <c r="J117" s="3" t="n">
        <v>149.4253</v>
      </c>
      <c r="K117" s="3" t="n">
        <v>144.64684</v>
      </c>
      <c r="L117" s="3" t="n">
        <v>158.25836</v>
      </c>
      <c r="M117" s="3" t="n">
        <v>163.74742</v>
      </c>
      <c r="N117" s="3" t="n">
        <v>174.99097</v>
      </c>
      <c r="O117" s="3" t="n">
        <v>127.45826</v>
      </c>
      <c r="P117" s="3" t="n">
        <v>139.44034</v>
      </c>
      <c r="Q117" s="3" t="n">
        <v>140.16949</v>
      </c>
      <c r="R117" s="3" t="n">
        <v>151.93064</v>
      </c>
      <c r="S117" s="3" t="n">
        <v>146.90601</v>
      </c>
    </row>
    <row r="118" customFormat="false" ht="15" hidden="false" customHeight="false" outlineLevel="0" collapsed="false">
      <c r="B118" s="0" t="s">
        <v>169</v>
      </c>
      <c r="C118" s="2" t="n">
        <v>41364</v>
      </c>
      <c r="D118" s="3" t="n">
        <v>148.7589</v>
      </c>
      <c r="E118" s="3" t="n">
        <v>139.91965</v>
      </c>
      <c r="F118" s="3" t="n">
        <v>108.06571</v>
      </c>
      <c r="G118" s="3" t="n">
        <v>93.2448</v>
      </c>
      <c r="H118" s="3" t="n">
        <v>141.63371</v>
      </c>
      <c r="I118" s="3" t="n">
        <v>129.33448</v>
      </c>
      <c r="J118" s="3" t="n">
        <v>152.14943</v>
      </c>
      <c r="K118" s="3" t="n">
        <v>172.80932</v>
      </c>
      <c r="L118" s="3" t="n">
        <v>157.80482</v>
      </c>
      <c r="M118" s="3" t="n">
        <v>179.03862</v>
      </c>
      <c r="N118" s="3" t="n">
        <v>180.398</v>
      </c>
      <c r="O118" s="3" t="n">
        <v>131.92657</v>
      </c>
      <c r="P118" s="3" t="n">
        <v>137.28871</v>
      </c>
      <c r="Q118" s="3" t="n">
        <v>140.73422</v>
      </c>
      <c r="R118" s="3" t="n">
        <v>165.27341</v>
      </c>
      <c r="S118" s="3" t="n">
        <v>145.01583</v>
      </c>
    </row>
    <row r="119" customFormat="false" ht="15" hidden="false" customHeight="false" outlineLevel="0" collapsed="false">
      <c r="B119" s="0" t="s">
        <v>170</v>
      </c>
      <c r="C119" s="2" t="n">
        <v>41394</v>
      </c>
      <c r="D119" s="3" t="n">
        <v>148.5213</v>
      </c>
      <c r="E119" s="3" t="n">
        <v>201.95961</v>
      </c>
      <c r="F119" s="3" t="n">
        <v>163.98785</v>
      </c>
      <c r="G119" s="3" t="n">
        <v>90.70289</v>
      </c>
      <c r="H119" s="3" t="n">
        <v>144.71435</v>
      </c>
      <c r="I119" s="3" t="n">
        <v>127.77919</v>
      </c>
      <c r="J119" s="3" t="n">
        <v>151.78832</v>
      </c>
      <c r="K119" s="3" t="n">
        <v>171.38482</v>
      </c>
      <c r="L119" s="3" t="n">
        <v>153.84353</v>
      </c>
      <c r="M119" s="3" t="n">
        <v>184.47056</v>
      </c>
      <c r="N119" s="3" t="n">
        <v>180.23204</v>
      </c>
      <c r="O119" s="3" t="n">
        <v>132.78466</v>
      </c>
      <c r="P119" s="3" t="n">
        <v>137.3457</v>
      </c>
      <c r="Q119" s="3" t="n">
        <v>140.90725</v>
      </c>
      <c r="R119" s="3" t="n">
        <v>170.09972</v>
      </c>
      <c r="S119" s="3" t="n">
        <v>147.44709</v>
      </c>
    </row>
    <row r="120" customFormat="false" ht="15" hidden="false" customHeight="false" outlineLevel="0" collapsed="false">
      <c r="B120" s="0" t="s">
        <v>171</v>
      </c>
      <c r="C120" s="2" t="n">
        <v>41425</v>
      </c>
      <c r="D120" s="3" t="n">
        <v>148.39639</v>
      </c>
      <c r="E120" s="3" t="n">
        <v>298.08466</v>
      </c>
      <c r="F120" s="3" t="n">
        <v>135.59648</v>
      </c>
      <c r="G120" s="3" t="n">
        <v>94.56617</v>
      </c>
      <c r="H120" s="3" t="n">
        <v>148.70217</v>
      </c>
      <c r="I120" s="3" t="n">
        <v>133.38545</v>
      </c>
      <c r="J120" s="3" t="n">
        <v>152.10602</v>
      </c>
      <c r="K120" s="3" t="n">
        <v>170.58287</v>
      </c>
      <c r="L120" s="3" t="n">
        <v>150.93621</v>
      </c>
      <c r="M120" s="3" t="n">
        <v>195.90061</v>
      </c>
      <c r="N120" s="3" t="n">
        <v>179.79658</v>
      </c>
      <c r="O120" s="3" t="n">
        <v>137.01036</v>
      </c>
      <c r="P120" s="3" t="n">
        <v>138.13926</v>
      </c>
      <c r="Q120" s="3" t="n">
        <v>141.96892</v>
      </c>
      <c r="R120" s="3" t="n">
        <v>172.89123</v>
      </c>
      <c r="S120" s="3" t="n">
        <v>149.93357</v>
      </c>
    </row>
    <row r="121" customFormat="false" ht="15" hidden="false" customHeight="false" outlineLevel="0" collapsed="false">
      <c r="B121" s="0" t="s">
        <v>172</v>
      </c>
      <c r="C121" s="2" t="n">
        <v>41455</v>
      </c>
      <c r="D121" s="3" t="n">
        <v>149.13535</v>
      </c>
      <c r="E121" s="3" t="n">
        <v>198.27731</v>
      </c>
      <c r="F121" s="3" t="n">
        <v>222.65124</v>
      </c>
      <c r="G121" s="3" t="n">
        <v>91.44981</v>
      </c>
      <c r="H121" s="3" t="n">
        <v>142.226</v>
      </c>
      <c r="I121" s="3" t="n">
        <v>134.22317</v>
      </c>
      <c r="J121" s="3" t="n">
        <v>149.13473</v>
      </c>
      <c r="K121" s="3" t="n">
        <v>164.40773</v>
      </c>
      <c r="L121" s="3" t="n">
        <v>150.98088</v>
      </c>
      <c r="M121" s="3" t="n">
        <v>187.2047</v>
      </c>
      <c r="N121" s="3" t="n">
        <v>188.29473</v>
      </c>
      <c r="O121" s="3" t="n">
        <v>135.50999</v>
      </c>
      <c r="P121" s="3" t="n">
        <v>140.1434</v>
      </c>
      <c r="Q121" s="3" t="n">
        <v>145.01769</v>
      </c>
      <c r="R121" s="3" t="n">
        <v>177.53397</v>
      </c>
      <c r="S121" s="3" t="n">
        <v>156.75519</v>
      </c>
    </row>
    <row r="122" customFormat="false" ht="15" hidden="false" customHeight="false" outlineLevel="0" collapsed="false">
      <c r="B122" s="0" t="s">
        <v>173</v>
      </c>
      <c r="C122" s="2" t="n">
        <v>41486</v>
      </c>
      <c r="D122" s="3" t="n">
        <v>148.12424</v>
      </c>
      <c r="E122" s="3" t="n">
        <v>107.06873</v>
      </c>
      <c r="F122" s="3" t="n">
        <v>227.79104</v>
      </c>
      <c r="G122" s="3" t="n">
        <v>94.43409</v>
      </c>
      <c r="H122" s="3" t="n">
        <v>144.33135</v>
      </c>
      <c r="I122" s="3" t="n">
        <v>142.67832</v>
      </c>
      <c r="J122" s="3" t="n">
        <v>152.84802</v>
      </c>
      <c r="K122" s="3" t="n">
        <v>168.33613</v>
      </c>
      <c r="L122" s="3" t="n">
        <v>164.82826</v>
      </c>
      <c r="M122" s="3" t="n">
        <v>184.8173</v>
      </c>
      <c r="N122" s="3" t="n">
        <v>182.5615</v>
      </c>
      <c r="O122" s="3" t="n">
        <v>135.72395</v>
      </c>
      <c r="P122" s="3" t="n">
        <v>139.48025</v>
      </c>
      <c r="Q122" s="3" t="n">
        <v>144.62762</v>
      </c>
      <c r="R122" s="3" t="n">
        <v>163.62395</v>
      </c>
      <c r="S122" s="3" t="n">
        <v>169.20021</v>
      </c>
    </row>
    <row r="123" customFormat="false" ht="15" hidden="false" customHeight="false" outlineLevel="0" collapsed="false">
      <c r="B123" s="0" t="s">
        <v>174</v>
      </c>
      <c r="C123" s="2" t="n">
        <v>41517</v>
      </c>
      <c r="D123" s="3" t="n">
        <v>150.15944</v>
      </c>
      <c r="E123" s="3" t="n">
        <v>69.62321</v>
      </c>
      <c r="F123" s="3" t="n">
        <v>182.3356</v>
      </c>
      <c r="G123" s="3" t="n">
        <v>94.07015</v>
      </c>
      <c r="H123" s="3" t="n">
        <v>149.40408</v>
      </c>
      <c r="I123" s="3" t="n">
        <v>141.88136</v>
      </c>
      <c r="J123" s="3" t="n">
        <v>153.29248</v>
      </c>
      <c r="K123" s="3" t="n">
        <v>168.52065</v>
      </c>
      <c r="L123" s="3" t="n">
        <v>159.63658</v>
      </c>
      <c r="M123" s="3" t="n">
        <v>183.28528</v>
      </c>
      <c r="N123" s="3" t="n">
        <v>187.54636</v>
      </c>
      <c r="O123" s="3" t="n">
        <v>135.1689</v>
      </c>
      <c r="P123" s="3" t="n">
        <v>140.40575</v>
      </c>
      <c r="Q123" s="3" t="n">
        <v>144.91081</v>
      </c>
      <c r="R123" s="3" t="n">
        <v>164.00319</v>
      </c>
      <c r="S123" s="3" t="n">
        <v>155.58555</v>
      </c>
    </row>
    <row r="124" customFormat="false" ht="15" hidden="false" customHeight="false" outlineLevel="0" collapsed="false">
      <c r="B124" s="0" t="s">
        <v>175</v>
      </c>
      <c r="C124" s="2" t="n">
        <v>41547</v>
      </c>
      <c r="D124" s="3" t="n">
        <v>150.20497</v>
      </c>
      <c r="E124" s="3" t="n">
        <v>66.90422</v>
      </c>
      <c r="F124" s="3" t="n">
        <v>188.4037</v>
      </c>
      <c r="G124" s="3" t="n">
        <v>91.3944</v>
      </c>
      <c r="H124" s="3" t="n">
        <v>150.7687</v>
      </c>
      <c r="I124" s="3" t="n">
        <v>132.11389</v>
      </c>
      <c r="J124" s="3" t="n">
        <v>154.21254</v>
      </c>
      <c r="K124" s="3" t="n">
        <v>168.56068</v>
      </c>
      <c r="L124" s="3" t="n">
        <v>160.52192</v>
      </c>
      <c r="M124" s="3" t="n">
        <v>179.19399</v>
      </c>
      <c r="N124" s="3" t="n">
        <v>185.36681</v>
      </c>
      <c r="O124" s="3" t="n">
        <v>134.80578</v>
      </c>
      <c r="P124" s="3" t="n">
        <v>140.41736</v>
      </c>
      <c r="Q124" s="3" t="n">
        <v>145.6021</v>
      </c>
      <c r="R124" s="3" t="n">
        <v>161.29531</v>
      </c>
      <c r="S124" s="3" t="n">
        <v>151.53877</v>
      </c>
    </row>
    <row r="125" customFormat="false" ht="15" hidden="false" customHeight="false" outlineLevel="0" collapsed="false">
      <c r="B125" s="0" t="s">
        <v>176</v>
      </c>
      <c r="C125" s="2" t="n">
        <v>41578</v>
      </c>
      <c r="D125" s="3" t="n">
        <v>148.86711</v>
      </c>
      <c r="E125" s="3" t="n">
        <v>70.46848</v>
      </c>
      <c r="F125" s="3" t="n">
        <v>192.98719</v>
      </c>
      <c r="G125" s="3" t="n">
        <v>94.36121</v>
      </c>
      <c r="H125" s="3" t="n">
        <v>154.92088</v>
      </c>
      <c r="I125" s="3" t="n">
        <v>129.8679</v>
      </c>
      <c r="J125" s="3" t="n">
        <v>148.11977</v>
      </c>
      <c r="K125" s="3" t="n">
        <v>173.0328</v>
      </c>
      <c r="L125" s="3" t="n">
        <v>159.44171</v>
      </c>
      <c r="M125" s="3" t="n">
        <v>180.32795</v>
      </c>
      <c r="N125" s="3" t="n">
        <v>185.20012</v>
      </c>
      <c r="O125" s="3" t="n">
        <v>136.90409</v>
      </c>
      <c r="P125" s="3" t="n">
        <v>140.59216</v>
      </c>
      <c r="Q125" s="3" t="n">
        <v>144.81343</v>
      </c>
      <c r="R125" s="3" t="n">
        <v>156.02658</v>
      </c>
      <c r="S125" s="3" t="n">
        <v>150.39114</v>
      </c>
    </row>
    <row r="126" customFormat="false" ht="15" hidden="false" customHeight="false" outlineLevel="0" collapsed="false">
      <c r="B126" s="0" t="s">
        <v>177</v>
      </c>
      <c r="C126" s="2" t="n">
        <v>41608</v>
      </c>
      <c r="D126" s="3" t="n">
        <v>148.05058</v>
      </c>
      <c r="E126" s="3" t="n">
        <v>84.42743</v>
      </c>
      <c r="F126" s="3" t="n">
        <v>136.24481</v>
      </c>
      <c r="G126" s="3" t="n">
        <v>90.58056</v>
      </c>
      <c r="H126" s="3" t="n">
        <v>148.07416</v>
      </c>
      <c r="I126" s="3" t="n">
        <v>127.94281</v>
      </c>
      <c r="J126" s="3" t="n">
        <v>146.14262</v>
      </c>
      <c r="K126" s="3" t="n">
        <v>164.60201</v>
      </c>
      <c r="L126" s="3" t="n">
        <v>159.60895</v>
      </c>
      <c r="M126" s="3" t="n">
        <v>179.69937</v>
      </c>
      <c r="N126" s="3" t="n">
        <v>179.12552</v>
      </c>
      <c r="O126" s="3" t="n">
        <v>137.07334</v>
      </c>
      <c r="P126" s="3" t="n">
        <v>141.29174</v>
      </c>
      <c r="Q126" s="3" t="n">
        <v>145.42686</v>
      </c>
      <c r="R126" s="3" t="n">
        <v>156.00125</v>
      </c>
      <c r="S126" s="3" t="n">
        <v>152.29452</v>
      </c>
    </row>
    <row r="127" customFormat="false" ht="15" hidden="false" customHeight="false" outlineLevel="0" collapsed="false">
      <c r="B127" s="0" t="s">
        <v>178</v>
      </c>
      <c r="C127" s="2" t="n">
        <v>41639</v>
      </c>
      <c r="D127" s="3" t="n">
        <v>147.19351</v>
      </c>
      <c r="E127" s="3" t="n">
        <v>85.37363</v>
      </c>
      <c r="F127" s="3" t="n">
        <v>77.53448</v>
      </c>
      <c r="G127" s="3" t="n">
        <v>92.75465</v>
      </c>
      <c r="H127" s="3" t="n">
        <v>141.72137</v>
      </c>
      <c r="I127" s="3" t="n">
        <v>150.66439</v>
      </c>
      <c r="J127" s="3" t="n">
        <v>141.14148</v>
      </c>
      <c r="K127" s="3" t="n">
        <v>151.19216</v>
      </c>
      <c r="L127" s="3" t="n">
        <v>156.16627</v>
      </c>
      <c r="M127" s="3" t="n">
        <v>175.5694</v>
      </c>
      <c r="N127" s="3" t="n">
        <v>189.09005</v>
      </c>
      <c r="O127" s="3" t="n">
        <v>140.24237</v>
      </c>
      <c r="P127" s="3" t="n">
        <v>143.00481</v>
      </c>
      <c r="Q127" s="3" t="n">
        <v>146.94424</v>
      </c>
      <c r="R127" s="3" t="n">
        <v>151.07567</v>
      </c>
      <c r="S127" s="3" t="n">
        <v>147.79991</v>
      </c>
    </row>
    <row r="128" customFormat="false" ht="15" hidden="false" customHeight="false" outlineLevel="0" collapsed="false">
      <c r="B128" s="0" t="s">
        <v>179</v>
      </c>
      <c r="C128" s="2" t="n">
        <v>41670</v>
      </c>
      <c r="D128" s="3" t="n">
        <v>145.47985</v>
      </c>
      <c r="E128" s="3" t="n">
        <v>65.04464</v>
      </c>
      <c r="F128" s="3" t="n">
        <v>48.97758</v>
      </c>
      <c r="G128" s="3" t="n">
        <v>93.14055</v>
      </c>
      <c r="H128" s="3" t="n">
        <v>124.42123</v>
      </c>
      <c r="I128" s="3" t="n">
        <v>150.3936</v>
      </c>
      <c r="J128" s="3" t="n">
        <v>150.31106</v>
      </c>
      <c r="K128" s="3" t="n">
        <v>144.57425</v>
      </c>
      <c r="L128" s="3" t="n">
        <v>165.59933</v>
      </c>
      <c r="M128" s="3" t="n">
        <v>175.08587</v>
      </c>
      <c r="N128" s="3" t="n">
        <v>192.57367</v>
      </c>
      <c r="O128" s="3" t="n">
        <v>128.03954</v>
      </c>
      <c r="P128" s="3" t="n">
        <v>141.90488</v>
      </c>
      <c r="Q128" s="3" t="n">
        <v>141.99554</v>
      </c>
      <c r="R128" s="3" t="n">
        <v>163.56661</v>
      </c>
      <c r="S128" s="3" t="n">
        <v>152.72895</v>
      </c>
    </row>
    <row r="129" customFormat="false" ht="15" hidden="false" customHeight="false" outlineLevel="0" collapsed="false">
      <c r="B129" s="0" t="s">
        <v>180</v>
      </c>
      <c r="C129" s="2" t="n">
        <v>41698</v>
      </c>
      <c r="D129" s="3" t="n">
        <v>146.61923</v>
      </c>
      <c r="E129" s="3" t="n">
        <v>68.93624</v>
      </c>
      <c r="F129" s="3" t="n">
        <v>81.6624</v>
      </c>
      <c r="G129" s="3" t="n">
        <v>86.83486</v>
      </c>
      <c r="H129" s="3" t="n">
        <v>119.71693</v>
      </c>
      <c r="I129" s="3" t="n">
        <v>126.21042</v>
      </c>
      <c r="J129" s="3" t="n">
        <v>149.41958</v>
      </c>
      <c r="K129" s="3" t="n">
        <v>140.88047</v>
      </c>
      <c r="L129" s="3" t="n">
        <v>155.42402</v>
      </c>
      <c r="M129" s="3" t="n">
        <v>169.38497</v>
      </c>
      <c r="N129" s="3" t="n">
        <v>178.74248</v>
      </c>
      <c r="O129" s="3" t="n">
        <v>128.57733</v>
      </c>
      <c r="P129" s="3" t="n">
        <v>141.87969</v>
      </c>
      <c r="Q129" s="3" t="n">
        <v>143.45823</v>
      </c>
      <c r="R129" s="3" t="n">
        <v>154.37805</v>
      </c>
      <c r="S129" s="3" t="n">
        <v>145.319</v>
      </c>
    </row>
    <row r="130" customFormat="false" ht="15" hidden="false" customHeight="false" outlineLevel="0" collapsed="false">
      <c r="B130" s="0" t="s">
        <v>181</v>
      </c>
      <c r="C130" s="2" t="n">
        <v>41729</v>
      </c>
      <c r="D130" s="3" t="n">
        <v>145.49059</v>
      </c>
      <c r="E130" s="3" t="n">
        <v>131.15245</v>
      </c>
      <c r="F130" s="3" t="n">
        <v>162.95872</v>
      </c>
      <c r="G130" s="3" t="n">
        <v>95.77756</v>
      </c>
      <c r="H130" s="3" t="n">
        <v>135.33332</v>
      </c>
      <c r="I130" s="3" t="n">
        <v>131.20138</v>
      </c>
      <c r="J130" s="3" t="n">
        <v>150.87083</v>
      </c>
      <c r="K130" s="3" t="n">
        <v>156.72036</v>
      </c>
      <c r="L130" s="3" t="n">
        <v>149.65065</v>
      </c>
      <c r="M130" s="3" t="n">
        <v>177.5451</v>
      </c>
      <c r="N130" s="3" t="n">
        <v>176.77347</v>
      </c>
      <c r="O130" s="3" t="n">
        <v>129.11694</v>
      </c>
      <c r="P130" s="3" t="n">
        <v>142.23493</v>
      </c>
      <c r="Q130" s="3" t="n">
        <v>143.4686</v>
      </c>
      <c r="R130" s="3" t="n">
        <v>167.54336</v>
      </c>
      <c r="S130" s="3" t="n">
        <v>147.02644</v>
      </c>
    </row>
    <row r="131" customFormat="false" ht="15" hidden="false" customHeight="false" outlineLevel="0" collapsed="false">
      <c r="B131" s="0" t="s">
        <v>182</v>
      </c>
      <c r="C131" s="2" t="n">
        <v>41759</v>
      </c>
      <c r="D131" s="3" t="n">
        <v>144.97986</v>
      </c>
      <c r="E131" s="3" t="n">
        <v>213.79143</v>
      </c>
      <c r="F131" s="3" t="n">
        <v>136.30193</v>
      </c>
      <c r="G131" s="3" t="n">
        <v>89.81293</v>
      </c>
      <c r="H131" s="3" t="n">
        <v>135.74717</v>
      </c>
      <c r="I131" s="3" t="n">
        <v>128.63807</v>
      </c>
      <c r="J131" s="3" t="n">
        <v>146.55653</v>
      </c>
      <c r="K131" s="3" t="n">
        <v>152.72327</v>
      </c>
      <c r="L131" s="3" t="n">
        <v>147.87648</v>
      </c>
      <c r="M131" s="3" t="n">
        <v>185.29112</v>
      </c>
      <c r="N131" s="3" t="n">
        <v>176.1351</v>
      </c>
      <c r="O131" s="3" t="n">
        <v>130.9785</v>
      </c>
      <c r="P131" s="3" t="n">
        <v>141.78196</v>
      </c>
      <c r="Q131" s="3" t="n">
        <v>144.81472</v>
      </c>
      <c r="R131" s="3" t="n">
        <v>172.87314</v>
      </c>
      <c r="S131" s="3" t="n">
        <v>147.38252</v>
      </c>
    </row>
    <row r="132" customFormat="false" ht="15" hidden="false" customHeight="false" outlineLevel="0" collapsed="false">
      <c r="B132" s="0" t="s">
        <v>183</v>
      </c>
      <c r="C132" s="2" t="n">
        <v>41790</v>
      </c>
      <c r="D132" s="3" t="n">
        <v>145.33265</v>
      </c>
      <c r="E132" s="3" t="n">
        <v>323.80118</v>
      </c>
      <c r="F132" s="3" t="n">
        <v>178.23074</v>
      </c>
      <c r="G132" s="3" t="n">
        <v>98.17706</v>
      </c>
      <c r="H132" s="3" t="n">
        <v>140.41674</v>
      </c>
      <c r="I132" s="3" t="n">
        <v>139.17577</v>
      </c>
      <c r="J132" s="3" t="n">
        <v>148.22066</v>
      </c>
      <c r="K132" s="3" t="n">
        <v>155.54353</v>
      </c>
      <c r="L132" s="3" t="n">
        <v>145.30107</v>
      </c>
      <c r="M132" s="3" t="n">
        <v>196.4469</v>
      </c>
      <c r="N132" s="3" t="n">
        <v>175.95751</v>
      </c>
      <c r="O132" s="3" t="n">
        <v>134.04586</v>
      </c>
      <c r="P132" s="3" t="n">
        <v>142.67839</v>
      </c>
      <c r="Q132" s="3" t="n">
        <v>146.35088</v>
      </c>
      <c r="R132" s="3" t="n">
        <v>175.4388</v>
      </c>
      <c r="S132" s="3" t="n">
        <v>146.52891</v>
      </c>
    </row>
    <row r="133" customFormat="false" ht="15" hidden="false" customHeight="false" outlineLevel="0" collapsed="false">
      <c r="B133" s="0" t="s">
        <v>184</v>
      </c>
      <c r="C133" s="2" t="n">
        <v>41820</v>
      </c>
      <c r="D133" s="3" t="n">
        <v>144.60801</v>
      </c>
      <c r="E133" s="3" t="n">
        <v>214.7675</v>
      </c>
      <c r="F133" s="3" t="n">
        <v>225.12554</v>
      </c>
      <c r="G133" s="3" t="n">
        <v>92.83794</v>
      </c>
      <c r="H133" s="3" t="n">
        <v>136.40998</v>
      </c>
      <c r="I133" s="3" t="n">
        <v>142.77485</v>
      </c>
      <c r="J133" s="3" t="n">
        <v>148.25887</v>
      </c>
      <c r="K133" s="3" t="n">
        <v>151.95325</v>
      </c>
      <c r="L133" s="3" t="n">
        <v>143.3913</v>
      </c>
      <c r="M133" s="3" t="n">
        <v>189.89842</v>
      </c>
      <c r="N133" s="3" t="n">
        <v>179.49677</v>
      </c>
      <c r="O133" s="3" t="n">
        <v>138.3845</v>
      </c>
      <c r="P133" s="3" t="n">
        <v>144.04199</v>
      </c>
      <c r="Q133" s="3" t="n">
        <v>148.75725</v>
      </c>
      <c r="R133" s="3" t="n">
        <v>180.33093</v>
      </c>
      <c r="S133" s="3" t="n">
        <v>146.28943</v>
      </c>
    </row>
    <row r="134" customFormat="false" ht="15" hidden="false" customHeight="false" outlineLevel="0" collapsed="false">
      <c r="B134" s="0" t="s">
        <v>185</v>
      </c>
      <c r="C134" s="2" t="n">
        <v>41851</v>
      </c>
      <c r="D134" s="3" t="n">
        <v>144.0137</v>
      </c>
      <c r="E134" s="3" t="n">
        <v>110.42702</v>
      </c>
      <c r="F134" s="3" t="n">
        <v>178.25213</v>
      </c>
      <c r="G134" s="3" t="n">
        <v>95.09453</v>
      </c>
      <c r="H134" s="3" t="n">
        <v>137.35662</v>
      </c>
      <c r="I134" s="3" t="n">
        <v>147.39284</v>
      </c>
      <c r="J134" s="3" t="n">
        <v>147.02293</v>
      </c>
      <c r="K134" s="3" t="n">
        <v>154.33892</v>
      </c>
      <c r="L134" s="3" t="n">
        <v>160.55895</v>
      </c>
      <c r="M134" s="3" t="n">
        <v>185.10099</v>
      </c>
      <c r="N134" s="3" t="n">
        <v>176.44734</v>
      </c>
      <c r="O134" s="3" t="n">
        <v>135.40927</v>
      </c>
      <c r="P134" s="3" t="n">
        <v>144.08888</v>
      </c>
      <c r="Q134" s="3" t="n">
        <v>148.3051</v>
      </c>
      <c r="R134" s="3" t="n">
        <v>166.20768</v>
      </c>
      <c r="S134" s="3" t="n">
        <v>157.32305</v>
      </c>
    </row>
    <row r="135" customFormat="false" ht="15" hidden="false" customHeight="false" outlineLevel="0" collapsed="false">
      <c r="B135" s="0" t="s">
        <v>186</v>
      </c>
      <c r="C135" s="2" t="n">
        <v>41882</v>
      </c>
      <c r="D135" s="3" t="n">
        <v>143.6319</v>
      </c>
      <c r="E135" s="3" t="n">
        <v>68.65547</v>
      </c>
      <c r="F135" s="3" t="n">
        <v>174.45472</v>
      </c>
      <c r="G135" s="3" t="n">
        <v>94.06236</v>
      </c>
      <c r="H135" s="3" t="n">
        <v>136.83446</v>
      </c>
      <c r="I135" s="3" t="n">
        <v>137.10759</v>
      </c>
      <c r="J135" s="3" t="n">
        <v>147.20545</v>
      </c>
      <c r="K135" s="3" t="n">
        <v>151.75616</v>
      </c>
      <c r="L135" s="3" t="n">
        <v>158.32587</v>
      </c>
      <c r="M135" s="3" t="n">
        <v>180.85649</v>
      </c>
      <c r="N135" s="3" t="n">
        <v>176.68498</v>
      </c>
      <c r="O135" s="3" t="n">
        <v>133.8988</v>
      </c>
      <c r="P135" s="3" t="n">
        <v>144.70397</v>
      </c>
      <c r="Q135" s="3" t="n">
        <v>149.00328</v>
      </c>
      <c r="R135" s="3" t="n">
        <v>166.72754</v>
      </c>
      <c r="S135" s="3" t="n">
        <v>151.49399</v>
      </c>
    </row>
    <row r="136" customFormat="false" ht="15" hidden="false" customHeight="false" outlineLevel="0" collapsed="false">
      <c r="B136" s="0" t="s">
        <v>187</v>
      </c>
      <c r="C136" s="2" t="n">
        <v>41912</v>
      </c>
      <c r="D136" s="3" t="n">
        <v>143.52595</v>
      </c>
      <c r="E136" s="3" t="n">
        <v>67.11586</v>
      </c>
      <c r="F136" s="3" t="n">
        <v>195.68597</v>
      </c>
      <c r="G136" s="3" t="n">
        <v>93.37174</v>
      </c>
      <c r="H136" s="3" t="n">
        <v>139.49073</v>
      </c>
      <c r="I136" s="3" t="n">
        <v>129.72985</v>
      </c>
      <c r="J136" s="3" t="n">
        <v>149.5263</v>
      </c>
      <c r="K136" s="3" t="n">
        <v>158.82884</v>
      </c>
      <c r="L136" s="3" t="n">
        <v>158.22141</v>
      </c>
      <c r="M136" s="3" t="n">
        <v>179.62754</v>
      </c>
      <c r="N136" s="3" t="n">
        <v>178.34358</v>
      </c>
      <c r="O136" s="3" t="n">
        <v>135.38853</v>
      </c>
      <c r="P136" s="3" t="n">
        <v>144.90596</v>
      </c>
      <c r="Q136" s="3" t="n">
        <v>149.67228</v>
      </c>
      <c r="R136" s="3" t="n">
        <v>163.60507</v>
      </c>
      <c r="S136" s="3" t="n">
        <v>148.44811</v>
      </c>
    </row>
    <row r="137" customFormat="false" ht="15" hidden="false" customHeight="false" outlineLevel="0" collapsed="false">
      <c r="B137" s="0" t="s">
        <v>188</v>
      </c>
      <c r="C137" s="2" t="n">
        <v>41943</v>
      </c>
      <c r="D137" s="3" t="n">
        <v>143.84982</v>
      </c>
      <c r="E137" s="3" t="n">
        <v>69.33397</v>
      </c>
      <c r="F137" s="3" t="n">
        <v>215.35072</v>
      </c>
      <c r="G137" s="3" t="n">
        <v>96.08091</v>
      </c>
      <c r="H137" s="3" t="n">
        <v>144.75621</v>
      </c>
      <c r="I137" s="3" t="n">
        <v>138.68257</v>
      </c>
      <c r="J137" s="3" t="n">
        <v>142.4348</v>
      </c>
      <c r="K137" s="3" t="n">
        <v>161.61061</v>
      </c>
      <c r="L137" s="3" t="n">
        <v>164.51976</v>
      </c>
      <c r="M137" s="3" t="n">
        <v>182.37153</v>
      </c>
      <c r="N137" s="3" t="n">
        <v>178.64062</v>
      </c>
      <c r="O137" s="3" t="n">
        <v>135.77662</v>
      </c>
      <c r="P137" s="3" t="n">
        <v>145.13484</v>
      </c>
      <c r="Q137" s="3" t="n">
        <v>150.75033</v>
      </c>
      <c r="R137" s="3" t="n">
        <v>159.7515</v>
      </c>
      <c r="S137" s="3" t="n">
        <v>148.69215</v>
      </c>
    </row>
    <row r="138" customFormat="false" ht="15" hidden="false" customHeight="false" outlineLevel="0" collapsed="false">
      <c r="B138" s="0" t="s">
        <v>189</v>
      </c>
      <c r="C138" s="2" t="n">
        <v>41973</v>
      </c>
      <c r="D138" s="3" t="n">
        <v>144.81113</v>
      </c>
      <c r="E138" s="3" t="n">
        <v>83.92548</v>
      </c>
      <c r="F138" s="3" t="n">
        <v>143.79164</v>
      </c>
      <c r="G138" s="3" t="n">
        <v>92.73521</v>
      </c>
      <c r="H138" s="3" t="n">
        <v>139.42893</v>
      </c>
      <c r="I138" s="3" t="n">
        <v>133.889</v>
      </c>
      <c r="J138" s="3" t="n">
        <v>143.01018</v>
      </c>
      <c r="K138" s="3" t="n">
        <v>154.51078</v>
      </c>
      <c r="L138" s="3" t="n">
        <v>163.9895</v>
      </c>
      <c r="M138" s="3" t="n">
        <v>180.47837</v>
      </c>
      <c r="N138" s="3" t="n">
        <v>169.83906</v>
      </c>
      <c r="O138" s="3" t="n">
        <v>135.2379</v>
      </c>
      <c r="P138" s="3" t="n">
        <v>145.86878</v>
      </c>
      <c r="Q138" s="3" t="n">
        <v>150.8282</v>
      </c>
      <c r="R138" s="3" t="n">
        <v>159.61457</v>
      </c>
      <c r="S138" s="3" t="n">
        <v>148.75351</v>
      </c>
    </row>
    <row r="139" customFormat="false" ht="15" hidden="false" customHeight="false" outlineLevel="0" collapsed="false">
      <c r="B139" s="0" t="s">
        <v>190</v>
      </c>
      <c r="C139" s="2" t="n">
        <v>42004</v>
      </c>
      <c r="D139" s="3" t="n">
        <v>144.90914</v>
      </c>
      <c r="E139" s="3" t="n">
        <v>88.52395</v>
      </c>
      <c r="F139" s="3" t="n">
        <v>76.39107</v>
      </c>
      <c r="G139" s="3" t="n">
        <v>94.77314</v>
      </c>
      <c r="H139" s="3" t="n">
        <v>133.86233</v>
      </c>
      <c r="I139" s="3" t="n">
        <v>142.45562</v>
      </c>
      <c r="J139" s="3" t="n">
        <v>139.96445</v>
      </c>
      <c r="K139" s="3" t="n">
        <v>147.59685</v>
      </c>
      <c r="L139" s="3" t="n">
        <v>162.91977</v>
      </c>
      <c r="M139" s="3" t="n">
        <v>179.91374</v>
      </c>
      <c r="N139" s="3" t="n">
        <v>176.14249</v>
      </c>
      <c r="O139" s="3" t="n">
        <v>139.32975</v>
      </c>
      <c r="P139" s="3" t="n">
        <v>147.22099</v>
      </c>
      <c r="Q139" s="3" t="n">
        <v>150.85455</v>
      </c>
      <c r="R139" s="3" t="n">
        <v>153.61824</v>
      </c>
      <c r="S139" s="3" t="n">
        <v>147.50164</v>
      </c>
    </row>
    <row r="140" customFormat="false" ht="15" hidden="false" customHeight="false" outlineLevel="0" collapsed="false">
      <c r="B140" s="0" t="s">
        <v>191</v>
      </c>
      <c r="C140" s="2" t="n">
        <v>42035</v>
      </c>
      <c r="D140" s="3" t="n">
        <v>144.24479</v>
      </c>
      <c r="E140" s="3" t="n">
        <v>61.32174</v>
      </c>
      <c r="F140" s="3" t="n">
        <v>49.07539</v>
      </c>
      <c r="G140" s="3" t="n">
        <v>95.14667</v>
      </c>
      <c r="H140" s="3" t="n">
        <v>118.27274</v>
      </c>
      <c r="I140" s="3" t="n">
        <v>149.12423</v>
      </c>
      <c r="J140" s="3" t="n">
        <v>146.68971</v>
      </c>
      <c r="K140" s="3" t="n">
        <v>133.04973</v>
      </c>
      <c r="L140" s="3" t="n">
        <v>171.67831</v>
      </c>
      <c r="M140" s="3" t="n">
        <v>178.84369</v>
      </c>
      <c r="N140" s="3" t="n">
        <v>176.13005</v>
      </c>
      <c r="O140" s="3" t="n">
        <v>128.37764</v>
      </c>
      <c r="P140" s="3" t="n">
        <v>146.2058</v>
      </c>
      <c r="Q140" s="3" t="n">
        <v>146.547</v>
      </c>
      <c r="R140" s="3" t="n">
        <v>167.45128</v>
      </c>
      <c r="S140" s="3" t="n">
        <v>150.79205</v>
      </c>
    </row>
    <row r="141" customFormat="false" ht="15" hidden="false" customHeight="false" outlineLevel="0" collapsed="false">
      <c r="B141" s="0" t="s">
        <v>192</v>
      </c>
      <c r="C141" s="2" t="n">
        <v>42063</v>
      </c>
      <c r="D141" s="3" t="n">
        <v>148.08726</v>
      </c>
      <c r="E141" s="3" t="n">
        <v>70.3475</v>
      </c>
      <c r="F141" s="3" t="n">
        <v>82.3402</v>
      </c>
      <c r="G141" s="3" t="n">
        <v>88.28847</v>
      </c>
      <c r="H141" s="3" t="n">
        <v>116.83817</v>
      </c>
      <c r="I141" s="3" t="n">
        <v>137.09953</v>
      </c>
      <c r="J141" s="3" t="n">
        <v>147.78299</v>
      </c>
      <c r="K141" s="3" t="n">
        <v>142.45277</v>
      </c>
      <c r="L141" s="3" t="n">
        <v>160.53796</v>
      </c>
      <c r="M141" s="3" t="n">
        <v>173.50928</v>
      </c>
      <c r="N141" s="3" t="n">
        <v>172.36309</v>
      </c>
      <c r="O141" s="3" t="n">
        <v>129.19152</v>
      </c>
      <c r="P141" s="3" t="n">
        <v>146.36717</v>
      </c>
      <c r="Q141" s="3" t="n">
        <v>146.3085</v>
      </c>
      <c r="R141" s="3" t="n">
        <v>158.48934</v>
      </c>
      <c r="S141" s="3" t="n">
        <v>148.71964</v>
      </c>
    </row>
    <row r="142" customFormat="false" ht="15" hidden="false" customHeight="false" outlineLevel="0" collapsed="false">
      <c r="B142" s="0" t="s">
        <v>193</v>
      </c>
      <c r="C142" s="2" t="n">
        <v>42094</v>
      </c>
      <c r="D142" s="3" t="n">
        <v>147.60559</v>
      </c>
      <c r="E142" s="3" t="n">
        <v>144.42821</v>
      </c>
      <c r="F142" s="3" t="n">
        <v>141.821</v>
      </c>
      <c r="G142" s="3" t="n">
        <v>97.37516</v>
      </c>
      <c r="H142" s="3" t="n">
        <v>134.92722</v>
      </c>
      <c r="I142" s="3" t="n">
        <v>151.53933</v>
      </c>
      <c r="J142" s="3" t="n">
        <v>151.92016</v>
      </c>
      <c r="K142" s="3" t="n">
        <v>170.02513</v>
      </c>
      <c r="L142" s="3" t="n">
        <v>150.91734</v>
      </c>
      <c r="M142" s="3" t="n">
        <v>182.99955</v>
      </c>
      <c r="N142" s="3" t="n">
        <v>176.96224</v>
      </c>
      <c r="O142" s="3" t="n">
        <v>133.17429</v>
      </c>
      <c r="P142" s="3" t="n">
        <v>147.87619</v>
      </c>
      <c r="Q142" s="3" t="n">
        <v>147.26943</v>
      </c>
      <c r="R142" s="3" t="n">
        <v>172.15743</v>
      </c>
      <c r="S142" s="3" t="n">
        <v>141.31158</v>
      </c>
    </row>
    <row r="143" customFormat="false" ht="15" hidden="false" customHeight="false" outlineLevel="0" collapsed="false">
      <c r="B143" s="0" t="s">
        <v>194</v>
      </c>
      <c r="C143" s="2" t="n">
        <v>42124</v>
      </c>
      <c r="D143" s="3" t="n">
        <v>149.56613</v>
      </c>
      <c r="E143" s="3" t="n">
        <v>240.91709</v>
      </c>
      <c r="F143" s="3" t="n">
        <v>146.55911</v>
      </c>
      <c r="G143" s="3" t="n">
        <v>93.84316</v>
      </c>
      <c r="H143" s="3" t="n">
        <v>137.38139</v>
      </c>
      <c r="I143" s="3" t="n">
        <v>132.0475</v>
      </c>
      <c r="J143" s="3" t="n">
        <v>151.98459</v>
      </c>
      <c r="K143" s="3" t="n">
        <v>153.79013</v>
      </c>
      <c r="L143" s="3" t="n">
        <v>147.6387</v>
      </c>
      <c r="M143" s="3" t="n">
        <v>190.61183</v>
      </c>
      <c r="N143" s="3" t="n">
        <v>176.30672</v>
      </c>
      <c r="O143" s="3" t="n">
        <v>135.51871</v>
      </c>
      <c r="P143" s="3" t="n">
        <v>146.98245</v>
      </c>
      <c r="Q143" s="3" t="n">
        <v>150.08923</v>
      </c>
      <c r="R143" s="3" t="n">
        <v>177.4422</v>
      </c>
      <c r="S143" s="3" t="n">
        <v>150.77404</v>
      </c>
    </row>
    <row r="144" customFormat="false" ht="15" hidden="false" customHeight="false" outlineLevel="0" collapsed="false">
      <c r="B144" s="0" t="s">
        <v>195</v>
      </c>
      <c r="C144" s="2" t="n">
        <v>42155</v>
      </c>
      <c r="D144" s="3" t="n">
        <v>149.8329</v>
      </c>
      <c r="E144" s="3" t="n">
        <v>365.65897</v>
      </c>
      <c r="F144" s="3" t="n">
        <v>182.75032</v>
      </c>
      <c r="G144" s="3" t="n">
        <v>100.67852</v>
      </c>
      <c r="H144" s="3" t="n">
        <v>139.36106</v>
      </c>
      <c r="I144" s="3" t="n">
        <v>143.78231</v>
      </c>
      <c r="J144" s="3" t="n">
        <v>153.40956</v>
      </c>
      <c r="K144" s="3" t="n">
        <v>156.77043</v>
      </c>
      <c r="L144" s="3" t="n">
        <v>144.46635</v>
      </c>
      <c r="M144" s="3" t="n">
        <v>198.27997</v>
      </c>
      <c r="N144" s="3" t="n">
        <v>172.79118</v>
      </c>
      <c r="O144" s="3" t="n">
        <v>136.51663</v>
      </c>
      <c r="P144" s="3" t="n">
        <v>147.44946</v>
      </c>
      <c r="Q144" s="3" t="n">
        <v>152.06763</v>
      </c>
      <c r="R144" s="3" t="n">
        <v>180.63345</v>
      </c>
      <c r="S144" s="3" t="n">
        <v>144.10843</v>
      </c>
    </row>
    <row r="145" customFormat="false" ht="15" hidden="false" customHeight="false" outlineLevel="0" collapsed="false">
      <c r="B145" s="0" t="s">
        <v>196</v>
      </c>
      <c r="C145" s="2" t="n">
        <v>42185</v>
      </c>
      <c r="D145" s="3" t="n">
        <v>150.65951</v>
      </c>
      <c r="E145" s="3" t="n">
        <v>244.31854</v>
      </c>
      <c r="F145" s="3" t="n">
        <v>171.30789</v>
      </c>
      <c r="G145" s="3" t="n">
        <v>94.46008</v>
      </c>
      <c r="H145" s="3" t="n">
        <v>143.47164</v>
      </c>
      <c r="I145" s="3" t="n">
        <v>145.09812</v>
      </c>
      <c r="J145" s="3" t="n">
        <v>155.64654</v>
      </c>
      <c r="K145" s="3" t="n">
        <v>171.1046</v>
      </c>
      <c r="L145" s="3" t="n">
        <v>145.33011</v>
      </c>
      <c r="M145" s="3" t="n">
        <v>195.40465</v>
      </c>
      <c r="N145" s="3" t="n">
        <v>184.87961</v>
      </c>
      <c r="O145" s="3" t="n">
        <v>139.2314</v>
      </c>
      <c r="P145" s="3" t="n">
        <v>149.41821</v>
      </c>
      <c r="Q145" s="3" t="n">
        <v>154.23239</v>
      </c>
      <c r="R145" s="3" t="n">
        <v>186.13448</v>
      </c>
      <c r="S145" s="3" t="n">
        <v>151.50738</v>
      </c>
    </row>
    <row r="146" customFormat="false" ht="15" hidden="false" customHeight="false" outlineLevel="0" collapsed="false">
      <c r="B146" s="0" t="s">
        <v>197</v>
      </c>
      <c r="C146" s="2" t="n">
        <v>42216</v>
      </c>
      <c r="D146" s="3" t="n">
        <v>150.53913</v>
      </c>
      <c r="E146" s="3" t="n">
        <v>115.60814</v>
      </c>
      <c r="F146" s="3" t="n">
        <v>195.73492</v>
      </c>
      <c r="G146" s="3" t="n">
        <v>98.48089</v>
      </c>
      <c r="H146" s="3" t="n">
        <v>141.8834</v>
      </c>
      <c r="I146" s="3" t="n">
        <v>150.96215</v>
      </c>
      <c r="J146" s="3" t="n">
        <v>158.10424</v>
      </c>
      <c r="K146" s="3" t="n">
        <v>162.76093</v>
      </c>
      <c r="L146" s="3" t="n">
        <v>163.4317</v>
      </c>
      <c r="M146" s="3" t="n">
        <v>193.05419</v>
      </c>
      <c r="N146" s="3" t="n">
        <v>182.82424</v>
      </c>
      <c r="O146" s="3" t="n">
        <v>141.3413</v>
      </c>
      <c r="P146" s="3" t="n">
        <v>149.86413</v>
      </c>
      <c r="Q146" s="3" t="n">
        <v>153.67299</v>
      </c>
      <c r="R146" s="3" t="n">
        <v>171.17108</v>
      </c>
      <c r="S146" s="3" t="n">
        <v>170.5902</v>
      </c>
    </row>
    <row r="147" customFormat="false" ht="15" hidden="false" customHeight="false" outlineLevel="0" collapsed="false">
      <c r="B147" s="0" t="s">
        <v>198</v>
      </c>
      <c r="C147" s="2" t="n">
        <v>42247</v>
      </c>
      <c r="D147" s="3" t="n">
        <v>150.34522</v>
      </c>
      <c r="E147" s="3" t="n">
        <v>68.81775</v>
      </c>
      <c r="F147" s="3" t="n">
        <v>213.41732</v>
      </c>
      <c r="G147" s="3" t="n">
        <v>96.67542</v>
      </c>
      <c r="H147" s="3" t="n">
        <v>143.65164</v>
      </c>
      <c r="I147" s="3" t="n">
        <v>146.61681</v>
      </c>
      <c r="J147" s="3" t="n">
        <v>156.44718</v>
      </c>
      <c r="K147" s="3" t="n">
        <v>164.54508</v>
      </c>
      <c r="L147" s="3" t="n">
        <v>159.29244</v>
      </c>
      <c r="M147" s="3" t="n">
        <v>189.46948</v>
      </c>
      <c r="N147" s="3" t="n">
        <v>182.61054</v>
      </c>
      <c r="O147" s="3" t="n">
        <v>135.64399</v>
      </c>
      <c r="P147" s="3" t="n">
        <v>150.79371</v>
      </c>
      <c r="Q147" s="3" t="n">
        <v>155.1661</v>
      </c>
      <c r="R147" s="3" t="n">
        <v>171.84142</v>
      </c>
      <c r="S147" s="3" t="n">
        <v>152.01403</v>
      </c>
    </row>
    <row r="148" customFormat="false" ht="15" hidden="false" customHeight="false" outlineLevel="0" collapsed="false">
      <c r="B148" s="0" t="s">
        <v>199</v>
      </c>
      <c r="C148" s="2" t="n">
        <v>42277</v>
      </c>
      <c r="D148" s="3" t="n">
        <v>149.00537</v>
      </c>
      <c r="E148" s="3" t="n">
        <v>64.55009</v>
      </c>
      <c r="F148" s="3" t="n">
        <v>209.04555</v>
      </c>
      <c r="G148" s="3" t="n">
        <v>94.30159</v>
      </c>
      <c r="H148" s="3" t="n">
        <v>140.46466</v>
      </c>
      <c r="I148" s="3" t="n">
        <v>139.84063</v>
      </c>
      <c r="J148" s="3" t="n">
        <v>157.31001</v>
      </c>
      <c r="K148" s="3" t="n">
        <v>163.30995</v>
      </c>
      <c r="L148" s="3" t="n">
        <v>159.69379</v>
      </c>
      <c r="M148" s="3" t="n">
        <v>188.92931</v>
      </c>
      <c r="N148" s="3" t="n">
        <v>181.79409</v>
      </c>
      <c r="O148" s="3" t="n">
        <v>137.68988</v>
      </c>
      <c r="P148" s="3" t="n">
        <v>150.36437</v>
      </c>
      <c r="Q148" s="3" t="n">
        <v>155.7524</v>
      </c>
      <c r="R148" s="3" t="n">
        <v>169.07424</v>
      </c>
      <c r="S148" s="3" t="n">
        <v>143.96083</v>
      </c>
    </row>
    <row r="149" customFormat="false" ht="15" hidden="false" customHeight="false" outlineLevel="0" collapsed="false">
      <c r="B149" s="0" t="s">
        <v>200</v>
      </c>
      <c r="C149" s="2" t="n">
        <v>42308</v>
      </c>
      <c r="D149" s="3" t="n">
        <v>149.30047</v>
      </c>
      <c r="E149" s="3" t="n">
        <v>69.96092</v>
      </c>
      <c r="F149" s="3" t="n">
        <v>211.30575</v>
      </c>
      <c r="G149" s="3" t="n">
        <v>96.17985</v>
      </c>
      <c r="H149" s="3" t="n">
        <v>145.63068</v>
      </c>
      <c r="I149" s="3" t="n">
        <v>141.22232</v>
      </c>
      <c r="J149" s="3" t="n">
        <v>150.13553</v>
      </c>
      <c r="K149" s="3" t="n">
        <v>165.73757</v>
      </c>
      <c r="L149" s="3" t="n">
        <v>166.55672</v>
      </c>
      <c r="M149" s="3" t="n">
        <v>188.30949</v>
      </c>
      <c r="N149" s="3" t="n">
        <v>185.03426</v>
      </c>
      <c r="O149" s="3" t="n">
        <v>137.88815</v>
      </c>
      <c r="P149" s="3" t="n">
        <v>151.13445</v>
      </c>
      <c r="Q149" s="3" t="n">
        <v>156.10138</v>
      </c>
      <c r="R149" s="3" t="n">
        <v>164.45163</v>
      </c>
      <c r="S149" s="3" t="n">
        <v>148.00782</v>
      </c>
    </row>
    <row r="150" customFormat="false" ht="15" hidden="false" customHeight="false" outlineLevel="0" collapsed="false">
      <c r="B150" s="0" t="s">
        <v>201</v>
      </c>
      <c r="C150" s="2" t="n">
        <v>42338</v>
      </c>
      <c r="D150" s="3" t="n">
        <v>148.58071</v>
      </c>
      <c r="E150" s="3" t="n">
        <v>86.5655</v>
      </c>
      <c r="F150" s="3" t="n">
        <v>168.75427</v>
      </c>
      <c r="G150" s="3" t="n">
        <v>92.56422</v>
      </c>
      <c r="H150" s="3" t="n">
        <v>141.44752</v>
      </c>
      <c r="I150" s="3" t="n">
        <v>133.47496</v>
      </c>
      <c r="J150" s="3" t="n">
        <v>147.61785</v>
      </c>
      <c r="K150" s="3" t="n">
        <v>166.60493</v>
      </c>
      <c r="L150" s="3" t="n">
        <v>166.9606</v>
      </c>
      <c r="M150" s="3" t="n">
        <v>185.17534</v>
      </c>
      <c r="N150" s="3" t="n">
        <v>183.6219</v>
      </c>
      <c r="O150" s="3" t="n">
        <v>138.0781</v>
      </c>
      <c r="P150" s="3" t="n">
        <v>151.95932</v>
      </c>
      <c r="Q150" s="3" t="n">
        <v>156.63413</v>
      </c>
      <c r="R150" s="3" t="n">
        <v>164.56945</v>
      </c>
      <c r="S150" s="3" t="n">
        <v>146.29186</v>
      </c>
    </row>
    <row r="151" customFormat="false" ht="15" hidden="false" customHeight="false" outlineLevel="0" collapsed="false">
      <c r="B151" s="0" t="s">
        <v>202</v>
      </c>
      <c r="C151" s="2" t="n">
        <v>42369</v>
      </c>
      <c r="D151" s="3" t="n">
        <v>146.93186</v>
      </c>
      <c r="E151" s="3" t="n">
        <v>89.89063</v>
      </c>
      <c r="F151" s="3" t="n">
        <v>90.78422</v>
      </c>
      <c r="G151" s="3" t="n">
        <v>93.20289</v>
      </c>
      <c r="H151" s="3" t="n">
        <v>132.88156</v>
      </c>
      <c r="I151" s="3" t="n">
        <v>149.73802</v>
      </c>
      <c r="J151" s="3" t="n">
        <v>138.77761</v>
      </c>
      <c r="K151" s="3" t="n">
        <v>145.74958</v>
      </c>
      <c r="L151" s="3" t="n">
        <v>165.21035</v>
      </c>
      <c r="M151" s="3" t="n">
        <v>183.59593</v>
      </c>
      <c r="N151" s="3" t="n">
        <v>187.59344</v>
      </c>
      <c r="O151" s="3" t="n">
        <v>140.55859</v>
      </c>
      <c r="P151" s="3" t="n">
        <v>152.82938</v>
      </c>
      <c r="Q151" s="3" t="n">
        <v>156.699</v>
      </c>
      <c r="R151" s="3" t="n">
        <v>158.20706</v>
      </c>
      <c r="S151" s="3" t="n">
        <v>146.61442</v>
      </c>
    </row>
    <row r="152" customFormat="false" ht="15" hidden="false" customHeight="false" outlineLevel="0" collapsed="false">
      <c r="B152" s="0" t="s">
        <v>203</v>
      </c>
      <c r="C152" s="2" t="n">
        <v>42400</v>
      </c>
      <c r="D152" s="3" t="n">
        <v>147.90289</v>
      </c>
      <c r="E152" s="3" t="n">
        <v>64.6171</v>
      </c>
      <c r="F152" s="3" t="n">
        <v>60.06861</v>
      </c>
      <c r="G152" s="3" t="n">
        <v>90.90368</v>
      </c>
      <c r="H152" s="3" t="n">
        <v>113.98247</v>
      </c>
      <c r="I152" s="3" t="n">
        <v>154.00913</v>
      </c>
      <c r="J152" s="3" t="n">
        <v>141.66154</v>
      </c>
      <c r="K152" s="3" t="n">
        <v>130.55949</v>
      </c>
      <c r="L152" s="3" t="n">
        <v>169.91865</v>
      </c>
      <c r="M152" s="3" t="n">
        <v>189.17877</v>
      </c>
      <c r="N152" s="3" t="n">
        <v>179.47112</v>
      </c>
      <c r="O152" s="3" t="n">
        <v>129.42128</v>
      </c>
      <c r="P152" s="3" t="n">
        <v>152.24783</v>
      </c>
      <c r="Q152" s="3" t="n">
        <v>151.78063</v>
      </c>
      <c r="R152" s="3" t="n">
        <v>172.13267</v>
      </c>
      <c r="S152" s="3" t="n">
        <v>144.69726</v>
      </c>
    </row>
    <row r="153" customFormat="false" ht="15" hidden="false" customHeight="false" outlineLevel="0" collapsed="false">
      <c r="B153" s="0" t="s">
        <v>204</v>
      </c>
      <c r="C153" s="2" t="n">
        <v>42429</v>
      </c>
      <c r="D153" s="3" t="n">
        <v>146.87869</v>
      </c>
      <c r="E153" s="3" t="n">
        <v>70.07331</v>
      </c>
      <c r="F153" s="3" t="n">
        <v>105.73887</v>
      </c>
      <c r="G153" s="3" t="n">
        <v>86.8864</v>
      </c>
      <c r="H153" s="3" t="n">
        <v>114.21741</v>
      </c>
      <c r="I153" s="3" t="n">
        <v>146.78197</v>
      </c>
      <c r="J153" s="3" t="n">
        <v>138.962</v>
      </c>
      <c r="K153" s="3" t="n">
        <v>140.3212</v>
      </c>
      <c r="L153" s="3" t="n">
        <v>163.66937</v>
      </c>
      <c r="M153" s="3" t="n">
        <v>184.08857</v>
      </c>
      <c r="N153" s="3" t="n">
        <v>172.6756</v>
      </c>
      <c r="O153" s="3" t="n">
        <v>130.50209</v>
      </c>
      <c r="P153" s="3" t="n">
        <v>152.31801</v>
      </c>
      <c r="Q153" s="3" t="n">
        <v>152.32787</v>
      </c>
      <c r="R153" s="3" t="n">
        <v>163.53608</v>
      </c>
      <c r="S153" s="3" t="n">
        <v>148.1795</v>
      </c>
    </row>
    <row r="154" customFormat="false" ht="15" hidden="false" customHeight="false" outlineLevel="0" collapsed="false">
      <c r="B154" s="0" t="s">
        <v>205</v>
      </c>
      <c r="C154" s="2" t="n">
        <v>42460</v>
      </c>
      <c r="D154" s="3" t="n">
        <v>145.96567</v>
      </c>
      <c r="E154" s="3" t="n">
        <v>136.66839</v>
      </c>
      <c r="F154" s="3" t="n">
        <v>128.15048</v>
      </c>
      <c r="G154" s="3" t="n">
        <v>92.7385</v>
      </c>
      <c r="H154" s="3" t="n">
        <v>130.51277</v>
      </c>
      <c r="I154" s="3" t="n">
        <v>140.48973</v>
      </c>
      <c r="J154" s="3" t="n">
        <v>140.6387</v>
      </c>
      <c r="K154" s="3" t="n">
        <v>171.95453</v>
      </c>
      <c r="L154" s="3" t="n">
        <v>156.36326</v>
      </c>
      <c r="M154" s="3" t="n">
        <v>193.88948</v>
      </c>
      <c r="N154" s="3" t="n">
        <v>177.28115</v>
      </c>
      <c r="O154" s="3" t="n">
        <v>134.3402</v>
      </c>
      <c r="P154" s="3" t="n">
        <v>151.76832</v>
      </c>
      <c r="Q154" s="3" t="n">
        <v>153.90878</v>
      </c>
      <c r="R154" s="3" t="n">
        <v>177.17082</v>
      </c>
      <c r="S154" s="3" t="n">
        <v>153.0179</v>
      </c>
    </row>
    <row r="155" customFormat="false" ht="15" hidden="false" customHeight="false" outlineLevel="0" collapsed="false">
      <c r="B155" s="0" t="s">
        <v>206</v>
      </c>
      <c r="C155" s="2" t="n">
        <v>42490</v>
      </c>
      <c r="D155" s="3" t="n">
        <v>144.71514</v>
      </c>
      <c r="E155" s="3" t="n">
        <v>222.24407</v>
      </c>
      <c r="F155" s="3" t="n">
        <v>90.44862</v>
      </c>
      <c r="G155" s="3" t="n">
        <v>90.40262</v>
      </c>
      <c r="H155" s="3" t="n">
        <v>129.69256</v>
      </c>
      <c r="I155" s="3" t="n">
        <v>138.49726</v>
      </c>
      <c r="J155" s="3" t="n">
        <v>126.02676</v>
      </c>
      <c r="K155" s="3" t="n">
        <v>152.6199</v>
      </c>
      <c r="L155" s="3" t="n">
        <v>152.19811</v>
      </c>
      <c r="M155" s="3" t="n">
        <v>193.53071</v>
      </c>
      <c r="N155" s="3" t="n">
        <v>172.46925</v>
      </c>
      <c r="O155" s="3" t="n">
        <v>134.71395</v>
      </c>
      <c r="P155" s="3" t="n">
        <v>152.19752</v>
      </c>
      <c r="Q155" s="3" t="n">
        <v>153.89804</v>
      </c>
      <c r="R155" s="3" t="n">
        <v>182.03205</v>
      </c>
      <c r="S155" s="3" t="n">
        <v>146.4935</v>
      </c>
    </row>
    <row r="156" customFormat="false" ht="15" hidden="false" customHeight="false" outlineLevel="0" collapsed="false">
      <c r="B156" s="0" t="s">
        <v>207</v>
      </c>
      <c r="C156" s="2" t="n">
        <v>42521</v>
      </c>
      <c r="D156" s="3" t="n">
        <v>144.57675</v>
      </c>
      <c r="E156" s="3" t="n">
        <v>329.74534</v>
      </c>
      <c r="F156" s="3" t="n">
        <v>117.25828</v>
      </c>
      <c r="G156" s="3" t="n">
        <v>92.82011</v>
      </c>
      <c r="H156" s="3" t="n">
        <v>132.09436</v>
      </c>
      <c r="I156" s="3" t="n">
        <v>150.85736</v>
      </c>
      <c r="J156" s="3" t="n">
        <v>134.22491</v>
      </c>
      <c r="K156" s="3" t="n">
        <v>153.96296</v>
      </c>
      <c r="L156" s="3" t="n">
        <v>147.62172</v>
      </c>
      <c r="M156" s="3" t="n">
        <v>204.46938</v>
      </c>
      <c r="N156" s="3" t="n">
        <v>169.10639</v>
      </c>
      <c r="O156" s="3" t="n">
        <v>136.42821</v>
      </c>
      <c r="P156" s="3" t="n">
        <v>152.58959</v>
      </c>
      <c r="Q156" s="3" t="n">
        <v>155.13058</v>
      </c>
      <c r="R156" s="3" t="n">
        <v>185.60959</v>
      </c>
      <c r="S156" s="3" t="n">
        <v>149.6957</v>
      </c>
    </row>
    <row r="157" customFormat="false" ht="15" hidden="false" customHeight="false" outlineLevel="0" collapsed="false">
      <c r="B157" s="0" t="s">
        <v>208</v>
      </c>
      <c r="C157" s="2" t="n">
        <v>42551</v>
      </c>
      <c r="D157" s="3" t="n">
        <v>144.37905</v>
      </c>
      <c r="E157" s="3" t="n">
        <v>222.36057</v>
      </c>
      <c r="F157" s="3" t="n">
        <v>213.88095</v>
      </c>
      <c r="G157" s="3" t="n">
        <v>88.15854</v>
      </c>
      <c r="H157" s="3" t="n">
        <v>125.65679</v>
      </c>
      <c r="I157" s="3" t="n">
        <v>148.40332</v>
      </c>
      <c r="J157" s="3" t="n">
        <v>128.5682</v>
      </c>
      <c r="K157" s="3" t="n">
        <v>155.93745</v>
      </c>
      <c r="L157" s="3" t="n">
        <v>148.01296</v>
      </c>
      <c r="M157" s="3" t="n">
        <v>197.77917</v>
      </c>
      <c r="N157" s="3" t="n">
        <v>170.47758</v>
      </c>
      <c r="O157" s="3" t="n">
        <v>138.69536</v>
      </c>
      <c r="P157" s="3" t="n">
        <v>153.54515</v>
      </c>
      <c r="Q157" s="3" t="n">
        <v>157.18239</v>
      </c>
      <c r="R157" s="3" t="n">
        <v>190.66643</v>
      </c>
      <c r="S157" s="3" t="n">
        <v>153.82768</v>
      </c>
    </row>
    <row r="158" customFormat="false" ht="15" hidden="false" customHeight="false" outlineLevel="0" collapsed="false">
      <c r="B158" s="0" t="s">
        <v>209</v>
      </c>
      <c r="C158" s="2" t="n">
        <v>42582</v>
      </c>
      <c r="D158" s="3" t="n">
        <v>144.58279</v>
      </c>
      <c r="E158" s="3" t="n">
        <v>113.21856</v>
      </c>
      <c r="F158" s="3" t="n">
        <v>238.82358</v>
      </c>
      <c r="G158" s="3" t="n">
        <v>91.87078</v>
      </c>
      <c r="H158" s="3" t="n">
        <v>127.05698</v>
      </c>
      <c r="I158" s="3" t="n">
        <v>154.0867</v>
      </c>
      <c r="J158" s="3" t="n">
        <v>128.66698</v>
      </c>
      <c r="K158" s="3" t="n">
        <v>148.72842</v>
      </c>
      <c r="L158" s="3" t="n">
        <v>164.99727</v>
      </c>
      <c r="M158" s="3" t="n">
        <v>194.91487</v>
      </c>
      <c r="N158" s="3" t="n">
        <v>169.51022</v>
      </c>
      <c r="O158" s="3" t="n">
        <v>135.95334</v>
      </c>
      <c r="P158" s="3" t="n">
        <v>153.49023</v>
      </c>
      <c r="Q158" s="3" t="n">
        <v>157.75034</v>
      </c>
      <c r="R158" s="3" t="n">
        <v>175.6213</v>
      </c>
      <c r="S158" s="3" t="n">
        <v>167.85268</v>
      </c>
    </row>
    <row r="159" customFormat="false" ht="15" hidden="false" customHeight="false" outlineLevel="0" collapsed="false">
      <c r="B159" s="0" t="s">
        <v>210</v>
      </c>
      <c r="C159" s="2" t="n">
        <v>42613</v>
      </c>
      <c r="D159" s="3" t="n">
        <v>145.6509</v>
      </c>
      <c r="E159" s="3" t="n">
        <v>70.70499</v>
      </c>
      <c r="F159" s="3" t="n">
        <v>254.31098</v>
      </c>
      <c r="G159" s="3" t="n">
        <v>91.21455</v>
      </c>
      <c r="H159" s="3" t="n">
        <v>132.71595</v>
      </c>
      <c r="I159" s="3" t="n">
        <v>145.65136</v>
      </c>
      <c r="J159" s="3" t="n">
        <v>144.70891</v>
      </c>
      <c r="K159" s="3" t="n">
        <v>157.41711</v>
      </c>
      <c r="L159" s="3" t="n">
        <v>163.4264</v>
      </c>
      <c r="M159" s="3" t="n">
        <v>195.01443</v>
      </c>
      <c r="N159" s="3" t="n">
        <v>177.64275</v>
      </c>
      <c r="O159" s="3" t="n">
        <v>138.10995</v>
      </c>
      <c r="P159" s="3" t="n">
        <v>152.88757</v>
      </c>
      <c r="Q159" s="3" t="n">
        <v>157.70043</v>
      </c>
      <c r="R159" s="3" t="n">
        <v>175.71052</v>
      </c>
      <c r="S159" s="3" t="n">
        <v>148.45537</v>
      </c>
    </row>
    <row r="160" customFormat="false" ht="15" hidden="false" customHeight="false" outlineLevel="0" collapsed="false">
      <c r="B160" s="0" t="s">
        <v>211</v>
      </c>
      <c r="C160" s="2" t="n">
        <v>42643</v>
      </c>
      <c r="D160" s="3" t="n">
        <v>145.0188</v>
      </c>
      <c r="E160" s="3" t="n">
        <v>61.92436</v>
      </c>
      <c r="F160" s="3" t="n">
        <v>199.6753</v>
      </c>
      <c r="G160" s="3" t="n">
        <v>89.94995</v>
      </c>
      <c r="H160" s="3" t="n">
        <v>135.53529</v>
      </c>
      <c r="I160" s="3" t="n">
        <v>140.53137</v>
      </c>
      <c r="J160" s="3" t="n">
        <v>136.90842</v>
      </c>
      <c r="K160" s="3" t="n">
        <v>157.25632</v>
      </c>
      <c r="L160" s="3" t="n">
        <v>160.8173</v>
      </c>
      <c r="M160" s="3" t="n">
        <v>192.08877</v>
      </c>
      <c r="N160" s="3" t="n">
        <v>171.42518</v>
      </c>
      <c r="O160" s="3" t="n">
        <v>136.29745</v>
      </c>
      <c r="P160" s="3" t="n">
        <v>152.85529</v>
      </c>
      <c r="Q160" s="3" t="n">
        <v>158.10155</v>
      </c>
      <c r="R160" s="3" t="n">
        <v>172.67102</v>
      </c>
      <c r="S160" s="3" t="n">
        <v>142.7343</v>
      </c>
    </row>
    <row r="161" customFormat="false" ht="15" hidden="false" customHeight="false" outlineLevel="0" collapsed="false">
      <c r="B161" s="0" t="s">
        <v>212</v>
      </c>
      <c r="C161" s="2" t="n">
        <v>42674</v>
      </c>
      <c r="D161" s="3" t="n">
        <v>145.15354</v>
      </c>
      <c r="E161" s="3" t="n">
        <v>70.83907</v>
      </c>
      <c r="F161" s="3" t="n">
        <v>224.6844</v>
      </c>
      <c r="G161" s="3" t="n">
        <v>89.97368</v>
      </c>
      <c r="H161" s="3" t="n">
        <v>134.50621</v>
      </c>
      <c r="I161" s="3" t="n">
        <v>135.17266</v>
      </c>
      <c r="J161" s="3" t="n">
        <v>127.61692</v>
      </c>
      <c r="K161" s="3" t="n">
        <v>154.72634</v>
      </c>
      <c r="L161" s="3" t="n">
        <v>169.97085</v>
      </c>
      <c r="M161" s="3" t="n">
        <v>192.33397</v>
      </c>
      <c r="N161" s="3" t="n">
        <v>173.77477</v>
      </c>
      <c r="O161" s="3" t="n">
        <v>136.52206</v>
      </c>
      <c r="P161" s="3" t="n">
        <v>153.09147</v>
      </c>
      <c r="Q161" s="3" t="n">
        <v>159.19539</v>
      </c>
      <c r="R161" s="3" t="n">
        <v>168.26511</v>
      </c>
      <c r="S161" s="3" t="n">
        <v>147.42716</v>
      </c>
    </row>
    <row r="162" customFormat="false" ht="15" hidden="false" customHeight="false" outlineLevel="0" collapsed="false">
      <c r="B162" s="0" t="s">
        <v>213</v>
      </c>
      <c r="C162" s="2" t="n">
        <v>42704</v>
      </c>
      <c r="D162" s="3" t="n">
        <v>145.78825</v>
      </c>
      <c r="E162" s="3" t="n">
        <v>86.52813</v>
      </c>
      <c r="F162" s="3" t="n">
        <v>127.59211</v>
      </c>
      <c r="G162" s="3" t="n">
        <v>85.95468</v>
      </c>
      <c r="H162" s="3" t="n">
        <v>138.35935</v>
      </c>
      <c r="I162" s="3" t="n">
        <v>133.68775</v>
      </c>
      <c r="J162" s="3" t="n">
        <v>133.98802</v>
      </c>
      <c r="K162" s="3" t="n">
        <v>164.05023</v>
      </c>
      <c r="L162" s="3" t="n">
        <v>169.92111</v>
      </c>
      <c r="M162" s="3" t="n">
        <v>194.06794</v>
      </c>
      <c r="N162" s="3" t="n">
        <v>174.41735</v>
      </c>
      <c r="O162" s="3" t="n">
        <v>138.50989</v>
      </c>
      <c r="P162" s="3" t="n">
        <v>153.57792</v>
      </c>
      <c r="Q162" s="3" t="n">
        <v>159.62997</v>
      </c>
      <c r="R162" s="3" t="n">
        <v>168.04042</v>
      </c>
      <c r="S162" s="3" t="n">
        <v>145.42771</v>
      </c>
    </row>
    <row r="163" customFormat="false" ht="15" hidden="false" customHeight="false" outlineLevel="0" collapsed="false">
      <c r="B163" s="0" t="s">
        <v>214</v>
      </c>
      <c r="C163" s="2" t="n">
        <v>42735</v>
      </c>
      <c r="D163" s="3" t="n">
        <v>146.95888</v>
      </c>
      <c r="E163" s="3" t="n">
        <v>93.78779</v>
      </c>
      <c r="F163" s="3" t="n">
        <v>99.73233</v>
      </c>
      <c r="G163" s="3" t="n">
        <v>87.7959</v>
      </c>
      <c r="H163" s="3" t="n">
        <v>130.23504</v>
      </c>
      <c r="I163" s="3" t="n">
        <v>149.41175</v>
      </c>
      <c r="J163" s="3" t="n">
        <v>130.57981</v>
      </c>
      <c r="K163" s="3" t="n">
        <v>146.69085</v>
      </c>
      <c r="L163" s="3" t="n">
        <v>171.11609</v>
      </c>
      <c r="M163" s="3" t="n">
        <v>193.27492</v>
      </c>
      <c r="N163" s="3" t="n">
        <v>186.22654</v>
      </c>
      <c r="O163" s="3" t="n">
        <v>141.80901</v>
      </c>
      <c r="P163" s="3" t="n">
        <v>153.87334</v>
      </c>
      <c r="Q163" s="3" t="n">
        <v>159.2215</v>
      </c>
      <c r="R163" s="3" t="n">
        <v>161.12805</v>
      </c>
      <c r="S163" s="3" t="n">
        <v>141.05475</v>
      </c>
    </row>
    <row r="164" customFormat="false" ht="15" hidden="false" customHeight="false" outlineLevel="0" collapsed="false">
      <c r="B164" s="0" t="s">
        <v>215</v>
      </c>
      <c r="C164" s="2" t="n">
        <v>42766</v>
      </c>
      <c r="D164" s="3" t="n">
        <v>147.08627</v>
      </c>
      <c r="E164" s="3" t="n">
        <v>67.32241</v>
      </c>
      <c r="F164" s="3" t="n">
        <v>75.25025</v>
      </c>
      <c r="G164" s="3" t="n">
        <v>87.08259</v>
      </c>
      <c r="H164" s="3" t="n">
        <v>112.79767</v>
      </c>
      <c r="I164" s="3" t="n">
        <v>155.35606</v>
      </c>
      <c r="J164" s="3" t="n">
        <v>141.26252</v>
      </c>
      <c r="K164" s="3" t="n">
        <v>131.44365</v>
      </c>
      <c r="L164" s="3" t="n">
        <v>171.34943</v>
      </c>
      <c r="M164" s="3" t="n">
        <v>195.70876</v>
      </c>
      <c r="N164" s="3" t="n">
        <v>184.34794</v>
      </c>
      <c r="O164" s="3" t="n">
        <v>132.18589</v>
      </c>
      <c r="P164" s="3" t="n">
        <v>153.21984</v>
      </c>
      <c r="Q164" s="3" t="n">
        <v>152.72985</v>
      </c>
      <c r="R164" s="3" t="n">
        <v>176.68815</v>
      </c>
      <c r="S164" s="3" t="n">
        <v>151.2634</v>
      </c>
    </row>
    <row r="165" customFormat="false" ht="15" hidden="false" customHeight="false" outlineLevel="0" collapsed="false">
      <c r="B165" s="0" t="s">
        <v>216</v>
      </c>
      <c r="C165" s="2" t="n">
        <v>42794</v>
      </c>
      <c r="D165" s="3" t="n">
        <v>146.81395</v>
      </c>
      <c r="E165" s="3" t="n">
        <v>75.17856</v>
      </c>
      <c r="F165" s="3" t="n">
        <v>161.93415</v>
      </c>
      <c r="G165" s="3" t="n">
        <v>80.65908</v>
      </c>
      <c r="H165" s="3" t="n">
        <v>106.79709</v>
      </c>
      <c r="I165" s="3" t="n">
        <v>141.39021</v>
      </c>
      <c r="J165" s="3" t="n">
        <v>137.55704</v>
      </c>
      <c r="K165" s="3" t="n">
        <v>137.68927</v>
      </c>
      <c r="L165" s="3" t="n">
        <v>164.04807</v>
      </c>
      <c r="M165" s="3" t="n">
        <v>185.70369</v>
      </c>
      <c r="N165" s="3" t="n">
        <v>174.22235</v>
      </c>
      <c r="O165" s="3" t="n">
        <v>132.00784</v>
      </c>
      <c r="P165" s="3" t="n">
        <v>153.25371</v>
      </c>
      <c r="Q165" s="3" t="n">
        <v>152.81022</v>
      </c>
      <c r="R165" s="3" t="n">
        <v>167.46306</v>
      </c>
      <c r="S165" s="3" t="n">
        <v>149.81754</v>
      </c>
    </row>
    <row r="166" customFormat="false" ht="15" hidden="false" customHeight="false" outlineLevel="0" collapsed="false">
      <c r="B166" s="0" t="s">
        <v>217</v>
      </c>
      <c r="C166" s="2" t="n">
        <v>42825</v>
      </c>
      <c r="D166" s="3" t="n">
        <v>147.64481</v>
      </c>
      <c r="E166" s="3" t="n">
        <v>142.22131</v>
      </c>
      <c r="F166" s="3" t="n">
        <v>149.18477</v>
      </c>
      <c r="G166" s="3" t="n">
        <v>88.77404</v>
      </c>
      <c r="H166" s="3" t="n">
        <v>130.74086</v>
      </c>
      <c r="I166" s="3" t="n">
        <v>145.62795</v>
      </c>
      <c r="J166" s="3" t="n">
        <v>150.99707</v>
      </c>
      <c r="K166" s="3" t="n">
        <v>170.96253</v>
      </c>
      <c r="L166" s="3" t="n">
        <v>158.18217</v>
      </c>
      <c r="M166" s="3" t="n">
        <v>199.7504</v>
      </c>
      <c r="N166" s="3" t="n">
        <v>186.50405</v>
      </c>
      <c r="O166" s="3" t="n">
        <v>137.88921</v>
      </c>
      <c r="P166" s="3" t="n">
        <v>153.69389</v>
      </c>
      <c r="Q166" s="3" t="n">
        <v>154.8596</v>
      </c>
      <c r="R166" s="3" t="n">
        <v>181.50746</v>
      </c>
      <c r="S166" s="3" t="n">
        <v>153.01154</v>
      </c>
    </row>
    <row r="167" customFormat="false" ht="15" hidden="false" customHeight="false" outlineLevel="0" collapsed="false">
      <c r="B167" s="0" t="s">
        <v>218</v>
      </c>
      <c r="C167" s="2" t="n">
        <v>42855</v>
      </c>
      <c r="D167" s="3" t="n">
        <v>147.67329</v>
      </c>
      <c r="E167" s="3" t="n">
        <v>232.02525</v>
      </c>
      <c r="F167" s="3" t="n">
        <v>104.49853</v>
      </c>
      <c r="G167" s="3" t="n">
        <v>81.57833</v>
      </c>
      <c r="H167" s="3" t="n">
        <v>122.7045</v>
      </c>
      <c r="I167" s="3" t="n">
        <v>134.23129</v>
      </c>
      <c r="J167" s="3" t="n">
        <v>135.14306</v>
      </c>
      <c r="K167" s="3" t="n">
        <v>145.39536</v>
      </c>
      <c r="L167" s="3" t="n">
        <v>157.52446</v>
      </c>
      <c r="M167" s="3" t="n">
        <v>198.1622</v>
      </c>
      <c r="N167" s="3" t="n">
        <v>173.98024</v>
      </c>
      <c r="O167" s="3" t="n">
        <v>136.14948</v>
      </c>
      <c r="P167" s="3" t="n">
        <v>153.55993</v>
      </c>
      <c r="Q167" s="3" t="n">
        <v>155.69273</v>
      </c>
      <c r="R167" s="3" t="n">
        <v>185.46076</v>
      </c>
      <c r="S167" s="3" t="n">
        <v>155.11089</v>
      </c>
    </row>
    <row r="168" customFormat="false" ht="15" hidden="false" customHeight="false" outlineLevel="0" collapsed="false">
      <c r="B168" s="0" t="s">
        <v>219</v>
      </c>
      <c r="C168" s="2" t="n">
        <v>42886</v>
      </c>
      <c r="D168" s="3" t="n">
        <v>148.67448</v>
      </c>
      <c r="E168" s="3" t="n">
        <v>330.01881</v>
      </c>
      <c r="F168" s="3" t="n">
        <v>166.2403</v>
      </c>
      <c r="G168" s="3" t="n">
        <v>88.95842</v>
      </c>
      <c r="H168" s="3" t="n">
        <v>133.95856</v>
      </c>
      <c r="I168" s="3" t="n">
        <v>143.55714</v>
      </c>
      <c r="J168" s="3" t="n">
        <v>145.798</v>
      </c>
      <c r="K168" s="3" t="n">
        <v>162.93596</v>
      </c>
      <c r="L168" s="3" t="n">
        <v>152.29356</v>
      </c>
      <c r="M168" s="3" t="n">
        <v>211.9665</v>
      </c>
      <c r="N168" s="3" t="n">
        <v>176.42281</v>
      </c>
      <c r="O168" s="3" t="n">
        <v>139.87955</v>
      </c>
      <c r="P168" s="3" t="n">
        <v>153.86886</v>
      </c>
      <c r="Q168" s="3" t="n">
        <v>157.31922</v>
      </c>
      <c r="R168" s="3" t="n">
        <v>189.00289</v>
      </c>
      <c r="S168" s="3" t="n">
        <v>147.46026</v>
      </c>
    </row>
    <row r="169" customFormat="false" ht="15" hidden="false" customHeight="false" outlineLevel="0" collapsed="false">
      <c r="B169" s="0" t="s">
        <v>220</v>
      </c>
      <c r="C169" s="2" t="n">
        <v>42916</v>
      </c>
      <c r="D169" s="3" t="n">
        <v>150.27199</v>
      </c>
      <c r="E169" s="3" t="n">
        <v>228.10946</v>
      </c>
      <c r="F169" s="3" t="n">
        <v>236.05978</v>
      </c>
      <c r="G169" s="3" t="n">
        <v>83.01668</v>
      </c>
      <c r="H169" s="3" t="n">
        <v>141.51559</v>
      </c>
      <c r="I169" s="3" t="n">
        <v>150.0221</v>
      </c>
      <c r="J169" s="3" t="n">
        <v>145.92874</v>
      </c>
      <c r="K169" s="3" t="n">
        <v>168.77888</v>
      </c>
      <c r="L169" s="3" t="n">
        <v>153.56337</v>
      </c>
      <c r="M169" s="3" t="n">
        <v>204.47714</v>
      </c>
      <c r="N169" s="3" t="n">
        <v>181.23451</v>
      </c>
      <c r="O169" s="3" t="n">
        <v>143.2022</v>
      </c>
      <c r="P169" s="3" t="n">
        <v>154.70499</v>
      </c>
      <c r="Q169" s="3" t="n">
        <v>158.96485</v>
      </c>
      <c r="R169" s="3" t="n">
        <v>194.77257</v>
      </c>
      <c r="S169" s="3" t="n">
        <v>144.64523</v>
      </c>
    </row>
    <row r="170" customFormat="false" ht="15" hidden="false" customHeight="false" outlineLevel="0" collapsed="false">
      <c r="B170" s="0" t="s">
        <v>221</v>
      </c>
      <c r="C170" s="2" t="n">
        <v>42947</v>
      </c>
      <c r="D170" s="3" t="n">
        <v>150.46352</v>
      </c>
      <c r="E170" s="3" t="n">
        <v>111.6631</v>
      </c>
      <c r="F170" s="3" t="n">
        <v>249.09584</v>
      </c>
      <c r="G170" s="3" t="n">
        <v>87.34096</v>
      </c>
      <c r="H170" s="3" t="n">
        <v>134.67139</v>
      </c>
      <c r="I170" s="3" t="n">
        <v>151.38972</v>
      </c>
      <c r="J170" s="3" t="n">
        <v>146.41157</v>
      </c>
      <c r="K170" s="3" t="n">
        <v>158.93794</v>
      </c>
      <c r="L170" s="3" t="n">
        <v>172.97018</v>
      </c>
      <c r="M170" s="3" t="n">
        <v>201.63994</v>
      </c>
      <c r="N170" s="3" t="n">
        <v>181.05193</v>
      </c>
      <c r="O170" s="3" t="n">
        <v>141.32858</v>
      </c>
      <c r="P170" s="3" t="n">
        <v>154.18435</v>
      </c>
      <c r="Q170" s="3" t="n">
        <v>160.56191</v>
      </c>
      <c r="R170" s="3" t="n">
        <v>178.79407</v>
      </c>
      <c r="S170" s="3" t="n">
        <v>170.42407</v>
      </c>
    </row>
    <row r="171" customFormat="false" ht="15" hidden="false" customHeight="false" outlineLevel="0" collapsed="false">
      <c r="B171" s="0" t="s">
        <v>222</v>
      </c>
      <c r="C171" s="2" t="n">
        <v>42978</v>
      </c>
      <c r="D171" s="3" t="n">
        <v>150.39058</v>
      </c>
      <c r="E171" s="3" t="n">
        <v>73.08729</v>
      </c>
      <c r="F171" s="3" t="n">
        <v>256.57599</v>
      </c>
      <c r="G171" s="3" t="n">
        <v>89.09401</v>
      </c>
      <c r="H171" s="3" t="n">
        <v>142.00931</v>
      </c>
      <c r="I171" s="3" t="n">
        <v>145.70447</v>
      </c>
      <c r="J171" s="3" t="n">
        <v>159.34963</v>
      </c>
      <c r="K171" s="3" t="n">
        <v>164.5947</v>
      </c>
      <c r="L171" s="3" t="n">
        <v>168.5349</v>
      </c>
      <c r="M171" s="3" t="n">
        <v>198.10327</v>
      </c>
      <c r="N171" s="3" t="n">
        <v>187.47164</v>
      </c>
      <c r="O171" s="3" t="n">
        <v>142.616</v>
      </c>
      <c r="P171" s="3" t="n">
        <v>153.6205</v>
      </c>
      <c r="Q171" s="3" t="n">
        <v>160.38675</v>
      </c>
      <c r="R171" s="3" t="n">
        <v>178.59932</v>
      </c>
      <c r="S171" s="3" t="n">
        <v>150.98686</v>
      </c>
    </row>
    <row r="172" customFormat="false" ht="15" hidden="false" customHeight="false" outlineLevel="0" collapsed="false">
      <c r="B172" s="0" t="s">
        <v>223</v>
      </c>
      <c r="C172" s="2" t="n">
        <v>43008</v>
      </c>
      <c r="D172" s="3" t="n">
        <v>151.21749</v>
      </c>
      <c r="E172" s="3" t="n">
        <v>64.75276</v>
      </c>
      <c r="F172" s="3" t="n">
        <v>279.35234</v>
      </c>
      <c r="G172" s="3" t="n">
        <v>86.8906</v>
      </c>
      <c r="H172" s="3" t="n">
        <v>138.04374</v>
      </c>
      <c r="I172" s="3" t="n">
        <v>136.68443</v>
      </c>
      <c r="J172" s="3" t="n">
        <v>151.25441</v>
      </c>
      <c r="K172" s="3" t="n">
        <v>158.96446</v>
      </c>
      <c r="L172" s="3" t="n">
        <v>165.9484</v>
      </c>
      <c r="M172" s="3" t="n">
        <v>195.03246</v>
      </c>
      <c r="N172" s="3" t="n">
        <v>183.87088</v>
      </c>
      <c r="O172" s="3" t="n">
        <v>141.22366</v>
      </c>
      <c r="P172" s="3" t="n">
        <v>153.71529</v>
      </c>
      <c r="Q172" s="3" t="n">
        <v>160.91718</v>
      </c>
      <c r="R172" s="3" t="n">
        <v>175.65098</v>
      </c>
      <c r="S172" s="3" t="n">
        <v>151.67426</v>
      </c>
    </row>
    <row r="173" customFormat="false" ht="15" hidden="false" customHeight="false" outlineLevel="0" collapsed="false">
      <c r="B173" s="0" t="s">
        <v>224</v>
      </c>
      <c r="C173" s="2" t="n">
        <v>43039</v>
      </c>
      <c r="D173" s="3" t="n">
        <v>151.71276</v>
      </c>
      <c r="E173" s="3" t="n">
        <v>78.23306</v>
      </c>
      <c r="F173" s="3" t="n">
        <v>233.14663</v>
      </c>
      <c r="G173" s="3" t="n">
        <v>90.98439</v>
      </c>
      <c r="H173" s="3" t="n">
        <v>143.00063</v>
      </c>
      <c r="I173" s="3" t="n">
        <v>135.19939</v>
      </c>
      <c r="J173" s="3" t="n">
        <v>149.59535</v>
      </c>
      <c r="K173" s="3" t="n">
        <v>167.3965</v>
      </c>
      <c r="L173" s="3" t="n">
        <v>174.8884</v>
      </c>
      <c r="M173" s="3" t="n">
        <v>196.66674</v>
      </c>
      <c r="N173" s="3" t="n">
        <v>188.41988</v>
      </c>
      <c r="O173" s="3" t="n">
        <v>143.30766</v>
      </c>
      <c r="P173" s="3" t="n">
        <v>154.34281</v>
      </c>
      <c r="Q173" s="3" t="n">
        <v>160.9097</v>
      </c>
      <c r="R173" s="3" t="n">
        <v>171.223</v>
      </c>
      <c r="S173" s="3" t="n">
        <v>152.73807</v>
      </c>
    </row>
    <row r="174" customFormat="false" ht="15" hidden="false" customHeight="false" outlineLevel="0" collapsed="false">
      <c r="B174" s="0" t="s">
        <v>225</v>
      </c>
      <c r="C174" s="2" t="n">
        <v>43069</v>
      </c>
      <c r="D174" s="3" t="n">
        <v>152.63221</v>
      </c>
      <c r="E174" s="3" t="n">
        <v>89.01564</v>
      </c>
      <c r="F174" s="3" t="n">
        <v>125.65674</v>
      </c>
      <c r="G174" s="3" t="n">
        <v>87.46634</v>
      </c>
      <c r="H174" s="3" t="n">
        <v>145.22419</v>
      </c>
      <c r="I174" s="3" t="n">
        <v>130.47088</v>
      </c>
      <c r="J174" s="3" t="n">
        <v>153.73251</v>
      </c>
      <c r="K174" s="3" t="n">
        <v>178.95233</v>
      </c>
      <c r="L174" s="3" t="n">
        <v>177.30707</v>
      </c>
      <c r="M174" s="3" t="n">
        <v>196.78282</v>
      </c>
      <c r="N174" s="3" t="n">
        <v>188.17634</v>
      </c>
      <c r="O174" s="3" t="n">
        <v>144.16713</v>
      </c>
      <c r="P174" s="3" t="n">
        <v>154.97326</v>
      </c>
      <c r="Q174" s="3" t="n">
        <v>161.54758</v>
      </c>
      <c r="R174" s="3" t="n">
        <v>171.38082</v>
      </c>
      <c r="S174" s="3" t="n">
        <v>148.40726</v>
      </c>
    </row>
    <row r="175" customFormat="false" ht="15" hidden="false" customHeight="false" outlineLevel="0" collapsed="false">
      <c r="B175" s="0" t="s">
        <v>226</v>
      </c>
      <c r="C175" s="2" t="n">
        <v>43100</v>
      </c>
      <c r="D175" s="3" t="n">
        <v>152.24534</v>
      </c>
      <c r="E175" s="3" t="n">
        <v>96.78814</v>
      </c>
      <c r="F175" s="3" t="n">
        <v>89.3467</v>
      </c>
      <c r="G175" s="3" t="n">
        <v>88.673</v>
      </c>
      <c r="H175" s="3" t="n">
        <v>132.85985</v>
      </c>
      <c r="I175" s="3" t="n">
        <v>150.41656</v>
      </c>
      <c r="J175" s="3" t="n">
        <v>143.22141</v>
      </c>
      <c r="K175" s="3" t="n">
        <v>148.59419</v>
      </c>
      <c r="L175" s="3" t="n">
        <v>176.7328</v>
      </c>
      <c r="M175" s="3" t="n">
        <v>192.96771</v>
      </c>
      <c r="N175" s="3" t="n">
        <v>193.79796</v>
      </c>
      <c r="O175" s="3" t="n">
        <v>146.47261</v>
      </c>
      <c r="P175" s="3" t="n">
        <v>155.32294</v>
      </c>
      <c r="Q175" s="3" t="n">
        <v>161.57786</v>
      </c>
      <c r="R175" s="3" t="n">
        <v>164.18546</v>
      </c>
      <c r="S175" s="3" t="n">
        <v>145.03063</v>
      </c>
    </row>
    <row r="176" customFormat="false" ht="15" hidden="false" customHeight="false" outlineLevel="0" collapsed="false">
      <c r="B176" s="0" t="s">
        <v>227</v>
      </c>
      <c r="C176" s="2" t="n">
        <v>43131</v>
      </c>
      <c r="D176" s="3" t="n">
        <v>150.9775</v>
      </c>
      <c r="E176" s="3" t="n">
        <v>68.41059</v>
      </c>
      <c r="F176" s="3" t="n">
        <v>126.0063</v>
      </c>
      <c r="G176" s="3" t="n">
        <v>87.85988</v>
      </c>
      <c r="H176" s="3" t="n">
        <v>116.91612</v>
      </c>
      <c r="I176" s="3" t="n">
        <v>154.80274</v>
      </c>
      <c r="J176" s="3" t="n">
        <v>157.05481</v>
      </c>
      <c r="K176" s="3" t="n">
        <v>142.24539</v>
      </c>
      <c r="L176" s="3" t="n">
        <v>177.33121</v>
      </c>
      <c r="M176" s="3" t="n">
        <v>197.70618</v>
      </c>
      <c r="N176" s="3" t="n">
        <v>195.27435</v>
      </c>
      <c r="O176" s="3" t="n">
        <v>138.25989</v>
      </c>
      <c r="P176" s="3" t="n">
        <v>155.00013</v>
      </c>
      <c r="Q176" s="3" t="n">
        <v>156.22569</v>
      </c>
      <c r="R176" s="3" t="n">
        <v>180.51068</v>
      </c>
      <c r="S176" s="3" t="n">
        <v>158.69211</v>
      </c>
    </row>
    <row r="177" customFormat="false" ht="15" hidden="false" customHeight="false" outlineLevel="0" collapsed="false">
      <c r="B177" s="0" t="s">
        <v>228</v>
      </c>
      <c r="C177" s="2" t="n">
        <v>43159</v>
      </c>
      <c r="D177" s="3" t="n">
        <v>152.19147</v>
      </c>
      <c r="E177" s="3" t="n">
        <v>74.74918</v>
      </c>
      <c r="F177" s="3" t="n">
        <v>161.93114</v>
      </c>
      <c r="G177" s="3" t="n">
        <v>81.76606</v>
      </c>
      <c r="H177" s="3" t="n">
        <v>112.84132</v>
      </c>
      <c r="I177" s="3" t="n">
        <v>144.25399</v>
      </c>
      <c r="J177" s="3" t="n">
        <v>151.26991</v>
      </c>
      <c r="K177" s="3" t="n">
        <v>150.99237</v>
      </c>
      <c r="L177" s="3" t="n">
        <v>169.50668</v>
      </c>
      <c r="M177" s="3" t="n">
        <v>186.50328</v>
      </c>
      <c r="N177" s="3" t="n">
        <v>188.1937</v>
      </c>
      <c r="O177" s="3" t="n">
        <v>137.58284</v>
      </c>
      <c r="P177" s="3" t="n">
        <v>154.6091</v>
      </c>
      <c r="Q177" s="3" t="n">
        <v>156.51499</v>
      </c>
      <c r="R177" s="3" t="n">
        <v>170.62868</v>
      </c>
      <c r="S177" s="3" t="n">
        <v>150.65694</v>
      </c>
    </row>
    <row r="178" customFormat="false" ht="15" hidden="false" customHeight="false" outlineLevel="0" collapsed="false">
      <c r="B178" s="0" t="s">
        <v>229</v>
      </c>
      <c r="C178" s="2" t="n">
        <v>43190</v>
      </c>
      <c r="D178" s="3" t="n">
        <v>151.52876</v>
      </c>
      <c r="E178" s="3" t="n">
        <v>144.65148</v>
      </c>
      <c r="F178" s="3" t="n">
        <v>153.50796</v>
      </c>
      <c r="G178" s="3" t="n">
        <v>89.91285</v>
      </c>
      <c r="H178" s="3" t="n">
        <v>133.27753</v>
      </c>
      <c r="I178" s="3" t="n">
        <v>145.02591</v>
      </c>
      <c r="J178" s="3" t="n">
        <v>158.42384</v>
      </c>
      <c r="K178" s="3" t="n">
        <v>176.13428</v>
      </c>
      <c r="L178" s="3" t="n">
        <v>166.39101</v>
      </c>
      <c r="M178" s="3" t="n">
        <v>199.24147</v>
      </c>
      <c r="N178" s="3" t="n">
        <v>192.1643</v>
      </c>
      <c r="O178" s="3" t="n">
        <v>142.45801</v>
      </c>
      <c r="P178" s="3" t="n">
        <v>154.34972</v>
      </c>
      <c r="Q178" s="3" t="n">
        <v>158.79496</v>
      </c>
      <c r="R178" s="3" t="n">
        <v>185.44044</v>
      </c>
      <c r="S178" s="3" t="n">
        <v>146.38801</v>
      </c>
    </row>
    <row r="179" customFormat="false" ht="15" hidden="false" customHeight="false" outlineLevel="0" collapsed="false">
      <c r="B179" s="0" t="s">
        <v>230</v>
      </c>
      <c r="C179" s="2" t="n">
        <v>43220</v>
      </c>
      <c r="D179" s="3" t="n">
        <v>146.79266</v>
      </c>
      <c r="E179" s="3" t="n">
        <v>163.2854</v>
      </c>
      <c r="F179" s="3" t="n">
        <v>111.09893</v>
      </c>
      <c r="G179" s="3" t="n">
        <v>86.70222</v>
      </c>
      <c r="H179" s="3" t="n">
        <v>126.92521</v>
      </c>
      <c r="I179" s="3" t="n">
        <v>138.29447</v>
      </c>
      <c r="J179" s="3" t="n">
        <v>147.52747</v>
      </c>
      <c r="K179" s="3" t="n">
        <v>154.992</v>
      </c>
      <c r="L179" s="3" t="n">
        <v>159.05711</v>
      </c>
      <c r="M179" s="3" t="n">
        <v>195.48271</v>
      </c>
      <c r="N179" s="3" t="n">
        <v>192.41483</v>
      </c>
      <c r="O179" s="3" t="n">
        <v>143.7758</v>
      </c>
      <c r="P179" s="3" t="n">
        <v>153.66064</v>
      </c>
      <c r="Q179" s="3" t="n">
        <v>159.64526</v>
      </c>
      <c r="R179" s="3" t="n">
        <v>188.89673</v>
      </c>
      <c r="S179" s="3" t="n">
        <v>148.29723</v>
      </c>
    </row>
    <row r="180" customFormat="false" ht="15" hidden="false" customHeight="false" outlineLevel="0" collapsed="false">
      <c r="B180" s="0" t="s">
        <v>231</v>
      </c>
      <c r="C180" s="2" t="n">
        <v>43251</v>
      </c>
      <c r="D180" s="3" t="n">
        <v>144.56309</v>
      </c>
      <c r="E180" s="3" t="n">
        <v>223.68425</v>
      </c>
      <c r="F180" s="3" t="n">
        <v>130.95943</v>
      </c>
      <c r="G180" s="3" t="n">
        <v>91.38781</v>
      </c>
      <c r="H180" s="3" t="n">
        <v>132.89712</v>
      </c>
      <c r="I180" s="3" t="n">
        <v>141.78185</v>
      </c>
      <c r="J180" s="3" t="n">
        <v>153.41723</v>
      </c>
      <c r="K180" s="3" t="n">
        <v>162.75819</v>
      </c>
      <c r="L180" s="3" t="n">
        <v>153.29866</v>
      </c>
      <c r="M180" s="3" t="n">
        <v>200.86209</v>
      </c>
      <c r="N180" s="3" t="n">
        <v>195.46129</v>
      </c>
      <c r="O180" s="3" t="n">
        <v>145.63617</v>
      </c>
      <c r="P180" s="3" t="n">
        <v>153.79909</v>
      </c>
      <c r="Q180" s="3" t="n">
        <v>160.68353</v>
      </c>
      <c r="R180" s="3" t="n">
        <v>192.98335</v>
      </c>
      <c r="S180" s="3" t="n">
        <v>152.6538</v>
      </c>
    </row>
    <row r="181" customFormat="false" ht="15" hidden="false" customHeight="false" outlineLevel="0" collapsed="false">
      <c r="B181" s="0" t="s">
        <v>232</v>
      </c>
      <c r="C181" s="2" t="n">
        <v>43281</v>
      </c>
      <c r="D181" s="3" t="n">
        <v>143.25908</v>
      </c>
      <c r="E181" s="3" t="n">
        <v>149.95152</v>
      </c>
      <c r="F181" s="3" t="n">
        <v>197.33839</v>
      </c>
      <c r="G181" s="3" t="n">
        <v>87.07736</v>
      </c>
      <c r="H181" s="3" t="n">
        <v>130.76432</v>
      </c>
      <c r="I181" s="3" t="n">
        <v>156.65476</v>
      </c>
      <c r="J181" s="3" t="n">
        <v>148.59307</v>
      </c>
      <c r="K181" s="3" t="n">
        <v>155.6626</v>
      </c>
      <c r="L181" s="3" t="n">
        <v>149.72378</v>
      </c>
      <c r="M181" s="3" t="n">
        <v>192.57486</v>
      </c>
      <c r="N181" s="3" t="n">
        <v>190.45935</v>
      </c>
      <c r="O181" s="3" t="n">
        <v>145.56857</v>
      </c>
      <c r="P181" s="3" t="n">
        <v>154.62432</v>
      </c>
      <c r="Q181" s="3" t="n">
        <v>162.1425</v>
      </c>
      <c r="R181" s="3" t="n">
        <v>198.75764</v>
      </c>
      <c r="S181" s="3" t="n">
        <v>153.88697</v>
      </c>
    </row>
    <row r="182" customFormat="false" ht="15" hidden="false" customHeight="false" outlineLevel="0" collapsed="false">
      <c r="B182" s="0" t="s">
        <v>233</v>
      </c>
      <c r="C182" s="2" t="n">
        <v>43312</v>
      </c>
      <c r="D182" s="3" t="n">
        <v>143.57921</v>
      </c>
      <c r="E182" s="3" t="n">
        <v>105.72293</v>
      </c>
      <c r="F182" s="3" t="n">
        <v>265.74333</v>
      </c>
      <c r="G182" s="3" t="n">
        <v>88.86154</v>
      </c>
      <c r="H182" s="3" t="n">
        <v>126.6952</v>
      </c>
      <c r="I182" s="3" t="n">
        <v>155.95631</v>
      </c>
      <c r="J182" s="3" t="n">
        <v>147.46882</v>
      </c>
      <c r="K182" s="3" t="n">
        <v>149.18167</v>
      </c>
      <c r="L182" s="3" t="n">
        <v>167.95225</v>
      </c>
      <c r="M182" s="3" t="n">
        <v>194.02594</v>
      </c>
      <c r="N182" s="3" t="n">
        <v>194.24683</v>
      </c>
      <c r="O182" s="3" t="n">
        <v>142.63268</v>
      </c>
      <c r="P182" s="3" t="n">
        <v>153.93323</v>
      </c>
      <c r="Q182" s="3" t="n">
        <v>162.59416</v>
      </c>
      <c r="R182" s="3" t="n">
        <v>181.29588</v>
      </c>
      <c r="S182" s="3" t="n">
        <v>172.18107</v>
      </c>
    </row>
    <row r="183" customFormat="false" ht="15" hidden="false" customHeight="false" outlineLevel="0" collapsed="false">
      <c r="B183" s="0" t="s">
        <v>234</v>
      </c>
      <c r="C183" s="2" t="n">
        <v>43343</v>
      </c>
      <c r="D183" s="3" t="n">
        <v>146.53723</v>
      </c>
      <c r="E183" s="3" t="n">
        <v>74.54875</v>
      </c>
      <c r="F183" s="3" t="n">
        <v>292.73779</v>
      </c>
      <c r="G183" s="3" t="n">
        <v>87.87099</v>
      </c>
      <c r="H183" s="3" t="n">
        <v>135.05008</v>
      </c>
      <c r="I183" s="3" t="n">
        <v>149.15309</v>
      </c>
      <c r="J183" s="3" t="n">
        <v>159.87046</v>
      </c>
      <c r="K183" s="3" t="n">
        <v>155.4073</v>
      </c>
      <c r="L183" s="3" t="n">
        <v>165.44204</v>
      </c>
      <c r="M183" s="3" t="n">
        <v>191.34899</v>
      </c>
      <c r="N183" s="3" t="n">
        <v>200.02078</v>
      </c>
      <c r="O183" s="3" t="n">
        <v>142.91921</v>
      </c>
      <c r="P183" s="3" t="n">
        <v>153.18917</v>
      </c>
      <c r="Q183" s="3" t="n">
        <v>162.66182</v>
      </c>
      <c r="R183" s="3" t="n">
        <v>180.83177</v>
      </c>
      <c r="S183" s="3" t="n">
        <v>153.66322</v>
      </c>
    </row>
    <row r="184" customFormat="false" ht="15" hidden="false" customHeight="false" outlineLevel="0" collapsed="false">
      <c r="B184" s="0" t="s">
        <v>235</v>
      </c>
      <c r="C184" s="2" t="n">
        <v>43373</v>
      </c>
      <c r="D184" s="3" t="n">
        <v>143.13224</v>
      </c>
      <c r="E184" s="3" t="n">
        <v>65.38672</v>
      </c>
      <c r="F184" s="3" t="n">
        <v>291.20424</v>
      </c>
      <c r="G184" s="3" t="n">
        <v>86.34973</v>
      </c>
      <c r="H184" s="3" t="n">
        <v>122.10302</v>
      </c>
      <c r="I184" s="3" t="n">
        <v>132.40278</v>
      </c>
      <c r="J184" s="3" t="n">
        <v>147.83185</v>
      </c>
      <c r="K184" s="3" t="n">
        <v>139.54575</v>
      </c>
      <c r="L184" s="3" t="n">
        <v>160.66081</v>
      </c>
      <c r="M184" s="3" t="n">
        <v>185.24914</v>
      </c>
      <c r="N184" s="3" t="n">
        <v>187.79692</v>
      </c>
      <c r="O184" s="3" t="n">
        <v>138.21649</v>
      </c>
      <c r="P184" s="3" t="n">
        <v>153.50452</v>
      </c>
      <c r="Q184" s="3" t="n">
        <v>163.1151</v>
      </c>
      <c r="R184" s="3" t="n">
        <v>177.77799</v>
      </c>
      <c r="S184" s="3" t="n">
        <v>145.54728</v>
      </c>
    </row>
    <row r="185" customFormat="false" ht="15" hidden="false" customHeight="false" outlineLevel="0" collapsed="false">
      <c r="B185" s="0" t="s">
        <v>236</v>
      </c>
      <c r="C185" s="2" t="n">
        <v>43404</v>
      </c>
      <c r="D185" s="3" t="n">
        <v>143.59559</v>
      </c>
      <c r="E185" s="3" t="n">
        <v>78.62836</v>
      </c>
      <c r="F185" s="3" t="n">
        <v>304.67513</v>
      </c>
      <c r="G185" s="3" t="n">
        <v>88.61135</v>
      </c>
      <c r="H185" s="3" t="n">
        <v>132.12457</v>
      </c>
      <c r="I185" s="3" t="n">
        <v>133.40592</v>
      </c>
      <c r="J185" s="3" t="n">
        <v>143.65507</v>
      </c>
      <c r="K185" s="3" t="n">
        <v>150.0819</v>
      </c>
      <c r="L185" s="3" t="n">
        <v>170.70567</v>
      </c>
      <c r="M185" s="3" t="n">
        <v>188.98013</v>
      </c>
      <c r="N185" s="3" t="n">
        <v>183.94057</v>
      </c>
      <c r="O185" s="3" t="n">
        <v>141.77821</v>
      </c>
      <c r="P185" s="3" t="n">
        <v>153.94433</v>
      </c>
      <c r="Q185" s="3" t="n">
        <v>163.41778</v>
      </c>
      <c r="R185" s="3" t="n">
        <v>172.81474</v>
      </c>
      <c r="S185" s="3" t="n">
        <v>146.2291</v>
      </c>
    </row>
    <row r="186" customFormat="false" ht="15" hidden="false" customHeight="false" outlineLevel="0" collapsed="false">
      <c r="B186" s="0" t="s">
        <v>237</v>
      </c>
      <c r="C186" s="2" t="n">
        <v>43434</v>
      </c>
      <c r="D186" s="3" t="n">
        <v>141.66615</v>
      </c>
      <c r="E186" s="3" t="n">
        <v>90.21847</v>
      </c>
      <c r="F186" s="3" t="n">
        <v>121.77853</v>
      </c>
      <c r="G186" s="3" t="n">
        <v>84.96184</v>
      </c>
      <c r="H186" s="3" t="n">
        <v>125.61743</v>
      </c>
      <c r="I186" s="3" t="n">
        <v>131.16247</v>
      </c>
      <c r="J186" s="3" t="n">
        <v>138.57519</v>
      </c>
      <c r="K186" s="3" t="n">
        <v>150.94216</v>
      </c>
      <c r="L186" s="3" t="n">
        <v>171.76122</v>
      </c>
      <c r="M186" s="3" t="n">
        <v>185.80367</v>
      </c>
      <c r="N186" s="3" t="n">
        <v>175.22018</v>
      </c>
      <c r="O186" s="3" t="n">
        <v>140.65962</v>
      </c>
      <c r="P186" s="3" t="n">
        <v>154.60988</v>
      </c>
      <c r="Q186" s="3" t="n">
        <v>163.77554</v>
      </c>
      <c r="R186" s="3" t="n">
        <v>172.97874</v>
      </c>
      <c r="S186" s="3" t="n">
        <v>140.53454</v>
      </c>
    </row>
    <row r="187" customFormat="false" ht="15" hidden="false" customHeight="false" outlineLevel="0" collapsed="false">
      <c r="B187" s="0" t="s">
        <v>238</v>
      </c>
      <c r="C187" s="2" t="n">
        <v>43465</v>
      </c>
      <c r="D187" s="3" t="n">
        <v>141.97365</v>
      </c>
      <c r="E187" s="3" t="n">
        <v>101.8814</v>
      </c>
      <c r="F187" s="3" t="n">
        <v>84.6432</v>
      </c>
      <c r="G187" s="3" t="n">
        <v>87.97434</v>
      </c>
      <c r="H187" s="3" t="n">
        <v>112.98595</v>
      </c>
      <c r="I187" s="3" t="n">
        <v>139.27956</v>
      </c>
      <c r="J187" s="3" t="n">
        <v>126.29686</v>
      </c>
      <c r="K187" s="3" t="n">
        <v>130.73588</v>
      </c>
      <c r="L187" s="3" t="n">
        <v>173.11376</v>
      </c>
      <c r="M187" s="3" t="n">
        <v>183.89362</v>
      </c>
      <c r="N187" s="3" t="n">
        <v>186.17235</v>
      </c>
      <c r="O187" s="3" t="n">
        <v>143.02343</v>
      </c>
      <c r="P187" s="3" t="n">
        <v>154.65163</v>
      </c>
      <c r="Q187" s="3" t="n">
        <v>163.4187</v>
      </c>
      <c r="R187" s="3" t="n">
        <v>165.64907</v>
      </c>
      <c r="S187" s="3" t="n">
        <v>136.75055</v>
      </c>
    </row>
    <row r="188" customFormat="false" ht="15" hidden="false" customHeight="false" outlineLevel="0" collapsed="false">
      <c r="B188" s="0" t="s">
        <v>239</v>
      </c>
      <c r="C188" s="2" t="n">
        <v>43496</v>
      </c>
      <c r="D188" s="3" t="n">
        <v>141.39773</v>
      </c>
      <c r="E188" s="3" t="n">
        <v>73.18577</v>
      </c>
      <c r="F188" s="3" t="n">
        <v>151.2033</v>
      </c>
      <c r="G188" s="3" t="n">
        <v>87.5797</v>
      </c>
      <c r="H188" s="3" t="n">
        <v>104.68366</v>
      </c>
      <c r="I188" s="3" t="n">
        <v>145.72741</v>
      </c>
      <c r="J188" s="3" t="n">
        <v>143.04785</v>
      </c>
      <c r="K188" s="3" t="n">
        <v>126.08387</v>
      </c>
      <c r="L188" s="3" t="n">
        <v>174.11362</v>
      </c>
      <c r="M188" s="3" t="n">
        <v>186.72563</v>
      </c>
      <c r="N188" s="3" t="n">
        <v>180.72897</v>
      </c>
      <c r="O188" s="3" t="n">
        <v>135.46439</v>
      </c>
      <c r="P188" s="3" t="n">
        <v>154.00691</v>
      </c>
      <c r="Q188" s="3" t="n">
        <v>157.12761</v>
      </c>
      <c r="R188" s="3" t="n">
        <v>180.22749</v>
      </c>
      <c r="S188" s="3" t="n">
        <v>155.77626</v>
      </c>
    </row>
    <row r="189" customFormat="false" ht="15" hidden="false" customHeight="false" outlineLevel="0" collapsed="false">
      <c r="B189" s="0" t="s">
        <v>240</v>
      </c>
      <c r="C189" s="2" t="n">
        <v>43524</v>
      </c>
      <c r="D189" s="3" t="n">
        <v>143.6589</v>
      </c>
      <c r="E189" s="3" t="n">
        <v>77.27598</v>
      </c>
      <c r="F189" s="3" t="n">
        <v>165.78243</v>
      </c>
      <c r="G189" s="3" t="n">
        <v>81.67893</v>
      </c>
      <c r="H189" s="3" t="n">
        <v>103.94713</v>
      </c>
      <c r="I189" s="3" t="n">
        <v>138.26367</v>
      </c>
      <c r="J189" s="3" t="n">
        <v>147.53475</v>
      </c>
      <c r="K189" s="3" t="n">
        <v>134.55896</v>
      </c>
      <c r="L189" s="3" t="n">
        <v>164.17641</v>
      </c>
      <c r="M189" s="3" t="n">
        <v>179.08159</v>
      </c>
      <c r="N189" s="3" t="n">
        <v>170.32451</v>
      </c>
      <c r="O189" s="3" t="n">
        <v>136.99702</v>
      </c>
      <c r="P189" s="3" t="n">
        <v>154.22836</v>
      </c>
      <c r="Q189" s="3" t="n">
        <v>157.8072</v>
      </c>
      <c r="R189" s="3" t="n">
        <v>171.5027</v>
      </c>
      <c r="S189" s="3" t="n">
        <v>145.9607</v>
      </c>
    </row>
    <row r="190" customFormat="false" ht="15" hidden="false" customHeight="false" outlineLevel="0" collapsed="false">
      <c r="B190" s="0" t="s">
        <v>241</v>
      </c>
      <c r="C190" s="2" t="n">
        <v>43555</v>
      </c>
      <c r="D190" s="3" t="n">
        <v>142.25994</v>
      </c>
      <c r="E190" s="3" t="n">
        <v>160.53001</v>
      </c>
      <c r="F190" s="3" t="n">
        <v>154.73778</v>
      </c>
      <c r="G190" s="3" t="n">
        <v>88.53937</v>
      </c>
      <c r="H190" s="3" t="n">
        <v>114.97591</v>
      </c>
      <c r="I190" s="3" t="n">
        <v>134.77683</v>
      </c>
      <c r="J190" s="3" t="n">
        <v>148.07324</v>
      </c>
      <c r="K190" s="3" t="n">
        <v>148.50865</v>
      </c>
      <c r="L190" s="3" t="n">
        <v>160.53688</v>
      </c>
      <c r="M190" s="3" t="n">
        <v>191.48075</v>
      </c>
      <c r="N190" s="3" t="n">
        <v>171.2368</v>
      </c>
      <c r="O190" s="3" t="n">
        <v>138.13194</v>
      </c>
      <c r="P190" s="3" t="n">
        <v>154.18886</v>
      </c>
      <c r="Q190" s="3" t="n">
        <v>160.27433</v>
      </c>
      <c r="R190" s="3" t="n">
        <v>185.69604</v>
      </c>
      <c r="S190" s="3" t="n">
        <v>143.29843</v>
      </c>
    </row>
    <row r="191" customFormat="false" ht="15" hidden="false" customHeight="false" outlineLevel="0" collapsed="false">
      <c r="B191" s="0" t="s">
        <v>242</v>
      </c>
      <c r="C191" s="2" t="n">
        <v>43585</v>
      </c>
      <c r="D191" s="3" t="n">
        <v>142.60579</v>
      </c>
      <c r="E191" s="3" t="n">
        <v>230.99433</v>
      </c>
      <c r="F191" s="3" t="n">
        <v>153.14331</v>
      </c>
      <c r="G191" s="3" t="n">
        <v>87.08294</v>
      </c>
      <c r="H191" s="3" t="n">
        <v>115.92054</v>
      </c>
      <c r="I191" s="3" t="n">
        <v>129.25099</v>
      </c>
      <c r="J191" s="3" t="n">
        <v>140.97352</v>
      </c>
      <c r="K191" s="3" t="n">
        <v>138.44366</v>
      </c>
      <c r="L191" s="3" t="n">
        <v>156.29459</v>
      </c>
      <c r="M191" s="3" t="n">
        <v>193.79683</v>
      </c>
      <c r="N191" s="3" t="n">
        <v>172.35193</v>
      </c>
      <c r="O191" s="3" t="n">
        <v>140.67958</v>
      </c>
      <c r="P191" s="3" t="n">
        <v>154.404</v>
      </c>
      <c r="Q191" s="3" t="n">
        <v>160.43089</v>
      </c>
      <c r="R191" s="3" t="n">
        <v>188.22824</v>
      </c>
      <c r="S191" s="3" t="n">
        <v>143.32743</v>
      </c>
    </row>
    <row r="192" customFormat="false" ht="15" hidden="false" customHeight="false" outlineLevel="0" collapsed="false">
      <c r="B192" s="0" t="s">
        <v>243</v>
      </c>
      <c r="C192" s="2" t="n">
        <v>43616</v>
      </c>
      <c r="D192" s="3" t="n">
        <v>144.83825</v>
      </c>
      <c r="E192" s="3" t="n">
        <v>341.8236</v>
      </c>
      <c r="F192" s="3" t="n">
        <v>92.20582</v>
      </c>
      <c r="G192" s="3" t="n">
        <v>92.88891</v>
      </c>
      <c r="H192" s="3" t="n">
        <v>124.19559</v>
      </c>
      <c r="I192" s="3" t="n">
        <v>138.45859</v>
      </c>
      <c r="J192" s="3" t="n">
        <v>149.71586</v>
      </c>
      <c r="K192" s="3" t="n">
        <v>147.06336</v>
      </c>
      <c r="L192" s="3" t="n">
        <v>153.38938</v>
      </c>
      <c r="M192" s="3" t="n">
        <v>205.17795</v>
      </c>
      <c r="N192" s="3" t="n">
        <v>165.46068</v>
      </c>
      <c r="O192" s="3" t="n">
        <v>142.78539</v>
      </c>
      <c r="P192" s="3" t="n">
        <v>155.09099</v>
      </c>
      <c r="Q192" s="3" t="n">
        <v>161.79533</v>
      </c>
      <c r="R192" s="3" t="n">
        <v>192.63995</v>
      </c>
      <c r="S192" s="3" t="n">
        <v>147.19863</v>
      </c>
    </row>
    <row r="193" customFormat="false" ht="15" hidden="false" customHeight="false" outlineLevel="0" collapsed="false">
      <c r="B193" s="0" t="s">
        <v>244</v>
      </c>
      <c r="C193" s="2" t="n">
        <v>43646</v>
      </c>
      <c r="D193" s="3" t="n">
        <v>144.03378</v>
      </c>
      <c r="E193" s="3" t="n">
        <v>222.81869</v>
      </c>
      <c r="F193" s="3" t="n">
        <v>180.82637</v>
      </c>
      <c r="G193" s="3" t="n">
        <v>88.55193</v>
      </c>
      <c r="H193" s="3" t="n">
        <v>121.49948</v>
      </c>
      <c r="I193" s="3" t="n">
        <v>137.80276</v>
      </c>
      <c r="J193" s="3" t="n">
        <v>138.21166</v>
      </c>
      <c r="K193" s="3" t="n">
        <v>143.74748</v>
      </c>
      <c r="L193" s="3" t="n">
        <v>152.47086</v>
      </c>
      <c r="M193" s="3" t="n">
        <v>196.71574</v>
      </c>
      <c r="N193" s="3" t="n">
        <v>161.65615</v>
      </c>
      <c r="O193" s="3" t="n">
        <v>142.38268</v>
      </c>
      <c r="P193" s="3" t="n">
        <v>155.843</v>
      </c>
      <c r="Q193" s="3" t="n">
        <v>162.68992</v>
      </c>
      <c r="R193" s="3" t="n">
        <v>198.3554</v>
      </c>
      <c r="S193" s="3" t="n">
        <v>151.12985</v>
      </c>
    </row>
    <row r="194" customFormat="false" ht="15" hidden="false" customHeight="false" outlineLevel="0" collapsed="false">
      <c r="B194" s="0" t="s">
        <v>245</v>
      </c>
      <c r="C194" s="2" t="n">
        <v>43677</v>
      </c>
      <c r="D194" s="3" t="n">
        <v>145.83568</v>
      </c>
      <c r="E194" s="3" t="n">
        <v>126.84835</v>
      </c>
      <c r="F194" s="3" t="n">
        <v>252.48144</v>
      </c>
      <c r="G194" s="3" t="n">
        <v>91.64798</v>
      </c>
      <c r="H194" s="3" t="n">
        <v>124.97872</v>
      </c>
      <c r="I194" s="3" t="n">
        <v>151.38048</v>
      </c>
      <c r="J194" s="3" t="n">
        <v>146.97198</v>
      </c>
      <c r="K194" s="3" t="n">
        <v>144.92403</v>
      </c>
      <c r="L194" s="3" t="n">
        <v>174.45206</v>
      </c>
      <c r="M194" s="3" t="n">
        <v>196.2465</v>
      </c>
      <c r="N194" s="3" t="n">
        <v>167.80249</v>
      </c>
      <c r="O194" s="3" t="n">
        <v>143.10736</v>
      </c>
      <c r="P194" s="3" t="n">
        <v>155.34152</v>
      </c>
      <c r="Q194" s="3" t="n">
        <v>163.99846</v>
      </c>
      <c r="R194" s="3" t="n">
        <v>181.59045</v>
      </c>
      <c r="S194" s="3" t="n">
        <v>169.72023</v>
      </c>
    </row>
    <row r="195" customFormat="false" ht="15" hidden="false" customHeight="false" outlineLevel="0" collapsed="false">
      <c r="B195" s="0" t="s">
        <v>246</v>
      </c>
      <c r="C195" s="2" t="n">
        <v>43708</v>
      </c>
      <c r="D195" s="3" t="n">
        <v>144.79059</v>
      </c>
      <c r="E195" s="3" t="n">
        <v>78.02068</v>
      </c>
      <c r="F195" s="3" t="n">
        <v>290.39046</v>
      </c>
      <c r="G195" s="3" t="n">
        <v>91.40404</v>
      </c>
      <c r="H195" s="3" t="n">
        <v>125.63402</v>
      </c>
      <c r="I195" s="3" t="n">
        <v>142.8576</v>
      </c>
      <c r="J195" s="3" t="n">
        <v>155.8552</v>
      </c>
      <c r="K195" s="3" t="n">
        <v>142.46216</v>
      </c>
      <c r="L195" s="3" t="n">
        <v>167.042</v>
      </c>
      <c r="M195" s="3" t="n">
        <v>190.16927</v>
      </c>
      <c r="N195" s="3" t="n">
        <v>169.27895</v>
      </c>
      <c r="O195" s="3" t="n">
        <v>141.6066</v>
      </c>
      <c r="P195" s="3" t="n">
        <v>155.2895</v>
      </c>
      <c r="Q195" s="3" t="n">
        <v>163.56522</v>
      </c>
      <c r="R195" s="3" t="n">
        <v>181.1996</v>
      </c>
      <c r="S195" s="3" t="n">
        <v>146.84812</v>
      </c>
    </row>
    <row r="196" customFormat="false" ht="15" hidden="false" customHeight="false" outlineLevel="0" collapsed="false">
      <c r="B196" s="0" t="s">
        <v>247</v>
      </c>
      <c r="C196" s="2" t="n">
        <v>43738</v>
      </c>
      <c r="D196" s="3" t="n">
        <v>140.55731</v>
      </c>
      <c r="E196" s="3" t="n">
        <v>70.80071</v>
      </c>
      <c r="F196" s="3" t="n">
        <v>163.40704</v>
      </c>
      <c r="G196" s="3" t="n">
        <v>88.26736</v>
      </c>
      <c r="H196" s="3" t="n">
        <v>115.98559</v>
      </c>
      <c r="I196" s="3" t="n">
        <v>132.25951</v>
      </c>
      <c r="J196" s="3" t="n">
        <v>142.63128</v>
      </c>
      <c r="K196" s="3" t="n">
        <v>132.47229</v>
      </c>
      <c r="L196" s="3" t="n">
        <v>162.67784</v>
      </c>
      <c r="M196" s="3" t="n">
        <v>187.0283</v>
      </c>
      <c r="N196" s="3" t="n">
        <v>159.65747</v>
      </c>
      <c r="O196" s="3" t="n">
        <v>139.90912</v>
      </c>
      <c r="P196" s="3" t="n">
        <v>155.83682</v>
      </c>
      <c r="Q196" s="3" t="n">
        <v>164.33651</v>
      </c>
      <c r="R196" s="3" t="n">
        <v>178.15496</v>
      </c>
      <c r="S196" s="3" t="n">
        <v>141.19439</v>
      </c>
    </row>
    <row r="197" customFormat="false" ht="15" hidden="false" customHeight="false" outlineLevel="0" collapsed="false">
      <c r="B197" s="0" t="s">
        <v>248</v>
      </c>
      <c r="C197" s="2" t="n">
        <v>43769</v>
      </c>
      <c r="D197" s="3" t="n">
        <v>143.79727</v>
      </c>
      <c r="E197" s="3" t="n">
        <v>80.63704</v>
      </c>
      <c r="F197" s="3" t="n">
        <v>220.80363</v>
      </c>
      <c r="G197" s="3" t="n">
        <v>90.8763</v>
      </c>
      <c r="H197" s="3" t="n">
        <v>129.6781</v>
      </c>
      <c r="I197" s="3" t="n">
        <v>136.86507</v>
      </c>
      <c r="J197" s="3" t="n">
        <v>135.88939</v>
      </c>
      <c r="K197" s="3" t="n">
        <v>147.21555</v>
      </c>
      <c r="L197" s="3" t="n">
        <v>172.53862</v>
      </c>
      <c r="M197" s="3" t="n">
        <v>188.75553</v>
      </c>
      <c r="N197" s="3" t="n">
        <v>167.62332</v>
      </c>
      <c r="O197" s="3" t="n">
        <v>141.76211</v>
      </c>
      <c r="P197" s="3" t="n">
        <v>156.85989</v>
      </c>
      <c r="Q197" s="3" t="n">
        <v>163.90945</v>
      </c>
      <c r="R197" s="3" t="n">
        <v>173.06342</v>
      </c>
      <c r="S197" s="3" t="n">
        <v>137.03168</v>
      </c>
    </row>
    <row r="198" customFormat="false" ht="15" hidden="false" customHeight="false" outlineLevel="0" collapsed="false">
      <c r="B198" s="0" t="s">
        <v>249</v>
      </c>
      <c r="C198" s="2" t="n">
        <v>43799</v>
      </c>
      <c r="D198" s="3" t="n">
        <v>140.88369</v>
      </c>
      <c r="E198" s="3" t="n">
        <v>90.99894</v>
      </c>
      <c r="F198" s="3" t="n">
        <v>94.71695</v>
      </c>
      <c r="G198" s="3" t="n">
        <v>86.66775</v>
      </c>
      <c r="H198" s="3" t="n">
        <v>119.71828</v>
      </c>
      <c r="I198" s="3" t="n">
        <v>136.73289</v>
      </c>
      <c r="J198" s="3" t="n">
        <v>133.81929</v>
      </c>
      <c r="K198" s="3" t="n">
        <v>142.89631</v>
      </c>
      <c r="L198" s="3" t="n">
        <v>173.1473</v>
      </c>
      <c r="M198" s="3" t="n">
        <v>185.71228</v>
      </c>
      <c r="N198" s="3" t="n">
        <v>161.07203</v>
      </c>
      <c r="O198" s="3" t="n">
        <v>140.14957</v>
      </c>
      <c r="P198" s="3" t="n">
        <v>156.93828</v>
      </c>
      <c r="Q198" s="3" t="n">
        <v>164.1209</v>
      </c>
      <c r="R198" s="3" t="n">
        <v>172.96872</v>
      </c>
      <c r="S198" s="3" t="n">
        <v>135.56057</v>
      </c>
    </row>
    <row r="199" customFormat="false" ht="15" hidden="false" customHeight="false" outlineLevel="0" collapsed="false">
      <c r="B199" s="0" t="s">
        <v>250</v>
      </c>
      <c r="C199" s="2" t="n">
        <v>43830</v>
      </c>
      <c r="D199" s="3" t="n">
        <v>140.12669</v>
      </c>
      <c r="E199" s="3" t="n">
        <v>100.71375</v>
      </c>
      <c r="F199" s="3" t="n">
        <v>95.73886</v>
      </c>
      <c r="G199" s="3" t="n">
        <v>89.10509</v>
      </c>
      <c r="H199" s="3" t="n">
        <v>114.12789</v>
      </c>
      <c r="I199" s="3" t="n">
        <v>145.08514</v>
      </c>
      <c r="J199" s="3" t="n">
        <v>122.01461</v>
      </c>
      <c r="K199" s="3" t="n">
        <v>131.05068</v>
      </c>
      <c r="L199" s="3" t="n">
        <v>175.41773</v>
      </c>
      <c r="M199" s="3" t="n">
        <v>184.60413</v>
      </c>
      <c r="N199" s="3" t="n">
        <v>168.62707</v>
      </c>
      <c r="O199" s="3" t="n">
        <v>143.71641</v>
      </c>
      <c r="P199" s="3" t="n">
        <v>157.5695</v>
      </c>
      <c r="Q199" s="3" t="n">
        <v>163.81818</v>
      </c>
      <c r="R199" s="3" t="n">
        <v>166.54536</v>
      </c>
      <c r="S199" s="3" t="n">
        <v>131.9573</v>
      </c>
    </row>
    <row r="200" customFormat="false" ht="15" hidden="false" customHeight="false" outlineLevel="0" collapsed="false">
      <c r="B200" s="0" t="s">
        <v>251</v>
      </c>
      <c r="C200" s="2" t="n">
        <v>43861</v>
      </c>
      <c r="D200" s="3" t="n">
        <v>140.93018</v>
      </c>
      <c r="E200" s="3" t="n">
        <v>84.7799</v>
      </c>
      <c r="F200" s="3" t="n">
        <v>101.70896</v>
      </c>
      <c r="G200" s="3" t="n">
        <v>88.02325</v>
      </c>
      <c r="H200" s="3" t="n">
        <v>101.71477</v>
      </c>
      <c r="I200" s="3" t="n">
        <v>151.9216</v>
      </c>
      <c r="J200" s="3" t="n">
        <v>129.90481</v>
      </c>
      <c r="K200" s="3" t="n">
        <v>129.37967</v>
      </c>
      <c r="L200" s="3" t="n">
        <v>176.60007</v>
      </c>
      <c r="M200" s="3" t="n">
        <v>182.93542</v>
      </c>
      <c r="N200" s="3" t="n">
        <v>161.53151</v>
      </c>
      <c r="O200" s="3" t="n">
        <v>137.10218</v>
      </c>
      <c r="P200" s="3" t="n">
        <v>155.78383</v>
      </c>
      <c r="Q200" s="3" t="n">
        <v>157.66668</v>
      </c>
      <c r="R200" s="3" t="n">
        <v>181.05884</v>
      </c>
      <c r="S200" s="3" t="n">
        <v>154.05093</v>
      </c>
    </row>
    <row r="201" customFormat="false" ht="15" hidden="false" customHeight="false" outlineLevel="0" collapsed="false">
      <c r="B201" s="0" t="s">
        <v>252</v>
      </c>
      <c r="C201" s="2" t="n">
        <v>43890</v>
      </c>
      <c r="D201" s="3" t="n">
        <v>139.54976</v>
      </c>
      <c r="E201" s="3" t="n">
        <v>68.52543</v>
      </c>
      <c r="F201" s="3" t="n">
        <v>183.55052</v>
      </c>
      <c r="G201" s="3" t="n">
        <v>85.92847</v>
      </c>
      <c r="H201" s="3" t="n">
        <v>102.30741</v>
      </c>
      <c r="I201" s="3" t="n">
        <v>140.2243</v>
      </c>
      <c r="J201" s="3" t="n">
        <v>125.26752</v>
      </c>
      <c r="K201" s="3" t="n">
        <v>129.57229</v>
      </c>
      <c r="L201" s="3" t="n">
        <v>170.13846</v>
      </c>
      <c r="M201" s="3" t="n">
        <v>177.4565</v>
      </c>
      <c r="N201" s="3" t="n">
        <v>154.45575</v>
      </c>
      <c r="O201" s="3" t="n">
        <v>136.28604</v>
      </c>
      <c r="P201" s="3" t="n">
        <v>156.31203</v>
      </c>
      <c r="Q201" s="3" t="n">
        <v>158.40507</v>
      </c>
      <c r="R201" s="3" t="n">
        <v>172.60279</v>
      </c>
      <c r="S201" s="3" t="n">
        <v>144.73666</v>
      </c>
    </row>
    <row r="202" customFormat="false" ht="15" hidden="false" customHeight="false" outlineLevel="0" collapsed="false">
      <c r="B202" s="0" t="s">
        <v>253</v>
      </c>
      <c r="C202" s="2" t="n">
        <v>43921</v>
      </c>
      <c r="D202" s="3" t="n">
        <v>125.96025</v>
      </c>
      <c r="E202" s="3" t="n">
        <v>138.79893</v>
      </c>
      <c r="F202" s="3" t="n">
        <v>80.91924</v>
      </c>
      <c r="G202" s="3" t="n">
        <v>85.81213</v>
      </c>
      <c r="H202" s="3" t="n">
        <v>98.96455</v>
      </c>
      <c r="I202" s="3" t="n">
        <v>146.29745</v>
      </c>
      <c r="J202" s="3" t="n">
        <v>97.69679</v>
      </c>
      <c r="K202" s="3" t="n">
        <v>126.98197</v>
      </c>
      <c r="L202" s="3" t="n">
        <v>102.43045</v>
      </c>
      <c r="M202" s="3" t="n">
        <v>163.95509</v>
      </c>
      <c r="N202" s="3" t="n">
        <v>171.18756</v>
      </c>
      <c r="O202" s="3" t="n">
        <v>129.57605</v>
      </c>
      <c r="P202" s="3" t="n">
        <v>154.35988</v>
      </c>
      <c r="Q202" s="3" t="n">
        <v>158.28215</v>
      </c>
      <c r="R202" s="3" t="n">
        <v>169.01531</v>
      </c>
      <c r="S202" s="3" t="n">
        <v>116.34932</v>
      </c>
    </row>
    <row r="203" customFormat="false" ht="15" hidden="false" customHeight="false" outlineLevel="0" collapsed="false">
      <c r="B203" s="0" t="s">
        <v>254</v>
      </c>
      <c r="C203" s="2" t="n">
        <v>43951</v>
      </c>
      <c r="D203" s="3" t="n">
        <v>105.99228</v>
      </c>
      <c r="E203" s="3" t="n">
        <v>210.48257</v>
      </c>
      <c r="F203" s="3" t="n">
        <v>128.83597</v>
      </c>
      <c r="G203" s="3" t="n">
        <v>69.76603</v>
      </c>
      <c r="H203" s="3" t="n">
        <v>78.01561</v>
      </c>
      <c r="I203" s="3" t="n">
        <v>119.98719</v>
      </c>
      <c r="J203" s="3" t="n">
        <v>43.88606</v>
      </c>
      <c r="K203" s="3" t="n">
        <v>106.49372</v>
      </c>
      <c r="L203" s="3" t="n">
        <v>24.08034</v>
      </c>
      <c r="M203" s="3" t="n">
        <v>143.87525</v>
      </c>
      <c r="N203" s="3" t="n">
        <v>165.46846</v>
      </c>
      <c r="O203" s="3" t="n">
        <v>116.111</v>
      </c>
      <c r="P203" s="3" t="n">
        <v>135.06847</v>
      </c>
      <c r="Q203" s="3" t="n">
        <v>145.01253</v>
      </c>
      <c r="R203" s="3" t="n">
        <v>125.10485</v>
      </c>
      <c r="S203" s="3" t="n">
        <v>38.30241</v>
      </c>
    </row>
    <row r="204" customFormat="false" ht="15" hidden="false" customHeight="false" outlineLevel="0" collapsed="false">
      <c r="B204" s="0" t="s">
        <v>255</v>
      </c>
      <c r="C204" s="2" t="n">
        <v>43982</v>
      </c>
      <c r="D204" s="3" t="n">
        <v>117.20962</v>
      </c>
      <c r="E204" s="3" t="n">
        <v>294.48952</v>
      </c>
      <c r="F204" s="3" t="n">
        <v>153.34525</v>
      </c>
      <c r="G204" s="3" t="n">
        <v>74.91088</v>
      </c>
      <c r="H204" s="3" t="n">
        <v>93.105</v>
      </c>
      <c r="I204" s="3" t="n">
        <v>132.75669</v>
      </c>
      <c r="J204" s="3" t="n">
        <v>75.02261</v>
      </c>
      <c r="K204" s="3" t="n">
        <v>118.0885</v>
      </c>
      <c r="L204" s="3" t="n">
        <v>42.75424</v>
      </c>
      <c r="M204" s="3" t="n">
        <v>162.27754</v>
      </c>
      <c r="N204" s="3" t="n">
        <v>155.63397</v>
      </c>
      <c r="O204" s="3" t="n">
        <v>122.70226</v>
      </c>
      <c r="P204" s="3" t="n">
        <v>136.45071</v>
      </c>
      <c r="Q204" s="3" t="n">
        <v>149.29121</v>
      </c>
      <c r="R204" s="3" t="n">
        <v>154.79297</v>
      </c>
      <c r="S204" s="3" t="n">
        <v>43.59908</v>
      </c>
    </row>
    <row r="205" customFormat="false" ht="15" hidden="false" customHeight="false" outlineLevel="0" collapsed="false">
      <c r="B205" s="0" t="s">
        <v>256</v>
      </c>
      <c r="C205" s="2" t="n">
        <v>44012</v>
      </c>
      <c r="D205" s="3" t="n">
        <v>124.34497</v>
      </c>
      <c r="E205" s="3" t="n">
        <v>200.89476</v>
      </c>
      <c r="F205" s="3" t="n">
        <v>88.79622</v>
      </c>
      <c r="G205" s="3" t="n">
        <v>75.17548</v>
      </c>
      <c r="H205" s="3" t="n">
        <v>113.41104</v>
      </c>
      <c r="I205" s="3" t="n">
        <v>143.29377</v>
      </c>
      <c r="J205" s="3" t="n">
        <v>95.34061</v>
      </c>
      <c r="K205" s="3" t="n">
        <v>133.52314</v>
      </c>
      <c r="L205" s="3" t="n">
        <v>58.57499</v>
      </c>
      <c r="M205" s="3" t="n">
        <v>158.98517</v>
      </c>
      <c r="N205" s="3" t="n">
        <v>166.86491</v>
      </c>
      <c r="O205" s="3" t="n">
        <v>128.61073</v>
      </c>
      <c r="P205" s="3" t="n">
        <v>137.29755</v>
      </c>
      <c r="Q205" s="3" t="n">
        <v>149.84682</v>
      </c>
      <c r="R205" s="3" t="n">
        <v>163.00889</v>
      </c>
      <c r="S205" s="3" t="n">
        <v>57.94751</v>
      </c>
    </row>
    <row r="206" customFormat="false" ht="15" hidden="false" customHeight="false" outlineLevel="0" collapsed="false">
      <c r="B206" s="0" t="s">
        <v>257</v>
      </c>
      <c r="C206" s="2" t="n">
        <v>44043</v>
      </c>
      <c r="D206" s="3" t="n">
        <v>126.15819</v>
      </c>
      <c r="E206" s="3" t="n">
        <v>117.04971</v>
      </c>
      <c r="F206" s="3" t="n">
        <v>86.84341</v>
      </c>
      <c r="G206" s="3" t="n">
        <v>78.69809</v>
      </c>
      <c r="H206" s="3" t="n">
        <v>114.60883</v>
      </c>
      <c r="I206" s="3" t="n">
        <v>158.8599</v>
      </c>
      <c r="J206" s="3" t="n">
        <v>114.83527</v>
      </c>
      <c r="K206" s="3" t="n">
        <v>136.16197</v>
      </c>
      <c r="L206" s="3" t="n">
        <v>58.85517</v>
      </c>
      <c r="M206" s="3" t="n">
        <v>150.62536</v>
      </c>
      <c r="N206" s="3" t="n">
        <v>166.52923</v>
      </c>
      <c r="O206" s="3" t="n">
        <v>130.24777</v>
      </c>
      <c r="P206" s="3" t="n">
        <v>141.06344</v>
      </c>
      <c r="Q206" s="3" t="n">
        <v>153.45983</v>
      </c>
      <c r="R206" s="3" t="n">
        <v>164.44575</v>
      </c>
      <c r="S206" s="3" t="n">
        <v>62.26578</v>
      </c>
    </row>
    <row r="207" customFormat="false" ht="15" hidden="false" customHeight="false" outlineLevel="0" collapsed="false">
      <c r="B207" s="0" t="s">
        <v>258</v>
      </c>
      <c r="C207" s="2" t="n">
        <v>44074</v>
      </c>
      <c r="D207" s="3" t="n">
        <v>128.84416</v>
      </c>
      <c r="E207" s="3" t="n">
        <v>75.82375</v>
      </c>
      <c r="F207" s="3" t="n">
        <v>264.27941</v>
      </c>
      <c r="G207" s="3" t="n">
        <v>80.99571</v>
      </c>
      <c r="H207" s="3" t="n">
        <v>114.39875</v>
      </c>
      <c r="I207" s="3" t="n">
        <v>144.581</v>
      </c>
      <c r="J207" s="3" t="n">
        <v>117.71328</v>
      </c>
      <c r="K207" s="3" t="n">
        <v>134.44212</v>
      </c>
      <c r="L207" s="3" t="n">
        <v>71.33532</v>
      </c>
      <c r="M207" s="3" t="n">
        <v>149.94997</v>
      </c>
      <c r="N207" s="3" t="n">
        <v>171.17913</v>
      </c>
      <c r="O207" s="3" t="n">
        <v>134.64434</v>
      </c>
      <c r="P207" s="3" t="n">
        <v>140.02553</v>
      </c>
      <c r="Q207" s="3" t="n">
        <v>153.09201</v>
      </c>
      <c r="R207" s="3" t="n">
        <v>162.48296</v>
      </c>
      <c r="S207" s="3" t="n">
        <v>66.92928</v>
      </c>
    </row>
    <row r="208" customFormat="false" ht="15" hidden="false" customHeight="false" outlineLevel="0" collapsed="false">
      <c r="B208" s="0" t="s">
        <v>259</v>
      </c>
      <c r="C208" s="2" t="n">
        <v>44104</v>
      </c>
      <c r="D208" s="3" t="n">
        <v>130.79655</v>
      </c>
      <c r="E208" s="3" t="n">
        <v>73.7871</v>
      </c>
      <c r="F208" s="3" t="n">
        <v>237.46872</v>
      </c>
      <c r="G208" s="3" t="n">
        <v>77.02575</v>
      </c>
      <c r="H208" s="3" t="n">
        <v>119.25292</v>
      </c>
      <c r="I208" s="3" t="n">
        <v>133.95363</v>
      </c>
      <c r="J208" s="3" t="n">
        <v>116.46579</v>
      </c>
      <c r="K208" s="3" t="n">
        <v>141.8424</v>
      </c>
      <c r="L208" s="3" t="n">
        <v>63.82222</v>
      </c>
      <c r="M208" s="3" t="n">
        <v>152.13612</v>
      </c>
      <c r="N208" s="3" t="n">
        <v>167.26529</v>
      </c>
      <c r="O208" s="3" t="n">
        <v>135.8179</v>
      </c>
      <c r="P208" s="3" t="n">
        <v>140.58376</v>
      </c>
      <c r="Q208" s="3" t="n">
        <v>155.10667</v>
      </c>
      <c r="R208" s="3" t="n">
        <v>166.23307</v>
      </c>
      <c r="S208" s="3" t="n">
        <v>69.00351</v>
      </c>
    </row>
    <row r="209" customFormat="false" ht="15" hidden="false" customHeight="false" outlineLevel="0" collapsed="false">
      <c r="B209" s="0" t="s">
        <v>260</v>
      </c>
      <c r="C209" s="2" t="n">
        <v>44135</v>
      </c>
      <c r="D209" s="3" t="n">
        <v>133.39866</v>
      </c>
      <c r="E209" s="3" t="n">
        <v>73.3271</v>
      </c>
      <c r="F209" s="3" t="n">
        <v>162.64909</v>
      </c>
      <c r="G209" s="3" t="n">
        <v>79.67517</v>
      </c>
      <c r="H209" s="3" t="n">
        <v>127.43489</v>
      </c>
      <c r="I209" s="3" t="n">
        <v>132.34636</v>
      </c>
      <c r="J209" s="3" t="n">
        <v>133.11965</v>
      </c>
      <c r="K209" s="3" t="n">
        <v>145.26537</v>
      </c>
      <c r="L209" s="3" t="n">
        <v>75.24109</v>
      </c>
      <c r="M209" s="3" t="n">
        <v>151.68675</v>
      </c>
      <c r="N209" s="3" t="n">
        <v>172.65112</v>
      </c>
      <c r="O209" s="3" t="n">
        <v>137.68023</v>
      </c>
      <c r="P209" s="3" t="n">
        <v>143.15187</v>
      </c>
      <c r="Q209" s="3" t="n">
        <v>156.54106</v>
      </c>
      <c r="R209" s="3" t="n">
        <v>169.6862</v>
      </c>
      <c r="S209" s="3" t="n">
        <v>103.55072</v>
      </c>
    </row>
    <row r="210" customFormat="false" ht="15" hidden="false" customHeight="false" outlineLevel="0" collapsed="false">
      <c r="B210" s="0" t="s">
        <v>261</v>
      </c>
      <c r="C210" s="2" t="n">
        <v>44165</v>
      </c>
      <c r="D210" s="3" t="n">
        <v>134.87132</v>
      </c>
      <c r="E210" s="3" t="n">
        <v>86.96627</v>
      </c>
      <c r="F210" s="3" t="n">
        <v>86.64343</v>
      </c>
      <c r="G210" s="3" t="n">
        <v>76.55309</v>
      </c>
      <c r="H210" s="3" t="n">
        <v>124.64921</v>
      </c>
      <c r="I210" s="3" t="n">
        <v>139.37381</v>
      </c>
      <c r="J210" s="3" t="n">
        <v>137.34945</v>
      </c>
      <c r="K210" s="3" t="n">
        <v>144.4852</v>
      </c>
      <c r="L210" s="3" t="n">
        <v>77.98433</v>
      </c>
      <c r="M210" s="3" t="n">
        <v>153.16144</v>
      </c>
      <c r="N210" s="3" t="n">
        <v>169.18795</v>
      </c>
      <c r="O210" s="3" t="n">
        <v>139.68284</v>
      </c>
      <c r="P210" s="3" t="n">
        <v>143.3086</v>
      </c>
      <c r="Q210" s="3" t="n">
        <v>156.78658</v>
      </c>
      <c r="R210" s="3" t="n">
        <v>169.72033</v>
      </c>
      <c r="S210" s="3" t="n">
        <v>104.87223</v>
      </c>
    </row>
    <row r="211" customFormat="false" ht="15" hidden="false" customHeight="false" outlineLevel="0" collapsed="false">
      <c r="B211" s="0" t="s">
        <v>262</v>
      </c>
      <c r="C211" s="2" t="n">
        <v>44196</v>
      </c>
      <c r="D211" s="3" t="n">
        <v>136.95759</v>
      </c>
      <c r="E211" s="3" t="n">
        <v>112.25613</v>
      </c>
      <c r="F211" s="3" t="n">
        <v>103.05339</v>
      </c>
      <c r="G211" s="3" t="n">
        <v>80.7837</v>
      </c>
      <c r="H211" s="3" t="n">
        <v>118.55058</v>
      </c>
      <c r="I211" s="3" t="n">
        <v>149.97531</v>
      </c>
      <c r="J211" s="3" t="n">
        <v>136.60752</v>
      </c>
      <c r="K211" s="3" t="n">
        <v>144.66512</v>
      </c>
      <c r="L211" s="3" t="n">
        <v>90.32414</v>
      </c>
      <c r="M211" s="3" t="n">
        <v>150.69677</v>
      </c>
      <c r="N211" s="3" t="n">
        <v>175.95488</v>
      </c>
      <c r="O211" s="3" t="n">
        <v>142.27007</v>
      </c>
      <c r="P211" s="3" t="n">
        <v>144.27704</v>
      </c>
      <c r="Q211" s="3" t="n">
        <v>157.87222</v>
      </c>
      <c r="R211" s="3" t="n">
        <v>163.65352</v>
      </c>
      <c r="S211" s="3" t="n">
        <v>111.12735</v>
      </c>
    </row>
    <row r="212" customFormat="false" ht="15" hidden="false" customHeight="false" outlineLevel="0" collapsed="false">
      <c r="B212" s="0" t="s">
        <v>263</v>
      </c>
      <c r="C212" s="2" t="n">
        <v>44227</v>
      </c>
      <c r="D212" s="3" t="n">
        <v>139.84977</v>
      </c>
      <c r="E212" s="3" t="n">
        <v>86.97461</v>
      </c>
      <c r="F212" s="3" t="n">
        <v>126.53624</v>
      </c>
      <c r="G212" s="3" t="n">
        <v>79.52679</v>
      </c>
      <c r="H212" s="3" t="n">
        <v>106.25918</v>
      </c>
      <c r="I212" s="3" t="n">
        <v>151.01555</v>
      </c>
      <c r="J212" s="3" t="n">
        <v>145.53881</v>
      </c>
      <c r="K212" s="3" t="n">
        <v>134.90909</v>
      </c>
      <c r="L212" s="3" t="n">
        <v>111.78201</v>
      </c>
      <c r="M212" s="3" t="n">
        <v>158.01002</v>
      </c>
      <c r="N212" s="3" t="n">
        <v>165.4686</v>
      </c>
      <c r="O212" s="3" t="n">
        <v>138.78796</v>
      </c>
      <c r="P212" s="3" t="n">
        <v>146.72806</v>
      </c>
      <c r="Q212" s="3" t="n">
        <v>152.80923</v>
      </c>
      <c r="R212" s="3" t="n">
        <v>178.06103</v>
      </c>
      <c r="S212" s="3" t="n">
        <v>130.35241</v>
      </c>
    </row>
    <row r="213" customFormat="false" ht="15" hidden="false" customHeight="false" outlineLevel="0" collapsed="false">
      <c r="B213" s="0" t="s">
        <v>264</v>
      </c>
      <c r="C213" s="2" t="n">
        <v>44255</v>
      </c>
      <c r="D213" s="3" t="n">
        <v>138.24268</v>
      </c>
      <c r="E213" s="3" t="n">
        <v>71.78789</v>
      </c>
      <c r="F213" s="3" t="n">
        <v>161.33688</v>
      </c>
      <c r="G213" s="3" t="n">
        <v>75.83021</v>
      </c>
      <c r="H213" s="3" t="n">
        <v>103.4554</v>
      </c>
      <c r="I213" s="3" t="n">
        <v>128.49517</v>
      </c>
      <c r="J213" s="3" t="n">
        <v>141.89826</v>
      </c>
      <c r="K213" s="3" t="n">
        <v>135.85282</v>
      </c>
      <c r="L213" s="3" t="n">
        <v>112.21433</v>
      </c>
      <c r="M213" s="3" t="n">
        <v>153.56412</v>
      </c>
      <c r="N213" s="3" t="n">
        <v>159.70484</v>
      </c>
      <c r="O213" s="3" t="n">
        <v>137.69951</v>
      </c>
      <c r="P213" s="3" t="n">
        <v>147.44829</v>
      </c>
      <c r="Q213" s="3" t="n">
        <v>154.16099</v>
      </c>
      <c r="R213" s="3" t="n">
        <v>170.47971</v>
      </c>
      <c r="S213" s="3" t="n">
        <v>124.83305</v>
      </c>
    </row>
    <row r="214" customFormat="false" ht="15" hidden="false" customHeight="false" outlineLevel="0" collapsed="false">
      <c r="B214" s="0" t="s">
        <v>265</v>
      </c>
      <c r="C214" s="2" t="n">
        <v>44286</v>
      </c>
      <c r="D214" s="3" t="n">
        <v>140.89139</v>
      </c>
      <c r="E214" s="3" t="n">
        <v>147.80017</v>
      </c>
      <c r="F214" s="3" t="n">
        <v>136.11913</v>
      </c>
      <c r="G214" s="3" t="n">
        <v>84.12848</v>
      </c>
      <c r="H214" s="3" t="n">
        <v>129.52373</v>
      </c>
      <c r="I214" s="3" t="n">
        <v>144.92577</v>
      </c>
      <c r="J214" s="3" t="n">
        <v>152.50619</v>
      </c>
      <c r="K214" s="3" t="n">
        <v>155.54688</v>
      </c>
      <c r="L214" s="3" t="n">
        <v>91.89927</v>
      </c>
      <c r="M214" s="3" t="n">
        <v>167.71303</v>
      </c>
      <c r="N214" s="3" t="n">
        <v>179.51205</v>
      </c>
      <c r="O214" s="3" t="n">
        <v>142.57669</v>
      </c>
      <c r="P214" s="3" t="n">
        <v>148.92595</v>
      </c>
      <c r="Q214" s="3" t="n">
        <v>159.41394</v>
      </c>
      <c r="R214" s="3" t="n">
        <v>185.34016</v>
      </c>
      <c r="S214" s="3" t="n">
        <v>123.11019</v>
      </c>
    </row>
    <row r="215" customFormat="false" ht="15" hidden="false" customHeight="false" outlineLevel="0" collapsed="false">
      <c r="B215" s="0" t="s">
        <v>266</v>
      </c>
      <c r="C215" s="2" t="n">
        <v>44316</v>
      </c>
      <c r="D215" s="3" t="n">
        <v>139.31159</v>
      </c>
      <c r="E215" s="3" t="n">
        <v>207.70914</v>
      </c>
      <c r="F215" s="3" t="n">
        <v>133.0623</v>
      </c>
      <c r="G215" s="3" t="n">
        <v>82.53756</v>
      </c>
      <c r="H215" s="3" t="n">
        <v>123.31673</v>
      </c>
      <c r="I215" s="3" t="n">
        <v>134.58537</v>
      </c>
      <c r="J215" s="3" t="n">
        <v>137.98507</v>
      </c>
      <c r="K215" s="3" t="n">
        <v>151.53322</v>
      </c>
      <c r="L215" s="3" t="n">
        <v>98.85791</v>
      </c>
      <c r="M215" s="3" t="n">
        <v>170.32166</v>
      </c>
      <c r="N215" s="3" t="n">
        <v>170.83031</v>
      </c>
      <c r="O215" s="3" t="n">
        <v>143.9323</v>
      </c>
      <c r="P215" s="3" t="n">
        <v>146.30393</v>
      </c>
      <c r="Q215" s="3" t="n">
        <v>156.14509</v>
      </c>
      <c r="R215" s="3" t="n">
        <v>188.17575</v>
      </c>
      <c r="S215" s="3" t="n">
        <v>103.46998</v>
      </c>
    </row>
    <row r="216" customFormat="false" ht="15" hidden="false" customHeight="false" outlineLevel="0" collapsed="false">
      <c r="B216" s="0" t="s">
        <v>267</v>
      </c>
      <c r="C216" s="2" t="n">
        <v>44347</v>
      </c>
      <c r="D216" s="3" t="n">
        <v>138.85916</v>
      </c>
      <c r="E216" s="3" t="n">
        <v>282.04636</v>
      </c>
      <c r="F216" s="3" t="n">
        <v>158.33622</v>
      </c>
      <c r="G216" s="3" t="n">
        <v>90.39575</v>
      </c>
      <c r="H216" s="3" t="n">
        <v>122.08775</v>
      </c>
      <c r="I216" s="3" t="n">
        <v>146.80618</v>
      </c>
      <c r="J216" s="3" t="n">
        <v>124.46014</v>
      </c>
      <c r="K216" s="3" t="n">
        <v>148.73672</v>
      </c>
      <c r="L216" s="3" t="n">
        <v>91.44976</v>
      </c>
      <c r="M216" s="3" t="n">
        <v>175.36823</v>
      </c>
      <c r="N216" s="3" t="n">
        <v>156.55073</v>
      </c>
      <c r="O216" s="3" t="n">
        <v>142.1139</v>
      </c>
      <c r="P216" s="3" t="n">
        <v>147.35017</v>
      </c>
      <c r="Q216" s="3" t="n">
        <v>157.02468</v>
      </c>
      <c r="R216" s="3" t="n">
        <v>193.13552</v>
      </c>
      <c r="S216" s="3" t="n">
        <v>106.08862</v>
      </c>
    </row>
    <row r="217" customFormat="false" ht="15" hidden="false" customHeight="false" outlineLevel="0" collapsed="false">
      <c r="B217" s="0" t="s">
        <v>268</v>
      </c>
      <c r="C217" s="2" t="n">
        <v>44377</v>
      </c>
      <c r="D217" s="3" t="n">
        <v>141.52411</v>
      </c>
      <c r="E217" s="3" t="n">
        <v>192.8671</v>
      </c>
      <c r="F217" s="3" t="n">
        <v>186.58714</v>
      </c>
      <c r="G217" s="3" t="n">
        <v>87.02193</v>
      </c>
      <c r="H217" s="3" t="n">
        <v>133.05255</v>
      </c>
      <c r="I217" s="3" t="n">
        <v>157.88061</v>
      </c>
      <c r="J217" s="3" t="n">
        <v>135.99231</v>
      </c>
      <c r="K217" s="3" t="n">
        <v>155.80002</v>
      </c>
      <c r="L217" s="3" t="n">
        <v>92.64316</v>
      </c>
      <c r="M217" s="3" t="n">
        <v>174.10667</v>
      </c>
      <c r="N217" s="3" t="n">
        <v>163.7005</v>
      </c>
      <c r="O217" s="3" t="n">
        <v>144.73545</v>
      </c>
      <c r="P217" s="3" t="n">
        <v>148.21257</v>
      </c>
      <c r="Q217" s="3" t="n">
        <v>157.9009</v>
      </c>
      <c r="R217" s="3" t="n">
        <v>199.64763</v>
      </c>
      <c r="S217" s="3" t="n">
        <v>113.51035</v>
      </c>
    </row>
    <row r="218" customFormat="false" ht="15" hidden="false" customHeight="false" outlineLevel="0" collapsed="false">
      <c r="B218" s="0" t="s">
        <v>269</v>
      </c>
      <c r="C218" s="2" t="n">
        <v>44408</v>
      </c>
      <c r="D218" s="3" t="n">
        <v>141.37917</v>
      </c>
      <c r="E218" s="3" t="n">
        <v>115.64227</v>
      </c>
      <c r="F218" s="3" t="n">
        <v>286.60974</v>
      </c>
      <c r="G218" s="3" t="n">
        <v>88.70168</v>
      </c>
      <c r="H218" s="3" t="n">
        <v>129.64688</v>
      </c>
      <c r="I218" s="3" t="n">
        <v>163.91217</v>
      </c>
      <c r="J218" s="3" t="n">
        <v>141.52888</v>
      </c>
      <c r="K218" s="3" t="n">
        <v>151.57415</v>
      </c>
      <c r="L218" s="3" t="n">
        <v>104.50099</v>
      </c>
      <c r="M218" s="3" t="n">
        <v>168.78619</v>
      </c>
      <c r="N218" s="3" t="n">
        <v>162.43006</v>
      </c>
      <c r="O218" s="3" t="n">
        <v>143.81996</v>
      </c>
      <c r="P218" s="3" t="n">
        <v>150.71523</v>
      </c>
      <c r="Q218" s="3" t="n">
        <v>158.77895</v>
      </c>
      <c r="R218" s="3" t="n">
        <v>182.2429</v>
      </c>
      <c r="S218" s="3" t="n">
        <v>122.38587</v>
      </c>
    </row>
    <row r="219" customFormat="false" ht="15" hidden="false" customHeight="false" outlineLevel="0" collapsed="false">
      <c r="B219" s="0" t="s">
        <v>270</v>
      </c>
      <c r="C219" s="2" t="n">
        <v>44439</v>
      </c>
      <c r="D219" s="3" t="n">
        <v>143.3159</v>
      </c>
      <c r="E219" s="3" t="n">
        <v>78.58741</v>
      </c>
      <c r="F219" s="3" t="n">
        <v>274.71223</v>
      </c>
      <c r="G219" s="3" t="n">
        <v>90.49718</v>
      </c>
      <c r="H219" s="3" t="n">
        <v>130.63503</v>
      </c>
      <c r="I219" s="3" t="n">
        <v>158.17023</v>
      </c>
      <c r="J219" s="3" t="n">
        <v>150.72616</v>
      </c>
      <c r="K219" s="3" t="n">
        <v>152.69338</v>
      </c>
      <c r="L219" s="3" t="n">
        <v>113.76549</v>
      </c>
      <c r="M219" s="3" t="n">
        <v>170.1475</v>
      </c>
      <c r="N219" s="3" t="n">
        <v>169.16182</v>
      </c>
      <c r="O219" s="3" t="n">
        <v>145.07236</v>
      </c>
      <c r="P219" s="3" t="n">
        <v>150.99928</v>
      </c>
      <c r="Q219" s="3" t="n">
        <v>161.67671</v>
      </c>
      <c r="R219" s="3" t="n">
        <v>182.28225</v>
      </c>
      <c r="S219" s="3" t="n">
        <v>118.54023</v>
      </c>
    </row>
    <row r="220" customFormat="false" ht="15" hidden="false" customHeight="false" outlineLevel="0" collapsed="false">
      <c r="B220" s="0" t="s">
        <v>271</v>
      </c>
      <c r="C220" s="2" t="n">
        <v>44469</v>
      </c>
      <c r="D220" s="3" t="n">
        <v>144.17735</v>
      </c>
      <c r="E220" s="3" t="n">
        <v>74.20091</v>
      </c>
      <c r="F220" s="3" t="n">
        <v>218.1197</v>
      </c>
      <c r="G220" s="3" t="n">
        <v>90.12264</v>
      </c>
      <c r="H220" s="3" t="n">
        <v>131.99133</v>
      </c>
      <c r="I220" s="3" t="n">
        <v>139.62006</v>
      </c>
      <c r="J220" s="3" t="n">
        <v>149.73562</v>
      </c>
      <c r="K220" s="3" t="n">
        <v>154.02085</v>
      </c>
      <c r="L220" s="3" t="n">
        <v>120.34505</v>
      </c>
      <c r="M220" s="3" t="n">
        <v>170.88542</v>
      </c>
      <c r="N220" s="3" t="n">
        <v>165.70502</v>
      </c>
      <c r="O220" s="3" t="n">
        <v>146.38169</v>
      </c>
      <c r="P220" s="3" t="n">
        <v>152.60833</v>
      </c>
      <c r="Q220" s="3" t="n">
        <v>163.4318</v>
      </c>
      <c r="R220" s="3" t="n">
        <v>179.4027</v>
      </c>
      <c r="S220" s="3" t="n">
        <v>115.36469</v>
      </c>
    </row>
    <row r="221" customFormat="false" ht="15" hidden="false" customHeight="false" outlineLevel="0" collapsed="false">
      <c r="B221" s="0" t="s">
        <v>272</v>
      </c>
      <c r="C221" s="2" t="n">
        <v>44500</v>
      </c>
      <c r="D221" s="3" t="n">
        <v>143.35586</v>
      </c>
      <c r="E221" s="3" t="n">
        <v>75.61665</v>
      </c>
      <c r="F221" s="3" t="n">
        <v>119.02745</v>
      </c>
      <c r="G221" s="3" t="n">
        <v>91.93067</v>
      </c>
      <c r="H221" s="3" t="n">
        <v>133.67929</v>
      </c>
      <c r="I221" s="3" t="n">
        <v>129.20956</v>
      </c>
      <c r="J221" s="3" t="n">
        <v>140.81699</v>
      </c>
      <c r="K221" s="3" t="n">
        <v>151.75361</v>
      </c>
      <c r="L221" s="3" t="n">
        <v>113.95622</v>
      </c>
      <c r="M221" s="3" t="n">
        <v>170.94184</v>
      </c>
      <c r="N221" s="3" t="n">
        <v>168.89341</v>
      </c>
      <c r="O221" s="3" t="n">
        <v>146.36247</v>
      </c>
      <c r="P221" s="3" t="n">
        <v>159.81599</v>
      </c>
      <c r="Q221" s="3" t="n">
        <v>164.36542</v>
      </c>
      <c r="R221" s="3" t="n">
        <v>174.05663</v>
      </c>
      <c r="S221" s="3" t="n">
        <v>121.32184</v>
      </c>
    </row>
    <row r="222" customFormat="false" ht="15" hidden="false" customHeight="false" outlineLevel="0" collapsed="false">
      <c r="B222" s="0" t="s">
        <v>273</v>
      </c>
      <c r="C222" s="2" t="n">
        <v>44530</v>
      </c>
      <c r="D222" s="3" t="n">
        <v>145.71357</v>
      </c>
      <c r="E222" s="3" t="n">
        <v>92.51855</v>
      </c>
      <c r="F222" s="3" t="n">
        <v>91.17462</v>
      </c>
      <c r="G222" s="3" t="n">
        <v>90.27129</v>
      </c>
      <c r="H222" s="3" t="n">
        <v>137.74105</v>
      </c>
      <c r="I222" s="3" t="n">
        <v>139.50963</v>
      </c>
      <c r="J222" s="3" t="n">
        <v>144.83113</v>
      </c>
      <c r="K222" s="3" t="n">
        <v>158.63355</v>
      </c>
      <c r="L222" s="3" t="n">
        <v>119.18456</v>
      </c>
      <c r="M222" s="3" t="n">
        <v>174.67178</v>
      </c>
      <c r="N222" s="3" t="n">
        <v>172.13812</v>
      </c>
      <c r="O222" s="3" t="n">
        <v>149.29578</v>
      </c>
      <c r="P222" s="3" t="n">
        <v>160.50722</v>
      </c>
      <c r="Q222" s="3" t="n">
        <v>164.78529</v>
      </c>
      <c r="R222" s="3" t="n">
        <v>174.10594</v>
      </c>
      <c r="S222" s="3" t="n">
        <v>121.30259</v>
      </c>
    </row>
    <row r="223" customFormat="false" ht="15" hidden="false" customHeight="false" outlineLevel="0" collapsed="false">
      <c r="B223" s="0" t="s">
        <v>274</v>
      </c>
      <c r="C223" s="2" t="n">
        <v>44561</v>
      </c>
      <c r="D223" s="3" t="n">
        <v>149.7204</v>
      </c>
      <c r="E223" s="3" t="n">
        <v>129.44161</v>
      </c>
      <c r="F223" s="3" t="n">
        <v>106.38181</v>
      </c>
      <c r="G223" s="3" t="n">
        <v>92.47969</v>
      </c>
      <c r="H223" s="3" t="n">
        <v>131.04457</v>
      </c>
      <c r="I223" s="3" t="n">
        <v>154.85842</v>
      </c>
      <c r="J223" s="3" t="n">
        <v>141.6476</v>
      </c>
      <c r="K223" s="3" t="n">
        <v>155.1093</v>
      </c>
      <c r="L223" s="3" t="n">
        <v>126.55592</v>
      </c>
      <c r="M223" s="3" t="n">
        <v>176.31511</v>
      </c>
      <c r="N223" s="3" t="n">
        <v>174.98367</v>
      </c>
      <c r="O223" s="3" t="n">
        <v>151.17331</v>
      </c>
      <c r="P223" s="3" t="n">
        <v>161.23162</v>
      </c>
      <c r="Q223" s="3" t="n">
        <v>166.44216</v>
      </c>
      <c r="R223" s="3" t="n">
        <v>167.41608</v>
      </c>
      <c r="S223" s="3" t="n">
        <v>126.10372</v>
      </c>
    </row>
    <row r="224" customFormat="false" ht="15" hidden="false" customHeight="false" outlineLevel="0" collapsed="false">
      <c r="B224" s="0" t="s">
        <v>275</v>
      </c>
      <c r="C224" s="2" t="n">
        <v>44592</v>
      </c>
      <c r="D224" s="3" t="n">
        <v>148.52455</v>
      </c>
      <c r="E224" s="3" t="n">
        <v>102.95741</v>
      </c>
      <c r="F224" s="3" t="n">
        <v>111.84315</v>
      </c>
      <c r="G224" s="3" t="n">
        <v>93.53114</v>
      </c>
      <c r="H224" s="3" t="n">
        <v>105.56566</v>
      </c>
      <c r="I224" s="3" t="n">
        <v>164.04626</v>
      </c>
      <c r="J224" s="3" t="n">
        <v>146.29942</v>
      </c>
      <c r="K224" s="3" t="n">
        <v>139.2579</v>
      </c>
      <c r="L224" s="3" t="n">
        <v>167.38156</v>
      </c>
      <c r="M224" s="3" t="n">
        <v>171.1248</v>
      </c>
      <c r="N224" s="3" t="n">
        <v>170.72577</v>
      </c>
      <c r="O224" s="3" t="n">
        <v>144.67354</v>
      </c>
      <c r="P224" s="3" t="n">
        <v>161.34227</v>
      </c>
      <c r="Q224" s="3" t="n">
        <v>160.14279</v>
      </c>
      <c r="R224" s="3" t="n">
        <v>183.27305</v>
      </c>
      <c r="S224" s="3" t="n">
        <v>136.84033</v>
      </c>
    </row>
    <row r="225" customFormat="false" ht="15" hidden="false" customHeight="false" outlineLevel="0" collapsed="false">
      <c r="B225" s="0" t="s">
        <v>276</v>
      </c>
      <c r="C225" s="2" t="n">
        <v>44620</v>
      </c>
      <c r="D225" s="3" t="n">
        <v>150.70923</v>
      </c>
      <c r="E225" s="3" t="n">
        <v>78.75098</v>
      </c>
      <c r="F225" s="3" t="n">
        <v>160.22637</v>
      </c>
      <c r="G225" s="3" t="n">
        <v>84.62401</v>
      </c>
      <c r="H225" s="3" t="n">
        <v>114.3119</v>
      </c>
      <c r="I225" s="3" t="n">
        <v>136.44145</v>
      </c>
      <c r="J225" s="3" t="n">
        <v>150.83267</v>
      </c>
      <c r="K225" s="3" t="n">
        <v>145.31906</v>
      </c>
      <c r="L225" s="3" t="n">
        <v>164.62502</v>
      </c>
      <c r="M225" s="3" t="n">
        <v>172.23433</v>
      </c>
      <c r="N225" s="3" t="n">
        <v>161.67681</v>
      </c>
      <c r="O225" s="3" t="n">
        <v>145.84303</v>
      </c>
      <c r="P225" s="3" t="n">
        <v>161.65787</v>
      </c>
      <c r="Q225" s="3" t="n">
        <v>161.51263</v>
      </c>
      <c r="R225" s="3" t="n">
        <v>174.50096</v>
      </c>
      <c r="S225" s="3" t="n">
        <v>137.22079</v>
      </c>
    </row>
    <row r="226" customFormat="false" ht="15" hidden="false" customHeight="false" outlineLevel="0" collapsed="false">
      <c r="B226" s="0" t="s">
        <v>277</v>
      </c>
      <c r="C226" s="2" t="n">
        <v>44651</v>
      </c>
      <c r="D226" s="3" t="n">
        <v>150.34672</v>
      </c>
      <c r="E226" s="3" t="n">
        <v>150.42269</v>
      </c>
      <c r="F226" s="3" t="n">
        <v>128.99581</v>
      </c>
      <c r="G226" s="3" t="n">
        <v>95.19459</v>
      </c>
      <c r="H226" s="3" t="n">
        <v>134.51083</v>
      </c>
      <c r="I226" s="3" t="n">
        <v>146.016</v>
      </c>
      <c r="J226" s="3" t="n">
        <v>156.33788</v>
      </c>
      <c r="K226" s="3" t="n">
        <v>161.98969</v>
      </c>
      <c r="L226" s="3" t="n">
        <v>130.70449</v>
      </c>
      <c r="M226" s="3" t="n">
        <v>184.85307</v>
      </c>
      <c r="N226" s="3" t="n">
        <v>180.24362</v>
      </c>
      <c r="O226" s="3" t="n">
        <v>148.87343</v>
      </c>
      <c r="P226" s="3" t="n">
        <v>161.47135</v>
      </c>
      <c r="Q226" s="3" t="n">
        <v>165.25614</v>
      </c>
      <c r="R226" s="3" t="n">
        <v>188.4943</v>
      </c>
      <c r="S226" s="3" t="n">
        <v>138.93517</v>
      </c>
    </row>
    <row r="227" customFormat="false" ht="15" hidden="false" customHeight="false" outlineLevel="0" collapsed="false">
      <c r="B227" s="0" t="s">
        <v>278</v>
      </c>
      <c r="C227" s="2" t="n">
        <v>44681</v>
      </c>
      <c r="D227" s="3" t="n">
        <v>152.0977</v>
      </c>
      <c r="E227" s="3" t="n">
        <v>202.9112</v>
      </c>
      <c r="F227" s="3" t="n">
        <v>211.13754</v>
      </c>
      <c r="G227" s="3" t="n">
        <v>95.47598</v>
      </c>
      <c r="H227" s="3" t="n">
        <v>129.12817</v>
      </c>
      <c r="I227" s="3" t="n">
        <v>138.64011</v>
      </c>
      <c r="J227" s="3" t="n">
        <v>151.26623</v>
      </c>
      <c r="K227" s="3" t="n">
        <v>161.64267</v>
      </c>
      <c r="L227" s="3" t="n">
        <v>111.49017</v>
      </c>
      <c r="M227" s="3" t="n">
        <v>189.22275</v>
      </c>
      <c r="N227" s="3" t="n">
        <v>175.58867</v>
      </c>
      <c r="O227" s="3" t="n">
        <v>151.53833</v>
      </c>
      <c r="P227" s="3" t="n">
        <v>160.71627</v>
      </c>
      <c r="Q227" s="3" t="n">
        <v>164.97305</v>
      </c>
      <c r="R227" s="3" t="n">
        <v>191.1269</v>
      </c>
      <c r="S227" s="3" t="n">
        <v>121.05811</v>
      </c>
    </row>
    <row r="228" customFormat="false" ht="15" hidden="false" customHeight="false" outlineLevel="0" collapsed="false">
      <c r="B228" s="0" t="s">
        <v>279</v>
      </c>
      <c r="C228" s="2" t="n">
        <v>44712</v>
      </c>
      <c r="D228" s="3" t="n">
        <v>152.12668</v>
      </c>
      <c r="E228" s="3" t="n">
        <v>272.01309</v>
      </c>
      <c r="F228" s="3" t="n">
        <v>170.11888</v>
      </c>
      <c r="G228" s="3" t="n">
        <v>104.09607</v>
      </c>
      <c r="H228" s="3" t="n">
        <v>135.36645</v>
      </c>
      <c r="I228" s="3" t="n">
        <v>155.96833</v>
      </c>
      <c r="J228" s="3" t="n">
        <v>145.64229</v>
      </c>
      <c r="K228" s="3" t="n">
        <v>166.16402</v>
      </c>
      <c r="L228" s="3" t="n">
        <v>137.14582</v>
      </c>
      <c r="M228" s="3" t="n">
        <v>195.64057</v>
      </c>
      <c r="N228" s="3" t="n">
        <v>159.37032</v>
      </c>
      <c r="O228" s="3" t="n">
        <v>153.24729</v>
      </c>
      <c r="P228" s="3" t="n">
        <v>160.92652</v>
      </c>
      <c r="Q228" s="3" t="n">
        <v>165.95251</v>
      </c>
      <c r="R228" s="3" t="n">
        <v>194.56511</v>
      </c>
      <c r="S228" s="3" t="n">
        <v>119.47279</v>
      </c>
    </row>
    <row r="229" customFormat="false" ht="15" hidden="false" customHeight="false" outlineLevel="0" collapsed="false">
      <c r="B229" s="0" t="s">
        <v>280</v>
      </c>
      <c r="C229" s="2" t="n">
        <v>44742</v>
      </c>
      <c r="D229" s="3" t="n">
        <v>154.30297</v>
      </c>
      <c r="E229" s="3" t="n">
        <v>190.60765</v>
      </c>
      <c r="F229" s="3" t="n">
        <v>200.87453</v>
      </c>
      <c r="G229" s="3" t="n">
        <v>96.64953</v>
      </c>
      <c r="H229" s="3" t="n">
        <v>141.39612</v>
      </c>
      <c r="I229" s="3" t="n">
        <v>166.64152</v>
      </c>
      <c r="J229" s="3" t="n">
        <v>149.85879</v>
      </c>
      <c r="K229" s="3" t="n">
        <v>171.42271</v>
      </c>
      <c r="L229" s="3" t="n">
        <v>163.74717</v>
      </c>
      <c r="M229" s="3" t="n">
        <v>191.15997</v>
      </c>
      <c r="N229" s="3" t="n">
        <v>167.62015</v>
      </c>
      <c r="O229" s="3" t="n">
        <v>153.12018</v>
      </c>
      <c r="P229" s="3" t="n">
        <v>162.51768</v>
      </c>
      <c r="Q229" s="3" t="n">
        <v>167.12105</v>
      </c>
      <c r="R229" s="3" t="n">
        <v>201.13025</v>
      </c>
      <c r="S229" s="3" t="n">
        <v>122.13159</v>
      </c>
    </row>
    <row r="230" customFormat="false" ht="15" hidden="false" customHeight="false" outlineLevel="0" collapsed="false">
      <c r="B230" s="0" t="s">
        <v>281</v>
      </c>
      <c r="C230" s="2" t="n">
        <v>44773</v>
      </c>
      <c r="D230" s="3" t="n">
        <v>152.5582</v>
      </c>
      <c r="E230" s="3" t="n">
        <v>108.37984</v>
      </c>
      <c r="F230" s="3" t="n">
        <v>275.90456</v>
      </c>
      <c r="G230" s="3" t="n">
        <v>99.13923</v>
      </c>
      <c r="H230" s="3" t="n">
        <v>137.47421</v>
      </c>
      <c r="I230" s="3" t="n">
        <v>159.6238</v>
      </c>
      <c r="J230" s="3" t="n">
        <v>151.07353</v>
      </c>
      <c r="K230" s="3" t="n">
        <v>162.09687</v>
      </c>
      <c r="L230" s="3" t="n">
        <v>133.62774</v>
      </c>
      <c r="M230" s="3" t="n">
        <v>185.74071</v>
      </c>
      <c r="N230" s="3" t="n">
        <v>166.62721</v>
      </c>
      <c r="O230" s="3" t="n">
        <v>152.5591</v>
      </c>
      <c r="P230" s="3" t="n">
        <v>162.10501</v>
      </c>
      <c r="Q230" s="3" t="n">
        <v>167.95205</v>
      </c>
      <c r="R230" s="3" t="n">
        <v>184.23103</v>
      </c>
      <c r="S230" s="3" t="n">
        <v>135.86833</v>
      </c>
    </row>
    <row r="231" customFormat="false" ht="15" hidden="false" customHeight="false" outlineLevel="0" collapsed="false">
      <c r="B231" s="0" t="s">
        <v>282</v>
      </c>
      <c r="C231" s="2" t="n">
        <v>44804</v>
      </c>
      <c r="D231" s="3" t="n">
        <v>151.72301</v>
      </c>
      <c r="E231" s="3" t="n">
        <v>76.49887</v>
      </c>
      <c r="F231" s="3" t="n">
        <v>292.38473</v>
      </c>
      <c r="G231" s="3" t="n">
        <v>102.05838</v>
      </c>
      <c r="H231" s="3" t="n">
        <v>141.53561</v>
      </c>
      <c r="I231" s="3" t="n">
        <v>150.54357</v>
      </c>
      <c r="J231" s="3" t="n">
        <v>161.95289</v>
      </c>
      <c r="K231" s="3" t="n">
        <v>166.18252</v>
      </c>
      <c r="L231" s="3" t="n">
        <v>142.75122</v>
      </c>
      <c r="M231" s="3" t="n">
        <v>182.30327</v>
      </c>
      <c r="N231" s="3" t="n">
        <v>168.95485</v>
      </c>
      <c r="O231" s="3" t="n">
        <v>154.6132</v>
      </c>
      <c r="P231" s="3" t="n">
        <v>161.52741</v>
      </c>
      <c r="Q231" s="3" t="n">
        <v>168.484</v>
      </c>
      <c r="R231" s="3" t="n">
        <v>183.56049</v>
      </c>
      <c r="S231" s="3" t="n">
        <v>129.01316</v>
      </c>
    </row>
    <row r="232" customFormat="false" ht="15" hidden="false" customHeight="false" outlineLevel="0" collapsed="false">
      <c r="B232" s="0" t="s">
        <v>283</v>
      </c>
      <c r="C232" s="2" t="n">
        <v>44834</v>
      </c>
      <c r="D232" s="3" t="n">
        <v>150.78775</v>
      </c>
      <c r="E232" s="3" t="n">
        <v>72.54275</v>
      </c>
      <c r="F232" s="3" t="n">
        <v>212.27799</v>
      </c>
      <c r="G232" s="3" t="n">
        <v>98.94219</v>
      </c>
      <c r="H232" s="3" t="n">
        <v>137.27774</v>
      </c>
      <c r="I232" s="3" t="n">
        <v>133.91818</v>
      </c>
      <c r="J232" s="3" t="n">
        <v>159.9898</v>
      </c>
      <c r="K232" s="3" t="n">
        <v>165.58132</v>
      </c>
      <c r="L232" s="3" t="n">
        <v>133.01173</v>
      </c>
      <c r="M232" s="3" t="n">
        <v>180.45654</v>
      </c>
      <c r="N232" s="3" t="n">
        <v>162.68936</v>
      </c>
      <c r="O232" s="3" t="n">
        <v>152.55142</v>
      </c>
      <c r="P232" s="3" t="n">
        <v>162.29061</v>
      </c>
      <c r="Q232" s="3" t="n">
        <v>169.35766</v>
      </c>
      <c r="R232" s="3" t="n">
        <v>180.82351</v>
      </c>
      <c r="S232" s="3" t="n">
        <v>123.6986</v>
      </c>
    </row>
    <row r="233" customFormat="false" ht="15" hidden="false" customHeight="false" outlineLevel="0" collapsed="false">
      <c r="B233" s="0" t="s">
        <v>284</v>
      </c>
      <c r="C233" s="2" t="n">
        <v>44865</v>
      </c>
      <c r="D233" s="3" t="n">
        <v>149.08576</v>
      </c>
      <c r="E233" s="3" t="n">
        <v>64.51382</v>
      </c>
      <c r="F233" s="3" t="n">
        <v>85.89096</v>
      </c>
      <c r="G233" s="3" t="n">
        <v>102.76662</v>
      </c>
      <c r="H233" s="3" t="n">
        <v>138.31197</v>
      </c>
      <c r="I233" s="3" t="n">
        <v>137.18814</v>
      </c>
      <c r="J233" s="3" t="n">
        <v>146.38832</v>
      </c>
      <c r="K233" s="3" t="n">
        <v>158.97715</v>
      </c>
      <c r="L233" s="3" t="n">
        <v>150.02975</v>
      </c>
      <c r="M233" s="3" t="n">
        <v>181.466</v>
      </c>
      <c r="N233" s="3" t="n">
        <v>163.77713</v>
      </c>
      <c r="O233" s="3" t="n">
        <v>151.90729</v>
      </c>
      <c r="P233" s="3" t="n">
        <v>161.92808</v>
      </c>
      <c r="Q233" s="3" t="n">
        <v>168.69911</v>
      </c>
      <c r="R233" s="3" t="n">
        <v>176.02362</v>
      </c>
      <c r="S233" s="3" t="n">
        <v>131.62928</v>
      </c>
    </row>
    <row r="234" customFormat="false" ht="15" hidden="false" customHeight="false" outlineLevel="0" collapsed="false">
      <c r="B234" s="0" t="s">
        <v>285</v>
      </c>
      <c r="C234" s="2" t="n">
        <v>44895</v>
      </c>
      <c r="D234" s="3" t="n">
        <v>148.32757</v>
      </c>
      <c r="E234" s="3" t="n">
        <v>75.33229</v>
      </c>
      <c r="F234" s="3" t="n">
        <v>76.56739</v>
      </c>
      <c r="G234" s="3" t="n">
        <v>97.03481</v>
      </c>
      <c r="H234" s="3" t="n">
        <v>139.74501</v>
      </c>
      <c r="I234" s="3" t="n">
        <v>145.59282</v>
      </c>
      <c r="J234" s="3" t="n">
        <v>149.6945</v>
      </c>
      <c r="K234" s="3" t="n">
        <v>162.78683</v>
      </c>
      <c r="L234" s="3" t="n">
        <v>149.86294</v>
      </c>
      <c r="M234" s="3" t="n">
        <v>179.81132</v>
      </c>
      <c r="N234" s="3" t="n">
        <v>163.57141</v>
      </c>
      <c r="O234" s="3" t="n">
        <v>154.20609</v>
      </c>
      <c r="P234" s="3" t="n">
        <v>162.63197</v>
      </c>
      <c r="Q234" s="3" t="n">
        <v>169.29678</v>
      </c>
      <c r="R234" s="3" t="n">
        <v>175.31423</v>
      </c>
      <c r="S234" s="3" t="n">
        <v>127.21615</v>
      </c>
    </row>
    <row r="235" customFormat="false" ht="15" hidden="false" customHeight="false" outlineLevel="0" collapsed="false">
      <c r="B235" s="0" t="s">
        <v>286</v>
      </c>
      <c r="C235" s="2" t="n">
        <v>44926</v>
      </c>
      <c r="D235" s="3" t="n">
        <v>148.48524</v>
      </c>
      <c r="E235" s="3" t="n">
        <v>92.00101</v>
      </c>
      <c r="F235" s="3" t="n">
        <v>119.21713</v>
      </c>
      <c r="G235" s="3" t="n">
        <v>102.3562</v>
      </c>
      <c r="H235" s="3" t="n">
        <v>129.31124</v>
      </c>
      <c r="I235" s="3" t="n">
        <v>161.24218</v>
      </c>
      <c r="J235" s="3" t="n">
        <v>139.64469</v>
      </c>
      <c r="K235" s="3" t="n">
        <v>153.11303</v>
      </c>
      <c r="L235" s="3" t="n">
        <v>153.27963</v>
      </c>
      <c r="M235" s="3" t="n">
        <v>177.71835</v>
      </c>
      <c r="N235" s="3" t="n">
        <v>170.0736</v>
      </c>
      <c r="O235" s="3" t="n">
        <v>154.53934</v>
      </c>
      <c r="P235" s="3" t="n">
        <v>163.11139</v>
      </c>
      <c r="Q235" s="3" t="n">
        <v>170.39461</v>
      </c>
      <c r="R235" s="3" t="n">
        <v>168.84631</v>
      </c>
      <c r="S235" s="3" t="n">
        <v>128.84334</v>
      </c>
    </row>
    <row r="236" customFormat="false" ht="15" hidden="false" customHeight="false" outlineLevel="0" collapsed="false">
      <c r="B236" s="0" t="s">
        <v>287</v>
      </c>
      <c r="C236" s="2" t="n">
        <v>44957</v>
      </c>
      <c r="D236" s="3" t="n">
        <v>149.95773</v>
      </c>
      <c r="E236" s="3" t="n">
        <v>81.06298</v>
      </c>
      <c r="F236" s="3" t="n">
        <v>183.61502</v>
      </c>
      <c r="G236" s="3" t="n">
        <v>105.01541</v>
      </c>
      <c r="H236" s="3" t="n">
        <v>113.63935</v>
      </c>
      <c r="I236" s="3" t="n">
        <v>166.20584</v>
      </c>
      <c r="J236" s="3" t="n">
        <v>154.63571</v>
      </c>
      <c r="K236" s="3" t="n">
        <v>146.91782</v>
      </c>
      <c r="L236" s="3" t="n">
        <v>180.91639</v>
      </c>
      <c r="M236" s="3" t="n">
        <v>177.37134</v>
      </c>
      <c r="N236" s="3" t="n">
        <v>166.81777</v>
      </c>
      <c r="O236" s="3" t="n">
        <v>149.2467</v>
      </c>
      <c r="P236" s="3" t="n">
        <v>164.2827</v>
      </c>
      <c r="Q236" s="3" t="n">
        <v>164.43783</v>
      </c>
      <c r="R236" s="3" t="n">
        <v>184.83829</v>
      </c>
      <c r="S236" s="3" t="n">
        <v>144.81781</v>
      </c>
    </row>
    <row r="237" customFormat="false" ht="15" hidden="false" customHeight="false" outlineLevel="0" collapsed="false">
      <c r="B237" s="0" t="s">
        <v>288</v>
      </c>
      <c r="C237" s="2" t="n">
        <v>44985</v>
      </c>
      <c r="D237" s="3" t="n">
        <v>150.15642</v>
      </c>
      <c r="E237" s="3" t="n">
        <v>69.23364</v>
      </c>
      <c r="F237" s="3" t="n">
        <v>133.55786</v>
      </c>
      <c r="G237" s="3" t="n">
        <v>94.21404</v>
      </c>
      <c r="H237" s="3" t="n">
        <v>112.32183</v>
      </c>
      <c r="I237" s="3" t="n">
        <v>144.24531</v>
      </c>
      <c r="J237" s="3" t="n">
        <v>151.56113</v>
      </c>
      <c r="K237" s="3" t="n">
        <v>146.74025</v>
      </c>
      <c r="L237" s="3" t="n">
        <v>173.75546</v>
      </c>
      <c r="M237" s="3" t="n">
        <v>172.20294</v>
      </c>
      <c r="N237" s="3" t="n">
        <v>155.30717</v>
      </c>
      <c r="O237" s="3" t="n">
        <v>148.09705</v>
      </c>
      <c r="P237" s="3" t="n">
        <v>164.56277</v>
      </c>
      <c r="Q237" s="3" t="n">
        <v>165.47497</v>
      </c>
      <c r="R237" s="3" t="n">
        <v>175.38434</v>
      </c>
      <c r="S237" s="3" t="n">
        <v>143.26677</v>
      </c>
    </row>
    <row r="238" customFormat="false" ht="15" hidden="false" customHeight="false" outlineLevel="0" collapsed="false">
      <c r="B238" s="0" t="s">
        <v>289</v>
      </c>
      <c r="C238" s="2" t="n">
        <v>45016</v>
      </c>
      <c r="D238" s="3" t="n">
        <v>150.75596</v>
      </c>
      <c r="E238" s="3" t="n">
        <v>123.41989</v>
      </c>
      <c r="F238" s="3" t="n">
        <v>120.36823</v>
      </c>
      <c r="G238" s="3" t="n">
        <v>103.86414</v>
      </c>
      <c r="H238" s="3" t="n">
        <v>139.01778</v>
      </c>
      <c r="I238" s="3" t="n">
        <v>165.04058</v>
      </c>
      <c r="J238" s="3" t="n">
        <v>162.78755</v>
      </c>
      <c r="K238" s="3" t="n">
        <v>169.40589</v>
      </c>
      <c r="L238" s="3" t="n">
        <v>138.63423</v>
      </c>
      <c r="M238" s="3" t="n">
        <v>182.86697</v>
      </c>
      <c r="N238" s="3" t="n">
        <v>176.18128</v>
      </c>
      <c r="O238" s="3" t="n">
        <v>153.0126</v>
      </c>
      <c r="P238" s="3" t="n">
        <v>164.28153</v>
      </c>
      <c r="Q238" s="3" t="n">
        <v>169.77001</v>
      </c>
      <c r="R238" s="3" t="n">
        <v>190.61567</v>
      </c>
      <c r="S238" s="3" t="n">
        <v>142.13725</v>
      </c>
    </row>
    <row r="239" customFormat="false" ht="15" hidden="false" customHeight="false" outlineLevel="0" collapsed="false">
      <c r="B239" s="0" t="s">
        <v>290</v>
      </c>
      <c r="C239" s="2" t="n">
        <v>45046</v>
      </c>
      <c r="D239" s="3" t="n">
        <v>147.35749</v>
      </c>
      <c r="E239" s="3" t="n">
        <v>121.75129</v>
      </c>
      <c r="F239" s="3" t="n">
        <v>68.67101</v>
      </c>
      <c r="G239" s="3" t="n">
        <v>102.05522</v>
      </c>
      <c r="H239" s="3" t="n">
        <v>130.73051</v>
      </c>
      <c r="I239" s="3" t="n">
        <v>132.95555</v>
      </c>
      <c r="J239" s="3" t="n">
        <v>151.91961</v>
      </c>
      <c r="K239" s="3" t="n">
        <v>163.65872</v>
      </c>
      <c r="L239" s="3" t="n">
        <v>110.46472</v>
      </c>
      <c r="M239" s="3" t="n">
        <v>182.99373</v>
      </c>
      <c r="N239" s="3" t="n">
        <v>168.32374</v>
      </c>
      <c r="O239" s="3" t="n">
        <v>153.98887</v>
      </c>
      <c r="P239" s="3" t="n">
        <v>163.77062</v>
      </c>
      <c r="Q239" s="3" t="n">
        <v>169.32159</v>
      </c>
      <c r="R239" s="3" t="n">
        <v>193.87125</v>
      </c>
      <c r="S239" s="3" t="n">
        <v>122.93085</v>
      </c>
    </row>
    <row r="240" customFormat="false" ht="15" hidden="false" customHeight="false" outlineLevel="0" collapsed="false">
      <c r="B240" s="0" t="s">
        <v>291</v>
      </c>
      <c r="C240" s="2" t="n">
        <v>45077</v>
      </c>
      <c r="D240" s="3" t="n">
        <v>145.55273</v>
      </c>
      <c r="E240" s="3" t="n">
        <v>138.55749</v>
      </c>
      <c r="F240" s="3" t="n">
        <v>140.92854</v>
      </c>
      <c r="G240" s="3" t="n">
        <v>110.99519</v>
      </c>
      <c r="H240" s="3" t="n">
        <v>134.75209</v>
      </c>
      <c r="I240" s="3" t="n">
        <v>144.09059</v>
      </c>
      <c r="J240" s="3" t="n">
        <v>146.95227</v>
      </c>
      <c r="K240" s="3" t="n">
        <v>169.74011</v>
      </c>
      <c r="L240" s="3" t="n">
        <v>139.39279</v>
      </c>
      <c r="M240" s="3" t="n">
        <v>189.02027</v>
      </c>
      <c r="N240" s="3" t="n">
        <v>153.91509</v>
      </c>
      <c r="O240" s="3" t="n">
        <v>155.38142</v>
      </c>
      <c r="P240" s="3" t="n">
        <v>164.4003</v>
      </c>
      <c r="Q240" s="3" t="n">
        <v>170.39567</v>
      </c>
      <c r="R240" s="3" t="n">
        <v>197.53184</v>
      </c>
      <c r="S240" s="3" t="n">
        <v>122.61374</v>
      </c>
    </row>
    <row r="241" customFormat="false" ht="15" hidden="false" customHeight="false" outlineLevel="0" collapsed="false">
      <c r="B241" s="0" t="s">
        <v>292</v>
      </c>
      <c r="C241" s="2" t="n">
        <v>45107</v>
      </c>
      <c r="D241" s="3" t="n">
        <v>146.06327</v>
      </c>
      <c r="E241" s="3" t="n">
        <v>106.79641</v>
      </c>
      <c r="F241" s="3" t="n">
        <v>216.62068</v>
      </c>
      <c r="G241" s="3" t="n">
        <v>105.45924</v>
      </c>
      <c r="H241" s="3" t="n">
        <v>134.02299</v>
      </c>
      <c r="I241" s="3" t="n">
        <v>154.23736</v>
      </c>
      <c r="J241" s="3" t="n">
        <v>150.8049</v>
      </c>
      <c r="K241" s="3" t="n">
        <v>173.49492</v>
      </c>
      <c r="L241" s="3" t="n">
        <v>166.57432</v>
      </c>
      <c r="M241" s="3" t="n">
        <v>184.75806</v>
      </c>
      <c r="N241" s="3" t="n">
        <v>160.42637</v>
      </c>
      <c r="O241" s="3" t="n">
        <v>155.69511</v>
      </c>
      <c r="P241" s="3" t="n">
        <v>165.90967</v>
      </c>
      <c r="Q241" s="3" t="n">
        <v>171.6707</v>
      </c>
      <c r="R241" s="3" t="n">
        <v>204.19017</v>
      </c>
      <c r="S241" s="3" t="n">
        <v>124.21373</v>
      </c>
    </row>
    <row r="242" customFormat="false" ht="15" hidden="false" customHeight="false" outlineLevel="0" collapsed="false">
      <c r="B242" s="0" t="s">
        <v>293</v>
      </c>
      <c r="C242" s="2" t="n">
        <v>45138</v>
      </c>
      <c r="D242" s="3" t="n">
        <v>148.72466</v>
      </c>
      <c r="E242" s="3" t="n">
        <v>93.18775</v>
      </c>
      <c r="F242" s="3" t="n">
        <v>332.47809</v>
      </c>
      <c r="G242" s="3" t="n">
        <v>107.05993</v>
      </c>
      <c r="H242" s="3" t="n">
        <v>133.66535</v>
      </c>
      <c r="I242" s="3" t="n">
        <v>158.6855</v>
      </c>
      <c r="J242" s="3" t="n">
        <v>150.32969</v>
      </c>
      <c r="K242" s="3" t="n">
        <v>160.75493</v>
      </c>
      <c r="L242" s="3" t="n">
        <v>144.12734</v>
      </c>
      <c r="M242" s="3" t="n">
        <v>184.32983</v>
      </c>
      <c r="N242" s="3" t="n">
        <v>164.8453</v>
      </c>
      <c r="O242" s="3" t="n">
        <v>152.67629</v>
      </c>
      <c r="P242" s="3" t="n">
        <v>165.79311</v>
      </c>
      <c r="Q242" s="3" t="n">
        <v>171.72048</v>
      </c>
      <c r="R242" s="3" t="n">
        <v>187.04025</v>
      </c>
      <c r="S242" s="3" t="n">
        <v>138.79651</v>
      </c>
    </row>
    <row r="243" customFormat="false" ht="15" hidden="false" customHeight="false" outlineLevel="0" collapsed="false">
      <c r="B243" s="0" t="s">
        <v>294</v>
      </c>
      <c r="C243" s="2" t="n">
        <v>45169</v>
      </c>
      <c r="D243" s="3" t="n">
        <v>150.05695</v>
      </c>
      <c r="E243" s="3" t="n">
        <v>74.21947</v>
      </c>
      <c r="F243" s="3" t="n">
        <v>239.08436</v>
      </c>
      <c r="G243" s="3" t="n">
        <v>109.17266</v>
      </c>
      <c r="H243" s="3" t="n">
        <v>137.53862</v>
      </c>
      <c r="I243" s="3" t="n">
        <v>152.3422</v>
      </c>
      <c r="J243" s="3" t="n">
        <v>165.19688</v>
      </c>
      <c r="K243" s="3" t="n">
        <v>167.96613</v>
      </c>
      <c r="L243" s="3" t="n">
        <v>153.91557</v>
      </c>
      <c r="M243" s="3" t="n">
        <v>183.047</v>
      </c>
      <c r="N243" s="3" t="n">
        <v>167.94419</v>
      </c>
      <c r="O243" s="3" t="n">
        <v>156.72851</v>
      </c>
      <c r="P243" s="3" t="n">
        <v>165.36573</v>
      </c>
      <c r="Q243" s="3" t="n">
        <v>172.3211</v>
      </c>
      <c r="R243" s="3" t="n">
        <v>186.81851</v>
      </c>
      <c r="S243" s="3" t="n">
        <v>130.15914</v>
      </c>
    </row>
    <row r="244" customFormat="false" ht="15" hidden="false" customHeight="false" outlineLevel="0" collapsed="false">
      <c r="B244" s="0" t="s">
        <v>295</v>
      </c>
      <c r="C244" s="2" t="n">
        <v>45199</v>
      </c>
      <c r="D244" s="3" t="n">
        <v>149.69825</v>
      </c>
      <c r="E244" s="3" t="n">
        <v>71.25488</v>
      </c>
      <c r="F244" s="3" t="n">
        <v>232.69905</v>
      </c>
      <c r="G244" s="3" t="n">
        <v>106.82226</v>
      </c>
      <c r="H244" s="3" t="n">
        <v>133.08174</v>
      </c>
      <c r="I244" s="3" t="n">
        <v>144.13535</v>
      </c>
      <c r="J244" s="3" t="n">
        <v>159.92268</v>
      </c>
      <c r="K244" s="3" t="n">
        <v>163.08333</v>
      </c>
      <c r="L244" s="3" t="n">
        <v>145.20637</v>
      </c>
      <c r="M244" s="3" t="n">
        <v>181.23674</v>
      </c>
      <c r="N244" s="3" t="n">
        <v>161.30632</v>
      </c>
      <c r="O244" s="3" t="n">
        <v>154.37048</v>
      </c>
      <c r="P244" s="3" t="n">
        <v>166.45238</v>
      </c>
      <c r="Q244" s="3" t="n">
        <v>172.99517</v>
      </c>
      <c r="R244" s="3" t="n">
        <v>183.75826</v>
      </c>
      <c r="S244" s="3" t="n">
        <v>126.1137</v>
      </c>
    </row>
    <row r="245" customFormat="false" ht="15" hidden="false" customHeight="false" outlineLevel="0" collapsed="false">
      <c r="B245" s="0" t="s">
        <v>296</v>
      </c>
      <c r="C245" s="2" t="n">
        <v>45230</v>
      </c>
      <c r="D245" s="3" t="n">
        <v>148.01321</v>
      </c>
      <c r="E245" s="3" t="n">
        <v>65.22323</v>
      </c>
      <c r="F245" s="3" t="n">
        <v>103.90563</v>
      </c>
      <c r="G245" s="3" t="n">
        <v>109.13832</v>
      </c>
      <c r="H245" s="3" t="n">
        <v>136.52024</v>
      </c>
      <c r="I245" s="3" t="n">
        <v>137.27715</v>
      </c>
      <c r="J245" s="3" t="n">
        <v>150.30676</v>
      </c>
      <c r="K245" s="3" t="n">
        <v>159.75764</v>
      </c>
      <c r="L245" s="3" t="n">
        <v>159.57789</v>
      </c>
      <c r="M245" s="3" t="n">
        <v>179.86447</v>
      </c>
      <c r="N245" s="3" t="n">
        <v>169.96697</v>
      </c>
      <c r="O245" s="3" t="n">
        <v>156.33586</v>
      </c>
      <c r="P245" s="3" t="n">
        <v>166.37927</v>
      </c>
      <c r="Q245" s="3" t="n">
        <v>172.39133</v>
      </c>
      <c r="R245" s="3" t="n">
        <v>179.43726</v>
      </c>
      <c r="S245" s="3" t="n">
        <v>131.55123</v>
      </c>
    </row>
    <row r="246" customFormat="false" ht="15" hidden="false" customHeight="false" outlineLevel="0" collapsed="false">
      <c r="B246" s="0" t="s">
        <v>297</v>
      </c>
      <c r="C246" s="2" t="n">
        <v>45260</v>
      </c>
      <c r="D246" s="3" t="n">
        <v>146.3883</v>
      </c>
      <c r="E246" s="3" t="n">
        <v>78.83278</v>
      </c>
      <c r="F246" s="3" t="n">
        <v>57.04452</v>
      </c>
      <c r="G246" s="3" t="n">
        <v>105.46173</v>
      </c>
      <c r="H246" s="3" t="n">
        <v>132.74506</v>
      </c>
      <c r="I246" s="3" t="n">
        <v>142.68876</v>
      </c>
      <c r="J246" s="3" t="n">
        <v>149.65045</v>
      </c>
      <c r="K246" s="3" t="n">
        <v>158.43066</v>
      </c>
      <c r="L246" s="3" t="n">
        <v>160.2752</v>
      </c>
      <c r="M246" s="3" t="n">
        <v>179.97369</v>
      </c>
      <c r="N246" s="3" t="n">
        <v>159.32385</v>
      </c>
      <c r="O246" s="3" t="n">
        <v>155.99412</v>
      </c>
      <c r="P246" s="3" t="n">
        <v>166.76405</v>
      </c>
      <c r="Q246" s="3" t="n">
        <v>172.74498</v>
      </c>
      <c r="R246" s="3" t="n">
        <v>178.92689</v>
      </c>
      <c r="S246" s="3" t="n">
        <v>127.80815</v>
      </c>
    </row>
    <row r="247" customFormat="false" ht="15" hidden="false" customHeight="false" outlineLevel="0" collapsed="false">
      <c r="B247" s="0" t="s">
        <v>298</v>
      </c>
      <c r="C247" s="2" t="n">
        <v>45291</v>
      </c>
      <c r="D247" s="3" t="n">
        <v>142.86747</v>
      </c>
      <c r="E247" s="3" t="n">
        <v>100.8035</v>
      </c>
      <c r="F247" s="3" t="n">
        <v>132.73829</v>
      </c>
      <c r="G247" s="3" t="n">
        <v>110.4485</v>
      </c>
      <c r="H247" s="3" t="n">
        <v>113.47627</v>
      </c>
      <c r="I247" s="3" t="n">
        <v>141.51866</v>
      </c>
      <c r="J247" s="3" t="n">
        <v>131.35921</v>
      </c>
      <c r="K247" s="3" t="n">
        <v>137.65702</v>
      </c>
      <c r="L247" s="3" t="n">
        <v>166.37261</v>
      </c>
      <c r="M247" s="3" t="n">
        <v>177.00026</v>
      </c>
      <c r="N247" s="3" t="n">
        <v>151.33251</v>
      </c>
      <c r="O247" s="3" t="n">
        <v>154.4447</v>
      </c>
      <c r="P247" s="3" t="n">
        <v>167.45957</v>
      </c>
      <c r="Q247" s="3" t="n">
        <v>173.90159</v>
      </c>
      <c r="R247" s="3" t="n">
        <v>172.14567</v>
      </c>
      <c r="S247" s="3" t="n">
        <v>130.68206</v>
      </c>
    </row>
    <row r="248" customFormat="false" ht="15" hidden="false" customHeight="false" outlineLevel="0" collapsed="false">
      <c r="B248" s="0" t="s">
        <v>299</v>
      </c>
      <c r="C248" s="2" t="n">
        <v>45322</v>
      </c>
      <c r="D248" s="3" t="n">
        <v>143.55367</v>
      </c>
      <c r="E248" s="3" t="n">
        <v>89.3176</v>
      </c>
      <c r="F248" s="3" t="n">
        <v>160.04133</v>
      </c>
      <c r="G248" s="3" t="n">
        <v>112.66127</v>
      </c>
      <c r="H248" s="3" t="n">
        <v>100.69247</v>
      </c>
      <c r="I248" s="3" t="n">
        <v>156.7696</v>
      </c>
      <c r="J248" s="3" t="n">
        <v>130.47335</v>
      </c>
      <c r="K248" s="3" t="n">
        <v>135.85257</v>
      </c>
      <c r="L248" s="3" t="n">
        <v>178.06082</v>
      </c>
      <c r="M248" s="3" t="n">
        <v>177.57446</v>
      </c>
      <c r="N248" s="3" t="n">
        <v>147.90273</v>
      </c>
      <c r="O248" s="3" t="n">
        <v>147.87212</v>
      </c>
      <c r="P248" s="3" t="n">
        <v>165.35108</v>
      </c>
      <c r="Q248" s="3" t="n">
        <v>167.16123</v>
      </c>
      <c r="R248" s="3" t="n">
        <v>188.09599</v>
      </c>
      <c r="S248" s="3" t="n">
        <v>143.57192</v>
      </c>
    </row>
    <row r="249" customFormat="false" ht="15" hidden="false" customHeight="false" outlineLevel="0" collapsed="false">
      <c r="B249" s="0" t="s">
        <v>300</v>
      </c>
      <c r="C249" s="2" t="n">
        <v>45351</v>
      </c>
      <c r="D249" s="3" t="n">
        <v>143.80882</v>
      </c>
      <c r="E249" s="3" t="n">
        <v>70.70108</v>
      </c>
      <c r="F249" s="3" t="n">
        <v>173.23592</v>
      </c>
      <c r="G249" s="3" t="n">
        <v>104.88425</v>
      </c>
      <c r="H249" s="3" t="n">
        <v>102.71494</v>
      </c>
      <c r="I249" s="3" t="n">
        <v>156.2247</v>
      </c>
      <c r="J249" s="3" t="n">
        <v>125.06857</v>
      </c>
      <c r="K249" s="3" t="n">
        <v>139.55205</v>
      </c>
      <c r="L249" s="3" t="n">
        <v>170.76546</v>
      </c>
      <c r="M249" s="3" t="n">
        <v>172.02948</v>
      </c>
      <c r="N249" s="3" t="n">
        <v>137.09162</v>
      </c>
      <c r="O249" s="3" t="n">
        <v>147.46238</v>
      </c>
      <c r="P249" s="3" t="n">
        <v>165.39689</v>
      </c>
      <c r="Q249" s="3" t="n">
        <v>168.49857</v>
      </c>
      <c r="R249" s="3" t="n">
        <v>177.96577</v>
      </c>
      <c r="S249" s="3" t="n">
        <v>140.84039</v>
      </c>
    </row>
    <row r="250" customFormat="false" ht="15" hidden="false" customHeight="false" outlineLevel="0" collapsed="false">
      <c r="B250" s="0" t="s">
        <v>301</v>
      </c>
      <c r="C250" s="2" t="n">
        <v>45382</v>
      </c>
      <c r="D250" s="3" t="n">
        <v>142.11453</v>
      </c>
      <c r="E250" s="3" t="n">
        <v>137.40244</v>
      </c>
      <c r="F250" s="3" t="n">
        <v>122.33165</v>
      </c>
      <c r="G250" s="3" t="n">
        <v>110.6027</v>
      </c>
      <c r="H250" s="3" t="n">
        <v>111.11519</v>
      </c>
      <c r="I250" s="3" t="n">
        <v>152.19809</v>
      </c>
      <c r="J250" s="3" t="n">
        <v>119.40403</v>
      </c>
      <c r="K250" s="3" t="n">
        <v>143.43273</v>
      </c>
      <c r="L250" s="3" t="n">
        <v>136.83592</v>
      </c>
      <c r="M250" s="3" t="n">
        <v>181.50669</v>
      </c>
      <c r="N250" s="3" t="n">
        <v>149.15589</v>
      </c>
      <c r="O250" s="3" t="n">
        <v>147.98959</v>
      </c>
      <c r="P250" s="3" t="n">
        <v>163.55745</v>
      </c>
      <c r="Q250" s="3" t="n">
        <v>171.26999</v>
      </c>
      <c r="R250" s="3" t="n">
        <v>192.0541</v>
      </c>
      <c r="S250" s="3" t="n">
        <v>138.74878</v>
      </c>
    </row>
    <row r="251" customFormat="false" ht="15" hidden="false" customHeight="false" outlineLevel="0" collapsed="false">
      <c r="B251" s="0" t="s">
        <v>302</v>
      </c>
      <c r="C251" s="2" t="n">
        <v>45412</v>
      </c>
      <c r="D251" s="3" t="n">
        <v>141.05612</v>
      </c>
      <c r="E251" s="3" t="n">
        <v>199.8796</v>
      </c>
      <c r="F251" s="3" t="n">
        <v>186.50311</v>
      </c>
      <c r="G251" s="3" t="n">
        <v>110.95347</v>
      </c>
      <c r="H251" s="3" t="n">
        <v>109.81701</v>
      </c>
      <c r="I251" s="3" t="n">
        <v>135.21327</v>
      </c>
      <c r="J251" s="3" t="n">
        <v>114.69801</v>
      </c>
      <c r="K251" s="3" t="n">
        <v>139.25886</v>
      </c>
      <c r="L251" s="3" t="n">
        <v>106.32256</v>
      </c>
      <c r="M251" s="3" t="n">
        <v>185.09565</v>
      </c>
      <c r="N251" s="3" t="n">
        <v>152.44111</v>
      </c>
      <c r="O251" s="3" t="n">
        <v>151.68728</v>
      </c>
      <c r="P251" s="3" t="n">
        <v>162.43498</v>
      </c>
      <c r="Q251" s="3" t="n">
        <v>170.42426</v>
      </c>
      <c r="R251" s="3" t="n">
        <v>195.30634</v>
      </c>
      <c r="S251" s="3" t="n">
        <v>119.50261</v>
      </c>
    </row>
    <row r="252" customFormat="false" ht="15" hidden="false" customHeight="false" outlineLevel="0" collapsed="false">
      <c r="B252" s="0" t="s">
        <v>303</v>
      </c>
      <c r="C252" s="2" t="n">
        <v>45443</v>
      </c>
      <c r="D252" s="3" t="n">
        <v>142.8362</v>
      </c>
      <c r="E252" s="3" t="n">
        <v>271.42801</v>
      </c>
      <c r="F252" s="3" t="n">
        <v>135.47495</v>
      </c>
      <c r="G252" s="3" t="n">
        <v>119.34566</v>
      </c>
      <c r="H252" s="3" t="n">
        <v>114.79933</v>
      </c>
      <c r="I252" s="3" t="n">
        <v>160.89584</v>
      </c>
      <c r="J252" s="3" t="n">
        <v>114.97982</v>
      </c>
      <c r="K252" s="3" t="n">
        <v>147.50109</v>
      </c>
      <c r="L252" s="3" t="n">
        <v>135.43971</v>
      </c>
      <c r="M252" s="3" t="n">
        <v>194.34926</v>
      </c>
      <c r="N252" s="3" t="n">
        <v>140.31112</v>
      </c>
      <c r="O252" s="3" t="n">
        <v>154.19126</v>
      </c>
      <c r="P252" s="3" t="n">
        <v>162.6478</v>
      </c>
      <c r="Q252" s="3" t="n">
        <v>171.08497</v>
      </c>
      <c r="R252" s="3" t="n">
        <v>197.44968</v>
      </c>
      <c r="S252" s="3" t="n">
        <v>116.69763</v>
      </c>
    </row>
    <row r="253" customFormat="false" ht="15" hidden="false" customHeight="false" outlineLevel="0" collapsed="false">
      <c r="B253" s="0" t="s">
        <v>304</v>
      </c>
      <c r="C253" s="2" t="n">
        <v>45473</v>
      </c>
      <c r="D253" s="3" t="n">
        <v>143.71875</v>
      </c>
      <c r="E253" s="3" t="n">
        <v>188.19314</v>
      </c>
      <c r="F253" s="3" t="n">
        <v>294.13948</v>
      </c>
      <c r="G253" s="3" t="n">
        <v>109.35008</v>
      </c>
      <c r="H253" s="3" t="n">
        <v>107.48906</v>
      </c>
      <c r="I253" s="3" t="n">
        <v>148.45274</v>
      </c>
      <c r="J253" s="3" t="n">
        <v>115.71808</v>
      </c>
      <c r="K253" s="3" t="n">
        <v>140.91709</v>
      </c>
      <c r="L253" s="3" t="n">
        <v>163.1842</v>
      </c>
      <c r="M253" s="3" t="n">
        <v>186.33129</v>
      </c>
      <c r="N253" s="3" t="n">
        <v>144.08798</v>
      </c>
      <c r="O253" s="3" t="n">
        <v>153.30085</v>
      </c>
      <c r="P253" s="3" t="n">
        <v>163.43067</v>
      </c>
      <c r="Q253" s="3" t="n">
        <v>172.07201</v>
      </c>
      <c r="R253" s="3" t="n">
        <v>203.44747</v>
      </c>
      <c r="S253" s="3" t="n">
        <v>119.29603</v>
      </c>
    </row>
    <row r="254" customFormat="false" ht="15" hidden="false" customHeight="false" outlineLevel="0" collapsed="false">
      <c r="B254" s="0" t="s">
        <v>305</v>
      </c>
      <c r="C254" s="2" t="n">
        <v>45504</v>
      </c>
      <c r="D254" s="3" t="n">
        <v>147.28294</v>
      </c>
      <c r="E254" s="3" t="n">
        <v>116.84068</v>
      </c>
      <c r="F254" s="3" t="n">
        <v>313.72902</v>
      </c>
      <c r="G254" s="3" t="n">
        <v>113.30323</v>
      </c>
      <c r="H254" s="3" t="n">
        <v>126.19669</v>
      </c>
      <c r="I254" s="3" t="n">
        <v>165.43658</v>
      </c>
      <c r="J254" s="3" t="n">
        <v>130.68303</v>
      </c>
      <c r="K254" s="3" t="n">
        <v>152.86233</v>
      </c>
      <c r="L254" s="3" t="n">
        <v>155.4653</v>
      </c>
      <c r="M254" s="3" t="n">
        <v>186.6772</v>
      </c>
      <c r="N254" s="3" t="n">
        <v>161.08917</v>
      </c>
      <c r="O254" s="3" t="n">
        <v>152.77714</v>
      </c>
      <c r="P254" s="3" t="n">
        <v>163.24529</v>
      </c>
      <c r="Q254" s="3" t="n">
        <v>172.42612</v>
      </c>
      <c r="R254" s="3" t="n">
        <v>186.23471</v>
      </c>
      <c r="S254" s="3" t="n">
        <v>133.56267</v>
      </c>
    </row>
    <row r="255" customFormat="false" ht="15" hidden="false" customHeight="false" outlineLevel="0" collapsed="false">
      <c r="B255" s="0" t="s">
        <v>306</v>
      </c>
      <c r="C255" s="2" t="n">
        <v>45535</v>
      </c>
      <c r="D255" s="3" t="n">
        <v>147.7746</v>
      </c>
      <c r="E255" s="3" t="n">
        <v>78.70945</v>
      </c>
      <c r="F255" s="3" t="n">
        <v>291.83826</v>
      </c>
      <c r="G255" s="3" t="n">
        <v>116.31552</v>
      </c>
      <c r="H255" s="3" t="n">
        <v>128.70143</v>
      </c>
      <c r="I255" s="3" t="n">
        <v>155.23978</v>
      </c>
      <c r="J255" s="3" t="n">
        <v>137.8495</v>
      </c>
      <c r="K255" s="3" t="n">
        <v>156.86315</v>
      </c>
      <c r="L255" s="3" t="n">
        <v>168.19034</v>
      </c>
      <c r="M255" s="3" t="n">
        <v>179.78489</v>
      </c>
      <c r="N255" s="3" t="n">
        <v>162.55892</v>
      </c>
      <c r="O255" s="3" t="n">
        <v>155.33915</v>
      </c>
      <c r="P255" s="3" t="n">
        <v>162.45812</v>
      </c>
      <c r="Q255" s="3" t="n">
        <v>172.67313</v>
      </c>
      <c r="R255" s="3" t="n">
        <v>185.14164</v>
      </c>
      <c r="S255" s="3" t="n">
        <v>125.72634</v>
      </c>
    </row>
    <row r="256" customFormat="false" ht="15" hidden="false" customHeight="false" outlineLevel="0" collapsed="false">
      <c r="B256" s="0" t="s">
        <v>307</v>
      </c>
      <c r="C256" s="2" t="n">
        <v>45565</v>
      </c>
      <c r="D256" s="3" t="n">
        <v>147.82665</v>
      </c>
      <c r="E256" s="3" t="n">
        <v>74.40886</v>
      </c>
      <c r="F256" s="3" t="n">
        <v>188.58836</v>
      </c>
      <c r="G256" s="3" t="n">
        <v>115.83739</v>
      </c>
      <c r="H256" s="3" t="n">
        <v>124.80137</v>
      </c>
      <c r="I256" s="3" t="n">
        <v>137.18347</v>
      </c>
      <c r="J256" s="3" t="n">
        <v>135.53149</v>
      </c>
      <c r="K256" s="3" t="n">
        <v>153.40556</v>
      </c>
      <c r="L256" s="3" t="n">
        <v>155.20941</v>
      </c>
      <c r="M256" s="3" t="n">
        <v>180.89654</v>
      </c>
      <c r="N256" s="3" t="n">
        <v>161.31298</v>
      </c>
      <c r="O256" s="3" t="n">
        <v>153.59847</v>
      </c>
      <c r="P256" s="3" t="n">
        <v>162.95832</v>
      </c>
      <c r="Q256" s="3" t="n">
        <v>173.01344</v>
      </c>
      <c r="R256" s="3" t="n">
        <v>181.92208</v>
      </c>
      <c r="S256" s="3" t="n">
        <v>119.97664</v>
      </c>
    </row>
    <row r="257" customFormat="false" ht="15" hidden="false" customHeight="false" outlineLevel="0" collapsed="false">
      <c r="B257" s="0" t="s">
        <v>308</v>
      </c>
      <c r="C257" s="2" t="n">
        <v>45596</v>
      </c>
      <c r="D257" s="3" t="n">
        <v>149.04702</v>
      </c>
      <c r="E257" s="3" t="n">
        <v>67.85257</v>
      </c>
      <c r="F257" s="3" t="n">
        <v>71.47979</v>
      </c>
      <c r="G257" s="3" t="n">
        <v>118.516</v>
      </c>
      <c r="H257" s="3" t="n">
        <v>134.3371</v>
      </c>
      <c r="I257" s="3" t="n">
        <v>135.75196</v>
      </c>
      <c r="J257" s="3" t="n">
        <v>128.12297</v>
      </c>
      <c r="K257" s="3" t="n">
        <v>159.65922</v>
      </c>
      <c r="L257" s="3" t="n">
        <v>184.5719</v>
      </c>
      <c r="M257" s="3" t="n">
        <v>182.73905</v>
      </c>
      <c r="N257" s="3" t="n">
        <v>170.73354</v>
      </c>
      <c r="O257" s="3" t="n">
        <v>157.24934</v>
      </c>
      <c r="P257" s="3" t="n">
        <v>162.49227</v>
      </c>
      <c r="Q257" s="3" t="n">
        <v>173.23</v>
      </c>
      <c r="R257" s="3" t="n">
        <v>177.24701</v>
      </c>
      <c r="S257" s="3" t="n">
        <v>126.92669</v>
      </c>
    </row>
    <row r="258" customFormat="false" ht="15" hidden="false" customHeight="false" outlineLevel="0" collapsed="false">
      <c r="B258" s="0" t="s">
        <v>309</v>
      </c>
      <c r="C258" s="2" t="n">
        <v>45626</v>
      </c>
      <c r="D258" s="3" t="n">
        <v>150.80206</v>
      </c>
      <c r="E258" s="3" t="n">
        <v>81.03871</v>
      </c>
      <c r="F258" s="3" t="n">
        <v>146.1701</v>
      </c>
      <c r="G258" s="3" t="n">
        <v>113.80154</v>
      </c>
      <c r="H258" s="3" t="n">
        <v>130.81906</v>
      </c>
      <c r="I258" s="3" t="n">
        <v>136.11585</v>
      </c>
      <c r="J258" s="3" t="n">
        <v>127.98405</v>
      </c>
      <c r="K258" s="3" t="n">
        <v>159.38757</v>
      </c>
      <c r="L258" s="3" t="n">
        <v>187.63826</v>
      </c>
      <c r="M258" s="3" t="n">
        <v>182.14016</v>
      </c>
      <c r="N258" s="3" t="n">
        <v>171.43514</v>
      </c>
      <c r="O258" s="3" t="n">
        <v>157.99806</v>
      </c>
      <c r="P258" s="3" t="n">
        <v>162.78026</v>
      </c>
      <c r="Q258" s="3" t="n">
        <v>173.45948</v>
      </c>
      <c r="R258" s="3" t="n">
        <v>176.43464</v>
      </c>
      <c r="S258" s="3" t="n">
        <v>122.04999</v>
      </c>
    </row>
    <row r="259" customFormat="false" ht="15" hidden="false" customHeight="false" outlineLevel="0" collapsed="false">
      <c r="B259" s="0" t="s">
        <v>310</v>
      </c>
      <c r="C259" s="2" t="n">
        <v>45657</v>
      </c>
      <c r="D259" s="3" t="n">
        <v>151.48527</v>
      </c>
      <c r="E259" s="3" t="n">
        <v>110.49334</v>
      </c>
      <c r="F259" s="3" t="n">
        <v>114.48407</v>
      </c>
      <c r="G259" s="3" t="n">
        <v>118.67743</v>
      </c>
      <c r="H259" s="3" t="n">
        <v>122.40586</v>
      </c>
      <c r="I259" s="3" t="n">
        <v>145.81194</v>
      </c>
      <c r="J259" s="3" t="n">
        <v>122.14289</v>
      </c>
      <c r="K259" s="3" t="n">
        <v>150.43204</v>
      </c>
      <c r="L259" s="3" t="n">
        <v>195.25779</v>
      </c>
      <c r="M259" s="3" t="n">
        <v>182.45113</v>
      </c>
      <c r="N259" s="3" t="n">
        <v>176.45674</v>
      </c>
      <c r="O259" s="3" t="n">
        <v>160.98059</v>
      </c>
      <c r="P259" s="3" t="n">
        <v>162.88552</v>
      </c>
      <c r="Q259" s="3" t="n">
        <v>174.40113</v>
      </c>
      <c r="R259" s="3" t="n">
        <v>169.65091</v>
      </c>
      <c r="S259" s="3" t="n">
        <v>126.3338</v>
      </c>
    </row>
    <row r="260" customFormat="false" ht="15" hidden="false" customHeight="false" outlineLevel="0" collapsed="false">
      <c r="B260" s="0" t="s">
        <v>311</v>
      </c>
      <c r="C260" s="2" t="n">
        <v>45688</v>
      </c>
      <c r="D260" s="3" t="n">
        <v>151.93093</v>
      </c>
      <c r="E260" s="3" t="n">
        <v>91.8978</v>
      </c>
      <c r="F260" s="3" t="n">
        <v>156.42193</v>
      </c>
      <c r="G260" s="3" t="n">
        <v>122.43325</v>
      </c>
      <c r="H260" s="3" t="n">
        <v>106.91362</v>
      </c>
      <c r="I260" s="3" t="n">
        <v>166.4439</v>
      </c>
      <c r="J260" s="3" t="n">
        <v>133.80836</v>
      </c>
      <c r="K260" s="3" t="n">
        <v>148.11743</v>
      </c>
      <c r="L260" s="3" t="n">
        <v>195.33013</v>
      </c>
      <c r="M260" s="3" t="n">
        <v>182.59704</v>
      </c>
      <c r="N260" s="3" t="n">
        <v>186.0352</v>
      </c>
      <c r="O260" s="3" t="n">
        <v>153.53202</v>
      </c>
      <c r="P260" s="3" t="n">
        <v>163.00531</v>
      </c>
      <c r="Q260" s="3" t="n">
        <v>167.79089</v>
      </c>
      <c r="R260" s="3" t="n">
        <v>186.92107</v>
      </c>
      <c r="S260" s="3" t="n">
        <v>141.00614</v>
      </c>
    </row>
    <row r="261" customFormat="false" ht="15" hidden="false" customHeight="false" outlineLevel="0" collapsed="false">
      <c r="B261" s="0" t="s">
        <v>312</v>
      </c>
      <c r="C261" s="2" t="n">
        <v>45716</v>
      </c>
      <c r="D261" s="3" t="n">
        <v>153.54265</v>
      </c>
      <c r="E261" s="3" t="n">
        <v>75.11913</v>
      </c>
      <c r="F261" s="3" t="n">
        <v>221.99855</v>
      </c>
      <c r="G261" s="3" t="n">
        <v>110.36479</v>
      </c>
      <c r="H261" s="3" t="n">
        <v>107.90735</v>
      </c>
      <c r="I261" s="3" t="n">
        <v>156.3344</v>
      </c>
      <c r="J261" s="3" t="n">
        <v>130.77048</v>
      </c>
      <c r="K261" s="3" t="n">
        <v>149.10244</v>
      </c>
      <c r="L261" s="3" t="n">
        <v>185.77483</v>
      </c>
      <c r="M261" s="3" t="n">
        <v>177.05279</v>
      </c>
      <c r="N261" s="3" t="n">
        <v>177.64452</v>
      </c>
      <c r="O261" s="3" t="n">
        <v>153.96247</v>
      </c>
      <c r="P261" s="3" t="n">
        <v>163.02173</v>
      </c>
      <c r="Q261" s="3" t="n">
        <v>168.38119</v>
      </c>
      <c r="R261" s="3" t="n">
        <v>176.14436</v>
      </c>
      <c r="S261" s="3" t="n">
        <v>138.32119</v>
      </c>
    </row>
    <row r="262" customFormat="false" ht="15" hidden="false" customHeight="false" outlineLevel="0" collapsed="false">
      <c r="B262" s="0" t="s">
        <v>313</v>
      </c>
      <c r="C262" s="2" t="n">
        <v>45747</v>
      </c>
      <c r="D262" s="3" t="n">
        <v>149.34718</v>
      </c>
      <c r="E262" s="3" t="n">
        <v>147.99111</v>
      </c>
      <c r="F262" s="3" t="n">
        <v>132.39851</v>
      </c>
      <c r="G262" s="3" t="n">
        <v>116.99841</v>
      </c>
      <c r="H262" s="3" t="n">
        <v>115.9449</v>
      </c>
      <c r="I262" s="3" t="n">
        <v>146.21817</v>
      </c>
      <c r="J262" s="3" t="n">
        <v>132.34832</v>
      </c>
      <c r="K262" s="3" t="n">
        <v>153.9534</v>
      </c>
      <c r="L262" s="3" t="n">
        <v>149.83163</v>
      </c>
      <c r="M262" s="3" t="n">
        <v>185.05517</v>
      </c>
      <c r="N262" s="3" t="n">
        <v>192.51948</v>
      </c>
      <c r="O262" s="3" t="n">
        <v>154.69547</v>
      </c>
      <c r="P262" s="3" t="n">
        <v>161.33538</v>
      </c>
      <c r="Q262" s="3" t="n">
        <v>171.96305</v>
      </c>
      <c r="R262" s="3" t="n">
        <v>190.71172</v>
      </c>
      <c r="S262" s="3" t="n">
        <v>138.33567</v>
      </c>
    </row>
    <row r="263" customFormat="false" ht="15" hidden="false" customHeight="false" outlineLevel="0" collapsed="false">
      <c r="B263" s="0" t="s">
        <v>314</v>
      </c>
      <c r="C263" s="2" t="n">
        <v>45777</v>
      </c>
      <c r="D263" s="3" t="n">
        <v>152.3841</v>
      </c>
      <c r="E263" s="3" t="n">
        <v>213.98245</v>
      </c>
      <c r="F263" s="3" t="n">
        <v>151.9525</v>
      </c>
      <c r="G263" s="3" t="n">
        <v>116.1033</v>
      </c>
      <c r="H263" s="3" t="n">
        <v>118.87625</v>
      </c>
      <c r="I263" s="3" t="n">
        <v>129.68897</v>
      </c>
      <c r="J263" s="3" t="n">
        <v>133.19035</v>
      </c>
      <c r="K263" s="3" t="n">
        <v>159.25694</v>
      </c>
      <c r="L263" s="3" t="n">
        <v>124.73051</v>
      </c>
      <c r="M263" s="3" t="n">
        <v>189.50405</v>
      </c>
      <c r="N263" s="3" t="n">
        <v>194.90511</v>
      </c>
      <c r="O263" s="3" t="n">
        <v>160.78694</v>
      </c>
      <c r="P263" s="3" t="n">
        <v>160.7504</v>
      </c>
      <c r="Q263" s="3" t="n">
        <v>171.38377</v>
      </c>
      <c r="R263" s="3" t="n">
        <v>194.56992</v>
      </c>
      <c r="S263" s="3" t="n">
        <v>122.31463</v>
      </c>
    </row>
    <row r="264" customFormat="false" ht="15" hidden="false" customHeight="false" outlineLevel="0" collapsed="false">
      <c r="B264" s="0" t="s">
        <v>315</v>
      </c>
      <c r="C264" s="2" t="n">
        <v>45808</v>
      </c>
      <c r="D264" s="3" t="n">
        <v>152.27052</v>
      </c>
      <c r="E264" s="3" t="n">
        <v>284.59974</v>
      </c>
      <c r="F264" s="3" t="n">
        <v>145.54659</v>
      </c>
      <c r="G264" s="3" t="n">
        <v>125.0154</v>
      </c>
      <c r="H264" s="3" t="n">
        <v>121.16045</v>
      </c>
      <c r="I264" s="3" t="n">
        <v>146.89977</v>
      </c>
      <c r="J264" s="3" t="n">
        <v>122.03719</v>
      </c>
      <c r="K264" s="3" t="n">
        <v>160.85179</v>
      </c>
      <c r="L264" s="3" t="n">
        <v>160.03111</v>
      </c>
      <c r="M264" s="3" t="n">
        <v>196.11605</v>
      </c>
      <c r="N264" s="3" t="n">
        <v>176.4706</v>
      </c>
      <c r="O264" s="3" t="n">
        <v>159.22138</v>
      </c>
      <c r="P264" s="3" t="n">
        <v>160.78839</v>
      </c>
      <c r="Q264" s="3" t="n">
        <v>171.95272</v>
      </c>
      <c r="R264" s="3" t="n">
        <v>196.89113</v>
      </c>
      <c r="S264" s="3" t="n">
        <v>118.21375</v>
      </c>
    </row>
    <row r="265" customFormat="false" ht="15" hidden="false" customHeight="false" outlineLevel="0" collapsed="false">
      <c r="B265" s="0" t="s">
        <v>316</v>
      </c>
      <c r="C265" s="2" t="n">
        <v>45838</v>
      </c>
      <c r="D265" s="3" t="n">
        <v>151.5483</v>
      </c>
      <c r="E265" s="3" t="n">
        <v>197.86316</v>
      </c>
      <c r="F265" s="3" t="n">
        <v>93.55909</v>
      </c>
      <c r="G265" s="3" t="n">
        <v>121.61024</v>
      </c>
      <c r="H265" s="3" t="n">
        <v>116.40672</v>
      </c>
      <c r="I265" s="3" t="n">
        <v>161.83425</v>
      </c>
      <c r="J265" s="3" t="n">
        <v>126.266</v>
      </c>
      <c r="K265" s="3" t="n">
        <v>155.53198</v>
      </c>
      <c r="L265" s="3" t="n">
        <v>190.26872</v>
      </c>
      <c r="M265" s="3" t="n">
        <v>189.15513</v>
      </c>
      <c r="N265" s="3" t="n">
        <v>184.36662</v>
      </c>
      <c r="O265" s="3" t="n">
        <v>160.57825</v>
      </c>
      <c r="P265" s="3" t="n">
        <v>161.87198</v>
      </c>
      <c r="Q265" s="3" t="n">
        <v>173.03168</v>
      </c>
      <c r="R265" s="3" t="n">
        <v>203.46908</v>
      </c>
      <c r="S265" s="3" t="n">
        <v>118.22574</v>
      </c>
    </row>
    <row r="266" customFormat="false" ht="15" hidden="false" customHeight="false" outlineLevel="0" collapsed="false">
      <c r="B266" s="0" t="s">
        <v>317</v>
      </c>
      <c r="C266" s="2" t="n">
        <v>45869</v>
      </c>
      <c r="D266" s="3" t="n">
        <v>151.2933</v>
      </c>
      <c r="E266" s="3" t="n">
        <v>118.87568</v>
      </c>
      <c r="F266" s="3" t="n">
        <v>77.64448</v>
      </c>
      <c r="G266" s="3" t="n">
        <v>128.55062</v>
      </c>
      <c r="H266" s="3" t="n">
        <v>124.85291</v>
      </c>
      <c r="I266" s="3" t="n">
        <v>161.73952</v>
      </c>
      <c r="J266" s="3" t="n">
        <v>131.78647</v>
      </c>
      <c r="K266" s="3" t="n">
        <v>154.3777</v>
      </c>
      <c r="L266" s="3" t="n">
        <v>166.11533</v>
      </c>
      <c r="M266" s="3" t="n">
        <v>188.39963</v>
      </c>
      <c r="N266" s="3" t="n">
        <v>195.83577</v>
      </c>
      <c r="O266" s="3" t="n">
        <v>158.52667</v>
      </c>
      <c r="P266" s="3" t="n">
        <v>161.35363</v>
      </c>
      <c r="Q266" s="3" t="n">
        <v>173.53386</v>
      </c>
      <c r="R266" s="3" t="n">
        <v>185.76846</v>
      </c>
      <c r="S266" s="3" t="n">
        <v>133.16786</v>
      </c>
    </row>
    <row r="267" customFormat="false" ht="15" hidden="false" customHeight="false" outlineLevel="0" collapsed="false">
      <c r="B267" s="0" t="s">
        <v>318</v>
      </c>
      <c r="C267" s="2" t="n">
        <v>45900</v>
      </c>
      <c r="D267" s="3" t="n">
        <v>152.17594</v>
      </c>
      <c r="E267" s="3" t="n">
        <v>78.32148</v>
      </c>
      <c r="F267" s="3" t="n">
        <v>293.14932</v>
      </c>
      <c r="G267" s="3" t="n">
        <v>127.29106</v>
      </c>
      <c r="H267" s="3" t="n">
        <v>122.7249</v>
      </c>
      <c r="I267" s="3" t="n">
        <v>152.52452</v>
      </c>
      <c r="J267" s="3" t="n">
        <v>136.87812</v>
      </c>
      <c r="K267" s="3" t="n">
        <v>152.1343</v>
      </c>
      <c r="L267" s="3" t="n">
        <v>181.92991</v>
      </c>
      <c r="M267" s="3" t="n">
        <v>184.73601</v>
      </c>
      <c r="N267" s="3" t="n">
        <v>203.18518</v>
      </c>
      <c r="O267" s="3" t="n">
        <v>159.06062</v>
      </c>
      <c r="P267" s="3" t="n">
        <v>160.69772</v>
      </c>
      <c r="Q267" s="3" t="n">
        <v>173.4662</v>
      </c>
      <c r="R267" s="3" t="n">
        <v>185.25668</v>
      </c>
      <c r="S267" s="3" t="n">
        <v>125.99029</v>
      </c>
    </row>
    <row r="268" customFormat="false" ht="15" hidden="false" customHeight="false" outlineLevel="0" collapsed="false">
      <c r="B268" s="0" t="s">
        <v>319</v>
      </c>
      <c r="C268" s="2" t="n">
        <v>45930</v>
      </c>
      <c r="D268" s="3" t="n">
        <v>153.27772</v>
      </c>
      <c r="E268" s="3" t="n">
        <v>75.47729</v>
      </c>
      <c r="F268" s="3" t="n">
        <v>288.47377</v>
      </c>
      <c r="G268" s="3" t="n">
        <v>125.16006</v>
      </c>
      <c r="H268" s="3" t="n">
        <v>123.86535</v>
      </c>
      <c r="I268" s="3" t="n">
        <v>138.92235</v>
      </c>
      <c r="J268" s="3" t="n">
        <v>138.82592</v>
      </c>
      <c r="K268" s="3" t="n">
        <v>154.26857</v>
      </c>
      <c r="L268" s="3" t="n">
        <v>166.63317</v>
      </c>
      <c r="M268" s="3" t="n">
        <v>185.91888</v>
      </c>
      <c r="N268" s="3" t="n">
        <v>223.96706</v>
      </c>
      <c r="O268" s="3" t="n">
        <v>161.02441</v>
      </c>
      <c r="P268" s="3" t="n">
        <v>161.1297</v>
      </c>
      <c r="Q268" s="3" t="n">
        <v>174.31189</v>
      </c>
      <c r="R268" s="3" t="n">
        <v>182.45636</v>
      </c>
      <c r="S268" s="3" t="n">
        <v>122.99124</v>
      </c>
    </row>
    <row r="269" customFormat="false" ht="15" hidden="false" customHeight="false" outlineLevel="0" collapsed="false">
      <c r="B269" s="0" t="s">
        <v>320</v>
      </c>
      <c r="C269" s="2" t="n">
        <v>45961</v>
      </c>
      <c r="D269" s="3" t="n">
        <v>153.09073</v>
      </c>
      <c r="E269" s="3" t="n">
        <v>71.70487</v>
      </c>
      <c r="F269" s="3" t="n">
        <v>118.44066</v>
      </c>
      <c r="G269" s="3" t="n">
        <v>128.19369</v>
      </c>
      <c r="H269" s="3" t="n">
        <v>130.3994</v>
      </c>
      <c r="I269" s="3" t="n">
        <v>138.56913</v>
      </c>
      <c r="J269" s="3" t="n">
        <v>132.89503</v>
      </c>
      <c r="K269" s="3" t="n">
        <v>159.91028</v>
      </c>
      <c r="L269" s="3" t="n">
        <v>186.7959</v>
      </c>
      <c r="M269" s="3" t="n">
        <v>187.56747</v>
      </c>
      <c r="N269" s="3" t="n">
        <v>210.79882</v>
      </c>
      <c r="O269" s="3" t="n">
        <v>163.27806</v>
      </c>
      <c r="P269" s="3" t="n">
        <v>160.35064</v>
      </c>
      <c r="Q269" s="3" t="n">
        <v>173.62775</v>
      </c>
      <c r="R269" s="3" t="n">
        <v>177.42493</v>
      </c>
      <c r="S269" s="3" t="n">
        <v>128.8473</v>
      </c>
    </row>
    <row r="270" customFormat="false" ht="15" hidden="false" customHeight="false" outlineLevel="0" collapsed="false">
      <c r="B270" s="0" t="s">
        <v>321</v>
      </c>
      <c r="C270" s="2" t="n">
        <v>45991</v>
      </c>
      <c r="D270" s="3" t="n">
        <v>153.01279</v>
      </c>
      <c r="E270" s="3" t="n">
        <v>90.34239</v>
      </c>
      <c r="F270" s="3" t="n">
        <v>120.43156</v>
      </c>
      <c r="G270" s="3" t="n">
        <v>122.00006</v>
      </c>
      <c r="H270" s="3" t="n">
        <v>120.13922</v>
      </c>
      <c r="I270" s="3" t="n">
        <v>138.38026</v>
      </c>
      <c r="J270" s="3" t="n">
        <v>124.54509</v>
      </c>
      <c r="K270" s="3" t="n">
        <v>149.76239</v>
      </c>
      <c r="L270" s="3" t="n">
        <v>192.70714</v>
      </c>
      <c r="M270" s="3" t="n">
        <v>185.5196</v>
      </c>
      <c r="N270" s="3" t="n">
        <v>196.27645</v>
      </c>
      <c r="O270" s="3" t="n">
        <v>158.77082</v>
      </c>
      <c r="P270" s="3" t="n">
        <v>160.64647</v>
      </c>
      <c r="Q270" s="3" t="n">
        <v>173.64549</v>
      </c>
      <c r="R270" s="3" t="n">
        <v>176.50431</v>
      </c>
      <c r="S270" s="3" t="n">
        <v>123.25285</v>
      </c>
    </row>
    <row r="271" customFormat="false" ht="15" hidden="false" customHeight="false" outlineLevel="0" collapsed="false">
      <c r="B271" s="0" t="s">
        <v>322</v>
      </c>
      <c r="C271" s="2" t="n">
        <v>46022</v>
      </c>
      <c r="D271" s="3" t="n">
        <v>155.94782</v>
      </c>
      <c r="E271" s="3" t="n">
        <v>145.86989</v>
      </c>
      <c r="F271" s="3" t="n">
        <v>136.12065</v>
      </c>
      <c r="G271" s="3" t="n">
        <v>130.30263</v>
      </c>
      <c r="H271" s="3" t="n">
        <v>117.31991</v>
      </c>
      <c r="I271" s="3" t="n">
        <v>159.91056</v>
      </c>
      <c r="J271" s="3" t="n">
        <v>121.94486</v>
      </c>
      <c r="K271" s="3" t="n">
        <v>148.57887</v>
      </c>
      <c r="L271" s="3" t="n">
        <v>199.17894</v>
      </c>
      <c r="M271" s="3" t="n">
        <v>185.80999</v>
      </c>
      <c r="N271" s="3" t="n">
        <v>201.54471</v>
      </c>
      <c r="O271" s="3" t="n">
        <v>163.24456</v>
      </c>
      <c r="P271" s="3" t="n">
        <v>160.74496</v>
      </c>
      <c r="Q271" s="3" t="n">
        <v>174.54234</v>
      </c>
      <c r="R271" s="3" t="n">
        <v>169.71438</v>
      </c>
      <c r="S271" s="3" t="n">
        <v>128.82113</v>
      </c>
    </row>
    <row r="272" customFormat="false" ht="15" hidden="false" customHeight="false" outlineLevel="0" collapsed="false">
      <c r="B272" s="0" t="s">
        <v>323</v>
      </c>
      <c r="C272" s="2" t="n">
        <v>46053</v>
      </c>
      <c r="D272" s="3" t="n">
        <v>156.30087</v>
      </c>
      <c r="E272" s="3" t="n">
        <v>113.60776</v>
      </c>
      <c r="F272" s="3" t="n">
        <v>229.43036</v>
      </c>
      <c r="G272" s="3" t="n">
        <v>135.23614</v>
      </c>
      <c r="H272" s="3" t="n">
        <v>104.3838</v>
      </c>
      <c r="I272" s="3" t="n">
        <v>162.24473</v>
      </c>
      <c r="J272" s="3" t="n">
        <v>133.26792</v>
      </c>
      <c r="K272" s="3" t="n">
        <v>145.9722</v>
      </c>
      <c r="L272" s="3" t="n">
        <v>199.47192</v>
      </c>
      <c r="M272" s="3" t="n">
        <v>187.0154</v>
      </c>
      <c r="N272" s="3" t="n">
        <v>199.07299</v>
      </c>
      <c r="O272" s="3" t="n">
        <v>153.93874</v>
      </c>
      <c r="P272" s="3" t="n">
        <v>160.69766</v>
      </c>
      <c r="Q272" s="3" t="n">
        <v>167.19287</v>
      </c>
      <c r="R272" s="3" t="n">
        <v>187.34944</v>
      </c>
      <c r="S272" s="3" t="n">
        <v>141.38664</v>
      </c>
    </row>
    <row r="273" customFormat="false" ht="15" hidden="false" customHeight="false" outlineLevel="0" collapsed="false">
      <c r="B273" s="0" t="s">
        <v>324</v>
      </c>
      <c r="C273" s="2" t="n">
        <v>46081</v>
      </c>
      <c r="D273" s="3" t="n">
        <v>152.46233</v>
      </c>
      <c r="E273" s="3" t="n">
        <v>80.72005</v>
      </c>
      <c r="F273" s="3" t="n">
        <v>252.64674</v>
      </c>
      <c r="G273" s="3" t="n">
        <v>121.52554</v>
      </c>
      <c r="H273" s="3" t="n">
        <v>98.81732</v>
      </c>
      <c r="I273" s="3" t="n">
        <v>147.2567</v>
      </c>
      <c r="J273" s="3" t="n">
        <v>130.46182</v>
      </c>
      <c r="K273" s="3" t="n">
        <v>143.58076</v>
      </c>
      <c r="L273" s="3" t="n">
        <v>192.45323</v>
      </c>
      <c r="M273" s="3" t="n">
        <v>175.77887</v>
      </c>
      <c r="N273" s="3" t="n">
        <v>188.41334</v>
      </c>
      <c r="O273" s="3" t="n">
        <v>153.63036</v>
      </c>
      <c r="P273" s="3" t="n">
        <v>160.72354</v>
      </c>
      <c r="Q273" s="3" t="n">
        <v>168.93962</v>
      </c>
      <c r="R273" s="3" t="n">
        <v>177.1658</v>
      </c>
      <c r="S273" s="3" t="n">
        <v>139.38568</v>
      </c>
    </row>
    <row r="274" customFormat="false" ht="15" hidden="false" customHeight="false" outlineLevel="0" collapsed="false">
      <c r="B274" s="0" t="s">
        <v>325</v>
      </c>
      <c r="C274" s="2" t="n">
        <v>46112</v>
      </c>
      <c r="D274" s="3" t="n">
        <v>156.73111</v>
      </c>
      <c r="E274" s="3" t="n">
        <v>177.81934</v>
      </c>
      <c r="F274" s="3" t="n">
        <v>168.9989</v>
      </c>
      <c r="G274" s="3" t="n">
        <v>136.17932</v>
      </c>
      <c r="H274" s="3" t="n">
        <v>122.01961</v>
      </c>
      <c r="I274" s="3" t="n">
        <v>154.56624</v>
      </c>
      <c r="J274" s="3" t="n">
        <v>143.26778</v>
      </c>
      <c r="K274" s="3" t="n">
        <v>160.29804</v>
      </c>
      <c r="L274" s="3" t="n">
        <v>153.82614</v>
      </c>
      <c r="M274" s="3" t="n">
        <v>194.36165</v>
      </c>
      <c r="N274" s="3" t="n">
        <v>210.45452</v>
      </c>
      <c r="O274" s="3" t="n">
        <v>158.76596</v>
      </c>
      <c r="P274" s="3" t="n">
        <v>159.23542</v>
      </c>
      <c r="Q274" s="3" t="n">
        <v>172.28693</v>
      </c>
      <c r="R274" s="3" t="n">
        <v>191.85269</v>
      </c>
      <c r="S274" s="3" t="n">
        <v>139.6283</v>
      </c>
    </row>
    <row r="275" customFormat="false" ht="15" hidden="false" customHeight="false" outlineLevel="0" collapsed="false">
      <c r="B275" s="0" t="s">
        <v>326</v>
      </c>
      <c r="C275" s="2" t="n">
        <v>46142</v>
      </c>
      <c r="D275" s="3" t="n">
        <v>154.3364</v>
      </c>
      <c r="E275" s="3" t="n">
        <v>237.41028</v>
      </c>
      <c r="F275" s="3" t="n">
        <v>108.79858</v>
      </c>
      <c r="G275" s="3" t="n">
        <v>136.20196</v>
      </c>
      <c r="H275" s="3" t="n">
        <v>115.68369</v>
      </c>
      <c r="I275" s="3" t="n">
        <v>138.58737</v>
      </c>
      <c r="J275" s="3" t="n">
        <v>130.80788</v>
      </c>
      <c r="K275" s="3" t="n">
        <v>154.1301</v>
      </c>
      <c r="L275" s="3" t="n">
        <v>124.77544</v>
      </c>
      <c r="M275" s="3" t="n">
        <v>193.43204</v>
      </c>
      <c r="N275" s="3" t="n">
        <v>203.63701</v>
      </c>
      <c r="O275" s="3" t="n">
        <v>160.30488</v>
      </c>
      <c r="P275" s="3" t="n">
        <v>158.60905</v>
      </c>
      <c r="Q275" s="3" t="n">
        <v>171.48812</v>
      </c>
      <c r="R275" s="3" t="n">
        <v>195.46874</v>
      </c>
      <c r="S275" s="3" t="n">
        <v>119.92243</v>
      </c>
    </row>
    <row r="276" customFormat="false" ht="15" hidden="false" customHeight="false" outlineLevel="0" collapsed="false">
      <c r="B276" s="0" t="s">
        <v>327</v>
      </c>
      <c r="C276" s="2" t="n">
        <v>46173</v>
      </c>
      <c r="D276" s="3" t="n">
        <v>153.62027</v>
      </c>
      <c r="E276" s="3" t="n">
        <v>297.66329</v>
      </c>
      <c r="F276" s="3" t="n">
        <v>102.84501</v>
      </c>
      <c r="G276" s="3" t="n">
        <v>144.59675</v>
      </c>
      <c r="H276" s="3" t="n">
        <v>114.35306</v>
      </c>
      <c r="I276" s="3" t="n">
        <v>158.63625</v>
      </c>
      <c r="J276" s="3" t="n">
        <v>124.37794</v>
      </c>
      <c r="K276" s="3" t="n">
        <v>153.91377</v>
      </c>
      <c r="L276" s="3" t="n">
        <v>157.15323</v>
      </c>
      <c r="M276" s="3" t="n">
        <v>197.26347</v>
      </c>
      <c r="N276" s="3" t="n">
        <v>179.16448</v>
      </c>
      <c r="O276" s="3" t="n">
        <v>159.78965</v>
      </c>
      <c r="P276" s="3" t="n">
        <v>158.5742</v>
      </c>
      <c r="Q276" s="3" t="n">
        <v>171.81406</v>
      </c>
      <c r="R276" s="3" t="n">
        <v>198.56366</v>
      </c>
      <c r="S276" s="3" t="n">
        <v>116.71788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20"/>
    <col collapsed="false" customWidth="true" hidden="false" outlineLevel="0" max="4" min="4" style="0" width="22"/>
    <col collapsed="false" customWidth="true" hidden="false" outlineLevel="0" max="5" min="5" style="0" width="20"/>
    <col collapsed="false" customWidth="true" hidden="false" outlineLevel="0" max="6" min="6" style="0" width="22"/>
    <col collapsed="false" customWidth="true" hidden="false" outlineLevel="0" max="7" min="7" style="0" width="20"/>
  </cols>
  <sheetData>
    <row r="1" customFormat="false" ht="17.35" hidden="false" customHeight="false" outlineLevel="0" collapsed="false">
      <c r="A1" s="4" t="s">
        <v>328</v>
      </c>
    </row>
    <row r="2" customFormat="false" ht="15" hidden="false" customHeight="false" outlineLevel="0" collapsed="false">
      <c r="A2" s="5" t="s">
        <v>329</v>
      </c>
    </row>
    <row r="4" customFormat="false" ht="15" hidden="false" customHeight="false" outlineLevel="0" collapsed="false">
      <c r="A4" s="6" t="s">
        <v>330</v>
      </c>
    </row>
    <row r="5" customFormat="false" ht="15" hidden="false" customHeight="false" outlineLevel="0" collapsed="false">
      <c r="A5" s="7" t="s">
        <v>331</v>
      </c>
      <c r="B5" s="7" t="s">
        <v>332</v>
      </c>
      <c r="C5" s="7" t="s">
        <v>333</v>
      </c>
      <c r="D5" s="7" t="s">
        <v>334</v>
      </c>
      <c r="E5" s="7" t="s">
        <v>335</v>
      </c>
      <c r="F5" s="7" t="s">
        <v>336</v>
      </c>
      <c r="G5" s="7" t="s">
        <v>337</v>
      </c>
    </row>
    <row r="6" customFormat="false" ht="15" hidden="false" customHeight="false" outlineLevel="0" collapsed="false">
      <c r="A6" s="8" t="s">
        <v>1</v>
      </c>
      <c r="B6" s="9" t="s">
        <v>338</v>
      </c>
      <c r="C6" s="10" t="n">
        <v>8.2873</v>
      </c>
      <c r="D6" s="10" t="n">
        <v>8.7</v>
      </c>
      <c r="E6" s="11" t="n">
        <f aca="false">C6-D6*100/SUM($D$6:$D$20)</f>
        <v>-0.718911180124223</v>
      </c>
      <c r="F6" s="12" t="n">
        <f aca="false">C6/SUMIF($B$6:$B$20,B6,$C$6:$C$20)</f>
        <v>0.98774746427337</v>
      </c>
      <c r="G6" s="12" t="n">
        <f aca="false">C6/SUM($C$6:$C$20)</f>
        <v>0.0828728342543315</v>
      </c>
    </row>
    <row r="7" customFormat="false" ht="15" hidden="false" customHeight="false" outlineLevel="0" collapsed="false">
      <c r="A7" s="8" t="s">
        <v>2</v>
      </c>
      <c r="B7" s="9" t="s">
        <v>338</v>
      </c>
      <c r="C7" s="10" t="n">
        <v>0.1028</v>
      </c>
      <c r="D7" s="10" t="n">
        <v>0.4</v>
      </c>
      <c r="E7" s="11" t="n">
        <f aca="false">C7-D7*100/SUM($D$6:$D$20)</f>
        <v>-0.31127867494824</v>
      </c>
      <c r="F7" s="12" t="n">
        <f aca="false">C7/SUMIF($B$6:$B$20,B7,$C$6:$C$20)</f>
        <v>0.0122525357266302</v>
      </c>
      <c r="G7" s="12" t="n">
        <f aca="false">C7/SUM($C$6:$C$20)</f>
        <v>0.00102799794400411</v>
      </c>
    </row>
    <row r="8" customFormat="false" ht="15" hidden="false" customHeight="false" outlineLevel="0" collapsed="false">
      <c r="A8" s="8" t="s">
        <v>3</v>
      </c>
      <c r="B8" s="9" t="s">
        <v>339</v>
      </c>
      <c r="C8" s="10" t="n">
        <v>3.175</v>
      </c>
      <c r="D8" s="10" t="n">
        <v>4</v>
      </c>
      <c r="E8" s="11" t="n">
        <f aca="false">C8-D8*100/SUM($D$6:$D$20)</f>
        <v>-0.965786749482402</v>
      </c>
      <c r="F8" s="12" t="n">
        <f aca="false">C8/SUMIF($B$6:$B$20,B8,$C$6:$C$20)</f>
        <v>0.119397709068209</v>
      </c>
      <c r="G8" s="12" t="n">
        <f aca="false">C8/SUM($C$6:$C$20)</f>
        <v>0.031749936500127</v>
      </c>
    </row>
    <row r="9" customFormat="false" ht="15" hidden="false" customHeight="false" outlineLevel="0" collapsed="false">
      <c r="A9" s="8" t="s">
        <v>4</v>
      </c>
      <c r="B9" s="9" t="s">
        <v>339</v>
      </c>
      <c r="C9" s="10" t="n">
        <v>17.8771</v>
      </c>
      <c r="D9" s="10" t="n">
        <v>17.5</v>
      </c>
      <c r="E9" s="11" t="n">
        <f aca="false">C9-D9*100/SUM($D$6:$D$20)</f>
        <v>-0.238842028985509</v>
      </c>
      <c r="F9" s="12" t="n">
        <f aca="false">C9/SUMIF($B$6:$B$20,B9,$C$6:$C$20)</f>
        <v>0.672278672372686</v>
      </c>
      <c r="G9" s="12" t="n">
        <f aca="false">C9/SUM($C$6:$C$20)</f>
        <v>0.178770642458715</v>
      </c>
    </row>
    <row r="10" customFormat="false" ht="15" hidden="false" customHeight="false" outlineLevel="0" collapsed="false">
      <c r="A10" s="8" t="s">
        <v>5</v>
      </c>
      <c r="B10" s="9" t="s">
        <v>340</v>
      </c>
      <c r="C10" s="10" t="n">
        <v>1.8434</v>
      </c>
      <c r="D10" s="10" t="n">
        <v>2</v>
      </c>
      <c r="E10" s="11" t="n">
        <f aca="false">C10-D10*100/SUM($D$6:$D$20)</f>
        <v>-0.226993374741201</v>
      </c>
      <c r="F10" s="12" t="n">
        <f aca="false">C10/SUMIF($B$6:$B$20,B10,$C$6:$C$20)</f>
        <v>0.0283520178165224</v>
      </c>
      <c r="G10" s="12" t="n">
        <f aca="false">C10/SUM($C$6:$C$20)</f>
        <v>0.0184339631320737</v>
      </c>
    </row>
    <row r="11" customFormat="false" ht="15" hidden="false" customHeight="false" outlineLevel="0" collapsed="false">
      <c r="A11" s="8" t="s">
        <v>6</v>
      </c>
      <c r="B11" s="9" t="s">
        <v>339</v>
      </c>
      <c r="C11" s="10" t="n">
        <v>5.5397</v>
      </c>
      <c r="D11" s="10" t="n">
        <v>5.3</v>
      </c>
      <c r="E11" s="11" t="n">
        <f aca="false">C11-D11*100/SUM($D$6:$D$20)</f>
        <v>0.0531575569358171</v>
      </c>
      <c r="F11" s="12" t="n">
        <f aca="false">C11/SUMIF($B$6:$B$20,B11,$C$6:$C$20)</f>
        <v>0.208323618559105</v>
      </c>
      <c r="G11" s="12" t="n">
        <f aca="false">C11/SUM($C$6:$C$20)</f>
        <v>0.0553968892062216</v>
      </c>
    </row>
    <row r="12" customFormat="false" ht="15" hidden="false" customHeight="false" outlineLevel="0" collapsed="false">
      <c r="A12" s="8" t="s">
        <v>7</v>
      </c>
      <c r="B12" s="9" t="s">
        <v>340</v>
      </c>
      <c r="C12" s="10" t="n">
        <v>13.2283</v>
      </c>
      <c r="D12" s="10" t="n">
        <v>12.4</v>
      </c>
      <c r="E12" s="11" t="n">
        <f aca="false">C12-D12*100/SUM($D$6:$D$20)</f>
        <v>0.391861076604554</v>
      </c>
      <c r="F12" s="12" t="n">
        <f aca="false">C12/SUMIF($B$6:$B$20,B12,$C$6:$C$20)</f>
        <v>0.203455027276936</v>
      </c>
      <c r="G12" s="12" t="n">
        <f aca="false">C12/SUM($C$6:$C$20)</f>
        <v>0.132282735434529</v>
      </c>
    </row>
    <row r="13" customFormat="false" ht="15" hidden="false" customHeight="false" outlineLevel="0" collapsed="false">
      <c r="A13" s="8" t="s">
        <v>8</v>
      </c>
      <c r="B13" s="9" t="s">
        <v>340</v>
      </c>
      <c r="C13" s="10" t="n">
        <v>3.0404</v>
      </c>
      <c r="D13" s="10" t="n">
        <v>2.7</v>
      </c>
      <c r="E13" s="11" t="n">
        <f aca="false">C13-D13*100/SUM($D$6:$D$20)</f>
        <v>0.245368944099379</v>
      </c>
      <c r="F13" s="12" t="n">
        <f aca="false">C13/SUMIF($B$6:$B$20,B13,$C$6:$C$20)</f>
        <v>0.0467622192521183</v>
      </c>
      <c r="G13" s="12" t="n">
        <f aca="false">C13/SUM($C$6:$C$20)</f>
        <v>0.0304039391921216</v>
      </c>
    </row>
    <row r="14" customFormat="false" ht="15" hidden="false" customHeight="false" outlineLevel="0" collapsed="false">
      <c r="A14" s="8" t="s">
        <v>9</v>
      </c>
      <c r="B14" s="9" t="s">
        <v>340</v>
      </c>
      <c r="C14" s="10" t="n">
        <v>9.4699</v>
      </c>
      <c r="D14" s="10" t="n">
        <v>8.3</v>
      </c>
      <c r="E14" s="11" t="n">
        <f aca="false">C14-D14*100/SUM($D$6:$D$20)</f>
        <v>0.877767494824015</v>
      </c>
      <c r="F14" s="12" t="n">
        <f aca="false">C14/SUMIF($B$6:$B$20,B14,$C$6:$C$20)</f>
        <v>0.145649763220509</v>
      </c>
      <c r="G14" s="12" t="n">
        <f aca="false">C14/SUM($C$6:$C$20)</f>
        <v>0.0946988106023788</v>
      </c>
    </row>
    <row r="15" customFormat="false" ht="15" hidden="false" customHeight="false" outlineLevel="0" collapsed="false">
      <c r="A15" s="8" t="s">
        <v>10</v>
      </c>
      <c r="B15" s="9" t="s">
        <v>340</v>
      </c>
      <c r="C15" s="10" t="n">
        <v>4.9519</v>
      </c>
      <c r="D15" s="10" t="n">
        <v>4</v>
      </c>
      <c r="E15" s="11" t="n">
        <f aca="false">C15-D15*100/SUM($D$6:$D$20)</f>
        <v>0.811113250517598</v>
      </c>
      <c r="F15" s="12" t="n">
        <f aca="false">C15/SUMIF($B$6:$B$20,B15,$C$6:$C$20)</f>
        <v>0.0761616344936733</v>
      </c>
      <c r="G15" s="12" t="n">
        <f aca="false">C15/SUM($C$6:$C$20)</f>
        <v>0.0495189009621981</v>
      </c>
    </row>
    <row r="16" customFormat="false" ht="15" hidden="false" customHeight="false" outlineLevel="0" collapsed="false">
      <c r="A16" s="8" t="s">
        <v>11</v>
      </c>
      <c r="B16" s="9" t="s">
        <v>340</v>
      </c>
      <c r="C16" s="10" t="n">
        <v>13.2728</v>
      </c>
      <c r="D16" s="10" t="n">
        <v>12.9</v>
      </c>
      <c r="E16" s="11" t="n">
        <f aca="false">C16-D16*100/SUM($D$6:$D$20)</f>
        <v>-0.0812372670807466</v>
      </c>
      <c r="F16" s="12" t="n">
        <f aca="false">C16/SUMIF($B$6:$B$20,B16,$C$6:$C$20)</f>
        <v>0.204139449970239</v>
      </c>
      <c r="G16" s="12" t="n">
        <f aca="false">C16/SUM($C$6:$C$20)</f>
        <v>0.132727734544531</v>
      </c>
    </row>
    <row r="17" customFormat="false" ht="15" hidden="false" customHeight="false" outlineLevel="0" collapsed="false">
      <c r="A17" s="8" t="s">
        <v>12</v>
      </c>
      <c r="B17" s="9" t="s">
        <v>340</v>
      </c>
      <c r="C17" s="10" t="n">
        <v>6.1054</v>
      </c>
      <c r="D17" s="10" t="n">
        <v>6</v>
      </c>
      <c r="E17" s="11" t="n">
        <f aca="false">C17-D17*100/SUM($D$6:$D$20)</f>
        <v>-0.105780124223602</v>
      </c>
      <c r="F17" s="12" t="n">
        <f aca="false">C17/SUMIF($B$6:$B$20,B17,$C$6:$C$20)</f>
        <v>0.0939027935212087</v>
      </c>
      <c r="G17" s="12" t="n">
        <f aca="false">C17/SUM($C$6:$C$20)</f>
        <v>0.0610538778922442</v>
      </c>
    </row>
    <row r="18" customFormat="false" ht="15" hidden="false" customHeight="false" outlineLevel="0" collapsed="false">
      <c r="A18" s="8" t="s">
        <v>13</v>
      </c>
      <c r="B18" s="9" t="s">
        <v>340</v>
      </c>
      <c r="C18" s="10" t="n">
        <v>4.8085</v>
      </c>
      <c r="D18" s="10" t="n">
        <v>4.6</v>
      </c>
      <c r="E18" s="11" t="n">
        <f aca="false">C18-D18*100/SUM($D$6:$D$20)</f>
        <v>0.0465952380952386</v>
      </c>
      <c r="F18" s="12" t="n">
        <f aca="false">C18/SUMIF($B$6:$B$20,B18,$C$6:$C$20)</f>
        <v>0.0739561015898601</v>
      </c>
      <c r="G18" s="12" t="n">
        <f aca="false">C18/SUM($C$6:$C$20)</f>
        <v>0.0480849038301923</v>
      </c>
    </row>
    <row r="19" customFormat="false" ht="15" hidden="false" customHeight="false" outlineLevel="0" collapsed="false">
      <c r="A19" s="8" t="s">
        <v>14</v>
      </c>
      <c r="B19" s="9" t="s">
        <v>340</v>
      </c>
      <c r="C19" s="10" t="n">
        <v>4.7366</v>
      </c>
      <c r="D19" s="10" t="n">
        <v>4.2</v>
      </c>
      <c r="E19" s="11" t="n">
        <f aca="false">C19-D19*100/SUM($D$6:$D$20)</f>
        <v>0.388773913043478</v>
      </c>
      <c r="F19" s="12" t="n">
        <f aca="false">C19/SUMIF($B$6:$B$20,B19,$C$6:$C$20)</f>
        <v>0.0728502590809049</v>
      </c>
      <c r="G19" s="12" t="n">
        <f aca="false">C19/SUM($C$6:$C$20)</f>
        <v>0.0473659052681895</v>
      </c>
    </row>
    <row r="20" customFormat="false" ht="15" hidden="false" customHeight="false" outlineLevel="0" collapsed="false">
      <c r="A20" s="8" t="s">
        <v>15</v>
      </c>
      <c r="B20" s="9" t="s">
        <v>340</v>
      </c>
      <c r="C20" s="10" t="n">
        <v>3.5611</v>
      </c>
      <c r="D20" s="10" t="n">
        <v>3.6</v>
      </c>
      <c r="E20" s="11" t="n">
        <f aca="false">C20-D20*100/SUM($D$6:$D$20)</f>
        <v>-0.165608074534162</v>
      </c>
      <c r="F20" s="12" t="n">
        <f aca="false">C20/SUMIF($B$6:$B$20,B20,$C$6:$C$20)</f>
        <v>0.0547707337780287</v>
      </c>
      <c r="G20" s="12" t="n">
        <f aca="false">C20/SUM($C$6:$C$20)</f>
        <v>0.0356109287781424</v>
      </c>
    </row>
    <row r="21" customFormat="false" ht="15" hidden="false" customHeight="false" outlineLevel="0" collapsed="false">
      <c r="A21" s="13" t="s">
        <v>341</v>
      </c>
      <c r="C21" s="14" t="n">
        <f aca="false">SUM(C6:C20)</f>
        <v>100.0002</v>
      </c>
      <c r="D21" s="14" t="n">
        <f aca="false">SUM(D6:D20)</f>
        <v>96.6</v>
      </c>
      <c r="G21" s="15" t="n">
        <f aca="false">SUM(G6:G20)</f>
        <v>1</v>
      </c>
    </row>
    <row r="23" customFormat="false" ht="15" hidden="false" customHeight="false" outlineLevel="0" collapsed="false">
      <c r="A23" s="6" t="s">
        <v>342</v>
      </c>
    </row>
    <row r="24" customFormat="false" ht="15" hidden="false" customHeight="false" outlineLevel="0" collapsed="false">
      <c r="A24" s="7" t="s">
        <v>332</v>
      </c>
      <c r="B24" s="7" t="s">
        <v>333</v>
      </c>
      <c r="C24" s="7" t="s">
        <v>343</v>
      </c>
    </row>
    <row r="25" customFormat="false" ht="15" hidden="false" customHeight="false" outlineLevel="0" collapsed="false">
      <c r="A25" s="8" t="s">
        <v>338</v>
      </c>
      <c r="B25" s="16" t="n">
        <f aca="false">SUMIF($B$6:$B$20,A25,$C$6:$C$20)</f>
        <v>8.3901</v>
      </c>
      <c r="C25" s="12" t="n">
        <f aca="false">B25/SUM($B$25:$B$27)</f>
        <v>0.0839008321983356</v>
      </c>
    </row>
    <row r="26" customFormat="false" ht="15" hidden="false" customHeight="false" outlineLevel="0" collapsed="false">
      <c r="A26" s="8" t="s">
        <v>339</v>
      </c>
      <c r="B26" s="16" t="n">
        <f aca="false">SUMIF($B$6:$B$20,A26,$C$6:$C$20)</f>
        <v>26.5918</v>
      </c>
      <c r="C26" s="12" t="n">
        <f aca="false">B26/SUM($B$25:$B$27)</f>
        <v>0.265917468165064</v>
      </c>
    </row>
    <row r="27" customFormat="false" ht="15" hidden="false" customHeight="false" outlineLevel="0" collapsed="false">
      <c r="A27" s="8" t="s">
        <v>340</v>
      </c>
      <c r="B27" s="16" t="n">
        <f aca="false">SUMIF($B$6:$B$20,A27,$C$6:$C$20)</f>
        <v>65.0183</v>
      </c>
      <c r="C27" s="12" t="n">
        <f aca="false">B27/SUM($B$25:$B$27)</f>
        <v>0.650181699636601</v>
      </c>
    </row>
    <row r="28" customFormat="false" ht="15" hidden="false" customHeight="false" outlineLevel="0" collapsed="false">
      <c r="A28" s="13" t="s">
        <v>341</v>
      </c>
      <c r="B28" s="14" t="n">
        <f aca="false">SUM(B25:B27)</f>
        <v>100.0002</v>
      </c>
    </row>
    <row r="30" customFormat="false" ht="15" hidden="false" customHeight="false" outlineLevel="0" collapsed="false">
      <c r="A30" s="6" t="s">
        <v>344</v>
      </c>
    </row>
    <row r="31" customFormat="false" ht="15" hidden="false" customHeight="false" outlineLevel="0" collapsed="false">
      <c r="A31" s="5" t="s">
        <v>345</v>
      </c>
    </row>
    <row r="32" customFormat="false" ht="23.85" hidden="false" customHeight="false" outlineLevel="0" collapsed="false">
      <c r="A32" s="7" t="s">
        <v>346</v>
      </c>
      <c r="B32" s="7" t="s">
        <v>347</v>
      </c>
      <c r="C32" s="7" t="s">
        <v>348</v>
      </c>
      <c r="D32" s="7" t="s">
        <v>349</v>
      </c>
      <c r="E32" s="7" t="s">
        <v>350</v>
      </c>
      <c r="F32" s="7" t="s">
        <v>351</v>
      </c>
    </row>
    <row r="33" customFormat="false" ht="15" hidden="false" customHeight="false" outlineLevel="0" collapsed="false">
      <c r="A33" s="8" t="s">
        <v>338</v>
      </c>
      <c r="B33" s="17" t="n">
        <v>0.1</v>
      </c>
      <c r="C33" s="17" t="n">
        <v>0.25</v>
      </c>
      <c r="D33" s="11" t="n">
        <f aca="false">((1+B33/100)^12-1)*100</f>
        <v>1.20662204957915</v>
      </c>
      <c r="E33" s="11" t="n">
        <f aca="false">((1+C33/100)^12-1)*100</f>
        <v>3.04159569135067</v>
      </c>
      <c r="F33" s="18" t="n">
        <v>2.62</v>
      </c>
    </row>
    <row r="34" customFormat="false" ht="15" hidden="false" customHeight="false" outlineLevel="0" collapsed="false">
      <c r="A34" s="8" t="s">
        <v>339</v>
      </c>
      <c r="B34" s="17" t="n">
        <v>0.15</v>
      </c>
      <c r="C34" s="17" t="n">
        <v>0.35</v>
      </c>
      <c r="D34" s="11" t="n">
        <f aca="false">((1+B34/100)^12-1)*100</f>
        <v>1.81492450119629</v>
      </c>
      <c r="E34" s="11" t="n">
        <f aca="false">((1+C34/100)^12-1)*100</f>
        <v>4.28180071986151</v>
      </c>
      <c r="F34" s="18" t="n">
        <v>0</v>
      </c>
    </row>
    <row r="35" customFormat="false" ht="15" hidden="false" customHeight="false" outlineLevel="0" collapsed="false">
      <c r="A35" s="8" t="s">
        <v>340</v>
      </c>
      <c r="B35" s="17" t="n">
        <v>0.15</v>
      </c>
      <c r="C35" s="17" t="n">
        <v>0.3</v>
      </c>
      <c r="D35" s="11" t="n">
        <f aca="false">((1+B35/100)^12-1)*100</f>
        <v>1.81492450119629</v>
      </c>
      <c r="E35" s="11" t="n">
        <f aca="false">((1+C35/100)^12-1)*100</f>
        <v>3.65999802881301</v>
      </c>
      <c r="F35" s="18" t="n">
        <v>0.03</v>
      </c>
    </row>
    <row r="38" customFormat="false" ht="15" hidden="false" customHeight="false" outlineLevel="0" collapsed="false">
      <c r="A38" s="6" t="s">
        <v>352</v>
      </c>
    </row>
    <row r="39" customFormat="false" ht="30" hidden="false" customHeight="true" outlineLevel="0" collapsed="false">
      <c r="A39" s="13" t="s">
        <v>353</v>
      </c>
      <c r="B39" s="19" t="s">
        <v>354</v>
      </c>
      <c r="C39" s="19"/>
      <c r="D39" s="19"/>
      <c r="E39" s="19"/>
      <c r="F39" s="19"/>
      <c r="G39" s="19"/>
    </row>
    <row r="40" customFormat="false" ht="30" hidden="false" customHeight="true" outlineLevel="0" collapsed="false">
      <c r="A40" s="13" t="s">
        <v>355</v>
      </c>
      <c r="B40" s="19" t="s">
        <v>356</v>
      </c>
      <c r="C40" s="19"/>
      <c r="D40" s="19"/>
      <c r="E40" s="19"/>
      <c r="F40" s="19"/>
      <c r="G40" s="19"/>
    </row>
    <row r="41" customFormat="false" ht="13.5" hidden="false" customHeight="true" outlineLevel="0" collapsed="false">
      <c r="A41" s="13" t="s">
        <v>357</v>
      </c>
      <c r="B41" s="19" t="s">
        <v>358</v>
      </c>
      <c r="C41" s="19"/>
      <c r="D41" s="19"/>
      <c r="E41" s="19"/>
      <c r="F41" s="19"/>
      <c r="G41" s="19"/>
    </row>
    <row r="42" customFormat="false" ht="13.5" hidden="false" customHeight="true" outlineLevel="0" collapsed="false">
      <c r="A42" s="13" t="s">
        <v>359</v>
      </c>
      <c r="B42" s="19" t="n">
        <v>0.98958</v>
      </c>
      <c r="C42" s="19"/>
      <c r="D42" s="19"/>
      <c r="E42" s="19"/>
      <c r="F42" s="19"/>
      <c r="G42" s="19"/>
    </row>
    <row r="43" customFormat="false" ht="13.5" hidden="false" customHeight="true" outlineLevel="0" collapsed="false">
      <c r="A43" s="13" t="s">
        <v>360</v>
      </c>
      <c r="B43" s="19" t="n">
        <v>1.469</v>
      </c>
      <c r="C43" s="19"/>
      <c r="D43" s="19"/>
      <c r="E43" s="19"/>
      <c r="F43" s="19"/>
      <c r="G43" s="19"/>
    </row>
    <row r="44" customFormat="false" ht="13.5" hidden="false" customHeight="true" outlineLevel="0" collapsed="false">
      <c r="A44" s="13" t="s">
        <v>361</v>
      </c>
      <c r="B44" s="19" t="n">
        <v>4.301</v>
      </c>
      <c r="C44" s="19"/>
      <c r="D44" s="19"/>
      <c r="E44" s="19"/>
      <c r="F44" s="19"/>
      <c r="G44" s="19"/>
    </row>
    <row r="45" customFormat="false" ht="30" hidden="false" customHeight="true" outlineLevel="0" collapsed="false">
      <c r="A45" s="13" t="s">
        <v>362</v>
      </c>
      <c r="B45" s="19" t="s">
        <v>363</v>
      </c>
      <c r="C45" s="19"/>
      <c r="D45" s="19"/>
      <c r="E45" s="19"/>
      <c r="F45" s="19"/>
      <c r="G45" s="19"/>
    </row>
    <row r="46" customFormat="false" ht="30" hidden="false" customHeight="true" outlineLevel="0" collapsed="false">
      <c r="A46" s="13" t="s">
        <v>364</v>
      </c>
      <c r="B46" s="19" t="s">
        <v>365</v>
      </c>
      <c r="C46" s="19"/>
      <c r="D46" s="19"/>
      <c r="E46" s="19"/>
      <c r="F46" s="19"/>
      <c r="G46" s="19"/>
    </row>
  </sheetData>
  <mergeCells count="8">
    <mergeCell ref="B39:G39"/>
    <mergeCell ref="B40:G40"/>
    <mergeCell ref="B41:G41"/>
    <mergeCell ref="B42:G42"/>
    <mergeCell ref="B43:G43"/>
    <mergeCell ref="B44:G44"/>
    <mergeCell ref="B45:G45"/>
    <mergeCell ref="B46:G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5" min="2" style="0" width="11"/>
  </cols>
  <sheetData>
    <row r="1" customFormat="false" ht="17.35" hidden="false" customHeight="false" outlineLevel="0" collapsed="false">
      <c r="A1" s="4" t="s">
        <v>366</v>
      </c>
    </row>
    <row r="2" customFormat="false" ht="15" hidden="false" customHeight="false" outlineLevel="0" collapsed="false">
      <c r="A2" s="5" t="s">
        <v>367</v>
      </c>
    </row>
    <row r="4" customFormat="false" ht="15" hidden="false" customHeight="false" outlineLevel="0" collapsed="false">
      <c r="A4" s="5" t="s">
        <v>368</v>
      </c>
    </row>
    <row r="6" customFormat="false" ht="35.05" hidden="false" customHeight="false" outlineLevel="0" collapsed="false">
      <c r="A6" s="7" t="s">
        <v>369</v>
      </c>
      <c r="B6" s="7" t="s">
        <v>370</v>
      </c>
      <c r="C6" s="7" t="s">
        <v>371</v>
      </c>
      <c r="D6" s="7" t="s">
        <v>372</v>
      </c>
      <c r="E6" s="7" t="s">
        <v>373</v>
      </c>
      <c r="F6" s="7" t="s">
        <v>374</v>
      </c>
      <c r="G6" s="7" t="s">
        <v>375</v>
      </c>
      <c r="H6" s="7" t="s">
        <v>376</v>
      </c>
      <c r="I6" s="7" t="s">
        <v>377</v>
      </c>
      <c r="J6" s="7" t="s">
        <v>378</v>
      </c>
      <c r="K6" s="7" t="s">
        <v>379</v>
      </c>
      <c r="L6" s="7" t="s">
        <v>380</v>
      </c>
      <c r="M6" s="7" t="s">
        <v>381</v>
      </c>
      <c r="N6" s="7" t="s">
        <v>382</v>
      </c>
      <c r="O6" s="7" t="s">
        <v>383</v>
      </c>
      <c r="P6" s="7" t="s">
        <v>384</v>
      </c>
      <c r="Q6" s="7" t="s">
        <v>385</v>
      </c>
      <c r="R6" s="7" t="s">
        <v>386</v>
      </c>
      <c r="S6" s="7" t="s">
        <v>387</v>
      </c>
      <c r="T6" s="7" t="s">
        <v>388</v>
      </c>
      <c r="U6" s="7" t="s">
        <v>389</v>
      </c>
      <c r="V6" s="7" t="s">
        <v>390</v>
      </c>
      <c r="W6" s="7" t="s">
        <v>391</v>
      </c>
      <c r="X6" s="7" t="s">
        <v>392</v>
      </c>
      <c r="Y6" s="7" t="s">
        <v>393</v>
      </c>
    </row>
    <row r="7" customFormat="false" ht="15" hidden="false" customHeight="false" outlineLevel="0" collapsed="false">
      <c r="A7" s="20" t="n">
        <v>38017</v>
      </c>
      <c r="B7" s="21" t="n">
        <v>98.33957</v>
      </c>
      <c r="C7" s="22" t="n">
        <v>122.296554315354</v>
      </c>
      <c r="D7" s="22" t="n">
        <v>120.211217139606</v>
      </c>
      <c r="E7" s="22" t="n">
        <v>99.535437698662</v>
      </c>
      <c r="F7" s="22" t="n">
        <v>95.8153495693581</v>
      </c>
      <c r="G7" s="22" t="n">
        <v>97.3081764991744</v>
      </c>
      <c r="H7" s="22" t="n">
        <v>96.5774765744629</v>
      </c>
      <c r="I7" s="22" t="n">
        <v>97.9796255787361</v>
      </c>
      <c r="J7" s="22" t="n">
        <v>95.5796018400575</v>
      </c>
      <c r="K7" s="22" t="n">
        <v>96.3891485047064</v>
      </c>
      <c r="L7" s="22" t="n">
        <v>98.7792963451055</v>
      </c>
      <c r="M7" s="22" t="n">
        <v>96.1826712163384</v>
      </c>
      <c r="N7" s="22" t="n">
        <v>97.5052328096536</v>
      </c>
      <c r="O7" s="22" t="n">
        <v>96.7453395969077</v>
      </c>
      <c r="P7" s="22" t="n">
        <v>97.417585502171</v>
      </c>
      <c r="Q7" s="22" t="n">
        <v>95.3556500767965</v>
      </c>
      <c r="R7" s="22" t="n">
        <f aca="false">C7*'Weights &amp; Assumptions'!$F$6+D7*'Weights &amp; Assumptions'!$F$7</f>
        <v>122.271003647106</v>
      </c>
      <c r="S7" s="22" t="n">
        <f aca="false">E7*'Weights &amp; Assumptions'!$F$8+F7*'Weights &amp; Assumptions'!$F$9+H7*'Weights &amp; Assumptions'!$F$11</f>
        <v>96.4182886250338</v>
      </c>
      <c r="T7" s="22" t="n">
        <f aca="false">G7*'Weights &amp; Assumptions'!$F$10+I7*'Weights &amp; Assumptions'!$F$12+J7*'Weights &amp; Assumptions'!$F$13+K7*'Weights &amp; Assumptions'!$F$14+L7*'Weights &amp; Assumptions'!$F$15+M7*'Weights &amp; Assumptions'!$F$16+N7*'Weights &amp; Assumptions'!$F$17+O7*'Weights &amp; Assumptions'!$F$18+P7*'Weights &amp; Assumptions'!$F$19+Q7*'Weights &amp; Assumptions'!$F$20</f>
        <v>96.9902889398585</v>
      </c>
      <c r="U7" s="22" t="n">
        <f aca="false">R7*'Weights &amp; Assumptions'!$B$25/'Weights &amp; Assumptions'!$B$28+S7*'Weights &amp; Assumptions'!$B$26/'Weights &amp; Assumptions'!$B$28+T7*'Weights &amp; Assumptions'!$B$27/'Weights &amp; Assumptions'!$B$28</f>
        <v>98.9592570668574</v>
      </c>
      <c r="V7" s="23" t="n">
        <f aca="false">IFERROR(Tabelle1!E8*'Weights &amp; Assumptions'!$F$6+Tabelle1!F8*'Weights &amp; Assumptions'!$F$7,"")</f>
        <v>65.7080589136006</v>
      </c>
      <c r="W7" s="23" t="n">
        <f aca="false">IFERROR(Tabelle1!G8*'Weights &amp; Assumptions'!$F$8+Tabelle1!H8*'Weights &amp; Assumptions'!$F$9+Tabelle1!J8*'Weights &amp; Assumptions'!$F$11,"")</f>
        <v>93.4930321195256</v>
      </c>
      <c r="X7" s="23" t="n">
        <f aca="false">IFERROR(Tabelle1!I8*'Weights &amp; Assumptions'!$F$10+Tabelle1!K8*'Weights &amp; Assumptions'!$F$12+Tabelle1!L8*'Weights &amp; Assumptions'!$F$13+Tabelle1!M8*'Weights &amp; Assumptions'!$F$14+Tabelle1!N8*'Weights &amp; Assumptions'!$F$15+Tabelle1!O8*'Weights &amp; Assumptions'!$F$16+Tabelle1!P8*'Weights &amp; Assumptions'!$F$17+Tabelle1!Q8*'Weights &amp; Assumptions'!$F$18+Tabelle1!R8*'Weights &amp; Assumptions'!$F$19+Tabelle1!S8*'Weights &amp; Assumptions'!$F$20,"")</f>
        <v>95.4995194167027</v>
      </c>
      <c r="Y7" s="22" t="n">
        <f aca="false">IFERROR(V7*'Weights &amp; Assumptions'!$B$25/'Weights &amp; Assumptions'!$B$28+W7*'Weights &amp; Assumptions'!$B$26/'Weights &amp; Assumptions'!$B$28+X7*'Weights &amp; Assumptions'!$B$27/'Weights &amp; Assumptions'!$B$28,"")</f>
        <v>92.4664310661179</v>
      </c>
    </row>
    <row r="8" customFormat="false" ht="15" hidden="false" customHeight="false" outlineLevel="0" collapsed="false">
      <c r="A8" s="20" t="n">
        <v>38046</v>
      </c>
      <c r="B8" s="21" t="n">
        <v>98.07072</v>
      </c>
      <c r="C8" s="22" t="n">
        <v>115.812358283746</v>
      </c>
      <c r="D8" s="22" t="n">
        <v>87.4458689789402</v>
      </c>
      <c r="E8" s="22" t="n">
        <v>101.417838118522</v>
      </c>
      <c r="F8" s="22" t="n">
        <v>96.9766220396978</v>
      </c>
      <c r="G8" s="22" t="n">
        <v>98.858383765928</v>
      </c>
      <c r="H8" s="22" t="n">
        <v>96.9928261982043</v>
      </c>
      <c r="I8" s="22" t="n">
        <v>98.2076965044708</v>
      </c>
      <c r="J8" s="22" t="n">
        <v>96.4668810665</v>
      </c>
      <c r="K8" s="22" t="n">
        <v>97.0690195477705</v>
      </c>
      <c r="L8" s="22" t="n">
        <v>97.8055683783961</v>
      </c>
      <c r="M8" s="22" t="n">
        <v>96.906771215812</v>
      </c>
      <c r="N8" s="22" t="n">
        <v>97.9634887281444</v>
      </c>
      <c r="O8" s="22" t="n">
        <v>97.3312797876477</v>
      </c>
      <c r="P8" s="22" t="n">
        <v>97.9166592387989</v>
      </c>
      <c r="Q8" s="22" t="n">
        <v>98.1267773530746</v>
      </c>
      <c r="R8" s="22" t="n">
        <f aca="false">C8*'Weights &amp; Assumptions'!$F$6+D8*'Weights &amp; Assumptions'!$F$7</f>
        <v>115.464796860099</v>
      </c>
      <c r="S8" s="22" t="n">
        <f aca="false">E8*'Weights &amp; Assumptions'!$F$8+F8*'Weights &amp; Assumptions'!$F$9+H8*'Weights &amp; Assumptions'!$F$11</f>
        <v>97.5102687739221</v>
      </c>
      <c r="T8" s="22" t="n">
        <f aca="false">G8*'Weights &amp; Assumptions'!$F$10+I8*'Weights &amp; Assumptions'!$F$12+J8*'Weights &amp; Assumptions'!$F$13+K8*'Weights &amp; Assumptions'!$F$14+L8*'Weights &amp; Assumptions'!$F$15+M8*'Weights &amp; Assumptions'!$F$16+N8*'Weights &amp; Assumptions'!$F$17+O8*'Weights &amp; Assumptions'!$F$18+P8*'Weights &amp; Assumptions'!$F$19+Q8*'Weights &amp; Assumptions'!$F$20</f>
        <v>97.5693131731017</v>
      </c>
      <c r="U8" s="22" t="n">
        <f aca="false">R8*'Weights &amp; Assumptions'!$B$25/'Weights &amp; Assumptions'!$B$28+S8*'Weights &amp; Assumptions'!$B$26/'Weights &amp; Assumptions'!$B$28+T8*'Weights &amp; Assumptions'!$B$27/'Weights &amp; Assumptions'!$B$28</f>
        <v>99.0550582098934</v>
      </c>
      <c r="V8" s="23" t="n">
        <f aca="false">IFERROR(Tabelle1!E9*'Weights &amp; Assumptions'!$F$6+Tabelle1!F9*'Weights &amp; Assumptions'!$F$7,"")</f>
        <v>64.8961422791147</v>
      </c>
      <c r="W8" s="23" t="n">
        <f aca="false">IFERROR(Tabelle1!G9*'Weights &amp; Assumptions'!$F$8+Tabelle1!H9*'Weights &amp; Assumptions'!$F$9+Tabelle1!J9*'Weights &amp; Assumptions'!$F$11,"")</f>
        <v>92.1041510453599</v>
      </c>
      <c r="X8" s="23" t="n">
        <f aca="false">IFERROR(Tabelle1!I9*'Weights &amp; Assumptions'!$F$10+Tabelle1!K9*'Weights &amp; Assumptions'!$F$12+Tabelle1!L9*'Weights &amp; Assumptions'!$F$13+Tabelle1!M9*'Weights &amp; Assumptions'!$F$14+Tabelle1!N9*'Weights &amp; Assumptions'!$F$15+Tabelle1!O9*'Weights &amp; Assumptions'!$F$16+Tabelle1!P9*'Weights &amp; Assumptions'!$F$17+Tabelle1!Q9*'Weights &amp; Assumptions'!$F$18+Tabelle1!R9*'Weights &amp; Assumptions'!$F$19+Tabelle1!S9*'Weights &amp; Assumptions'!$F$20,"")</f>
        <v>94.0233458144707</v>
      </c>
      <c r="Y8" s="22" t="n">
        <f aca="false">IFERROR(V8*'Weights &amp; Assumptions'!$B$25/'Weights &amp; Assumptions'!$B$28+W8*'Weights &amp; Assumptions'!$B$26/'Weights &amp; Assumptions'!$B$28+X8*'Weights &amp; Assumptions'!$B$27/'Weights &amp; Assumptions'!$B$28,"")</f>
        <v>91.0692017843265</v>
      </c>
    </row>
    <row r="9" customFormat="false" ht="15" hidden="false" customHeight="false" outlineLevel="0" collapsed="false">
      <c r="A9" s="20" t="n">
        <v>38077</v>
      </c>
      <c r="B9" s="21" t="n">
        <v>97.66795</v>
      </c>
      <c r="C9" s="22" t="n">
        <v>100.790596886576</v>
      </c>
      <c r="D9" s="22" t="n">
        <v>108.543857468158</v>
      </c>
      <c r="E9" s="22" t="n">
        <v>99.7547173598232</v>
      </c>
      <c r="F9" s="22" t="n">
        <v>97.5572821063227</v>
      </c>
      <c r="G9" s="22" t="n">
        <v>101.626331701188</v>
      </c>
      <c r="H9" s="22" t="n">
        <v>97.7664382777329</v>
      </c>
      <c r="I9" s="22" t="n">
        <v>99.037170917368</v>
      </c>
      <c r="J9" s="22" t="n">
        <v>96.9959711996352</v>
      </c>
      <c r="K9" s="22" t="n">
        <v>97.1252428970981</v>
      </c>
      <c r="L9" s="22" t="n">
        <v>97.7634147998035</v>
      </c>
      <c r="M9" s="22" t="n">
        <v>98.1822169318567</v>
      </c>
      <c r="N9" s="22" t="n">
        <v>98.1262392061534</v>
      </c>
      <c r="O9" s="22" t="n">
        <v>97.4002523039832</v>
      </c>
      <c r="P9" s="22" t="n">
        <v>98.0220845799455</v>
      </c>
      <c r="Q9" s="22" t="n">
        <v>98.5953476420814</v>
      </c>
      <c r="R9" s="22" t="n">
        <f aca="false">C9*'Weights &amp; Assumptions'!$F$6+D9*'Weights &amp; Assumptions'!$F$7</f>
        <v>100.885593988849</v>
      </c>
      <c r="S9" s="22" t="n">
        <f aca="false">E9*'Weights &amp; Assumptions'!$F$8+F9*'Weights &amp; Assumptions'!$F$9+H9*'Weights &amp; Assumptions'!$F$11</f>
        <v>97.8632230118885</v>
      </c>
      <c r="T9" s="22" t="n">
        <f aca="false">G9*'Weights &amp; Assumptions'!$F$10+I9*'Weights &amp; Assumptions'!$F$12+J9*'Weights &amp; Assumptions'!$F$13+K9*'Weights &amp; Assumptions'!$F$14+L9*'Weights &amp; Assumptions'!$F$15+M9*'Weights &amp; Assumptions'!$F$16+N9*'Weights &amp; Assumptions'!$F$17+O9*'Weights &amp; Assumptions'!$F$18+P9*'Weights &amp; Assumptions'!$F$19+Q9*'Weights &amp; Assumptions'!$F$20</f>
        <v>98.1603673343293</v>
      </c>
      <c r="U9" s="22" t="n">
        <f aca="false">R9*'Weights &amp; Assumptions'!$B$25/'Weights &amp; Assumptions'!$B$28+S9*'Weights &amp; Assumptions'!$B$26/'Weights &amp; Assumptions'!$B$28+T9*'Weights &amp; Assumptions'!$B$27/'Weights &amp; Assumptions'!$B$28</f>
        <v>98.3100002526695</v>
      </c>
      <c r="V9" s="23" t="n">
        <f aca="false">IFERROR(Tabelle1!E10*'Weights &amp; Assumptions'!$F$6+Tabelle1!F10*'Weights &amp; Assumptions'!$F$7,"")</f>
        <v>111.44359241344</v>
      </c>
      <c r="W9" s="23" t="n">
        <f aca="false">IFERROR(Tabelle1!G10*'Weights &amp; Assumptions'!$F$8+Tabelle1!H10*'Weights &amp; Assumptions'!$F$9+Tabelle1!J10*'Weights &amp; Assumptions'!$F$11,"")</f>
        <v>101.639845463414</v>
      </c>
      <c r="X9" s="23" t="n">
        <f aca="false">IFERROR(Tabelle1!I10*'Weights &amp; Assumptions'!$F$10+Tabelle1!K10*'Weights &amp; Assumptions'!$F$12+Tabelle1!L10*'Weights &amp; Assumptions'!$F$13+Tabelle1!M10*'Weights &amp; Assumptions'!$F$14+Tabelle1!N10*'Weights &amp; Assumptions'!$F$15+Tabelle1!O10*'Weights &amp; Assumptions'!$F$16+Tabelle1!P10*'Weights &amp; Assumptions'!$F$17+Tabelle1!Q10*'Weights &amp; Assumptions'!$F$18+Tabelle1!R10*'Weights &amp; Assumptions'!$F$19+Tabelle1!S10*'Weights &amp; Assumptions'!$F$20,"")</f>
        <v>100.569163242564</v>
      </c>
      <c r="Y9" s="22" t="n">
        <f aca="false">IFERROR(V9*'Weights &amp; Assumptions'!$B$25/'Weights &amp; Assumptions'!$B$28+W9*'Weights &amp; Assumptions'!$B$26/'Weights &amp; Assumptions'!$B$28+X9*'Weights &amp; Assumptions'!$B$27/'Weights &amp; Assumptions'!$B$28,"")</f>
        <v>101.76625000506</v>
      </c>
    </row>
    <row r="10" customFormat="false" ht="15" hidden="false" customHeight="false" outlineLevel="0" collapsed="false">
      <c r="A10" s="20" t="n">
        <v>38107</v>
      </c>
      <c r="B10" s="21" t="n">
        <v>95.23678</v>
      </c>
      <c r="C10" s="22" t="n">
        <v>90.2445581616807</v>
      </c>
      <c r="D10" s="22" t="n">
        <v>103.804446559932</v>
      </c>
      <c r="E10" s="22" t="n">
        <v>99.1311703775188</v>
      </c>
      <c r="F10" s="22" t="n">
        <v>97.1773438746813</v>
      </c>
      <c r="G10" s="22" t="n">
        <v>100.56150294193</v>
      </c>
      <c r="H10" s="22" t="n">
        <v>98.0340275524582</v>
      </c>
      <c r="I10" s="22" t="n">
        <v>98.0506470144685</v>
      </c>
      <c r="J10" s="22" t="n">
        <v>97.4883495654582</v>
      </c>
      <c r="K10" s="22" t="n">
        <v>97.5414600385918</v>
      </c>
      <c r="L10" s="22" t="n">
        <v>97.1460047407174</v>
      </c>
      <c r="M10" s="22" t="n">
        <v>97.8612356771575</v>
      </c>
      <c r="N10" s="22" t="n">
        <v>98.9659003403491</v>
      </c>
      <c r="O10" s="22" t="n">
        <v>98.612919961808</v>
      </c>
      <c r="P10" s="22" t="n">
        <v>100.316253925815</v>
      </c>
      <c r="Q10" s="22" t="n">
        <v>98.6983104424453</v>
      </c>
      <c r="R10" s="22" t="n">
        <f aca="false">C10*'Weights &amp; Assumptions'!$F$6+D10*'Weights &amp; Assumptions'!$F$7</f>
        <v>90.4107011787294</v>
      </c>
      <c r="S10" s="22" t="n">
        <f aca="false">E10*'Weights &amp; Assumptions'!$F$8+F10*'Weights &amp; Assumptions'!$F$9+H10*'Weights &amp; Assumptions'!$F$11</f>
        <v>97.5890937267519</v>
      </c>
      <c r="T10" s="22" t="n">
        <f aca="false">G10*'Weights &amp; Assumptions'!$F$10+I10*'Weights &amp; Assumptions'!$F$12+J10*'Weights &amp; Assumptions'!$F$13+K10*'Weights &amp; Assumptions'!$F$14+L10*'Weights &amp; Assumptions'!$F$15+M10*'Weights &amp; Assumptions'!$F$16+N10*'Weights &amp; Assumptions'!$F$17+O10*'Weights &amp; Assumptions'!$F$18+P10*'Weights &amp; Assumptions'!$F$19+Q10*'Weights &amp; Assumptions'!$F$20</f>
        <v>98.241863657927</v>
      </c>
      <c r="U10" s="22" t="n">
        <f aca="false">R10*'Weights &amp; Assumptions'!$B$25/'Weights &amp; Assumptions'!$B$28+S10*'Weights &amp; Assumptions'!$B$26/'Weights &amp; Assumptions'!$B$28+T10*'Weights &amp; Assumptions'!$B$27/'Weights &amp; Assumptions'!$B$28</f>
        <v>97.4112396814495</v>
      </c>
      <c r="V10" s="23" t="n">
        <f aca="false">IFERROR(Tabelle1!E11*'Weights &amp; Assumptions'!$F$6+Tabelle1!F11*'Weights &amp; Assumptions'!$F$7,"")</f>
        <v>150.11262323548</v>
      </c>
      <c r="W10" s="23" t="n">
        <f aca="false">IFERROR(Tabelle1!G11*'Weights &amp; Assumptions'!$F$8+Tabelle1!H11*'Weights &amp; Assumptions'!$F$9+Tabelle1!J11*'Weights &amp; Assumptions'!$F$11,"")</f>
        <v>97.6833996120609</v>
      </c>
      <c r="X10" s="23" t="n">
        <f aca="false">IFERROR(Tabelle1!I11*'Weights &amp; Assumptions'!$F$10+Tabelle1!K11*'Weights &amp; Assumptions'!$F$12+Tabelle1!L11*'Weights &amp; Assumptions'!$F$13+Tabelle1!M11*'Weights &amp; Assumptions'!$F$14+Tabelle1!N11*'Weights &amp; Assumptions'!$F$15+Tabelle1!O11*'Weights &amp; Assumptions'!$F$16+Tabelle1!P11*'Weights &amp; Assumptions'!$F$17+Tabelle1!Q11*'Weights &amp; Assumptions'!$F$18+Tabelle1!R11*'Weights &amp; Assumptions'!$F$19+Tabelle1!S11*'Weights &amp; Assumptions'!$F$20,"")</f>
        <v>98.3275650650971</v>
      </c>
      <c r="Y10" s="22" t="n">
        <f aca="false">IFERROR(V10*'Weights &amp; Assumptions'!$B$25/'Weights &amp; Assumptions'!$B$28+W10*'Weights &amp; Assumptions'!$B$26/'Weights &amp; Assumptions'!$B$28+X10*'Weights &amp; Assumptions'!$B$27/'Weights &amp; Assumptions'!$B$28,"")</f>
        <v>102.501079694681</v>
      </c>
    </row>
    <row r="11" customFormat="false" ht="15" hidden="false" customHeight="false" outlineLevel="0" collapsed="false">
      <c r="A11" s="20" t="n">
        <v>38138</v>
      </c>
      <c r="B11" s="21" t="n">
        <v>96.95127</v>
      </c>
      <c r="C11" s="22" t="n">
        <v>85.1402390992155</v>
      </c>
      <c r="D11" s="22" t="n">
        <v>78.7513439100356</v>
      </c>
      <c r="E11" s="22" t="n">
        <v>100.260062996167</v>
      </c>
      <c r="F11" s="22" t="n">
        <v>98.2332768119827</v>
      </c>
      <c r="G11" s="22" t="n">
        <v>100.177023195101</v>
      </c>
      <c r="H11" s="22" t="n">
        <v>98.6273223724797</v>
      </c>
      <c r="I11" s="22" t="n">
        <v>97.8427379152801</v>
      </c>
      <c r="J11" s="22" t="n">
        <v>98.9528393277419</v>
      </c>
      <c r="K11" s="22" t="n">
        <v>97.6394714643841</v>
      </c>
      <c r="L11" s="22" t="n">
        <v>97.3360681291482</v>
      </c>
      <c r="M11" s="22" t="n">
        <v>98.4054659205476</v>
      </c>
      <c r="N11" s="22" t="n">
        <v>99.2224601634883</v>
      </c>
      <c r="O11" s="22" t="n">
        <v>99.0228861479097</v>
      </c>
      <c r="P11" s="22" t="n">
        <v>99.5871947950386</v>
      </c>
      <c r="Q11" s="22" t="n">
        <v>99.0468113416145</v>
      </c>
      <c r="R11" s="22" t="n">
        <f aca="false">C11*'Weights &amp; Assumptions'!$F$6+D11*'Weights &amp; Assumptions'!$F$7</f>
        <v>85.0619589326564</v>
      </c>
      <c r="S11" s="22" t="n">
        <f aca="false">E11*'Weights &amp; Assumptions'!$F$8+F11*'Weights &amp; Assumptions'!$F$9+H11*'Weights &amp; Assumptions'!$F$11</f>
        <v>98.5573594361852</v>
      </c>
      <c r="T11" s="22" t="n">
        <f aca="false">G11*'Weights &amp; Assumptions'!$F$10+I11*'Weights &amp; Assumptions'!$F$12+J11*'Weights &amp; Assumptions'!$F$13+K11*'Weights &amp; Assumptions'!$F$14+L11*'Weights &amp; Assumptions'!$F$15+M11*'Weights &amp; Assumptions'!$F$16+N11*'Weights &amp; Assumptions'!$F$17+O11*'Weights &amp; Assumptions'!$F$18+P11*'Weights &amp; Assumptions'!$F$19+Q11*'Weights &amp; Assumptions'!$F$20</f>
        <v>98.4173819514406</v>
      </c>
      <c r="U11" s="22" t="n">
        <f aca="false">R11*'Weights &amp; Assumptions'!$B$25/'Weights &amp; Assumptions'!$B$28+S11*'Weights &amp; Assumptions'!$B$26/'Weights &amp; Assumptions'!$B$28+T11*'Weights &amp; Assumptions'!$B$27/'Weights &amp; Assumptions'!$B$28</f>
        <v>97.3340733041472</v>
      </c>
      <c r="V11" s="23" t="n">
        <f aca="false">IFERROR(Tabelle1!E12*'Weights &amp; Assumptions'!$F$6+Tabelle1!F12*'Weights &amp; Assumptions'!$F$7,"")</f>
        <v>208.444262026913</v>
      </c>
      <c r="W11" s="23" t="n">
        <f aca="false">IFERROR(Tabelle1!G12*'Weights &amp; Assumptions'!$F$8+Tabelle1!H12*'Weights &amp; Assumptions'!$F$9+Tabelle1!J12*'Weights &amp; Assumptions'!$F$11,"")</f>
        <v>100.30922394396</v>
      </c>
      <c r="X11" s="23" t="n">
        <f aca="false">IFERROR(Tabelle1!I12*'Weights &amp; Assumptions'!$F$10+Tabelle1!K12*'Weights &amp; Assumptions'!$F$12+Tabelle1!L12*'Weights &amp; Assumptions'!$F$13+Tabelle1!M12*'Weights &amp; Assumptions'!$F$14+Tabelle1!N12*'Weights &amp; Assumptions'!$F$15+Tabelle1!O12*'Weights &amp; Assumptions'!$F$16+Tabelle1!P12*'Weights &amp; Assumptions'!$F$17+Tabelle1!Q12*'Weights &amp; Assumptions'!$F$18+Tabelle1!R12*'Weights &amp; Assumptions'!$F$19+Tabelle1!S12*'Weights &amp; Assumptions'!$F$20,"")</f>
        <v>100.25382704474</v>
      </c>
      <c r="Y11" s="22" t="n">
        <f aca="false">IFERROR(V11*'Weights &amp; Assumptions'!$B$25/'Weights &amp; Assumptions'!$B$28+W11*'Weights &amp; Assumptions'!$B$26/'Weights &amp; Assumptions'!$B$28+X11*'Weights &amp; Assumptions'!$B$27/'Weights &amp; Assumptions'!$B$28,"")</f>
        <v>109.345825578829</v>
      </c>
    </row>
    <row r="12" customFormat="false" ht="15" hidden="false" customHeight="false" outlineLevel="0" collapsed="false">
      <c r="A12" s="20" t="n">
        <v>38168</v>
      </c>
      <c r="B12" s="21" t="n">
        <v>98.68356</v>
      </c>
      <c r="C12" s="22" t="n">
        <v>84.7943340736119</v>
      </c>
      <c r="D12" s="22" t="n">
        <v>103.315338242316</v>
      </c>
      <c r="E12" s="22" t="n">
        <v>100.258244326839</v>
      </c>
      <c r="F12" s="22" t="n">
        <v>99.7654873330769</v>
      </c>
      <c r="G12" s="22" t="n">
        <v>100.1993246146</v>
      </c>
      <c r="H12" s="22" t="n">
        <v>99.7593494624124</v>
      </c>
      <c r="I12" s="22" t="n">
        <v>100.955794108397</v>
      </c>
      <c r="J12" s="22" t="n">
        <v>99.7563640793279</v>
      </c>
      <c r="K12" s="22" t="n">
        <v>99.0149559931088</v>
      </c>
      <c r="L12" s="22" t="n">
        <v>97.8516855645459</v>
      </c>
      <c r="M12" s="22" t="n">
        <v>99.3680399456292</v>
      </c>
      <c r="N12" s="22" t="n">
        <v>99.6108395249484</v>
      </c>
      <c r="O12" s="22" t="n">
        <v>99.690347828753</v>
      </c>
      <c r="P12" s="22" t="n">
        <v>97.1364635926874</v>
      </c>
      <c r="Q12" s="22" t="n">
        <v>99.7226919319584</v>
      </c>
      <c r="R12" s="22" t="n">
        <f aca="false">C12*'Weights &amp; Assumptions'!$F$6+D12*'Weights &amp; Assumptions'!$F$7</f>
        <v>85.021263338882</v>
      </c>
      <c r="S12" s="22" t="n">
        <f aca="false">E12*'Weights &amp; Assumptions'!$F$8+F12*'Weights &amp; Assumptions'!$F$9+H12*'Weights &amp; Assumptions'!$F$11</f>
        <v>99.8230427258324</v>
      </c>
      <c r="T12" s="22" t="n">
        <f aca="false">G12*'Weights &amp; Assumptions'!$F$10+I12*'Weights &amp; Assumptions'!$F$12+J12*'Weights &amp; Assumptions'!$F$13+K12*'Weights &amp; Assumptions'!$F$14+L12*'Weights &amp; Assumptions'!$F$15+M12*'Weights &amp; Assumptions'!$F$16+N12*'Weights &amp; Assumptions'!$F$17+O12*'Weights &amp; Assumptions'!$F$18+P12*'Weights &amp; Assumptions'!$F$19+Q12*'Weights &amp; Assumptions'!$F$20</f>
        <v>99.4693792133017</v>
      </c>
      <c r="U12" s="22" t="n">
        <f aca="false">R12*'Weights &amp; Assumptions'!$B$25/'Weights &amp; Assumptions'!$B$28+S12*'Weights &amp; Assumptions'!$B$26/'Weights &amp; Assumptions'!$B$28+T12*'Weights &amp; Assumptions'!$B$27/'Weights &amp; Assumptions'!$B$28</f>
        <v>98.3512155735745</v>
      </c>
      <c r="V12" s="23" t="n">
        <f aca="false">IFERROR(Tabelle1!E13*'Weights &amp; Assumptions'!$F$6+Tabelle1!F13*'Weights &amp; Assumptions'!$F$7,"")</f>
        <v>144.836513372189</v>
      </c>
      <c r="W12" s="23" t="n">
        <f aca="false">IFERROR(Tabelle1!G13*'Weights &amp; Assumptions'!$F$8+Tabelle1!H13*'Weights &amp; Assumptions'!$F$9+Tabelle1!J13*'Weights &amp; Assumptions'!$F$11,"")</f>
        <v>100.353633910416</v>
      </c>
      <c r="X12" s="23" t="n">
        <f aca="false">IFERROR(Tabelle1!I13*'Weights &amp; Assumptions'!$F$10+Tabelle1!K13*'Weights &amp; Assumptions'!$F$12+Tabelle1!L13*'Weights &amp; Assumptions'!$F$13+Tabelle1!M13*'Weights &amp; Assumptions'!$F$14+Tabelle1!N13*'Weights &amp; Assumptions'!$F$15+Tabelle1!O13*'Weights &amp; Assumptions'!$F$16+Tabelle1!P13*'Weights &amp; Assumptions'!$F$17+Tabelle1!Q13*'Weights &amp; Assumptions'!$F$18+Tabelle1!R13*'Weights &amp; Assumptions'!$F$19+Tabelle1!S13*'Weights &amp; Assumptions'!$F$20,"")</f>
        <v>101.388118501084</v>
      </c>
      <c r="Y12" s="22" t="n">
        <f aca="false">IFERROR(V12*'Weights &amp; Assumptions'!$B$25/'Weights &amp; Assumptions'!$B$28+W12*'Weights &amp; Assumptions'!$B$26/'Weights &amp; Assumptions'!$B$28+X12*'Weights &amp; Assumptions'!$B$27/'Weights &amp; Assumptions'!$B$28,"")</f>
        <v>104.758387465245</v>
      </c>
    </row>
    <row r="13" customFormat="false" ht="15" hidden="false" customHeight="false" outlineLevel="0" collapsed="false">
      <c r="A13" s="20" t="n">
        <v>38199</v>
      </c>
      <c r="B13" s="21" t="n">
        <v>100.8411</v>
      </c>
      <c r="C13" s="22" t="n">
        <v>95.745901271169</v>
      </c>
      <c r="D13" s="22" t="n">
        <v>85.7239788496363</v>
      </c>
      <c r="E13" s="22" t="n">
        <v>98.4684508118257</v>
      </c>
      <c r="F13" s="22" t="n">
        <v>100.612513363116</v>
      </c>
      <c r="G13" s="22" t="n">
        <v>100.060657664918</v>
      </c>
      <c r="H13" s="22" t="n">
        <v>101.219637825189</v>
      </c>
      <c r="I13" s="22" t="n">
        <v>101.014513575479</v>
      </c>
      <c r="J13" s="22" t="n">
        <v>99.6631734038211</v>
      </c>
      <c r="K13" s="22" t="n">
        <v>100.126064384361</v>
      </c>
      <c r="L13" s="22" t="n">
        <v>99.4279882831054</v>
      </c>
      <c r="M13" s="22" t="n">
        <v>100.760383328955</v>
      </c>
      <c r="N13" s="22" t="n">
        <v>100.352596951995</v>
      </c>
      <c r="O13" s="22" t="n">
        <v>100.246662242637</v>
      </c>
      <c r="P13" s="22" t="n">
        <v>100.74605243382</v>
      </c>
      <c r="Q13" s="22" t="n">
        <v>99.7096563392398</v>
      </c>
      <c r="R13" s="22" t="n">
        <f aca="false">C13*'Weights &amp; Assumptions'!$F$6+D13*'Weights &amp; Assumptions'!$F$7</f>
        <v>95.6231073086497</v>
      </c>
      <c r="S13" s="22" t="n">
        <f aca="false">E13*'Weights &amp; Assumptions'!$F$8+F13*'Weights &amp; Assumptions'!$F$9+H13*'Weights &amp; Assumptions'!$F$11</f>
        <v>100.482995571248</v>
      </c>
      <c r="T13" s="22" t="n">
        <f aca="false">G13*'Weights &amp; Assumptions'!$F$10+I13*'Weights &amp; Assumptions'!$F$12+J13*'Weights &amp; Assumptions'!$F$13+K13*'Weights &amp; Assumptions'!$F$14+L13*'Weights &amp; Assumptions'!$F$15+M13*'Weights &amp; Assumptions'!$F$16+N13*'Weights &amp; Assumptions'!$F$17+O13*'Weights &amp; Assumptions'!$F$18+P13*'Weights &amp; Assumptions'!$F$19+Q13*'Weights &amp; Assumptions'!$F$20</f>
        <v>100.41219682459</v>
      </c>
      <c r="U13" s="22" t="n">
        <f aca="false">R13*'Weights &amp; Assumptions'!$B$25/'Weights &amp; Assumptions'!$B$28+S13*'Weights &amp; Assumptions'!$B$26/'Weights &amp; Assumptions'!$B$28+T13*'Weights &amp; Assumptions'!$B$27/'Weights &amp; Assumptions'!$B$28</f>
        <v>100.029214852191</v>
      </c>
      <c r="V13" s="23" t="n">
        <f aca="false">IFERROR(Tabelle1!E14*'Weights &amp; Assumptions'!$F$6+Tabelle1!F14*'Weights &amp; Assumptions'!$F$7,"")</f>
        <v>94.6485415084445</v>
      </c>
      <c r="W13" s="23" t="n">
        <f aca="false">IFERROR(Tabelle1!G14*'Weights &amp; Assumptions'!$F$8+Tabelle1!H14*'Weights &amp; Assumptions'!$F$9+Tabelle1!J14*'Weights &amp; Assumptions'!$F$11,"")</f>
        <v>101.554251098572</v>
      </c>
      <c r="X13" s="23" t="n">
        <f aca="false">IFERROR(Tabelle1!I14*'Weights &amp; Assumptions'!$F$10+Tabelle1!K14*'Weights &amp; Assumptions'!$F$12+Tabelle1!L14*'Weights &amp; Assumptions'!$F$13+Tabelle1!M14*'Weights &amp; Assumptions'!$F$14+Tabelle1!N14*'Weights &amp; Assumptions'!$F$15+Tabelle1!O14*'Weights &amp; Assumptions'!$F$16+Tabelle1!P14*'Weights &amp; Assumptions'!$F$17+Tabelle1!Q14*'Weights &amp; Assumptions'!$F$18+Tabelle1!R14*'Weights &amp; Assumptions'!$F$19+Tabelle1!S14*'Weights &amp; Assumptions'!$F$20,"")</f>
        <v>101.018553535143</v>
      </c>
      <c r="Y13" s="22" t="n">
        <f aca="false">IFERROR(V13*'Weights &amp; Assumptions'!$B$25/'Weights &amp; Assumptions'!$B$28+W13*'Weights &amp; Assumptions'!$B$26/'Weights &amp; Assumptions'!$B$28+X13*'Weights &amp; Assumptions'!$B$27/'Weights &amp; Assumptions'!$B$28,"")</f>
        <v>100.626555564759</v>
      </c>
    </row>
    <row r="14" customFormat="false" ht="15" hidden="false" customHeight="false" outlineLevel="0" collapsed="false">
      <c r="A14" s="20" t="n">
        <v>38230</v>
      </c>
      <c r="B14" s="21" t="n">
        <v>102.17769</v>
      </c>
      <c r="C14" s="22" t="n">
        <v>96.5688037051651</v>
      </c>
      <c r="D14" s="22" t="n">
        <v>93.8279705760563</v>
      </c>
      <c r="E14" s="22" t="n">
        <v>99.7616134795039</v>
      </c>
      <c r="F14" s="22" t="n">
        <v>100.119160887079</v>
      </c>
      <c r="G14" s="22" t="n">
        <v>99.9626592420791</v>
      </c>
      <c r="H14" s="22" t="n">
        <v>101.922532618858</v>
      </c>
      <c r="I14" s="22" t="n">
        <v>100.192526795606</v>
      </c>
      <c r="J14" s="22" t="n">
        <v>99.6387066988898</v>
      </c>
      <c r="K14" s="22" t="n">
        <v>100.97793338139</v>
      </c>
      <c r="L14" s="22" t="n">
        <v>101.39771968946</v>
      </c>
      <c r="M14" s="22" t="n">
        <v>100.592225549605</v>
      </c>
      <c r="N14" s="22" t="n">
        <v>100.742372371113</v>
      </c>
      <c r="O14" s="22" t="n">
        <v>100.919542753743</v>
      </c>
      <c r="P14" s="22" t="n">
        <v>101.616062961233</v>
      </c>
      <c r="Q14" s="22" t="n">
        <v>100.789690022802</v>
      </c>
      <c r="R14" s="22" t="n">
        <f aca="false">C14*'Weights &amp; Assumptions'!$F$6+D14*'Weights &amp; Assumptions'!$F$7</f>
        <v>96.5352215493299</v>
      </c>
      <c r="S14" s="22" t="n">
        <f aca="false">E14*'Weights &amp; Assumptions'!$F$8+F14*'Weights &amp; Assumptions'!$F$9+H14*'Weights &amp; Assumptions'!$F$11</f>
        <v>100.452155470503</v>
      </c>
      <c r="T14" s="22" t="n">
        <f aca="false">G14*'Weights &amp; Assumptions'!$F$10+I14*'Weights &amp; Assumptions'!$F$12+J14*'Weights &amp; Assumptions'!$F$13+K14*'Weights &amp; Assumptions'!$F$14+L14*'Weights &amp; Assumptions'!$F$15+M14*'Weights &amp; Assumptions'!$F$16+N14*'Weights &amp; Assumptions'!$F$17+O14*'Weights &amp; Assumptions'!$F$18+P14*'Weights &amp; Assumptions'!$F$19+Q14*'Weights &amp; Assumptions'!$F$20</f>
        <v>100.689701105785</v>
      </c>
      <c r="U14" s="22" t="n">
        <f aca="false">R14*'Weights &amp; Assumptions'!$B$25/'Weights &amp; Assumptions'!$B$28+S14*'Weights &amp; Assumptions'!$B$26/'Weights &amp; Assumptions'!$B$28+T14*'Weights &amp; Assumptions'!$B$27/'Weights &amp; Assumptions'!$B$28</f>
        <v>100.27796927974</v>
      </c>
      <c r="V14" s="23" t="n">
        <f aca="false">IFERROR(Tabelle1!E15*'Weights &amp; Assumptions'!$F$6+Tabelle1!F15*'Weights &amp; Assumptions'!$F$7,"")</f>
        <v>65.2831093946437</v>
      </c>
      <c r="W14" s="23" t="n">
        <f aca="false">IFERROR(Tabelle1!G15*'Weights &amp; Assumptions'!$F$8+Tabelle1!H15*'Weights &amp; Assumptions'!$F$9+Tabelle1!J15*'Weights &amp; Assumptions'!$F$11,"")</f>
        <v>101.374567621635</v>
      </c>
      <c r="X14" s="23" t="n">
        <f aca="false">IFERROR(Tabelle1!I15*'Weights &amp; Assumptions'!$F$10+Tabelle1!K15*'Weights &amp; Assumptions'!$F$12+Tabelle1!L15*'Weights &amp; Assumptions'!$F$13+Tabelle1!M15*'Weights &amp; Assumptions'!$F$14+Tabelle1!N15*'Weights &amp; Assumptions'!$F$15+Tabelle1!O15*'Weights &amp; Assumptions'!$F$16+Tabelle1!P15*'Weights &amp; Assumptions'!$F$17+Tabelle1!Q15*'Weights &amp; Assumptions'!$F$18+Tabelle1!R15*'Weights &amp; Assumptions'!$F$19+Tabelle1!S15*'Weights &amp; Assumptions'!$F$20,"")</f>
        <v>100.753274860509</v>
      </c>
      <c r="Y14" s="22" t="n">
        <f aca="false">IFERROR(V14*'Weights &amp; Assumptions'!$B$25/'Weights &amp; Assumptions'!$B$28+W14*'Weights &amp; Assumptions'!$B$26/'Weights &amp; Assumptions'!$B$28+X14*'Weights &amp; Assumptions'!$B$27/'Weights &amp; Assumptions'!$B$28,"")</f>
        <v>97.9425110577379</v>
      </c>
    </row>
    <row r="15" customFormat="false" ht="15" hidden="false" customHeight="false" outlineLevel="0" collapsed="false">
      <c r="A15" s="20" t="n">
        <v>38260</v>
      </c>
      <c r="B15" s="21" t="n">
        <v>102.35036</v>
      </c>
      <c r="C15" s="22" t="n">
        <v>96.4511057712893</v>
      </c>
      <c r="D15" s="22" t="n">
        <v>95.2137539633506</v>
      </c>
      <c r="E15" s="22" t="n">
        <v>100.625677060575</v>
      </c>
      <c r="F15" s="22" t="n">
        <v>101.829065265672</v>
      </c>
      <c r="G15" s="22" t="n">
        <v>100.384280476144</v>
      </c>
      <c r="H15" s="22" t="n">
        <v>103.335321069164</v>
      </c>
      <c r="I15" s="22" t="n">
        <v>101.439596983726</v>
      </c>
      <c r="J15" s="22" t="n">
        <v>100.541203908702</v>
      </c>
      <c r="K15" s="22" t="n">
        <v>102.118456867704</v>
      </c>
      <c r="L15" s="22" t="n">
        <v>102.07089802259</v>
      </c>
      <c r="M15" s="22" t="n">
        <v>101.197666348706</v>
      </c>
      <c r="N15" s="22" t="n">
        <v>101.14971484259</v>
      </c>
      <c r="O15" s="22" t="n">
        <v>101.142451478692</v>
      </c>
      <c r="P15" s="22" t="n">
        <v>103.765115862697</v>
      </c>
      <c r="Q15" s="22" t="n">
        <v>102.204011290403</v>
      </c>
      <c r="R15" s="22" t="n">
        <f aca="false">C15*'Weights &amp; Assumptions'!$F$6+D15*'Weights &amp; Assumptions'!$F$7</f>
        <v>96.4359450740561</v>
      </c>
      <c r="S15" s="22" t="n">
        <f aca="false">E15*'Weights &amp; Assumptions'!$F$8+F15*'Weights &amp; Assumptions'!$F$9+H15*'Weights &amp; Assumptions'!$F$11</f>
        <v>101.999172130323</v>
      </c>
      <c r="T15" s="22" t="n">
        <f aca="false">G15*'Weights &amp; Assumptions'!$F$10+I15*'Weights &amp; Assumptions'!$F$12+J15*'Weights &amp; Assumptions'!$F$13+K15*'Weights &amp; Assumptions'!$F$14+L15*'Weights &amp; Assumptions'!$F$15+M15*'Weights &amp; Assumptions'!$F$16+N15*'Weights &amp; Assumptions'!$F$17+O15*'Weights &amp; Assumptions'!$F$18+P15*'Weights &amp; Assumptions'!$F$19+Q15*'Weights &amp; Assumptions'!$F$20</f>
        <v>101.627320610243</v>
      </c>
      <c r="U15" s="22" t="n">
        <f aca="false">R15*'Weights &amp; Assumptions'!$B$25/'Weights &amp; Assumptions'!$B$28+S15*'Weights &amp; Assumptions'!$B$26/'Weights &amp; Assumptions'!$B$28+T15*'Weights &amp; Assumptions'!$B$27/'Weights &amp; Assumptions'!$B$28</f>
        <v>101.290641697256</v>
      </c>
      <c r="V15" s="23" t="n">
        <f aca="false">IFERROR(Tabelle1!E16*'Weights &amp; Assumptions'!$F$6+Tabelle1!F16*'Weights &amp; Assumptions'!$F$7,"")</f>
        <v>60.8406702153729</v>
      </c>
      <c r="W15" s="23" t="n">
        <f aca="false">IFERROR(Tabelle1!G16*'Weights &amp; Assumptions'!$F$8+Tabelle1!H16*'Weights &amp; Assumptions'!$F$9+Tabelle1!J16*'Weights &amp; Assumptions'!$F$11,"")</f>
        <v>103.212352355726</v>
      </c>
      <c r="X15" s="23" t="n">
        <f aca="false">IFERROR(Tabelle1!I16*'Weights &amp; Assumptions'!$F$10+Tabelle1!K16*'Weights &amp; Assumptions'!$F$12+Tabelle1!L16*'Weights &amp; Assumptions'!$F$13+Tabelle1!M16*'Weights &amp; Assumptions'!$F$14+Tabelle1!N16*'Weights &amp; Assumptions'!$F$15+Tabelle1!O16*'Weights &amp; Assumptions'!$F$16+Tabelle1!P16*'Weights &amp; Assumptions'!$F$17+Tabelle1!Q16*'Weights &amp; Assumptions'!$F$18+Tabelle1!R16*'Weights &amp; Assumptions'!$F$19+Tabelle1!S16*'Weights &amp; Assumptions'!$F$20,"")</f>
        <v>101.056217976324</v>
      </c>
      <c r="Y15" s="22" t="n">
        <f aca="false">IFERROR(V15*'Weights &amp; Assumptions'!$B$25/'Weights &amp; Assumptions'!$B$28+W15*'Weights &amp; Assumptions'!$B$26/'Weights &amp; Assumptions'!$B$28+X15*'Weights &amp; Assumptions'!$B$27/'Weights &amp; Assumptions'!$B$28,"")</f>
        <v>98.2554538470623</v>
      </c>
    </row>
    <row r="16" customFormat="false" ht="15" hidden="false" customHeight="false" outlineLevel="0" collapsed="false">
      <c r="A16" s="20" t="n">
        <v>38291</v>
      </c>
      <c r="B16" s="21" t="n">
        <v>103.12368</v>
      </c>
      <c r="C16" s="22" t="n">
        <v>98.3469109389457</v>
      </c>
      <c r="D16" s="22" t="n">
        <v>101.373448704292</v>
      </c>
      <c r="E16" s="22" t="n">
        <v>100.181090512506</v>
      </c>
      <c r="F16" s="22" t="n">
        <v>101.842065700964</v>
      </c>
      <c r="G16" s="22" t="n">
        <v>101.936679073334</v>
      </c>
      <c r="H16" s="22" t="n">
        <v>101.807577654183</v>
      </c>
      <c r="I16" s="22" t="n">
        <v>102.800946299513</v>
      </c>
      <c r="J16" s="22" t="n">
        <v>102.668989605862</v>
      </c>
      <c r="K16" s="22" t="n">
        <v>103.67006472661</v>
      </c>
      <c r="L16" s="22" t="n">
        <v>102.948498085886</v>
      </c>
      <c r="M16" s="22" t="n">
        <v>101.112106427811</v>
      </c>
      <c r="N16" s="22" t="n">
        <v>101.473786218646</v>
      </c>
      <c r="O16" s="22" t="n">
        <v>101.668340803754</v>
      </c>
      <c r="P16" s="22" t="n">
        <v>102.870055993557</v>
      </c>
      <c r="Q16" s="22" t="n">
        <v>102.92480447441</v>
      </c>
      <c r="R16" s="22" t="n">
        <f aca="false">C16*'Weights &amp; Assumptions'!$F$6+D16*'Weights &amp; Assumptions'!$F$7</f>
        <v>98.3839937010436</v>
      </c>
      <c r="S16" s="22" t="n">
        <f aca="false">E16*'Weights &amp; Assumptions'!$F$8+F16*'Weights &amp; Assumptions'!$F$9+H16*'Weights &amp; Assumptions'!$F$11</f>
        <v>101.636564393941</v>
      </c>
      <c r="T16" s="22" t="n">
        <f aca="false">G16*'Weights &amp; Assumptions'!$F$10+I16*'Weights &amp; Assumptions'!$F$12+J16*'Weights &amp; Assumptions'!$F$13+K16*'Weights &amp; Assumptions'!$F$14+L16*'Weights &amp; Assumptions'!$F$15+M16*'Weights &amp; Assumptions'!$F$16+N16*'Weights &amp; Assumptions'!$F$17+O16*'Weights &amp; Assumptions'!$F$18+P16*'Weights &amp; Assumptions'!$F$19+Q16*'Weights &amp; Assumptions'!$F$20</f>
        <v>102.366769163811</v>
      </c>
      <c r="U16" s="22" t="n">
        <f aca="false">R16*'Weights &amp; Assumptions'!$B$25/'Weights &amp; Assumptions'!$B$28+S16*'Weights &amp; Assumptions'!$B$26/'Weights &amp; Assumptions'!$B$28+T16*'Weights &amp; Assumptions'!$B$27/'Weights &amp; Assumptions'!$B$28</f>
        <v>101.83843678438</v>
      </c>
      <c r="V16" s="23" t="n">
        <f aca="false">IFERROR(Tabelle1!E17*'Weights &amp; Assumptions'!$F$6+Tabelle1!F17*'Weights &amp; Assumptions'!$F$7,"")</f>
        <v>62.9360854309245</v>
      </c>
      <c r="W16" s="23" t="n">
        <f aca="false">IFERROR(Tabelle1!G17*'Weights &amp; Assumptions'!$F$8+Tabelle1!H17*'Weights &amp; Assumptions'!$F$9+Tabelle1!J17*'Weights &amp; Assumptions'!$F$11,"")</f>
        <v>103.687018750743</v>
      </c>
      <c r="X16" s="23" t="n">
        <f aca="false">IFERROR(Tabelle1!I17*'Weights &amp; Assumptions'!$F$10+Tabelle1!K17*'Weights &amp; Assumptions'!$F$12+Tabelle1!L17*'Weights &amp; Assumptions'!$F$13+Tabelle1!M17*'Weights &amp; Assumptions'!$F$14+Tabelle1!N17*'Weights &amp; Assumptions'!$F$15+Tabelle1!O17*'Weights &amp; Assumptions'!$F$16+Tabelle1!P17*'Weights &amp; Assumptions'!$F$17+Tabelle1!Q17*'Weights &amp; Assumptions'!$F$18+Tabelle1!R17*'Weights &amp; Assumptions'!$F$19+Tabelle1!S17*'Weights &amp; Assumptions'!$F$20,"")</f>
        <v>101.19644227679</v>
      </c>
      <c r="Y16" s="22" t="n">
        <f aca="false">IFERROR(V16*'Weights &amp; Assumptions'!$B$25/'Weights &amp; Assumptions'!$B$28+W16*'Weights &amp; Assumptions'!$B$26/'Weights &amp; Assumptions'!$B$28+X16*'Weights &amp; Assumptions'!$B$27/'Weights &amp; Assumptions'!$B$28,"")</f>
        <v>98.6486542874415</v>
      </c>
    </row>
    <row r="17" customFormat="false" ht="15" hidden="false" customHeight="false" outlineLevel="0" collapsed="false">
      <c r="A17" s="20" t="n">
        <v>38321</v>
      </c>
      <c r="B17" s="21" t="n">
        <v>103.57877</v>
      </c>
      <c r="C17" s="22" t="n">
        <v>98.0159365555165</v>
      </c>
      <c r="D17" s="22" t="n">
        <v>97.5216050634616</v>
      </c>
      <c r="E17" s="22" t="n">
        <v>100.311581355827</v>
      </c>
      <c r="F17" s="22" t="n">
        <v>102.260746978205</v>
      </c>
      <c r="G17" s="22" t="n">
        <v>100.068374525207</v>
      </c>
      <c r="H17" s="22" t="n">
        <v>103.103524384297</v>
      </c>
      <c r="I17" s="22" t="n">
        <v>102.438000512428</v>
      </c>
      <c r="J17" s="22" t="n">
        <v>104.338557240437</v>
      </c>
      <c r="K17" s="22" t="n">
        <v>105.711843834834</v>
      </c>
      <c r="L17" s="22" t="n">
        <v>103.175304150591</v>
      </c>
      <c r="M17" s="22" t="n">
        <v>101.853214089561</v>
      </c>
      <c r="N17" s="22" t="n">
        <v>101.638022906009</v>
      </c>
      <c r="O17" s="22" t="n">
        <v>101.781414043513</v>
      </c>
      <c r="P17" s="22" t="n">
        <v>103.046057471745</v>
      </c>
      <c r="Q17" s="22" t="n">
        <v>103.243379029381</v>
      </c>
      <c r="R17" s="22" t="n">
        <f aca="false">C17*'Weights &amp; Assumptions'!$F$6+D17*'Weights &amp; Assumptions'!$F$7</f>
        <v>98.0098797412493</v>
      </c>
      <c r="S17" s="22" t="n">
        <f aca="false">E17*'Weights &amp; Assumptions'!$F$8+F17*'Weights &amp; Assumptions'!$F$9+H17*'Weights &amp; Assumptions'!$F$11</f>
        <v>102.203591507175</v>
      </c>
      <c r="T17" s="22" t="n">
        <f aca="false">G17*'Weights &amp; Assumptions'!$F$10+I17*'Weights &amp; Assumptions'!$F$12+J17*'Weights &amp; Assumptions'!$F$13+K17*'Weights &amp; Assumptions'!$F$14+L17*'Weights &amp; Assumptions'!$F$15+M17*'Weights &amp; Assumptions'!$F$16+N17*'Weights &amp; Assumptions'!$F$17+O17*'Weights &amp; Assumptions'!$F$18+P17*'Weights &amp; Assumptions'!$F$19+Q17*'Weights &amp; Assumptions'!$F$20</f>
        <v>102.838031432622</v>
      </c>
      <c r="U17" s="22" t="n">
        <f aca="false">R17*'Weights &amp; Assumptions'!$B$25/'Weights &amp; Assumptions'!$B$28+S17*'Weights &amp; Assumptions'!$B$26/'Weights &amp; Assumptions'!$B$28+T17*'Weights &amp; Assumptions'!$B$27/'Weights &amp; Assumptions'!$B$28</f>
        <v>102.264236829058</v>
      </c>
      <c r="V17" s="23" t="n">
        <f aca="false">IFERROR(Tabelle1!E18*'Weights &amp; Assumptions'!$F$6+Tabelle1!F18*'Weights &amp; Assumptions'!$F$7,"")</f>
        <v>78.3174791758143</v>
      </c>
      <c r="W17" s="23" t="n">
        <f aca="false">IFERROR(Tabelle1!G18*'Weights &amp; Assumptions'!$F$8+Tabelle1!H18*'Weights &amp; Assumptions'!$F$9+Tabelle1!J18*'Weights &amp; Assumptions'!$F$11,"")</f>
        <v>102.854382078686</v>
      </c>
      <c r="X17" s="23" t="n">
        <f aca="false">IFERROR(Tabelle1!I18*'Weights &amp; Assumptions'!$F$10+Tabelle1!K18*'Weights &amp; Assumptions'!$F$12+Tabelle1!L18*'Weights &amp; Assumptions'!$F$13+Tabelle1!M18*'Weights &amp; Assumptions'!$F$14+Tabelle1!N18*'Weights &amp; Assumptions'!$F$15+Tabelle1!O18*'Weights &amp; Assumptions'!$F$16+Tabelle1!P18*'Weights &amp; Assumptions'!$F$17+Tabelle1!Q18*'Weights &amp; Assumptions'!$F$18+Tabelle1!R18*'Weights &amp; Assumptions'!$F$19+Tabelle1!S18*'Weights &amp; Assumptions'!$F$20,"")</f>
        <v>102.567799836631</v>
      </c>
      <c r="Y17" s="22" t="n">
        <f aca="false">IFERROR(V17*'Weights &amp; Assumptions'!$B$25/'Weights &amp; Assumptions'!$B$28+W17*'Weights &amp; Assumptions'!$B$26/'Weights &amp; Assumptions'!$B$28+X17*'Weights &amp; Assumptions'!$B$27/'Weights &amp; Assumptions'!$B$28,"")</f>
        <v>100.60938497634</v>
      </c>
    </row>
    <row r="18" customFormat="false" ht="15" hidden="false" customHeight="false" outlineLevel="0" collapsed="false">
      <c r="A18" s="20" t="n">
        <v>38352</v>
      </c>
      <c r="B18" s="21" t="n">
        <v>102.97856</v>
      </c>
      <c r="C18" s="22" t="n">
        <v>96.9176869675146</v>
      </c>
      <c r="D18" s="22" t="n">
        <v>85.2533736259623</v>
      </c>
      <c r="E18" s="22" t="n">
        <v>100.726961543088</v>
      </c>
      <c r="F18" s="22" t="n">
        <v>103.233652103437</v>
      </c>
      <c r="G18" s="22" t="n">
        <v>103.113826698959</v>
      </c>
      <c r="H18" s="22" t="n">
        <v>104.568853240637</v>
      </c>
      <c r="I18" s="22" t="n">
        <v>104.774282177403</v>
      </c>
      <c r="J18" s="22" t="n">
        <v>105.52918202972</v>
      </c>
      <c r="K18" s="22" t="n">
        <v>106.421226370011</v>
      </c>
      <c r="L18" s="22" t="n">
        <v>103.375639042477</v>
      </c>
      <c r="M18" s="22" t="n">
        <v>101.850830470427</v>
      </c>
      <c r="N18" s="22" t="n">
        <v>101.858102755812</v>
      </c>
      <c r="O18" s="22" t="n">
        <v>102.606868366945</v>
      </c>
      <c r="P18" s="22" t="n">
        <v>103.463868554053</v>
      </c>
      <c r="Q18" s="22" t="n">
        <v>104.170368639018</v>
      </c>
      <c r="R18" s="22" t="n">
        <f aca="false">C18*'Weights &amp; Assumptions'!$F$6+D18*'Weights &amp; Assumptions'!$F$7</f>
        <v>96.7747695515707</v>
      </c>
      <c r="S18" s="22" t="n">
        <f aca="false">E18*'Weights &amp; Assumptions'!$F$8+F18*'Weights &amp; Assumptions'!$F$9+H18*'Weights &amp; Assumptions'!$F$11</f>
        <v>103.212512925594</v>
      </c>
      <c r="T18" s="22" t="n">
        <f aca="false">G18*'Weights &amp; Assumptions'!$F$10+I18*'Weights &amp; Assumptions'!$F$12+J18*'Weights &amp; Assumptions'!$F$13+K18*'Weights &amp; Assumptions'!$F$14+L18*'Weights &amp; Assumptions'!$F$15+M18*'Weights &amp; Assumptions'!$F$16+N18*'Weights &amp; Assumptions'!$F$17+O18*'Weights &amp; Assumptions'!$F$18+P18*'Weights &amp; Assumptions'!$F$19+Q18*'Weights &amp; Assumptions'!$F$20</f>
        <v>103.736396337837</v>
      </c>
      <c r="U18" s="22" t="n">
        <f aca="false">R18*'Weights &amp; Assumptions'!$B$25/'Weights &amp; Assumptions'!$B$28+S18*'Weights &amp; Assumptions'!$B$26/'Weights &amp; Assumptions'!$B$28+T18*'Weights &amp; Assumptions'!$B$27/'Weights &amp; Assumptions'!$B$28</f>
        <v>103.013000306418</v>
      </c>
      <c r="V18" s="23" t="n">
        <f aca="false">IFERROR(Tabelle1!E19*'Weights &amp; Assumptions'!$F$6+Tabelle1!F19*'Weights &amp; Assumptions'!$F$7,"")</f>
        <v>92.532922034064</v>
      </c>
      <c r="W18" s="23" t="n">
        <f aca="false">IFERROR(Tabelle1!G19*'Weights &amp; Assumptions'!$F$8+Tabelle1!H19*'Weights &amp; Assumptions'!$F$9+Tabelle1!J19*'Weights &amp; Assumptions'!$F$11,"")</f>
        <v>101.734141999902</v>
      </c>
      <c r="X18" s="23" t="n">
        <f aca="false">IFERROR(Tabelle1!I19*'Weights &amp; Assumptions'!$F$10+Tabelle1!K19*'Weights &amp; Assumptions'!$F$12+Tabelle1!L19*'Weights &amp; Assumptions'!$F$13+Tabelle1!M19*'Weights &amp; Assumptions'!$F$14+Tabelle1!N19*'Weights &amp; Assumptions'!$F$15+Tabelle1!O19*'Weights &amp; Assumptions'!$F$16+Tabelle1!P19*'Weights &amp; Assumptions'!$F$17+Tabelle1!Q19*'Weights &amp; Assumptions'!$F$18+Tabelle1!R19*'Weights &amp; Assumptions'!$F$19+Tabelle1!S19*'Weights &amp; Assumptions'!$F$20,"")</f>
        <v>103.346172299137</v>
      </c>
      <c r="Y18" s="22" t="n">
        <f aca="false">IFERROR(V18*'Weights &amp; Assumptions'!$B$25/'Weights &amp; Assumptions'!$B$28+W18*'Weights &amp; Assumptions'!$B$26/'Weights &amp; Assumptions'!$B$28+X18*'Weights &amp; Assumptions'!$B$27/'Weights &amp; Assumptions'!$B$28,"")</f>
        <v>102.010264587351</v>
      </c>
    </row>
    <row r="19" customFormat="false" ht="15" hidden="false" customHeight="false" outlineLevel="0" collapsed="false">
      <c r="A19" s="20" t="n">
        <v>38383</v>
      </c>
      <c r="B19" s="21" t="n">
        <v>105.74978</v>
      </c>
      <c r="C19" s="22" t="n">
        <v>96.1073444431077</v>
      </c>
      <c r="D19" s="22" t="n">
        <v>87.833327092794</v>
      </c>
      <c r="E19" s="22" t="n">
        <v>100.451330542962</v>
      </c>
      <c r="F19" s="22" t="n">
        <v>103.889365624386</v>
      </c>
      <c r="G19" s="22" t="n">
        <v>105.456925551413</v>
      </c>
      <c r="H19" s="22" t="n">
        <v>104.601523464379</v>
      </c>
      <c r="I19" s="22" t="n">
        <v>104.528909945279</v>
      </c>
      <c r="J19" s="22" t="n">
        <v>105.040024473715</v>
      </c>
      <c r="K19" s="22" t="n">
        <v>107.217411325891</v>
      </c>
      <c r="L19" s="22" t="n">
        <v>100.685101398998</v>
      </c>
      <c r="M19" s="22" t="n">
        <v>102.181393923183</v>
      </c>
      <c r="N19" s="22" t="n">
        <v>103.000498386814</v>
      </c>
      <c r="O19" s="22" t="n">
        <v>103.463497244981</v>
      </c>
      <c r="P19" s="22" t="n">
        <v>106.123181432924</v>
      </c>
      <c r="Q19" s="22" t="n">
        <v>104.738088984526</v>
      </c>
      <c r="R19" s="22" t="n">
        <f aca="false">C19*'Weights &amp; Assumptions'!$F$6+D19*'Weights &amp; Assumptions'!$F$7</f>
        <v>96.0059667499202</v>
      </c>
      <c r="S19" s="22" t="n">
        <f aca="false">E19*'Weights &amp; Assumptions'!$F$8+F19*'Weights &amp; Assumptions'!$F$9+H19*'Weights &amp; Assumptions'!$F$11</f>
        <v>103.62723141018</v>
      </c>
      <c r="T19" s="22" t="n">
        <f aca="false">G19*'Weights &amp; Assumptions'!$F$10+I19*'Weights &amp; Assumptions'!$F$12+J19*'Weights &amp; Assumptions'!$F$13+K19*'Weights &amp; Assumptions'!$F$14+L19*'Weights &amp; Assumptions'!$F$15+M19*'Weights &amp; Assumptions'!$F$16+N19*'Weights &amp; Assumptions'!$F$17+O19*'Weights &amp; Assumptions'!$F$18+P19*'Weights &amp; Assumptions'!$F$19+Q19*'Weights &amp; Assumptions'!$F$20</f>
        <v>104.104014223814</v>
      </c>
      <c r="U19" s="22" t="n">
        <f aca="false">R19*'Weights &amp; Assumptions'!$B$25/'Weights &amp; Assumptions'!$B$28+S19*'Weights &amp; Assumptions'!$B$26/'Weights &amp; Assumptions'!$B$28+T19*'Weights &amp; Assumptions'!$B$27/'Weights &amp; Assumptions'!$B$28</f>
        <v>103.297796422906</v>
      </c>
      <c r="V19" s="23" t="n">
        <f aca="false">IFERROR(Tabelle1!E20*'Weights &amp; Assumptions'!$F$6+Tabelle1!F20*'Weights &amp; Assumptions'!$F$7,"")</f>
        <v>65.3296603762768</v>
      </c>
      <c r="W19" s="23" t="n">
        <f aca="false">IFERROR(Tabelle1!G20*'Weights &amp; Assumptions'!$F$8+Tabelle1!H20*'Weights &amp; Assumptions'!$F$9+Tabelle1!J20*'Weights &amp; Assumptions'!$F$11,"")</f>
        <v>99.4343749374619</v>
      </c>
      <c r="X19" s="23" t="n">
        <f aca="false">IFERROR(Tabelle1!I20*'Weights &amp; Assumptions'!$F$10+Tabelle1!K20*'Weights &amp; Assumptions'!$F$12+Tabelle1!L20*'Weights &amp; Assumptions'!$F$13+Tabelle1!M20*'Weights &amp; Assumptions'!$F$14+Tabelle1!N20*'Weights &amp; Assumptions'!$F$15+Tabelle1!O20*'Weights &amp; Assumptions'!$F$16+Tabelle1!P20*'Weights &amp; Assumptions'!$F$17+Tabelle1!Q20*'Weights &amp; Assumptions'!$F$18+Tabelle1!R20*'Weights &amp; Assumptions'!$F$19+Tabelle1!S20*'Weights &amp; Assumptions'!$F$20,"")</f>
        <v>102.633269134551</v>
      </c>
      <c r="Y19" s="22" t="n">
        <f aca="false">IFERROR(V19*'Weights &amp; Assumptions'!$B$25/'Weights &amp; Assumptions'!$B$28+W19*'Weights &amp; Assumptions'!$B$26/'Weights &amp; Assumptions'!$B$28+X19*'Weights &amp; Assumptions'!$B$27/'Weights &amp; Assumptions'!$B$28,"")</f>
        <v>98.6528234699131</v>
      </c>
    </row>
    <row r="20" customFormat="false" ht="15" hidden="false" customHeight="false" outlineLevel="0" collapsed="false">
      <c r="A20" s="20" t="n">
        <v>38411</v>
      </c>
      <c r="B20" s="21" t="n">
        <v>106.05741</v>
      </c>
      <c r="C20" s="22" t="n">
        <v>101.377280151022</v>
      </c>
      <c r="D20" s="22" t="n">
        <v>104.245504634253</v>
      </c>
      <c r="E20" s="22" t="n">
        <v>99.9029549502127</v>
      </c>
      <c r="F20" s="22" t="n">
        <v>103.881660151558</v>
      </c>
      <c r="G20" s="22" t="n">
        <v>103.496215718959</v>
      </c>
      <c r="H20" s="22" t="n">
        <v>106.377713303225</v>
      </c>
      <c r="I20" s="22" t="n">
        <v>105.840185023679</v>
      </c>
      <c r="J20" s="22" t="n">
        <v>105.412356392896</v>
      </c>
      <c r="K20" s="22" t="n">
        <v>108.099970719789</v>
      </c>
      <c r="L20" s="22" t="n">
        <v>103.91307930643</v>
      </c>
      <c r="M20" s="22" t="n">
        <v>102.836414037141</v>
      </c>
      <c r="N20" s="22" t="n">
        <v>103.38039787681</v>
      </c>
      <c r="O20" s="22" t="n">
        <v>104.040159707432</v>
      </c>
      <c r="P20" s="22" t="n">
        <v>106.943017464477</v>
      </c>
      <c r="Q20" s="22" t="n">
        <v>106.131308294129</v>
      </c>
      <c r="R20" s="22" t="n">
        <f aca="false">C20*'Weights &amp; Assumptions'!$F$6+D20*'Weights &amp; Assumptions'!$F$7</f>
        <v>101.412423173975</v>
      </c>
      <c r="S20" s="22" t="n">
        <f aca="false">E20*'Weights &amp; Assumptions'!$F$8+F20*'Weights &amp; Assumptions'!$F$9+H20*'Weights &amp; Assumptions'!$F$11</f>
        <v>103.926598690131</v>
      </c>
      <c r="T20" s="22" t="n">
        <f aca="false">G20*'Weights &amp; Assumptions'!$F$10+I20*'Weights &amp; Assumptions'!$F$12+J20*'Weights &amp; Assumptions'!$F$13+K20*'Weights &amp; Assumptions'!$F$14+L20*'Weights &amp; Assumptions'!$F$15+M20*'Weights &amp; Assumptions'!$F$16+N20*'Weights &amp; Assumptions'!$F$17+O20*'Weights &amp; Assumptions'!$F$18+P20*'Weights &amp; Assumptions'!$F$19+Q20*'Weights &amp; Assumptions'!$F$20</f>
        <v>105.055083045692</v>
      </c>
      <c r="U20" s="22" t="n">
        <f aca="false">R20*'Weights &amp; Assumptions'!$B$25/'Weights &amp; Assumptions'!$B$28+S20*'Weights &amp; Assumptions'!$B$26/'Weights &amp; Assumptions'!$B$28+T20*'Weights &amp; Assumptions'!$B$27/'Weights &amp; Assumptions'!$B$28</f>
        <v>104.449377148345</v>
      </c>
      <c r="V20" s="23" t="n">
        <f aca="false">IFERROR(Tabelle1!E21*'Weights &amp; Assumptions'!$F$6+Tabelle1!F21*'Weights &amp; Assumptions'!$F$7,"")</f>
        <v>69.4517459123252</v>
      </c>
      <c r="W20" s="23" t="n">
        <f aca="false">IFERROR(Tabelle1!G21*'Weights &amp; Assumptions'!$F$8+Tabelle1!H21*'Weights &amp; Assumptions'!$F$9+Tabelle1!J21*'Weights &amp; Assumptions'!$F$11,"")</f>
        <v>97.5110639436969</v>
      </c>
      <c r="X20" s="23" t="n">
        <f aca="false">IFERROR(Tabelle1!I21*'Weights &amp; Assumptions'!$F$10+Tabelle1!K21*'Weights &amp; Assumptions'!$F$12+Tabelle1!L21*'Weights &amp; Assumptions'!$F$13+Tabelle1!M21*'Weights &amp; Assumptions'!$F$14+Tabelle1!N21*'Weights &amp; Assumptions'!$F$15+Tabelle1!O21*'Weights &amp; Assumptions'!$F$16+Tabelle1!P21*'Weights &amp; Assumptions'!$F$17+Tabelle1!Q21*'Weights &amp; Assumptions'!$F$18+Tabelle1!R21*'Weights &amp; Assumptions'!$F$19+Tabelle1!S21*'Weights &amp; Assumptions'!$F$20,"")</f>
        <v>101.393864186806</v>
      </c>
      <c r="Y20" s="22" t="n">
        <f aca="false">IFERROR(V20*'Weights &amp; Assumptions'!$B$25/'Weights &amp; Assumptions'!$B$28+W20*'Weights &amp; Assumptions'!$B$26/'Weights &amp; Assumptions'!$B$28+X20*'Weights &amp; Assumptions'!$B$27/'Weights &amp; Assumptions'!$B$28,"")</f>
        <v>97.6813894713611</v>
      </c>
    </row>
    <row r="21" customFormat="false" ht="15" hidden="false" customHeight="false" outlineLevel="0" collapsed="false">
      <c r="A21" s="20" t="n">
        <v>38442</v>
      </c>
      <c r="B21" s="21" t="n">
        <v>106.85062</v>
      </c>
      <c r="C21" s="22" t="n">
        <v>109.025210147515</v>
      </c>
      <c r="D21" s="22" t="n">
        <v>81.1734485990415</v>
      </c>
      <c r="E21" s="22" t="n">
        <v>100.303248604338</v>
      </c>
      <c r="F21" s="22" t="n">
        <v>104.053969688924</v>
      </c>
      <c r="G21" s="22" t="n">
        <v>105.225838617711</v>
      </c>
      <c r="H21" s="22" t="n">
        <v>108.013295044108</v>
      </c>
      <c r="I21" s="22" t="n">
        <v>106.559814923377</v>
      </c>
      <c r="J21" s="22" t="n">
        <v>106.695111393849</v>
      </c>
      <c r="K21" s="22" t="n">
        <v>110.127031781997</v>
      </c>
      <c r="L21" s="22" t="n">
        <v>105.716007166143</v>
      </c>
      <c r="M21" s="22" t="n">
        <v>102.60177275791</v>
      </c>
      <c r="N21" s="22" t="n">
        <v>104.23358312303</v>
      </c>
      <c r="O21" s="22" t="n">
        <v>105.45348501709</v>
      </c>
      <c r="P21" s="22" t="n">
        <v>108.835657577373</v>
      </c>
      <c r="Q21" s="22" t="n">
        <v>106.538292534814</v>
      </c>
      <c r="R21" s="22" t="n">
        <f aca="false">C21*'Weights &amp; Assumptions'!$F$6+D21*'Weights &amp; Assumptions'!$F$7</f>
        <v>108.683955444092</v>
      </c>
      <c r="S21" s="22" t="n">
        <f aca="false">E21*'Weights &amp; Assumptions'!$F$8+F21*'Weights &amp; Assumptions'!$F$9+H21*'Weights &amp; Assumptions'!$F$11</f>
        <v>104.430963169115</v>
      </c>
      <c r="T21" s="22" t="n">
        <f aca="false">G21*'Weights &amp; Assumptions'!$F$10+I21*'Weights &amp; Assumptions'!$F$12+J21*'Weights &amp; Assumptions'!$F$13+K21*'Weights &amp; Assumptions'!$F$14+L21*'Weights &amp; Assumptions'!$F$15+M21*'Weights &amp; Assumptions'!$F$16+N21*'Weights &amp; Assumptions'!$F$17+O21*'Weights &amp; Assumptions'!$F$18+P21*'Weights &amp; Assumptions'!$F$19+Q21*'Weights &amp; Assumptions'!$F$20</f>
        <v>106.039984147401</v>
      </c>
      <c r="U21" s="22" t="n">
        <f aca="false">R21*'Weights &amp; Assumptions'!$B$25/'Weights &amp; Assumptions'!$B$28+S21*'Weights &amp; Assumptions'!$B$26/'Weights &amp; Assumptions'!$B$28+T21*'Weights &amp; Assumptions'!$B$27/'Weights &amp; Assumptions'!$B$28</f>
        <v>105.833948754732</v>
      </c>
      <c r="V21" s="23" t="n">
        <f aca="false">IFERROR(Tabelle1!E22*'Weights &amp; Assumptions'!$F$6+Tabelle1!F22*'Weights &amp; Assumptions'!$F$7,"")</f>
        <v>138.663112248722</v>
      </c>
      <c r="W21" s="23" t="n">
        <f aca="false">IFERROR(Tabelle1!G22*'Weights &amp; Assumptions'!$F$8+Tabelle1!H22*'Weights &amp; Assumptions'!$F$9+Tabelle1!J22*'Weights &amp; Assumptions'!$F$11,"")</f>
        <v>108.243634360329</v>
      </c>
      <c r="X21" s="23" t="n">
        <f aca="false">IFERROR(Tabelle1!I22*'Weights &amp; Assumptions'!$F$10+Tabelle1!K22*'Weights &amp; Assumptions'!$F$12+Tabelle1!L22*'Weights &amp; Assumptions'!$F$13+Tabelle1!M22*'Weights &amp; Assumptions'!$F$14+Tabelle1!N22*'Weights &amp; Assumptions'!$F$15+Tabelle1!O22*'Weights &amp; Assumptions'!$F$16+Tabelle1!P22*'Weights &amp; Assumptions'!$F$17+Tabelle1!Q22*'Weights &amp; Assumptions'!$F$18+Tabelle1!R22*'Weights &amp; Assumptions'!$F$19+Tabelle1!S22*'Weights &amp; Assumptions'!$F$20,"")</f>
        <v>108.808862311026</v>
      </c>
      <c r="Y21" s="22" t="n">
        <f aca="false">IFERROR(V21*'Weights &amp; Assumptions'!$B$25/'Weights &amp; Assumptions'!$B$28+W21*'Weights &amp; Assumptions'!$B$26/'Weights &amp; Assumptions'!$B$28+X21*'Weights &amp; Assumptions'!$B$27/'Weights &amp; Assumptions'!$B$28,"")</f>
        <v>111.163354739871</v>
      </c>
    </row>
    <row r="22" customFormat="false" ht="15" hidden="false" customHeight="false" outlineLevel="0" collapsed="false">
      <c r="A22" s="20" t="n">
        <v>38472</v>
      </c>
      <c r="B22" s="21" t="n">
        <v>107.96569</v>
      </c>
      <c r="C22" s="22" t="n">
        <v>112.253769593473</v>
      </c>
      <c r="D22" s="22" t="n">
        <v>76.2172323333924</v>
      </c>
      <c r="E22" s="22" t="n">
        <v>100.547030768257</v>
      </c>
      <c r="F22" s="22" t="n">
        <v>106.351389809982</v>
      </c>
      <c r="G22" s="22" t="n">
        <v>106.315356907647</v>
      </c>
      <c r="H22" s="22" t="n">
        <v>110.35593599683</v>
      </c>
      <c r="I22" s="22" t="n">
        <v>110.169641928351</v>
      </c>
      <c r="J22" s="22" t="n">
        <v>107.061487106726</v>
      </c>
      <c r="K22" s="22" t="n">
        <v>112.356694637193</v>
      </c>
      <c r="L22" s="22" t="n">
        <v>108.722063953625</v>
      </c>
      <c r="M22" s="22" t="n">
        <v>105.037079133146</v>
      </c>
      <c r="N22" s="22" t="n">
        <v>104.460913496201</v>
      </c>
      <c r="O22" s="22" t="n">
        <v>105.211740170443</v>
      </c>
      <c r="P22" s="22" t="n">
        <v>106.204897526494</v>
      </c>
      <c r="Q22" s="22" t="n">
        <v>106.211146435645</v>
      </c>
      <c r="R22" s="22" t="n">
        <f aca="false">C22*'Weights &amp; Assumptions'!$F$6+D22*'Weights &amp; Assumptions'!$F$7</f>
        <v>111.81223063323</v>
      </c>
      <c r="S22" s="22" t="n">
        <f aca="false">E22*'Weights &amp; Assumptions'!$F$8+F22*'Weights &amp; Assumptions'!$F$9+H22*'Weights &amp; Assumptions'!$F$11</f>
        <v>106.492604190122</v>
      </c>
      <c r="T22" s="22" t="n">
        <f aca="false">G22*'Weights &amp; Assumptions'!$F$10+I22*'Weights &amp; Assumptions'!$F$12+J22*'Weights &amp; Assumptions'!$F$13+K22*'Weights &amp; Assumptions'!$F$14+L22*'Weights &amp; Assumptions'!$F$15+M22*'Weights &amp; Assumptions'!$F$16+N22*'Weights &amp; Assumptions'!$F$17+O22*'Weights &amp; Assumptions'!$F$18+P22*'Weights &amp; Assumptions'!$F$19+Q22*'Weights &amp; Assumptions'!$F$20</f>
        <v>107.667181219196</v>
      </c>
      <c r="U22" s="22" t="n">
        <f aca="false">R22*'Weights &amp; Assumptions'!$B$25/'Weights &amp; Assumptions'!$B$28+S22*'Weights &amp; Assumptions'!$B$26/'Weights &amp; Assumptions'!$B$28+T22*'Weights &amp; Assumptions'!$B$27/'Weights &amp; Assumptions'!$B$28</f>
        <v>107.7026137648</v>
      </c>
      <c r="V22" s="23" t="n">
        <f aca="false">IFERROR(Tabelle1!E23*'Weights &amp; Assumptions'!$F$6+Tabelle1!F23*'Weights &amp; Assumptions'!$F$7,"")</f>
        <v>207.841065155123</v>
      </c>
      <c r="W22" s="23" t="n">
        <f aca="false">IFERROR(Tabelle1!G23*'Weights &amp; Assumptions'!$F$8+Tabelle1!H23*'Weights &amp; Assumptions'!$F$9+Tabelle1!J23*'Weights &amp; Assumptions'!$F$11,"")</f>
        <v>106.802994418279</v>
      </c>
      <c r="X22" s="23" t="n">
        <f aca="false">IFERROR(Tabelle1!I23*'Weights &amp; Assumptions'!$F$10+Tabelle1!K23*'Weights &amp; Assumptions'!$F$12+Tabelle1!L23*'Weights &amp; Assumptions'!$F$13+Tabelle1!M23*'Weights &amp; Assumptions'!$F$14+Tabelle1!N23*'Weights &amp; Assumptions'!$F$15+Tabelle1!O23*'Weights &amp; Assumptions'!$F$16+Tabelle1!P23*'Weights &amp; Assumptions'!$F$17+Tabelle1!Q23*'Weights &amp; Assumptions'!$F$18+Tabelle1!R23*'Weights &amp; Assumptions'!$F$19+Tabelle1!S23*'Weights &amp; Assumptions'!$F$20,"")</f>
        <v>107.916297965973</v>
      </c>
      <c r="Y22" s="22" t="n">
        <f aca="false">IFERROR(V22*'Weights &amp; Assumptions'!$B$25/'Weights &amp; Assumptions'!$B$28+W22*'Weights &amp; Assumptions'!$B$26/'Weights &amp; Assumptions'!$B$28+X22*'Weights &amp; Assumptions'!$B$27/'Weights &amp; Assumptions'!$B$28,"")</f>
        <v>116.004022229666</v>
      </c>
    </row>
    <row r="23" customFormat="false" ht="15" hidden="false" customHeight="false" outlineLevel="0" collapsed="false">
      <c r="A23" s="20" t="n">
        <v>38503</v>
      </c>
      <c r="B23" s="21" t="n">
        <v>109.10032</v>
      </c>
      <c r="C23" s="22" t="n">
        <v>111.329156990613</v>
      </c>
      <c r="D23" s="22" t="n">
        <v>102.518411032431</v>
      </c>
      <c r="E23" s="22" t="n">
        <v>100.134434198978</v>
      </c>
      <c r="F23" s="22" t="n">
        <v>106.763072547541</v>
      </c>
      <c r="G23" s="22" t="n">
        <v>104.901650752875</v>
      </c>
      <c r="H23" s="22" t="n">
        <v>111.387886486455</v>
      </c>
      <c r="I23" s="22" t="n">
        <v>110.920464206971</v>
      </c>
      <c r="J23" s="22" t="n">
        <v>108.689268803052</v>
      </c>
      <c r="K23" s="22" t="n">
        <v>114.609930754129</v>
      </c>
      <c r="L23" s="22" t="n">
        <v>109.959261861539</v>
      </c>
      <c r="M23" s="22" t="n">
        <v>104.89916720647</v>
      </c>
      <c r="N23" s="22" t="n">
        <v>104.539337959335</v>
      </c>
      <c r="O23" s="22" t="n">
        <v>105.18606427008</v>
      </c>
      <c r="P23" s="22" t="n">
        <v>107.123169464572</v>
      </c>
      <c r="Q23" s="22" t="n">
        <v>108.017538698122</v>
      </c>
      <c r="R23" s="22" t="n">
        <f aca="false">C23*'Weights &amp; Assumptions'!$F$6+D23*'Weights &amp; Assumptions'!$F$7</f>
        <v>111.221203010982</v>
      </c>
      <c r="S23" s="22" t="n">
        <f aca="false">E23*'Weights &amp; Assumptions'!$F$8+F23*'Weights &amp; Assumptions'!$F$9+H23*'Weights &amp; Assumptions'!$F$11</f>
        <v>106.935086289398</v>
      </c>
      <c r="T23" s="22" t="n">
        <f aca="false">G23*'Weights &amp; Assumptions'!$F$10+I23*'Weights &amp; Assumptions'!$F$12+J23*'Weights &amp; Assumptions'!$F$13+K23*'Weights &amp; Assumptions'!$F$14+L23*'Weights &amp; Assumptions'!$F$15+M23*'Weights &amp; Assumptions'!$F$16+N23*'Weights &amp; Assumptions'!$F$17+O23*'Weights &amp; Assumptions'!$F$18+P23*'Weights &amp; Assumptions'!$F$19+Q23*'Weights &amp; Assumptions'!$F$20</f>
        <v>108.421533270753</v>
      </c>
      <c r="U23" s="22" t="n">
        <f aca="false">R23*'Weights &amp; Assumptions'!$B$25/'Weights &amp; Assumptions'!$B$28+S23*'Weights &amp; Assumptions'!$B$26/'Weights &amp; Assumptions'!$B$28+T23*'Weights &amp; Assumptions'!$B$27/'Weights &amp; Assumptions'!$B$28</f>
        <v>108.261155673995</v>
      </c>
      <c r="V23" s="23" t="n">
        <f aca="false">IFERROR(Tabelle1!E24*'Weights &amp; Assumptions'!$F$6+Tabelle1!F24*'Weights &amp; Assumptions'!$F$7,"")</f>
        <v>293.619418006937</v>
      </c>
      <c r="W23" s="23" t="n">
        <f aca="false">IFERROR(Tabelle1!G24*'Weights &amp; Assumptions'!$F$8+Tabelle1!H24*'Weights &amp; Assumptions'!$F$9+Tabelle1!J24*'Weights &amp; Assumptions'!$F$11,"")</f>
        <v>109.160727545334</v>
      </c>
      <c r="X23" s="23" t="n">
        <f aca="false">IFERROR(Tabelle1!I24*'Weights &amp; Assumptions'!$F$10+Tabelle1!K24*'Weights &amp; Assumptions'!$F$12+Tabelle1!L24*'Weights &amp; Assumptions'!$F$13+Tabelle1!M24*'Weights &amp; Assumptions'!$F$14+Tabelle1!N24*'Weights &amp; Assumptions'!$F$15+Tabelle1!O24*'Weights &amp; Assumptions'!$F$16+Tabelle1!P24*'Weights &amp; Assumptions'!$F$17+Tabelle1!Q24*'Weights &amp; Assumptions'!$F$18+Tabelle1!R24*'Weights &amp; Assumptions'!$F$19+Tabelle1!S24*'Weights &amp; Assumptions'!$F$20,"")</f>
        <v>110.847590647341</v>
      </c>
      <c r="Y23" s="22" t="n">
        <f aca="false">IFERROR(V23*'Weights &amp; Assumptions'!$B$25/'Weights &amp; Assumptions'!$B$28+W23*'Weights &amp; Assumptions'!$B$26/'Weights &amp; Assumptions'!$B$28+X23*'Weights &amp; Assumptions'!$B$27/'Weights &amp; Assumptions'!$B$28,"")</f>
        <v>125.733732699995</v>
      </c>
    </row>
    <row r="24" customFormat="false" ht="15" hidden="false" customHeight="false" outlineLevel="0" collapsed="false">
      <c r="A24" s="20" t="n">
        <v>38533</v>
      </c>
      <c r="B24" s="21" t="n">
        <v>108.58363</v>
      </c>
      <c r="C24" s="22" t="n">
        <v>110.483945910782</v>
      </c>
      <c r="D24" s="22" t="n">
        <v>74.3046919000182</v>
      </c>
      <c r="E24" s="22" t="n">
        <v>99.0974660098699</v>
      </c>
      <c r="F24" s="22" t="n">
        <v>107.205866331831</v>
      </c>
      <c r="G24" s="22" t="n">
        <v>104.107652520048</v>
      </c>
      <c r="H24" s="22" t="n">
        <v>112.908413567694</v>
      </c>
      <c r="I24" s="22" t="n">
        <v>109.539870597197</v>
      </c>
      <c r="J24" s="22" t="n">
        <v>110.541478835727</v>
      </c>
      <c r="K24" s="22" t="n">
        <v>115.136801155712</v>
      </c>
      <c r="L24" s="22" t="n">
        <v>110.397336719032</v>
      </c>
      <c r="M24" s="22" t="n">
        <v>105.055430624754</v>
      </c>
      <c r="N24" s="22" t="n">
        <v>105.111015332375</v>
      </c>
      <c r="O24" s="22" t="n">
        <v>105.631457133205</v>
      </c>
      <c r="P24" s="22" t="n">
        <v>109.244229247577</v>
      </c>
      <c r="Q24" s="22" t="n">
        <v>110.757416554053</v>
      </c>
      <c r="R24" s="22" t="n">
        <f aca="false">C24*'Weights &amp; Assumptions'!$F$6+D24*'Weights &amp; Assumptions'!$F$7</f>
        <v>110.040658308453</v>
      </c>
      <c r="S24" s="22" t="n">
        <f aca="false">E24*'Weights &amp; Assumptions'!$F$8+F24*'Weights &amp; Assumptions'!$F$9+H24*'Weights &amp; Assumptions'!$F$11</f>
        <v>107.42571718436</v>
      </c>
      <c r="T24" s="22" t="n">
        <f aca="false">G24*'Weights &amp; Assumptions'!$F$10+I24*'Weights &amp; Assumptions'!$F$12+J24*'Weights &amp; Assumptions'!$F$13+K24*'Weights &amp; Assumptions'!$F$14+L24*'Weights &amp; Assumptions'!$F$15+M24*'Weights &amp; Assumptions'!$F$16+N24*'Weights &amp; Assumptions'!$F$17+O24*'Weights &amp; Assumptions'!$F$18+P24*'Weights &amp; Assumptions'!$F$19+Q24*'Weights &amp; Assumptions'!$F$20</f>
        <v>108.737955632002</v>
      </c>
      <c r="U24" s="22" t="n">
        <f aca="false">R24*'Weights &amp; Assumptions'!$B$25/'Weights &amp; Assumptions'!$B$28+S24*'Weights &amp; Assumptions'!$B$26/'Weights &amp; Assumptions'!$B$28+T24*'Weights &amp; Assumptions'!$B$27/'Weights &amp; Assumptions'!$B$28</f>
        <v>108.498306345037</v>
      </c>
      <c r="V24" s="23" t="n">
        <f aca="false">IFERROR(Tabelle1!E25*'Weights &amp; Assumptions'!$F$6+Tabelle1!F25*'Weights &amp; Assumptions'!$F$7,"")</f>
        <v>196.492779614188</v>
      </c>
      <c r="W24" s="23" t="n">
        <f aca="false">IFERROR(Tabelle1!G25*'Weights &amp; Assumptions'!$F$8+Tabelle1!H25*'Weights &amp; Assumptions'!$F$9+Tabelle1!J25*'Weights &amp; Assumptions'!$F$11,"")</f>
        <v>107.790566234516</v>
      </c>
      <c r="X24" s="23" t="n">
        <f aca="false">IFERROR(Tabelle1!I25*'Weights &amp; Assumptions'!$F$10+Tabelle1!K25*'Weights &amp; Assumptions'!$F$12+Tabelle1!L25*'Weights &amp; Assumptions'!$F$13+Tabelle1!M25*'Weights &amp; Assumptions'!$F$14+Tabelle1!N25*'Weights &amp; Assumptions'!$F$15+Tabelle1!O25*'Weights &amp; Assumptions'!$F$16+Tabelle1!P25*'Weights &amp; Assumptions'!$F$17+Tabelle1!Q25*'Weights &amp; Assumptions'!$F$18+Tabelle1!R25*'Weights &amp; Assumptions'!$F$19+Tabelle1!S25*'Weights &amp; Assumptions'!$F$20,"")</f>
        <v>110.823449951583</v>
      </c>
      <c r="Y24" s="22" t="n">
        <f aca="false">IFERROR(V24*'Weights &amp; Assumptions'!$B$25/'Weights &amp; Assumptions'!$B$28+W24*'Weights &amp; Assumptions'!$B$26/'Weights &amp; Assumptions'!$B$28+X24*'Weights &amp; Assumptions'!$B$27/'Weights &amp; Assumptions'!$B$28,"")</f>
        <v>117.204681244868</v>
      </c>
    </row>
    <row r="25" customFormat="false" ht="15" hidden="false" customHeight="false" outlineLevel="0" collapsed="false">
      <c r="A25" s="20" t="n">
        <v>38564</v>
      </c>
      <c r="B25" s="21" t="n">
        <v>109.13426</v>
      </c>
      <c r="C25" s="22" t="n">
        <v>99.467658056641</v>
      </c>
      <c r="D25" s="22" t="n">
        <v>75.7881112654308</v>
      </c>
      <c r="E25" s="22" t="n">
        <v>101.661260589668</v>
      </c>
      <c r="F25" s="22" t="n">
        <v>107.243262576563</v>
      </c>
      <c r="G25" s="22" t="n">
        <v>107.280141591022</v>
      </c>
      <c r="H25" s="22" t="n">
        <v>110.761778982646</v>
      </c>
      <c r="I25" s="22" t="n">
        <v>110.254437234367</v>
      </c>
      <c r="J25" s="22" t="n">
        <v>113.787977889221</v>
      </c>
      <c r="K25" s="22" t="n">
        <v>116.434642882894</v>
      </c>
      <c r="L25" s="22" t="n">
        <v>112.653242398926</v>
      </c>
      <c r="M25" s="22" t="n">
        <v>104.427500612468</v>
      </c>
      <c r="N25" s="22" t="n">
        <v>105.190316486693</v>
      </c>
      <c r="O25" s="22" t="n">
        <v>106.109497057579</v>
      </c>
      <c r="P25" s="22" t="n">
        <v>110.823432280102</v>
      </c>
      <c r="Q25" s="22" t="n">
        <v>111.636475328396</v>
      </c>
      <c r="R25" s="22" t="n">
        <f aca="false">C25*'Weights &amp; Assumptions'!$F$6+D25*'Weights &amp; Assumptions'!$F$7</f>
        <v>99.1775235635913</v>
      </c>
      <c r="S25" s="22" t="n">
        <f aca="false">E25*'Weights &amp; Assumptions'!$F$8+F25*'Weights &amp; Assumptions'!$F$9+H25*'Weights &amp; Assumptions'!$F$11</f>
        <v>107.309774396988</v>
      </c>
      <c r="T25" s="22" t="n">
        <f aca="false">G25*'Weights &amp; Assumptions'!$F$10+I25*'Weights &amp; Assumptions'!$F$12+J25*'Weights &amp; Assumptions'!$F$13+K25*'Weights &amp; Assumptions'!$F$14+L25*'Weights &amp; Assumptions'!$F$15+M25*'Weights &amp; Assumptions'!$F$16+N25*'Weights &amp; Assumptions'!$F$17+O25*'Weights &amp; Assumptions'!$F$18+P25*'Weights &amp; Assumptions'!$F$19+Q25*'Weights &amp; Assumptions'!$F$20</f>
        <v>109.563748903938</v>
      </c>
      <c r="U25" s="22" t="n">
        <f aca="false">R25*'Weights &amp; Assumptions'!$B$25/'Weights &amp; Assumptions'!$B$28+S25*'Weights &amp; Assumptions'!$B$26/'Weights &amp; Assumptions'!$B$28+T25*'Weights &amp; Assumptions'!$B$27/'Weights &amp; Assumptions'!$B$28</f>
        <v>108.092964760286</v>
      </c>
      <c r="V25" s="23" t="n">
        <f aca="false">IFERROR(Tabelle1!E26*'Weights &amp; Assumptions'!$F$6+Tabelle1!F26*'Weights &amp; Assumptions'!$F$7,"")</f>
        <v>98.1206014253704</v>
      </c>
      <c r="W25" s="23" t="n">
        <f aca="false">IFERROR(Tabelle1!G26*'Weights &amp; Assumptions'!$F$8+Tabelle1!H26*'Weights &amp; Assumptions'!$F$9+Tabelle1!J26*'Weights &amp; Assumptions'!$F$11,"")</f>
        <v>108.139297179807</v>
      </c>
      <c r="X25" s="23" t="n">
        <f aca="false">IFERROR(Tabelle1!I26*'Weights &amp; Assumptions'!$F$10+Tabelle1!K26*'Weights &amp; Assumptions'!$F$12+Tabelle1!L26*'Weights &amp; Assumptions'!$F$13+Tabelle1!M26*'Weights &amp; Assumptions'!$F$14+Tabelle1!N26*'Weights &amp; Assumptions'!$F$15+Tabelle1!O26*'Weights &amp; Assumptions'!$F$16+Tabelle1!P26*'Weights &amp; Assumptions'!$F$17+Tabelle1!Q26*'Weights &amp; Assumptions'!$F$18+Tabelle1!R26*'Weights &amp; Assumptions'!$F$19+Tabelle1!S26*'Weights &amp; Assumptions'!$F$20,"")</f>
        <v>110.324025932684</v>
      </c>
      <c r="Y25" s="22" t="n">
        <f aca="false">IFERROR(V25*'Weights &amp; Assumptions'!$B$25/'Weights &amp; Assumptions'!$B$28+W25*'Weights &amp; Assumptions'!$B$26/'Weights &amp; Assumptions'!$B$28+X25*'Weights &amp; Assumptions'!$B$27/'Weights &amp; Assumptions'!$B$28,"")</f>
        <v>108.719190922258</v>
      </c>
    </row>
    <row r="26" customFormat="false" ht="15" hidden="false" customHeight="false" outlineLevel="0" collapsed="false">
      <c r="A26" s="20" t="n">
        <v>38595</v>
      </c>
      <c r="B26" s="21" t="n">
        <v>109.37691</v>
      </c>
      <c r="C26" s="22" t="n">
        <v>96.1255839538337</v>
      </c>
      <c r="D26" s="22" t="n">
        <v>53.5559862034038</v>
      </c>
      <c r="E26" s="22" t="n">
        <v>100.265198803745</v>
      </c>
      <c r="F26" s="22" t="n">
        <v>108.44496468259</v>
      </c>
      <c r="G26" s="22" t="n">
        <v>107.530127584592</v>
      </c>
      <c r="H26" s="22" t="n">
        <v>113.496128039119</v>
      </c>
      <c r="I26" s="22" t="n">
        <v>111.819425092434</v>
      </c>
      <c r="J26" s="22" t="n">
        <v>116.132107121741</v>
      </c>
      <c r="K26" s="22" t="n">
        <v>116.926684482779</v>
      </c>
      <c r="L26" s="22" t="n">
        <v>110.4964839141</v>
      </c>
      <c r="M26" s="22" t="n">
        <v>106.796078542695</v>
      </c>
      <c r="N26" s="22" t="n">
        <v>105.496296940471</v>
      </c>
      <c r="O26" s="22" t="n">
        <v>106.292794718459</v>
      </c>
      <c r="P26" s="22" t="n">
        <v>112.316702475339</v>
      </c>
      <c r="Q26" s="22" t="n">
        <v>111.341440805935</v>
      </c>
      <c r="R26" s="22" t="n">
        <f aca="false">C26*'Weights &amp; Assumptions'!$F$6+D26*'Weights &amp; Assumptions'!$F$7</f>
        <v>95.6039984365283</v>
      </c>
      <c r="S26" s="22" t="n">
        <f aca="false">E26*'Weights &amp; Assumptions'!$F$8+F26*'Weights &amp; Assumptions'!$F$9+H26*'Weights &amp; Assumptions'!$F$11</f>
        <v>108.520596004306</v>
      </c>
      <c r="T26" s="22" t="n">
        <f aca="false">G26*'Weights &amp; Assumptions'!$F$10+I26*'Weights &amp; Assumptions'!$F$12+J26*'Weights &amp; Assumptions'!$F$13+K26*'Weights &amp; Assumptions'!$F$14+L26*'Weights &amp; Assumptions'!$F$15+M26*'Weights &amp; Assumptions'!$F$16+N26*'Weights &amp; Assumptions'!$F$17+O26*'Weights &amp; Assumptions'!$F$18+P26*'Weights &amp; Assumptions'!$F$19+Q26*'Weights &amp; Assumptions'!$F$20</f>
        <v>110.52469579387</v>
      </c>
      <c r="U26" s="22" t="n">
        <f aca="false">R26*'Weights &amp; Assumptions'!$B$25/'Weights &amp; Assumptions'!$B$28+S26*'Weights &amp; Assumptions'!$B$26/'Weights &amp; Assumptions'!$B$28+T26*'Weights &amp; Assumptions'!$B$27/'Weights &amp; Assumptions'!$B$28</f>
        <v>108.739911726619</v>
      </c>
      <c r="V26" s="23" t="n">
        <f aca="false">IFERROR(Tabelle1!E27*'Weights &amp; Assumptions'!$F$6+Tabelle1!F27*'Weights &amp; Assumptions'!$F$7,"")</f>
        <v>63.7618432249914</v>
      </c>
      <c r="W26" s="23" t="n">
        <f aca="false">IFERROR(Tabelle1!G27*'Weights &amp; Assumptions'!$F$8+Tabelle1!H27*'Weights &amp; Assumptions'!$F$9+Tabelle1!J27*'Weights &amp; Assumptions'!$F$11,"")</f>
        <v>109.717759565618</v>
      </c>
      <c r="X26" s="23" t="n">
        <f aca="false">IFERROR(Tabelle1!I27*'Weights &amp; Assumptions'!$F$10+Tabelle1!K27*'Weights &amp; Assumptions'!$F$12+Tabelle1!L27*'Weights &amp; Assumptions'!$F$13+Tabelle1!M27*'Weights &amp; Assumptions'!$F$14+Tabelle1!N27*'Weights &amp; Assumptions'!$F$15+Tabelle1!O27*'Weights &amp; Assumptions'!$F$16+Tabelle1!P27*'Weights &amp; Assumptions'!$F$17+Tabelle1!Q27*'Weights &amp; Assumptions'!$F$18+Tabelle1!R27*'Weights &amp; Assumptions'!$F$19+Tabelle1!S27*'Weights &amp; Assumptions'!$F$20,"")</f>
        <v>110.886152799612</v>
      </c>
      <c r="Y26" s="22" t="n">
        <f aca="false">IFERROR(V26*'Weights &amp; Assumptions'!$B$25/'Weights &amp; Assumptions'!$B$28+W26*'Weights &amp; Assumptions'!$B$26/'Weights &amp; Assumptions'!$B$28+X26*'Weights &amp; Assumptions'!$B$27/'Weights &amp; Assumptions'!$B$28,"")</f>
        <v>106.621687838924</v>
      </c>
    </row>
    <row r="27" customFormat="false" ht="15" hidden="false" customHeight="false" outlineLevel="0" collapsed="false">
      <c r="A27" s="20" t="n">
        <v>38625</v>
      </c>
      <c r="B27" s="21" t="n">
        <v>109.26148</v>
      </c>
      <c r="C27" s="22" t="n">
        <v>95.608888382245</v>
      </c>
      <c r="D27" s="22" t="n">
        <v>57.1148231016324</v>
      </c>
      <c r="E27" s="22" t="n">
        <v>98.0492252467517</v>
      </c>
      <c r="F27" s="22" t="n">
        <v>107.836324843186</v>
      </c>
      <c r="G27" s="22" t="n">
        <v>108.828001987152</v>
      </c>
      <c r="H27" s="22" t="n">
        <v>114.835762011891</v>
      </c>
      <c r="I27" s="22" t="n">
        <v>112.860795233889</v>
      </c>
      <c r="J27" s="22" t="n">
        <v>118.196463840386</v>
      </c>
      <c r="K27" s="22" t="n">
        <v>118.065557007095</v>
      </c>
      <c r="L27" s="22" t="n">
        <v>112.164891242857</v>
      </c>
      <c r="M27" s="22" t="n">
        <v>107.682406556781</v>
      </c>
      <c r="N27" s="22" t="n">
        <v>105.854874474106</v>
      </c>
      <c r="O27" s="22" t="n">
        <v>106.927730268794</v>
      </c>
      <c r="P27" s="22" t="n">
        <v>113.104105558033</v>
      </c>
      <c r="Q27" s="22" t="n">
        <v>113.327884840876</v>
      </c>
      <c r="R27" s="22" t="n">
        <f aca="false">C27*'Weights &amp; Assumptions'!$F$6+D27*'Weights &amp; Assumptions'!$F$7</f>
        <v>95.1372384721311</v>
      </c>
      <c r="S27" s="22" t="n">
        <f aca="false">E27*'Weights &amp; Assumptions'!$F$8+F27*'Weights &amp; Assumptions'!$F$9+H27*'Weights &amp; Assumptions'!$F$11</f>
        <v>108.125915651811</v>
      </c>
      <c r="T27" s="22" t="n">
        <f aca="false">G27*'Weights &amp; Assumptions'!$F$10+I27*'Weights &amp; Assumptions'!$F$12+J27*'Weights &amp; Assumptions'!$F$13+K27*'Weights &amp; Assumptions'!$F$14+L27*'Weights &amp; Assumptions'!$F$15+M27*'Weights &amp; Assumptions'!$F$16+N27*'Weights &amp; Assumptions'!$F$17+O27*'Weights &amp; Assumptions'!$F$18+P27*'Weights &amp; Assumptions'!$F$19+Q27*'Weights &amp; Assumptions'!$F$20</f>
        <v>111.590569006179</v>
      </c>
      <c r="U27" s="22" t="n">
        <f aca="false">R27*'Weights &amp; Assumptions'!$B$25/'Weights &amp; Assumptions'!$B$28+S27*'Weights &amp; Assumptions'!$B$26/'Weights &amp; Assumptions'!$B$28+T27*'Weights &amp; Assumptions'!$B$27/'Weights &amp; Assumptions'!$B$28</f>
        <v>109.288809033875</v>
      </c>
      <c r="V27" s="23" t="n">
        <f aca="false">IFERROR(Tabelle1!E28*'Weights &amp; Assumptions'!$F$6+Tabelle1!F28*'Weights &amp; Assumptions'!$F$7,"")</f>
        <v>59.165655912802</v>
      </c>
      <c r="W27" s="23" t="n">
        <f aca="false">IFERROR(Tabelle1!G28*'Weights &amp; Assumptions'!$F$8+Tabelle1!H28*'Weights &amp; Assumptions'!$F$9+Tabelle1!J28*'Weights &amp; Assumptions'!$F$11,"")</f>
        <v>109.352600782422</v>
      </c>
      <c r="X27" s="23" t="n">
        <f aca="false">IFERROR(Tabelle1!I28*'Weights &amp; Assumptions'!$F$10+Tabelle1!K28*'Weights &amp; Assumptions'!$F$12+Tabelle1!L28*'Weights &amp; Assumptions'!$F$13+Tabelle1!M28*'Weights &amp; Assumptions'!$F$14+Tabelle1!N28*'Weights &amp; Assumptions'!$F$15+Tabelle1!O28*'Weights &amp; Assumptions'!$F$16+Tabelle1!P28*'Weights &amp; Assumptions'!$F$17+Tabelle1!Q28*'Weights &amp; Assumptions'!$F$18+Tabelle1!R28*'Weights &amp; Assumptions'!$F$19+Tabelle1!S28*'Weights &amp; Assumptions'!$F$20,"")</f>
        <v>110.872485298924</v>
      </c>
      <c r="Y27" s="22" t="n">
        <f aca="false">IFERROR(V27*'Weights &amp; Assumptions'!$B$25/'Weights &amp; Assumptions'!$B$28+W27*'Weights &amp; Assumptions'!$B$26/'Weights &amp; Assumptions'!$B$28+X27*'Weights &amp; Assumptions'!$B$27/'Weights &amp; Assumptions'!$B$28,"")</f>
        <v>106.130075440559</v>
      </c>
    </row>
    <row r="28" customFormat="false" ht="15" hidden="false" customHeight="false" outlineLevel="0" collapsed="false">
      <c r="A28" s="20" t="n">
        <v>38656</v>
      </c>
      <c r="B28" s="21" t="n">
        <v>109.94966</v>
      </c>
      <c r="C28" s="22" t="n">
        <v>97.2267915525645</v>
      </c>
      <c r="D28" s="22" t="n">
        <v>77.7961750971255</v>
      </c>
      <c r="E28" s="22" t="n">
        <v>94.9020774028387</v>
      </c>
      <c r="F28" s="22" t="n">
        <v>109.442469085678</v>
      </c>
      <c r="G28" s="22" t="n">
        <v>104.125279418827</v>
      </c>
      <c r="H28" s="22" t="n">
        <v>117.447410755821</v>
      </c>
      <c r="I28" s="22" t="n">
        <v>110.49445333407</v>
      </c>
      <c r="J28" s="22" t="n">
        <v>117.11555190122</v>
      </c>
      <c r="K28" s="22" t="n">
        <v>118.630508603117</v>
      </c>
      <c r="L28" s="22" t="n">
        <v>111.8114331655</v>
      </c>
      <c r="M28" s="22" t="n">
        <v>107.337104653376</v>
      </c>
      <c r="N28" s="22" t="n">
        <v>106.669483508711</v>
      </c>
      <c r="O28" s="22" t="n">
        <v>107.407906802435</v>
      </c>
      <c r="P28" s="22" t="n">
        <v>112.175163014585</v>
      </c>
      <c r="Q28" s="22" t="n">
        <v>115.101945211004</v>
      </c>
      <c r="R28" s="22" t="n">
        <f aca="false">C28*'Weights &amp; Assumptions'!$F$6+D28*'Weights &amp; Assumptions'!$F$7</f>
        <v>96.9887172302538</v>
      </c>
      <c r="S28" s="22" t="n">
        <f aca="false">E28*'Weights &amp; Assumptions'!$F$8+F28*'Weights &amp; Assumptions'!$F$9+H28*'Weights &amp; Assumptions'!$F$11</f>
        <v>109.373998044871</v>
      </c>
      <c r="T28" s="22" t="n">
        <f aca="false">G28*'Weights &amp; Assumptions'!$F$10+I28*'Weights &amp; Assumptions'!$F$12+J28*'Weights &amp; Assumptions'!$F$13+K28*'Weights &amp; Assumptions'!$F$14+L28*'Weights &amp; Assumptions'!$F$15+M28*'Weights &amp; Assumptions'!$F$16+N28*'Weights &amp; Assumptions'!$F$17+O28*'Weights &amp; Assumptions'!$F$18+P28*'Weights &amp; Assumptions'!$F$19+Q28*'Weights &amp; Assumptions'!$F$20</f>
        <v>111.051621647687</v>
      </c>
      <c r="U28" s="22" t="n">
        <f aca="false">R28*'Weights &amp; Assumptions'!$B$25/'Weights &amp; Assumptions'!$B$28+S28*'Weights &amp; Assumptions'!$B$26/'Weights &amp; Assumptions'!$B$28+T28*'Weights &amp; Assumptions'!$B$27/'Weights &amp; Assumptions'!$B$28</f>
        <v>109.425622842944</v>
      </c>
      <c r="V28" s="23" t="n">
        <f aca="false">IFERROR(Tabelle1!E29*'Weights &amp; Assumptions'!$F$6+Tabelle1!F29*'Weights &amp; Assumptions'!$F$7,"")</f>
        <v>60.6669541548968</v>
      </c>
      <c r="W28" s="23" t="n">
        <f aca="false">IFERROR(Tabelle1!G29*'Weights &amp; Assumptions'!$F$8+Tabelle1!H29*'Weights &amp; Assumptions'!$F$9+Tabelle1!J29*'Weights &amp; Assumptions'!$F$11,"")</f>
        <v>112.074561512233</v>
      </c>
      <c r="X28" s="23" t="n">
        <f aca="false">IFERROR(Tabelle1!I29*'Weights &amp; Assumptions'!$F$10+Tabelle1!K29*'Weights &amp; Assumptions'!$F$12+Tabelle1!L29*'Weights &amp; Assumptions'!$F$13+Tabelle1!M29*'Weights &amp; Assumptions'!$F$14+Tabelle1!N29*'Weights &amp; Assumptions'!$F$15+Tabelle1!O29*'Weights &amp; Assumptions'!$F$16+Tabelle1!P29*'Weights &amp; Assumptions'!$F$17+Tabelle1!Q29*'Weights &amp; Assumptions'!$F$18+Tabelle1!R29*'Weights &amp; Assumptions'!$F$19+Tabelle1!S29*'Weights &amp; Assumptions'!$F$20,"")</f>
        <v>110.078402346616</v>
      </c>
      <c r="Y28" s="22" t="n">
        <f aca="false">IFERROR(V28*'Weights &amp; Assumptions'!$B$25/'Weights &amp; Assumptions'!$B$28+W28*'Weights &amp; Assumptions'!$B$26/'Weights &amp; Assumptions'!$B$28+X28*'Weights &amp; Assumptions'!$B$27/'Weights &amp; Assumptions'!$B$28,"")</f>
        <v>106.463554314581</v>
      </c>
    </row>
    <row r="29" customFormat="false" ht="15" hidden="false" customHeight="false" outlineLevel="0" collapsed="false">
      <c r="A29" s="20" t="n">
        <v>38686</v>
      </c>
      <c r="B29" s="21" t="n">
        <v>111.16807</v>
      </c>
      <c r="C29" s="22" t="n">
        <v>100.701160378612</v>
      </c>
      <c r="D29" s="22" t="n">
        <v>104.344594588754</v>
      </c>
      <c r="E29" s="22" t="n">
        <v>101.83668002897</v>
      </c>
      <c r="F29" s="22" t="n">
        <v>110.290841079726</v>
      </c>
      <c r="G29" s="22" t="n">
        <v>109.462630852824</v>
      </c>
      <c r="H29" s="22" t="n">
        <v>118.973033215567</v>
      </c>
      <c r="I29" s="22" t="n">
        <v>114.17989157944</v>
      </c>
      <c r="J29" s="22" t="n">
        <v>117.662592823782</v>
      </c>
      <c r="K29" s="22" t="n">
        <v>118.963210000193</v>
      </c>
      <c r="L29" s="22" t="n">
        <v>114.280857611478</v>
      </c>
      <c r="M29" s="22" t="n">
        <v>108.191644698536</v>
      </c>
      <c r="N29" s="22" t="n">
        <v>107.359618583472</v>
      </c>
      <c r="O29" s="22" t="n">
        <v>108.2051908745</v>
      </c>
      <c r="P29" s="22" t="n">
        <v>112.726482191126</v>
      </c>
      <c r="Q29" s="22" t="n">
        <v>116.060920159231</v>
      </c>
      <c r="R29" s="22" t="n">
        <f aca="false">C29*'Weights &amp; Assumptions'!$F$6+D29*'Weights &amp; Assumptions'!$F$7</f>
        <v>100.74580168644</v>
      </c>
      <c r="S29" s="22" t="n">
        <f aca="false">E29*'Weights &amp; Assumptions'!$F$8+F29*'Weights &amp; Assumptions'!$F$9+H29*'Weights &amp; Assumptions'!$F$11</f>
        <v>111.090139300936</v>
      </c>
      <c r="T29" s="22" t="n">
        <f aca="false">G29*'Weights &amp; Assumptions'!$F$10+I29*'Weights &amp; Assumptions'!$F$12+J29*'Weights &amp; Assumptions'!$F$13+K29*'Weights &amp; Assumptions'!$F$14+L29*'Weights &amp; Assumptions'!$F$15+M29*'Weights &amp; Assumptions'!$F$16+N29*'Weights &amp; Assumptions'!$F$17+O29*'Weights &amp; Assumptions'!$F$18+P29*'Weights &amp; Assumptions'!$F$19+Q29*'Weights &amp; Assumptions'!$F$20</f>
        <v>112.605783873198</v>
      </c>
      <c r="U29" s="22" t="n">
        <f aca="false">R29*'Weights &amp; Assumptions'!$B$25/'Weights &amp; Assumptions'!$B$28+S29*'Weights &amp; Assumptions'!$B$26/'Weights &amp; Assumptions'!$B$28+T29*'Weights &amp; Assumptions'!$B$27/'Weights &amp; Assumptions'!$B$28</f>
        <v>111.207685130577</v>
      </c>
      <c r="V29" s="23" t="n">
        <f aca="false">IFERROR(Tabelle1!E30*'Weights &amp; Assumptions'!$F$6+Tabelle1!F30*'Weights &amp; Assumptions'!$F$7,"")</f>
        <v>79.1819065579671</v>
      </c>
      <c r="W29" s="23" t="n">
        <f aca="false">IFERROR(Tabelle1!G30*'Weights &amp; Assumptions'!$F$8+Tabelle1!H30*'Weights &amp; Assumptions'!$F$9+Tabelle1!J30*'Weights &amp; Assumptions'!$F$11,"")</f>
        <v>112.261956882949</v>
      </c>
      <c r="X29" s="23" t="n">
        <f aca="false">IFERROR(Tabelle1!I30*'Weights &amp; Assumptions'!$F$10+Tabelle1!K30*'Weights &amp; Assumptions'!$F$12+Tabelle1!L30*'Weights &amp; Assumptions'!$F$13+Tabelle1!M30*'Weights &amp; Assumptions'!$F$14+Tabelle1!N30*'Weights &amp; Assumptions'!$F$15+Tabelle1!O30*'Weights &amp; Assumptions'!$F$16+Tabelle1!P30*'Weights &amp; Assumptions'!$F$17+Tabelle1!Q30*'Weights &amp; Assumptions'!$F$18+Tabelle1!R30*'Weights &amp; Assumptions'!$F$19+Tabelle1!S30*'Weights &amp; Assumptions'!$F$20,"")</f>
        <v>112.55603029201</v>
      </c>
      <c r="Y29" s="22" t="n">
        <f aca="false">IFERROR(V29*'Weights &amp; Assumptions'!$B$25/'Weights &amp; Assumptions'!$B$28+W29*'Weights &amp; Assumptions'!$B$26/'Weights &amp; Assumptions'!$B$28+X29*'Weights &amp; Assumptions'!$B$27/'Weights &amp; Assumptions'!$B$28,"")</f>
        <v>109.677714280441</v>
      </c>
    </row>
    <row r="30" customFormat="false" ht="15" hidden="false" customHeight="false" outlineLevel="0" collapsed="false">
      <c r="A30" s="20" t="n">
        <v>38717</v>
      </c>
      <c r="B30" s="21" t="n">
        <v>113.02209</v>
      </c>
      <c r="C30" s="22" t="n">
        <v>106.634349622448</v>
      </c>
      <c r="D30" s="22" t="n">
        <v>129.832852842825</v>
      </c>
      <c r="E30" s="22" t="n">
        <v>98.6223835864386</v>
      </c>
      <c r="F30" s="22" t="n">
        <v>111.150170749612</v>
      </c>
      <c r="G30" s="22" t="n">
        <v>104.936165216232</v>
      </c>
      <c r="H30" s="22" t="n">
        <v>120.435645185149</v>
      </c>
      <c r="I30" s="22" t="n">
        <v>115.576853462254</v>
      </c>
      <c r="J30" s="22" t="n">
        <v>117.341234618647</v>
      </c>
      <c r="K30" s="22" t="n">
        <v>121.322361735479</v>
      </c>
      <c r="L30" s="22" t="n">
        <v>116.880752006666</v>
      </c>
      <c r="M30" s="22" t="n">
        <v>110.219157869209</v>
      </c>
      <c r="N30" s="22" t="n">
        <v>108.108128061749</v>
      </c>
      <c r="O30" s="22" t="n">
        <v>109.037953477046</v>
      </c>
      <c r="P30" s="22" t="n">
        <v>112.660406121073</v>
      </c>
      <c r="Q30" s="22" t="n">
        <v>117.930912758779</v>
      </c>
      <c r="R30" s="22" t="n">
        <f aca="false">C30*'Weights &amp; Assumptions'!$F$6+D30*'Weights &amp; Assumptions'!$F$7</f>
        <v>106.91859011196</v>
      </c>
      <c r="S30" s="22" t="n">
        <f aca="false">E30*'Weights &amp; Assumptions'!$F$8+F30*'Weights &amp; Assumptions'!$F$9+H30*'Weights &amp; Assumptions'!$F$11</f>
        <v>111.588765297084</v>
      </c>
      <c r="T30" s="22" t="n">
        <f aca="false">G30*'Weights &amp; Assumptions'!$F$10+I30*'Weights &amp; Assumptions'!$F$12+J30*'Weights &amp; Assumptions'!$F$13+K30*'Weights &amp; Assumptions'!$F$14+L30*'Weights &amp; Assumptions'!$F$15+M30*'Weights &amp; Assumptions'!$F$16+N30*'Weights &amp; Assumptions'!$F$17+O30*'Weights &amp; Assumptions'!$F$18+P30*'Weights &amp; Assumptions'!$F$19+Q30*'Weights &amp; Assumptions'!$F$20</f>
        <v>113.931640670348</v>
      </c>
      <c r="U30" s="22" t="n">
        <f aca="false">R30*'Weights &amp; Assumptions'!$B$25/'Weights &amp; Assumptions'!$B$28+S30*'Weights &amp; Assumptions'!$B$26/'Weights &amp; Assumptions'!$B$28+T30*'Weights &amp; Assumptions'!$B$27/'Weights &amp; Assumptions'!$B$28</f>
        <v>112.720228404765</v>
      </c>
      <c r="V30" s="23" t="n">
        <f aca="false">IFERROR(Tabelle1!E31*'Weights &amp; Assumptions'!$F$6+Tabelle1!F31*'Weights &amp; Assumptions'!$F$7,"")</f>
        <v>100.843991284967</v>
      </c>
      <c r="W30" s="23" t="n">
        <f aca="false">IFERROR(Tabelle1!G31*'Weights &amp; Assumptions'!$F$8+Tabelle1!H31*'Weights &amp; Assumptions'!$F$9+Tabelle1!J31*'Weights &amp; Assumptions'!$F$11,"")</f>
        <v>110.123019589686</v>
      </c>
      <c r="X30" s="23" t="n">
        <f aca="false">IFERROR(Tabelle1!I31*'Weights &amp; Assumptions'!$F$10+Tabelle1!K31*'Weights &amp; Assumptions'!$F$12+Tabelle1!L31*'Weights &amp; Assumptions'!$F$13+Tabelle1!M31*'Weights &amp; Assumptions'!$F$14+Tabelle1!N31*'Weights &amp; Assumptions'!$F$15+Tabelle1!O31*'Weights &amp; Assumptions'!$F$16+Tabelle1!P31*'Weights &amp; Assumptions'!$F$17+Tabelle1!Q31*'Weights &amp; Assumptions'!$F$18+Tabelle1!R31*'Weights &amp; Assumptions'!$F$19+Tabelle1!S31*'Weights &amp; Assumptions'!$F$20,"")</f>
        <v>113.358504712566</v>
      </c>
      <c r="Y30" s="22" t="n">
        <f aca="false">IFERROR(V30*'Weights &amp; Assumptions'!$B$25/'Weights &amp; Assumptions'!$B$28+W30*'Weights &amp; Assumptions'!$B$26/'Weights &amp; Assumptions'!$B$28+X30*'Weights &amp; Assumptions'!$B$27/'Weights &amp; Assumptions'!$B$28,"")</f>
        <v>111.448154609271</v>
      </c>
    </row>
    <row r="31" customFormat="false" ht="15" hidden="false" customHeight="false" outlineLevel="0" collapsed="false">
      <c r="A31" s="20" t="n">
        <v>38748</v>
      </c>
      <c r="B31" s="21" t="n">
        <v>113.8318</v>
      </c>
      <c r="C31" s="22" t="n">
        <v>104.230348346128</v>
      </c>
      <c r="D31" s="22" t="n">
        <v>112.502267267249</v>
      </c>
      <c r="E31" s="22" t="n">
        <v>103.4345964614</v>
      </c>
      <c r="F31" s="22" t="n">
        <v>112.778587682351</v>
      </c>
      <c r="G31" s="22" t="n">
        <v>107.304647082233</v>
      </c>
      <c r="H31" s="22" t="n">
        <v>120.914650401637</v>
      </c>
      <c r="I31" s="22" t="n">
        <v>115.671180258508</v>
      </c>
      <c r="J31" s="22" t="n">
        <v>118.740210038208</v>
      </c>
      <c r="K31" s="22" t="n">
        <v>121.242706033435</v>
      </c>
      <c r="L31" s="22" t="n">
        <v>116.778961612064</v>
      </c>
      <c r="M31" s="22" t="n">
        <v>109.521772127801</v>
      </c>
      <c r="N31" s="22" t="n">
        <v>106.915106629006</v>
      </c>
      <c r="O31" s="22" t="n">
        <v>108.008876559726</v>
      </c>
      <c r="P31" s="22" t="n">
        <v>109.71784798438</v>
      </c>
      <c r="Q31" s="22" t="n">
        <v>117.497837612677</v>
      </c>
      <c r="R31" s="22" t="n">
        <f aca="false">C31*'Weights &amp; Assumptions'!$F$6+D31*'Weights &amp; Assumptions'!$F$7</f>
        <v>104.331700328236</v>
      </c>
      <c r="S31" s="22" t="n">
        <f aca="false">E31*'Weights &amp; Assumptions'!$F$8+F31*'Weights &amp; Assumptions'!$F$9+H31*'Weights &amp; Assumptions'!$F$11</f>
        <v>113.357870563521</v>
      </c>
      <c r="T31" s="22" t="n">
        <f aca="false">G31*'Weights &amp; Assumptions'!$F$10+I31*'Weights &amp; Assumptions'!$F$12+J31*'Weights &amp; Assumptions'!$F$13+K31*'Weights &amp; Assumptions'!$F$14+L31*'Weights &amp; Assumptions'!$F$15+M31*'Weights &amp; Assumptions'!$F$16+N31*'Weights &amp; Assumptions'!$F$17+O31*'Weights &amp; Assumptions'!$F$18+P31*'Weights &amp; Assumptions'!$F$19+Q31*'Weights &amp; Assumptions'!$F$20</f>
        <v>113.495463539517</v>
      </c>
      <c r="U31" s="22" t="n">
        <f aca="false">R31*'Weights &amp; Assumptions'!$B$25/'Weights &amp; Assumptions'!$B$28+S31*'Weights &amp; Assumptions'!$B$26/'Weights &amp; Assumptions'!$B$28+T31*'Weights &amp; Assumptions'!$B$27/'Weights &amp; Assumptions'!$B$28</f>
        <v>112.690027804208</v>
      </c>
      <c r="V31" s="23" t="n">
        <f aca="false">IFERROR(Tabelle1!E32*'Weights &amp; Assumptions'!$F$6+Tabelle1!F32*'Weights &amp; Assumptions'!$F$7,"")</f>
        <v>68.9224798150201</v>
      </c>
      <c r="W31" s="23" t="n">
        <f aca="false">IFERROR(Tabelle1!G32*'Weights &amp; Assumptions'!$F$8+Tabelle1!H32*'Weights &amp; Assumptions'!$F$9+Tabelle1!J32*'Weights &amp; Assumptions'!$F$11,"")</f>
        <v>108.347155554645</v>
      </c>
      <c r="X31" s="23" t="n">
        <f aca="false">IFERROR(Tabelle1!I32*'Weights &amp; Assumptions'!$F$10+Tabelle1!K32*'Weights &amp; Assumptions'!$F$12+Tabelle1!L32*'Weights &amp; Assumptions'!$F$13+Tabelle1!M32*'Weights &amp; Assumptions'!$F$14+Tabelle1!N32*'Weights &amp; Assumptions'!$F$15+Tabelle1!O32*'Weights &amp; Assumptions'!$F$16+Tabelle1!P32*'Weights &amp; Assumptions'!$F$17+Tabelle1!Q32*'Weights &amp; Assumptions'!$F$18+Tabelle1!R32*'Weights &amp; Assumptions'!$F$19+Tabelle1!S32*'Weights &amp; Assumptions'!$F$20,"")</f>
        <v>111.725568733372</v>
      </c>
      <c r="Y31" s="22" t="n">
        <f aca="false">IFERROR(V31*'Weights &amp; Assumptions'!$B$25/'Weights &amp; Assumptions'!$B$28+W31*'Weights &amp; Assumptions'!$B$26/'Weights &amp; Assumptions'!$B$28+X31*'Weights &amp; Assumptions'!$B$27/'Weights &amp; Assumptions'!$B$28,"")</f>
        <v>107.23597487356</v>
      </c>
    </row>
    <row r="32" customFormat="false" ht="15" hidden="false" customHeight="false" outlineLevel="0" collapsed="false">
      <c r="A32" s="20" t="n">
        <v>38776</v>
      </c>
      <c r="B32" s="21" t="n">
        <v>114.74988</v>
      </c>
      <c r="C32" s="22" t="n">
        <v>100.972816354703</v>
      </c>
      <c r="D32" s="22" t="n">
        <v>179.021338846976</v>
      </c>
      <c r="E32" s="22" t="n">
        <v>101.670334903515</v>
      </c>
      <c r="F32" s="22" t="n">
        <v>113.232109915512</v>
      </c>
      <c r="G32" s="22" t="n">
        <v>109.443028815301</v>
      </c>
      <c r="H32" s="22" t="n">
        <v>121.179347758213</v>
      </c>
      <c r="I32" s="22" t="n">
        <v>117.406413949619</v>
      </c>
      <c r="J32" s="22" t="n">
        <v>119.90893052007</v>
      </c>
      <c r="K32" s="22" t="n">
        <v>123.279663428123</v>
      </c>
      <c r="L32" s="22" t="n">
        <v>117.376219231696</v>
      </c>
      <c r="M32" s="22" t="n">
        <v>110.142538067057</v>
      </c>
      <c r="N32" s="22" t="n">
        <v>107.09921460835</v>
      </c>
      <c r="O32" s="22" t="n">
        <v>108.11014939657</v>
      </c>
      <c r="P32" s="22" t="n">
        <v>110.603822413892</v>
      </c>
      <c r="Q32" s="22" t="n">
        <v>116.065298376239</v>
      </c>
      <c r="R32" s="22" t="n">
        <f aca="false">C32*'Weights &amp; Assumptions'!$F$6+D32*'Weights &amp; Assumptions'!$F$7</f>
        <v>101.929108664951</v>
      </c>
      <c r="S32" s="22" t="n">
        <f aca="false">E32*'Weights &amp; Assumptions'!$F$8+F32*'Weights &amp; Assumptions'!$F$9+H32*'Weights &amp; Assumptions'!$F$11</f>
        <v>113.507257811259</v>
      </c>
      <c r="T32" s="22" t="n">
        <f aca="false">G32*'Weights &amp; Assumptions'!$F$10+I32*'Weights &amp; Assumptions'!$F$12+J32*'Weights &amp; Assumptions'!$F$13+K32*'Weights &amp; Assumptions'!$F$14+L32*'Weights &amp; Assumptions'!$F$15+M32*'Weights &amp; Assumptions'!$F$16+N32*'Weights &amp; Assumptions'!$F$17+O32*'Weights &amp; Assumptions'!$F$18+P32*'Weights &amp; Assumptions'!$F$19+Q32*'Weights &amp; Assumptions'!$F$20</f>
        <v>114.4435384934</v>
      </c>
      <c r="U32" s="22" t="n">
        <f aca="false">R32*'Weights &amp; Assumptions'!$B$25/'Weights &amp; Assumptions'!$B$28+S32*'Weights &amp; Assumptions'!$B$26/'Weights &amp; Assumptions'!$B$28+T32*'Weights &amp; Assumptions'!$B$27/'Weights &amp; Assumptions'!$B$28</f>
        <v>113.144594027819</v>
      </c>
      <c r="V32" s="23" t="n">
        <f aca="false">IFERROR(Tabelle1!E33*'Weights &amp; Assumptions'!$F$6+Tabelle1!F33*'Weights &amp; Assumptions'!$F$7,"")</f>
        <v>67.8538686935793</v>
      </c>
      <c r="W32" s="23" t="n">
        <f aca="false">IFERROR(Tabelle1!G33*'Weights &amp; Assumptions'!$F$8+Tabelle1!H33*'Weights &amp; Assumptions'!$F$9+Tabelle1!J33*'Weights &amp; Assumptions'!$F$11,"")</f>
        <v>106.187394696147</v>
      </c>
      <c r="X32" s="23" t="n">
        <f aca="false">IFERROR(Tabelle1!I33*'Weights &amp; Assumptions'!$F$10+Tabelle1!K33*'Weights &amp; Assumptions'!$F$12+Tabelle1!L33*'Weights &amp; Assumptions'!$F$13+Tabelle1!M33*'Weights &amp; Assumptions'!$F$14+Tabelle1!N33*'Weights &amp; Assumptions'!$F$15+Tabelle1!O33*'Weights &amp; Assumptions'!$F$16+Tabelle1!P33*'Weights &amp; Assumptions'!$F$17+Tabelle1!Q33*'Weights &amp; Assumptions'!$F$18+Tabelle1!R33*'Weights &amp; Assumptions'!$F$19+Tabelle1!S33*'Weights &amp; Assumptions'!$F$20,"")</f>
        <v>110.285838219101</v>
      </c>
      <c r="Y32" s="22" t="n">
        <f aca="false">IFERROR(V32*'Weights &amp; Assumptions'!$B$25/'Weights &amp; Assumptions'!$B$28+W32*'Weights &amp; Assumptions'!$B$26/'Weights &amp; Assumptions'!$B$28+X32*'Weights &amp; Assumptions'!$B$27/'Weights &amp; Assumptions'!$B$28,"")</f>
        <v>105.635912939054</v>
      </c>
    </row>
    <row r="33" customFormat="false" ht="15" hidden="false" customHeight="false" outlineLevel="0" collapsed="false">
      <c r="A33" s="20" t="n">
        <v>38807</v>
      </c>
      <c r="B33" s="21" t="n">
        <v>114.30687</v>
      </c>
      <c r="C33" s="22" t="n">
        <v>100.59662595052</v>
      </c>
      <c r="D33" s="22" t="n">
        <v>132.818336223237</v>
      </c>
      <c r="E33" s="22" t="n">
        <v>104.258684955746</v>
      </c>
      <c r="F33" s="22" t="n">
        <v>115.165428588805</v>
      </c>
      <c r="G33" s="22" t="n">
        <v>106.879443854407</v>
      </c>
      <c r="H33" s="22" t="n">
        <v>122.344846021972</v>
      </c>
      <c r="I33" s="22" t="n">
        <v>119.200798434319</v>
      </c>
      <c r="J33" s="22" t="n">
        <v>121.820990687294</v>
      </c>
      <c r="K33" s="22" t="n">
        <v>125.116735083735</v>
      </c>
      <c r="L33" s="22" t="n">
        <v>118.881454729794</v>
      </c>
      <c r="M33" s="22" t="n">
        <v>111.091025303667</v>
      </c>
      <c r="N33" s="22" t="n">
        <v>107.327115765492</v>
      </c>
      <c r="O33" s="22" t="n">
        <v>108.333261192074</v>
      </c>
      <c r="P33" s="22" t="n">
        <v>109.251148306009</v>
      </c>
      <c r="Q33" s="22" t="n">
        <v>117.738359295604</v>
      </c>
      <c r="R33" s="22" t="n">
        <f aca="false">C33*'Weights &amp; Assumptions'!$F$6+D33*'Weights &amp; Assumptions'!$F$7</f>
        <v>100.991423606809</v>
      </c>
      <c r="S33" s="22" t="n">
        <f aca="false">E33*'Weights &amp; Assumptions'!$F$8+F33*'Weights &amp; Assumptions'!$F$9+H33*'Weights &amp; Assumptions'!$F$11</f>
        <v>115.358830604447</v>
      </c>
      <c r="T33" s="22" t="n">
        <f aca="false">G33*'Weights &amp; Assumptions'!$F$10+I33*'Weights &amp; Assumptions'!$F$12+J33*'Weights &amp; Assumptions'!$F$13+K33*'Weights &amp; Assumptions'!$F$14+L33*'Weights &amp; Assumptions'!$F$15+M33*'Weights &amp; Assumptions'!$F$16+N33*'Weights &amp; Assumptions'!$F$17+O33*'Weights &amp; Assumptions'!$F$18+P33*'Weights &amp; Assumptions'!$F$19+Q33*'Weights &amp; Assumptions'!$F$20</f>
        <v>115.432171467149</v>
      </c>
      <c r="U33" s="22" t="n">
        <f aca="false">R33*'Weights &amp; Assumptions'!$B$25/'Weights &amp; Assumptions'!$B$28+S33*'Weights &amp; Assumptions'!$B$26/'Weights &amp; Assumptions'!$B$28+T33*'Weights &amp; Assumptions'!$B$27/'Weights &amp; Assumptions'!$B$28</f>
        <v>114.201078087577</v>
      </c>
      <c r="V33" s="23" t="n">
        <f aca="false">IFERROR(Tabelle1!E34*'Weights &amp; Assumptions'!$F$6+Tabelle1!F34*'Weights &amp; Assumptions'!$F$7,"")</f>
        <v>128.264992731553</v>
      </c>
      <c r="W33" s="23" t="n">
        <f aca="false">IFERROR(Tabelle1!G34*'Weights &amp; Assumptions'!$F$8+Tabelle1!H34*'Weights &amp; Assumptions'!$F$9+Tabelle1!J34*'Weights &amp; Assumptions'!$F$11,"")</f>
        <v>119.024873592047</v>
      </c>
      <c r="X33" s="23" t="n">
        <f aca="false">IFERROR(Tabelle1!I34*'Weights &amp; Assumptions'!$F$10+Tabelle1!K34*'Weights &amp; Assumptions'!$F$12+Tabelle1!L34*'Weights &amp; Assumptions'!$F$13+Tabelle1!M34*'Weights &amp; Assumptions'!$F$14+Tabelle1!N34*'Weights &amp; Assumptions'!$F$15+Tabelle1!O34*'Weights &amp; Assumptions'!$F$16+Tabelle1!P34*'Weights &amp; Assumptions'!$F$17+Tabelle1!Q34*'Weights &amp; Assumptions'!$F$18+Tabelle1!R34*'Weights &amp; Assumptions'!$F$19+Tabelle1!S34*'Weights &amp; Assumptions'!$F$20,"")</f>
        <v>117.846357874583</v>
      </c>
      <c r="Y33" s="22" t="n">
        <f aca="false">IFERROR(V33*'Weights &amp; Assumptions'!$B$25/'Weights &amp; Assumptions'!$B$28+W33*'Weights &amp; Assumptions'!$B$26/'Weights &amp; Assumptions'!$B$28+X33*'Weights &amp; Assumptions'!$B$27/'Weights &amp; Assumptions'!$B$28,"")</f>
        <v>119.033877925234</v>
      </c>
    </row>
    <row r="34" customFormat="false" ht="15" hidden="false" customHeight="false" outlineLevel="0" collapsed="false">
      <c r="A34" s="20" t="n">
        <v>38837</v>
      </c>
      <c r="B34" s="21" t="n">
        <v>115.84398</v>
      </c>
      <c r="C34" s="22" t="n">
        <v>99.1712684571628</v>
      </c>
      <c r="D34" s="22" t="n">
        <v>124.248137180886</v>
      </c>
      <c r="E34" s="22" t="n">
        <v>104.703541323484</v>
      </c>
      <c r="F34" s="22" t="n">
        <v>114.623954802797</v>
      </c>
      <c r="G34" s="22" t="n">
        <v>107.438112288305</v>
      </c>
      <c r="H34" s="22" t="n">
        <v>123.038309571206</v>
      </c>
      <c r="I34" s="22" t="n">
        <v>117.067192236409</v>
      </c>
      <c r="J34" s="22" t="n">
        <v>124.060810430712</v>
      </c>
      <c r="K34" s="22" t="n">
        <v>125.24627673592</v>
      </c>
      <c r="L34" s="22" t="n">
        <v>118.836068824205</v>
      </c>
      <c r="M34" s="22" t="n">
        <v>110.851780562251</v>
      </c>
      <c r="N34" s="22" t="n">
        <v>107.459088715614</v>
      </c>
      <c r="O34" s="22" t="n">
        <v>108.406948198907</v>
      </c>
      <c r="P34" s="22" t="n">
        <v>110.393516107514</v>
      </c>
      <c r="Q34" s="22" t="n">
        <v>124.615934354899</v>
      </c>
      <c r="R34" s="22" t="n">
        <f aca="false">C34*'Weights &amp; Assumptions'!$F$6+D34*'Weights &amp; Assumptions'!$F$7</f>
        <v>99.4785236871123</v>
      </c>
      <c r="S34" s="22" t="n">
        <f aca="false">E34*'Weights &amp; Assumptions'!$F$8+F34*'Weights &amp; Assumptions'!$F$9+H34*'Weights &amp; Assumptions'!$F$11</f>
        <v>115.192388993552</v>
      </c>
      <c r="T34" s="22" t="n">
        <f aca="false">G34*'Weights &amp; Assumptions'!$F$10+I34*'Weights &amp; Assumptions'!$F$12+J34*'Weights &amp; Assumptions'!$F$13+K34*'Weights &amp; Assumptions'!$F$14+L34*'Weights &amp; Assumptions'!$F$15+M34*'Weights &amp; Assumptions'!$F$16+N34*'Weights &amp; Assumptions'!$F$17+O34*'Weights &amp; Assumptions'!$F$18+P34*'Weights &amp; Assumptions'!$F$19+Q34*'Weights &amp; Assumptions'!$F$20</f>
        <v>115.562982490933</v>
      </c>
      <c r="U34" s="22" t="n">
        <f aca="false">R34*'Weights &amp; Assumptions'!$B$25/'Weights &amp; Assumptions'!$B$28+S34*'Weights &amp; Assumptions'!$B$26/'Weights &amp; Assumptions'!$B$28+T34*'Weights &amp; Assumptions'!$B$27/'Weights &amp; Assumptions'!$B$28</f>
        <v>114.114935727291</v>
      </c>
      <c r="V34" s="23" t="n">
        <f aca="false">IFERROR(Tabelle1!E35*'Weights &amp; Assumptions'!$F$6+Tabelle1!F35*'Weights &amp; Assumptions'!$F$7,"")</f>
        <v>191.163583039773</v>
      </c>
      <c r="W34" s="23" t="n">
        <f aca="false">IFERROR(Tabelle1!G35*'Weights &amp; Assumptions'!$F$8+Tabelle1!H35*'Weights &amp; Assumptions'!$F$9+Tabelle1!J35*'Weights &amp; Assumptions'!$F$11,"")</f>
        <v>115.815387418452</v>
      </c>
      <c r="X34" s="23" t="n">
        <f aca="false">IFERROR(Tabelle1!I35*'Weights &amp; Assumptions'!$F$10+Tabelle1!K35*'Weights &amp; Assumptions'!$F$12+Tabelle1!L35*'Weights &amp; Assumptions'!$F$13+Tabelle1!M35*'Weights &amp; Assumptions'!$F$14+Tabelle1!N35*'Weights &amp; Assumptions'!$F$15+Tabelle1!O35*'Weights &amp; Assumptions'!$F$16+Tabelle1!P35*'Weights &amp; Assumptions'!$F$17+Tabelle1!Q35*'Weights &amp; Assumptions'!$F$18+Tabelle1!R35*'Weights &amp; Assumptions'!$F$19+Tabelle1!S35*'Weights &amp; Assumptions'!$F$20,"")</f>
        <v>115.774232955752</v>
      </c>
      <c r="Y34" s="22" t="n">
        <f aca="false">IFERROR(V34*'Weights &amp; Assumptions'!$B$25/'Weights &amp; Assumptions'!$B$28+W34*'Weights &amp; Assumptions'!$B$26/'Weights &amp; Assumptions'!$B$28+X34*'Weights &amp; Assumptions'!$B$27/'Weights &amp; Assumptions'!$B$28,"")</f>
        <v>122.110405857218</v>
      </c>
    </row>
    <row r="35" customFormat="false" ht="15" hidden="false" customHeight="false" outlineLevel="0" collapsed="false">
      <c r="A35" s="20" t="n">
        <v>38868</v>
      </c>
      <c r="B35" s="21" t="n">
        <v>115.09969</v>
      </c>
      <c r="C35" s="22" t="n">
        <v>100.459992068675</v>
      </c>
      <c r="D35" s="22" t="n">
        <v>130.195425022474</v>
      </c>
      <c r="E35" s="22" t="n">
        <v>105.744623586847</v>
      </c>
      <c r="F35" s="22" t="n">
        <v>115.608245578073</v>
      </c>
      <c r="G35" s="22" t="n">
        <v>110.901105325397</v>
      </c>
      <c r="H35" s="22" t="n">
        <v>124.230776356298</v>
      </c>
      <c r="I35" s="22" t="n">
        <v>120.608528581616</v>
      </c>
      <c r="J35" s="22" t="n">
        <v>123.946896203915</v>
      </c>
      <c r="K35" s="22" t="n">
        <v>126.463053799706</v>
      </c>
      <c r="L35" s="22" t="n">
        <v>120.739829573878</v>
      </c>
      <c r="M35" s="22" t="n">
        <v>111.682867767873</v>
      </c>
      <c r="N35" s="22" t="n">
        <v>108.15368200719</v>
      </c>
      <c r="O35" s="22" t="n">
        <v>109.844932877741</v>
      </c>
      <c r="P35" s="22" t="n">
        <v>110.651881393281</v>
      </c>
      <c r="Q35" s="22" t="n">
        <v>121.469305542264</v>
      </c>
      <c r="R35" s="22" t="n">
        <f aca="false">C35*'Weights &amp; Assumptions'!$F$6+D35*'Weights &amp; Assumptions'!$F$7</f>
        <v>100.824326523288</v>
      </c>
      <c r="S35" s="22" t="n">
        <f aca="false">E35*'Weights &amp; Assumptions'!$F$8+F35*'Weights &amp; Assumptions'!$F$9+H35*'Weights &amp; Assumptions'!$F$11</f>
        <v>116.226828522063</v>
      </c>
      <c r="T35" s="22" t="n">
        <f aca="false">G35*'Weights &amp; Assumptions'!$F$10+I35*'Weights &amp; Assumptions'!$F$12+J35*'Weights &amp; Assumptions'!$F$13+K35*'Weights &amp; Assumptions'!$F$14+L35*'Weights &amp; Assumptions'!$F$15+M35*'Weights &amp; Assumptions'!$F$16+N35*'Weights &amp; Assumptions'!$F$17+O35*'Weights &amp; Assumptions'!$F$18+P35*'Weights &amp; Assumptions'!$F$19+Q35*'Weights &amp; Assumptions'!$F$20</f>
        <v>116.886266438969</v>
      </c>
      <c r="U35" s="22" t="n">
        <f aca="false">R35*'Weights &amp; Assumptions'!$B$25/'Weights &amp; Assumptions'!$B$28+S35*'Weights &amp; Assumptions'!$B$26/'Weights &amp; Assumptions'!$B$28+T35*'Weights &amp; Assumptions'!$B$27/'Weights &amp; Assumptions'!$B$28</f>
        <v>115.363300252048</v>
      </c>
      <c r="V35" s="23" t="n">
        <f aca="false">IFERROR(Tabelle1!E36*'Weights &amp; Assumptions'!$F$6+Tabelle1!F36*'Weights &amp; Assumptions'!$F$7,"")</f>
        <v>279.66275893422</v>
      </c>
      <c r="W35" s="23" t="n">
        <f aca="false">IFERROR(Tabelle1!G36*'Weights &amp; Assumptions'!$F$8+Tabelle1!H36*'Weights &amp; Assumptions'!$F$9+Tabelle1!J36*'Weights &amp; Assumptions'!$F$11,"")</f>
        <v>118.698156644379</v>
      </c>
      <c r="X35" s="23" t="n">
        <f aca="false">IFERROR(Tabelle1!I36*'Weights &amp; Assumptions'!$F$10+Tabelle1!K36*'Weights &amp; Assumptions'!$F$12+Tabelle1!L36*'Weights &amp; Assumptions'!$F$13+Tabelle1!M36*'Weights &amp; Assumptions'!$F$14+Tabelle1!N36*'Weights &amp; Assumptions'!$F$15+Tabelle1!O36*'Weights &amp; Assumptions'!$F$16+Tabelle1!P36*'Weights &amp; Assumptions'!$F$17+Tabelle1!Q36*'Weights &amp; Assumptions'!$F$18+Tabelle1!R36*'Weights &amp; Assumptions'!$F$19+Tabelle1!S36*'Weights &amp; Assumptions'!$F$20,"")</f>
        <v>119.66015182887</v>
      </c>
      <c r="Y35" s="22" t="n">
        <f aca="false">IFERROR(V35*'Weights &amp; Assumptions'!$B$25/'Weights &amp; Assumptions'!$B$28+W35*'Weights &amp; Assumptions'!$B$26/'Weights &amp; Assumptions'!$B$28+X35*'Weights &amp; Assumptions'!$B$27/'Weights &amp; Assumptions'!$B$28,"")</f>
        <v>132.828692395065</v>
      </c>
    </row>
    <row r="36" customFormat="false" ht="15" hidden="false" customHeight="false" outlineLevel="0" collapsed="false">
      <c r="A36" s="20" t="n">
        <v>38898</v>
      </c>
      <c r="B36" s="21" t="n">
        <v>116.25305</v>
      </c>
      <c r="C36" s="22" t="n">
        <v>100.974049560998</v>
      </c>
      <c r="D36" s="22" t="n">
        <v>123.42987527031</v>
      </c>
      <c r="E36" s="22" t="n">
        <v>106.295451049513</v>
      </c>
      <c r="F36" s="22" t="n">
        <v>117.425376154988</v>
      </c>
      <c r="G36" s="22" t="n">
        <v>112.857895096937</v>
      </c>
      <c r="H36" s="22" t="n">
        <v>124.81195519378</v>
      </c>
      <c r="I36" s="22" t="n">
        <v>121.710833413997</v>
      </c>
      <c r="J36" s="22" t="n">
        <v>125.569091435617</v>
      </c>
      <c r="K36" s="22" t="n">
        <v>128.1817962405</v>
      </c>
      <c r="L36" s="22" t="n">
        <v>123.440090992602</v>
      </c>
      <c r="M36" s="22" t="n">
        <v>112.524193189132</v>
      </c>
      <c r="N36" s="22" t="n">
        <v>108.652331944681</v>
      </c>
      <c r="O36" s="22" t="n">
        <v>110.389225046091</v>
      </c>
      <c r="P36" s="22" t="n">
        <v>110.663498689626</v>
      </c>
      <c r="Q36" s="22" t="n">
        <v>118.753478155829</v>
      </c>
      <c r="R36" s="22" t="n">
        <f aca="false">C36*'Weights &amp; Assumptions'!$F$6+D36*'Weights &amp; Assumptions'!$F$7</f>
        <v>101.249190367772</v>
      </c>
      <c r="S36" s="22" t="n">
        <f aca="false">E36*'Weights &amp; Assumptions'!$F$8+F36*'Weights &amp; Assumptions'!$F$9+H36*'Weights &amp; Assumptions'!$F$11</f>
        <v>117.635287469428</v>
      </c>
      <c r="T36" s="22" t="n">
        <f aca="false">G36*'Weights &amp; Assumptions'!$F$10+I36*'Weights &amp; Assumptions'!$F$12+J36*'Weights &amp; Assumptions'!$F$13+K36*'Weights &amp; Assumptions'!$F$14+L36*'Weights &amp; Assumptions'!$F$15+M36*'Weights &amp; Assumptions'!$F$16+N36*'Weights &amp; Assumptions'!$F$17+O36*'Weights &amp; Assumptions'!$F$18+P36*'Weights &amp; Assumptions'!$F$19+Q36*'Weights &amp; Assumptions'!$F$20</f>
        <v>117.808787561056</v>
      </c>
      <c r="U36" s="22" t="n">
        <f aca="false">R36*'Weights &amp; Assumptions'!$B$25/'Weights &amp; Assumptions'!$B$28+S36*'Weights &amp; Assumptions'!$B$26/'Weights &amp; Assumptions'!$B$28+T36*'Weights &amp; Assumptions'!$B$27/'Weights &amp; Assumptions'!$B$28</f>
        <v>116.373286870578</v>
      </c>
      <c r="V36" s="23" t="n">
        <f aca="false">IFERROR(Tabelle1!E37*'Weights &amp; Assumptions'!$F$6+Tabelle1!F37*'Weights &amp; Assumptions'!$F$7,"")</f>
        <v>188.599361962432</v>
      </c>
      <c r="W36" s="23" t="n">
        <f aca="false">IFERROR(Tabelle1!G37*'Weights &amp; Assumptions'!$F$8+Tabelle1!H37*'Weights &amp; Assumptions'!$F$9+Tabelle1!J37*'Weights &amp; Assumptions'!$F$11,"")</f>
        <v>117.173631628585</v>
      </c>
      <c r="X36" s="23" t="n">
        <f aca="false">IFERROR(Tabelle1!I37*'Weights &amp; Assumptions'!$F$10+Tabelle1!K37*'Weights &amp; Assumptions'!$F$12+Tabelle1!L37*'Weights &amp; Assumptions'!$F$13+Tabelle1!M37*'Weights &amp; Assumptions'!$F$14+Tabelle1!N37*'Weights &amp; Assumptions'!$F$15+Tabelle1!O37*'Weights &amp; Assumptions'!$F$16+Tabelle1!P37*'Weights &amp; Assumptions'!$F$17+Tabelle1!Q37*'Weights &amp; Assumptions'!$F$18+Tabelle1!R37*'Weights &amp; Assumptions'!$F$19+Tabelle1!S37*'Weights &amp; Assumptions'!$F$20,"")</f>
        <v>119.744419868314</v>
      </c>
      <c r="Y36" s="22" t="n">
        <f aca="false">IFERROR(V36*'Weights &amp; Assumptions'!$B$25/'Weights &amp; Assumptions'!$B$28+W36*'Weights &amp; Assumptions'!$B$26/'Weights &amp; Assumptions'!$B$28+X36*'Weights &amp; Assumptions'!$B$27/'Weights &amp; Assumptions'!$B$28,"")</f>
        <v>124.837789311081</v>
      </c>
    </row>
    <row r="37" customFormat="false" ht="15" hidden="false" customHeight="false" outlineLevel="0" collapsed="false">
      <c r="A37" s="20" t="n">
        <v>38929</v>
      </c>
      <c r="B37" s="21" t="n">
        <v>118.14538</v>
      </c>
      <c r="C37" s="22" t="n">
        <v>104.144104930709</v>
      </c>
      <c r="D37" s="22" t="n">
        <v>135.76869070549</v>
      </c>
      <c r="E37" s="22" t="n">
        <v>107.001653464496</v>
      </c>
      <c r="F37" s="22" t="n">
        <v>118.514989804327</v>
      </c>
      <c r="G37" s="22" t="n">
        <v>113.366127912472</v>
      </c>
      <c r="H37" s="22" t="n">
        <v>127.093660642822</v>
      </c>
      <c r="I37" s="22" t="n">
        <v>121.599909846702</v>
      </c>
      <c r="J37" s="22" t="n">
        <v>126.25090871916</v>
      </c>
      <c r="K37" s="22" t="n">
        <v>129.353447393011</v>
      </c>
      <c r="L37" s="22" t="n">
        <v>124.228523490701</v>
      </c>
      <c r="M37" s="22" t="n">
        <v>113.314258162189</v>
      </c>
      <c r="N37" s="22" t="n">
        <v>109.054255998811</v>
      </c>
      <c r="O37" s="22" t="n">
        <v>110.456584902204</v>
      </c>
      <c r="P37" s="22" t="n">
        <v>112.514901432725</v>
      </c>
      <c r="Q37" s="22" t="n">
        <v>121.783005765062</v>
      </c>
      <c r="R37" s="22" t="n">
        <f aca="false">C37*'Weights &amp; Assumptions'!$F$6+D37*'Weights &amp; Assumptions'!$F$7</f>
        <v>104.531586297755</v>
      </c>
      <c r="S37" s="22" t="n">
        <f aca="false">E37*'Weights &amp; Assumptions'!$F$8+F37*'Weights &amp; Assumptions'!$F$9+H37*'Weights &amp; Assumptions'!$F$11</f>
        <v>118.927463573122</v>
      </c>
      <c r="T37" s="22" t="n">
        <f aca="false">G37*'Weights &amp; Assumptions'!$F$10+I37*'Weights &amp; Assumptions'!$F$12+J37*'Weights &amp; Assumptions'!$F$13+K37*'Weights &amp; Assumptions'!$F$14+L37*'Weights &amp; Assumptions'!$F$15+M37*'Weights &amp; Assumptions'!$F$16+N37*'Weights &amp; Assumptions'!$F$17+O37*'Weights &amp; Assumptions'!$F$18+P37*'Weights &amp; Assumptions'!$F$19+Q37*'Weights &amp; Assumptions'!$F$20</f>
        <v>118.568022851998</v>
      </c>
      <c r="U37" s="22" t="n">
        <f aca="false">R37*'Weights &amp; Assumptions'!$B$25/'Weights &amp; Assumptions'!$B$28+S37*'Weights &amp; Assumptions'!$B$26/'Weights &amp; Assumptions'!$B$28+T37*'Weights &amp; Assumptions'!$B$27/'Weights &amp; Assumptions'!$B$28</f>
        <v>117.485935710515</v>
      </c>
      <c r="V37" s="23" t="n">
        <f aca="false">IFERROR(Tabelle1!E38*'Weights &amp; Assumptions'!$F$6+Tabelle1!F38*'Weights &amp; Assumptions'!$F$7,"")</f>
        <v>104.411987731016</v>
      </c>
      <c r="W37" s="23" t="n">
        <f aca="false">IFERROR(Tabelle1!G38*'Weights &amp; Assumptions'!$F$8+Tabelle1!H38*'Weights &amp; Assumptions'!$F$9+Tabelle1!J38*'Weights &amp; Assumptions'!$F$11,"")</f>
        <v>119.954815029972</v>
      </c>
      <c r="X37" s="23" t="n">
        <f aca="false">IFERROR(Tabelle1!I38*'Weights &amp; Assumptions'!$F$10+Tabelle1!K38*'Weights &amp; Assumptions'!$F$12+Tabelle1!L38*'Weights &amp; Assumptions'!$F$13+Tabelle1!M38*'Weights &amp; Assumptions'!$F$14+Tabelle1!N38*'Weights &amp; Assumptions'!$F$15+Tabelle1!O38*'Weights &amp; Assumptions'!$F$16+Tabelle1!P38*'Weights &amp; Assumptions'!$F$17+Tabelle1!Q38*'Weights &amp; Assumptions'!$F$18+Tabelle1!R38*'Weights &amp; Assumptions'!$F$19+Tabelle1!S38*'Weights &amp; Assumptions'!$F$20,"")</f>
        <v>119.714388088507</v>
      </c>
      <c r="Y37" s="22" t="n">
        <f aca="false">IFERROR(V37*'Weights &amp; Assumptions'!$B$25/'Weights &amp; Assumptions'!$B$28+W37*'Weights &amp; Assumptions'!$B$26/'Weights &amp; Assumptions'!$B$28+X37*'Weights &amp; Assumptions'!$B$27/'Weights &amp; Assumptions'!$B$28,"")</f>
        <v>118.494437687435</v>
      </c>
    </row>
    <row r="38" customFormat="false" ht="15" hidden="false" customHeight="false" outlineLevel="0" collapsed="false">
      <c r="A38" s="20" t="n">
        <v>38960</v>
      </c>
      <c r="B38" s="21" t="n">
        <v>118.75377</v>
      </c>
      <c r="C38" s="22" t="n">
        <v>107.601287348082</v>
      </c>
      <c r="D38" s="22" t="n">
        <v>147.118039859431</v>
      </c>
      <c r="E38" s="22" t="n">
        <v>104.906228038382</v>
      </c>
      <c r="F38" s="22" t="n">
        <v>118.671059768224</v>
      </c>
      <c r="G38" s="22" t="n">
        <v>114.581044577841</v>
      </c>
      <c r="H38" s="22" t="n">
        <v>127.266569265932</v>
      </c>
      <c r="I38" s="22" t="n">
        <v>124.435584254574</v>
      </c>
      <c r="J38" s="22" t="n">
        <v>127.62795539448</v>
      </c>
      <c r="K38" s="22" t="n">
        <v>131.881456948977</v>
      </c>
      <c r="L38" s="22" t="n">
        <v>126.081190647898</v>
      </c>
      <c r="M38" s="22" t="n">
        <v>112.787689271979</v>
      </c>
      <c r="N38" s="22" t="n">
        <v>109.729662785439</v>
      </c>
      <c r="O38" s="22" t="n">
        <v>111.089744530245</v>
      </c>
      <c r="P38" s="22" t="n">
        <v>115.70266821119</v>
      </c>
      <c r="Q38" s="22" t="n">
        <v>122.647369546942</v>
      </c>
      <c r="R38" s="22" t="n">
        <f aca="false">C38*'Weights &amp; Assumptions'!$F$6+D38*'Weights &amp; Assumptions'!$F$7</f>
        <v>108.085467770028</v>
      </c>
      <c r="S38" s="22" t="n">
        <f aca="false">E38*'Weights &amp; Assumptions'!$F$8+F38*'Weights &amp; Assumptions'!$F$9+H38*'Weights &amp; Assumptions'!$F$11</f>
        <v>118.818218035893</v>
      </c>
      <c r="T38" s="22" t="n">
        <f aca="false">G38*'Weights &amp; Assumptions'!$F$10+I38*'Weights &amp; Assumptions'!$F$12+J38*'Weights &amp; Assumptions'!$F$13+K38*'Weights &amp; Assumptions'!$F$14+L38*'Weights &amp; Assumptions'!$F$15+M38*'Weights &amp; Assumptions'!$F$16+N38*'Weights &amp; Assumptions'!$F$17+O38*'Weights &amp; Assumptions'!$F$18+P38*'Weights &amp; Assumptions'!$F$19+Q38*'Weights &amp; Assumptions'!$F$20</f>
        <v>120.035426908073</v>
      </c>
      <c r="U38" s="22" t="n">
        <f aca="false">R38*'Weights &amp; Assumptions'!$B$25/'Weights &amp; Assumptions'!$B$28+S38*'Weights &amp; Assumptions'!$B$26/'Weights &amp; Assumptions'!$B$28+T38*'Weights &amp; Assumptions'!$B$27/'Weights &amp; Assumptions'!$B$28</f>
        <v>118.709138290137</v>
      </c>
      <c r="V38" s="23" t="n">
        <f aca="false">IFERROR(Tabelle1!E39*'Weights &amp; Assumptions'!$F$6+Tabelle1!F39*'Weights &amp; Assumptions'!$F$7,"")</f>
        <v>72.3717309196553</v>
      </c>
      <c r="W38" s="23" t="n">
        <f aca="false">IFERROR(Tabelle1!G39*'Weights &amp; Assumptions'!$F$8+Tabelle1!H39*'Weights &amp; Assumptions'!$F$9+Tabelle1!J39*'Weights &amp; Assumptions'!$F$11,"")</f>
        <v>120.708913026158</v>
      </c>
      <c r="X38" s="23" t="n">
        <f aca="false">IFERROR(Tabelle1!I39*'Weights &amp; Assumptions'!$F$10+Tabelle1!K39*'Weights &amp; Assumptions'!$F$12+Tabelle1!L39*'Weights &amp; Assumptions'!$F$13+Tabelle1!M39*'Weights &amp; Assumptions'!$F$14+Tabelle1!N39*'Weights &amp; Assumptions'!$F$15+Tabelle1!O39*'Weights &amp; Assumptions'!$F$16+Tabelle1!P39*'Weights &amp; Assumptions'!$F$17+Tabelle1!Q39*'Weights &amp; Assumptions'!$F$18+Tabelle1!R39*'Weights &amp; Assumptions'!$F$19+Tabelle1!S39*'Weights &amp; Assumptions'!$F$20,"")</f>
        <v>120.855116024535</v>
      </c>
      <c r="Y38" s="22" t="n">
        <f aca="false">IFERROR(V38*'Weights &amp; Assumptions'!$B$25/'Weights &amp; Assumptions'!$B$28+W38*'Weights &amp; Assumptions'!$B$26/'Weights &amp; Assumptions'!$B$28+X38*'Weights &amp; Assumptions'!$B$27/'Weights &amp; Assumptions'!$B$28,"")</f>
        <v>116.748441735277</v>
      </c>
    </row>
    <row r="39" customFormat="false" ht="15" hidden="false" customHeight="false" outlineLevel="0" collapsed="false">
      <c r="A39" s="20" t="n">
        <v>38990</v>
      </c>
      <c r="B39" s="21" t="n">
        <v>119.80935</v>
      </c>
      <c r="C39" s="22" t="n">
        <v>108.211177406861</v>
      </c>
      <c r="D39" s="22" t="n">
        <v>137.784281307998</v>
      </c>
      <c r="E39" s="22" t="n">
        <v>106.695904251552</v>
      </c>
      <c r="F39" s="22" t="n">
        <v>117.323850320849</v>
      </c>
      <c r="G39" s="22" t="n">
        <v>112.788052543913</v>
      </c>
      <c r="H39" s="22" t="n">
        <v>128.626688619748</v>
      </c>
      <c r="I39" s="22" t="n">
        <v>123.609883401919</v>
      </c>
      <c r="J39" s="22" t="n">
        <v>127.281102867111</v>
      </c>
      <c r="K39" s="22" t="n">
        <v>133.387186633388</v>
      </c>
      <c r="L39" s="22" t="n">
        <v>128.105545836115</v>
      </c>
      <c r="M39" s="22" t="n">
        <v>113.389069915327</v>
      </c>
      <c r="N39" s="22" t="n">
        <v>110.5524024951</v>
      </c>
      <c r="O39" s="22" t="n">
        <v>112.185040430786</v>
      </c>
      <c r="P39" s="22" t="n">
        <v>115.308311366186</v>
      </c>
      <c r="Q39" s="22" t="n">
        <v>122.552993186083</v>
      </c>
      <c r="R39" s="22" t="n">
        <f aca="false">C39*'Weights &amp; Assumptions'!$F$6+D39*'Weights &amp; Assumptions'!$F$7</f>
        <v>108.573522918957</v>
      </c>
      <c r="S39" s="22" t="n">
        <f aca="false">E39*'Weights &amp; Assumptions'!$F$8+F39*'Weights &amp; Assumptions'!$F$9+H39*'Weights &amp; Assumptions'!$F$11</f>
        <v>118.409546082489</v>
      </c>
      <c r="T39" s="22" t="n">
        <f aca="false">G39*'Weights &amp; Assumptions'!$F$10+I39*'Weights &amp; Assumptions'!$F$12+J39*'Weights &amp; Assumptions'!$F$13+K39*'Weights &amp; Assumptions'!$F$14+L39*'Weights &amp; Assumptions'!$F$15+M39*'Weights &amp; Assumptions'!$F$16+N39*'Weights &amp; Assumptions'!$F$17+O39*'Weights &amp; Assumptions'!$F$18+P39*'Weights &amp; Assumptions'!$F$19+Q39*'Weights &amp; Assumptions'!$F$20</f>
        <v>120.42099557935</v>
      </c>
      <c r="U39" s="22" t="n">
        <f aca="false">R39*'Weights &amp; Assumptions'!$B$25/'Weights &amp; Assumptions'!$B$28+S39*'Weights &amp; Assumptions'!$B$26/'Weights &amp; Assumptions'!$B$28+T39*'Weights &amp; Assumptions'!$B$27/'Weights &amp; Assumptions'!$B$28</f>
        <v>118.892103206149</v>
      </c>
      <c r="V39" s="23" t="n">
        <f aca="false">IFERROR(Tabelle1!E40*'Weights &amp; Assumptions'!$F$6+Tabelle1!F40*'Weights &amp; Assumptions'!$F$7,"")</f>
        <v>67.3621807639957</v>
      </c>
      <c r="W39" s="23" t="n">
        <f aca="false">IFERROR(Tabelle1!G40*'Weights &amp; Assumptions'!$F$8+Tabelle1!H40*'Weights &amp; Assumptions'!$F$9+Tabelle1!J40*'Weights &amp; Assumptions'!$F$11,"")</f>
        <v>120.729213665528</v>
      </c>
      <c r="X39" s="23" t="n">
        <f aca="false">IFERROR(Tabelle1!I40*'Weights &amp; Assumptions'!$F$10+Tabelle1!K40*'Weights &amp; Assumptions'!$F$12+Tabelle1!L40*'Weights &amp; Assumptions'!$F$13+Tabelle1!M40*'Weights &amp; Assumptions'!$F$14+Tabelle1!N40*'Weights &amp; Assumptions'!$F$15+Tabelle1!O40*'Weights &amp; Assumptions'!$F$16+Tabelle1!P40*'Weights &amp; Assumptions'!$F$17+Tabelle1!Q40*'Weights &amp; Assumptions'!$F$18+Tabelle1!R40*'Weights &amp; Assumptions'!$F$19+Tabelle1!S40*'Weights &amp; Assumptions'!$F$20,"")</f>
        <v>119.815883196808</v>
      </c>
      <c r="Y39" s="22" t="n">
        <f aca="false">IFERROR(V39*'Weights &amp; Assumptions'!$B$25/'Weights &amp; Assumptions'!$B$28+W39*'Weights &amp; Assumptions'!$B$26/'Weights &amp; Assumptions'!$B$28+X39*'Weights &amp; Assumptions'!$B$27/'Weights &amp; Assumptions'!$B$28,"")</f>
        <v>115.657844436651</v>
      </c>
    </row>
    <row r="40" customFormat="false" ht="15" hidden="false" customHeight="false" outlineLevel="0" collapsed="false">
      <c r="A40" s="20" t="n">
        <v>39021</v>
      </c>
      <c r="B40" s="21" t="n">
        <v>120.53007</v>
      </c>
      <c r="C40" s="22" t="n">
        <v>102.191634157301</v>
      </c>
      <c r="D40" s="22" t="n">
        <v>140.918745566832</v>
      </c>
      <c r="E40" s="22" t="n">
        <v>107.262503597056</v>
      </c>
      <c r="F40" s="22" t="n">
        <v>117.692036789596</v>
      </c>
      <c r="G40" s="22" t="n">
        <v>117.928585896056</v>
      </c>
      <c r="H40" s="22" t="n">
        <v>130.528138530383</v>
      </c>
      <c r="I40" s="22" t="n">
        <v>123.848701062192</v>
      </c>
      <c r="J40" s="22" t="n">
        <v>128.269341923929</v>
      </c>
      <c r="K40" s="22" t="n">
        <v>133.876002579047</v>
      </c>
      <c r="L40" s="22" t="n">
        <v>130.377616981121</v>
      </c>
      <c r="M40" s="22" t="n">
        <v>114.539302142219</v>
      </c>
      <c r="N40" s="22" t="n">
        <v>110.478357170158</v>
      </c>
      <c r="O40" s="22" t="n">
        <v>112.567385875697</v>
      </c>
      <c r="P40" s="22" t="n">
        <v>114.750744577112</v>
      </c>
      <c r="Q40" s="22" t="n">
        <v>123.285565750878</v>
      </c>
      <c r="R40" s="22" t="n">
        <f aca="false">C40*'Weights &amp; Assumptions'!$F$6+D40*'Weights &amp; Assumptions'!$F$7</f>
        <v>102.666139473435</v>
      </c>
      <c r="S40" s="22" t="n">
        <f aca="false">E40*'Weights &amp; Assumptions'!$F$8+F40*'Weights &amp; Assumptions'!$F$9+H40*'Weights &amp; Assumptions'!$F$11</f>
        <v>119.12083758259</v>
      </c>
      <c r="T40" s="22" t="n">
        <f aca="false">G40*'Weights &amp; Assumptions'!$F$10+I40*'Weights &amp; Assumptions'!$F$12+J40*'Weights &amp; Assumptions'!$F$13+K40*'Weights &amp; Assumptions'!$F$14+L40*'Weights &amp; Assumptions'!$F$15+M40*'Weights &amp; Assumptions'!$F$16+N40*'Weights &amp; Assumptions'!$F$17+O40*'Weights &amp; Assumptions'!$F$18+P40*'Weights &amp; Assumptions'!$F$19+Q40*'Weights &amp; Assumptions'!$F$20</f>
        <v>121.161417698126</v>
      </c>
      <c r="U40" s="22" t="n">
        <f aca="false">R40*'Weights &amp; Assumptions'!$B$25/'Weights &amp; Assumptions'!$B$28+S40*'Weights &amp; Assumptions'!$B$26/'Weights &amp; Assumptions'!$B$28+T40*'Weights &amp; Assumptions'!$B$27/'Weights &amp; Assumptions'!$B$28</f>
        <v>119.067022565423</v>
      </c>
      <c r="V40" s="23" t="n">
        <f aca="false">IFERROR(Tabelle1!E41*'Weights &amp; Assumptions'!$F$6+Tabelle1!F41*'Weights &amp; Assumptions'!$F$7,"")</f>
        <v>63.5286790214658</v>
      </c>
      <c r="W40" s="23" t="n">
        <f aca="false">IFERROR(Tabelle1!G41*'Weights &amp; Assumptions'!$F$8+Tabelle1!H41*'Weights &amp; Assumptions'!$F$9+Tabelle1!J41*'Weights &amp; Assumptions'!$F$11,"")</f>
        <v>123.169720635158</v>
      </c>
      <c r="X40" s="23" t="n">
        <f aca="false">IFERROR(Tabelle1!I41*'Weights &amp; Assumptions'!$F$10+Tabelle1!K41*'Weights &amp; Assumptions'!$F$12+Tabelle1!L41*'Weights &amp; Assumptions'!$F$13+Tabelle1!M41*'Weights &amp; Assumptions'!$F$14+Tabelle1!N41*'Weights &amp; Assumptions'!$F$15+Tabelle1!O41*'Weights &amp; Assumptions'!$F$16+Tabelle1!P41*'Weights &amp; Assumptions'!$F$17+Tabelle1!Q41*'Weights &amp; Assumptions'!$F$18+Tabelle1!R41*'Weights &amp; Assumptions'!$F$19+Tabelle1!S41*'Weights &amp; Assumptions'!$F$20,"")</f>
        <v>120.757681255185</v>
      </c>
      <c r="Y40" s="22" t="n">
        <f aca="false">IFERROR(V40*'Weights &amp; Assumptions'!$B$25/'Weights &amp; Assumptions'!$B$28+W40*'Weights &amp; Assumptions'!$B$26/'Weights &amp; Assumptions'!$B$28+X40*'Weights &amp; Assumptions'!$B$27/'Weights &amp; Assumptions'!$B$28,"")</f>
        <v>116.597523746933</v>
      </c>
    </row>
    <row r="41" customFormat="false" ht="15" hidden="false" customHeight="false" outlineLevel="0" collapsed="false">
      <c r="A41" s="20" t="n">
        <v>39051</v>
      </c>
      <c r="B41" s="21" t="n">
        <v>120.65319</v>
      </c>
      <c r="C41" s="22" t="n">
        <v>102.579666885744</v>
      </c>
      <c r="D41" s="22" t="n">
        <v>110.191704572927</v>
      </c>
      <c r="E41" s="22" t="n">
        <v>102.80526349026</v>
      </c>
      <c r="F41" s="22" t="n">
        <v>120.024244212414</v>
      </c>
      <c r="G41" s="22" t="n">
        <v>115.242644068575</v>
      </c>
      <c r="H41" s="22" t="n">
        <v>131.998841772588</v>
      </c>
      <c r="I41" s="22" t="n">
        <v>127.903811682048</v>
      </c>
      <c r="J41" s="22" t="n">
        <v>128.928671690788</v>
      </c>
      <c r="K41" s="22" t="n">
        <v>136.093053428514</v>
      </c>
      <c r="L41" s="22" t="n">
        <v>132.498725583475</v>
      </c>
      <c r="M41" s="22" t="n">
        <v>115.180546583277</v>
      </c>
      <c r="N41" s="22" t="n">
        <v>110.257191385397</v>
      </c>
      <c r="O41" s="22" t="n">
        <v>112.308757285145</v>
      </c>
      <c r="P41" s="22" t="n">
        <v>114.891426614782</v>
      </c>
      <c r="Q41" s="22" t="n">
        <v>125.186693963588</v>
      </c>
      <c r="R41" s="22" t="n">
        <f aca="false">C41*'Weights &amp; Assumptions'!$F$6+D41*'Weights &amp; Assumptions'!$F$7</f>
        <v>102.672933649458</v>
      </c>
      <c r="S41" s="22" t="n">
        <f aca="false">E41*'Weights &amp; Assumptions'!$F$8+F41*'Weights &amp; Assumptions'!$F$9+H41*'Weights &amp; Assumptions'!$F$11</f>
        <v>120.462928856224</v>
      </c>
      <c r="T41" s="22" t="n">
        <f aca="false">G41*'Weights &amp; Assumptions'!$F$10+I41*'Weights &amp; Assumptions'!$F$12+J41*'Weights &amp; Assumptions'!$F$13+K41*'Weights &amp; Assumptions'!$F$14+L41*'Weights &amp; Assumptions'!$F$15+M41*'Weights &amp; Assumptions'!$F$16+N41*'Weights &amp; Assumptions'!$F$17+O41*'Weights &amp; Assumptions'!$F$18+P41*'Weights &amp; Assumptions'!$F$19+Q41*'Weights &amp; Assumptions'!$F$20</f>
        <v>122.630973172102</v>
      </c>
      <c r="U41" s="22" t="n">
        <f aca="false">R41*'Weights &amp; Assumptions'!$B$25/'Weights &amp; Assumptions'!$B$28+S41*'Weights &amp; Assumptions'!$B$26/'Weights &amp; Assumptions'!$B$28+T41*'Weights &amp; Assumptions'!$B$27/'Weights &amp; Assumptions'!$B$28</f>
        <v>120.379956191757</v>
      </c>
      <c r="V41" s="23" t="n">
        <f aca="false">IFERROR(Tabelle1!E42*'Weights &amp; Assumptions'!$F$6+Tabelle1!F42*'Weights &amp; Assumptions'!$F$7,"")</f>
        <v>79.8718562285313</v>
      </c>
      <c r="W41" s="23" t="n">
        <f aca="false">IFERROR(Tabelle1!G42*'Weights &amp; Assumptions'!$F$8+Tabelle1!H42*'Weights &amp; Assumptions'!$F$9+Tabelle1!J42*'Weights &amp; Assumptions'!$F$11,"")</f>
        <v>122.273921996104</v>
      </c>
      <c r="X41" s="23" t="n">
        <f aca="false">IFERROR(Tabelle1!I42*'Weights &amp; Assumptions'!$F$10+Tabelle1!K42*'Weights &amp; Assumptions'!$F$12+Tabelle1!L42*'Weights &amp; Assumptions'!$F$13+Tabelle1!M42*'Weights &amp; Assumptions'!$F$14+Tabelle1!N42*'Weights &amp; Assumptions'!$F$15+Tabelle1!O42*'Weights &amp; Assumptions'!$F$16+Tabelle1!P42*'Weights &amp; Assumptions'!$F$17+Tabelle1!Q42*'Weights &amp; Assumptions'!$F$18+Tabelle1!R42*'Weights &amp; Assumptions'!$F$19+Tabelle1!S42*'Weights &amp; Assumptions'!$F$20,"")</f>
        <v>122.671243229475</v>
      </c>
      <c r="Y41" s="22" t="n">
        <f aca="false">IFERROR(V41*'Weights &amp; Assumptions'!$B$25/'Weights &amp; Assumptions'!$B$28+W41*'Weights &amp; Assumptions'!$B$26/'Weights &amp; Assumptions'!$B$28+X41*'Weights &amp; Assumptions'!$B$27/'Weights &amp; Assumptions'!$B$28,"")</f>
        <v>118.974684386091</v>
      </c>
    </row>
    <row r="42" customFormat="false" ht="15" hidden="false" customHeight="false" outlineLevel="0" collapsed="false">
      <c r="A42" s="20" t="n">
        <v>39082</v>
      </c>
      <c r="B42" s="21" t="n">
        <v>123.35638</v>
      </c>
      <c r="C42" s="22" t="n">
        <v>105.959969952316</v>
      </c>
      <c r="D42" s="22" t="n">
        <v>108.931702377463</v>
      </c>
      <c r="E42" s="22" t="n">
        <v>104.486605613868</v>
      </c>
      <c r="F42" s="22" t="n">
        <v>120.956263320883</v>
      </c>
      <c r="G42" s="22" t="n">
        <v>117.469001960411</v>
      </c>
      <c r="H42" s="22" t="n">
        <v>133.133783999336</v>
      </c>
      <c r="I42" s="22" t="n">
        <v>126.723324162247</v>
      </c>
      <c r="J42" s="22" t="n">
        <v>130.99451556586</v>
      </c>
      <c r="K42" s="22" t="n">
        <v>136.770979303329</v>
      </c>
      <c r="L42" s="22" t="n">
        <v>133.808007305505</v>
      </c>
      <c r="M42" s="22" t="n">
        <v>116.620576296215</v>
      </c>
      <c r="N42" s="22" t="n">
        <v>110.630141429193</v>
      </c>
      <c r="O42" s="22" t="n">
        <v>112.996808586393</v>
      </c>
      <c r="P42" s="22" t="n">
        <v>116.009227827376</v>
      </c>
      <c r="Q42" s="22" t="n">
        <v>125.447386073133</v>
      </c>
      <c r="R42" s="22" t="n">
        <f aca="false">C42*'Weights &amp; Assumptions'!$F$6+D42*'Weights &amp; Assumptions'!$F$7</f>
        <v>105.996381210025</v>
      </c>
      <c r="S42" s="22" t="n">
        <f aca="false">E42*'Weights &amp; Assumptions'!$F$8+F42*'Weights &amp; Assumptions'!$F$9+H42*'Weights &amp; Assumptions'!$F$11</f>
        <v>121.526689094341</v>
      </c>
      <c r="T42" s="22" t="n">
        <f aca="false">G42*'Weights &amp; Assumptions'!$F$10+I42*'Weights &amp; Assumptions'!$F$12+J42*'Weights &amp; Assumptions'!$F$13+K42*'Weights &amp; Assumptions'!$F$14+L42*'Weights &amp; Assumptions'!$F$15+M42*'Weights &amp; Assumptions'!$F$16+N42*'Weights &amp; Assumptions'!$F$17+O42*'Weights &amp; Assumptions'!$F$18+P42*'Weights &amp; Assumptions'!$F$19+Q42*'Weights &amp; Assumptions'!$F$20</f>
        <v>123.224562936012</v>
      </c>
      <c r="U42" s="22" t="n">
        <f aca="false">R42*'Weights &amp; Assumptions'!$B$25/'Weights &amp; Assumptions'!$B$28+S42*'Weights &amp; Assumptions'!$B$26/'Weights &amp; Assumptions'!$B$28+T42*'Weights &amp; Assumptions'!$B$27/'Weights &amp; Assumptions'!$B$28</f>
        <v>121.327609838697</v>
      </c>
      <c r="V42" s="23" t="n">
        <f aca="false">IFERROR(Tabelle1!E43*'Weights &amp; Assumptions'!$F$6+Tabelle1!F43*'Weights &amp; Assumptions'!$F$7,"")</f>
        <v>97.3812674080166</v>
      </c>
      <c r="W42" s="23" t="n">
        <f aca="false">IFERROR(Tabelle1!G43*'Weights &amp; Assumptions'!$F$8+Tabelle1!H43*'Weights &amp; Assumptions'!$F$9+Tabelle1!J43*'Weights &amp; Assumptions'!$F$11,"")</f>
        <v>119.900580707549</v>
      </c>
      <c r="X42" s="23" t="n">
        <f aca="false">IFERROR(Tabelle1!I43*'Weights &amp; Assumptions'!$F$10+Tabelle1!K43*'Weights &amp; Assumptions'!$F$12+Tabelle1!L43*'Weights &amp; Assumptions'!$F$13+Tabelle1!M43*'Weights &amp; Assumptions'!$F$14+Tabelle1!N43*'Weights &amp; Assumptions'!$F$15+Tabelle1!O43*'Weights &amp; Assumptions'!$F$16+Tabelle1!P43*'Weights &amp; Assumptions'!$F$17+Tabelle1!Q43*'Weights &amp; Assumptions'!$F$18+Tabelle1!R43*'Weights &amp; Assumptions'!$F$19+Tabelle1!S43*'Weights &amp; Assumptions'!$F$20,"")</f>
        <v>122.243387874629</v>
      </c>
      <c r="Y42" s="22" t="n">
        <f aca="false">IFERROR(V42*'Weights &amp; Assumptions'!$B$25/'Weights &amp; Assumptions'!$B$28+W42*'Weights &amp; Assumptions'!$B$26/'Weights &amp; Assumptions'!$B$28+X42*'Weights &amp; Assumptions'!$B$27/'Weights &amp; Assumptions'!$B$28,"")</f>
        <v>119.534441926996</v>
      </c>
    </row>
    <row r="43" customFormat="false" ht="15" hidden="false" customHeight="false" outlineLevel="0" collapsed="false">
      <c r="A43" s="20" t="n">
        <v>39113</v>
      </c>
      <c r="B43" s="21" t="n">
        <v>122.08744</v>
      </c>
      <c r="C43" s="22" t="n">
        <v>107.663111601579</v>
      </c>
      <c r="D43" s="22" t="n">
        <v>134.142861839145</v>
      </c>
      <c r="E43" s="22" t="n">
        <v>102.047895453345</v>
      </c>
      <c r="F43" s="22" t="n">
        <v>119.893559707894</v>
      </c>
      <c r="G43" s="22" t="n">
        <v>112.951703410031</v>
      </c>
      <c r="H43" s="22" t="n">
        <v>135.132919529828</v>
      </c>
      <c r="I43" s="22" t="n">
        <v>129.19334773122</v>
      </c>
      <c r="J43" s="22" t="n">
        <v>134.15829435608</v>
      </c>
      <c r="K43" s="22" t="n">
        <v>138.181713073684</v>
      </c>
      <c r="L43" s="22" t="n">
        <v>136.402352602948</v>
      </c>
      <c r="M43" s="22" t="n">
        <v>115.883786703342</v>
      </c>
      <c r="N43" s="22" t="n">
        <v>113.091485177616</v>
      </c>
      <c r="O43" s="22" t="n">
        <v>114.966410665845</v>
      </c>
      <c r="P43" s="22" t="n">
        <v>116.586206700603</v>
      </c>
      <c r="Q43" s="22" t="n">
        <v>128.706629881015</v>
      </c>
      <c r="R43" s="22" t="n">
        <f aca="false">C43*'Weights &amp; Assumptions'!$F$6+D43*'Weights &amp; Assumptions'!$F$7</f>
        <v>107.987555687397</v>
      </c>
      <c r="S43" s="22" t="n">
        <f aca="false">E43*'Weights &amp; Assumptions'!$F$8+F43*'Weights &amp; Assumptions'!$F$9+H43*'Weights &amp; Assumptions'!$F$11</f>
        <v>120.93754686173</v>
      </c>
      <c r="T43" s="22" t="n">
        <f aca="false">G43*'Weights &amp; Assumptions'!$F$10+I43*'Weights &amp; Assumptions'!$F$12+J43*'Weights &amp; Assumptions'!$F$13+K43*'Weights &amp; Assumptions'!$F$14+L43*'Weights &amp; Assumptions'!$F$15+M43*'Weights &amp; Assumptions'!$F$16+N43*'Weights &amp; Assumptions'!$F$17+O43*'Weights &amp; Assumptions'!$F$18+P43*'Weights &amp; Assumptions'!$F$19+Q43*'Weights &amp; Assumptions'!$F$20</f>
        <v>124.596962613354</v>
      </c>
      <c r="U43" s="22" t="n">
        <f aca="false">R43*'Weights &amp; Assumptions'!$B$25/'Weights &amp; Assumptions'!$B$28+S43*'Weights &amp; Assumptions'!$B$26/'Weights &amp; Assumptions'!$B$28+T43*'Weights &amp; Assumptions'!$B$27/'Weights &amp; Assumptions'!$B$28</f>
        <v>122.23031697831</v>
      </c>
      <c r="V43" s="23" t="n">
        <f aca="false">IFERROR(Tabelle1!E44*'Weights &amp; Assumptions'!$F$6+Tabelle1!F44*'Weights &amp; Assumptions'!$F$7,"")</f>
        <v>69.6747337073456</v>
      </c>
      <c r="W43" s="23" t="n">
        <f aca="false">IFERROR(Tabelle1!G44*'Weights &amp; Assumptions'!$F$8+Tabelle1!H44*'Weights &amp; Assumptions'!$F$9+Tabelle1!J44*'Weights &amp; Assumptions'!$F$11,"")</f>
        <v>114.388374984431</v>
      </c>
      <c r="X43" s="23" t="n">
        <f aca="false">IFERROR(Tabelle1!I44*'Weights &amp; Assumptions'!$F$10+Tabelle1!K44*'Weights &amp; Assumptions'!$F$12+Tabelle1!L44*'Weights &amp; Assumptions'!$F$13+Tabelle1!M44*'Weights &amp; Assumptions'!$F$14+Tabelle1!N44*'Weights &amp; Assumptions'!$F$15+Tabelle1!O44*'Weights &amp; Assumptions'!$F$16+Tabelle1!P44*'Weights &amp; Assumptions'!$F$17+Tabelle1!Q44*'Weights &amp; Assumptions'!$F$18+Tabelle1!R44*'Weights &amp; Assumptions'!$F$19+Tabelle1!S44*'Weights &amp; Assumptions'!$F$20,"")</f>
        <v>122.418622152563</v>
      </c>
      <c r="Y43" s="22" t="n">
        <f aca="false">IFERROR(V43*'Weights &amp; Assumptions'!$B$25/'Weights &amp; Assumptions'!$B$28+W43*'Weights &amp; Assumptions'!$B$26/'Weights &amp; Assumptions'!$B$28+X43*'Weights &amp; Assumptions'!$B$27/'Weights &amp; Assumptions'!$B$28,"")</f>
        <v>115.857983022944</v>
      </c>
    </row>
    <row r="44" customFormat="false" ht="15" hidden="false" customHeight="false" outlineLevel="0" collapsed="false">
      <c r="A44" s="20" t="n">
        <v>39141</v>
      </c>
      <c r="B44" s="21" t="n">
        <v>124.63366</v>
      </c>
      <c r="C44" s="22" t="n">
        <v>106.375280649496</v>
      </c>
      <c r="D44" s="22" t="n">
        <v>99.439110485344</v>
      </c>
      <c r="E44" s="22" t="n">
        <v>101.37234444528</v>
      </c>
      <c r="F44" s="22" t="n">
        <v>121.98611448404</v>
      </c>
      <c r="G44" s="22" t="n">
        <v>114.166710612085</v>
      </c>
      <c r="H44" s="22" t="n">
        <v>136.512126710089</v>
      </c>
      <c r="I44" s="22" t="n">
        <v>129.631406672216</v>
      </c>
      <c r="J44" s="22" t="n">
        <v>136.106963979103</v>
      </c>
      <c r="K44" s="22" t="n">
        <v>138.834200363512</v>
      </c>
      <c r="L44" s="22" t="n">
        <v>136.880290405676</v>
      </c>
      <c r="M44" s="22" t="n">
        <v>115.713496307459</v>
      </c>
      <c r="N44" s="22" t="n">
        <v>113.151546854845</v>
      </c>
      <c r="O44" s="22" t="n">
        <v>115.178477441278</v>
      </c>
      <c r="P44" s="22" t="n">
        <v>117.781096369983</v>
      </c>
      <c r="Q44" s="22" t="n">
        <v>129.626498425746</v>
      </c>
      <c r="R44" s="22" t="n">
        <f aca="false">C44*'Weights &amp; Assumptions'!$F$6+D44*'Weights &amp; Assumptions'!$F$7</f>
        <v>106.290294976754</v>
      </c>
      <c r="S44" s="22" t="n">
        <f aca="false">E44*'Weights &amp; Assumptions'!$F$8+F44*'Weights &amp; Assumptions'!$F$9+H44*'Weights &amp; Assumptions'!$F$11</f>
        <v>122.550988996317</v>
      </c>
      <c r="T44" s="22" t="n">
        <f aca="false">G44*'Weights &amp; Assumptions'!$F$10+I44*'Weights &amp; Assumptions'!$F$12+J44*'Weights &amp; Assumptions'!$F$13+K44*'Weights &amp; Assumptions'!$F$14+L44*'Weights &amp; Assumptions'!$F$15+M44*'Weights &amp; Assumptions'!$F$16+N44*'Weights &amp; Assumptions'!$F$17+O44*'Weights &amp; Assumptions'!$F$18+P44*'Weights &amp; Assumptions'!$F$19+Q44*'Weights &amp; Assumptions'!$F$20</f>
        <v>125.067085573328</v>
      </c>
      <c r="U44" s="22" t="n">
        <f aca="false">R44*'Weights &amp; Assumptions'!$B$25/'Weights &amp; Assumptions'!$B$28+S44*'Weights &amp; Assumptions'!$B$26/'Weights &amp; Assumptions'!$B$28+T44*'Weights &amp; Assumptions'!$B$27/'Weights &amp; Assumptions'!$B$28</f>
        <v>122.822623184844</v>
      </c>
      <c r="V44" s="23" t="n">
        <f aca="false">IFERROR(Tabelle1!E45*'Weights &amp; Assumptions'!$F$6+Tabelle1!F45*'Weights &amp; Assumptions'!$F$7,"")</f>
        <v>69.8025713825819</v>
      </c>
      <c r="W44" s="23" t="n">
        <f aca="false">IFERROR(Tabelle1!G45*'Weights &amp; Assumptions'!$F$8+Tabelle1!H45*'Weights &amp; Assumptions'!$F$9+Tabelle1!J45*'Weights &amp; Assumptions'!$F$11,"")</f>
        <v>113.939511770546</v>
      </c>
      <c r="X44" s="23" t="n">
        <f aca="false">IFERROR(Tabelle1!I45*'Weights &amp; Assumptions'!$F$10+Tabelle1!K45*'Weights &amp; Assumptions'!$F$12+Tabelle1!L45*'Weights &amp; Assumptions'!$F$13+Tabelle1!M45*'Weights &amp; Assumptions'!$F$14+Tabelle1!N45*'Weights &amp; Assumptions'!$F$15+Tabelle1!O45*'Weights &amp; Assumptions'!$F$16+Tabelle1!P45*'Weights &amp; Assumptions'!$F$17+Tabelle1!Q45*'Weights &amp; Assumptions'!$F$18+Tabelle1!R45*'Weights &amp; Assumptions'!$F$19+Tabelle1!S45*'Weights &amp; Assumptions'!$F$20,"")</f>
        <v>120.308151469602</v>
      </c>
      <c r="Y44" s="22" t="n">
        <f aca="false">IFERROR(V44*'Weights &amp; Assumptions'!$B$25/'Weights &amp; Assumptions'!$B$28+W44*'Weights &amp; Assumptions'!$B$26/'Weights &amp; Assumptions'!$B$28+X44*'Weights &amp; Assumptions'!$B$27/'Weights &amp; Assumptions'!$B$28,"")</f>
        <v>114.377158725213</v>
      </c>
    </row>
    <row r="45" customFormat="false" ht="15" hidden="false" customHeight="false" outlineLevel="0" collapsed="false">
      <c r="A45" s="20" t="n">
        <v>39172</v>
      </c>
      <c r="B45" s="21" t="n">
        <v>126.43758</v>
      </c>
      <c r="C45" s="22" t="n">
        <v>107.74045063441</v>
      </c>
      <c r="D45" s="22" t="n">
        <v>142.896310747013</v>
      </c>
      <c r="E45" s="22" t="n">
        <v>102.059012555966</v>
      </c>
      <c r="F45" s="22" t="n">
        <v>124.794875971418</v>
      </c>
      <c r="G45" s="22" t="n">
        <v>114.144891290485</v>
      </c>
      <c r="H45" s="22" t="n">
        <v>138.057644155591</v>
      </c>
      <c r="I45" s="22" t="n">
        <v>133.354587622406</v>
      </c>
      <c r="J45" s="22" t="n">
        <v>136.767829197866</v>
      </c>
      <c r="K45" s="22" t="n">
        <v>142.424982891595</v>
      </c>
      <c r="L45" s="22" t="n">
        <v>139.927517670661</v>
      </c>
      <c r="M45" s="22" t="n">
        <v>118.251140566631</v>
      </c>
      <c r="N45" s="22" t="n">
        <v>113.541226577944</v>
      </c>
      <c r="O45" s="22" t="n">
        <v>115.65190583353</v>
      </c>
      <c r="P45" s="22" t="n">
        <v>117.499498537774</v>
      </c>
      <c r="Q45" s="22" t="n">
        <v>131.151925885165</v>
      </c>
      <c r="R45" s="22" t="n">
        <f aca="false">C45*'Weights &amp; Assumptions'!$F$6+D45*'Weights &amp; Assumptions'!$F$7</f>
        <v>108.17119906644</v>
      </c>
      <c r="S45" s="22" t="n">
        <f aca="false">E45*'Weights &amp; Assumptions'!$F$8+F45*'Weights &amp; Assumptions'!$F$9+H45*'Weights &amp; Assumptions'!$F$11</f>
        <v>124.843213826163</v>
      </c>
      <c r="T45" s="22" t="n">
        <f aca="false">G45*'Weights &amp; Assumptions'!$F$10+I45*'Weights &amp; Assumptions'!$F$12+J45*'Weights &amp; Assumptions'!$F$13+K45*'Weights &amp; Assumptions'!$F$14+L45*'Weights &amp; Assumptions'!$F$15+M45*'Weights &amp; Assumptions'!$F$16+N45*'Weights &amp; Assumptions'!$F$17+O45*'Weights &amp; Assumptions'!$F$18+P45*'Weights &amp; Assumptions'!$F$19+Q45*'Weights &amp; Assumptions'!$F$20</f>
        <v>127.262621334116</v>
      </c>
      <c r="U45" s="22" t="n">
        <f aca="false">R45*'Weights &amp; Assumptions'!$B$25/'Weights &amp; Assumptions'!$B$28+S45*'Weights &amp; Assumptions'!$B$26/'Weights &amp; Assumptions'!$B$28+T45*'Weights &amp; Assumptions'!$B$27/'Weights &amp; Assumptions'!$B$28</f>
        <v>125.017472399034</v>
      </c>
      <c r="V45" s="23" t="n">
        <f aca="false">IFERROR(Tabelle1!E46*'Weights &amp; Assumptions'!$F$6+Tabelle1!F46*'Weights &amp; Assumptions'!$F$7,"")</f>
        <v>136.450126531388</v>
      </c>
      <c r="W45" s="23" t="n">
        <f aca="false">IFERROR(Tabelle1!G46*'Weights &amp; Assumptions'!$F$8+Tabelle1!H46*'Weights &amp; Assumptions'!$F$9+Tabelle1!J46*'Weights &amp; Assumptions'!$F$11,"")</f>
        <v>127.576729347318</v>
      </c>
      <c r="X45" s="23" t="n">
        <f aca="false">IFERROR(Tabelle1!I46*'Weights &amp; Assumptions'!$F$10+Tabelle1!K46*'Weights &amp; Assumptions'!$F$12+Tabelle1!L46*'Weights &amp; Assumptions'!$F$13+Tabelle1!M46*'Weights &amp; Assumptions'!$F$14+Tabelle1!N46*'Weights &amp; Assumptions'!$F$15+Tabelle1!O46*'Weights &amp; Assumptions'!$F$16+Tabelle1!P46*'Weights &amp; Assumptions'!$F$17+Tabelle1!Q46*'Weights &amp; Assumptions'!$F$18+Tabelle1!R46*'Weights &amp; Assumptions'!$F$19+Tabelle1!S46*'Weights &amp; Assumptions'!$F$20,"")</f>
        <v>129.138377201388</v>
      </c>
      <c r="Y45" s="22" t="n">
        <f aca="false">IFERROR(V45*'Weights &amp; Assumptions'!$B$25/'Weights &amp; Assumptions'!$B$28+W45*'Weights &amp; Assumptions'!$B$26/'Weights &amp; Assumptions'!$B$28+X45*'Weights &amp; Assumptions'!$B$27/'Weights &amp; Assumptions'!$B$28,"")</f>
        <v>129.336569611481</v>
      </c>
    </row>
    <row r="46" customFormat="false" ht="15" hidden="false" customHeight="false" outlineLevel="0" collapsed="false">
      <c r="A46" s="20" t="n">
        <v>39202</v>
      </c>
      <c r="B46" s="21" t="n">
        <v>125.43197</v>
      </c>
      <c r="C46" s="22" t="n">
        <v>115.015177996121</v>
      </c>
      <c r="D46" s="22" t="n">
        <v>137.627288627853</v>
      </c>
      <c r="E46" s="22" t="n">
        <v>103.297403199395</v>
      </c>
      <c r="F46" s="22" t="n">
        <v>122.824828000419</v>
      </c>
      <c r="G46" s="22" t="n">
        <v>115.72528295752</v>
      </c>
      <c r="H46" s="22" t="n">
        <v>136.165159649821</v>
      </c>
      <c r="I46" s="22" t="n">
        <v>130.427099065766</v>
      </c>
      <c r="J46" s="22" t="n">
        <v>137.572385051716</v>
      </c>
      <c r="K46" s="22" t="n">
        <v>142.180385945147</v>
      </c>
      <c r="L46" s="22" t="n">
        <v>138.722114055972</v>
      </c>
      <c r="M46" s="22" t="n">
        <v>116.081837002274</v>
      </c>
      <c r="N46" s="22" t="n">
        <v>113.650829233271</v>
      </c>
      <c r="O46" s="22" t="n">
        <v>115.024875694532</v>
      </c>
      <c r="P46" s="22" t="n">
        <v>117.886858710086</v>
      </c>
      <c r="Q46" s="22" t="n">
        <v>125.73476718573</v>
      </c>
      <c r="R46" s="22" t="n">
        <f aca="false">C46*'Weights &amp; Assumptions'!$F$6+D46*'Weights &amp; Assumptions'!$F$7</f>
        <v>115.292233689491</v>
      </c>
      <c r="S46" s="22" t="n">
        <f aca="false">E46*'Weights &amp; Assumptions'!$F$8+F46*'Weights &amp; Assumptions'!$F$9+H46*'Weights &amp; Assumptions'!$F$11</f>
        <v>123.272404377157</v>
      </c>
      <c r="T46" s="22" t="n">
        <f aca="false">G46*'Weights &amp; Assumptions'!$F$10+I46*'Weights &amp; Assumptions'!$F$12+J46*'Weights &amp; Assumptions'!$F$13+K46*'Weights &amp; Assumptions'!$F$14+L46*'Weights &amp; Assumptions'!$F$15+M46*'Weights &amp; Assumptions'!$F$16+N46*'Weights &amp; Assumptions'!$F$17+O46*'Weights &amp; Assumptions'!$F$18+P46*'Weights &amp; Assumptions'!$F$19+Q46*'Weights &amp; Assumptions'!$F$20</f>
        <v>125.874604569415</v>
      </c>
      <c r="U46" s="22" t="n">
        <f aca="false">R46*'Weights &amp; Assumptions'!$B$25/'Weights &amp; Assumptions'!$B$28+S46*'Weights &amp; Assumptions'!$B$26/'Weights &amp; Assumptions'!$B$28+T46*'Weights &amp; Assumptions'!$B$27/'Weights &amp; Assumptions'!$B$28</f>
        <v>124.294764359174</v>
      </c>
      <c r="V46" s="23" t="n">
        <f aca="false">IFERROR(Tabelle1!E47*'Weights &amp; Assumptions'!$F$6+Tabelle1!F47*'Weights &amp; Assumptions'!$F$7,"")</f>
        <v>222.259543023206</v>
      </c>
      <c r="W46" s="23" t="n">
        <f aca="false">IFERROR(Tabelle1!G47*'Weights &amp; Assumptions'!$F$8+Tabelle1!H47*'Weights &amp; Assumptions'!$F$9+Tabelle1!J47*'Weights &amp; Assumptions'!$F$11,"")</f>
        <v>124.061256250047</v>
      </c>
      <c r="X46" s="23" t="n">
        <f aca="false">IFERROR(Tabelle1!I47*'Weights &amp; Assumptions'!$F$10+Tabelle1!K47*'Weights &amp; Assumptions'!$F$12+Tabelle1!L47*'Weights &amp; Assumptions'!$F$13+Tabelle1!M47*'Weights &amp; Assumptions'!$F$14+Tabelle1!N47*'Weights &amp; Assumptions'!$F$15+Tabelle1!O47*'Weights &amp; Assumptions'!$F$16+Tabelle1!P47*'Weights &amp; Assumptions'!$F$17+Tabelle1!Q47*'Weights &amp; Assumptions'!$F$18+Tabelle1!R47*'Weights &amp; Assumptions'!$F$19+Tabelle1!S47*'Weights &amp; Assumptions'!$F$20,"")</f>
        <v>126.188762595331</v>
      </c>
      <c r="Y46" s="22" t="n">
        <f aca="false">IFERROR(V46*'Weights &amp; Assumptions'!$B$25/'Weights &amp; Assumptions'!$B$28+W46*'Weights &amp; Assumptions'!$B$26/'Weights &amp; Assumptions'!$B$28+X46*'Weights &amp; Assumptions'!$B$27/'Weights &amp; Assumptions'!$B$28,"")</f>
        <v>133.68343992233</v>
      </c>
    </row>
    <row r="47" customFormat="false" ht="15" hidden="false" customHeight="false" outlineLevel="0" collapsed="false">
      <c r="A47" s="20" t="n">
        <v>39233</v>
      </c>
      <c r="B47" s="21" t="n">
        <v>127.21823</v>
      </c>
      <c r="C47" s="22" t="n">
        <v>117.269244560707</v>
      </c>
      <c r="D47" s="22" t="n">
        <v>118.61276438138</v>
      </c>
      <c r="E47" s="22" t="n">
        <v>104.285831360434</v>
      </c>
      <c r="F47" s="22" t="n">
        <v>124.752289274063</v>
      </c>
      <c r="G47" s="22" t="n">
        <v>117.961523948785</v>
      </c>
      <c r="H47" s="22" t="n">
        <v>138.340708285277</v>
      </c>
      <c r="I47" s="22" t="n">
        <v>132.742564408325</v>
      </c>
      <c r="J47" s="22" t="n">
        <v>136.661387727857</v>
      </c>
      <c r="K47" s="22" t="n">
        <v>145.136252065468</v>
      </c>
      <c r="L47" s="22" t="n">
        <v>140.912193140746</v>
      </c>
      <c r="M47" s="22" t="n">
        <v>118.526944572046</v>
      </c>
      <c r="N47" s="22" t="n">
        <v>115.176421024216</v>
      </c>
      <c r="O47" s="22" t="n">
        <v>117.112888574166</v>
      </c>
      <c r="P47" s="22" t="n">
        <v>118.406660210892</v>
      </c>
      <c r="Q47" s="22" t="n">
        <v>130.129197649246</v>
      </c>
      <c r="R47" s="22" t="n">
        <f aca="false">C47*'Weights &amp; Assumptions'!$F$6+D47*'Weights &amp; Assumptions'!$F$7</f>
        <v>117.285706085309</v>
      </c>
      <c r="S47" s="22" t="n">
        <f aca="false">E47*'Weights &amp; Assumptions'!$F$8+F47*'Weights &amp; Assumptions'!$F$9+H47*'Weights &amp; Assumptions'!$F$11</f>
        <v>125.139429705348</v>
      </c>
      <c r="T47" s="22" t="n">
        <f aca="false">G47*'Weights &amp; Assumptions'!$F$10+I47*'Weights &amp; Assumptions'!$F$12+J47*'Weights &amp; Assumptions'!$F$13+K47*'Weights &amp; Assumptions'!$F$14+L47*'Weights &amp; Assumptions'!$F$15+M47*'Weights &amp; Assumptions'!$F$16+N47*'Weights &amp; Assumptions'!$F$17+O47*'Weights &amp; Assumptions'!$F$18+P47*'Weights &amp; Assumptions'!$F$19+Q47*'Weights &amp; Assumptions'!$F$20</f>
        <v>128.039195918006</v>
      </c>
      <c r="U47" s="22" t="n">
        <f aca="false">R47*'Weights &amp; Assumptions'!$B$25/'Weights &amp; Assumptions'!$B$28+S47*'Weights &amp; Assumptions'!$B$26/'Weights &amp; Assumptions'!$B$28+T47*'Weights &amp; Assumptions'!$B$27/'Weights &amp; Assumptions'!$B$28</f>
        <v>126.365870682466</v>
      </c>
      <c r="V47" s="23" t="n">
        <f aca="false">IFERROR(Tabelle1!E48*'Weights &amp; Assumptions'!$F$6+Tabelle1!F48*'Weights &amp; Assumptions'!$F$7,"")</f>
        <v>328.875502996865</v>
      </c>
      <c r="W47" s="23" t="n">
        <f aca="false">IFERROR(Tabelle1!G48*'Weights &amp; Assumptions'!$F$8+Tabelle1!H48*'Weights &amp; Assumptions'!$F$9+Tabelle1!J48*'Weights &amp; Assumptions'!$F$11,"")</f>
        <v>127.617697898826</v>
      </c>
      <c r="X47" s="23" t="n">
        <f aca="false">IFERROR(Tabelle1!I48*'Weights &amp; Assumptions'!$F$10+Tabelle1!K48*'Weights &amp; Assumptions'!$F$12+Tabelle1!L48*'Weights &amp; Assumptions'!$F$13+Tabelle1!M48*'Weights &amp; Assumptions'!$F$14+Tabelle1!N48*'Weights &amp; Assumptions'!$F$15+Tabelle1!O48*'Weights &amp; Assumptions'!$F$16+Tabelle1!P48*'Weights &amp; Assumptions'!$F$17+Tabelle1!Q48*'Weights &amp; Assumptions'!$F$18+Tabelle1!R48*'Weights &amp; Assumptions'!$F$19+Tabelle1!S48*'Weights &amp; Assumptions'!$F$20,"")</f>
        <v>130.998135425288</v>
      </c>
      <c r="Y47" s="22" t="n">
        <f aca="false">IFERROR(V47*'Weights &amp; Assumptions'!$B$25/'Weights &amp; Assumptions'!$B$28+W47*'Weights &amp; Assumptions'!$B$26/'Weights &amp; Assumptions'!$B$28+X47*'Weights &amp; Assumptions'!$B$27/'Weights &amp; Assumptions'!$B$28,"")</f>
        <v>146.701293849432</v>
      </c>
    </row>
    <row r="48" customFormat="false" ht="15" hidden="false" customHeight="false" outlineLevel="0" collapsed="false">
      <c r="A48" s="20" t="n">
        <v>39263</v>
      </c>
      <c r="B48" s="21" t="n">
        <v>128.4754</v>
      </c>
      <c r="C48" s="22" t="n">
        <v>116.661533758573</v>
      </c>
      <c r="D48" s="22" t="n">
        <v>118.411920794527</v>
      </c>
      <c r="E48" s="22" t="n">
        <v>103.452285272041</v>
      </c>
      <c r="F48" s="22" t="n">
        <v>124.599890192808</v>
      </c>
      <c r="G48" s="22" t="n">
        <v>113.972368590652</v>
      </c>
      <c r="H48" s="22" t="n">
        <v>138.667546738468</v>
      </c>
      <c r="I48" s="22" t="n">
        <v>135.45807950699</v>
      </c>
      <c r="J48" s="22" t="n">
        <v>137.433564882</v>
      </c>
      <c r="K48" s="22" t="n">
        <v>146.704195643804</v>
      </c>
      <c r="L48" s="22" t="n">
        <v>142.298374821868</v>
      </c>
      <c r="M48" s="22" t="n">
        <v>119.121533437724</v>
      </c>
      <c r="N48" s="22" t="n">
        <v>115.366688627546</v>
      </c>
      <c r="O48" s="22" t="n">
        <v>117.069584633163</v>
      </c>
      <c r="P48" s="22" t="n">
        <v>118.743938321561</v>
      </c>
      <c r="Q48" s="22" t="n">
        <v>131.279727140575</v>
      </c>
      <c r="R48" s="22" t="n">
        <f aca="false">C48*'Weights &amp; Assumptions'!$F$6+D48*'Weights &amp; Assumptions'!$F$7</f>
        <v>116.682980438266</v>
      </c>
      <c r="S48" s="22" t="n">
        <f aca="false">E48*'Weights &amp; Assumptions'!$F$8+F48*'Weights &amp; Assumptions'!$F$9+H48*'Weights &amp; Assumptions'!$F$11</f>
        <v>125.005539729227</v>
      </c>
      <c r="T48" s="22" t="n">
        <f aca="false">G48*'Weights &amp; Assumptions'!$F$10+I48*'Weights &amp; Assumptions'!$F$12+J48*'Weights &amp; Assumptions'!$F$13+K48*'Weights &amp; Assumptions'!$F$14+L48*'Weights &amp; Assumptions'!$F$15+M48*'Weights &amp; Assumptions'!$F$16+N48*'Weights &amp; Assumptions'!$F$17+O48*'Weights &amp; Assumptions'!$F$18+P48*'Weights &amp; Assumptions'!$F$19+Q48*'Weights &amp; Assumptions'!$F$20</f>
        <v>129.072262958564</v>
      </c>
      <c r="U48" s="22" t="n">
        <f aca="false">R48*'Weights &amp; Assumptions'!$B$25/'Weights &amp; Assumptions'!$B$28+S48*'Weights &amp; Assumptions'!$B$26/'Weights &amp; Assumptions'!$B$28+T48*'Weights &amp; Assumptions'!$B$27/'Weights &amp; Assumptions'!$B$28</f>
        <v>126.951379099898</v>
      </c>
      <c r="V48" s="23" t="n">
        <f aca="false">IFERROR(Tabelle1!E49*'Weights &amp; Assumptions'!$F$6+Tabelle1!F49*'Weights &amp; Assumptions'!$F$7,"")</f>
        <v>219.218584183383</v>
      </c>
      <c r="W48" s="23" t="n">
        <f aca="false">IFERROR(Tabelle1!G49*'Weights &amp; Assumptions'!$F$8+Tabelle1!H49*'Weights &amp; Assumptions'!$F$9+Tabelle1!J49*'Weights &amp; Assumptions'!$F$11,"")</f>
        <v>123.703291057582</v>
      </c>
      <c r="X48" s="23" t="n">
        <f aca="false">IFERROR(Tabelle1!I49*'Weights &amp; Assumptions'!$F$10+Tabelle1!K49*'Weights &amp; Assumptions'!$F$12+Tabelle1!L49*'Weights &amp; Assumptions'!$F$13+Tabelle1!M49*'Weights &amp; Assumptions'!$F$14+Tabelle1!N49*'Weights &amp; Assumptions'!$F$15+Tabelle1!O49*'Weights &amp; Assumptions'!$F$16+Tabelle1!P49*'Weights &amp; Assumptions'!$F$17+Tabelle1!Q49*'Weights &amp; Assumptions'!$F$18+Tabelle1!R49*'Weights &amp; Assumptions'!$F$19+Tabelle1!S49*'Weights &amp; Assumptions'!$F$20,"")</f>
        <v>131.003813647742</v>
      </c>
      <c r="Y48" s="22" t="n">
        <f aca="false">IFERROR(V48*'Weights &amp; Assumptions'!$B$25/'Weights &amp; Assumptions'!$B$28+W48*'Weights &amp; Assumptions'!$B$26/'Weights &amp; Assumptions'!$B$28+X48*'Weights &amp; Assumptions'!$B$27/'Weights &amp; Assumptions'!$B$28,"")</f>
        <v>136.46376982441</v>
      </c>
    </row>
    <row r="49" customFormat="false" ht="15" hidden="false" customHeight="false" outlineLevel="0" collapsed="false">
      <c r="A49" s="20" t="n">
        <v>39294</v>
      </c>
      <c r="B49" s="21" t="n">
        <v>127.73554</v>
      </c>
      <c r="C49" s="22" t="n">
        <v>108.306351099698</v>
      </c>
      <c r="D49" s="22" t="n">
        <v>128.272413118756</v>
      </c>
      <c r="E49" s="22" t="n">
        <v>99.8257890480295</v>
      </c>
      <c r="F49" s="22" t="n">
        <v>121.796282523478</v>
      </c>
      <c r="G49" s="22" t="n">
        <v>113.1564054534</v>
      </c>
      <c r="H49" s="22" t="n">
        <v>140.819059155846</v>
      </c>
      <c r="I49" s="22" t="n">
        <v>134.198731647967</v>
      </c>
      <c r="J49" s="22" t="n">
        <v>139.411054958098</v>
      </c>
      <c r="K49" s="22" t="n">
        <v>146.416307580829</v>
      </c>
      <c r="L49" s="22" t="n">
        <v>143.278037196725</v>
      </c>
      <c r="M49" s="22" t="n">
        <v>119.311332326407</v>
      </c>
      <c r="N49" s="22" t="n">
        <v>114.96210563876</v>
      </c>
      <c r="O49" s="22" t="n">
        <v>117.032504815579</v>
      </c>
      <c r="P49" s="22" t="n">
        <v>119.170496845901</v>
      </c>
      <c r="Q49" s="22" t="n">
        <v>134.34542679234</v>
      </c>
      <c r="R49" s="22" t="n">
        <f aca="false">C49*'Weights &amp; Assumptions'!$F$6+D49*'Weights &amp; Assumptions'!$F$7</f>
        <v>108.550985987907</v>
      </c>
      <c r="S49" s="22" t="n">
        <f aca="false">E49*'Weights &amp; Assumptions'!$F$8+F49*'Weights &amp; Assumptions'!$F$9+H49*'Weights &amp; Assumptions'!$F$11</f>
        <v>123.135949598508</v>
      </c>
      <c r="T49" s="22" t="n">
        <f aca="false">G49*'Weights &amp; Assumptions'!$F$10+I49*'Weights &amp; Assumptions'!$F$12+J49*'Weights &amp; Assumptions'!$F$13+K49*'Weights &amp; Assumptions'!$F$14+L49*'Weights &amp; Assumptions'!$F$15+M49*'Weights &amp; Assumptions'!$F$16+N49*'Weights &amp; Assumptions'!$F$17+O49*'Weights &amp; Assumptions'!$F$18+P49*'Weights &amp; Assumptions'!$F$19+Q49*'Weights &amp; Assumptions'!$F$20</f>
        <v>129.115058995781</v>
      </c>
      <c r="U49" s="22" t="n">
        <f aca="false">R49*'Weights &amp; Assumptions'!$B$25/'Weights &amp; Assumptions'!$B$28+S49*'Weights &amp; Assumptions'!$B$26/'Weights &amp; Assumptions'!$B$28+T49*'Weights &amp; Assumptions'!$B$27/'Weights &amp; Assumptions'!$B$28</f>
        <v>125.799766524228</v>
      </c>
      <c r="V49" s="23" t="n">
        <f aca="false">IFERROR(Tabelle1!E50*'Weights &amp; Assumptions'!$F$6+Tabelle1!F50*'Weights &amp; Assumptions'!$F$7,"")</f>
        <v>110.174425692423</v>
      </c>
      <c r="W49" s="23" t="n">
        <f aca="false">IFERROR(Tabelle1!G50*'Weights &amp; Assumptions'!$F$8+Tabelle1!H50*'Weights &amp; Assumptions'!$F$9+Tabelle1!J50*'Weights &amp; Assumptions'!$F$11,"")</f>
        <v>124.666137505772</v>
      </c>
      <c r="X49" s="23" t="n">
        <f aca="false">IFERROR(Tabelle1!I50*'Weights &amp; Assumptions'!$F$10+Tabelle1!K50*'Weights &amp; Assumptions'!$F$12+Tabelle1!L50*'Weights &amp; Assumptions'!$F$13+Tabelle1!M50*'Weights &amp; Assumptions'!$F$14+Tabelle1!N50*'Weights &amp; Assumptions'!$F$15+Tabelle1!O50*'Weights &amp; Assumptions'!$F$16+Tabelle1!P50*'Weights &amp; Assumptions'!$F$17+Tabelle1!Q50*'Weights &amp; Assumptions'!$F$18+Tabelle1!R50*'Weights &amp; Assumptions'!$F$19+Tabelle1!S50*'Weights &amp; Assumptions'!$F$20,"")</f>
        <v>130.711669962795</v>
      </c>
      <c r="Y49" s="22" t="n">
        <f aca="false">IFERROR(V49*'Weights &amp; Assumptions'!$B$25/'Weights &amp; Assumptions'!$B$28+W49*'Weights &amp; Assumptions'!$B$26/'Weights &amp; Assumptions'!$B$28+X49*'Weights &amp; Assumptions'!$B$27/'Weights &amp; Assumptions'!$B$28,"")</f>
        <v>127.380965392769</v>
      </c>
    </row>
    <row r="50" customFormat="false" ht="15" hidden="false" customHeight="false" outlineLevel="0" collapsed="false">
      <c r="A50" s="20" t="n">
        <v>39325</v>
      </c>
      <c r="B50" s="21" t="n">
        <v>128.75588</v>
      </c>
      <c r="C50" s="22" t="n">
        <v>104.967483743582</v>
      </c>
      <c r="D50" s="22" t="n">
        <v>89.3581265848932</v>
      </c>
      <c r="E50" s="22" t="n">
        <v>102.967309120573</v>
      </c>
      <c r="F50" s="22" t="n">
        <v>125.659283016183</v>
      </c>
      <c r="G50" s="22" t="n">
        <v>114.000879888729</v>
      </c>
      <c r="H50" s="22" t="n">
        <v>141.521238061222</v>
      </c>
      <c r="I50" s="22" t="n">
        <v>138.765461000156</v>
      </c>
      <c r="J50" s="22" t="n">
        <v>137.386945064334</v>
      </c>
      <c r="K50" s="22" t="n">
        <v>147.557853969495</v>
      </c>
      <c r="L50" s="22" t="n">
        <v>143.682454820832</v>
      </c>
      <c r="M50" s="22" t="n">
        <v>120.983756922818</v>
      </c>
      <c r="N50" s="22" t="n">
        <v>115.051108809414</v>
      </c>
      <c r="O50" s="22" t="n">
        <v>117.145333347463</v>
      </c>
      <c r="P50" s="22" t="n">
        <v>121.82465579026</v>
      </c>
      <c r="Q50" s="22" t="n">
        <v>133.745349416079</v>
      </c>
      <c r="R50" s="22" t="n">
        <f aca="false">C50*'Weights &amp; Assumptions'!$F$6+D50*'Weights &amp; Assumptions'!$F$7</f>
        <v>104.776229537325</v>
      </c>
      <c r="S50" s="22" t="n">
        <f aca="false">E50*'Weights &amp; Assumptions'!$F$8+F50*'Weights &amp; Assumptions'!$F$9+H50*'Weights &amp; Assumptions'!$F$11</f>
        <v>126.254333191216</v>
      </c>
      <c r="T50" s="22" t="n">
        <f aca="false">G50*'Weights &amp; Assumptions'!$F$10+I50*'Weights &amp; Assumptions'!$F$12+J50*'Weights &amp; Assumptions'!$F$13+K50*'Weights &amp; Assumptions'!$F$14+L50*'Weights &amp; Assumptions'!$F$15+M50*'Weights &amp; Assumptions'!$F$16+N50*'Weights &amp; Assumptions'!$F$17+O50*'Weights &amp; Assumptions'!$F$18+P50*'Weights &amp; Assumptions'!$F$19+Q50*'Weights &amp; Assumptions'!$F$20</f>
        <v>130.689140123243</v>
      </c>
      <c r="U50" s="22" t="n">
        <f aca="false">R50*'Weights &amp; Assumptions'!$B$25/'Weights &amp; Assumptions'!$B$28+S50*'Weights &amp; Assumptions'!$B$26/'Weights &amp; Assumptions'!$B$28+T50*'Weights &amp; Assumptions'!$B$27/'Weights &amp; Assumptions'!$B$28</f>
        <v>127.335732729238</v>
      </c>
      <c r="V50" s="23" t="n">
        <f aca="false">IFERROR(Tabelle1!E51*'Weights &amp; Assumptions'!$F$6+Tabelle1!F51*'Weights &amp; Assumptions'!$F$7,"")</f>
        <v>70.8369214253704</v>
      </c>
      <c r="W50" s="23" t="n">
        <f aca="false">IFERROR(Tabelle1!G51*'Weights &amp; Assumptions'!$F$8+Tabelle1!H51*'Weights &amp; Assumptions'!$F$9+Tabelle1!J51*'Weights &amp; Assumptions'!$F$11,"")</f>
        <v>128.92827276228</v>
      </c>
      <c r="X50" s="23" t="n">
        <f aca="false">IFERROR(Tabelle1!I51*'Weights &amp; Assumptions'!$F$10+Tabelle1!K51*'Weights &amp; Assumptions'!$F$12+Tabelle1!L51*'Weights &amp; Assumptions'!$F$13+Tabelle1!M51*'Weights &amp; Assumptions'!$F$14+Tabelle1!N51*'Weights &amp; Assumptions'!$F$15+Tabelle1!O51*'Weights &amp; Assumptions'!$F$16+Tabelle1!P51*'Weights &amp; Assumptions'!$F$17+Tabelle1!Q51*'Weights &amp; Assumptions'!$F$18+Tabelle1!R51*'Weights &amp; Assumptions'!$F$19+Tabelle1!S51*'Weights &amp; Assumptions'!$F$20,"")</f>
        <v>131.817941715717</v>
      </c>
      <c r="Y50" s="22" t="n">
        <f aca="false">IFERROR(V50*'Weights &amp; Assumptions'!$B$25/'Weights &amp; Assumptions'!$B$28+W50*'Weights &amp; Assumptions'!$B$26/'Weights &amp; Assumptions'!$B$28+X50*'Weights &amp; Assumptions'!$B$27/'Weights &amp; Assumptions'!$B$28,"")</f>
        <v>125.93316991312</v>
      </c>
    </row>
    <row r="51" customFormat="false" ht="15" hidden="false" customHeight="false" outlineLevel="0" collapsed="false">
      <c r="A51" s="20" t="n">
        <v>39355</v>
      </c>
      <c r="B51" s="21" t="n">
        <v>129.61435</v>
      </c>
      <c r="C51" s="22" t="n">
        <v>102.39989881048</v>
      </c>
      <c r="D51" s="22" t="n">
        <v>98.4593550337383</v>
      </c>
      <c r="E51" s="22" t="n">
        <v>103.082257485448</v>
      </c>
      <c r="F51" s="22" t="n">
        <v>126.508061745287</v>
      </c>
      <c r="G51" s="22" t="n">
        <v>115.053021792027</v>
      </c>
      <c r="H51" s="22" t="n">
        <v>140.669857425403</v>
      </c>
      <c r="I51" s="22" t="n">
        <v>136.447025281526</v>
      </c>
      <c r="J51" s="22" t="n">
        <v>138.518358095398</v>
      </c>
      <c r="K51" s="22" t="n">
        <v>146.855287204901</v>
      </c>
      <c r="L51" s="22" t="n">
        <v>141.951369489172</v>
      </c>
      <c r="M51" s="22" t="n">
        <v>120.040128218019</v>
      </c>
      <c r="N51" s="22" t="n">
        <v>114.947196734863</v>
      </c>
      <c r="O51" s="22" t="n">
        <v>116.848143126107</v>
      </c>
      <c r="P51" s="22" t="n">
        <v>120.715904373313</v>
      </c>
      <c r="Q51" s="22" t="n">
        <v>132.081147463013</v>
      </c>
      <c r="R51" s="22" t="n">
        <f aca="false">C51*'Weights &amp; Assumptions'!$F$6+D51*'Weights &amp; Assumptions'!$F$7</f>
        <v>102.351617157073</v>
      </c>
      <c r="S51" s="22" t="n">
        <f aca="false">E51*'Weights &amp; Assumptions'!$F$8+F51*'Weights &amp; Assumptions'!$F$9+H51*'Weights &amp; Assumptions'!$F$11</f>
        <v>126.661310904959</v>
      </c>
      <c r="T51" s="22" t="n">
        <f aca="false">G51*'Weights &amp; Assumptions'!$F$10+I51*'Weights &amp; Assumptions'!$F$12+J51*'Weights &amp; Assumptions'!$F$13+K51*'Weights &amp; Assumptions'!$F$14+L51*'Weights &amp; Assumptions'!$F$15+M51*'Weights &amp; Assumptions'!$F$16+N51*'Weights &amp; Assumptions'!$F$17+O51*'Weights &amp; Assumptions'!$F$18+P51*'Weights &amp; Assumptions'!$F$19+Q51*'Weights &amp; Assumptions'!$F$20</f>
        <v>129.669718580701</v>
      </c>
      <c r="U51" s="22" t="n">
        <f aca="false">R51*'Weights &amp; Assumptions'!$B$25/'Weights &amp; Assumptions'!$B$28+S51*'Weights &amp; Assumptions'!$B$26/'Weights &amp; Assumptions'!$B$28+T51*'Weights &amp; Assumptions'!$B$27/'Weights &amp; Assumptions'!$B$28</f>
        <v>126.577718984839</v>
      </c>
      <c r="V51" s="23" t="n">
        <f aca="false">IFERROR(Tabelle1!E52*'Weights &amp; Assumptions'!$F$6+Tabelle1!F52*'Weights &amp; Assumptions'!$F$7,"")</f>
        <v>64.562046535679</v>
      </c>
      <c r="W51" s="23" t="n">
        <f aca="false">IFERROR(Tabelle1!G52*'Weights &amp; Assumptions'!$F$8+Tabelle1!H52*'Weights &amp; Assumptions'!$F$9+Tabelle1!J52*'Weights &amp; Assumptions'!$F$11,"")</f>
        <v>130.582894888086</v>
      </c>
      <c r="X51" s="23" t="n">
        <f aca="false">IFERROR(Tabelle1!I52*'Weights &amp; Assumptions'!$F$10+Tabelle1!K52*'Weights &amp; Assumptions'!$F$12+Tabelle1!L52*'Weights &amp; Assumptions'!$F$13+Tabelle1!M52*'Weights &amp; Assumptions'!$F$14+Tabelle1!N52*'Weights &amp; Assumptions'!$F$15+Tabelle1!O52*'Weights &amp; Assumptions'!$F$16+Tabelle1!P52*'Weights &amp; Assumptions'!$F$17+Tabelle1!Q52*'Weights &amp; Assumptions'!$F$18+Tabelle1!R52*'Weights &amp; Assumptions'!$F$19+Tabelle1!S52*'Weights &amp; Assumptions'!$F$20,"")</f>
        <v>129.500300992551</v>
      </c>
      <c r="Y51" s="22" t="n">
        <f aca="false">IFERROR(V51*'Weights &amp; Assumptions'!$B$25/'Weights &amp; Assumptions'!$B$28+W51*'Weights &amp; Assumptions'!$B$26/'Weights &amp; Assumptions'!$B$28+X51*'Weights &amp; Assumptions'!$B$27/'Weights &amp; Assumptions'!$B$28,"")</f>
        <v>124.339808029864</v>
      </c>
    </row>
    <row r="52" customFormat="false" ht="15" hidden="false" customHeight="false" outlineLevel="0" collapsed="false">
      <c r="A52" s="20" t="n">
        <v>39386</v>
      </c>
      <c r="B52" s="21" t="n">
        <v>131.23956</v>
      </c>
      <c r="C52" s="22" t="n">
        <v>106.169921884642</v>
      </c>
      <c r="D52" s="22" t="n">
        <v>82.0571808733603</v>
      </c>
      <c r="E52" s="22" t="n">
        <v>102.230467216918</v>
      </c>
      <c r="F52" s="22" t="n">
        <v>129.804152898134</v>
      </c>
      <c r="G52" s="22" t="n">
        <v>117.183269271111</v>
      </c>
      <c r="H52" s="22" t="n">
        <v>144.020752541041</v>
      </c>
      <c r="I52" s="22" t="n">
        <v>142.325297245441</v>
      </c>
      <c r="J52" s="22" t="n">
        <v>140.385860064396</v>
      </c>
      <c r="K52" s="22" t="n">
        <v>150.053642748207</v>
      </c>
      <c r="L52" s="22" t="n">
        <v>143.372881383707</v>
      </c>
      <c r="M52" s="22" t="n">
        <v>122.131503540004</v>
      </c>
      <c r="N52" s="22" t="n">
        <v>115.828543022127</v>
      </c>
      <c r="O52" s="22" t="n">
        <v>117.282852535232</v>
      </c>
      <c r="P52" s="22" t="n">
        <v>122.197781979141</v>
      </c>
      <c r="Q52" s="22" t="n">
        <v>131.063277417037</v>
      </c>
      <c r="R52" s="22" t="n">
        <f aca="false">C52*'Weights &amp; Assumptions'!$F$6+D52*'Weights &amp; Assumptions'!$F$7</f>
        <v>105.874479663934</v>
      </c>
      <c r="S52" s="22" t="n">
        <f aca="false">E52*'Weights &amp; Assumptions'!$F$8+F52*'Weights &amp; Assumptions'!$F$9+H52*'Weights &amp; Assumptions'!$F$11</f>
        <v>129.473571478446</v>
      </c>
      <c r="T52" s="22" t="n">
        <f aca="false">G52*'Weights &amp; Assumptions'!$F$10+I52*'Weights &amp; Assumptions'!$F$12+J52*'Weights &amp; Assumptions'!$F$13+K52*'Weights &amp; Assumptions'!$F$14+L52*'Weights &amp; Assumptions'!$F$15+M52*'Weights &amp; Assumptions'!$F$16+N52*'Weights &amp; Assumptions'!$F$17+O52*'Weights &amp; Assumptions'!$F$18+P52*'Weights &amp; Assumptions'!$F$19+Q52*'Weights &amp; Assumptions'!$F$20</f>
        <v>132.181560489157</v>
      </c>
      <c r="U52" s="22" t="n">
        <f aca="false">R52*'Weights &amp; Assumptions'!$B$25/'Weights &amp; Assumptions'!$B$28+S52*'Weights &amp; Assumptions'!$B$26/'Weights &amp; Assumptions'!$B$28+T52*'Weights &amp; Assumptions'!$B$27/'Weights &amp; Assumptions'!$B$28</f>
        <v>129.254272933665</v>
      </c>
      <c r="V52" s="23" t="n">
        <f aca="false">IFERROR(Tabelle1!E53*'Weights &amp; Assumptions'!$F$6+Tabelle1!F53*'Weights &amp; Assumptions'!$F$7,"")</f>
        <v>66.7334769378196</v>
      </c>
      <c r="W52" s="23" t="n">
        <f aca="false">IFERROR(Tabelle1!G53*'Weights &amp; Assumptions'!$F$8+Tabelle1!H53*'Weights &amp; Assumptions'!$F$9+Tabelle1!J53*'Weights &amp; Assumptions'!$F$11,"")</f>
        <v>135.508147709519</v>
      </c>
      <c r="X52" s="23" t="n">
        <f aca="false">IFERROR(Tabelle1!I53*'Weights &amp; Assumptions'!$F$10+Tabelle1!K53*'Weights &amp; Assumptions'!$F$12+Tabelle1!L53*'Weights &amp; Assumptions'!$F$13+Tabelle1!M53*'Weights &amp; Assumptions'!$F$14+Tabelle1!N53*'Weights &amp; Assumptions'!$F$15+Tabelle1!O53*'Weights &amp; Assumptions'!$F$16+Tabelle1!P53*'Weights &amp; Assumptions'!$F$17+Tabelle1!Q53*'Weights &amp; Assumptions'!$F$18+Tabelle1!R53*'Weights &amp; Assumptions'!$F$19+Tabelle1!S53*'Weights &amp; Assumptions'!$F$20,"")</f>
        <v>132.64154763099</v>
      </c>
      <c r="Y52" s="22" t="n">
        <f aca="false">IFERROR(V52*'Weights &amp; Assumptions'!$B$25/'Weights &amp; Assumptions'!$B$28+W52*'Weights &amp; Assumptions'!$B$26/'Weights &amp; Assumptions'!$B$28+X52*'Weights &amp; Assumptions'!$B$27/'Weights &amp; Assumptions'!$B$28,"")</f>
        <v>127.874084686371</v>
      </c>
    </row>
    <row r="53" customFormat="false" ht="15" hidden="false" customHeight="false" outlineLevel="0" collapsed="false">
      <c r="A53" s="20" t="n">
        <v>39416</v>
      </c>
      <c r="B53" s="21" t="n">
        <v>132.63358</v>
      </c>
      <c r="C53" s="22" t="n">
        <v>106.365352576106</v>
      </c>
      <c r="D53" s="22" t="n">
        <v>91.5963944119357</v>
      </c>
      <c r="E53" s="22" t="n">
        <v>101.203313588965</v>
      </c>
      <c r="F53" s="22" t="n">
        <v>131.838573909249</v>
      </c>
      <c r="G53" s="22" t="n">
        <v>115.200001538391</v>
      </c>
      <c r="H53" s="22" t="n">
        <v>143.984633042033</v>
      </c>
      <c r="I53" s="22" t="n">
        <v>144.56612194832</v>
      </c>
      <c r="J53" s="22" t="n">
        <v>142.723735820739</v>
      </c>
      <c r="K53" s="22" t="n">
        <v>151.373191304882</v>
      </c>
      <c r="L53" s="22" t="n">
        <v>145.232078723557</v>
      </c>
      <c r="M53" s="22" t="n">
        <v>122.469100935219</v>
      </c>
      <c r="N53" s="22" t="n">
        <v>117.509213737013</v>
      </c>
      <c r="O53" s="22" t="n">
        <v>119.211370977503</v>
      </c>
      <c r="P53" s="22" t="n">
        <v>122.831895016141</v>
      </c>
      <c r="Q53" s="22" t="n">
        <v>132.746063007047</v>
      </c>
      <c r="R53" s="22" t="n">
        <f aca="false">C53*'Weights &amp; Assumptions'!$F$6+D53*'Weights &amp; Assumptions'!$F$7</f>
        <v>106.184395388554</v>
      </c>
      <c r="S53" s="22" t="n">
        <f aca="false">E53*'Weights &amp; Assumptions'!$F$8+F53*'Weights &amp; Assumptions'!$F$9+H53*'Weights &amp; Assumptions'!$F$11</f>
        <v>130.711105000073</v>
      </c>
      <c r="T53" s="22" t="n">
        <f aca="false">G53*'Weights &amp; Assumptions'!$F$10+I53*'Weights &amp; Assumptions'!$F$12+J53*'Weights &amp; Assumptions'!$F$13+K53*'Weights &amp; Assumptions'!$F$14+L53*'Weights &amp; Assumptions'!$F$15+M53*'Weights &amp; Assumptions'!$F$16+N53*'Weights &amp; Assumptions'!$F$17+O53*'Weights &amp; Assumptions'!$F$18+P53*'Weights &amp; Assumptions'!$F$19+Q53*'Weights &amp; Assumptions'!$F$20</f>
        <v>133.532078628011</v>
      </c>
      <c r="U53" s="22" t="n">
        <f aca="false">R53*'Weights &amp; Assumptions'!$B$25/'Weights &amp; Assumptions'!$B$28+S53*'Weights &amp; Assumptions'!$B$26/'Weights &amp; Assumptions'!$B$28+T53*'Weights &amp; Assumptions'!$B$27/'Weights &amp; Assumptions'!$B$28</f>
        <v>130.487439080622</v>
      </c>
      <c r="V53" s="23" t="n">
        <f aca="false">IFERROR(Tabelle1!E54*'Weights &amp; Assumptions'!$F$6+Tabelle1!F54*'Weights &amp; Assumptions'!$F$7,"")</f>
        <v>83.5874250852791</v>
      </c>
      <c r="W53" s="23" t="n">
        <f aca="false">IFERROR(Tabelle1!G54*'Weights &amp; Assumptions'!$F$8+Tabelle1!H54*'Weights &amp; Assumptions'!$F$9+Tabelle1!J54*'Weights &amp; Assumptions'!$F$11,"")</f>
        <v>133.29996561722</v>
      </c>
      <c r="X53" s="23" t="n">
        <f aca="false">IFERROR(Tabelle1!I54*'Weights &amp; Assumptions'!$F$10+Tabelle1!K54*'Weights &amp; Assumptions'!$F$12+Tabelle1!L54*'Weights &amp; Assumptions'!$F$13+Tabelle1!M54*'Weights &amp; Assumptions'!$F$14+Tabelle1!N54*'Weights &amp; Assumptions'!$F$15+Tabelle1!O54*'Weights &amp; Assumptions'!$F$16+Tabelle1!P54*'Weights &amp; Assumptions'!$F$17+Tabelle1!Q54*'Weights &amp; Assumptions'!$F$18+Tabelle1!R54*'Weights &amp; Assumptions'!$F$19+Tabelle1!S54*'Weights &amp; Assumptions'!$F$20,"")</f>
        <v>133.5500638262</v>
      </c>
      <c r="Y53" s="22" t="n">
        <f aca="false">IFERROR(V53*'Weights &amp; Assumptions'!$B$25/'Weights &amp; Assumptions'!$B$28+W53*'Weights &amp; Assumptions'!$B$26/'Weights &amp; Assumptions'!$B$28+X53*'Weights &amp; Assumptions'!$B$27/'Weights &amp; Assumptions'!$B$28,"")</f>
        <v>129.291651374487</v>
      </c>
    </row>
    <row r="54" customFormat="false" ht="15" hidden="false" customHeight="false" outlineLevel="0" collapsed="false">
      <c r="A54" s="20" t="n">
        <v>39447</v>
      </c>
      <c r="B54" s="21" t="n">
        <v>134.19822</v>
      </c>
      <c r="C54" s="22" t="n">
        <v>108.788166503442</v>
      </c>
      <c r="D54" s="22" t="n">
        <v>92.3850843829199</v>
      </c>
      <c r="E54" s="22" t="n">
        <v>103.675948558373</v>
      </c>
      <c r="F54" s="22" t="n">
        <v>132.098952566592</v>
      </c>
      <c r="G54" s="22" t="n">
        <v>118.959721066616</v>
      </c>
      <c r="H54" s="22" t="n">
        <v>143.800809154575</v>
      </c>
      <c r="I54" s="22" t="n">
        <v>142.076778896151</v>
      </c>
      <c r="J54" s="22" t="n">
        <v>144.217699355731</v>
      </c>
      <c r="K54" s="22" t="n">
        <v>152.128141268919</v>
      </c>
      <c r="L54" s="22" t="n">
        <v>146.298281277905</v>
      </c>
      <c r="M54" s="22" t="n">
        <v>119.717026821536</v>
      </c>
      <c r="N54" s="22" t="n">
        <v>117.234685080897</v>
      </c>
      <c r="O54" s="22" t="n">
        <v>118.460831402559</v>
      </c>
      <c r="P54" s="22" t="n">
        <v>123.712082835466</v>
      </c>
      <c r="Q54" s="22" t="n">
        <v>132.286907730021</v>
      </c>
      <c r="R54" s="22" t="n">
        <f aca="false">C54*'Weights &amp; Assumptions'!$F$6+D54*'Weights &amp; Assumptions'!$F$7</f>
        <v>108.587187153734</v>
      </c>
      <c r="S54" s="22" t="n">
        <f aca="false">E54*'Weights &amp; Assumptions'!$F$8+F54*'Weights &amp; Assumptions'!$F$9+H54*'Weights &amp; Assumptions'!$F$11</f>
        <v>131.143084111442</v>
      </c>
      <c r="T54" s="22" t="n">
        <f aca="false">G54*'Weights &amp; Assumptions'!$F$10+I54*'Weights &amp; Assumptions'!$F$12+J54*'Weights &amp; Assumptions'!$F$13+K54*'Weights &amp; Assumptions'!$F$14+L54*'Weights &amp; Assumptions'!$F$15+M54*'Weights &amp; Assumptions'!$F$16+N54*'Weights &amp; Assumptions'!$F$17+O54*'Weights &amp; Assumptions'!$F$18+P54*'Weights &amp; Assumptions'!$F$19+Q54*'Weights &amp; Assumptions'!$F$20</f>
        <v>132.789108722233</v>
      </c>
      <c r="U54" s="22" t="n">
        <f aca="false">R54*'Weights &amp; Assumptions'!$B$25/'Weights &amp; Assumptions'!$B$28+S54*'Weights &amp; Assumptions'!$B$26/'Weights &amp; Assumptions'!$B$28+T54*'Weights &amp; Assumptions'!$B$27/'Weights &amp; Assumptions'!$B$28</f>
        <v>130.320840664798</v>
      </c>
      <c r="V54" s="23" t="n">
        <f aca="false">IFERROR(Tabelle1!E55*'Weights &amp; Assumptions'!$F$6+Tabelle1!F55*'Weights &amp; Assumptions'!$F$7,"")</f>
        <v>95.5506782517491</v>
      </c>
      <c r="W54" s="23" t="n">
        <f aca="false">IFERROR(Tabelle1!G55*'Weights &amp; Assumptions'!$F$8+Tabelle1!H55*'Weights &amp; Assumptions'!$F$9+Tabelle1!J55*'Weights &amp; Assumptions'!$F$11,"")</f>
        <v>129.264472487308</v>
      </c>
      <c r="X54" s="23" t="n">
        <f aca="false">IFERROR(Tabelle1!I55*'Weights &amp; Assumptions'!$F$10+Tabelle1!K55*'Weights &amp; Assumptions'!$F$12+Tabelle1!L55*'Weights &amp; Assumptions'!$F$13+Tabelle1!M55*'Weights &amp; Assumptions'!$F$14+Tabelle1!N55*'Weights &amp; Assumptions'!$F$15+Tabelle1!O55*'Weights &amp; Assumptions'!$F$16+Tabelle1!P55*'Weights &amp; Assumptions'!$F$17+Tabelle1!Q55*'Weights &amp; Assumptions'!$F$18+Tabelle1!R55*'Weights &amp; Assumptions'!$F$19+Tabelle1!S55*'Weights &amp; Assumptions'!$F$20,"")</f>
        <v>131.306326067999</v>
      </c>
      <c r="Y54" s="22" t="n">
        <f aca="false">IFERROR(V54*'Weights &amp; Assumptions'!$B$25/'Weights &amp; Assumptions'!$B$28+W54*'Weights &amp; Assumptions'!$B$26/'Weights &amp; Assumptions'!$B$28+X54*'Weights &amp; Assumptions'!$B$27/'Weights &amp; Assumptions'!$B$28,"")</f>
        <v>127.763432925884</v>
      </c>
    </row>
    <row r="55" customFormat="false" ht="15" hidden="false" customHeight="false" outlineLevel="0" collapsed="false">
      <c r="A55" s="20" t="n">
        <v>39478</v>
      </c>
      <c r="B55" s="21" t="n">
        <v>135.1947</v>
      </c>
      <c r="C55" s="22" t="n">
        <v>105.076148487739</v>
      </c>
      <c r="D55" s="22" t="n">
        <v>98.8581543138553</v>
      </c>
      <c r="E55" s="22" t="n">
        <v>101.217550424608</v>
      </c>
      <c r="F55" s="22" t="n">
        <v>134.25565594201</v>
      </c>
      <c r="G55" s="22" t="n">
        <v>121.352737904366</v>
      </c>
      <c r="H55" s="22" t="n">
        <v>148.494355462269</v>
      </c>
      <c r="I55" s="22" t="n">
        <v>146.651958141792</v>
      </c>
      <c r="J55" s="22" t="n">
        <v>141.869352843066</v>
      </c>
      <c r="K55" s="22" t="n">
        <v>154.415105965482</v>
      </c>
      <c r="L55" s="22" t="n">
        <v>148.883037508787</v>
      </c>
      <c r="M55" s="22" t="n">
        <v>124.413449871249</v>
      </c>
      <c r="N55" s="22" t="n">
        <v>115.360472031079</v>
      </c>
      <c r="O55" s="22" t="n">
        <v>115.907098982991</v>
      </c>
      <c r="P55" s="22" t="n">
        <v>124.573005427635</v>
      </c>
      <c r="Q55" s="22" t="n">
        <v>134.048248400125</v>
      </c>
      <c r="R55" s="22" t="n">
        <f aca="false">C55*'Weights &amp; Assumptions'!$F$6+D55*'Weights &amp; Assumptions'!$F$7</f>
        <v>104.999962291975</v>
      </c>
      <c r="S55" s="22" t="n">
        <f aca="false">E55*'Weights &amp; Assumptions'!$F$8+F55*'Weights &amp; Assumptions'!$F$9+H55*'Weights &amp; Assumptions'!$F$11</f>
        <v>133.277239238915</v>
      </c>
      <c r="T55" s="22" t="n">
        <f aca="false">G55*'Weights &amp; Assumptions'!$F$10+I55*'Weights &amp; Assumptions'!$F$12+J55*'Weights &amp; Assumptions'!$F$13+K55*'Weights &amp; Assumptions'!$F$14+L55*'Weights &amp; Assumptions'!$F$15+M55*'Weights &amp; Assumptions'!$F$16+N55*'Weights &amp; Assumptions'!$F$17+O55*'Weights &amp; Assumptions'!$F$18+P55*'Weights &amp; Assumptions'!$F$19+Q55*'Weights &amp; Assumptions'!$F$20</f>
        <v>134.960995665557</v>
      </c>
      <c r="U55" s="22" t="n">
        <f aca="false">R55*'Weights &amp; Assumptions'!$B$25/'Weights &amp; Assumptions'!$B$28+S55*'Weights &amp; Assumptions'!$B$26/'Weights &amp; Assumptions'!$B$28+T55*'Weights &amp; Assumptions'!$B$27/'Weights &amp; Assumptions'!$B$28</f>
        <v>131.999499786012</v>
      </c>
      <c r="V55" s="23" t="n">
        <f aca="false">IFERROR(Tabelle1!E56*'Weights &amp; Assumptions'!$F$6+Tabelle1!F56*'Weights &amp; Assumptions'!$F$7,"")</f>
        <v>66.0819871689253</v>
      </c>
      <c r="W55" s="23" t="n">
        <f aca="false">IFERROR(Tabelle1!G56*'Weights &amp; Assumptions'!$F$8+Tabelle1!H56*'Weights &amp; Assumptions'!$F$9+Tabelle1!J56*'Weights &amp; Assumptions'!$F$11,"")</f>
        <v>124.84804484499</v>
      </c>
      <c r="X55" s="23" t="n">
        <f aca="false">IFERROR(Tabelle1!I56*'Weights &amp; Assumptions'!$F$10+Tabelle1!K56*'Weights &amp; Assumptions'!$F$12+Tabelle1!L56*'Weights &amp; Assumptions'!$F$13+Tabelle1!M56*'Weights &amp; Assumptions'!$F$14+Tabelle1!N56*'Weights &amp; Assumptions'!$F$15+Tabelle1!O56*'Weights &amp; Assumptions'!$F$16+Tabelle1!P56*'Weights &amp; Assumptions'!$F$17+Tabelle1!Q56*'Weights &amp; Assumptions'!$F$18+Tabelle1!R56*'Weights &amp; Assumptions'!$F$19+Tabelle1!S56*'Weights &amp; Assumptions'!$F$20,"")</f>
        <v>132.175846999076</v>
      </c>
      <c r="Y55" s="22" t="n">
        <f aca="false">IFERROR(V55*'Weights &amp; Assumptions'!$B$25/'Weights &amp; Assumptions'!$B$28+W55*'Weights &amp; Assumptions'!$B$26/'Weights &amp; Assumptions'!$B$28+X55*'Weights &amp; Assumptions'!$B$27/'Weights &amp; Assumptions'!$B$28,"")</f>
        <v>124.681926560097</v>
      </c>
    </row>
    <row r="56" customFormat="false" ht="15" hidden="false" customHeight="false" outlineLevel="0" collapsed="false">
      <c r="A56" s="20" t="n">
        <v>39507</v>
      </c>
      <c r="B56" s="21" t="n">
        <v>133.42689</v>
      </c>
      <c r="C56" s="22" t="n">
        <v>104.583823727873</v>
      </c>
      <c r="D56" s="22" t="n">
        <v>94.7725339536815</v>
      </c>
      <c r="E56" s="22" t="n">
        <v>103.623584113881</v>
      </c>
      <c r="F56" s="22" t="n">
        <v>134.102057200139</v>
      </c>
      <c r="G56" s="22" t="n">
        <v>122.872399717288</v>
      </c>
      <c r="H56" s="22" t="n">
        <v>149.438225988425</v>
      </c>
      <c r="I56" s="22" t="n">
        <v>146.828485908091</v>
      </c>
      <c r="J56" s="22" t="n">
        <v>142.144500495071</v>
      </c>
      <c r="K56" s="22" t="n">
        <v>154.9151698405</v>
      </c>
      <c r="L56" s="22" t="n">
        <v>149.749034458349</v>
      </c>
      <c r="M56" s="22" t="n">
        <v>125.828753250484</v>
      </c>
      <c r="N56" s="22" t="n">
        <v>117.700024922373</v>
      </c>
      <c r="O56" s="22" t="n">
        <v>119.280304094155</v>
      </c>
      <c r="P56" s="22" t="n">
        <v>124.524421966036</v>
      </c>
      <c r="Q56" s="22" t="n">
        <v>135.568634670085</v>
      </c>
      <c r="R56" s="22" t="n">
        <f aca="false">C56*'Weights &amp; Assumptions'!$F$6+D56*'Weights &amp; Assumptions'!$F$7</f>
        <v>104.46361054939</v>
      </c>
      <c r="S56" s="22" t="n">
        <f aca="false">E56*'Weights &amp; Assumptions'!$F$8+F56*'Weights &amp; Assumptions'!$F$9+H56*'Weights &amp; Assumptions'!$F$11</f>
        <v>133.657883514551</v>
      </c>
      <c r="T56" s="22" t="n">
        <f aca="false">G56*'Weights &amp; Assumptions'!$F$10+I56*'Weights &amp; Assumptions'!$F$12+J56*'Weights &amp; Assumptions'!$F$13+K56*'Weights &amp; Assumptions'!$F$14+L56*'Weights &amp; Assumptions'!$F$15+M56*'Weights &amp; Assumptions'!$F$16+N56*'Weights &amp; Assumptions'!$F$17+O56*'Weights &amp; Assumptions'!$F$18+P56*'Weights &amp; Assumptions'!$F$19+Q56*'Weights &amp; Assumptions'!$F$20</f>
        <v>136.029465308039</v>
      </c>
      <c r="U56" s="22" t="n">
        <f aca="false">R56*'Weights &amp; Assumptions'!$B$25/'Weights &amp; Assumptions'!$B$28+S56*'Weights &amp; Assumptions'!$B$26/'Weights &amp; Assumptions'!$B$28+T56*'Weights &amp; Assumptions'!$B$27/'Weights &amp; Assumptions'!$B$28</f>
        <v>132.750418798666</v>
      </c>
      <c r="V56" s="23" t="n">
        <f aca="false">IFERROR(Tabelle1!E57*'Weights &amp; Assumptions'!$F$6+Tabelle1!F57*'Weights &amp; Assumptions'!$F$7,"")</f>
        <v>68.5655096218162</v>
      </c>
      <c r="W56" s="23" t="n">
        <f aca="false">IFERROR(Tabelle1!G57*'Weights &amp; Assumptions'!$F$8+Tabelle1!H57*'Weights &amp; Assumptions'!$F$9+Tabelle1!J57*'Weights &amp; Assumptions'!$F$11,"")</f>
        <v>123.080451494408</v>
      </c>
      <c r="X56" s="23" t="n">
        <f aca="false">IFERROR(Tabelle1!I57*'Weights &amp; Assumptions'!$F$10+Tabelle1!K57*'Weights &amp; Assumptions'!$F$12+Tabelle1!L57*'Weights &amp; Assumptions'!$F$13+Tabelle1!M57*'Weights &amp; Assumptions'!$F$14+Tabelle1!N57*'Weights &amp; Assumptions'!$F$15+Tabelle1!O57*'Weights &amp; Assumptions'!$F$16+Tabelle1!P57*'Weights &amp; Assumptions'!$F$17+Tabelle1!Q57*'Weights &amp; Assumptions'!$F$18+Tabelle1!R57*'Weights &amp; Assumptions'!$F$19+Tabelle1!S57*'Weights &amp; Assumptions'!$F$20,"")</f>
        <v>130.527692299676</v>
      </c>
      <c r="Y56" s="22" t="n">
        <f aca="false">IFERROR(V56*'Weights &amp; Assumptions'!$B$25/'Weights &amp; Assumptions'!$B$28+W56*'Weights &amp; Assumptions'!$B$26/'Weights &amp; Assumptions'!$B$28+X56*'Weights &amp; Assumptions'!$B$27/'Weights &amp; Assumptions'!$B$28,"")</f>
        <v>123.348662188426</v>
      </c>
    </row>
    <row r="57" customFormat="false" ht="15" hidden="false" customHeight="false" outlineLevel="0" collapsed="false">
      <c r="A57" s="20" t="n">
        <v>39538</v>
      </c>
      <c r="B57" s="21" t="n">
        <v>133.38365</v>
      </c>
      <c r="C57" s="22" t="n">
        <v>108.202831035754</v>
      </c>
      <c r="D57" s="22" t="n">
        <v>102.369866528813</v>
      </c>
      <c r="E57" s="22" t="n">
        <v>101.466483198705</v>
      </c>
      <c r="F57" s="22" t="n">
        <v>129.471323993947</v>
      </c>
      <c r="G57" s="22" t="n">
        <v>119.279398963977</v>
      </c>
      <c r="H57" s="22" t="n">
        <v>148.184387390007</v>
      </c>
      <c r="I57" s="22" t="n">
        <v>139.887918650153</v>
      </c>
      <c r="J57" s="22" t="n">
        <v>142.63733417293</v>
      </c>
      <c r="K57" s="22" t="n">
        <v>150.930409294575</v>
      </c>
      <c r="L57" s="22" t="n">
        <v>145.716425522669</v>
      </c>
      <c r="M57" s="22" t="n">
        <v>122.611551778722</v>
      </c>
      <c r="N57" s="22" t="n">
        <v>118.166214690844</v>
      </c>
      <c r="O57" s="22" t="n">
        <v>119.554711827881</v>
      </c>
      <c r="P57" s="22" t="n">
        <v>124.085023596406</v>
      </c>
      <c r="Q57" s="22" t="n">
        <v>137.050191235674</v>
      </c>
      <c r="R57" s="22" t="n">
        <f aca="false">C57*'Weights &amp; Assumptions'!$F$6+D57*'Weights &amp; Assumptions'!$F$7</f>
        <v>108.13136242974</v>
      </c>
      <c r="S57" s="22" t="n">
        <f aca="false">E57*'Weights &amp; Assumptions'!$F$8+F57*'Weights &amp; Assumptions'!$F$9+H57*'Weights &amp; Assumptions'!$F$11</f>
        <v>130.025983241168</v>
      </c>
      <c r="T57" s="22" t="n">
        <f aca="false">G57*'Weights &amp; Assumptions'!$F$10+I57*'Weights &amp; Assumptions'!$F$12+J57*'Weights &amp; Assumptions'!$F$13+K57*'Weights &amp; Assumptions'!$F$14+L57*'Weights &amp; Assumptions'!$F$15+M57*'Weights &amp; Assumptions'!$F$16+N57*'Weights &amp; Assumptions'!$F$17+O57*'Weights &amp; Assumptions'!$F$18+P57*'Weights &amp; Assumptions'!$F$19+Q57*'Weights &amp; Assumptions'!$F$20</f>
        <v>133.107488228642</v>
      </c>
      <c r="U57" s="22" t="n">
        <f aca="false">R57*'Weights &amp; Assumptions'!$B$25/'Weights &amp; Assumptions'!$B$28+S57*'Weights &amp; Assumptions'!$B$26/'Weights &amp; Assumptions'!$B$28+T57*'Weights &amp; Assumptions'!$B$27/'Weights &amp; Assumptions'!$B$28</f>
        <v>130.192544484617</v>
      </c>
      <c r="V57" s="23" t="n">
        <f aca="false">IFERROR(Tabelle1!E58*'Weights &amp; Assumptions'!$F$6+Tabelle1!F58*'Weights &amp; Assumptions'!$F$7,"")</f>
        <v>135.264370448028</v>
      </c>
      <c r="W57" s="23" t="n">
        <f aca="false">IFERROR(Tabelle1!G58*'Weights &amp; Assumptions'!$F$8+Tabelle1!H58*'Weights &amp; Assumptions'!$F$9+Tabelle1!J58*'Weights &amp; Assumptions'!$F$11,"")</f>
        <v>131.154136325108</v>
      </c>
      <c r="X57" s="23" t="n">
        <f aca="false">IFERROR(Tabelle1!I58*'Weights &amp; Assumptions'!$F$10+Tabelle1!K58*'Weights &amp; Assumptions'!$F$12+Tabelle1!L58*'Weights &amp; Assumptions'!$F$13+Tabelle1!M58*'Weights &amp; Assumptions'!$F$14+Tabelle1!N58*'Weights &amp; Assumptions'!$F$15+Tabelle1!O58*'Weights &amp; Assumptions'!$F$16+Tabelle1!P58*'Weights &amp; Assumptions'!$F$17+Tabelle1!Q58*'Weights &amp; Assumptions'!$F$18+Tabelle1!R58*'Weights &amp; Assumptions'!$F$19+Tabelle1!S58*'Weights &amp; Assumptions'!$F$20,"")</f>
        <v>134.199238516079</v>
      </c>
      <c r="Y57" s="22" t="n">
        <f aca="false">IFERROR(V57*'Weights &amp; Assumptions'!$B$25/'Weights &amp; Assumptions'!$B$28+W57*'Weights &amp; Assumptions'!$B$26/'Weights &amp; Assumptions'!$B$28+X57*'Weights &amp; Assumptions'!$B$27/'Weights &amp; Assumptions'!$B$28,"")</f>
        <v>133.478858106644</v>
      </c>
    </row>
    <row r="58" customFormat="false" ht="15" hidden="false" customHeight="false" outlineLevel="0" collapsed="false">
      <c r="A58" s="20" t="n">
        <v>39568</v>
      </c>
      <c r="B58" s="21" t="n">
        <v>135.74808</v>
      </c>
      <c r="C58" s="22" t="n">
        <v>115.45737720816</v>
      </c>
      <c r="D58" s="22" t="n">
        <v>136.466471110324</v>
      </c>
      <c r="E58" s="22" t="n">
        <v>100.890000538206</v>
      </c>
      <c r="F58" s="22" t="n">
        <v>135.181589202456</v>
      </c>
      <c r="G58" s="22" t="n">
        <v>120.320499640416</v>
      </c>
      <c r="H58" s="22" t="n">
        <v>151.385204605436</v>
      </c>
      <c r="I58" s="22" t="n">
        <v>152.592966284095</v>
      </c>
      <c r="J58" s="22" t="n">
        <v>139.132739088581</v>
      </c>
      <c r="K58" s="22" t="n">
        <v>154.695131713816</v>
      </c>
      <c r="L58" s="22" t="n">
        <v>151.101650936139</v>
      </c>
      <c r="M58" s="22" t="n">
        <v>127.017656118056</v>
      </c>
      <c r="N58" s="22" t="n">
        <v>119.55498787529</v>
      </c>
      <c r="O58" s="22" t="n">
        <v>121.447411360442</v>
      </c>
      <c r="P58" s="22" t="n">
        <v>126.386047027101</v>
      </c>
      <c r="Q58" s="22" t="n">
        <v>137.432574052968</v>
      </c>
      <c r="R58" s="22" t="n">
        <f aca="false">C58*'Weights &amp; Assumptions'!$F$6+D58*'Weights &amp; Assumptions'!$F$7</f>
        <v>115.71479188178</v>
      </c>
      <c r="S58" s="22" t="n">
        <f aca="false">E58*'Weights &amp; Assumptions'!$F$8+F58*'Weights &amp; Assumptions'!$F$9+H58*'Weights &amp; Assumptions'!$F$11</f>
        <v>134.462847870124</v>
      </c>
      <c r="T58" s="22" t="n">
        <f aca="false">G58*'Weights &amp; Assumptions'!$F$10+I58*'Weights &amp; Assumptions'!$F$12+J58*'Weights &amp; Assumptions'!$F$13+K58*'Weights &amp; Assumptions'!$F$14+L58*'Weights &amp; Assumptions'!$F$15+M58*'Weights &amp; Assumptions'!$F$16+N58*'Weights &amp; Assumptions'!$F$17+O58*'Weights &amp; Assumptions'!$F$18+P58*'Weights &amp; Assumptions'!$F$19+Q58*'Weights &amp; Assumptions'!$F$20</f>
        <v>137.874926818728</v>
      </c>
      <c r="U58" s="22" t="n">
        <f aca="false">R58*'Weights &amp; Assumptions'!$B$25/'Weights &amp; Assumptions'!$B$28+S58*'Weights &amp; Assumptions'!$B$26/'Weights &amp; Assumptions'!$B$28+T58*'Weights &amp; Assumptions'!$B$27/'Weights &amp; Assumptions'!$B$28</f>
        <v>135.108341660698</v>
      </c>
      <c r="V58" s="23" t="n">
        <f aca="false">IFERROR(Tabelle1!E59*'Weights &amp; Assumptions'!$F$6+Tabelle1!F59*'Weights &amp; Assumptions'!$F$7,"")</f>
        <v>220.479685209711</v>
      </c>
      <c r="W58" s="23" t="n">
        <f aca="false">IFERROR(Tabelle1!G59*'Weights &amp; Assumptions'!$F$8+Tabelle1!H59*'Weights &amp; Assumptions'!$F$9+Tabelle1!J59*'Weights &amp; Assumptions'!$F$11,"")</f>
        <v>135.297194225325</v>
      </c>
      <c r="X58" s="23" t="n">
        <f aca="false">IFERROR(Tabelle1!I59*'Weights &amp; Assumptions'!$F$10+Tabelle1!K59*'Weights &amp; Assumptions'!$F$12+Tabelle1!L59*'Weights &amp; Assumptions'!$F$13+Tabelle1!M59*'Weights &amp; Assumptions'!$F$14+Tabelle1!N59*'Weights &amp; Assumptions'!$F$15+Tabelle1!O59*'Weights &amp; Assumptions'!$F$16+Tabelle1!P59*'Weights &amp; Assumptions'!$F$17+Tabelle1!Q59*'Weights &amp; Assumptions'!$F$18+Tabelle1!R59*'Weights &amp; Assumptions'!$F$19+Tabelle1!S59*'Weights &amp; Assumptions'!$F$20,"")</f>
        <v>138.611213436971</v>
      </c>
      <c r="Y58" s="22" t="n">
        <f aca="false">IFERROR(V58*'Weights &amp; Assumptions'!$B$25/'Weights &amp; Assumptions'!$B$28+W58*'Weights &amp; Assumptions'!$B$26/'Weights &amp; Assumptions'!$B$28+X58*'Weights &amp; Assumptions'!$B$27/'Weights &amp; Assumptions'!$B$28,"")</f>
        <v>144.598790751299</v>
      </c>
    </row>
    <row r="59" customFormat="false" ht="15" hidden="false" customHeight="false" outlineLevel="0" collapsed="false">
      <c r="A59" s="20" t="n">
        <v>39599</v>
      </c>
      <c r="B59" s="21" t="n">
        <v>134.857</v>
      </c>
      <c r="C59" s="22" t="n">
        <v>115.322778694528</v>
      </c>
      <c r="D59" s="22" t="n">
        <v>134.346473175511</v>
      </c>
      <c r="E59" s="22" t="n">
        <v>90.3520836119525</v>
      </c>
      <c r="F59" s="22" t="n">
        <v>133.81631612676</v>
      </c>
      <c r="G59" s="22" t="n">
        <v>117.03921331439</v>
      </c>
      <c r="H59" s="22" t="n">
        <v>150.853406368414</v>
      </c>
      <c r="I59" s="22" t="n">
        <v>149.441518574822</v>
      </c>
      <c r="J59" s="22" t="n">
        <v>140.158971285369</v>
      </c>
      <c r="K59" s="22" t="n">
        <v>154.092592272553</v>
      </c>
      <c r="L59" s="22" t="n">
        <v>151.111337225364</v>
      </c>
      <c r="M59" s="22" t="n">
        <v>126.656750180432</v>
      </c>
      <c r="N59" s="22" t="n">
        <v>119.463935505688</v>
      </c>
      <c r="O59" s="22" t="n">
        <v>121.181387724821</v>
      </c>
      <c r="P59" s="22" t="n">
        <v>127.032223716102</v>
      </c>
      <c r="Q59" s="22" t="n">
        <v>138.5488123115</v>
      </c>
      <c r="R59" s="22" t="n">
        <f aca="false">C59*'Weights &amp; Assumptions'!$F$6+D59*'Weights &amp; Assumptions'!$F$7</f>
        <v>115.555867190809</v>
      </c>
      <c r="S59" s="22" t="n">
        <f aca="false">E59*'Weights &amp; Assumptions'!$F$8+F59*'Weights &amp; Assumptions'!$F$9+H59*'Weights &amp; Assumptions'!$F$11</f>
        <v>132.176014626943</v>
      </c>
      <c r="T59" s="22" t="n">
        <f aca="false">G59*'Weights &amp; Assumptions'!$F$10+I59*'Weights &amp; Assumptions'!$F$12+J59*'Weights &amp; Assumptions'!$F$13+K59*'Weights &amp; Assumptions'!$F$14+L59*'Weights &amp; Assumptions'!$F$15+M59*'Weights &amp; Assumptions'!$F$16+N59*'Weights &amp; Assumptions'!$F$17+O59*'Weights &amp; Assumptions'!$F$18+P59*'Weights &amp; Assumptions'!$F$19+Q59*'Weights &amp; Assumptions'!$F$20</f>
        <v>137.107996787573</v>
      </c>
      <c r="U59" s="22" t="n">
        <f aca="false">R59*'Weights &amp; Assumptions'!$B$25/'Weights &amp; Assumptions'!$B$28+S59*'Weights &amp; Assumptions'!$B$26/'Weights &amp; Assumptions'!$B$28+T59*'Weights &amp; Assumptions'!$B$27/'Weights &amp; Assumptions'!$B$28</f>
        <v>133.988254969568</v>
      </c>
      <c r="V59" s="23" t="n">
        <f aca="false">IFERROR(Tabelle1!E60*'Weights &amp; Assumptions'!$F$6+Tabelle1!F60*'Weights &amp; Assumptions'!$F$7,"")</f>
        <v>321.167066789073</v>
      </c>
      <c r="W59" s="23" t="n">
        <f aca="false">IFERROR(Tabelle1!G60*'Weights &amp; Assumptions'!$F$8+Tabelle1!H60*'Weights &amp; Assumptions'!$F$9+Tabelle1!J60*'Weights &amp; Assumptions'!$F$11,"")</f>
        <v>134.349796635617</v>
      </c>
      <c r="X59" s="23" t="n">
        <f aca="false">IFERROR(Tabelle1!I60*'Weights &amp; Assumptions'!$F$10+Tabelle1!K60*'Weights &amp; Assumptions'!$F$12+Tabelle1!L60*'Weights &amp; Assumptions'!$F$13+Tabelle1!M60*'Weights &amp; Assumptions'!$F$14+Tabelle1!N60*'Weights &amp; Assumptions'!$F$15+Tabelle1!O60*'Weights &amp; Assumptions'!$F$16+Tabelle1!P60*'Weights &amp; Assumptions'!$F$17+Tabelle1!Q60*'Weights &amp; Assumptions'!$F$18+Tabelle1!R60*'Weights &amp; Assumptions'!$F$19+Tabelle1!S60*'Weights &amp; Assumptions'!$F$20,"")</f>
        <v>139.976659459291</v>
      </c>
      <c r="Y59" s="22" t="n">
        <f aca="false">IFERROR(V59*'Weights &amp; Assumptions'!$B$25/'Weights &amp; Assumptions'!$B$28+W59*'Weights &amp; Assumptions'!$B$26/'Weights &amp; Assumptions'!$B$28+X59*'Weights &amp; Assumptions'!$B$27/'Weights &amp; Assumptions'!$B$28,"")</f>
        <v>153.682404304831</v>
      </c>
    </row>
    <row r="60" customFormat="false" ht="15" hidden="false" customHeight="false" outlineLevel="0" collapsed="false">
      <c r="A60" s="20" t="n">
        <v>39629</v>
      </c>
      <c r="B60" s="21" t="n">
        <v>133.38336</v>
      </c>
      <c r="C60" s="22" t="n">
        <v>113.430054709641</v>
      </c>
      <c r="D60" s="22" t="n">
        <v>143.659980437289</v>
      </c>
      <c r="E60" s="22" t="n">
        <v>99.375674260911</v>
      </c>
      <c r="F60" s="22" t="n">
        <v>129.58551620084</v>
      </c>
      <c r="G60" s="22" t="n">
        <v>122.071587174196</v>
      </c>
      <c r="H60" s="22" t="n">
        <v>149.946198546206</v>
      </c>
      <c r="I60" s="22" t="n">
        <v>141.57696585106</v>
      </c>
      <c r="J60" s="22" t="n">
        <v>137.468333429038</v>
      </c>
      <c r="K60" s="22" t="n">
        <v>151.038427079114</v>
      </c>
      <c r="L60" s="22" t="n">
        <v>148.238576278373</v>
      </c>
      <c r="M60" s="22" t="n">
        <v>125.383972202718</v>
      </c>
      <c r="N60" s="22" t="n">
        <v>120.419701420874</v>
      </c>
      <c r="O60" s="22" t="n">
        <v>122.196880291776</v>
      </c>
      <c r="P60" s="22" t="n">
        <v>125.661421572728</v>
      </c>
      <c r="Q60" s="22" t="n">
        <v>140.612244357418</v>
      </c>
      <c r="R60" s="22" t="n">
        <f aca="false">C60*'Weights &amp; Assumptions'!$F$6+D60*'Weights &amp; Assumptions'!$F$7</f>
        <v>113.800447954632</v>
      </c>
      <c r="S60" s="22" t="n">
        <f aca="false">E60*'Weights &amp; Assumptions'!$F$8+F60*'Weights &amp; Assumptions'!$F$9+H60*'Weights &amp; Assumptions'!$F$11</f>
        <v>130.220141304419</v>
      </c>
      <c r="T60" s="22" t="n">
        <f aca="false">G60*'Weights &amp; Assumptions'!$F$10+I60*'Weights &amp; Assumptions'!$F$12+J60*'Weights &amp; Assumptions'!$F$13+K60*'Weights &amp; Assumptions'!$F$14+L60*'Weights &amp; Assumptions'!$F$15+M60*'Weights &amp; Assumptions'!$F$16+N60*'Weights &amp; Assumptions'!$F$17+O60*'Weights &amp; Assumptions'!$F$18+P60*'Weights &amp; Assumptions'!$F$19+Q60*'Weights &amp; Assumptions'!$F$20</f>
        <v>134.779318308605</v>
      </c>
      <c r="U60" s="22" t="n">
        <f aca="false">R60*'Weights &amp; Assumptions'!$B$25/'Weights &amp; Assumptions'!$B$28+S60*'Weights &amp; Assumptions'!$B$26/'Weights &amp; Assumptions'!$B$28+T60*'Weights &amp; Assumptions'!$B$27/'Weights &amp; Assumptions'!$B$28</f>
        <v>131.806808821456</v>
      </c>
      <c r="V60" s="23" t="n">
        <f aca="false">IFERROR(Tabelle1!E61*'Weights &amp; Assumptions'!$F$6+Tabelle1!F61*'Weights &amp; Assumptions'!$F$7,"")</f>
        <v>212.028115513403</v>
      </c>
      <c r="W60" s="23" t="n">
        <f aca="false">IFERROR(Tabelle1!G61*'Weights &amp; Assumptions'!$F$8+Tabelle1!H61*'Weights &amp; Assumptions'!$F$9+Tabelle1!J61*'Weights &amp; Assumptions'!$F$11,"")</f>
        <v>128.622367514083</v>
      </c>
      <c r="X60" s="23" t="n">
        <f aca="false">IFERROR(Tabelle1!I61*'Weights &amp; Assumptions'!$F$10+Tabelle1!K61*'Weights &amp; Assumptions'!$F$12+Tabelle1!L61*'Weights &amp; Assumptions'!$F$13+Tabelle1!M61*'Weights &amp; Assumptions'!$F$14+Tabelle1!N61*'Weights &amp; Assumptions'!$F$15+Tabelle1!O61*'Weights &amp; Assumptions'!$F$16+Tabelle1!P61*'Weights &amp; Assumptions'!$F$17+Tabelle1!Q61*'Weights &amp; Assumptions'!$F$18+Tabelle1!R61*'Weights &amp; Assumptions'!$F$19+Tabelle1!S61*'Weights &amp; Assumptions'!$F$20,"")</f>
        <v>136.788411364631</v>
      </c>
      <c r="Y60" s="22" t="n">
        <f aca="false">IFERROR(V60*'Weights &amp; Assumptions'!$B$25/'Weights &amp; Assumptions'!$B$28+W60*'Weights &amp; Assumptions'!$B$26/'Weights &amp; Assumptions'!$B$28+X60*'Weights &amp; Assumptions'!$B$27/'Weights &amp; Assumptions'!$B$28,"")</f>
        <v>140.929591451407</v>
      </c>
    </row>
    <row r="61" customFormat="false" ht="15" hidden="false" customHeight="false" outlineLevel="0" collapsed="false">
      <c r="A61" s="20" t="n">
        <v>39660</v>
      </c>
      <c r="B61" s="21" t="n">
        <v>135.2707</v>
      </c>
      <c r="C61" s="22" t="n">
        <v>108.02708550916</v>
      </c>
      <c r="D61" s="22" t="n">
        <v>131.633993965092</v>
      </c>
      <c r="E61" s="22" t="n">
        <v>102.255362577592</v>
      </c>
      <c r="F61" s="22" t="n">
        <v>133.672162776155</v>
      </c>
      <c r="G61" s="22" t="n">
        <v>118.342185823266</v>
      </c>
      <c r="H61" s="22" t="n">
        <v>147.822051312902</v>
      </c>
      <c r="I61" s="22" t="n">
        <v>148.211064890831</v>
      </c>
      <c r="J61" s="22" t="n">
        <v>140.597478017598</v>
      </c>
      <c r="K61" s="22" t="n">
        <v>155.495867026098</v>
      </c>
      <c r="L61" s="22" t="n">
        <v>149.3057475753</v>
      </c>
      <c r="M61" s="22" t="n">
        <v>127.599986586126</v>
      </c>
      <c r="N61" s="22" t="n">
        <v>120.417876554036</v>
      </c>
      <c r="O61" s="22" t="n">
        <v>122.490570085963</v>
      </c>
      <c r="P61" s="22" t="n">
        <v>128.762681788588</v>
      </c>
      <c r="Q61" s="22" t="n">
        <v>138.466870092092</v>
      </c>
      <c r="R61" s="22" t="n">
        <f aca="false">C61*'Weights &amp; Assumptions'!$F$6+D61*'Weights &amp; Assumptions'!$F$7</f>
        <v>108.316329998412</v>
      </c>
      <c r="S61" s="22" t="n">
        <f aca="false">E61*'Weights &amp; Assumptions'!$F$8+F61*'Weights &amp; Assumptions'!$F$9+H61*'Weights &amp; Assumptions'!$F$11</f>
        <v>132.868824788376</v>
      </c>
      <c r="T61" s="22" t="n">
        <f aca="false">G61*'Weights &amp; Assumptions'!$F$10+I61*'Weights &amp; Assumptions'!$F$12+J61*'Weights &amp; Assumptions'!$F$13+K61*'Weights &amp; Assumptions'!$F$14+L61*'Weights &amp; Assumptions'!$F$15+M61*'Weights &amp; Assumptions'!$F$16+N61*'Weights &amp; Assumptions'!$F$17+O61*'Weights &amp; Assumptions'!$F$18+P61*'Weights &amp; Assumptions'!$F$19+Q61*'Weights &amp; Assumptions'!$F$20</f>
        <v>137.482500021559</v>
      </c>
      <c r="U61" s="22" t="n">
        <f aca="false">R61*'Weights &amp; Assumptions'!$B$25/'Weights &amp; Assumptions'!$B$28+S61*'Weights &amp; Assumptions'!$B$26/'Weights &amp; Assumptions'!$B$28+T61*'Weights &amp; Assumptions'!$B$27/'Weights &amp; Assumptions'!$B$28</f>
        <v>133.808577247635</v>
      </c>
      <c r="V61" s="23" t="n">
        <f aca="false">IFERROR(Tabelle1!E62*'Weights &amp; Assumptions'!$F$6+Tabelle1!F62*'Weights &amp; Assumptions'!$F$7,"")</f>
        <v>111.73124309162</v>
      </c>
      <c r="W61" s="23" t="n">
        <f aca="false">IFERROR(Tabelle1!G62*'Weights &amp; Assumptions'!$F$8+Tabelle1!H62*'Weights &amp; Assumptions'!$F$9+Tabelle1!J62*'Weights &amp; Assumptions'!$F$11,"")</f>
        <v>136.009783992547</v>
      </c>
      <c r="X61" s="23" t="n">
        <f aca="false">IFERROR(Tabelle1!I62*'Weights &amp; Assumptions'!$F$10+Tabelle1!K62*'Weights &amp; Assumptions'!$F$12+Tabelle1!L62*'Weights &amp; Assumptions'!$F$13+Tabelle1!M62*'Weights &amp; Assumptions'!$F$14+Tabelle1!N62*'Weights &amp; Assumptions'!$F$15+Tabelle1!O62*'Weights &amp; Assumptions'!$F$16+Tabelle1!P62*'Weights &amp; Assumptions'!$F$17+Tabelle1!Q62*'Weights &amp; Assumptions'!$F$18+Tabelle1!R62*'Weights &amp; Assumptions'!$F$19+Tabelle1!S62*'Weights &amp; Assumptions'!$F$20,"")</f>
        <v>139.537190444352</v>
      </c>
      <c r="Y61" s="22" t="n">
        <f aca="false">IFERROR(V61*'Weights &amp; Assumptions'!$B$25/'Weights &amp; Assumptions'!$B$28+W61*'Weights &amp; Assumptions'!$B$26/'Weights &amp; Assumptions'!$B$28+X61*'Weights &amp; Assumptions'!$B$27/'Weights &amp; Assumptions'!$B$28,"")</f>
        <v>136.266249328541</v>
      </c>
    </row>
    <row r="62" customFormat="false" ht="15" hidden="false" customHeight="false" outlineLevel="0" collapsed="false">
      <c r="A62" s="20" t="n">
        <v>39691</v>
      </c>
      <c r="B62" s="21" t="n">
        <v>135.69375</v>
      </c>
      <c r="C62" s="22" t="n">
        <v>104.302286878316</v>
      </c>
      <c r="D62" s="22" t="n">
        <v>132.176149834568</v>
      </c>
      <c r="E62" s="22" t="n">
        <v>102.495884322661</v>
      </c>
      <c r="F62" s="22" t="n">
        <v>130.090424819141</v>
      </c>
      <c r="G62" s="22" t="n">
        <v>122.458147138369</v>
      </c>
      <c r="H62" s="22" t="n">
        <v>145.434983691918</v>
      </c>
      <c r="I62" s="22" t="n">
        <v>141.066946935859</v>
      </c>
      <c r="J62" s="22" t="n">
        <v>141.052329751875</v>
      </c>
      <c r="K62" s="22" t="n">
        <v>154.61216539412</v>
      </c>
      <c r="L62" s="22" t="n">
        <v>153.190691781411</v>
      </c>
      <c r="M62" s="22" t="n">
        <v>125.222887293235</v>
      </c>
      <c r="N62" s="22" t="n">
        <v>120.84009626409</v>
      </c>
      <c r="O62" s="22" t="n">
        <v>123.162880408192</v>
      </c>
      <c r="P62" s="22" t="n">
        <v>129.516208806925</v>
      </c>
      <c r="Q62" s="22" t="n">
        <v>139.198380555909</v>
      </c>
      <c r="R62" s="22" t="n">
        <f aca="false">C62*'Weights &amp; Assumptions'!$F$6+D62*'Weights &amp; Assumptions'!$F$7</f>
        <v>104.643812380026</v>
      </c>
      <c r="S62" s="22" t="n">
        <f aca="false">E62*'Weights &amp; Assumptions'!$F$8+F62*'Weights &amp; Assumptions'!$F$9+H62*'Weights &amp; Assumptions'!$F$11</f>
        <v>129.992333930642</v>
      </c>
      <c r="T62" s="22" t="n">
        <f aca="false">G62*'Weights &amp; Assumptions'!$F$10+I62*'Weights &amp; Assumptions'!$F$12+J62*'Weights &amp; Assumptions'!$F$13+K62*'Weights &amp; Assumptions'!$F$14+L62*'Weights &amp; Assumptions'!$F$15+M62*'Weights &amp; Assumptions'!$F$16+N62*'Weights &amp; Assumptions'!$F$17+O62*'Weights &amp; Assumptions'!$F$18+P62*'Weights &amp; Assumptions'!$F$19+Q62*'Weights &amp; Assumptions'!$F$20</f>
        <v>136.033201082372</v>
      </c>
      <c r="U62" s="22" t="n">
        <f aca="false">R62*'Weights &amp; Assumptions'!$B$25/'Weights &amp; Assumptions'!$B$28+S62*'Weights &amp; Assumptions'!$B$26/'Weights &amp; Assumptions'!$B$28+T62*'Weights &amp; Assumptions'!$B$27/'Weights &amp; Assumptions'!$B$28</f>
        <v>131.793233149538</v>
      </c>
      <c r="V62" s="23" t="n">
        <f aca="false">IFERROR(Tabelle1!E63*'Weights &amp; Assumptions'!$F$6+Tabelle1!F63*'Weights &amp; Assumptions'!$F$7,"")</f>
        <v>72.1077633515691</v>
      </c>
      <c r="W62" s="23" t="n">
        <f aca="false">IFERROR(Tabelle1!G63*'Weights &amp; Assumptions'!$F$8+Tabelle1!H63*'Weights &amp; Assumptions'!$F$9+Tabelle1!J63*'Weights &amp; Assumptions'!$F$11,"")</f>
        <v>133.827183686888</v>
      </c>
      <c r="X62" s="23" t="n">
        <f aca="false">IFERROR(Tabelle1!I63*'Weights &amp; Assumptions'!$F$10+Tabelle1!K63*'Weights &amp; Assumptions'!$F$12+Tabelle1!L63*'Weights &amp; Assumptions'!$F$13+Tabelle1!M63*'Weights &amp; Assumptions'!$F$14+Tabelle1!N63*'Weights &amp; Assumptions'!$F$15+Tabelle1!O63*'Weights &amp; Assumptions'!$F$16+Tabelle1!P63*'Weights &amp; Assumptions'!$F$17+Tabelle1!Q63*'Weights &amp; Assumptions'!$F$18+Tabelle1!R63*'Weights &amp; Assumptions'!$F$19+Tabelle1!S63*'Weights &amp; Assumptions'!$F$20,"")</f>
        <v>137.290749098377</v>
      </c>
      <c r="Y62" s="22" t="n">
        <f aca="false">IFERROR(V62*'Weights &amp; Assumptions'!$B$25/'Weights &amp; Assumptions'!$B$28+W62*'Weights &amp; Assumptions'!$B$26/'Weights &amp; Assumptions'!$B$28+X62*'Weights &amp; Assumptions'!$B$27/'Weights &amp; Assumptions'!$B$28,"")</f>
        <v>130.900819804</v>
      </c>
    </row>
    <row r="63" customFormat="false" ht="15" hidden="false" customHeight="false" outlineLevel="0" collapsed="false">
      <c r="A63" s="20" t="n">
        <v>39721</v>
      </c>
      <c r="B63" s="21" t="n">
        <v>135.91022</v>
      </c>
      <c r="C63" s="22" t="n">
        <v>104.627368886139</v>
      </c>
      <c r="D63" s="22" t="n">
        <v>89.7298111359572</v>
      </c>
      <c r="E63" s="22" t="n">
        <v>102.427380512447</v>
      </c>
      <c r="F63" s="22" t="n">
        <v>133.68253658798</v>
      </c>
      <c r="G63" s="22" t="n">
        <v>123.084225905253</v>
      </c>
      <c r="H63" s="22" t="n">
        <v>144.656301503663</v>
      </c>
      <c r="I63" s="22" t="n">
        <v>144.119431447848</v>
      </c>
      <c r="J63" s="22" t="n">
        <v>139.596190268992</v>
      </c>
      <c r="K63" s="22" t="n">
        <v>155.823557531057</v>
      </c>
      <c r="L63" s="22" t="n">
        <v>151.466708516822</v>
      </c>
      <c r="M63" s="22" t="n">
        <v>126.119529770462</v>
      </c>
      <c r="N63" s="22" t="n">
        <v>121.058378901426</v>
      </c>
      <c r="O63" s="22" t="n">
        <v>123.415753395518</v>
      </c>
      <c r="P63" s="22" t="n">
        <v>130.208963509725</v>
      </c>
      <c r="Q63" s="22" t="n">
        <v>137.867801296981</v>
      </c>
      <c r="R63" s="22" t="n">
        <f aca="false">C63*'Weights &amp; Assumptions'!$F$6+D63*'Weights &amp; Assumptions'!$F$7</f>
        <v>104.444836027565</v>
      </c>
      <c r="S63" s="22" t="n">
        <f aca="false">E63*'Weights &amp; Assumptions'!$F$8+F63*'Weights &amp; Assumptions'!$F$9+H63*'Weights &amp; Assumptions'!$F$11</f>
        <v>132.236836972444</v>
      </c>
      <c r="T63" s="22" t="n">
        <f aca="false">G63*'Weights &amp; Assumptions'!$F$10+I63*'Weights &amp; Assumptions'!$F$12+J63*'Weights &amp; Assumptions'!$F$13+K63*'Weights &amp; Assumptions'!$F$14+L63*'Weights &amp; Assumptions'!$F$15+M63*'Weights &amp; Assumptions'!$F$16+N63*'Weights &amp; Assumptions'!$F$17+O63*'Weights &amp; Assumptions'!$F$18+P63*'Weights &amp; Assumptions'!$F$19+Q63*'Weights &amp; Assumptions'!$F$20</f>
        <v>136.848869788357</v>
      </c>
      <c r="U63" s="22" t="n">
        <f aca="false">R63*'Weights &amp; Assumptions'!$B$25/'Weights &amp; Assumptions'!$B$28+S63*'Weights &amp; Assumptions'!$B$26/'Weights &amp; Assumptions'!$B$28+T63*'Weights &amp; Assumptions'!$B$27/'Weights &amp; Assumptions'!$B$28</f>
        <v>132.903724299742</v>
      </c>
      <c r="V63" s="23" t="n">
        <f aca="false">IFERROR(Tabelle1!E64*'Weights &amp; Assumptions'!$F$6+Tabelle1!F64*'Weights &amp; Assumptions'!$F$7,"")</f>
        <v>67.4028982608074</v>
      </c>
      <c r="W63" s="23" t="n">
        <f aca="false">IFERROR(Tabelle1!G64*'Weights &amp; Assumptions'!$F$8+Tabelle1!H64*'Weights &amp; Assumptions'!$F$9+Tabelle1!J64*'Weights &amp; Assumptions'!$F$11,"")</f>
        <v>138.123791264111</v>
      </c>
      <c r="X63" s="23" t="n">
        <f aca="false">IFERROR(Tabelle1!I64*'Weights &amp; Assumptions'!$F$10+Tabelle1!K64*'Weights &amp; Assumptions'!$F$12+Tabelle1!L64*'Weights &amp; Assumptions'!$F$13+Tabelle1!M64*'Weights &amp; Assumptions'!$F$14+Tabelle1!N64*'Weights &amp; Assumptions'!$F$15+Tabelle1!O64*'Weights &amp; Assumptions'!$F$16+Tabelle1!P64*'Weights &amp; Assumptions'!$F$17+Tabelle1!Q64*'Weights &amp; Assumptions'!$F$18+Tabelle1!R64*'Weights &amp; Assumptions'!$F$19+Tabelle1!S64*'Weights &amp; Assumptions'!$F$20,"")</f>
        <v>137.576711548503</v>
      </c>
      <c r="Y63" s="22" t="n">
        <f aca="false">IFERROR(V63*'Weights &amp; Assumptions'!$B$25/'Weights &amp; Assumptions'!$B$28+W63*'Weights &amp; Assumptions'!$B$26/'Weights &amp; Assumptions'!$B$28+X63*'Weights &amp; Assumptions'!$B$27/'Weights &amp; Assumptions'!$B$28,"")</f>
        <v>131.834548267993</v>
      </c>
    </row>
    <row r="64" customFormat="false" ht="15" hidden="false" customHeight="false" outlineLevel="0" collapsed="false">
      <c r="A64" s="20" t="n">
        <v>39752</v>
      </c>
      <c r="B64" s="21" t="n">
        <v>132.51585</v>
      </c>
      <c r="C64" s="22" t="n">
        <v>103.193625067178</v>
      </c>
      <c r="D64" s="22" t="n">
        <v>119.077635553809</v>
      </c>
      <c r="E64" s="22" t="n">
        <v>102.449380619468</v>
      </c>
      <c r="F64" s="22" t="n">
        <v>127.404198583914</v>
      </c>
      <c r="G64" s="22" t="n">
        <v>118.381447332568</v>
      </c>
      <c r="H64" s="22" t="n">
        <v>139.327975675508</v>
      </c>
      <c r="I64" s="22" t="n">
        <v>140.168378494438</v>
      </c>
      <c r="J64" s="22" t="n">
        <v>135.941468344789</v>
      </c>
      <c r="K64" s="22" t="n">
        <v>154.196921575207</v>
      </c>
      <c r="L64" s="22" t="n">
        <v>155.815345878298</v>
      </c>
      <c r="M64" s="22" t="n">
        <v>126.231203193009</v>
      </c>
      <c r="N64" s="22" t="n">
        <v>121.021473177089</v>
      </c>
      <c r="O64" s="22" t="n">
        <v>123.774595785948</v>
      </c>
      <c r="P64" s="22" t="n">
        <v>129.487211989238</v>
      </c>
      <c r="Q64" s="22" t="n">
        <v>139.820845373842</v>
      </c>
      <c r="R64" s="22" t="n">
        <f aca="false">C64*'Weights &amp; Assumptions'!$F$6+D64*'Weights &amp; Assumptions'!$F$7</f>
        <v>103.388244473148</v>
      </c>
      <c r="S64" s="22" t="n">
        <f aca="false">E64*'Weights &amp; Assumptions'!$F$8+F64*'Weights &amp; Assumptions'!$F$9+H64*'Weights &amp; Assumptions'!$F$11</f>
        <v>126.908654879358</v>
      </c>
      <c r="T64" s="22" t="n">
        <f aca="false">G64*'Weights &amp; Assumptions'!$F$10+I64*'Weights &amp; Assumptions'!$F$12+J64*'Weights &amp; Assumptions'!$F$13+K64*'Weights &amp; Assumptions'!$F$14+L64*'Weights &amp; Assumptions'!$F$15+M64*'Weights &amp; Assumptions'!$F$16+N64*'Weights &amp; Assumptions'!$F$17+O64*'Weights &amp; Assumptions'!$F$18+P64*'Weights &amp; Assumptions'!$F$19+Q64*'Weights &amp; Assumptions'!$F$20</f>
        <v>135.935312076253</v>
      </c>
      <c r="U64" s="22" t="n">
        <f aca="false">R64*'Weights &amp; Assumptions'!$B$25/'Weights &amp; Assumptions'!$B$28+S64*'Weights &amp; Assumptions'!$B$26/'Weights &amp; Assumptions'!$B$28+T64*'Weights &amp; Assumptions'!$B$27/'Weights &amp; Assumptions'!$B$28</f>
        <v>130.804240190945</v>
      </c>
      <c r="V64" s="23" t="n">
        <f aca="false">IFERROR(Tabelle1!E65*'Weights &amp; Assumptions'!$F$6+Tabelle1!F65*'Weights &amp; Assumptions'!$F$7,"")</f>
        <v>66.9961431011549</v>
      </c>
      <c r="W64" s="23" t="n">
        <f aca="false">IFERROR(Tabelle1!G65*'Weights &amp; Assumptions'!$F$8+Tabelle1!H65*'Weights &amp; Assumptions'!$F$9+Tabelle1!J65*'Weights &amp; Assumptions'!$F$11,"")</f>
        <v>133.555438317301</v>
      </c>
      <c r="X64" s="23" t="n">
        <f aca="false">IFERROR(Tabelle1!I65*'Weights &amp; Assumptions'!$F$10+Tabelle1!K65*'Weights &amp; Assumptions'!$F$12+Tabelle1!L65*'Weights &amp; Assumptions'!$F$13+Tabelle1!M65*'Weights &amp; Assumptions'!$F$14+Tabelle1!N65*'Weights &amp; Assumptions'!$F$15+Tabelle1!O65*'Weights &amp; Assumptions'!$F$16+Tabelle1!P65*'Weights &amp; Assumptions'!$F$17+Tabelle1!Q65*'Weights &amp; Assumptions'!$F$18+Tabelle1!R65*'Weights &amp; Assumptions'!$F$19+Tabelle1!S65*'Weights &amp; Assumptions'!$F$20,"")</f>
        <v>136.817415515386</v>
      </c>
      <c r="Y64" s="22" t="n">
        <f aca="false">IFERROR(V64*'Weights &amp; Assumptions'!$B$25/'Weights &amp; Assumptions'!$B$28+W64*'Weights &amp; Assumptions'!$B$26/'Weights &amp; Assumptions'!$B$28+X64*'Weights &amp; Assumptions'!$B$27/'Weights &amp; Assumptions'!$B$28,"")</f>
        <v>130.091935936958</v>
      </c>
    </row>
    <row r="65" customFormat="false" ht="15" hidden="false" customHeight="false" outlineLevel="0" collapsed="false">
      <c r="A65" s="20" t="n">
        <v>39782</v>
      </c>
      <c r="B65" s="21" t="n">
        <v>130.32737</v>
      </c>
      <c r="C65" s="22" t="n">
        <v>100.031440697655</v>
      </c>
      <c r="D65" s="22" t="n">
        <v>101.000556279731</v>
      </c>
      <c r="E65" s="22" t="n">
        <v>105.310009424676</v>
      </c>
      <c r="F65" s="22" t="n">
        <v>121.701335003015</v>
      </c>
      <c r="G65" s="22" t="n">
        <v>123.199511367253</v>
      </c>
      <c r="H65" s="22" t="n">
        <v>137.108748362086</v>
      </c>
      <c r="I65" s="22" t="n">
        <v>131.095620108367</v>
      </c>
      <c r="J65" s="22" t="n">
        <v>134.347163345574</v>
      </c>
      <c r="K65" s="22" t="n">
        <v>151.392337569768</v>
      </c>
      <c r="L65" s="22" t="n">
        <v>150.195337018968</v>
      </c>
      <c r="M65" s="22" t="n">
        <v>124.50863306159</v>
      </c>
      <c r="N65" s="22" t="n">
        <v>121.078846493193</v>
      </c>
      <c r="O65" s="22" t="n">
        <v>123.488454060821</v>
      </c>
      <c r="P65" s="22" t="n">
        <v>130.463506151499</v>
      </c>
      <c r="Q65" s="22" t="n">
        <v>136.06230198433</v>
      </c>
      <c r="R65" s="22" t="n">
        <f aca="false">C65*'Weights &amp; Assumptions'!$F$6+D65*'Weights &amp; Assumptions'!$F$7</f>
        <v>100.043314820948</v>
      </c>
      <c r="S65" s="22" t="n">
        <f aca="false">E65*'Weights &amp; Assumptions'!$F$8+F65*'Weights &amp; Assumptions'!$F$9+H65*'Weights &amp; Assumptions'!$F$11</f>
        <v>122.953976383968</v>
      </c>
      <c r="T65" s="22" t="n">
        <f aca="false">G65*'Weights &amp; Assumptions'!$F$10+I65*'Weights &amp; Assumptions'!$F$12+J65*'Weights &amp; Assumptions'!$F$13+K65*'Weights &amp; Assumptions'!$F$14+L65*'Weights &amp; Assumptions'!$F$15+M65*'Weights &amp; Assumptions'!$F$16+N65*'Weights &amp; Assumptions'!$F$17+O65*'Weights &amp; Assumptions'!$F$18+P65*'Weights &amp; Assumptions'!$F$19+Q65*'Weights &amp; Assumptions'!$F$20</f>
        <v>132.812792484122</v>
      </c>
      <c r="U65" s="22" t="n">
        <f aca="false">R65*'Weights &amp; Assumptions'!$B$25/'Weights &amp; Assumptions'!$B$28+S65*'Weights &amp; Assumptions'!$B$26/'Weights &amp; Assumptions'!$B$28+T65*'Weights &amp; Assumptions'!$B$27/'Weights &amp; Assumptions'!$B$28</f>
        <v>127.441774621019</v>
      </c>
      <c r="V65" s="23" t="n">
        <f aca="false">IFERROR(Tabelle1!E66*'Weights &amp; Assumptions'!$F$6+Tabelle1!F66*'Weights &amp; Assumptions'!$F$7,"")</f>
        <v>80.0045051012503</v>
      </c>
      <c r="W65" s="23" t="n">
        <f aca="false">IFERROR(Tabelle1!G66*'Weights &amp; Assumptions'!$F$8+Tabelle1!H66*'Weights &amp; Assumptions'!$F$9+Tabelle1!J66*'Weights &amp; Assumptions'!$F$11,"")</f>
        <v>125.412908048534</v>
      </c>
      <c r="X65" s="23" t="n">
        <f aca="false">IFERROR(Tabelle1!I66*'Weights &amp; Assumptions'!$F$10+Tabelle1!K66*'Weights &amp; Assumptions'!$F$12+Tabelle1!L66*'Weights &amp; Assumptions'!$F$13+Tabelle1!M66*'Weights &amp; Assumptions'!$F$14+Tabelle1!N66*'Weights &amp; Assumptions'!$F$15+Tabelle1!O66*'Weights &amp; Assumptions'!$F$16+Tabelle1!P66*'Weights &amp; Assumptions'!$F$17+Tabelle1!Q66*'Weights &amp; Assumptions'!$F$18+Tabelle1!R66*'Weights &amp; Assumptions'!$F$19+Tabelle1!S66*'Weights &amp; Assumptions'!$F$20,"")</f>
        <v>132.702093708418</v>
      </c>
      <c r="Y65" s="22" t="n">
        <f aca="false">IFERROR(V65*'Weights &amp; Assumptions'!$B$25/'Weights &amp; Assumptions'!$B$28+W65*'Weights &amp; Assumptions'!$B$26/'Weights &amp; Assumptions'!$B$28+X65*'Weights &amp; Assumptions'!$B$27/'Weights &amp; Assumptions'!$B$28,"")</f>
        <v>126.342400373769</v>
      </c>
    </row>
    <row r="66" customFormat="false" ht="15" hidden="false" customHeight="false" outlineLevel="0" collapsed="false">
      <c r="A66" s="20" t="n">
        <v>39813</v>
      </c>
      <c r="B66" s="21" t="n">
        <v>125.16881</v>
      </c>
      <c r="C66" s="22" t="n">
        <v>93.2826808528274</v>
      </c>
      <c r="D66" s="22" t="n">
        <v>107.782673679372</v>
      </c>
      <c r="E66" s="22" t="n">
        <v>103.920643523186</v>
      </c>
      <c r="F66" s="22" t="n">
        <v>120.146979429346</v>
      </c>
      <c r="G66" s="22" t="n">
        <v>120.499871263951</v>
      </c>
      <c r="H66" s="22" t="n">
        <v>134.972112146209</v>
      </c>
      <c r="I66" s="22" t="n">
        <v>133.4851838185</v>
      </c>
      <c r="J66" s="22" t="n">
        <v>133.655883530717</v>
      </c>
      <c r="K66" s="22" t="n">
        <v>151.767199256373</v>
      </c>
      <c r="L66" s="22" t="n">
        <v>149.277148541871</v>
      </c>
      <c r="M66" s="22" t="n">
        <v>124.655236886461</v>
      </c>
      <c r="N66" s="22" t="n">
        <v>121.742611201871</v>
      </c>
      <c r="O66" s="22" t="n">
        <v>124.314079160681</v>
      </c>
      <c r="P66" s="22" t="n">
        <v>130.726246844647</v>
      </c>
      <c r="Q66" s="22" t="n">
        <v>137.358778816787</v>
      </c>
      <c r="R66" s="22" t="n">
        <f aca="false">C66*'Weights &amp; Assumptions'!$F$6+D66*'Weights &amp; Assumptions'!$F$7</f>
        <v>93.4603425329705</v>
      </c>
      <c r="S66" s="22" t="n">
        <f aca="false">E66*'Weights &amp; Assumptions'!$F$8+F66*'Weights &amp; Assumptions'!$F$9+H66*'Weights &amp; Assumptions'!$F$11</f>
        <v>121.298017388775</v>
      </c>
      <c r="T66" s="22" t="n">
        <f aca="false">G66*'Weights &amp; Assumptions'!$F$10+I66*'Weights &amp; Assumptions'!$F$12+J66*'Weights &amp; Assumptions'!$F$13+K66*'Weights &amp; Assumptions'!$F$14+L66*'Weights &amp; Assumptions'!$F$15+M66*'Weights &amp; Assumptions'!$F$16+N66*'Weights &amp; Assumptions'!$F$17+O66*'Weights &amp; Assumptions'!$F$18+P66*'Weights &amp; Assumptions'!$F$19+Q66*'Weights &amp; Assumptions'!$F$20</f>
        <v>133.418229705405</v>
      </c>
      <c r="U66" s="22" t="n">
        <f aca="false">R66*'Weights &amp; Assumptions'!$B$25/'Weights &amp; Assumptions'!$B$28+S66*'Weights &amp; Assumptions'!$B$26/'Weights &amp; Assumptions'!$B$28+T66*'Weights &amp; Assumptions'!$B$27/'Weights &amp; Assumptions'!$B$28</f>
        <v>126.842753545889</v>
      </c>
      <c r="V66" s="23" t="n">
        <f aca="false">IFERROR(Tabelle1!E67*'Weights &amp; Assumptions'!$F$6+Tabelle1!F67*'Weights &amp; Assumptions'!$F$7,"")</f>
        <v>79.3982543838572</v>
      </c>
      <c r="W66" s="23" t="n">
        <f aca="false">IFERROR(Tabelle1!G67*'Weights &amp; Assumptions'!$F$8+Tabelle1!H67*'Weights &amp; Assumptions'!$F$9+Tabelle1!J67*'Weights &amp; Assumptions'!$F$11,"")</f>
        <v>119.100248480584</v>
      </c>
      <c r="X66" s="23" t="n">
        <f aca="false">IFERROR(Tabelle1!I67*'Weights &amp; Assumptions'!$F$10+Tabelle1!K67*'Weights &amp; Assumptions'!$F$12+Tabelle1!L67*'Weights &amp; Assumptions'!$F$13+Tabelle1!M67*'Weights &amp; Assumptions'!$F$14+Tabelle1!N67*'Weights &amp; Assumptions'!$F$15+Tabelle1!O67*'Weights &amp; Assumptions'!$F$16+Tabelle1!P67*'Weights &amp; Assumptions'!$F$17+Tabelle1!Q67*'Weights &amp; Assumptions'!$F$18+Tabelle1!R67*'Weights &amp; Assumptions'!$F$19+Tabelle1!S67*'Weights &amp; Assumptions'!$F$20,"")</f>
        <v>132.059163902271</v>
      </c>
      <c r="Y66" s="22" t="n">
        <f aca="false">IFERROR(V66*'Weights &amp; Assumptions'!$B$25/'Weights &amp; Assumptions'!$B$28+W66*'Weights &amp; Assumptions'!$B$26/'Weights &amp; Assumptions'!$B$28+X66*'Weights &amp; Assumptions'!$B$27/'Weights &amp; Assumptions'!$B$28,"")</f>
        <v>124.194867790254</v>
      </c>
    </row>
    <row r="67" customFormat="false" ht="15" hidden="false" customHeight="false" outlineLevel="0" collapsed="false">
      <c r="A67" s="20" t="n">
        <v>39844</v>
      </c>
      <c r="B67" s="21" t="n">
        <v>124.2895</v>
      </c>
      <c r="C67" s="22" t="n">
        <v>94.0885060129589</v>
      </c>
      <c r="D67" s="22" t="n">
        <v>107.710011192655</v>
      </c>
      <c r="E67" s="22" t="n">
        <v>104.389086591504</v>
      </c>
      <c r="F67" s="22" t="n">
        <v>117.463036352548</v>
      </c>
      <c r="G67" s="22" t="n">
        <v>119.608406511025</v>
      </c>
      <c r="H67" s="22" t="n">
        <v>127.651968227354</v>
      </c>
      <c r="I67" s="22" t="n">
        <v>130.236931136853</v>
      </c>
      <c r="J67" s="22" t="n">
        <v>133.421633349389</v>
      </c>
      <c r="K67" s="22" t="n">
        <v>149.72387119929</v>
      </c>
      <c r="L67" s="22" t="n">
        <v>149.956806564227</v>
      </c>
      <c r="M67" s="22" t="n">
        <v>122.349744695509</v>
      </c>
      <c r="N67" s="22" t="n">
        <v>120.492177993086</v>
      </c>
      <c r="O67" s="22" t="n">
        <v>124.229708674604</v>
      </c>
      <c r="P67" s="22" t="n">
        <v>133.469432393278</v>
      </c>
      <c r="Q67" s="22" t="n">
        <v>134.975104903818</v>
      </c>
      <c r="R67" s="22" t="n">
        <f aca="false">C67*'Weights &amp; Assumptions'!$F$6+D67*'Weights &amp; Assumptions'!$F$7</f>
        <v>94.2554039918236</v>
      </c>
      <c r="S67" s="22" t="n">
        <f aca="false">E67*'Weights &amp; Assumptions'!$F$8+F67*'Weights &amp; Assumptions'!$F$9+H67*'Weights &amp; Assumptions'!$F$11</f>
        <v>118.024631860018</v>
      </c>
      <c r="T67" s="22" t="n">
        <f aca="false">G67*'Weights &amp; Assumptions'!$F$10+I67*'Weights &amp; Assumptions'!$F$12+J67*'Weights &amp; Assumptions'!$F$13+K67*'Weights &amp; Assumptions'!$F$14+L67*'Weights &amp; Assumptions'!$F$15+M67*'Weights &amp; Assumptions'!$F$16+N67*'Weights &amp; Assumptions'!$F$17+O67*'Weights &amp; Assumptions'!$F$18+P67*'Weights &amp; Assumptions'!$F$19+Q67*'Weights &amp; Assumptions'!$F$20</f>
        <v>131.95026651994</v>
      </c>
      <c r="U67" s="22" t="n">
        <f aca="false">R67*'Weights &amp; Assumptions'!$B$25/'Weights &amp; Assumptions'!$B$28+S67*'Weights &amp; Assumptions'!$B$26/'Weights &amp; Assumptions'!$B$28+T67*'Weights &amp; Assumptions'!$B$27/'Weights &amp; Assumptions'!$B$28</f>
        <v>125.084566672871</v>
      </c>
      <c r="V67" s="23" t="n">
        <f aca="false">IFERROR(Tabelle1!E68*'Weights &amp; Assumptions'!$F$6+Tabelle1!F68*'Weights &amp; Assumptions'!$F$7,"")</f>
        <v>58.2596669487849</v>
      </c>
      <c r="W67" s="23" t="n">
        <f aca="false">IFERROR(Tabelle1!G68*'Weights &amp; Assumptions'!$F$8+Tabelle1!H68*'Weights &amp; Assumptions'!$F$9+Tabelle1!J68*'Weights &amp; Assumptions'!$F$11,"")</f>
        <v>109.492290779488</v>
      </c>
      <c r="X67" s="23" t="n">
        <f aca="false">IFERROR(Tabelle1!I68*'Weights &amp; Assumptions'!$F$10+Tabelle1!K68*'Weights &amp; Assumptions'!$F$12+Tabelle1!L68*'Weights &amp; Assumptions'!$F$13+Tabelle1!M68*'Weights &amp; Assumptions'!$F$14+Tabelle1!N68*'Weights &amp; Assumptions'!$F$15+Tabelle1!O68*'Weights &amp; Assumptions'!$F$16+Tabelle1!P68*'Weights &amp; Assumptions'!$F$17+Tabelle1!Q68*'Weights &amp; Assumptions'!$F$18+Tabelle1!R68*'Weights &amp; Assumptions'!$F$19+Tabelle1!S68*'Weights &amp; Assumptions'!$F$20,"")</f>
        <v>128.765047091834</v>
      </c>
      <c r="Y67" s="22" t="n">
        <f aca="false">IFERROR(V67*'Weights &amp; Assumptions'!$B$25/'Weights &amp; Assumptions'!$B$28+W67*'Weights &amp; Assumptions'!$B$26/'Weights &amp; Assumptions'!$B$28+X67*'Weights &amp; Assumptions'!$B$27/'Weights &amp; Assumptions'!$B$28,"")</f>
        <v>117.724624460231</v>
      </c>
    </row>
    <row r="68" customFormat="false" ht="15" hidden="false" customHeight="false" outlineLevel="0" collapsed="false">
      <c r="A68" s="20" t="n">
        <v>39872</v>
      </c>
      <c r="B68" s="21" t="n">
        <v>126.22969</v>
      </c>
      <c r="C68" s="22" t="n">
        <v>94.4584784265961</v>
      </c>
      <c r="D68" s="22" t="n">
        <v>91.8430990976024</v>
      </c>
      <c r="E68" s="22" t="n">
        <v>102.949608715257</v>
      </c>
      <c r="F68" s="22" t="n">
        <v>118.045662116131</v>
      </c>
      <c r="G68" s="22" t="n">
        <v>118.0734710091</v>
      </c>
      <c r="H68" s="22" t="n">
        <v>126.59427766902</v>
      </c>
      <c r="I68" s="22" t="n">
        <v>129.988379747705</v>
      </c>
      <c r="J68" s="22" t="n">
        <v>133.499845332077</v>
      </c>
      <c r="K68" s="22" t="n">
        <v>151.358604331401</v>
      </c>
      <c r="L68" s="22" t="n">
        <v>149.617313579028</v>
      </c>
      <c r="M68" s="22" t="n">
        <v>121.780945360474</v>
      </c>
      <c r="N68" s="22" t="n">
        <v>121.376028509214</v>
      </c>
      <c r="O68" s="22" t="n">
        <v>123.797193335113</v>
      </c>
      <c r="P68" s="22" t="n">
        <v>132.948475101712</v>
      </c>
      <c r="Q68" s="22" t="n">
        <v>135.442506024592</v>
      </c>
      <c r="R68" s="22" t="n">
        <f aca="false">C68*'Weights &amp; Assumptions'!$F$6+D68*'Weights &amp; Assumptions'!$F$7</f>
        <v>94.4264333979289</v>
      </c>
      <c r="S68" s="22" t="n">
        <f aca="false">E68*'Weights &amp; Assumptions'!$F$8+F68*'Weights &amp; Assumptions'!$F$9+H68*'Weights &amp; Assumptions'!$F$11</f>
        <v>118.024106449744</v>
      </c>
      <c r="T68" s="22" t="n">
        <f aca="false">G68*'Weights &amp; Assumptions'!$F$10+I68*'Weights &amp; Assumptions'!$F$12+J68*'Weights &amp; Assumptions'!$F$13+K68*'Weights &amp; Assumptions'!$F$14+L68*'Weights &amp; Assumptions'!$F$15+M68*'Weights &amp; Assumptions'!$F$16+N68*'Weights &amp; Assumptions'!$F$17+O68*'Weights &amp; Assumptions'!$F$18+P68*'Weights &amp; Assumptions'!$F$19+Q68*'Weights &amp; Assumptions'!$F$20</f>
        <v>131.994621019864</v>
      </c>
      <c r="U68" s="22" t="n">
        <f aca="false">R68*'Weights &amp; Assumptions'!$B$25/'Weights &amp; Assumptions'!$B$28+S68*'Weights &amp; Assumptions'!$B$26/'Weights &amp; Assumptions'!$B$28+T68*'Weights &amp; Assumptions'!$B$27/'Weights &amp; Assumptions'!$B$28</f>
        <v>125.127614950751</v>
      </c>
      <c r="V68" s="23" t="n">
        <f aca="false">IFERROR(Tabelle1!E69*'Weights &amp; Assumptions'!$F$6+Tabelle1!F69*'Weights &amp; Assumptions'!$F$7,"")</f>
        <v>62.5903226084314</v>
      </c>
      <c r="W68" s="23" t="n">
        <f aca="false">IFERROR(Tabelle1!G69*'Weights &amp; Assumptions'!$F$8+Tabelle1!H69*'Weights &amp; Assumptions'!$F$9+Tabelle1!J69*'Weights &amp; Assumptions'!$F$11,"")</f>
        <v>107.442964511729</v>
      </c>
      <c r="X68" s="23" t="n">
        <f aca="false">IFERROR(Tabelle1!I69*'Weights &amp; Assumptions'!$F$10+Tabelle1!K69*'Weights &amp; Assumptions'!$F$12+Tabelle1!L69*'Weights &amp; Assumptions'!$F$13+Tabelle1!M69*'Weights &amp; Assumptions'!$F$14+Tabelle1!N69*'Weights &amp; Assumptions'!$F$15+Tabelle1!O69*'Weights &amp; Assumptions'!$F$16+Tabelle1!P69*'Weights &amp; Assumptions'!$F$17+Tabelle1!Q69*'Weights &amp; Assumptions'!$F$18+Tabelle1!R69*'Weights &amp; Assumptions'!$F$19+Tabelle1!S69*'Weights &amp; Assumptions'!$F$20,"")</f>
        <v>126.197942040318</v>
      </c>
      <c r="Y68" s="22" t="n">
        <f aca="false">IFERROR(V68*'Weights &amp; Assumptions'!$B$25/'Weights &amp; Assumptions'!$B$28+W68*'Weights &amp; Assumptions'!$B$26/'Weights &amp; Assumptions'!$B$28+X68*'Weights &amp; Assumptions'!$B$27/'Weights &amp; Assumptions'!$B$28,"")</f>
        <v>115.873933695933</v>
      </c>
    </row>
    <row r="69" customFormat="false" ht="15" hidden="false" customHeight="false" outlineLevel="0" collapsed="false">
      <c r="A69" s="20" t="n">
        <v>39903</v>
      </c>
      <c r="B69" s="21" t="n">
        <v>123.45784</v>
      </c>
      <c r="C69" s="22" t="n">
        <v>85.2252205986301</v>
      </c>
      <c r="D69" s="22" t="n">
        <v>95.8845441219058</v>
      </c>
      <c r="E69" s="22" t="n">
        <v>103.731272278279</v>
      </c>
      <c r="F69" s="22" t="n">
        <v>117.591960796481</v>
      </c>
      <c r="G69" s="22" t="n">
        <v>121.140735600031</v>
      </c>
      <c r="H69" s="22" t="n">
        <v>125.90898516021</v>
      </c>
      <c r="I69" s="22" t="n">
        <v>130.132602717271</v>
      </c>
      <c r="J69" s="22" t="n">
        <v>131.735813166702</v>
      </c>
      <c r="K69" s="22" t="n">
        <v>151.440423439222</v>
      </c>
      <c r="L69" s="22" t="n">
        <v>150.597210489842</v>
      </c>
      <c r="M69" s="22" t="n">
        <v>122.473654983693</v>
      </c>
      <c r="N69" s="22" t="n">
        <v>121.994541340628</v>
      </c>
      <c r="O69" s="22" t="n">
        <v>124.143829987843</v>
      </c>
      <c r="P69" s="22" t="n">
        <v>132.53211371734</v>
      </c>
      <c r="Q69" s="22" t="n">
        <v>134.102196484902</v>
      </c>
      <c r="R69" s="22" t="n">
        <f aca="false">C69*'Weights &amp; Assumptions'!$F$6+D69*'Weights &amp; Assumptions'!$F$7</f>
        <v>85.3558243409207</v>
      </c>
      <c r="S69" s="22" t="n">
        <f aca="false">E69*'Weights &amp; Assumptions'!$F$8+F69*'Weights &amp; Assumptions'!$F$9+H69*'Weights &amp; Assumptions'!$F$11</f>
        <v>117.669658952396</v>
      </c>
      <c r="T69" s="22" t="n">
        <f aca="false">G69*'Weights &amp; Assumptions'!$F$10+I69*'Weights &amp; Assumptions'!$F$12+J69*'Weights &amp; Assumptions'!$F$13+K69*'Weights &amp; Assumptions'!$F$14+L69*'Weights &amp; Assumptions'!$F$15+M69*'Weights &amp; Assumptions'!$F$16+N69*'Weights &amp; Assumptions'!$F$17+O69*'Weights &amp; Assumptions'!$F$18+P69*'Weights &amp; Assumptions'!$F$19+Q69*'Weights &amp; Assumptions'!$F$20</f>
        <v>132.236368041534</v>
      </c>
      <c r="U69" s="22" t="n">
        <f aca="false">R69*'Weights &amp; Assumptions'!$B$25/'Weights &amp; Assumptions'!$B$28+S69*'Weights &amp; Assumptions'!$B$26/'Weights &amp; Assumptions'!$B$28+T69*'Weights &amp; Assumptions'!$B$27/'Weights &amp; Assumptions'!$B$28</f>
        <v>124.429509010661</v>
      </c>
      <c r="V69" s="23" t="n">
        <f aca="false">IFERROR(Tabelle1!E70*'Weights &amp; Assumptions'!$F$6+Tabelle1!F70*'Weights &amp; Assumptions'!$F$7,"")</f>
        <v>107.374729256028</v>
      </c>
      <c r="W69" s="23" t="n">
        <f aca="false">IFERROR(Tabelle1!G70*'Weights &amp; Assumptions'!$F$8+Tabelle1!H70*'Weights &amp; Assumptions'!$F$9+Tabelle1!J70*'Weights &amp; Assumptions'!$F$11,"")</f>
        <v>118.161054472807</v>
      </c>
      <c r="X69" s="23" t="n">
        <f aca="false">IFERROR(Tabelle1!I70*'Weights &amp; Assumptions'!$F$10+Tabelle1!K70*'Weights &amp; Assumptions'!$F$12+Tabelle1!L70*'Weights &amp; Assumptions'!$F$13+Tabelle1!M70*'Weights &amp; Assumptions'!$F$14+Tabelle1!N70*'Weights &amp; Assumptions'!$F$15+Tabelle1!O70*'Weights &amp; Assumptions'!$F$16+Tabelle1!P70*'Weights &amp; Assumptions'!$F$17+Tabelle1!Q70*'Weights &amp; Assumptions'!$F$18+Tabelle1!R70*'Weights &amp; Assumptions'!$F$19+Tabelle1!S70*'Weights &amp; Assumptions'!$F$20,"")</f>
        <v>133.089455241663</v>
      </c>
      <c r="Y69" s="22" t="n">
        <f aca="false">IFERROR(V69*'Weights &amp; Assumptions'!$B$25/'Weights &amp; Assumptions'!$B$28+W69*'Weights &amp; Assumptions'!$B$26/'Weights &amp; Assumptions'!$B$28+X69*'Weights &amp; Assumptions'!$B$27/'Weights &amp; Assumptions'!$B$28,"")</f>
        <v>126.962245795508</v>
      </c>
    </row>
    <row r="70" customFormat="false" ht="15" hidden="false" customHeight="false" outlineLevel="0" collapsed="false">
      <c r="A70" s="20" t="n">
        <v>39933</v>
      </c>
      <c r="B70" s="21" t="n">
        <v>121.77051</v>
      </c>
      <c r="C70" s="22" t="n">
        <v>69.585868658682</v>
      </c>
      <c r="D70" s="22" t="n">
        <v>103.26096640595</v>
      </c>
      <c r="E70" s="22" t="n">
        <v>103.337250683488</v>
      </c>
      <c r="F70" s="22" t="n">
        <v>117.958698906291</v>
      </c>
      <c r="G70" s="22" t="n">
        <v>121.050014545041</v>
      </c>
      <c r="H70" s="22" t="n">
        <v>124.039022391952</v>
      </c>
      <c r="I70" s="22" t="n">
        <v>127.33178064245</v>
      </c>
      <c r="J70" s="22" t="n">
        <v>135.71831552737</v>
      </c>
      <c r="K70" s="22" t="n">
        <v>150.534596471798</v>
      </c>
      <c r="L70" s="22" t="n">
        <v>150.459599388207</v>
      </c>
      <c r="M70" s="22" t="n">
        <v>121.462279290978</v>
      </c>
      <c r="N70" s="22" t="n">
        <v>120.611723296257</v>
      </c>
      <c r="O70" s="22" t="n">
        <v>122.915258152135</v>
      </c>
      <c r="P70" s="22" t="n">
        <v>135.071887865839</v>
      </c>
      <c r="Q70" s="22" t="n">
        <v>137.551777617571</v>
      </c>
      <c r="R70" s="22" t="n">
        <f aca="false">C70*'Weights &amp; Assumptions'!$F$6+D70*'Weights &amp; Assumptions'!$F$7</f>
        <v>69.9984739969282</v>
      </c>
      <c r="S70" s="22" t="n">
        <f aca="false">E70*'Weights &amp; Assumptions'!$F$8+F70*'Weights &amp; Assumptions'!$F$9+H70*'Weights &amp; Assumptions'!$F$11</f>
        <v>117.479606475771</v>
      </c>
      <c r="T70" s="22" t="n">
        <f aca="false">G70*'Weights &amp; Assumptions'!$F$10+I70*'Weights &amp; Assumptions'!$F$12+J70*'Weights &amp; Assumptions'!$F$13+K70*'Weights &amp; Assumptions'!$F$14+L70*'Weights &amp; Assumptions'!$F$15+M70*'Weights &amp; Assumptions'!$F$16+N70*'Weights &amp; Assumptions'!$F$17+O70*'Weights &amp; Assumptions'!$F$18+P70*'Weights &amp; Assumptions'!$F$19+Q70*'Weights &amp; Assumptions'!$F$20</f>
        <v>131.654557819922</v>
      </c>
      <c r="U70" s="22" t="n">
        <f aca="false">R70*'Weights &amp; Assumptions'!$B$25/'Weights &amp; Assumptions'!$B$28+S70*'Weights &amp; Assumptions'!$B$26/'Weights &amp; Assumptions'!$B$28+T70*'Weights &amp; Assumptions'!$B$27/'Weights &amp; Assumptions'!$B$28</f>
        <v>122.712193904283</v>
      </c>
      <c r="V70" s="23" t="n">
        <f aca="false">IFERROR(Tabelle1!E71*'Weights &amp; Assumptions'!$F$6+Tabelle1!F71*'Weights &amp; Assumptions'!$F$7,"")</f>
        <v>131.355039052693</v>
      </c>
      <c r="W70" s="23" t="n">
        <f aca="false">IFERROR(Tabelle1!G71*'Weights &amp; Assumptions'!$F$8+Tabelle1!H71*'Weights &amp; Assumptions'!$F$9+Tabelle1!J71*'Weights &amp; Assumptions'!$F$11,"")</f>
        <v>117.859116908859</v>
      </c>
      <c r="X70" s="23" t="n">
        <f aca="false">IFERROR(Tabelle1!I71*'Weights &amp; Assumptions'!$F$10+Tabelle1!K71*'Weights &amp; Assumptions'!$F$12+Tabelle1!L71*'Weights &amp; Assumptions'!$F$13+Tabelle1!M71*'Weights &amp; Assumptions'!$F$14+Tabelle1!N71*'Weights &amp; Assumptions'!$F$15+Tabelle1!O71*'Weights &amp; Assumptions'!$F$16+Tabelle1!P71*'Weights &amp; Assumptions'!$F$17+Tabelle1!Q71*'Weights &amp; Assumptions'!$F$18+Tabelle1!R71*'Weights &amp; Assumptions'!$F$19+Tabelle1!S71*'Weights &amp; Assumptions'!$F$20,"")</f>
        <v>132.206178953449</v>
      </c>
      <c r="Y70" s="22" t="n">
        <f aca="false">IFERROR(V70*'Weights &amp; Assumptions'!$B$25/'Weights &amp; Assumptions'!$B$28+W70*'Weights &amp; Assumptions'!$B$26/'Weights &amp; Assumptions'!$B$28+X70*'Weights &amp; Assumptions'!$B$27/'Weights &amp; Assumptions'!$B$28,"")</f>
        <v>128.319633192954</v>
      </c>
    </row>
    <row r="71" customFormat="false" ht="15" hidden="false" customHeight="false" outlineLevel="0" collapsed="false">
      <c r="A71" s="20" t="n">
        <v>39964</v>
      </c>
      <c r="B71" s="21" t="n">
        <v>121.10578</v>
      </c>
      <c r="C71" s="22" t="n">
        <v>67.8568043112531</v>
      </c>
      <c r="D71" s="22" t="n">
        <v>98.93806044622</v>
      </c>
      <c r="E71" s="22" t="n">
        <v>103.892079245608</v>
      </c>
      <c r="F71" s="22" t="n">
        <v>117.431470121493</v>
      </c>
      <c r="G71" s="22" t="n">
        <v>120.964399577905</v>
      </c>
      <c r="H71" s="22" t="n">
        <v>123.283180819225</v>
      </c>
      <c r="I71" s="22" t="n">
        <v>126.249315874568</v>
      </c>
      <c r="J71" s="22" t="n">
        <v>136.53517451962</v>
      </c>
      <c r="K71" s="22" t="n">
        <v>148.322528483525</v>
      </c>
      <c r="L71" s="22" t="n">
        <v>148.826729451448</v>
      </c>
      <c r="M71" s="22" t="n">
        <v>120.713924335813</v>
      </c>
      <c r="N71" s="22" t="n">
        <v>121.750141164894</v>
      </c>
      <c r="O71" s="22" t="n">
        <v>123.712478221022</v>
      </c>
      <c r="P71" s="22" t="n">
        <v>135.829094380485</v>
      </c>
      <c r="Q71" s="22" t="n">
        <v>136.246100013411</v>
      </c>
      <c r="R71" s="22" t="n">
        <f aca="false">C71*'Weights &amp; Assumptions'!$F$6+D71*'Weights &amp; Assumptions'!$F$7</f>
        <v>68.2376285124753</v>
      </c>
      <c r="S71" s="22" t="n">
        <f aca="false">E71*'Weights &amp; Assumptions'!$F$8+F71*'Weights &amp; Assumptions'!$F$9+H71*'Weights &amp; Assumptions'!$F$11</f>
        <v>117.033947416046</v>
      </c>
      <c r="T71" s="22" t="n">
        <f aca="false">G71*'Weights &amp; Assumptions'!$F$10+I71*'Weights &amp; Assumptions'!$F$12+J71*'Weights &amp; Assumptions'!$F$13+K71*'Weights &amp; Assumptions'!$F$14+L71*'Weights &amp; Assumptions'!$F$15+M71*'Weights &amp; Assumptions'!$F$16+N71*'Weights &amp; Assumptions'!$F$17+O71*'Weights &amp; Assumptions'!$F$18+P71*'Weights &amp; Assumptions'!$F$19+Q71*'Weights &amp; Assumptions'!$F$20</f>
        <v>131.020287389094</v>
      </c>
      <c r="U71" s="22" t="n">
        <f aca="false">R71*'Weights &amp; Assumptions'!$B$25/'Weights &amp; Assumptions'!$B$28+S71*'Weights &amp; Assumptions'!$B$26/'Weights &amp; Assumptions'!$B$28+T71*'Weights &amp; Assumptions'!$B$27/'Weights &amp; Assumptions'!$B$28</f>
        <v>122.033557947193</v>
      </c>
      <c r="V71" s="23" t="n">
        <f aca="false">IFERROR(Tabelle1!E72*'Weights &amp; Assumptions'!$F$6+Tabelle1!F72*'Weights &amp; Assumptions'!$F$7,"")</f>
        <v>186.920498334108</v>
      </c>
      <c r="W71" s="23" t="n">
        <f aca="false">IFERROR(Tabelle1!G72*'Weights &amp; Assumptions'!$F$8+Tabelle1!H72*'Weights &amp; Assumptions'!$F$9+Tabelle1!J72*'Weights &amp; Assumptions'!$F$11,"")</f>
        <v>118.931435022751</v>
      </c>
      <c r="X71" s="23" t="n">
        <f aca="false">IFERROR(Tabelle1!I72*'Weights &amp; Assumptions'!$F$10+Tabelle1!K72*'Weights &amp; Assumptions'!$F$12+Tabelle1!L72*'Weights &amp; Assumptions'!$F$13+Tabelle1!M72*'Weights &amp; Assumptions'!$F$14+Tabelle1!N72*'Weights &amp; Assumptions'!$F$15+Tabelle1!O72*'Weights &amp; Assumptions'!$F$16+Tabelle1!P72*'Weights &amp; Assumptions'!$F$17+Tabelle1!Q72*'Weights &amp; Assumptions'!$F$18+Tabelle1!R72*'Weights &amp; Assumptions'!$F$19+Tabelle1!S72*'Weights &amp; Assumptions'!$F$20,"")</f>
        <v>133.490708461049</v>
      </c>
      <c r="Y71" s="22" t="n">
        <f aca="false">IFERROR(V71*'Weights &amp; Assumptions'!$B$25/'Weights &amp; Assumptions'!$B$28+W71*'Weights &amp; Assumptions'!$B$26/'Weights &amp; Assumptions'!$B$28+X71*'Weights &amp; Assumptions'!$B$27/'Weights &amp; Assumptions'!$B$28,"")</f>
        <v>134.101947164546</v>
      </c>
    </row>
    <row r="72" customFormat="false" ht="15" hidden="false" customHeight="false" outlineLevel="0" collapsed="false">
      <c r="A72" s="20" t="n">
        <v>39994</v>
      </c>
      <c r="B72" s="21" t="n">
        <v>122.54345</v>
      </c>
      <c r="C72" s="22" t="n">
        <v>69.9836262589183</v>
      </c>
      <c r="D72" s="22" t="n">
        <v>80.5972549050321</v>
      </c>
      <c r="E72" s="22" t="n">
        <v>102.115306759794</v>
      </c>
      <c r="F72" s="22" t="n">
        <v>119.97488338747</v>
      </c>
      <c r="G72" s="22" t="n">
        <v>123.663142021002</v>
      </c>
      <c r="H72" s="22" t="n">
        <v>124.016121357778</v>
      </c>
      <c r="I72" s="22" t="n">
        <v>130.854636470141</v>
      </c>
      <c r="J72" s="22" t="n">
        <v>137.738937695778</v>
      </c>
      <c r="K72" s="22" t="n">
        <v>152.128594358754</v>
      </c>
      <c r="L72" s="22" t="n">
        <v>150.436323701723</v>
      </c>
      <c r="M72" s="22" t="n">
        <v>121.715009362606</v>
      </c>
      <c r="N72" s="22" t="n">
        <v>122.017268558328</v>
      </c>
      <c r="O72" s="22" t="n">
        <v>124.381307570811</v>
      </c>
      <c r="P72" s="22" t="n">
        <v>133.247248729272</v>
      </c>
      <c r="Q72" s="22" t="n">
        <v>136.535759157707</v>
      </c>
      <c r="R72" s="22" t="n">
        <f aca="false">C72*'Weights &amp; Assumptions'!$F$6+D72*'Weights &amp; Assumptions'!$F$7</f>
        <v>70.113670123094</v>
      </c>
      <c r="S72" s="22" t="n">
        <f aca="false">E72*'Weights &amp; Assumptions'!$F$8+F72*'Weights &amp; Assumptions'!$F$9+H72*'Weights &amp; Assumptions'!$F$11</f>
        <v>118.68437617063</v>
      </c>
      <c r="T72" s="22" t="n">
        <f aca="false">G72*'Weights &amp; Assumptions'!$F$10+I72*'Weights &amp; Assumptions'!$F$12+J72*'Weights &amp; Assumptions'!$F$13+K72*'Weights &amp; Assumptions'!$F$14+L72*'Weights &amp; Assumptions'!$F$15+M72*'Weights &amp; Assumptions'!$F$16+N72*'Weights &amp; Assumptions'!$F$17+O72*'Weights &amp; Assumptions'!$F$18+P72*'Weights &amp; Assumptions'!$F$19+Q72*'Weights &amp; Assumptions'!$F$20</f>
        <v>132.873696056219</v>
      </c>
      <c r="U72" s="22" t="n">
        <f aca="false">R72*'Weights &amp; Assumptions'!$B$25/'Weights &amp; Assumptions'!$B$28+S72*'Weights &amp; Assumptions'!$B$26/'Weights &amp; Assumptions'!$B$28+T72*'Weights &amp; Assumptions'!$B$27/'Weights &amp; Assumptions'!$B$28</f>
        <v>123.834889632681</v>
      </c>
      <c r="V72" s="23" t="n">
        <f aca="false">IFERROR(Tabelle1!E73*'Weights &amp; Assumptions'!$F$6+Tabelle1!F73*'Weights &amp; Assumptions'!$F$7,"")</f>
        <v>129.381400074731</v>
      </c>
      <c r="W72" s="23" t="n">
        <f aca="false">IFERROR(Tabelle1!G73*'Weights &amp; Assumptions'!$F$8+Tabelle1!H73*'Weights &amp; Assumptions'!$F$9+Tabelle1!J73*'Weights &amp; Assumptions'!$F$11,"")</f>
        <v>118.042681827443</v>
      </c>
      <c r="X72" s="23" t="n">
        <f aca="false">IFERROR(Tabelle1!I73*'Weights &amp; Assumptions'!$F$10+Tabelle1!K73*'Weights &amp; Assumptions'!$F$12+Tabelle1!L73*'Weights &amp; Assumptions'!$F$13+Tabelle1!M73*'Weights &amp; Assumptions'!$F$14+Tabelle1!N73*'Weights &amp; Assumptions'!$F$15+Tabelle1!O73*'Weights &amp; Assumptions'!$F$16+Tabelle1!P73*'Weights &amp; Assumptions'!$F$17+Tabelle1!Q73*'Weights &amp; Assumptions'!$F$18+Tabelle1!R73*'Weights &amp; Assumptions'!$F$19+Tabelle1!S73*'Weights &amp; Assumptions'!$F$20,"")</f>
        <v>135.405342267269</v>
      </c>
      <c r="Y72" s="22" t="n">
        <f aca="false">IFERROR(V72*'Weights &amp; Assumptions'!$B$25/'Weights &amp; Assumptions'!$B$28+W72*'Weights &amp; Assumptions'!$B$26/'Weights &amp; Assumptions'!$B$28+X72*'Weights &amp; Assumptions'!$B$27/'Weights &amp; Assumptions'!$B$28,"")</f>
        <v>130.282893799432</v>
      </c>
    </row>
    <row r="73" customFormat="false" ht="15" hidden="false" customHeight="false" outlineLevel="0" collapsed="false">
      <c r="A73" s="20" t="n">
        <v>40025</v>
      </c>
      <c r="B73" s="21" t="n">
        <v>124.75464</v>
      </c>
      <c r="C73" s="22" t="n">
        <v>86.9475951794743</v>
      </c>
      <c r="D73" s="22" t="n">
        <v>73.2634201883947</v>
      </c>
      <c r="E73" s="22" t="n">
        <v>101.682903535481</v>
      </c>
      <c r="F73" s="22" t="n">
        <v>121.487607826317</v>
      </c>
      <c r="G73" s="22" t="n">
        <v>123.472612044606</v>
      </c>
      <c r="H73" s="22" t="n">
        <v>128.663724340226</v>
      </c>
      <c r="I73" s="22" t="n">
        <v>131.945549951792</v>
      </c>
      <c r="J73" s="22" t="n">
        <v>129.982976230608</v>
      </c>
      <c r="K73" s="22" t="n">
        <v>151.486663631049</v>
      </c>
      <c r="L73" s="22" t="n">
        <v>151.199107221222</v>
      </c>
      <c r="M73" s="22" t="n">
        <v>120.906033498878</v>
      </c>
      <c r="N73" s="22" t="n">
        <v>124.87498740139</v>
      </c>
      <c r="O73" s="22" t="n">
        <v>126.915805483282</v>
      </c>
      <c r="P73" s="22" t="n">
        <v>137.972904630046</v>
      </c>
      <c r="Q73" s="22" t="n">
        <v>132.617300450712</v>
      </c>
      <c r="R73" s="22" t="n">
        <f aca="false">C73*'Weights &amp; Assumptions'!$F$6+D73*'Weights &amp; Assumptions'!$F$7</f>
        <v>86.7799293365066</v>
      </c>
      <c r="S73" s="22" t="n">
        <f aca="false">E73*'Weights &amp; Assumptions'!$F$8+F73*'Weights &amp; Assumptions'!$F$9+H73*'Weights &amp; Assumptions'!$F$11</f>
        <v>120.617926064597</v>
      </c>
      <c r="T73" s="22" t="n">
        <f aca="false">G73*'Weights &amp; Assumptions'!$F$10+I73*'Weights &amp; Assumptions'!$F$12+J73*'Weights &amp; Assumptions'!$F$13+K73*'Weights &amp; Assumptions'!$F$14+L73*'Weights &amp; Assumptions'!$F$15+M73*'Weights &amp; Assumptions'!$F$16+N73*'Weights &amp; Assumptions'!$F$17+O73*'Weights &amp; Assumptions'!$F$18+P73*'Weights &amp; Assumptions'!$F$19+Q73*'Weights &amp; Assumptions'!$F$20</f>
        <v>133.112451667403</v>
      </c>
      <c r="U73" s="22" t="n">
        <f aca="false">R73*'Weights &amp; Assumptions'!$B$25/'Weights &amp; Assumptions'!$B$28+S73*'Weights &amp; Assumptions'!$B$26/'Weights &amp; Assumptions'!$B$28+T73*'Weights &amp; Assumptions'!$B$27/'Weights &amp; Assumptions'!$B$28</f>
        <v>125.902601871771</v>
      </c>
      <c r="V73" s="23" t="n">
        <f aca="false">IFERROR(Tabelle1!E74*'Weights &amp; Assumptions'!$F$6+Tabelle1!F74*'Weights &amp; Assumptions'!$F$7,"")</f>
        <v>89.3649110040405</v>
      </c>
      <c r="W73" s="23" t="n">
        <f aca="false">IFERROR(Tabelle1!G74*'Weights &amp; Assumptions'!$F$8+Tabelle1!H74*'Weights &amp; Assumptions'!$F$9+Tabelle1!J74*'Weights &amp; Assumptions'!$F$11,"")</f>
        <v>124.035988767628</v>
      </c>
      <c r="X73" s="23" t="n">
        <f aca="false">IFERROR(Tabelle1!I74*'Weights &amp; Assumptions'!$F$10+Tabelle1!K74*'Weights &amp; Assumptions'!$F$12+Tabelle1!L74*'Weights &amp; Assumptions'!$F$13+Tabelle1!M74*'Weights &amp; Assumptions'!$F$14+Tabelle1!N74*'Weights &amp; Assumptions'!$F$15+Tabelle1!O74*'Weights &amp; Assumptions'!$F$16+Tabelle1!P74*'Weights &amp; Assumptions'!$F$17+Tabelle1!Q74*'Weights &amp; Assumptions'!$F$18+Tabelle1!R74*'Weights &amp; Assumptions'!$F$19+Tabelle1!S74*'Weights &amp; Assumptions'!$F$20,"")</f>
        <v>134.860296574872</v>
      </c>
      <c r="Y73" s="22" t="n">
        <f aca="false">IFERROR(V73*'Weights &amp; Assumptions'!$B$25/'Weights &amp; Assumptions'!$B$28+W73*'Weights &amp; Assumptions'!$B$26/'Weights &amp; Assumptions'!$B$28+X73*'Weights &amp; Assumptions'!$B$27/'Weights &amp; Assumptions'!$B$28,"")</f>
        <v>128.164823337553</v>
      </c>
    </row>
    <row r="74" customFormat="false" ht="15" hidden="false" customHeight="false" outlineLevel="0" collapsed="false">
      <c r="A74" s="20" t="n">
        <v>40056</v>
      </c>
      <c r="B74" s="21" t="n">
        <v>126.7923</v>
      </c>
      <c r="C74" s="22" t="n">
        <v>95.4964556625816</v>
      </c>
      <c r="D74" s="22" t="n">
        <v>101.79404013161</v>
      </c>
      <c r="E74" s="22" t="n">
        <v>91.8167121671977</v>
      </c>
      <c r="F74" s="22" t="n">
        <v>121.001498489271</v>
      </c>
      <c r="G74" s="22" t="n">
        <v>117.461293305336</v>
      </c>
      <c r="H74" s="22" t="n">
        <v>128.418125495561</v>
      </c>
      <c r="I74" s="22" t="n">
        <v>129.746117711154</v>
      </c>
      <c r="J74" s="22" t="n">
        <v>131.57591554132</v>
      </c>
      <c r="K74" s="22" t="n">
        <v>151.85467077564</v>
      </c>
      <c r="L74" s="22" t="n">
        <v>148.589471968394</v>
      </c>
      <c r="M74" s="22" t="n">
        <v>121.933801080271</v>
      </c>
      <c r="N74" s="22" t="n">
        <v>125.091467944048</v>
      </c>
      <c r="O74" s="22" t="n">
        <v>127.353898905383</v>
      </c>
      <c r="P74" s="22" t="n">
        <v>139.409318477224</v>
      </c>
      <c r="Q74" s="22" t="n">
        <v>139.198721083383</v>
      </c>
      <c r="R74" s="22" t="n">
        <f aca="false">C74*'Weights &amp; Assumptions'!$F$6+D74*'Weights &amp; Assumptions'!$F$7</f>
        <v>95.5736170412799</v>
      </c>
      <c r="S74" s="22" t="n">
        <f aca="false">E74*'Weights &amp; Assumptions'!$F$8+F74*'Weights &amp; Assumptions'!$F$9+H74*'Weights &amp; Assumptions'!$F$11</f>
        <v>119.061960438224</v>
      </c>
      <c r="T74" s="22" t="n">
        <f aca="false">G74*'Weights &amp; Assumptions'!$F$10+I74*'Weights &amp; Assumptions'!$F$12+J74*'Weights &amp; Assumptions'!$F$13+K74*'Weights &amp; Assumptions'!$F$14+L74*'Weights &amp; Assumptions'!$F$15+M74*'Weights &amp; Assumptions'!$F$16+N74*'Weights &amp; Assumptions'!$F$17+O74*'Weights &amp; Assumptions'!$F$18+P74*'Weights &amp; Assumptions'!$F$19+Q74*'Weights &amp; Assumptions'!$F$20</f>
        <v>133.151516625742</v>
      </c>
      <c r="U74" s="22" t="n">
        <f aca="false">R74*'Weights &amp; Assumptions'!$B$25/'Weights &amp; Assumptions'!$B$28+S74*'Weights &amp; Assumptions'!$B$26/'Weights &amp; Assumptions'!$B$28+T74*'Weights &amp; Assumptions'!$B$27/'Weights &amp; Assumptions'!$B$28</f>
        <v>126.252040469386</v>
      </c>
      <c r="V74" s="23" t="n">
        <f aca="false">IFERROR(Tabelle1!E75*'Weights &amp; Assumptions'!$F$6+Tabelle1!F75*'Weights &amp; Assumptions'!$F$7,"")</f>
        <v>65.7372340810002</v>
      </c>
      <c r="W74" s="23" t="n">
        <f aca="false">IFERROR(Tabelle1!G75*'Weights &amp; Assumptions'!$F$8+Tabelle1!H75*'Weights &amp; Assumptions'!$F$9+Tabelle1!J75*'Weights &amp; Assumptions'!$F$11,"")</f>
        <v>123.198017909017</v>
      </c>
      <c r="X74" s="23" t="n">
        <f aca="false">IFERROR(Tabelle1!I75*'Weights &amp; Assumptions'!$F$10+Tabelle1!K75*'Weights &amp; Assumptions'!$F$12+Tabelle1!L75*'Weights &amp; Assumptions'!$F$13+Tabelle1!M75*'Weights &amp; Assumptions'!$F$14+Tabelle1!N75*'Weights &amp; Assumptions'!$F$15+Tabelle1!O75*'Weights &amp; Assumptions'!$F$16+Tabelle1!P75*'Weights &amp; Assumptions'!$F$17+Tabelle1!Q75*'Weights &amp; Assumptions'!$F$18+Tabelle1!R75*'Weights &amp; Assumptions'!$F$19+Tabelle1!S75*'Weights &amp; Assumptions'!$F$20,"")</f>
        <v>134.400003986124</v>
      </c>
      <c r="Y74" s="22" t="n">
        <f aca="false">IFERROR(V74*'Weights &amp; Assumptions'!$B$25/'Weights &amp; Assumptions'!$B$28+W74*'Weights &amp; Assumptions'!$B$26/'Weights &amp; Assumptions'!$B$28+X74*'Weights &amp; Assumptions'!$B$27/'Weights &amp; Assumptions'!$B$28,"")</f>
        <v>125.660336673997</v>
      </c>
    </row>
    <row r="75" customFormat="false" ht="15" hidden="false" customHeight="false" outlineLevel="0" collapsed="false">
      <c r="A75" s="20" t="n">
        <v>40086</v>
      </c>
      <c r="B75" s="21" t="n">
        <v>128.17867</v>
      </c>
      <c r="C75" s="22" t="n">
        <v>97.6954909629527</v>
      </c>
      <c r="D75" s="22" t="n">
        <v>123.094497137235</v>
      </c>
      <c r="E75" s="22" t="n">
        <v>100.28051811864</v>
      </c>
      <c r="F75" s="22" t="n">
        <v>120.357171582514</v>
      </c>
      <c r="G75" s="22" t="n">
        <v>120.37233720542</v>
      </c>
      <c r="H75" s="22" t="n">
        <v>128.140096128854</v>
      </c>
      <c r="I75" s="22" t="n">
        <v>132.857598538682</v>
      </c>
      <c r="J75" s="22" t="n">
        <v>134.698604847202</v>
      </c>
      <c r="K75" s="22" t="n">
        <v>153.709331419811</v>
      </c>
      <c r="L75" s="22" t="n">
        <v>152.476742542936</v>
      </c>
      <c r="M75" s="22" t="n">
        <v>122.361275440562</v>
      </c>
      <c r="N75" s="22" t="n">
        <v>126.183246567637</v>
      </c>
      <c r="O75" s="22" t="n">
        <v>128.978719482588</v>
      </c>
      <c r="P75" s="22" t="n">
        <v>140.023967783569</v>
      </c>
      <c r="Q75" s="22" t="n">
        <v>143.11455994527</v>
      </c>
      <c r="R75" s="22" t="n">
        <f aca="false">C75*'Weights &amp; Assumptions'!$F$6+D75*'Weights &amp; Assumptions'!$F$7</f>
        <v>98.006693193524</v>
      </c>
      <c r="S75" s="22" t="n">
        <f aca="false">E75*'Weights &amp; Assumptions'!$F$8+F75*'Weights &amp; Assumptions'!$F$9+H75*'Weights &amp; Assumptions'!$F$11</f>
        <v>119.581432157637</v>
      </c>
      <c r="T75" s="22" t="n">
        <f aca="false">G75*'Weights &amp; Assumptions'!$F$10+I75*'Weights &amp; Assumptions'!$F$12+J75*'Weights &amp; Assumptions'!$F$13+K75*'Weights &amp; Assumptions'!$F$14+L75*'Weights &amp; Assumptions'!$F$15+M75*'Weights &amp; Assumptions'!$F$16+N75*'Weights &amp; Assumptions'!$F$17+O75*'Weights &amp; Assumptions'!$F$18+P75*'Weights &amp; Assumptions'!$F$19+Q75*'Weights &amp; Assumptions'!$F$20</f>
        <v>135.148514225384</v>
      </c>
      <c r="U75" s="22" t="n">
        <f aca="false">R75*'Weights &amp; Assumptions'!$B$25/'Weights &amp; Assumptions'!$B$28+S75*'Weights &amp; Assumptions'!$B$26/'Weights &amp; Assumptions'!$B$28+T75*'Weights &amp; Assumptions'!$B$27/'Weights &amp; Assumptions'!$B$28</f>
        <v>127.892725481277</v>
      </c>
      <c r="V75" s="23" t="n">
        <f aca="false">IFERROR(Tabelle1!E76*'Weights &amp; Assumptions'!$F$6+Tabelle1!F76*'Weights &amp; Assumptions'!$F$7,"")</f>
        <v>64.1045213399125</v>
      </c>
      <c r="W75" s="23" t="n">
        <f aca="false">IFERROR(Tabelle1!G76*'Weights &amp; Assumptions'!$F$8+Tabelle1!H76*'Weights &amp; Assumptions'!$F$9+Tabelle1!J76*'Weights &amp; Assumptions'!$F$11,"")</f>
        <v>124.849443678916</v>
      </c>
      <c r="X75" s="23" t="n">
        <f aca="false">IFERROR(Tabelle1!I76*'Weights &amp; Assumptions'!$F$10+Tabelle1!K76*'Weights &amp; Assumptions'!$F$12+Tabelle1!L76*'Weights &amp; Assumptions'!$F$13+Tabelle1!M76*'Weights &amp; Assumptions'!$F$14+Tabelle1!N76*'Weights &amp; Assumptions'!$F$15+Tabelle1!O76*'Weights &amp; Assumptions'!$F$16+Tabelle1!P76*'Weights &amp; Assumptions'!$F$17+Tabelle1!Q76*'Weights &amp; Assumptions'!$F$18+Tabelle1!R76*'Weights &amp; Assumptions'!$F$19+Tabelle1!S76*'Weights &amp; Assumptions'!$F$20,"")</f>
        <v>136.287476914884</v>
      </c>
      <c r="Y75" s="22" t="n">
        <f aca="false">IFERROR(V75*'Weights &amp; Assumptions'!$B$25/'Weights &amp; Assumptions'!$B$28+W75*'Weights &amp; Assumptions'!$B$26/'Weights &amp; Assumptions'!$B$28+X75*'Weights &amp; Assumptions'!$B$27/'Weights &amp; Assumptions'!$B$28,"")</f>
        <v>127.189694032712</v>
      </c>
    </row>
    <row r="76" customFormat="false" ht="15" hidden="false" customHeight="false" outlineLevel="0" collapsed="false">
      <c r="A76" s="20" t="n">
        <v>40117</v>
      </c>
      <c r="B76" s="21" t="n">
        <v>129.20725</v>
      </c>
      <c r="C76" s="22" t="n">
        <v>95.2571689829011</v>
      </c>
      <c r="D76" s="22" t="n">
        <v>116.572614393757</v>
      </c>
      <c r="E76" s="22" t="n">
        <v>102.390175607067</v>
      </c>
      <c r="F76" s="22" t="n">
        <v>124.400454346594</v>
      </c>
      <c r="G76" s="22" t="n">
        <v>121.166063621212</v>
      </c>
      <c r="H76" s="22" t="n">
        <v>132.740643819069</v>
      </c>
      <c r="I76" s="22" t="n">
        <v>134.703200090702</v>
      </c>
      <c r="J76" s="22" t="n">
        <v>139.564867884007</v>
      </c>
      <c r="K76" s="22" t="n">
        <v>155.652578975614</v>
      </c>
      <c r="L76" s="22" t="n">
        <v>149.138470102522</v>
      </c>
      <c r="M76" s="22" t="n">
        <v>122.224190023208</v>
      </c>
      <c r="N76" s="22" t="n">
        <v>126.23757004854</v>
      </c>
      <c r="O76" s="22" t="n">
        <v>129.158940739052</v>
      </c>
      <c r="P76" s="22" t="n">
        <v>139.017701879358</v>
      </c>
      <c r="Q76" s="22" t="n">
        <v>141.279556040592</v>
      </c>
      <c r="R76" s="22" t="n">
        <f aca="false">C76*'Weights &amp; Assumptions'!$F$6+D76*'Weights &amp; Assumptions'!$F$7</f>
        <v>95.5183372393267</v>
      </c>
      <c r="S76" s="22" t="n">
        <f aca="false">E76*'Weights &amp; Assumptions'!$F$8+F76*'Weights &amp; Assumptions'!$F$9+H76*'Weights &amp; Assumptions'!$F$11</f>
        <v>123.509935939516</v>
      </c>
      <c r="T76" s="22" t="n">
        <f aca="false">G76*'Weights &amp; Assumptions'!$F$10+I76*'Weights &amp; Assumptions'!$F$12+J76*'Weights &amp; Assumptions'!$F$13+K76*'Weights &amp; Assumptions'!$F$14+L76*'Weights &amp; Assumptions'!$F$15+M76*'Weights &amp; Assumptions'!$F$16+N76*'Weights &amp; Assumptions'!$F$17+O76*'Weights &amp; Assumptions'!$F$18+P76*'Weights &amp; Assumptions'!$F$19+Q76*'Weights &amp; Assumptions'!$F$20</f>
        <v>135.619491209269</v>
      </c>
      <c r="U76" s="22" t="n">
        <f aca="false">R76*'Weights &amp; Assumptions'!$B$25/'Weights &amp; Assumptions'!$B$28+S76*'Weights &amp; Assumptions'!$B$26/'Weights &amp; Assumptions'!$B$28+T76*'Weights &amp; Assumptions'!$B$27/'Weights &amp; Assumptions'!$B$28</f>
        <v>129.03482874114</v>
      </c>
      <c r="V76" s="23" t="n">
        <f aca="false">IFERROR(Tabelle1!E77*'Weights &amp; Assumptions'!$F$6+Tabelle1!F77*'Weights &amp; Assumptions'!$F$7,"")</f>
        <v>62.917852151345</v>
      </c>
      <c r="W76" s="23" t="n">
        <f aca="false">IFERROR(Tabelle1!G77*'Weights &amp; Assumptions'!$F$8+Tabelle1!H77*'Weights &amp; Assumptions'!$F$9+Tabelle1!J77*'Weights &amp; Assumptions'!$F$11,"")</f>
        <v>129.822573079897</v>
      </c>
      <c r="X76" s="23" t="n">
        <f aca="false">IFERROR(Tabelle1!I77*'Weights &amp; Assumptions'!$F$10+Tabelle1!K77*'Weights &amp; Assumptions'!$F$12+Tabelle1!L77*'Weights &amp; Assumptions'!$F$13+Tabelle1!M77*'Weights &amp; Assumptions'!$F$14+Tabelle1!N77*'Weights &amp; Assumptions'!$F$15+Tabelle1!O77*'Weights &amp; Assumptions'!$F$16+Tabelle1!P77*'Weights &amp; Assumptions'!$F$17+Tabelle1!Q77*'Weights &amp; Assumptions'!$F$18+Tabelle1!R77*'Weights &amp; Assumptions'!$F$19+Tabelle1!S77*'Weights &amp; Assumptions'!$F$20,"")</f>
        <v>136.292867140067</v>
      </c>
      <c r="Y76" s="22" t="n">
        <f aca="false">IFERROR(V76*'Weights &amp; Assumptions'!$B$25/'Weights &amp; Assumptions'!$B$28+W76*'Weights &amp; Assumptions'!$B$26/'Weights &amp; Assumptions'!$B$28+X76*'Weights &amp; Assumptions'!$B$27/'Weights &amp; Assumptions'!$B$28,"")</f>
        <v>128.416078105184</v>
      </c>
    </row>
    <row r="77" customFormat="false" ht="15" hidden="false" customHeight="false" outlineLevel="0" collapsed="false">
      <c r="A77" s="20" t="n">
        <v>40147</v>
      </c>
      <c r="B77" s="21" t="n">
        <v>129.72978</v>
      </c>
      <c r="C77" s="22" t="n">
        <v>94.2279454000124</v>
      </c>
      <c r="D77" s="22" t="n">
        <v>116.922692855682</v>
      </c>
      <c r="E77" s="22" t="n">
        <v>100.207232059312</v>
      </c>
      <c r="F77" s="22" t="n">
        <v>125.852337326456</v>
      </c>
      <c r="G77" s="22" t="n">
        <v>119.46211006463</v>
      </c>
      <c r="H77" s="22" t="n">
        <v>132.607344243436</v>
      </c>
      <c r="I77" s="22" t="n">
        <v>135.14714395488</v>
      </c>
      <c r="J77" s="22" t="n">
        <v>139.485124727501</v>
      </c>
      <c r="K77" s="22" t="n">
        <v>157.269394991993</v>
      </c>
      <c r="L77" s="22" t="n">
        <v>150.156019111804</v>
      </c>
      <c r="M77" s="22" t="n">
        <v>122.486027489301</v>
      </c>
      <c r="N77" s="22" t="n">
        <v>126.540216023741</v>
      </c>
      <c r="O77" s="22" t="n">
        <v>129.44956062117</v>
      </c>
      <c r="P77" s="22" t="n">
        <v>139.712093254689</v>
      </c>
      <c r="Q77" s="22" t="n">
        <v>142.580905076936</v>
      </c>
      <c r="R77" s="22" t="n">
        <f aca="false">C77*'Weights &amp; Assumptions'!$F$6+D77*'Weights &amp; Assumptions'!$F$7</f>
        <v>94.5060136040198</v>
      </c>
      <c r="S77" s="22" t="n">
        <f aca="false">E77*'Weights &amp; Assumptions'!$F$8+F77*'Weights &amp; Assumptions'!$F$9+H77*'Weights &amp; Assumptions'!$F$11</f>
        <v>124.197597993083</v>
      </c>
      <c r="T77" s="22" t="n">
        <f aca="false">G77*'Weights &amp; Assumptions'!$F$10+I77*'Weights &amp; Assumptions'!$F$12+J77*'Weights &amp; Assumptions'!$F$13+K77*'Weights &amp; Assumptions'!$F$14+L77*'Weights &amp; Assumptions'!$F$15+M77*'Weights &amp; Assumptions'!$F$16+N77*'Weights &amp; Assumptions'!$F$17+O77*'Weights &amp; Assumptions'!$F$18+P77*'Weights &amp; Assumptions'!$F$19+Q77*'Weights &amp; Assumptions'!$F$20</f>
        <v>136.195987602956</v>
      </c>
      <c r="U77" s="22" t="n">
        <f aca="false">R77*'Weights &amp; Assumptions'!$B$25/'Weights &amp; Assumptions'!$B$28+S77*'Weights &amp; Assumptions'!$B$26/'Weights &amp; Assumptions'!$B$28+T77*'Weights &amp; Assumptions'!$B$27/'Weights &amp; Assumptions'!$B$28</f>
        <v>129.507582703003</v>
      </c>
      <c r="V77" s="23" t="n">
        <f aca="false">IFERROR(Tabelle1!E78*'Weights &amp; Assumptions'!$F$6+Tabelle1!F78*'Weights &amp; Assumptions'!$F$7,"")</f>
        <v>76.3572263607108</v>
      </c>
      <c r="W77" s="23" t="n">
        <f aca="false">IFERROR(Tabelle1!G78*'Weights &amp; Assumptions'!$F$8+Tabelle1!H78*'Weights &amp; Assumptions'!$F$9+Tabelle1!J78*'Weights &amp; Assumptions'!$F$11,"")</f>
        <v>127.013146965155</v>
      </c>
      <c r="X77" s="23" t="n">
        <f aca="false">IFERROR(Tabelle1!I78*'Weights &amp; Assumptions'!$F$10+Tabelle1!K78*'Weights &amp; Assumptions'!$F$12+Tabelle1!L78*'Weights &amp; Assumptions'!$F$13+Tabelle1!M78*'Weights &amp; Assumptions'!$F$14+Tabelle1!N78*'Weights &amp; Assumptions'!$F$15+Tabelle1!O78*'Weights &amp; Assumptions'!$F$16+Tabelle1!P78*'Weights &amp; Assumptions'!$F$17+Tabelle1!Q78*'Weights &amp; Assumptions'!$F$18+Tabelle1!R78*'Weights &amp; Assumptions'!$F$19+Tabelle1!S78*'Weights &amp; Assumptions'!$F$20,"")</f>
        <v>136.398243219186</v>
      </c>
      <c r="Y77" s="22" t="n">
        <f aca="false">IFERROR(V77*'Weights &amp; Assumptions'!$B$25/'Weights &amp; Assumptions'!$B$28+W77*'Weights &amp; Assumptions'!$B$26/'Weights &amp; Assumptions'!$B$28+X77*'Weights &amp; Assumptions'!$B$27/'Weights &amp; Assumptions'!$B$28,"")</f>
        <v>128.865090904368</v>
      </c>
    </row>
    <row r="78" customFormat="false" ht="15" hidden="false" customHeight="false" outlineLevel="0" collapsed="false">
      <c r="A78" s="20" t="n">
        <v>40178</v>
      </c>
      <c r="B78" s="21" t="n">
        <v>128.07244</v>
      </c>
      <c r="C78" s="22" t="n">
        <v>85.9201208945772</v>
      </c>
      <c r="D78" s="22" t="n">
        <v>102.440233393121</v>
      </c>
      <c r="E78" s="22" t="n">
        <v>101.906546382464</v>
      </c>
      <c r="F78" s="22" t="n">
        <v>127.949496922074</v>
      </c>
      <c r="G78" s="22" t="n">
        <v>115.036097182748</v>
      </c>
      <c r="H78" s="22" t="n">
        <v>133.111212840493</v>
      </c>
      <c r="I78" s="22" t="n">
        <v>138.036240324692</v>
      </c>
      <c r="J78" s="22" t="n">
        <v>140.88961625129</v>
      </c>
      <c r="K78" s="22" t="n">
        <v>158.660573725657</v>
      </c>
      <c r="L78" s="22" t="n">
        <v>150.030756686803</v>
      </c>
      <c r="M78" s="22" t="n">
        <v>124.14804184235</v>
      </c>
      <c r="N78" s="22" t="n">
        <v>126.750721360791</v>
      </c>
      <c r="O78" s="22" t="n">
        <v>129.85380209835</v>
      </c>
      <c r="P78" s="22" t="n">
        <v>140.013521017804</v>
      </c>
      <c r="Q78" s="22" t="n">
        <v>143.528173433588</v>
      </c>
      <c r="R78" s="22" t="n">
        <f aca="false">C78*'Weights &amp; Assumptions'!$F$6+D78*'Weights &amp; Assumptions'!$F$7</f>
        <v>86.1225341631735</v>
      </c>
      <c r="S78" s="22" t="n">
        <f aca="false">E78*'Weights &amp; Assumptions'!$F$8+F78*'Weights &amp; Assumptions'!$F$9+H78*'Weights &amp; Assumptions'!$F$11</f>
        <v>125.915335628367</v>
      </c>
      <c r="T78" s="22" t="n">
        <f aca="false">G78*'Weights &amp; Assumptions'!$F$10+I78*'Weights &amp; Assumptions'!$F$12+J78*'Weights &amp; Assumptions'!$F$13+K78*'Weights &amp; Assumptions'!$F$14+L78*'Weights &amp; Assumptions'!$F$15+M78*'Weights &amp; Assumptions'!$F$16+N78*'Weights &amp; Assumptions'!$F$17+O78*'Weights &amp; Assumptions'!$F$18+P78*'Weights &amp; Assumptions'!$F$19+Q78*'Weights &amp; Assumptions'!$F$20</f>
        <v>137.379851722741</v>
      </c>
      <c r="U78" s="22" t="n">
        <f aca="false">R78*'Weights &amp; Assumptions'!$B$25/'Weights &amp; Assumptions'!$B$28+S78*'Weights &amp; Assumptions'!$B$26/'Weights &amp; Assumptions'!$B$28+T78*'Weights &amp; Assumptions'!$B$27/'Weights &amp; Assumptions'!$B$28</f>
        <v>130.030705029686</v>
      </c>
      <c r="V78" s="23" t="n">
        <f aca="false">IFERROR(Tabelle1!E79*'Weights &amp; Assumptions'!$F$6+Tabelle1!F79*'Weights &amp; Assumptions'!$F$7,"")</f>
        <v>72.5234961542771</v>
      </c>
      <c r="W78" s="23" t="n">
        <f aca="false">IFERROR(Tabelle1!G79*'Weights &amp; Assumptions'!$F$8+Tabelle1!H79*'Weights &amp; Assumptions'!$F$9+Tabelle1!J79*'Weights &amp; Assumptions'!$F$11,"")</f>
        <v>123.538433869501</v>
      </c>
      <c r="X78" s="23" t="n">
        <f aca="false">IFERROR(Tabelle1!I79*'Weights &amp; Assumptions'!$F$10+Tabelle1!K79*'Weights &amp; Assumptions'!$F$12+Tabelle1!L79*'Weights &amp; Assumptions'!$F$13+Tabelle1!M79*'Weights &amp; Assumptions'!$F$14+Tabelle1!N79*'Weights &amp; Assumptions'!$F$15+Tabelle1!O79*'Weights &amp; Assumptions'!$F$16+Tabelle1!P79*'Weights &amp; Assumptions'!$F$17+Tabelle1!Q79*'Weights &amp; Assumptions'!$F$18+Tabelle1!R79*'Weights &amp; Assumptions'!$F$19+Tabelle1!S79*'Weights &amp; Assumptions'!$F$20,"")</f>
        <v>136.228702507156</v>
      </c>
      <c r="Y78" s="22" t="n">
        <f aca="false">IFERROR(V78*'Weights &amp; Assumptions'!$B$25/'Weights &amp; Assumptions'!$B$28+W78*'Weights &amp; Assumptions'!$B$26/'Weights &amp; Assumptions'!$B$28+X78*'Weights &amp; Assumptions'!$B$27/'Weights &amp; Assumptions'!$B$28,"")</f>
        <v>127.509218572323</v>
      </c>
    </row>
    <row r="79" customFormat="false" ht="15" hidden="false" customHeight="false" outlineLevel="0" collapsed="false">
      <c r="A79" s="20" t="n">
        <v>40209</v>
      </c>
      <c r="B79" s="21" t="n">
        <v>131.72001</v>
      </c>
      <c r="C79" s="22" t="n">
        <v>90.6974558573458</v>
      </c>
      <c r="D79" s="22" t="n">
        <v>70.7747887688602</v>
      </c>
      <c r="E79" s="22" t="n">
        <v>103.215811044585</v>
      </c>
      <c r="F79" s="22" t="n">
        <v>128.969254726549</v>
      </c>
      <c r="G79" s="22" t="n">
        <v>118.277722623279</v>
      </c>
      <c r="H79" s="22" t="n">
        <v>134.863326122576</v>
      </c>
      <c r="I79" s="22" t="n">
        <v>137.691816604218</v>
      </c>
      <c r="J79" s="22" t="n">
        <v>143.568017667981</v>
      </c>
      <c r="K79" s="22" t="n">
        <v>159.349658543833</v>
      </c>
      <c r="L79" s="22" t="n">
        <v>147.622581276519</v>
      </c>
      <c r="M79" s="22" t="n">
        <v>126.342530826467</v>
      </c>
      <c r="N79" s="22" t="n">
        <v>127.789309401008</v>
      </c>
      <c r="O79" s="22" t="n">
        <v>130.462699213619</v>
      </c>
      <c r="P79" s="22" t="n">
        <v>138.135637191296</v>
      </c>
      <c r="Q79" s="22" t="n">
        <v>144.204671198497</v>
      </c>
      <c r="R79" s="22" t="n">
        <f aca="false">C79*'Weights &amp; Assumptions'!$F$6+D79*'Weights &amp; Assumptions'!$F$7</f>
        <v>90.4533526670743</v>
      </c>
      <c r="S79" s="22" t="n">
        <f aca="false">E79*'Weights &amp; Assumptions'!$F$8+F79*'Weights &amp; Assumptions'!$F$9+H79*'Weights &amp; Assumptions'!$F$11</f>
        <v>127.122226831571</v>
      </c>
      <c r="T79" s="22" t="n">
        <f aca="false">G79*'Weights &amp; Assumptions'!$F$10+I79*'Weights &amp; Assumptions'!$F$12+J79*'Weights &amp; Assumptions'!$F$13+K79*'Weights &amp; Assumptions'!$F$14+L79*'Weights &amp; Assumptions'!$F$15+M79*'Weights &amp; Assumptions'!$F$16+N79*'Weights &amp; Assumptions'!$F$17+O79*'Weights &amp; Assumptions'!$F$18+P79*'Weights &amp; Assumptions'!$F$19+Q79*'Weights &amp; Assumptions'!$F$20</f>
        <v>137.934673772136</v>
      </c>
      <c r="U79" s="22" t="n">
        <f aca="false">R79*'Weights &amp; Assumptions'!$B$25/'Weights &amp; Assumptions'!$B$28+S79*'Weights &amp; Assumptions'!$B$26/'Weights &amp; Assumptions'!$B$28+T79*'Weights &amp; Assumptions'!$B$27/'Weights &amp; Assumptions'!$B$28</f>
        <v>131.075732902441</v>
      </c>
      <c r="V79" s="23" t="n">
        <f aca="false">IFERROR(Tabelle1!E80*'Weights &amp; Assumptions'!$F$6+Tabelle1!F80*'Weights &amp; Assumptions'!$F$7,"")</f>
        <v>55.60049314299</v>
      </c>
      <c r="W79" s="23" t="n">
        <f aca="false">IFERROR(Tabelle1!G80*'Weights &amp; Assumptions'!$F$8+Tabelle1!H80*'Weights &amp; Assumptions'!$F$9+Tabelle1!J80*'Weights &amp; Assumptions'!$F$11,"")</f>
        <v>117.543368766236</v>
      </c>
      <c r="X79" s="23" t="n">
        <f aca="false">IFERROR(Tabelle1!I80*'Weights &amp; Assumptions'!$F$10+Tabelle1!K80*'Weights &amp; Assumptions'!$F$12+Tabelle1!L80*'Weights &amp; Assumptions'!$F$13+Tabelle1!M80*'Weights &amp; Assumptions'!$F$14+Tabelle1!N80*'Weights &amp; Assumptions'!$F$15+Tabelle1!O80*'Weights &amp; Assumptions'!$F$16+Tabelle1!P80*'Weights &amp; Assumptions'!$F$17+Tabelle1!Q80*'Weights &amp; Assumptions'!$F$18+Tabelle1!R80*'Weights &amp; Assumptions'!$F$19+Tabelle1!S80*'Weights &amp; Assumptions'!$F$20,"")</f>
        <v>134.378074011209</v>
      </c>
      <c r="Y79" s="22" t="n">
        <f aca="false">IFERROR(V79*'Weights &amp; Assumptions'!$B$25/'Weights &amp; Assumptions'!$B$28+W79*'Weights &amp; Assumptions'!$B$26/'Weights &amp; Assumptions'!$B$28+X79*'Weights &amp; Assumptions'!$B$27/'Weights &amp; Assumptions'!$B$28,"")</f>
        <v>123.291927221746</v>
      </c>
    </row>
    <row r="80" customFormat="false" ht="15" hidden="false" customHeight="false" outlineLevel="0" collapsed="false">
      <c r="A80" s="20" t="n">
        <v>40237</v>
      </c>
      <c r="B80" s="21" t="n">
        <v>133.12326</v>
      </c>
      <c r="C80" s="22" t="n">
        <v>98.1248432619594</v>
      </c>
      <c r="D80" s="22" t="n">
        <v>94.2650864267229</v>
      </c>
      <c r="E80" s="22" t="n">
        <v>103.541366555154</v>
      </c>
      <c r="F80" s="22" t="n">
        <v>128.205326671134</v>
      </c>
      <c r="G80" s="22" t="n">
        <v>119.308768369791</v>
      </c>
      <c r="H80" s="22" t="n">
        <v>135.701367453305</v>
      </c>
      <c r="I80" s="22" t="n">
        <v>140.263337608289</v>
      </c>
      <c r="J80" s="22" t="n">
        <v>145.002336366589</v>
      </c>
      <c r="K80" s="22" t="n">
        <v>160.029250039833</v>
      </c>
      <c r="L80" s="22" t="n">
        <v>148.130293731789</v>
      </c>
      <c r="M80" s="22" t="n">
        <v>127.010074067921</v>
      </c>
      <c r="N80" s="22" t="n">
        <v>127.64872833238</v>
      </c>
      <c r="O80" s="22" t="n">
        <v>130.683885858571</v>
      </c>
      <c r="P80" s="22" t="n">
        <v>139.387024303433</v>
      </c>
      <c r="Q80" s="22" t="n">
        <v>144.261972031</v>
      </c>
      <c r="R80" s="22" t="n">
        <f aca="false">C80*'Weights &amp; Assumptions'!$F$6+D80*'Weights &amp; Assumptions'!$F$7</f>
        <v>98.0775514534396</v>
      </c>
      <c r="S80" s="22" t="n">
        <f aca="false">E80*'Weights &amp; Assumptions'!$F$8+F80*'Weights &amp; Assumptions'!$F$9+H80*'Weights &amp; Assumptions'!$F$11</f>
        <v>126.822108677345</v>
      </c>
      <c r="T80" s="22" t="n">
        <f aca="false">G80*'Weights &amp; Assumptions'!$F$10+I80*'Weights &amp; Assumptions'!$F$12+J80*'Weights &amp; Assumptions'!$F$13+K80*'Weights &amp; Assumptions'!$F$14+L80*'Weights &amp; Assumptions'!$F$15+M80*'Weights &amp; Assumptions'!$F$16+N80*'Weights &amp; Assumptions'!$F$17+O80*'Weights &amp; Assumptions'!$F$18+P80*'Weights &amp; Assumptions'!$F$19+Q80*'Weights &amp; Assumptions'!$F$20</f>
        <v>138.925548692962</v>
      </c>
      <c r="U80" s="22" t="n">
        <f aca="false">R80*'Weights &amp; Assumptions'!$B$25/'Weights &amp; Assumptions'!$B$28+S80*'Weights &amp; Assumptions'!$B$26/'Weights &amp; Assumptions'!$B$28+T80*'Weights &amp; Assumptions'!$B$27/'Weights &amp; Assumptions'!$B$28</f>
        <v>132.27985160589</v>
      </c>
      <c r="V80" s="23" t="n">
        <f aca="false">IFERROR(Tabelle1!E81*'Weights &amp; Assumptions'!$F$6+Tabelle1!F81*'Weights &amp; Assumptions'!$F$7,"")</f>
        <v>64.5823413169092</v>
      </c>
      <c r="W80" s="23" t="n">
        <f aca="false">IFERROR(Tabelle1!G81*'Weights &amp; Assumptions'!$F$8+Tabelle1!H81*'Weights &amp; Assumptions'!$F$9+Tabelle1!J81*'Weights &amp; Assumptions'!$F$11,"")</f>
        <v>114.915307266037</v>
      </c>
      <c r="X80" s="23" t="n">
        <f aca="false">IFERROR(Tabelle1!I81*'Weights &amp; Assumptions'!$F$10+Tabelle1!K81*'Weights &amp; Assumptions'!$F$12+Tabelle1!L81*'Weights &amp; Assumptions'!$F$13+Tabelle1!M81*'Weights &amp; Assumptions'!$F$14+Tabelle1!N81*'Weights &amp; Assumptions'!$F$15+Tabelle1!O81*'Weights &amp; Assumptions'!$F$16+Tabelle1!P81*'Weights &amp; Assumptions'!$F$17+Tabelle1!Q81*'Weights &amp; Assumptions'!$F$18+Tabelle1!R81*'Weights &amp; Assumptions'!$F$19+Tabelle1!S81*'Weights &amp; Assumptions'!$F$20,"")</f>
        <v>132.361586358779</v>
      </c>
      <c r="Y80" s="22" t="n">
        <f aca="false">IFERROR(V80*'Weights &amp; Assumptions'!$B$25/'Weights &amp; Assumptions'!$B$28+W80*'Weights &amp; Assumptions'!$B$26/'Weights &amp; Assumptions'!$B$28+X80*'Weights &amp; Assumptions'!$B$27/'Weights &amp; Assumptions'!$B$28,"")</f>
        <v>122.035580928748</v>
      </c>
    </row>
    <row r="81" customFormat="false" ht="15" hidden="false" customHeight="false" outlineLevel="0" collapsed="false">
      <c r="A81" s="20" t="n">
        <v>40268</v>
      </c>
      <c r="B81" s="21" t="n">
        <v>133.97039</v>
      </c>
      <c r="C81" s="22" t="n">
        <v>105.082593122605</v>
      </c>
      <c r="D81" s="22" t="n">
        <v>87.6327533088492</v>
      </c>
      <c r="E81" s="22" t="n">
        <v>103.453496724267</v>
      </c>
      <c r="F81" s="22" t="n">
        <v>131.69830378058</v>
      </c>
      <c r="G81" s="22" t="n">
        <v>121.723689669488</v>
      </c>
      <c r="H81" s="22" t="n">
        <v>136.870300238971</v>
      </c>
      <c r="I81" s="22" t="n">
        <v>144.432612670786</v>
      </c>
      <c r="J81" s="22" t="n">
        <v>144.680519544206</v>
      </c>
      <c r="K81" s="22" t="n">
        <v>162.738053328916</v>
      </c>
      <c r="L81" s="22" t="n">
        <v>151.01904707835</v>
      </c>
      <c r="M81" s="22" t="n">
        <v>128.102235957605</v>
      </c>
      <c r="N81" s="22" t="n">
        <v>127.628747794172</v>
      </c>
      <c r="O81" s="22" t="n">
        <v>131.052746616229</v>
      </c>
      <c r="P81" s="22" t="n">
        <v>138.541591112341</v>
      </c>
      <c r="Q81" s="22" t="n">
        <v>144.140844665265</v>
      </c>
      <c r="R81" s="22" t="n">
        <f aca="false">C81*'Weights &amp; Assumptions'!$F$6+D81*'Weights &amp; Assumptions'!$F$7</f>
        <v>104.868788336862</v>
      </c>
      <c r="S81" s="22" t="n">
        <f aca="false">E81*'Weights &amp; Assumptions'!$F$8+F81*'Weights &amp; Assumptions'!$F$9+H81*'Weights &amp; Assumptions'!$F$11</f>
        <v>129.403387542369</v>
      </c>
      <c r="T81" s="22" t="n">
        <f aca="false">G81*'Weights &amp; Assumptions'!$F$10+I81*'Weights &amp; Assumptions'!$F$12+J81*'Weights &amp; Assumptions'!$F$13+K81*'Weights &amp; Assumptions'!$F$14+L81*'Weights &amp; Assumptions'!$F$15+M81*'Weights &amp; Assumptions'!$F$16+N81*'Weights &amp; Assumptions'!$F$17+O81*'Weights &amp; Assumptions'!$F$18+P81*'Weights &amp; Assumptions'!$F$19+Q81*'Weights &amp; Assumptions'!$F$20</f>
        <v>140.621908762666</v>
      </c>
      <c r="U81" s="22" t="n">
        <f aca="false">R81*'Weights &amp; Assumptions'!$B$25/'Weights &amp; Assumptions'!$B$28+S81*'Weights &amp; Assumptions'!$B$26/'Weights &amp; Assumptions'!$B$28+T81*'Weights &amp; Assumptions'!$B$27/'Weights &amp; Assumptions'!$B$28</f>
        <v>134.638991445796</v>
      </c>
      <c r="V81" s="23" t="n">
        <f aca="false">IFERROR(Tabelle1!E82*'Weights &amp; Assumptions'!$F$6+Tabelle1!F82*'Weights &amp; Assumptions'!$F$7,"")</f>
        <v>132.376211087115</v>
      </c>
      <c r="W81" s="23" t="n">
        <f aca="false">IFERROR(Tabelle1!G82*'Weights &amp; Assumptions'!$F$8+Tabelle1!H82*'Weights &amp; Assumptions'!$F$9+Tabelle1!J82*'Weights &amp; Assumptions'!$F$11,"")</f>
        <v>130.567877406907</v>
      </c>
      <c r="X81" s="23" t="n">
        <f aca="false">IFERROR(Tabelle1!I82*'Weights &amp; Assumptions'!$F$10+Tabelle1!K82*'Weights &amp; Assumptions'!$F$12+Tabelle1!L82*'Weights &amp; Assumptions'!$F$13+Tabelle1!M82*'Weights &amp; Assumptions'!$F$14+Tabelle1!N82*'Weights &amp; Assumptions'!$F$15+Tabelle1!O82*'Weights &amp; Assumptions'!$F$16+Tabelle1!P82*'Weights &amp; Assumptions'!$F$17+Tabelle1!Q82*'Weights &amp; Assumptions'!$F$18+Tabelle1!R82*'Weights &amp; Assumptions'!$F$19+Tabelle1!S82*'Weights &amp; Assumptions'!$F$20,"")</f>
        <v>141.778108898618</v>
      </c>
      <c r="Y81" s="22" t="n">
        <f aca="false">IFERROR(V81*'Weights &amp; Assumptions'!$B$25/'Weights &amp; Assumptions'!$B$28+W81*'Weights &amp; Assumptions'!$B$26/'Weights &amp; Assumptions'!$B$28+X81*'Weights &amp; Assumptions'!$B$27/'Weights &amp; Assumptions'!$B$28,"")</f>
        <v>138.008285472169</v>
      </c>
    </row>
    <row r="82" customFormat="false" ht="15" hidden="false" customHeight="false" outlineLevel="0" collapsed="false">
      <c r="A82" s="20" t="n">
        <v>40298</v>
      </c>
      <c r="B82" s="21" t="n">
        <v>136.86532</v>
      </c>
      <c r="C82" s="22" t="n">
        <v>121.581226315891</v>
      </c>
      <c r="D82" s="22" t="n">
        <v>76.1983066335801</v>
      </c>
      <c r="E82" s="22" t="n">
        <v>106.12847353406</v>
      </c>
      <c r="F82" s="22" t="n">
        <v>132.265445102755</v>
      </c>
      <c r="G82" s="22" t="n">
        <v>120.632036038703</v>
      </c>
      <c r="H82" s="22" t="n">
        <v>141.112182341368</v>
      </c>
      <c r="I82" s="22" t="n">
        <v>144.919509052727</v>
      </c>
      <c r="J82" s="22" t="n">
        <v>145.136865249066</v>
      </c>
      <c r="K82" s="22" t="n">
        <v>165.20445289354</v>
      </c>
      <c r="L82" s="22" t="n">
        <v>150.76587776575</v>
      </c>
      <c r="M82" s="22" t="n">
        <v>127.602235030442</v>
      </c>
      <c r="N82" s="22" t="n">
        <v>128.02674609656</v>
      </c>
      <c r="O82" s="22" t="n">
        <v>131.268529730561</v>
      </c>
      <c r="P82" s="22" t="n">
        <v>140.322677728155</v>
      </c>
      <c r="Q82" s="22" t="n">
        <v>142.223428405614</v>
      </c>
      <c r="R82" s="22" t="n">
        <f aca="false">C82*'Weights &amp; Assumptions'!$F$6+D82*'Weights &amp; Assumptions'!$F$7</f>
        <v>121.025170471104</v>
      </c>
      <c r="S82" s="22" t="n">
        <f aca="false">E82*'Weights &amp; Assumptions'!$F$8+F82*'Weights &amp; Assumptions'!$F$9+H82*'Weights &amp; Assumptions'!$F$11</f>
        <v>130.987734889461</v>
      </c>
      <c r="T82" s="22" t="n">
        <f aca="false">G82*'Weights &amp; Assumptions'!$F$10+I82*'Weights &amp; Assumptions'!$F$12+J82*'Weights &amp; Assumptions'!$F$13+K82*'Weights &amp; Assumptions'!$F$14+L82*'Weights &amp; Assumptions'!$F$15+M82*'Weights &amp; Assumptions'!$F$16+N82*'Weights &amp; Assumptions'!$F$17+O82*'Weights &amp; Assumptions'!$F$18+P82*'Weights &amp; Assumptions'!$F$19+Q82*'Weights &amp; Assumptions'!$F$20</f>
        <v>141.027304199983</v>
      </c>
      <c r="U82" s="22" t="n">
        <f aca="false">R82*'Weights &amp; Assumptions'!$B$25/'Weights &amp; Assumptions'!$B$28+S82*'Weights &amp; Assumptions'!$B$26/'Weights &amp; Assumptions'!$B$28+T82*'Weights &amp; Assumptions'!$B$27/'Weights &amp; Assumptions'!$B$28</f>
        <v>136.679411681866</v>
      </c>
      <c r="V82" s="23" t="n">
        <f aca="false">IFERROR(Tabelle1!E83*'Weights &amp; Assumptions'!$F$6+Tabelle1!F83*'Weights &amp; Assumptions'!$F$7,"")</f>
        <v>230.728476952361</v>
      </c>
      <c r="W82" s="23" t="n">
        <f aca="false">IFERROR(Tabelle1!G83*'Weights &amp; Assumptions'!$F$8+Tabelle1!H83*'Weights &amp; Assumptions'!$F$9+Tabelle1!J83*'Weights &amp; Assumptions'!$F$11,"")</f>
        <v>130.906110340857</v>
      </c>
      <c r="X82" s="23" t="n">
        <f aca="false">IFERROR(Tabelle1!I83*'Weights &amp; Assumptions'!$F$10+Tabelle1!K83*'Weights &amp; Assumptions'!$F$12+Tabelle1!L83*'Weights &amp; Assumptions'!$F$13+Tabelle1!M83*'Weights &amp; Assumptions'!$F$14+Tabelle1!N83*'Weights &amp; Assumptions'!$F$15+Tabelle1!O83*'Weights &amp; Assumptions'!$F$16+Tabelle1!P83*'Weights &amp; Assumptions'!$F$17+Tabelle1!Q83*'Weights &amp; Assumptions'!$F$18+Tabelle1!R83*'Weights &amp; Assumptions'!$F$19+Tabelle1!S83*'Weights &amp; Assumptions'!$F$20,"")</f>
        <v>141.23638361549</v>
      </c>
      <c r="Y82" s="22" t="n">
        <f aca="false">IFERROR(V82*'Weights &amp; Assumptions'!$B$25/'Weights &amp; Assumptions'!$B$28+W82*'Weights &amp; Assumptions'!$B$26/'Weights &amp; Assumptions'!$B$28+X82*'Weights &amp; Assumptions'!$B$27/'Weights &amp; Assumptions'!$B$28,"")</f>
        <v>145.997844606981</v>
      </c>
    </row>
    <row r="83" customFormat="false" ht="15" hidden="false" customHeight="false" outlineLevel="0" collapsed="false">
      <c r="A83" s="20" t="n">
        <v>40329</v>
      </c>
      <c r="B83" s="21" t="n">
        <v>139.19129</v>
      </c>
      <c r="C83" s="22" t="n">
        <v>125.1325121834</v>
      </c>
      <c r="D83" s="22" t="n">
        <v>108.480438355868</v>
      </c>
      <c r="E83" s="22" t="n">
        <v>106.158422488216</v>
      </c>
      <c r="F83" s="22" t="n">
        <v>132.093912812763</v>
      </c>
      <c r="G83" s="22" t="n">
        <v>121.70578670403</v>
      </c>
      <c r="H83" s="22" t="n">
        <v>140.33291848492</v>
      </c>
      <c r="I83" s="22" t="n">
        <v>144.683098453881</v>
      </c>
      <c r="J83" s="22" t="n">
        <v>145.952299913848</v>
      </c>
      <c r="K83" s="22" t="n">
        <v>167.902458162505</v>
      </c>
      <c r="L83" s="22" t="n">
        <v>150.816835255126</v>
      </c>
      <c r="M83" s="22" t="n">
        <v>126.530841836112</v>
      </c>
      <c r="N83" s="22" t="n">
        <v>128.365192679224</v>
      </c>
      <c r="O83" s="22" t="n">
        <v>131.427919510549</v>
      </c>
      <c r="P83" s="22" t="n">
        <v>140.582075637034</v>
      </c>
      <c r="Q83" s="22" t="n">
        <v>143.21654040086</v>
      </c>
      <c r="R83" s="22" t="n">
        <f aca="false">C83*'Weights &amp; Assumptions'!$F$6+D83*'Weights &amp; Assumptions'!$F$7</f>
        <v>124.928482053906</v>
      </c>
      <c r="S83" s="22" t="n">
        <f aca="false">E83*'Weights &amp; Assumptions'!$F$8+F83*'Weights &amp; Assumptions'!$F$9+H83*'Weights &amp; Assumptions'!$F$11</f>
        <v>130.713654159404</v>
      </c>
      <c r="T83" s="22" t="n">
        <f aca="false">G83*'Weights &amp; Assumptions'!$F$10+I83*'Weights &amp; Assumptions'!$F$12+J83*'Weights &amp; Assumptions'!$F$13+K83*'Weights &amp; Assumptions'!$F$14+L83*'Weights &amp; Assumptions'!$F$15+M83*'Weights &amp; Assumptions'!$F$16+N83*'Weights &amp; Assumptions'!$F$17+O83*'Weights &amp; Assumptions'!$F$18+P83*'Weights &amp; Assumptions'!$F$19+Q83*'Weights &amp; Assumptions'!$F$20</f>
        <v>141.342770628502</v>
      </c>
      <c r="U83" s="22" t="n">
        <f aca="false">R83*'Weights &amp; Assumptions'!$B$25/'Weights &amp; Assumptions'!$B$28+S83*'Weights &amp; Assumptions'!$B$26/'Weights &amp; Assumptions'!$B$28+T83*'Weights &amp; Assumptions'!$B$27/'Weights &amp; Assumptions'!$B$28</f>
        <v>137.139130416856</v>
      </c>
      <c r="V83" s="23" t="n">
        <f aca="false">IFERROR(Tabelle1!E84*'Weights &amp; Assumptions'!$F$6+Tabelle1!F84*'Weights &amp; Assumptions'!$F$7,"")</f>
        <v>348.742113260867</v>
      </c>
      <c r="W83" s="23" t="n">
        <f aca="false">IFERROR(Tabelle1!G84*'Weights &amp; Assumptions'!$F$8+Tabelle1!H84*'Weights &amp; Assumptions'!$F$9+Tabelle1!J84*'Weights &amp; Assumptions'!$F$11,"")</f>
        <v>132.970699667567</v>
      </c>
      <c r="X83" s="23" t="n">
        <f aca="false">IFERROR(Tabelle1!I84*'Weights &amp; Assumptions'!$F$10+Tabelle1!K84*'Weights &amp; Assumptions'!$F$12+Tabelle1!L84*'Weights &amp; Assumptions'!$F$13+Tabelle1!M84*'Weights &amp; Assumptions'!$F$14+Tabelle1!N84*'Weights &amp; Assumptions'!$F$15+Tabelle1!O84*'Weights &amp; Assumptions'!$F$16+Tabelle1!P84*'Weights &amp; Assumptions'!$F$17+Tabelle1!Q84*'Weights &amp; Assumptions'!$F$18+Tabelle1!R84*'Weights &amp; Assumptions'!$F$19+Tabelle1!S84*'Weights &amp; Assumptions'!$F$20,"")</f>
        <v>144.120947161338</v>
      </c>
      <c r="Y83" s="22" t="n">
        <f aca="false">IFERROR(V83*'Weights &amp; Assumptions'!$B$25/'Weights &amp; Assumptions'!$B$28+W83*'Weights &amp; Assumptions'!$B$26/'Weights &amp; Assumptions'!$B$28+X83*'Weights &amp; Assumptions'!$B$27/'Weights &amp; Assumptions'!$B$28,"")</f>
        <v>158.323787699525</v>
      </c>
    </row>
    <row r="84" customFormat="false" ht="15" hidden="false" customHeight="false" outlineLevel="0" collapsed="false">
      <c r="A84" s="20" t="n">
        <v>40359</v>
      </c>
      <c r="B84" s="21" t="n">
        <v>140.56871</v>
      </c>
      <c r="C84" s="22" t="n">
        <v>123.33270415871</v>
      </c>
      <c r="D84" s="22" t="n">
        <v>109.639231809859</v>
      </c>
      <c r="E84" s="22" t="n">
        <v>107.411335184826</v>
      </c>
      <c r="F84" s="22" t="n">
        <v>133.934307646957</v>
      </c>
      <c r="G84" s="22" t="n">
        <v>118.995380077724</v>
      </c>
      <c r="H84" s="22" t="n">
        <v>141.19842145264</v>
      </c>
      <c r="I84" s="22" t="n">
        <v>148.084977760046</v>
      </c>
      <c r="J84" s="22" t="n">
        <v>146.969219031979</v>
      </c>
      <c r="K84" s="22" t="n">
        <v>168.286165012081</v>
      </c>
      <c r="L84" s="22" t="n">
        <v>153.501690270092</v>
      </c>
      <c r="M84" s="22" t="n">
        <v>127.37412396225</v>
      </c>
      <c r="N84" s="22" t="n">
        <v>128.456082838844</v>
      </c>
      <c r="O84" s="22" t="n">
        <v>131.713698814743</v>
      </c>
      <c r="P84" s="22" t="n">
        <v>141.416308517158</v>
      </c>
      <c r="Q84" s="22" t="n">
        <v>143.849765251561</v>
      </c>
      <c r="R84" s="22" t="n">
        <f aca="false">C84*'Weights &amp; Assumptions'!$F$6+D84*'Weights &amp; Assumptions'!$F$7</f>
        <v>123.164924399534</v>
      </c>
      <c r="S84" s="22" t="n">
        <f aca="false">E84*'Weights &amp; Assumptions'!$F$8+F84*'Weights &amp; Assumptions'!$F$9+H84*'Weights &amp; Assumptions'!$F$11</f>
        <v>132.280811970924</v>
      </c>
      <c r="T84" s="22" t="n">
        <f aca="false">G84*'Weights &amp; Assumptions'!$F$10+I84*'Weights &amp; Assumptions'!$F$12+J84*'Weights &amp; Assumptions'!$F$13+K84*'Weights &amp; Assumptions'!$F$14+L84*'Weights &amp; Assumptions'!$F$15+M84*'Weights &amp; Assumptions'!$F$16+N84*'Weights &amp; Assumptions'!$F$17+O84*'Weights &amp; Assumptions'!$F$18+P84*'Weights &amp; Assumptions'!$F$19+Q84*'Weights &amp; Assumptions'!$F$20</f>
        <v>142.563251115156</v>
      </c>
      <c r="U84" s="22" t="n">
        <f aca="false">R84*'Weights &amp; Assumptions'!$B$25/'Weights &amp; Assumptions'!$B$28+S84*'Weights &amp; Assumptions'!$B$26/'Weights &amp; Assumptions'!$B$28+T84*'Weights &amp; Assumptions'!$B$27/'Weights &amp; Assumptions'!$B$28</f>
        <v>138.201435176664</v>
      </c>
      <c r="V84" s="23" t="n">
        <f aca="false">IFERROR(Tabelle1!E85*'Weights &amp; Assumptions'!$F$6+Tabelle1!F85*'Weights &amp; Assumptions'!$F$7,"")</f>
        <v>230.500313961931</v>
      </c>
      <c r="W84" s="23" t="n">
        <f aca="false">IFERROR(Tabelle1!G85*'Weights &amp; Assumptions'!$F$8+Tabelle1!H85*'Weights &amp; Assumptions'!$F$9+Tabelle1!J85*'Weights &amp; Assumptions'!$F$11,"")</f>
        <v>132.285815861845</v>
      </c>
      <c r="X84" s="23" t="n">
        <f aca="false">IFERROR(Tabelle1!I85*'Weights &amp; Assumptions'!$F$10+Tabelle1!K85*'Weights &amp; Assumptions'!$F$12+Tabelle1!L85*'Weights &amp; Assumptions'!$F$13+Tabelle1!M85*'Weights &amp; Assumptions'!$F$14+Tabelle1!N85*'Weights &amp; Assumptions'!$F$15+Tabelle1!O85*'Weights &amp; Assumptions'!$F$16+Tabelle1!P85*'Weights &amp; Assumptions'!$F$17+Tabelle1!Q85*'Weights &amp; Assumptions'!$F$18+Tabelle1!R85*'Weights &amp; Assumptions'!$F$19+Tabelle1!S85*'Weights &amp; Assumptions'!$F$20,"")</f>
        <v>145.592923273355</v>
      </c>
      <c r="Y84" s="22" t="n">
        <f aca="false">IFERROR(V84*'Weights &amp; Assumptions'!$B$25/'Weights &amp; Assumptions'!$B$28+W84*'Weights &amp; Assumptions'!$B$26/'Weights &amp; Assumptions'!$B$28+X84*'Weights &amp; Assumptions'!$B$27/'Weights &amp; Assumptions'!$B$28,"")</f>
        <v>149.178131700447</v>
      </c>
    </row>
    <row r="85" customFormat="false" ht="15" hidden="false" customHeight="false" outlineLevel="0" collapsed="false">
      <c r="A85" s="20" t="n">
        <v>40390</v>
      </c>
      <c r="B85" s="21" t="n">
        <v>139.39691</v>
      </c>
      <c r="C85" s="22" t="n">
        <v>107.306454026051</v>
      </c>
      <c r="D85" s="22" t="n">
        <v>129.980524576034</v>
      </c>
      <c r="E85" s="22" t="n">
        <v>105.135267005703</v>
      </c>
      <c r="F85" s="22" t="n">
        <v>133.615180993108</v>
      </c>
      <c r="G85" s="22" t="n">
        <v>122.707835811946</v>
      </c>
      <c r="H85" s="22" t="n">
        <v>139.601909339542</v>
      </c>
      <c r="I85" s="22" t="n">
        <v>147.826613708645</v>
      </c>
      <c r="J85" s="22" t="n">
        <v>151.289551837333</v>
      </c>
      <c r="K85" s="22" t="n">
        <v>167.031510588946</v>
      </c>
      <c r="L85" s="22" t="n">
        <v>149.465684585366</v>
      </c>
      <c r="M85" s="22" t="n">
        <v>128.09806819826</v>
      </c>
      <c r="N85" s="22" t="n">
        <v>127.135441793238</v>
      </c>
      <c r="O85" s="22" t="n">
        <v>130.518492451738</v>
      </c>
      <c r="P85" s="22" t="n">
        <v>145.919281166504</v>
      </c>
      <c r="Q85" s="22" t="n">
        <v>149.087373331564</v>
      </c>
      <c r="R85" s="22" t="n">
        <f aca="false">C85*'Weights &amp; Assumptions'!$F$6+D85*'Weights &amp; Assumptions'!$F$7</f>
        <v>107.584268885533</v>
      </c>
      <c r="S85" s="22" t="n">
        <f aca="false">E85*'Weights &amp; Assumptions'!$F$8+F85*'Weights &amp; Assumptions'!$F$9+H85*'Weights &amp; Assumptions'!$F$11</f>
        <v>131.461921421012</v>
      </c>
      <c r="T85" s="22" t="n">
        <f aca="false">G85*'Weights &amp; Assumptions'!$F$10+I85*'Weights &amp; Assumptions'!$F$12+J85*'Weights &amp; Assumptions'!$F$13+K85*'Weights &amp; Assumptions'!$F$14+L85*'Weights &amp; Assumptions'!$F$15+M85*'Weights &amp; Assumptions'!$F$16+N85*'Weights &amp; Assumptions'!$F$17+O85*'Weights &amp; Assumptions'!$F$18+P85*'Weights &amp; Assumptions'!$F$19+Q85*'Weights &amp; Assumptions'!$F$20</f>
        <v>142.878131955055</v>
      </c>
      <c r="U85" s="22" t="n">
        <f aca="false">R85*'Weights &amp; Assumptions'!$B$25/'Weights &amp; Assumptions'!$B$28+S85*'Weights &amp; Assumptions'!$B$26/'Weights &amp; Assumptions'!$B$28+T85*'Weights &amp; Assumptions'!$B$27/'Weights &amp; Assumptions'!$B$28</f>
        <v>136.881177670776</v>
      </c>
      <c r="V85" s="23" t="n">
        <f aca="false">IFERROR(Tabelle1!E86*'Weights &amp; Assumptions'!$F$6+Tabelle1!F86*'Weights &amp; Assumptions'!$F$7,"")</f>
        <v>109.69864369352</v>
      </c>
      <c r="W85" s="23" t="n">
        <f aca="false">IFERROR(Tabelle1!G86*'Weights &amp; Assumptions'!$F$8+Tabelle1!H86*'Weights &amp; Assumptions'!$F$9+Tabelle1!J86*'Weights &amp; Assumptions'!$F$11,"")</f>
        <v>135.205031794914</v>
      </c>
      <c r="X85" s="23" t="n">
        <f aca="false">IFERROR(Tabelle1!I86*'Weights &amp; Assumptions'!$F$10+Tabelle1!K86*'Weights &amp; Assumptions'!$F$12+Tabelle1!L86*'Weights &amp; Assumptions'!$F$13+Tabelle1!M86*'Weights &amp; Assumptions'!$F$14+Tabelle1!N86*'Weights &amp; Assumptions'!$F$15+Tabelle1!O86*'Weights &amp; Assumptions'!$F$16+Tabelle1!P86*'Weights &amp; Assumptions'!$F$17+Tabelle1!Q86*'Weights &amp; Assumptions'!$F$18+Tabelle1!R86*'Weights &amp; Assumptions'!$F$19+Tabelle1!S86*'Weights &amp; Assumptions'!$F$20,"")</f>
        <v>144.641425134401</v>
      </c>
      <c r="Y85" s="22" t="n">
        <f aca="false">IFERROR(V85*'Weights &amp; Assumptions'!$B$25/'Weights &amp; Assumptions'!$B$28+W85*'Weights &amp; Assumptions'!$B$26/'Weights &amp; Assumptions'!$B$28+X85*'Weights &amp; Assumptions'!$B$27/'Weights &amp; Assumptions'!$B$28,"")</f>
        <v>139.20039486674</v>
      </c>
    </row>
    <row r="86" customFormat="false" ht="15" hidden="false" customHeight="false" outlineLevel="0" collapsed="false">
      <c r="A86" s="20" t="n">
        <v>40421</v>
      </c>
      <c r="B86" s="21" t="n">
        <v>140.00233</v>
      </c>
      <c r="C86" s="22" t="n">
        <v>99.4261296684363</v>
      </c>
      <c r="D86" s="22" t="n">
        <v>106.20481686512</v>
      </c>
      <c r="E86" s="22" t="n">
        <v>104.216641411684</v>
      </c>
      <c r="F86" s="22" t="n">
        <v>136.462674390139</v>
      </c>
      <c r="G86" s="22" t="n">
        <v>124.029681585566</v>
      </c>
      <c r="H86" s="22" t="n">
        <v>141.822059793544</v>
      </c>
      <c r="I86" s="22" t="n">
        <v>151.240202535181</v>
      </c>
      <c r="J86" s="22" t="n">
        <v>149.834155616866</v>
      </c>
      <c r="K86" s="22" t="n">
        <v>167.821295432249</v>
      </c>
      <c r="L86" s="22" t="n">
        <v>149.345857115646</v>
      </c>
      <c r="M86" s="22" t="n">
        <v>128.648859392641</v>
      </c>
      <c r="N86" s="22" t="n">
        <v>127.26519049367</v>
      </c>
      <c r="O86" s="22" t="n">
        <v>130.598187698577</v>
      </c>
      <c r="P86" s="22" t="n">
        <v>143.770272672879</v>
      </c>
      <c r="Q86" s="22" t="n">
        <v>146.23973869575</v>
      </c>
      <c r="R86" s="22" t="n">
        <f aca="false">C86*'Weights &amp; Assumptions'!$F$6+D86*'Weights &amp; Assumptions'!$F$7</f>
        <v>99.5091857754933</v>
      </c>
      <c r="S86" s="22" t="n">
        <f aca="false">E86*'Weights &amp; Assumptions'!$F$8+F86*'Weights &amp; Assumptions'!$F$9+H86*'Weights &amp; Assumptions'!$F$11</f>
        <v>133.729058486464</v>
      </c>
      <c r="T86" s="22" t="n">
        <f aca="false">G86*'Weights &amp; Assumptions'!$F$10+I86*'Weights &amp; Assumptions'!$F$12+J86*'Weights &amp; Assumptions'!$F$13+K86*'Weights &amp; Assumptions'!$F$14+L86*'Weights &amp; Assumptions'!$F$15+M86*'Weights &amp; Assumptions'!$F$16+N86*'Weights &amp; Assumptions'!$F$17+O86*'Weights &amp; Assumptions'!$F$18+P86*'Weights &amp; Assumptions'!$F$19+Q86*'Weights &amp; Assumptions'!$F$20</f>
        <v>143.46596198271</v>
      </c>
      <c r="U86" s="22" t="n">
        <f aca="false">R86*'Weights &amp; Assumptions'!$B$25/'Weights &amp; Assumptions'!$B$28+S86*'Weights &amp; Assumptions'!$B$26/'Weights &amp; Assumptions'!$B$28+T86*'Weights &amp; Assumptions'!$B$27/'Weights &amp; Assumptions'!$B$28</f>
        <v>137.188739152679</v>
      </c>
      <c r="V86" s="23" t="n">
        <f aca="false">IFERROR(Tabelle1!E87*'Weights &amp; Assumptions'!$F$6+Tabelle1!F87*'Weights &amp; Assumptions'!$F$7,"")</f>
        <v>67.0917779186184</v>
      </c>
      <c r="W86" s="23" t="n">
        <f aca="false">IFERROR(Tabelle1!G87*'Weights &amp; Assumptions'!$F$8+Tabelle1!H87*'Weights &amp; Assumptions'!$F$9+Tabelle1!J87*'Weights &amp; Assumptions'!$F$11,"")</f>
        <v>138.726783900902</v>
      </c>
      <c r="X86" s="23" t="n">
        <f aca="false">IFERROR(Tabelle1!I87*'Weights &amp; Assumptions'!$F$10+Tabelle1!K87*'Weights &amp; Assumptions'!$F$12+Tabelle1!L87*'Weights &amp; Assumptions'!$F$13+Tabelle1!M87*'Weights &amp; Assumptions'!$F$14+Tabelle1!N87*'Weights &amp; Assumptions'!$F$15+Tabelle1!O87*'Weights &amp; Assumptions'!$F$16+Tabelle1!P87*'Weights &amp; Assumptions'!$F$17+Tabelle1!Q87*'Weights &amp; Assumptions'!$F$18+Tabelle1!R87*'Weights &amp; Assumptions'!$F$19+Tabelle1!S87*'Weights &amp; Assumptions'!$F$20,"")</f>
        <v>145.142129267329</v>
      </c>
      <c r="Y86" s="22" t="n">
        <f aca="false">IFERROR(V86*'Weights &amp; Assumptions'!$B$25/'Weights &amp; Assumptions'!$B$28+W86*'Weights &amp; Assumptions'!$B$26/'Weights &amp; Assumptions'!$B$28+X86*'Weights &amp; Assumptions'!$B$27/'Weights &amp; Assumptions'!$B$28,"")</f>
        <v>136.887687438555</v>
      </c>
    </row>
    <row r="87" customFormat="false" ht="15" hidden="false" customHeight="false" outlineLevel="0" collapsed="false">
      <c r="A87" s="20" t="n">
        <v>40451</v>
      </c>
      <c r="B87" s="21" t="n">
        <v>139.38548</v>
      </c>
      <c r="C87" s="22" t="n">
        <v>98.5017230193224</v>
      </c>
      <c r="D87" s="22" t="n">
        <v>128.438042573934</v>
      </c>
      <c r="E87" s="22" t="n">
        <v>102.654665709604</v>
      </c>
      <c r="F87" s="22" t="n">
        <v>135.222526603596</v>
      </c>
      <c r="G87" s="22" t="n">
        <v>123.783326568381</v>
      </c>
      <c r="H87" s="22" t="n">
        <v>143.32664306892</v>
      </c>
      <c r="I87" s="22" t="n">
        <v>150.269234822326</v>
      </c>
      <c r="J87" s="22" t="n">
        <v>150.354322174273</v>
      </c>
      <c r="K87" s="22" t="n">
        <v>167.760034824028</v>
      </c>
      <c r="L87" s="22" t="n">
        <v>149.994845017314</v>
      </c>
      <c r="M87" s="22" t="n">
        <v>129.696154807107</v>
      </c>
      <c r="N87" s="22" t="n">
        <v>127.394106085686</v>
      </c>
      <c r="O87" s="22" t="n">
        <v>130.539262764609</v>
      </c>
      <c r="P87" s="22" t="n">
        <v>144.552976062938</v>
      </c>
      <c r="Q87" s="22" t="n">
        <v>146.856474625596</v>
      </c>
      <c r="R87" s="22" t="n">
        <f aca="false">C87*'Weights &amp; Assumptions'!$F$6+D87*'Weights &amp; Assumptions'!$F$7</f>
        <v>98.8685188441891</v>
      </c>
      <c r="S87" s="22" t="n">
        <f aca="false">E87*'Weights &amp; Assumptions'!$F$8+F87*'Weights &amp; Assumptions'!$F$9+H87*'Weights &amp; Assumptions'!$F$11</f>
        <v>133.022277490882</v>
      </c>
      <c r="T87" s="22" t="n">
        <f aca="false">G87*'Weights &amp; Assumptions'!$F$10+I87*'Weights &amp; Assumptions'!$F$12+J87*'Weights &amp; Assumptions'!$F$13+K87*'Weights &amp; Assumptions'!$F$14+L87*'Weights &amp; Assumptions'!$F$15+M87*'Weights &amp; Assumptions'!$F$16+N87*'Weights &amp; Assumptions'!$F$17+O87*'Weights &amp; Assumptions'!$F$18+P87*'Weights &amp; Assumptions'!$F$19+Q87*'Weights &amp; Assumptions'!$F$20</f>
        <v>143.638599797106</v>
      </c>
      <c r="U87" s="22" t="n">
        <f aca="false">R87*'Weights &amp; Assumptions'!$B$25/'Weights &amp; Assumptions'!$B$28+S87*'Weights &amp; Assumptions'!$B$26/'Weights &amp; Assumptions'!$B$28+T87*'Weights &amp; Assumptions'!$B$27/'Weights &amp; Assumptions'!$B$28</f>
        <v>137.059287198674</v>
      </c>
      <c r="V87" s="23" t="n">
        <f aca="false">IFERROR(Tabelle1!E88*'Weights &amp; Assumptions'!$F$6+Tabelle1!F88*'Weights &amp; Assumptions'!$F$7,"")</f>
        <v>63.7037365614236</v>
      </c>
      <c r="W87" s="23" t="n">
        <f aca="false">IFERROR(Tabelle1!G88*'Weights &amp; Assumptions'!$F$8+Tabelle1!H88*'Weights &amp; Assumptions'!$F$9+Tabelle1!J88*'Weights &amp; Assumptions'!$F$11,"")</f>
        <v>138.528496737679</v>
      </c>
      <c r="X87" s="23" t="n">
        <f aca="false">IFERROR(Tabelle1!I88*'Weights &amp; Assumptions'!$F$10+Tabelle1!K88*'Weights &amp; Assumptions'!$F$12+Tabelle1!L88*'Weights &amp; Assumptions'!$F$13+Tabelle1!M88*'Weights &amp; Assumptions'!$F$14+Tabelle1!N88*'Weights &amp; Assumptions'!$F$15+Tabelle1!O88*'Weights &amp; Assumptions'!$F$16+Tabelle1!P88*'Weights &amp; Assumptions'!$F$17+Tabelle1!Q88*'Weights &amp; Assumptions'!$F$18+Tabelle1!R88*'Weights &amp; Assumptions'!$F$19+Tabelle1!S88*'Weights &amp; Assumptions'!$F$20,"")</f>
        <v>144.795292321869</v>
      </c>
      <c r="Y87" s="22" t="n">
        <f aca="false">IFERROR(V87*'Weights &amp; Assumptions'!$B$25/'Weights &amp; Assumptions'!$B$28+W87*'Weights &amp; Assumptions'!$B$26/'Weights &amp; Assumptions'!$B$28+X87*'Weights &amp; Assumptions'!$B$27/'Weights &amp; Assumptions'!$B$28,"")</f>
        <v>136.325192894054</v>
      </c>
    </row>
    <row r="88" customFormat="false" ht="15" hidden="false" customHeight="false" outlineLevel="0" collapsed="false">
      <c r="A88" s="20" t="n">
        <v>40482</v>
      </c>
      <c r="B88" s="21" t="n">
        <v>140.18864</v>
      </c>
      <c r="C88" s="22" t="n">
        <v>102.31878429257</v>
      </c>
      <c r="D88" s="22" t="n">
        <v>87.3421990092185</v>
      </c>
      <c r="E88" s="22" t="n">
        <v>100.664761633185</v>
      </c>
      <c r="F88" s="22" t="n">
        <v>135.939973248641</v>
      </c>
      <c r="G88" s="22" t="n">
        <v>124.379010629536</v>
      </c>
      <c r="H88" s="22" t="n">
        <v>141.286909360165</v>
      </c>
      <c r="I88" s="22" t="n">
        <v>150.16119525555</v>
      </c>
      <c r="J88" s="22" t="n">
        <v>150.955936034414</v>
      </c>
      <c r="K88" s="22" t="n">
        <v>168.154932585293</v>
      </c>
      <c r="L88" s="22" t="n">
        <v>149.523827214315</v>
      </c>
      <c r="M88" s="22" t="n">
        <v>128.567992079489</v>
      </c>
      <c r="N88" s="22" t="n">
        <v>128.209377826515</v>
      </c>
      <c r="O88" s="22" t="n">
        <v>130.620500658501</v>
      </c>
      <c r="P88" s="22" t="n">
        <v>144.996858524818</v>
      </c>
      <c r="Q88" s="22" t="n">
        <v>144.807282340411</v>
      </c>
      <c r="R88" s="22" t="n">
        <f aca="false">C88*'Weights &amp; Assumptions'!$F$6+D88*'Weights &amp; Assumptions'!$F$7</f>
        <v>102.135283146323</v>
      </c>
      <c r="S88" s="22" t="n">
        <f aca="false">E88*'Weights &amp; Assumptions'!$F$8+F88*'Weights &amp; Assumptions'!$F$9+H88*'Weights &amp; Assumptions'!$F$11</f>
        <v>132.842086873816</v>
      </c>
      <c r="T88" s="22" t="n">
        <f aca="false">G88*'Weights &amp; Assumptions'!$F$10+I88*'Weights &amp; Assumptions'!$F$12+J88*'Weights &amp; Assumptions'!$F$13+K88*'Weights &amp; Assumptions'!$F$14+L88*'Weights &amp; Assumptions'!$F$15+M88*'Weights &amp; Assumptions'!$F$16+N88*'Weights &amp; Assumptions'!$F$17+O88*'Weights &amp; Assumptions'!$F$18+P88*'Weights &amp; Assumptions'!$F$19+Q88*'Weights &amp; Assumptions'!$F$20</f>
        <v>143.455646528542</v>
      </c>
      <c r="U88" s="22" t="n">
        <f aca="false">R88*'Weights &amp; Assumptions'!$B$25/'Weights &amp; Assumptions'!$B$28+S88*'Weights &amp; Assumptions'!$B$26/'Weights &amp; Assumptions'!$B$28+T88*'Weights &amp; Assumptions'!$B$27/'Weights &amp; Assumptions'!$B$28</f>
        <v>137.166502742433</v>
      </c>
      <c r="V88" s="23" t="n">
        <f aca="false">IFERROR(Tabelle1!E89*'Weights &amp; Assumptions'!$F$6+Tabelle1!F89*'Weights &amp; Assumptions'!$F$7,"")</f>
        <v>66.5487172822732</v>
      </c>
      <c r="W88" s="23" t="n">
        <f aca="false">IFERROR(Tabelle1!G89*'Weights &amp; Assumptions'!$F$8+Tabelle1!H89*'Weights &amp; Assumptions'!$F$9+Tabelle1!J89*'Weights &amp; Assumptions'!$F$11,"")</f>
        <v>139.093455150986</v>
      </c>
      <c r="X88" s="23" t="n">
        <f aca="false">IFERROR(Tabelle1!I89*'Weights &amp; Assumptions'!$F$10+Tabelle1!K89*'Weights &amp; Assumptions'!$F$12+Tabelle1!L89*'Weights &amp; Assumptions'!$F$13+Tabelle1!M89*'Weights &amp; Assumptions'!$F$14+Tabelle1!N89*'Weights &amp; Assumptions'!$F$15+Tabelle1!O89*'Weights &amp; Assumptions'!$F$16+Tabelle1!P89*'Weights &amp; Assumptions'!$F$17+Tabelle1!Q89*'Weights &amp; Assumptions'!$F$18+Tabelle1!R89*'Weights &amp; Assumptions'!$F$19+Tabelle1!S89*'Weights &amp; Assumptions'!$F$20,"")</f>
        <v>144.037112278758</v>
      </c>
      <c r="Y88" s="22" t="n">
        <f aca="false">IFERROR(V88*'Weights &amp; Assumptions'!$B$25/'Weights &amp; Assumptions'!$B$28+W88*'Weights &amp; Assumptions'!$B$26/'Weights &amp; Assumptions'!$B$28+X88*'Weights &amp; Assumptions'!$B$27/'Weights &amp; Assumptions'!$B$28,"")</f>
        <v>136.221166665947</v>
      </c>
    </row>
    <row r="89" customFormat="false" ht="15" hidden="false" customHeight="false" outlineLevel="0" collapsed="false">
      <c r="A89" s="20" t="n">
        <v>40512</v>
      </c>
      <c r="B89" s="21" t="n">
        <v>142.24157</v>
      </c>
      <c r="C89" s="22" t="n">
        <v>106.179132904135</v>
      </c>
      <c r="D89" s="22" t="n">
        <v>99.8846735943461</v>
      </c>
      <c r="E89" s="22" t="n">
        <v>101.780343374849</v>
      </c>
      <c r="F89" s="22" t="n">
        <v>139.586189282252</v>
      </c>
      <c r="G89" s="22" t="n">
        <v>121.636971610014</v>
      </c>
      <c r="H89" s="22" t="n">
        <v>143.692379910191</v>
      </c>
      <c r="I89" s="22" t="n">
        <v>159.14041055408</v>
      </c>
      <c r="J89" s="22" t="n">
        <v>152.287458522356</v>
      </c>
      <c r="K89" s="22" t="n">
        <v>169.775979815147</v>
      </c>
      <c r="L89" s="22" t="n">
        <v>154.570350414809</v>
      </c>
      <c r="M89" s="22" t="n">
        <v>130.669897734232</v>
      </c>
      <c r="N89" s="22" t="n">
        <v>128.786405713829</v>
      </c>
      <c r="O89" s="22" t="n">
        <v>131.227504611156</v>
      </c>
      <c r="P89" s="22" t="n">
        <v>145.864206922788</v>
      </c>
      <c r="Q89" s="22" t="n">
        <v>148.428371141708</v>
      </c>
      <c r="R89" s="22" t="n">
        <f aca="false">C89*'Weights &amp; Assumptions'!$F$6+D89*'Weights &amp; Assumptions'!$F$7</f>
        <v>106.102009816561</v>
      </c>
      <c r="S89" s="22" t="n">
        <f aca="false">E89*'Weights &amp; Assumptions'!$F$8+F89*'Weights &amp; Assumptions'!$F$9+H89*'Weights &amp; Assumptions'!$F$11</f>
        <v>135.927674381628</v>
      </c>
      <c r="T89" s="22" t="n">
        <f aca="false">G89*'Weights &amp; Assumptions'!$F$10+I89*'Weights &amp; Assumptions'!$F$12+J89*'Weights &amp; Assumptions'!$F$13+K89*'Weights &amp; Assumptions'!$F$14+L89*'Weights &amp; Assumptions'!$F$15+M89*'Weights &amp; Assumptions'!$F$16+N89*'Weights &amp; Assumptions'!$F$17+O89*'Weights &amp; Assumptions'!$F$18+P89*'Weights &amp; Assumptions'!$F$19+Q89*'Weights &amp; Assumptions'!$F$20</f>
        <v>146.677166517095</v>
      </c>
      <c r="U89" s="22" t="n">
        <f aca="false">R89*'Weights &amp; Assumptions'!$B$25/'Weights &amp; Assumptions'!$B$28+S89*'Weights &amp; Assumptions'!$B$26/'Weights &amp; Assumptions'!$B$28+T89*'Weights &amp; Assumptions'!$B$27/'Weights &amp; Assumptions'!$B$28</f>
        <v>140.414399370619</v>
      </c>
      <c r="V89" s="23" t="n">
        <f aca="false">IFERROR(Tabelle1!E90*'Weights &amp; Assumptions'!$F$6+Tabelle1!F90*'Weights &amp; Assumptions'!$F$7,"")</f>
        <v>85.6807089820145</v>
      </c>
      <c r="W89" s="23" t="n">
        <f aca="false">IFERROR(Tabelle1!G90*'Weights &amp; Assumptions'!$F$8+Tabelle1!H90*'Weights &amp; Assumptions'!$F$9+Tabelle1!J90*'Weights &amp; Assumptions'!$F$11,"")</f>
        <v>139.254012037809</v>
      </c>
      <c r="X89" s="23" t="n">
        <f aca="false">IFERROR(Tabelle1!I90*'Weights &amp; Assumptions'!$F$10+Tabelle1!K90*'Weights &amp; Assumptions'!$F$12+Tabelle1!L90*'Weights &amp; Assumptions'!$F$13+Tabelle1!M90*'Weights &amp; Assumptions'!$F$14+Tabelle1!N90*'Weights &amp; Assumptions'!$F$15+Tabelle1!O90*'Weights &amp; Assumptions'!$F$16+Tabelle1!P90*'Weights &amp; Assumptions'!$F$17+Tabelle1!Q90*'Weights &amp; Assumptions'!$F$18+Tabelle1!R90*'Weights &amp; Assumptions'!$F$19+Tabelle1!S90*'Weights &amp; Assumptions'!$F$20,"")</f>
        <v>147.529460704279</v>
      </c>
      <c r="Y89" s="22" t="n">
        <f aca="false">IFERROR(V89*'Weights &amp; Assumptions'!$B$25/'Weights &amp; Assumptions'!$B$28+W89*'Weights &amp; Assumptions'!$B$26/'Weights &amp; Assumptions'!$B$28+X89*'Weights &amp; Assumptions'!$B$27/'Weights &amp; Assumptions'!$B$28,"")</f>
        <v>140.139712607035</v>
      </c>
    </row>
    <row r="90" customFormat="false" ht="15" hidden="false" customHeight="false" outlineLevel="0" collapsed="false">
      <c r="A90" s="20" t="n">
        <v>40543</v>
      </c>
      <c r="B90" s="21" t="n">
        <v>141.97979</v>
      </c>
      <c r="C90" s="22" t="n">
        <v>117.629129720021</v>
      </c>
      <c r="D90" s="22" t="n">
        <v>110.09246099764</v>
      </c>
      <c r="E90" s="22" t="n">
        <v>92.3916817857746</v>
      </c>
      <c r="F90" s="22" t="n">
        <v>139.170117263572</v>
      </c>
      <c r="G90" s="22" t="n">
        <v>127.79794699928</v>
      </c>
      <c r="H90" s="22" t="n">
        <v>146.346819964313</v>
      </c>
      <c r="I90" s="22" t="n">
        <v>157.104900810837</v>
      </c>
      <c r="J90" s="22" t="n">
        <v>152.438412847256</v>
      </c>
      <c r="K90" s="22" t="n">
        <v>169.476736107846</v>
      </c>
      <c r="L90" s="22" t="n">
        <v>155.464171341256</v>
      </c>
      <c r="M90" s="22" t="n">
        <v>131.184036423278</v>
      </c>
      <c r="N90" s="22" t="n">
        <v>129.064836598679</v>
      </c>
      <c r="O90" s="22" t="n">
        <v>131.620664931747</v>
      </c>
      <c r="P90" s="22" t="n">
        <v>146.703955641363</v>
      </c>
      <c r="Q90" s="22" t="n">
        <v>147.923690797105</v>
      </c>
      <c r="R90" s="22" t="n">
        <f aca="false">C90*'Weights &amp; Assumptions'!$F$6+D90*'Weights &amp; Assumptions'!$F$7</f>
        <v>117.53678641724</v>
      </c>
      <c r="S90" s="22" t="n">
        <f aca="false">E90*'Weights &amp; Assumptions'!$F$8+F90*'Weights &amp; Assumptions'!$F$9+H90*'Weights &amp; Assumptions'!$F$11</f>
        <v>135.079955909669</v>
      </c>
      <c r="T90" s="22" t="n">
        <f aca="false">G90*'Weights &amp; Assumptions'!$F$10+I90*'Weights &amp; Assumptions'!$F$12+J90*'Weights &amp; Assumptions'!$F$13+K90*'Weights &amp; Assumptions'!$F$14+L90*'Weights &amp; Assumptions'!$F$15+M90*'Weights &amp; Assumptions'!$F$16+N90*'Weights &amp; Assumptions'!$F$17+O90*'Weights &amp; Assumptions'!$F$18+P90*'Weights &amp; Assumptions'!$F$19+Q90*'Weights &amp; Assumptions'!$F$20</f>
        <v>146.662969188197</v>
      </c>
      <c r="U90" s="22" t="n">
        <f aca="false">R90*'Weights &amp; Assumptions'!$B$25/'Weights &amp; Assumptions'!$B$28+S90*'Weights &amp; Assumptions'!$B$26/'Weights &amp; Assumptions'!$B$28+T90*'Weights &amp; Assumptions'!$B$27/'Weights &amp; Assumptions'!$B$28</f>
        <v>141.139132650204</v>
      </c>
      <c r="V90" s="23" t="n">
        <f aca="false">IFERROR(Tabelle1!E91*'Weights &amp; Assumptions'!$F$6+Tabelle1!F91*'Weights &amp; Assumptions'!$F$7,"")</f>
        <v>101.061081512378</v>
      </c>
      <c r="W90" s="23" t="n">
        <f aca="false">IFERROR(Tabelle1!G91*'Weights &amp; Assumptions'!$F$8+Tabelle1!H91*'Weights &amp; Assumptions'!$F$9+Tabelle1!J91*'Weights &amp; Assumptions'!$F$11,"")</f>
        <v>132.522986530735</v>
      </c>
      <c r="X90" s="23" t="n">
        <f aca="false">IFERROR(Tabelle1!I91*'Weights &amp; Assumptions'!$F$10+Tabelle1!K91*'Weights &amp; Assumptions'!$F$12+Tabelle1!L91*'Weights &amp; Assumptions'!$F$13+Tabelle1!M91*'Weights &amp; Assumptions'!$F$14+Tabelle1!N91*'Weights &amp; Assumptions'!$F$15+Tabelle1!O91*'Weights &amp; Assumptions'!$F$16+Tabelle1!P91*'Weights &amp; Assumptions'!$F$17+Tabelle1!Q91*'Weights &amp; Assumptions'!$F$18+Tabelle1!R91*'Weights &amp; Assumptions'!$F$19+Tabelle1!S91*'Weights &amp; Assumptions'!$F$20,"")</f>
        <v>145.69470173928</v>
      </c>
      <c r="Y90" s="22" t="n">
        <f aca="false">IFERROR(V90*'Weights &amp; Assumptions'!$B$25/'Weights &amp; Assumptions'!$B$28+W90*'Weights &amp; Assumptions'!$B$26/'Weights &amp; Assumptions'!$B$28+X90*'Weights &amp; Assumptions'!$B$27/'Weights &amp; Assumptions'!$B$28,"")</f>
        <v>138.447314698571</v>
      </c>
    </row>
    <row r="91" customFormat="false" ht="15" hidden="false" customHeight="false" outlineLevel="0" collapsed="false">
      <c r="A91" s="20" t="n">
        <v>40574</v>
      </c>
      <c r="B91" s="21" t="n">
        <v>145.85115</v>
      </c>
      <c r="C91" s="22" t="n">
        <v>111.828683982541</v>
      </c>
      <c r="D91" s="22" t="n">
        <v>122.945280796129</v>
      </c>
      <c r="E91" s="22" t="n">
        <v>99.6557382093738</v>
      </c>
      <c r="F91" s="22" t="n">
        <v>142.986081256401</v>
      </c>
      <c r="G91" s="22" t="n">
        <v>125.344145665179</v>
      </c>
      <c r="H91" s="22" t="n">
        <v>150.294042912695</v>
      </c>
      <c r="I91" s="22" t="n">
        <v>159.538989582582</v>
      </c>
      <c r="J91" s="22" t="n">
        <v>153.055897239172</v>
      </c>
      <c r="K91" s="22" t="n">
        <v>172.882528435366</v>
      </c>
      <c r="L91" s="22" t="n">
        <v>158.241633312144</v>
      </c>
      <c r="M91" s="22" t="n">
        <v>130.475645118691</v>
      </c>
      <c r="N91" s="22" t="n">
        <v>130.042546119672</v>
      </c>
      <c r="O91" s="22" t="n">
        <v>132.614284381158</v>
      </c>
      <c r="P91" s="22" t="n">
        <v>146.689511668433</v>
      </c>
      <c r="Q91" s="22" t="n">
        <v>151.86179497107</v>
      </c>
      <c r="R91" s="22" t="n">
        <f aca="false">C91*'Weights &amp; Assumptions'!$F$6+D91*'Weights &amp; Assumptions'!$F$7</f>
        <v>111.964890482158</v>
      </c>
      <c r="S91" s="22" t="n">
        <f aca="false">E91*'Weights &amp; Assumptions'!$F$8+F91*'Weights &amp; Assumptions'!$F$9+H91*'Weights &amp; Assumptions'!$F$11</f>
        <v>139.334958579976</v>
      </c>
      <c r="T91" s="22" t="n">
        <f aca="false">G91*'Weights &amp; Assumptions'!$F$10+I91*'Weights &amp; Assumptions'!$F$12+J91*'Weights &amp; Assumptions'!$F$13+K91*'Weights &amp; Assumptions'!$F$14+L91*'Weights &amp; Assumptions'!$F$15+M91*'Weights &amp; Assumptions'!$F$16+N91*'Weights &amp; Assumptions'!$F$17+O91*'Weights &amp; Assumptions'!$F$18+P91*'Weights &amp; Assumptions'!$F$19+Q91*'Weights &amp; Assumptions'!$F$20</f>
        <v>148.060414269618</v>
      </c>
      <c r="U91" s="22" t="n">
        <f aca="false">R91*'Weights &amp; Assumptions'!$B$25/'Weights &amp; Assumptions'!$B$28+S91*'Weights &amp; Assumptions'!$B$26/'Weights &amp; Assumptions'!$B$28+T91*'Weights &amp; Assumptions'!$B$27/'Weights &amp; Assumptions'!$B$28</f>
        <v>142.711718699639</v>
      </c>
      <c r="V91" s="23" t="n">
        <f aca="false">IFERROR(Tabelle1!E92*'Weights &amp; Assumptions'!$F$6+Tabelle1!F92*'Weights &amp; Assumptions'!$F$7,"")</f>
        <v>70.554749283322</v>
      </c>
      <c r="W91" s="23" t="n">
        <f aca="false">IFERROR(Tabelle1!G92*'Weights &amp; Assumptions'!$F$8+Tabelle1!H92*'Weights &amp; Assumptions'!$F$9+Tabelle1!J92*'Weights &amp; Assumptions'!$F$11,"")</f>
        <v>128.435998401048</v>
      </c>
      <c r="X91" s="23" t="n">
        <f aca="false">IFERROR(Tabelle1!I92*'Weights &amp; Assumptions'!$F$10+Tabelle1!K92*'Weights &amp; Assumptions'!$F$12+Tabelle1!L92*'Weights &amp; Assumptions'!$F$13+Tabelle1!M92*'Weights &amp; Assumptions'!$F$14+Tabelle1!N92*'Weights &amp; Assumptions'!$F$15+Tabelle1!O92*'Weights &amp; Assumptions'!$F$16+Tabelle1!P92*'Weights &amp; Assumptions'!$F$17+Tabelle1!Q92*'Weights &amp; Assumptions'!$F$18+Tabelle1!R92*'Weights &amp; Assumptions'!$F$19+Tabelle1!S92*'Weights &amp; Assumptions'!$F$20,"")</f>
        <v>143.958154225718</v>
      </c>
      <c r="Y91" s="22" t="n">
        <f aca="false">IFERROR(V91*'Weights &amp; Assumptions'!$B$25/'Weights &amp; Assumptions'!$B$28+W91*'Weights &amp; Assumptions'!$B$26/'Weights &amp; Assumptions'!$B$28+X91*'Weights &amp; Assumptions'!$B$27/'Weights &amp; Assumptions'!$B$28,"")</f>
        <v>133.6719350875</v>
      </c>
    </row>
    <row r="92" customFormat="false" ht="15" hidden="false" customHeight="false" outlineLevel="0" collapsed="false">
      <c r="A92" s="20" t="n">
        <v>40602</v>
      </c>
      <c r="B92" s="21" t="n">
        <v>143.85332</v>
      </c>
      <c r="C92" s="22" t="n">
        <v>107.171483302678</v>
      </c>
      <c r="D92" s="22" t="n">
        <v>107.26016195499</v>
      </c>
      <c r="E92" s="22" t="n">
        <v>99.0445576230733</v>
      </c>
      <c r="F92" s="22" t="n">
        <v>143.328818399547</v>
      </c>
      <c r="G92" s="22" t="n">
        <v>125.379853172704</v>
      </c>
      <c r="H92" s="22" t="n">
        <v>151.628557808185</v>
      </c>
      <c r="I92" s="22" t="n">
        <v>159.188970362369</v>
      </c>
      <c r="J92" s="22" t="n">
        <v>151.788561110855</v>
      </c>
      <c r="K92" s="22" t="n">
        <v>172.709072605243</v>
      </c>
      <c r="L92" s="22" t="n">
        <v>160.737852641723</v>
      </c>
      <c r="M92" s="22" t="n">
        <v>131.129086473677</v>
      </c>
      <c r="N92" s="22" t="n">
        <v>129.978835133928</v>
      </c>
      <c r="O92" s="22" t="n">
        <v>133.076371737766</v>
      </c>
      <c r="P92" s="22" t="n">
        <v>147.524783290186</v>
      </c>
      <c r="Q92" s="22" t="n">
        <v>150.049793243608</v>
      </c>
      <c r="R92" s="22" t="n">
        <f aca="false">C92*'Weights &amp; Assumptions'!$F$6+D92*'Weights &amp; Assumptions'!$F$7</f>
        <v>107.172569841034</v>
      </c>
      <c r="S92" s="22" t="n">
        <f aca="false">E92*'Weights &amp; Assumptions'!$F$8+F92*'Weights &amp; Assumptions'!$F$9+H92*'Weights &amp; Assumptions'!$F$11</f>
        <v>139.770410861762</v>
      </c>
      <c r="T92" s="22" t="n">
        <f aca="false">G92*'Weights &amp; Assumptions'!$F$10+I92*'Weights &amp; Assumptions'!$F$12+J92*'Weights &amp; Assumptions'!$F$13+K92*'Weights &amp; Assumptions'!$F$14+L92*'Weights &amp; Assumptions'!$F$15+M92*'Weights &amp; Assumptions'!$F$16+N92*'Weights &amp; Assumptions'!$F$17+O92*'Weights &amp; Assumptions'!$F$18+P92*'Weights &amp; Assumptions'!$F$19+Q92*'Weights &amp; Assumptions'!$F$20</f>
        <v>148.218992161793</v>
      </c>
      <c r="U92" s="22" t="n">
        <f aca="false">R92*'Weights &amp; Assumptions'!$B$25/'Weights &amp; Assumptions'!$B$28+S92*'Weights &amp; Assumptions'!$B$26/'Weights &amp; Assumptions'!$B$28+T92*'Weights &amp; Assumptions'!$B$27/'Weights &amp; Assumptions'!$B$28</f>
        <v>142.528537821426</v>
      </c>
      <c r="V92" s="23" t="n">
        <f aca="false">IFERROR(Tabelle1!E93*'Weights &amp; Assumptions'!$F$6+Tabelle1!F93*'Weights &amp; Assumptions'!$F$7,"")</f>
        <v>71.395347669992</v>
      </c>
      <c r="W92" s="23" t="n">
        <f aca="false">IFERROR(Tabelle1!G93*'Weights &amp; Assumptions'!$F$8+Tabelle1!H93*'Weights &amp; Assumptions'!$F$9+Tabelle1!J93*'Weights &amp; Assumptions'!$F$11,"")</f>
        <v>126.320780134064</v>
      </c>
      <c r="X92" s="23" t="n">
        <f aca="false">IFERROR(Tabelle1!I93*'Weights &amp; Assumptions'!$F$10+Tabelle1!K93*'Weights &amp; Assumptions'!$F$12+Tabelle1!L93*'Weights &amp; Assumptions'!$F$13+Tabelle1!M93*'Weights &amp; Assumptions'!$F$14+Tabelle1!N93*'Weights &amp; Assumptions'!$F$15+Tabelle1!O93*'Weights &amp; Assumptions'!$F$16+Tabelle1!P93*'Weights &amp; Assumptions'!$F$17+Tabelle1!Q93*'Weights &amp; Assumptions'!$F$18+Tabelle1!R93*'Weights &amp; Assumptions'!$F$19+Tabelle1!S93*'Weights &amp; Assumptions'!$F$20,"")</f>
        <v>140.520848636246</v>
      </c>
      <c r="Y92" s="22" t="n">
        <f aca="false">IFERROR(V92*'Weights &amp; Assumptions'!$B$25/'Weights &amp; Assumptions'!$B$28+W92*'Weights &amp; Assumptions'!$B$26/'Weights &amp; Assumptions'!$B$28+X92*'Weights &amp; Assumptions'!$B$27/'Weights &amp; Assumptions'!$B$28,"")</f>
        <v>130.945115315179</v>
      </c>
    </row>
    <row r="93" customFormat="false" ht="15" hidden="false" customHeight="false" outlineLevel="0" collapsed="false">
      <c r="A93" s="20" t="n">
        <v>40633</v>
      </c>
      <c r="B93" s="21" t="n">
        <v>144.86151</v>
      </c>
      <c r="C93" s="22" t="n">
        <v>109.862611243233</v>
      </c>
      <c r="D93" s="22" t="n">
        <v>108.192373847067</v>
      </c>
      <c r="E93" s="22" t="n">
        <v>98.7226530863099</v>
      </c>
      <c r="F93" s="22" t="n">
        <v>143.205259926695</v>
      </c>
      <c r="G93" s="22" t="n">
        <v>127.082662319055</v>
      </c>
      <c r="H93" s="22" t="n">
        <v>152.090878867095</v>
      </c>
      <c r="I93" s="22" t="n">
        <v>161.660321197569</v>
      </c>
      <c r="J93" s="22" t="n">
        <v>154.505801442115</v>
      </c>
      <c r="K93" s="22" t="n">
        <v>174.135280470775</v>
      </c>
      <c r="L93" s="22" t="n">
        <v>159.720379693438</v>
      </c>
      <c r="M93" s="22" t="n">
        <v>130.434783374327</v>
      </c>
      <c r="N93" s="22" t="n">
        <v>130.382602565237</v>
      </c>
      <c r="O93" s="22" t="n">
        <v>133.252842405792</v>
      </c>
      <c r="P93" s="22" t="n">
        <v>147.421959485695</v>
      </c>
      <c r="Q93" s="22" t="n">
        <v>151.875460455237</v>
      </c>
      <c r="R93" s="22" t="n">
        <f aca="false">C93*'Weights &amp; Assumptions'!$F$6+D93*'Weights &amp; Assumptions'!$F$7</f>
        <v>109.842146599865</v>
      </c>
      <c r="S93" s="22" t="n">
        <f aca="false">E93*'Weights &amp; Assumptions'!$F$8+F93*'Weights &amp; Assumptions'!$F$9+H93*'Weights &amp; Assumptions'!$F$11</f>
        <v>139.745222867372</v>
      </c>
      <c r="T93" s="22" t="n">
        <f aca="false">G93*'Weights &amp; Assumptions'!$F$10+I93*'Weights &amp; Assumptions'!$F$12+J93*'Weights &amp; Assumptions'!$F$13+K93*'Weights &amp; Assumptions'!$F$14+L93*'Weights &amp; Assumptions'!$F$15+M93*'Weights &amp; Assumptions'!$F$16+N93*'Weights &amp; Assumptions'!$F$17+O93*'Weights &amp; Assumptions'!$F$18+P93*'Weights &amp; Assumptions'!$F$19+Q93*'Weights &amp; Assumptions'!$F$20</f>
        <v>149.029111323479</v>
      </c>
      <c r="U93" s="22" t="n">
        <f aca="false">R93*'Weights &amp; Assumptions'!$B$25/'Weights &amp; Assumptions'!$B$28+S93*'Weights &amp; Assumptions'!$B$26/'Weights &amp; Assumptions'!$B$28+T93*'Weights &amp; Assumptions'!$B$27/'Weights &amp; Assumptions'!$B$28</f>
        <v>143.272544258866</v>
      </c>
      <c r="V93" s="23" t="n">
        <f aca="false">IFERROR(Tabelle1!E94*'Weights &amp; Assumptions'!$F$6+Tabelle1!F94*'Weights &amp; Assumptions'!$F$7,"")</f>
        <v>139.597202130368</v>
      </c>
      <c r="W93" s="23" t="n">
        <f aca="false">IFERROR(Tabelle1!G94*'Weights &amp; Assumptions'!$F$8+Tabelle1!H94*'Weights &amp; Assumptions'!$F$9+Tabelle1!J94*'Weights &amp; Assumptions'!$F$11,"")</f>
        <v>141.989189364541</v>
      </c>
      <c r="X93" s="23" t="n">
        <f aca="false">IFERROR(Tabelle1!I94*'Weights &amp; Assumptions'!$F$10+Tabelle1!K94*'Weights &amp; Assumptions'!$F$12+Tabelle1!L94*'Weights &amp; Assumptions'!$F$13+Tabelle1!M94*'Weights &amp; Assumptions'!$F$14+Tabelle1!N94*'Weights &amp; Assumptions'!$F$15+Tabelle1!O94*'Weights &amp; Assumptions'!$F$16+Tabelle1!P94*'Weights &amp; Assumptions'!$F$17+Tabelle1!Q94*'Weights &amp; Assumptions'!$F$18+Tabelle1!R94*'Weights &amp; Assumptions'!$F$19+Tabelle1!S94*'Weights &amp; Assumptions'!$F$20,"")</f>
        <v>150.532361063378</v>
      </c>
      <c r="Y93" s="22" t="n">
        <f aca="false">IFERROR(V93*'Weights &amp; Assumptions'!$B$25/'Weights &amp; Assumptions'!$B$28+W93*'Weights &amp; Assumptions'!$B$26/'Weights &amp; Assumptions'!$B$28+X93*'Weights &amp; Assumptions'!$B$27/'Weights &amp; Assumptions'!$B$28,"")</f>
        <v>147.343113540423</v>
      </c>
    </row>
    <row r="94" customFormat="false" ht="15" hidden="false" customHeight="false" outlineLevel="0" collapsed="false">
      <c r="A94" s="20" t="n">
        <v>40663</v>
      </c>
      <c r="B94" s="21" t="n">
        <v>144.92865</v>
      </c>
      <c r="C94" s="22" t="n">
        <v>114.044360754414</v>
      </c>
      <c r="D94" s="22" t="n">
        <v>108.93328976472</v>
      </c>
      <c r="E94" s="22" t="n">
        <v>90.7332987260655</v>
      </c>
      <c r="F94" s="22" t="n">
        <v>143.192329163835</v>
      </c>
      <c r="G94" s="22" t="n">
        <v>124.343257295424</v>
      </c>
      <c r="H94" s="22" t="n">
        <v>151.272030488977</v>
      </c>
      <c r="I94" s="22" t="n">
        <v>162.587950028973</v>
      </c>
      <c r="J94" s="22" t="n">
        <v>155.221892762686</v>
      </c>
      <c r="K94" s="22" t="n">
        <v>174.312506327637</v>
      </c>
      <c r="L94" s="22" t="n">
        <v>161.545486380882</v>
      </c>
      <c r="M94" s="22" t="n">
        <v>132.890267170646</v>
      </c>
      <c r="N94" s="22" t="n">
        <v>130.955857612123</v>
      </c>
      <c r="O94" s="22" t="n">
        <v>133.62088819412</v>
      </c>
      <c r="P94" s="22" t="n">
        <v>149.438919772835</v>
      </c>
      <c r="Q94" s="22" t="n">
        <v>153.117198166951</v>
      </c>
      <c r="R94" s="22" t="n">
        <f aca="false">C94*'Weights &amp; Assumptions'!$F$6+D94*'Weights &amp; Assumptions'!$F$7</f>
        <v>113.981737174511</v>
      </c>
      <c r="S94" s="22" t="n">
        <f aca="false">E94*'Weights &amp; Assumptions'!$F$8+F94*'Weights &amp; Assumptions'!$F$9+H94*'Weights &amp; Assumptions'!$F$11</f>
        <v>138.612033726556</v>
      </c>
      <c r="T94" s="22" t="n">
        <f aca="false">G94*'Weights &amp; Assumptions'!$F$10+I94*'Weights &amp; Assumptions'!$F$12+J94*'Weights &amp; Assumptions'!$F$13+K94*'Weights &amp; Assumptions'!$F$14+L94*'Weights &amp; Assumptions'!$F$15+M94*'Weights &amp; Assumptions'!$F$16+N94*'Weights &amp; Assumptions'!$F$17+O94*'Weights &amp; Assumptions'!$F$18+P94*'Weights &amp; Assumptions'!$F$19+Q94*'Weights &amp; Assumptions'!$F$20</f>
        <v>150.135734003216</v>
      </c>
      <c r="U94" s="22" t="n">
        <f aca="false">R94*'Weights &amp; Assumptions'!$B$25/'Weights &amp; Assumptions'!$B$28+S94*'Weights &amp; Assumptions'!$B$26/'Weights &amp; Assumptions'!$B$28+T94*'Weights &amp; Assumptions'!$B$27/'Weights &amp; Assumptions'!$B$28</f>
        <v>144.038030380529</v>
      </c>
      <c r="V94" s="23" t="n">
        <f aca="false">IFERROR(Tabelle1!E95*'Weights &amp; Assumptions'!$F$6+Tabelle1!F95*'Weights &amp; Assumptions'!$F$7,"")</f>
        <v>214.09838166029</v>
      </c>
      <c r="W94" s="23" t="n">
        <f aca="false">IFERROR(Tabelle1!G95*'Weights &amp; Assumptions'!$F$8+Tabelle1!H95*'Weights &amp; Assumptions'!$F$9+Tabelle1!J95*'Weights &amp; Assumptions'!$F$11,"")</f>
        <v>138.092133677525</v>
      </c>
      <c r="X94" s="23" t="n">
        <f aca="false">IFERROR(Tabelle1!I95*'Weights &amp; Assumptions'!$F$10+Tabelle1!K95*'Weights &amp; Assumptions'!$F$12+Tabelle1!L95*'Weights &amp; Assumptions'!$F$13+Tabelle1!M95*'Weights &amp; Assumptions'!$F$14+Tabelle1!N95*'Weights &amp; Assumptions'!$F$15+Tabelle1!O95*'Weights &amp; Assumptions'!$F$16+Tabelle1!P95*'Weights &amp; Assumptions'!$F$17+Tabelle1!Q95*'Weights &amp; Assumptions'!$F$18+Tabelle1!R95*'Weights &amp; Assumptions'!$F$19+Tabelle1!S95*'Weights &amp; Assumptions'!$F$20,"")</f>
        <v>149.743890539802</v>
      </c>
      <c r="Y94" s="22" t="n">
        <f aca="false">IFERROR(V94*'Weights &amp; Assumptions'!$B$25/'Weights &amp; Assumptions'!$B$28+W94*'Weights &amp; Assumptions'!$B$26/'Weights &amp; Assumptions'!$B$28+X94*'Weights &amp; Assumptions'!$B$27/'Weights &amp; Assumptions'!$B$28,"")</f>
        <v>152.04488021602</v>
      </c>
    </row>
    <row r="95" customFormat="false" ht="15" hidden="false" customHeight="false" outlineLevel="0" collapsed="false">
      <c r="A95" s="20" t="n">
        <v>40694</v>
      </c>
      <c r="B95" s="21" t="n">
        <v>147.18633</v>
      </c>
      <c r="C95" s="22" t="n">
        <v>114.306717693746</v>
      </c>
      <c r="D95" s="22" t="n">
        <v>91.3171690154023</v>
      </c>
      <c r="E95" s="22" t="n">
        <v>93.462834092211</v>
      </c>
      <c r="F95" s="22" t="n">
        <v>146.838205932629</v>
      </c>
      <c r="G95" s="22" t="n">
        <v>127.234445856868</v>
      </c>
      <c r="H95" s="22" t="n">
        <v>153.559547726001</v>
      </c>
      <c r="I95" s="22" t="n">
        <v>166.505112697037</v>
      </c>
      <c r="J95" s="22" t="n">
        <v>156.588078751261</v>
      </c>
      <c r="K95" s="22" t="n">
        <v>174.975392162698</v>
      </c>
      <c r="L95" s="22" t="n">
        <v>164.30211254841</v>
      </c>
      <c r="M95" s="22" t="n">
        <v>133.716280439891</v>
      </c>
      <c r="N95" s="22" t="n">
        <v>131.125044638593</v>
      </c>
      <c r="O95" s="22" t="n">
        <v>133.73567086753</v>
      </c>
      <c r="P95" s="22" t="n">
        <v>150.263578694477</v>
      </c>
      <c r="Q95" s="22" t="n">
        <v>154.439948043559</v>
      </c>
      <c r="R95" s="22" t="n">
        <f aca="false">C95*'Weights &amp; Assumptions'!$F$6+D95*'Weights &amp; Assumptions'!$F$7</f>
        <v>114.025037427225</v>
      </c>
      <c r="S95" s="22" t="n">
        <f aca="false">E95*'Weights &amp; Assumptions'!$F$8+F95*'Weights &amp; Assumptions'!$F$9+H95*'Weights &amp; Assumptions'!$F$11</f>
        <v>141.865523058187</v>
      </c>
      <c r="T95" s="22" t="n">
        <f aca="false">G95*'Weights &amp; Assumptions'!$F$10+I95*'Weights &amp; Assumptions'!$F$12+J95*'Weights &amp; Assumptions'!$F$13+K95*'Weights &amp; Assumptions'!$F$14+L95*'Weights &amp; Assumptions'!$F$15+M95*'Weights &amp; Assumptions'!$F$16+N95*'Weights &amp; Assumptions'!$F$17+O95*'Weights &amp; Assumptions'!$F$18+P95*'Weights &amp; Assumptions'!$F$19+Q95*'Weights &amp; Assumptions'!$F$20</f>
        <v>151.710578183924</v>
      </c>
      <c r="U95" s="22" t="n">
        <f aca="false">R95*'Weights &amp; Assumptions'!$B$25/'Weights &amp; Assumptions'!$B$28+S95*'Weights &amp; Assumptions'!$B$26/'Weights &amp; Assumptions'!$B$28+T95*'Weights &amp; Assumptions'!$B$27/'Weights &amp; Assumptions'!$B$28</f>
        <v>145.930757819611</v>
      </c>
      <c r="V95" s="23" t="n">
        <f aca="false">IFERROR(Tabelle1!E96*'Weights &amp; Assumptions'!$F$6+Tabelle1!F96*'Weights &amp; Assumptions'!$F$7,"")</f>
        <v>313.29239312392</v>
      </c>
      <c r="W95" s="23" t="n">
        <f aca="false">IFERROR(Tabelle1!G96*'Weights &amp; Assumptions'!$F$8+Tabelle1!H96*'Weights &amp; Assumptions'!$F$9+Tabelle1!J96*'Weights &amp; Assumptions'!$F$11,"")</f>
        <v>144.876567266864</v>
      </c>
      <c r="X95" s="23" t="n">
        <f aca="false">IFERROR(Tabelle1!I96*'Weights &amp; Assumptions'!$F$10+Tabelle1!K96*'Weights &amp; Assumptions'!$F$12+Tabelle1!L96*'Weights &amp; Assumptions'!$F$13+Tabelle1!M96*'Weights &amp; Assumptions'!$F$14+Tabelle1!N96*'Weights &amp; Assumptions'!$F$15+Tabelle1!O96*'Weights &amp; Assumptions'!$F$16+Tabelle1!P96*'Weights &amp; Assumptions'!$F$17+Tabelle1!Q96*'Weights &amp; Assumptions'!$F$18+Tabelle1!R96*'Weights &amp; Assumptions'!$F$19+Tabelle1!S96*'Weights &amp; Assumptions'!$F$20,"")</f>
        <v>154.803288082555</v>
      </c>
      <c r="Y95" s="22" t="n">
        <f aca="false">IFERROR(V95*'Weights &amp; Assumptions'!$B$25/'Weights &amp; Assumptions'!$B$28+W95*'Weights &amp; Assumptions'!$B$26/'Weights &amp; Assumptions'!$B$28+X95*'Weights &amp; Assumptions'!$B$27/'Weights &amp; Assumptions'!$B$28,"")</f>
        <v>165.460967423405</v>
      </c>
    </row>
    <row r="96" customFormat="false" ht="15" hidden="false" customHeight="false" outlineLevel="0" collapsed="false">
      <c r="A96" s="20" t="n">
        <v>40724</v>
      </c>
      <c r="B96" s="21" t="n">
        <v>146.80269</v>
      </c>
      <c r="C96" s="22" t="n">
        <v>114.220485579513</v>
      </c>
      <c r="D96" s="22" t="n">
        <v>134.333730017931</v>
      </c>
      <c r="E96" s="22" t="n">
        <v>94.0770443651996</v>
      </c>
      <c r="F96" s="22" t="n">
        <v>147.845870003573</v>
      </c>
      <c r="G96" s="22" t="n">
        <v>127.55907432024</v>
      </c>
      <c r="H96" s="22" t="n">
        <v>154.474623803005</v>
      </c>
      <c r="I96" s="22" t="n">
        <v>167.449458910827</v>
      </c>
      <c r="J96" s="22" t="n">
        <v>156.394037943966</v>
      </c>
      <c r="K96" s="22" t="n">
        <v>174.809601294428</v>
      </c>
      <c r="L96" s="22" t="n">
        <v>165.107866698044</v>
      </c>
      <c r="M96" s="22" t="n">
        <v>135.26828199558</v>
      </c>
      <c r="N96" s="22" t="n">
        <v>131.596178206342</v>
      </c>
      <c r="O96" s="22" t="n">
        <v>134.349123964258</v>
      </c>
      <c r="P96" s="22" t="n">
        <v>150.601722996858</v>
      </c>
      <c r="Q96" s="22" t="n">
        <v>151.762035456945</v>
      </c>
      <c r="R96" s="22" t="n">
        <f aca="false">C96*'Weights &amp; Assumptions'!$F$6+D96*'Weights &amp; Assumptions'!$F$7</f>
        <v>114.466923825573</v>
      </c>
      <c r="S96" s="22" t="n">
        <f aca="false">E96*'Weights &amp; Assumptions'!$F$8+F96*'Weights &amp; Assumptions'!$F$9+H96*'Weights &amp; Assumptions'!$F$11</f>
        <v>142.806921381098</v>
      </c>
      <c r="T96" s="22" t="n">
        <f aca="false">G96*'Weights &amp; Assumptions'!$F$10+I96*'Weights &amp; Assumptions'!$F$12+J96*'Weights &amp; Assumptions'!$F$13+K96*'Weights &amp; Assumptions'!$F$14+L96*'Weights &amp; Assumptions'!$F$15+M96*'Weights &amp; Assumptions'!$F$16+N96*'Weights &amp; Assumptions'!$F$17+O96*'Weights &amp; Assumptions'!$F$18+P96*'Weights &amp; Assumptions'!$F$19+Q96*'Weights &amp; Assumptions'!$F$20</f>
        <v>152.224457178421</v>
      </c>
      <c r="U96" s="22" t="n">
        <f aca="false">R96*'Weights &amp; Assumptions'!$B$25/'Weights &amp; Assumptions'!$B$28+S96*'Weights &amp; Assumptions'!$B$26/'Weights &amp; Assumptions'!$B$28+T96*'Weights &amp; Assumptions'!$B$27/'Weights &amp; Assumptions'!$B$28</f>
        <v>146.552281432782</v>
      </c>
      <c r="V96" s="23" t="n">
        <f aca="false">IFERROR(Tabelle1!E97*'Weights &amp; Assumptions'!$F$6+Tabelle1!F97*'Weights &amp; Assumptions'!$F$7,"")</f>
        <v>210.994890235754</v>
      </c>
      <c r="W96" s="23" t="n">
        <f aca="false">IFERROR(Tabelle1!G97*'Weights &amp; Assumptions'!$F$8+Tabelle1!H97*'Weights &amp; Assumptions'!$F$9+Tabelle1!J97*'Weights &amp; Assumptions'!$F$11,"")</f>
        <v>143.172947552215</v>
      </c>
      <c r="X96" s="23" t="n">
        <f aca="false">IFERROR(Tabelle1!I97*'Weights &amp; Assumptions'!$F$10+Tabelle1!K97*'Weights &amp; Assumptions'!$F$12+Tabelle1!L97*'Weights &amp; Assumptions'!$F$13+Tabelle1!M97*'Weights &amp; Assumptions'!$F$14+Tabelle1!N97*'Weights &amp; Assumptions'!$F$15+Tabelle1!O97*'Weights &amp; Assumptions'!$F$16+Tabelle1!P97*'Weights &amp; Assumptions'!$F$17+Tabelle1!Q97*'Weights &amp; Assumptions'!$F$18+Tabelle1!R97*'Weights &amp; Assumptions'!$F$19+Tabelle1!S97*'Weights &amp; Assumptions'!$F$20,"")</f>
        <v>155.558839050406</v>
      </c>
      <c r="Y96" s="22" t="n">
        <f aca="false">IFERROR(V96*'Weights &amp; Assumptions'!$B$25/'Weights &amp; Assumptions'!$B$28+W96*'Weights &amp; Assumptions'!$B$26/'Weights &amp; Assumptions'!$B$28+X96*'Weights &amp; Assumptions'!$B$27/'Weights &amp; Assumptions'!$B$28,"")</f>
        <v>156.91634497048</v>
      </c>
    </row>
    <row r="97" customFormat="false" ht="15" hidden="false" customHeight="false" outlineLevel="0" collapsed="false">
      <c r="A97" s="20" t="n">
        <v>40755</v>
      </c>
      <c r="B97" s="21" t="n">
        <v>147.15673</v>
      </c>
      <c r="C97" s="22" t="n">
        <v>106.036892358743</v>
      </c>
      <c r="D97" s="22" t="n">
        <v>107.217514282747</v>
      </c>
      <c r="E97" s="22" t="n">
        <v>95.7809149797423</v>
      </c>
      <c r="F97" s="22" t="n">
        <v>144.392074783867</v>
      </c>
      <c r="G97" s="22" t="n">
        <v>127.254036245854</v>
      </c>
      <c r="H97" s="22" t="n">
        <v>154.824829313641</v>
      </c>
      <c r="I97" s="22" t="n">
        <v>161.724087835575</v>
      </c>
      <c r="J97" s="22" t="n">
        <v>156.548029055606</v>
      </c>
      <c r="K97" s="22" t="n">
        <v>173.608695802292</v>
      </c>
      <c r="L97" s="22" t="n">
        <v>165.856186223279</v>
      </c>
      <c r="M97" s="22" t="n">
        <v>135.241764872704</v>
      </c>
      <c r="N97" s="22" t="n">
        <v>132.58217025393</v>
      </c>
      <c r="O97" s="22" t="n">
        <v>135.237210189749</v>
      </c>
      <c r="P97" s="22" t="n">
        <v>150.809942604532</v>
      </c>
      <c r="Q97" s="22" t="n">
        <v>149.776545777153</v>
      </c>
      <c r="R97" s="22" t="n">
        <f aca="false">C97*'Weights &amp; Assumptions'!$F$6+D97*'Weights &amp; Assumptions'!$F$7</f>
        <v>106.051357971047</v>
      </c>
      <c r="S97" s="22" t="n">
        <f aca="false">E97*'Weights &amp; Assumptions'!$F$8+F97*'Weights &amp; Assumptions'!$F$9+H97*'Weights &amp; Assumptions'!$F$11</f>
        <v>140.761402843287</v>
      </c>
      <c r="T97" s="22" t="n">
        <f aca="false">G97*'Weights &amp; Assumptions'!$F$10+I97*'Weights &amp; Assumptions'!$F$12+J97*'Weights &amp; Assumptions'!$F$13+K97*'Weights &amp; Assumptions'!$F$14+L97*'Weights &amp; Assumptions'!$F$15+M97*'Weights &amp; Assumptions'!$F$16+N97*'Weights &amp; Assumptions'!$F$17+O97*'Weights &amp; Assumptions'!$F$18+P97*'Weights &amp; Assumptions'!$F$19+Q97*'Weights &amp; Assumptions'!$F$20</f>
        <v>150.999511546512</v>
      </c>
      <c r="U97" s="22" t="n">
        <f aca="false">R97*'Weights &amp; Assumptions'!$B$25/'Weights &amp; Assumptions'!$B$28+S97*'Weights &amp; Assumptions'!$B$26/'Weights &amp; Assumptions'!$B$28+T97*'Weights &amp; Assumptions'!$B$27/'Weights &amp; Assumptions'!$B$28</f>
        <v>144.505832110592</v>
      </c>
      <c r="V97" s="23" t="n">
        <f aca="false">IFERROR(Tabelle1!E98*'Weights &amp; Assumptions'!$F$6+Tabelle1!F98*'Weights &amp; Assumptions'!$F$7,"")</f>
        <v>106.968859708704</v>
      </c>
      <c r="W97" s="23" t="n">
        <f aca="false">IFERROR(Tabelle1!G98*'Weights &amp; Assumptions'!$F$8+Tabelle1!H98*'Weights &amp; Assumptions'!$F$9+Tabelle1!J98*'Weights &amp; Assumptions'!$F$11,"")</f>
        <v>144.061485277153</v>
      </c>
      <c r="X97" s="23" t="n">
        <f aca="false">IFERROR(Tabelle1!I98*'Weights &amp; Assumptions'!$F$10+Tabelle1!K98*'Weights &amp; Assumptions'!$F$12+Tabelle1!L98*'Weights &amp; Assumptions'!$F$13+Tabelle1!M98*'Weights &amp; Assumptions'!$F$14+Tabelle1!N98*'Weights &amp; Assumptions'!$F$15+Tabelle1!O98*'Weights &amp; Assumptions'!$F$16+Tabelle1!P98*'Weights &amp; Assumptions'!$F$17+Tabelle1!Q98*'Weights &amp; Assumptions'!$F$18+Tabelle1!R98*'Weights &amp; Assumptions'!$F$19+Tabelle1!S98*'Weights &amp; Assumptions'!$F$20,"")</f>
        <v>152.779111850971</v>
      </c>
      <c r="Y97" s="22" t="n">
        <f aca="false">IFERROR(V97*'Weights &amp; Assumptions'!$B$25/'Weights &amp; Assumptions'!$B$28+W97*'Weights &amp; Assumptions'!$B$26/'Weights &amp; Assumptions'!$B$28+X97*'Weights &amp; Assumptions'!$B$27/'Weights &amp; Assumptions'!$B$28,"")</f>
        <v>146.617424386101</v>
      </c>
    </row>
    <row r="98" customFormat="false" ht="15" hidden="false" customHeight="false" outlineLevel="0" collapsed="false">
      <c r="A98" s="20" t="n">
        <v>40786</v>
      </c>
      <c r="B98" s="21" t="n">
        <v>146.95911</v>
      </c>
      <c r="C98" s="22" t="n">
        <v>104.404615010036</v>
      </c>
      <c r="D98" s="22" t="n">
        <v>115.185106091594</v>
      </c>
      <c r="E98" s="22" t="n">
        <v>98.5005699134998</v>
      </c>
      <c r="F98" s="22" t="n">
        <v>144.768511780413</v>
      </c>
      <c r="G98" s="22" t="n">
        <v>129.38180249213</v>
      </c>
      <c r="H98" s="22" t="n">
        <v>156.024648621884</v>
      </c>
      <c r="I98" s="22" t="n">
        <v>167.244239027573</v>
      </c>
      <c r="J98" s="22" t="n">
        <v>156.2045491531</v>
      </c>
      <c r="K98" s="22" t="n">
        <v>176.185376161094</v>
      </c>
      <c r="L98" s="22" t="n">
        <v>169.287837450959</v>
      </c>
      <c r="M98" s="22" t="n">
        <v>134.989662201279</v>
      </c>
      <c r="N98" s="22" t="n">
        <v>133.174433811184</v>
      </c>
      <c r="O98" s="22" t="n">
        <v>135.959287891632</v>
      </c>
      <c r="P98" s="22" t="n">
        <v>150.5650399313</v>
      </c>
      <c r="Q98" s="22" t="n">
        <v>149.106909183633</v>
      </c>
      <c r="R98" s="22" t="n">
        <f aca="false">C98*'Weights &amp; Assumptions'!$F$6+D98*'Weights &amp; Assumptions'!$F$7</f>
        <v>104.536703362164</v>
      </c>
      <c r="S98" s="22" t="n">
        <f aca="false">E98*'Weights &amp; Assumptions'!$F$8+F98*'Weights &amp; Assumptions'!$F$9+H98*'Weights &amp; Assumptions'!$F$11</f>
        <v>141.589144676014</v>
      </c>
      <c r="T98" s="22" t="n">
        <f aca="false">G98*'Weights &amp; Assumptions'!$F$10+I98*'Weights &amp; Assumptions'!$F$12+J98*'Weights &amp; Assumptions'!$F$13+K98*'Weights &amp; Assumptions'!$F$14+L98*'Weights &amp; Assumptions'!$F$15+M98*'Weights &amp; Assumptions'!$F$16+N98*'Weights &amp; Assumptions'!$F$17+O98*'Weights &amp; Assumptions'!$F$18+P98*'Weights &amp; Assumptions'!$F$19+Q98*'Weights &amp; Assumptions'!$F$20</f>
        <v>152.80656713547</v>
      </c>
      <c r="U98" s="22" t="n">
        <f aca="false">R98*'Weights &amp; Assumptions'!$B$25/'Weights &amp; Assumptions'!$B$28+S98*'Weights &amp; Assumptions'!$B$26/'Weights &amp; Assumptions'!$B$28+T98*'Weights &amp; Assumptions'!$B$27/'Weights &amp; Assumptions'!$B$28</f>
        <v>145.773776815033</v>
      </c>
      <c r="V98" s="23" t="n">
        <f aca="false">IFERROR(Tabelle1!E99*'Weights &amp; Assumptions'!$F$6+Tabelle1!F99*'Weights &amp; Assumptions'!$F$7,"")</f>
        <v>70.5485975297076</v>
      </c>
      <c r="W98" s="23" t="n">
        <f aca="false">IFERROR(Tabelle1!G99*'Weights &amp; Assumptions'!$F$8+Tabelle1!H99*'Weights &amp; Assumptions'!$F$9+Tabelle1!J99*'Weights &amp; Assumptions'!$F$11,"")</f>
        <v>146.720257477493</v>
      </c>
      <c r="X98" s="23" t="n">
        <f aca="false">IFERROR(Tabelle1!I99*'Weights &amp; Assumptions'!$F$10+Tabelle1!K99*'Weights &amp; Assumptions'!$F$12+Tabelle1!L99*'Weights &amp; Assumptions'!$F$13+Tabelle1!M99*'Weights &amp; Assumptions'!$F$14+Tabelle1!N99*'Weights &amp; Assumptions'!$F$15+Tabelle1!O99*'Weights &amp; Assumptions'!$F$16+Tabelle1!P99*'Weights &amp; Assumptions'!$F$17+Tabelle1!Q99*'Weights &amp; Assumptions'!$F$18+Tabelle1!R99*'Weights &amp; Assumptions'!$F$19+Tabelle1!S99*'Weights &amp; Assumptions'!$F$20,"")</f>
        <v>155.061910332922</v>
      </c>
      <c r="Y98" s="22" t="n">
        <f aca="false">IFERROR(V98*'Weights &amp; Assumptions'!$B$25/'Weights &amp; Assumptions'!$B$28+W98*'Weights &amp; Assumptions'!$B$26/'Weights &amp; Assumptions'!$B$28+X98*'Weights &amp; Assumptions'!$B$27/'Weights &amp; Assumptions'!$B$28,"")</f>
        <v>145.752981849266</v>
      </c>
    </row>
    <row r="99" customFormat="false" ht="15" hidden="false" customHeight="false" outlineLevel="0" collapsed="false">
      <c r="A99" s="20" t="n">
        <v>40816</v>
      </c>
      <c r="B99" s="21" t="n">
        <v>148.26517</v>
      </c>
      <c r="C99" s="22" t="n">
        <v>104.121666191758</v>
      </c>
      <c r="D99" s="22" t="n">
        <v>101.699989737938</v>
      </c>
      <c r="E99" s="22" t="n">
        <v>97.9862949927121</v>
      </c>
      <c r="F99" s="22" t="n">
        <v>146.579831814665</v>
      </c>
      <c r="G99" s="22" t="n">
        <v>127.100337348183</v>
      </c>
      <c r="H99" s="22" t="n">
        <v>157.533748224877</v>
      </c>
      <c r="I99" s="22" t="n">
        <v>170.023068797696</v>
      </c>
      <c r="J99" s="22" t="n">
        <v>158.294284430281</v>
      </c>
      <c r="K99" s="22" t="n">
        <v>178.056993781561</v>
      </c>
      <c r="L99" s="22" t="n">
        <v>171.453362090551</v>
      </c>
      <c r="M99" s="22" t="n">
        <v>135.83181159874</v>
      </c>
      <c r="N99" s="22" t="n">
        <v>133.571552427624</v>
      </c>
      <c r="O99" s="22" t="n">
        <v>136.353574751813</v>
      </c>
      <c r="P99" s="22" t="n">
        <v>151.313301833131</v>
      </c>
      <c r="Q99" s="22" t="n">
        <v>147.627565776255</v>
      </c>
      <c r="R99" s="22" t="n">
        <f aca="false">C99*'Weights &amp; Assumptions'!$F$6+D99*'Weights &amp; Assumptions'!$F$7</f>
        <v>104.091994514489</v>
      </c>
      <c r="S99" s="22" t="n">
        <f aca="false">E99*'Weights &amp; Assumptions'!$F$8+F99*'Weights &amp; Assumptions'!$F$9+H99*'Weights &amp; Assumptions'!$F$11</f>
        <v>143.059834346572</v>
      </c>
      <c r="T99" s="22" t="n">
        <f aca="false">G99*'Weights &amp; Assumptions'!$F$10+I99*'Weights &amp; Assumptions'!$F$12+J99*'Weights &amp; Assumptions'!$F$13+K99*'Weights &amp; Assumptions'!$F$14+L99*'Weights &amp; Assumptions'!$F$15+M99*'Weights &amp; Assumptions'!$F$16+N99*'Weights &amp; Assumptions'!$F$17+O99*'Weights &amp; Assumptions'!$F$18+P99*'Weights &amp; Assumptions'!$F$19+Q99*'Weights &amp; Assumptions'!$F$20</f>
        <v>154.054353831096</v>
      </c>
      <c r="U99" s="22" t="n">
        <f aca="false">R99*'Weights &amp; Assumptions'!$B$25/'Weights &amp; Assumptions'!$B$28+S99*'Weights &amp; Assumptions'!$B$26/'Weights &amp; Assumptions'!$B$28+T99*'Weights &amp; Assumptions'!$B$27/'Weights &amp; Assumptions'!$B$28</f>
        <v>146.938835520824</v>
      </c>
      <c r="V99" s="23" t="n">
        <f aca="false">IFERROR(Tabelle1!E100*'Weights &amp; Assumptions'!$F$6+Tabelle1!F100*'Weights &amp; Assumptions'!$F$7,"")</f>
        <v>67.0550094246791</v>
      </c>
      <c r="W99" s="23" t="n">
        <f aca="false">IFERROR(Tabelle1!G100*'Weights &amp; Assumptions'!$F$8+Tabelle1!H100*'Weights &amp; Assumptions'!$F$9+Tabelle1!J100*'Weights &amp; Assumptions'!$F$11,"")</f>
        <v>148.55414500628</v>
      </c>
      <c r="X99" s="23" t="n">
        <f aca="false">IFERROR(Tabelle1!I100*'Weights &amp; Assumptions'!$F$10+Tabelle1!K100*'Weights &amp; Assumptions'!$F$12+Tabelle1!L100*'Weights &amp; Assumptions'!$F$13+Tabelle1!M100*'Weights &amp; Assumptions'!$F$14+Tabelle1!N100*'Weights &amp; Assumptions'!$F$15+Tabelle1!O100*'Weights &amp; Assumptions'!$F$16+Tabelle1!P100*'Weights &amp; Assumptions'!$F$17+Tabelle1!Q100*'Weights &amp; Assumptions'!$F$18+Tabelle1!R100*'Weights &amp; Assumptions'!$F$19+Tabelle1!S100*'Weights &amp; Assumptions'!$F$20,"")</f>
        <v>155.027186600419</v>
      </c>
      <c r="Y99" s="22" t="n">
        <f aca="false">IFERROR(V99*'Weights &amp; Assumptions'!$B$25/'Weights &amp; Assumptions'!$B$28+W99*'Weights &amp; Assumptions'!$B$26/'Weights &amp; Assumptions'!$B$28+X99*'Weights &amp; Assumptions'!$B$27/'Weights &amp; Assumptions'!$B$28,"")</f>
        <v>145.924952893034</v>
      </c>
    </row>
    <row r="100" customFormat="false" ht="15" hidden="false" customHeight="false" outlineLevel="0" collapsed="false">
      <c r="A100" s="20" t="n">
        <v>40847</v>
      </c>
      <c r="B100" s="21" t="n">
        <v>147.29114</v>
      </c>
      <c r="C100" s="22" t="n">
        <v>104.342536969711</v>
      </c>
      <c r="D100" s="22" t="n">
        <v>126.361833559082</v>
      </c>
      <c r="E100" s="22" t="n">
        <v>98.7610876348478</v>
      </c>
      <c r="F100" s="22" t="n">
        <v>143.349931929304</v>
      </c>
      <c r="G100" s="22" t="n">
        <v>129.328493937333</v>
      </c>
      <c r="H100" s="22" t="n">
        <v>154.40249893773</v>
      </c>
      <c r="I100" s="22" t="n">
        <v>164.369410027794</v>
      </c>
      <c r="J100" s="22" t="n">
        <v>156.717293115566</v>
      </c>
      <c r="K100" s="22" t="n">
        <v>176.120791422306</v>
      </c>
      <c r="L100" s="22" t="n">
        <v>170.593533538697</v>
      </c>
      <c r="M100" s="22" t="n">
        <v>135.941791181644</v>
      </c>
      <c r="N100" s="22" t="n">
        <v>133.302701808045</v>
      </c>
      <c r="O100" s="22" t="n">
        <v>136.459193236673</v>
      </c>
      <c r="P100" s="22" t="n">
        <v>151.130762265018</v>
      </c>
      <c r="Q100" s="22" t="n">
        <v>151.779891225813</v>
      </c>
      <c r="R100" s="22" t="n">
        <f aca="false">C100*'Weights &amp; Assumptions'!$F$6+D100*'Weights &amp; Assumptions'!$F$7</f>
        <v>104.612329187847</v>
      </c>
      <c r="S100" s="22" t="n">
        <f aca="false">E100*'Weights &amp; Assumptions'!$F$8+F100*'Weights &amp; Assumptions'!$F$9+H100*'Weights &amp; Assumptions'!$F$11</f>
        <v>140.328636824109</v>
      </c>
      <c r="T100" s="22" t="n">
        <f aca="false">G100*'Weights &amp; Assumptions'!$F$10+I100*'Weights &amp; Assumptions'!$F$12+J100*'Weights &amp; Assumptions'!$F$13+K100*'Weights &amp; Assumptions'!$F$14+L100*'Weights &amp; Assumptions'!$F$15+M100*'Weights &amp; Assumptions'!$F$16+N100*'Weights &amp; Assumptions'!$F$17+O100*'Weights &amp; Assumptions'!$F$18+P100*'Weights &amp; Assumptions'!$F$19+Q100*'Weights &amp; Assumptions'!$F$20</f>
        <v>152.765168626149</v>
      </c>
      <c r="U100" s="22" t="n">
        <f aca="false">R100*'Weights &amp; Assumptions'!$B$25/'Weights &amp; Assumptions'!$B$28+S100*'Weights &amp; Assumptions'!$B$26/'Weights &amp; Assumptions'!$B$28+T100*'Weights &amp; Assumptions'!$B$27/'Weights &amp; Assumptions'!$B$28</f>
        <v>145.41801427501</v>
      </c>
      <c r="V100" s="23" t="n">
        <f aca="false">IFERROR(Tabelle1!E101*'Weights &amp; Assumptions'!$F$6+Tabelle1!F101*'Weights &amp; Assumptions'!$F$7,"")</f>
        <v>69.2816054272297</v>
      </c>
      <c r="W100" s="23" t="n">
        <f aca="false">IFERROR(Tabelle1!G101*'Weights &amp; Assumptions'!$F$8+Tabelle1!H101*'Weights &amp; Assumptions'!$F$9+Tabelle1!J101*'Weights &amp; Assumptions'!$F$11,"")</f>
        <v>147.121347462488</v>
      </c>
      <c r="X100" s="23" t="n">
        <f aca="false">IFERROR(Tabelle1!I101*'Weights &amp; Assumptions'!$F$10+Tabelle1!K101*'Weights &amp; Assumptions'!$F$12+Tabelle1!L101*'Weights &amp; Assumptions'!$F$13+Tabelle1!M101*'Weights &amp; Assumptions'!$F$14+Tabelle1!N101*'Weights &amp; Assumptions'!$F$15+Tabelle1!O101*'Weights &amp; Assumptions'!$F$16+Tabelle1!P101*'Weights &amp; Assumptions'!$F$17+Tabelle1!Q101*'Weights &amp; Assumptions'!$F$18+Tabelle1!R101*'Weights &amp; Assumptions'!$F$19+Tabelle1!S101*'Weights &amp; Assumptions'!$F$20,"")</f>
        <v>153.827299779001</v>
      </c>
      <c r="Y100" s="22" t="n">
        <f aca="false">IFERROR(V100*'Weights &amp; Assumptions'!$B$25/'Weights &amp; Assumptions'!$B$28+W100*'Weights &amp; Assumptions'!$B$26/'Weights &amp; Assumptions'!$B$28+X100*'Weights &amp; Assumptions'!$B$27/'Weights &amp; Assumptions'!$B$28,"")</f>
        <v>144.950615802458</v>
      </c>
    </row>
    <row r="101" customFormat="false" ht="15" hidden="false" customHeight="false" outlineLevel="0" collapsed="false">
      <c r="A101" s="20" t="n">
        <v>40877</v>
      </c>
      <c r="B101" s="21" t="n">
        <v>147.21589</v>
      </c>
      <c r="C101" s="22" t="n">
        <v>106.057848345668</v>
      </c>
      <c r="D101" s="22" t="n">
        <v>104.371293488233</v>
      </c>
      <c r="E101" s="22" t="n">
        <v>99.2903177923015</v>
      </c>
      <c r="F101" s="22" t="n">
        <v>142.41297162483</v>
      </c>
      <c r="G101" s="22" t="n">
        <v>132.516924240531</v>
      </c>
      <c r="H101" s="22" t="n">
        <v>155.455027909878</v>
      </c>
      <c r="I101" s="22" t="n">
        <v>163.04244794712</v>
      </c>
      <c r="J101" s="22" t="n">
        <v>157.006901130881</v>
      </c>
      <c r="K101" s="22" t="n">
        <v>175.726463627897</v>
      </c>
      <c r="L101" s="22" t="n">
        <v>170.394934234824</v>
      </c>
      <c r="M101" s="22" t="n">
        <v>137.053870631306</v>
      </c>
      <c r="N101" s="22" t="n">
        <v>133.497781374217</v>
      </c>
      <c r="O101" s="22" t="n">
        <v>136.71803449076</v>
      </c>
      <c r="P101" s="22" t="n">
        <v>151.564904348</v>
      </c>
      <c r="Q101" s="22" t="n">
        <v>150.565232114708</v>
      </c>
      <c r="R101" s="22" t="n">
        <f aca="false">C101*'Weights &amp; Assumptions'!$F$6+D101*'Weights &amp; Assumptions'!$F$7</f>
        <v>106.037183772022</v>
      </c>
      <c r="S101" s="22" t="n">
        <f aca="false">E101*'Weights &amp; Assumptions'!$F$8+F101*'Weights &amp; Assumptions'!$F$9+H101*'Weights &amp; Assumptions'!$F$11</f>
        <v>139.981193907037</v>
      </c>
      <c r="T101" s="22" t="n">
        <f aca="false">G101*'Weights &amp; Assumptions'!$F$10+I101*'Weights &amp; Assumptions'!$F$12+J101*'Weights &amp; Assumptions'!$F$13+K101*'Weights &amp; Assumptions'!$F$14+L101*'Weights &amp; Assumptions'!$F$15+M101*'Weights &amp; Assumptions'!$F$16+N101*'Weights &amp; Assumptions'!$F$17+O101*'Weights &amp; Assumptions'!$F$18+P101*'Weights &amp; Assumptions'!$F$19+Q101*'Weights &amp; Assumptions'!$F$20</f>
        <v>152.756153554523</v>
      </c>
      <c r="U101" s="22" t="n">
        <f aca="false">R101*'Weights &amp; Assumptions'!$B$25/'Weights &amp; Assumptions'!$B$28+S101*'Weights &amp; Assumptions'!$B$26/'Weights &amp; Assumptions'!$B$28+T101*'Weights &amp; Assumptions'!$B$27/'Weights &amp; Assumptions'!$B$28</f>
        <v>145.439308184952</v>
      </c>
      <c r="V101" s="23" t="n">
        <f aca="false">IFERROR(Tabelle1!E102*'Weights &amp; Assumptions'!$F$6+Tabelle1!F102*'Weights &amp; Assumptions'!$F$7,"")</f>
        <v>85.956516950096</v>
      </c>
      <c r="W101" s="23" t="n">
        <f aca="false">IFERROR(Tabelle1!G102*'Weights &amp; Assumptions'!$F$8+Tabelle1!H102*'Weights &amp; Assumptions'!$F$9+Tabelle1!J102*'Weights &amp; Assumptions'!$F$11,"")</f>
        <v>143.615478473251</v>
      </c>
      <c r="X101" s="23" t="n">
        <f aca="false">IFERROR(Tabelle1!I102*'Weights &amp; Assumptions'!$F$10+Tabelle1!K102*'Weights &amp; Assumptions'!$F$12+Tabelle1!L102*'Weights &amp; Assumptions'!$F$13+Tabelle1!M102*'Weights &amp; Assumptions'!$F$14+Tabelle1!N102*'Weights &amp; Assumptions'!$F$15+Tabelle1!O102*'Weights &amp; Assumptions'!$F$16+Tabelle1!P102*'Weights &amp; Assumptions'!$F$17+Tabelle1!Q102*'Weights &amp; Assumptions'!$F$18+Tabelle1!R102*'Weights &amp; Assumptions'!$F$19+Tabelle1!S102*'Weights &amp; Assumptions'!$F$20,"")</f>
        <v>153.941622855688</v>
      </c>
      <c r="Y101" s="22" t="n">
        <f aca="false">IFERROR(V101*'Weights &amp; Assumptions'!$B$25/'Weights &amp; Assumptions'!$B$28+W101*'Weights &amp; Assumptions'!$B$26/'Weights &amp; Assumptions'!$B$28+X101*'Weights &amp; Assumptions'!$B$27/'Weights &amp; Assumptions'!$B$28,"")</f>
        <v>145.491713723033</v>
      </c>
    </row>
    <row r="102" customFormat="false" ht="15" hidden="false" customHeight="false" outlineLevel="0" collapsed="false">
      <c r="A102" s="20" t="n">
        <v>40908</v>
      </c>
      <c r="B102" s="21" t="n">
        <v>147.84559</v>
      </c>
      <c r="C102" s="22" t="n">
        <v>112.056463574801</v>
      </c>
      <c r="D102" s="22" t="n">
        <v>109.184763114973</v>
      </c>
      <c r="E102" s="22" t="n">
        <v>98.469299343303</v>
      </c>
      <c r="F102" s="22" t="n">
        <v>142.002729910901</v>
      </c>
      <c r="G102" s="22" t="n">
        <v>131.438371613503</v>
      </c>
      <c r="H102" s="22" t="n">
        <v>155.10221545079</v>
      </c>
      <c r="I102" s="22" t="n">
        <v>163.48407803309</v>
      </c>
      <c r="J102" s="22" t="n">
        <v>156.962491287669</v>
      </c>
      <c r="K102" s="22" t="n">
        <v>177.226713659987</v>
      </c>
      <c r="L102" s="22" t="n">
        <v>170.517247784913</v>
      </c>
      <c r="M102" s="22" t="n">
        <v>135.703295705897</v>
      </c>
      <c r="N102" s="22" t="n">
        <v>134.050015882946</v>
      </c>
      <c r="O102" s="22" t="n">
        <v>137.262770041833</v>
      </c>
      <c r="P102" s="22" t="n">
        <v>152.413302874208</v>
      </c>
      <c r="Q102" s="22" t="n">
        <v>152.289375265207</v>
      </c>
      <c r="R102" s="22" t="n">
        <f aca="false">C102*'Weights &amp; Assumptions'!$F$6+D102*'Weights &amp; Assumptions'!$F$7</f>
        <v>112.021277962321</v>
      </c>
      <c r="S102" s="22" t="n">
        <f aca="false">E102*'Weights &amp; Assumptions'!$F$8+F102*'Weights &amp; Assumptions'!$F$9+H102*'Weights &amp; Assumptions'!$F$11</f>
        <v>139.533870262182</v>
      </c>
      <c r="T102" s="22" t="n">
        <f aca="false">G102*'Weights &amp; Assumptions'!$F$10+I102*'Weights &amp; Assumptions'!$F$12+J102*'Weights &amp; Assumptions'!$F$13+K102*'Weights &amp; Assumptions'!$F$14+L102*'Weights &amp; Assumptions'!$F$15+M102*'Weights &amp; Assumptions'!$F$16+N102*'Weights &amp; Assumptions'!$F$17+O102*'Weights &amp; Assumptions'!$F$18+P102*'Weights &amp; Assumptions'!$F$19+Q102*'Weights &amp; Assumptions'!$F$20</f>
        <v>153.013852127745</v>
      </c>
      <c r="U102" s="22" t="n">
        <f aca="false">R102*'Weights &amp; Assumptions'!$B$25/'Weights &amp; Assumptions'!$B$28+S102*'Weights &amp; Assumptions'!$B$26/'Weights &amp; Assumptions'!$B$28+T102*'Weights &amp; Assumptions'!$B$27/'Weights &amp; Assumptions'!$B$28</f>
        <v>145.989978392712</v>
      </c>
      <c r="V102" s="23" t="n">
        <f aca="false">IFERROR(Tabelle1!E103*'Weights &amp; Assumptions'!$F$6+Tabelle1!F103*'Weights &amp; Assumptions'!$F$7,"")</f>
        <v>96.2259658743042</v>
      </c>
      <c r="W102" s="23" t="n">
        <f aca="false">IFERROR(Tabelle1!G103*'Weights &amp; Assumptions'!$F$8+Tabelle1!H103*'Weights &amp; Assumptions'!$F$9+Tabelle1!J103*'Weights &amp; Assumptions'!$F$11,"")</f>
        <v>137.525715170128</v>
      </c>
      <c r="X102" s="23" t="n">
        <f aca="false">IFERROR(Tabelle1!I103*'Weights &amp; Assumptions'!$F$10+Tabelle1!K103*'Weights &amp; Assumptions'!$F$12+Tabelle1!L103*'Weights &amp; Assumptions'!$F$13+Tabelle1!M103*'Weights &amp; Assumptions'!$F$14+Tabelle1!N103*'Weights &amp; Assumptions'!$F$15+Tabelle1!O103*'Weights &amp; Assumptions'!$F$16+Tabelle1!P103*'Weights &amp; Assumptions'!$F$17+Tabelle1!Q103*'Weights &amp; Assumptions'!$F$18+Tabelle1!R103*'Weights &amp; Assumptions'!$F$19+Tabelle1!S103*'Weights &amp; Assumptions'!$F$20,"")</f>
        <v>152.222778497131</v>
      </c>
      <c r="Y102" s="22" t="n">
        <f aca="false">IFERROR(V102*'Weights &amp; Assumptions'!$B$25/'Weights &amp; Assumptions'!$B$28+W102*'Weights &amp; Assumptions'!$B$26/'Weights &amp; Assumptions'!$B$28+X102*'Weights &amp; Assumptions'!$B$27/'Weights &amp; Assumptions'!$B$28,"")</f>
        <v>143.616393448243</v>
      </c>
    </row>
    <row r="103" customFormat="false" ht="15" hidden="false" customHeight="false" outlineLevel="0" collapsed="false">
      <c r="A103" s="20" t="n">
        <v>40939</v>
      </c>
      <c r="B103" s="21" t="n">
        <v>147.73334</v>
      </c>
      <c r="C103" s="22" t="n">
        <v>109.877722362084</v>
      </c>
      <c r="D103" s="22" t="n">
        <v>115.588891760454</v>
      </c>
      <c r="E103" s="22" t="n">
        <v>95.5534753542143</v>
      </c>
      <c r="F103" s="22" t="n">
        <v>140.349844732059</v>
      </c>
      <c r="G103" s="22" t="n">
        <v>134.498662209477</v>
      </c>
      <c r="H103" s="22" t="n">
        <v>153.395938897004</v>
      </c>
      <c r="I103" s="22" t="n">
        <v>162.119904956617</v>
      </c>
      <c r="J103" s="22" t="n">
        <v>156.868134200214</v>
      </c>
      <c r="K103" s="22" t="n">
        <v>176.744993590065</v>
      </c>
      <c r="L103" s="22" t="n">
        <v>170.996535634361</v>
      </c>
      <c r="M103" s="22" t="n">
        <v>134.437008039525</v>
      </c>
      <c r="N103" s="22" t="n">
        <v>134.405845334328</v>
      </c>
      <c r="O103" s="22" t="n">
        <v>137.518810208974</v>
      </c>
      <c r="P103" s="22" t="n">
        <v>156.439194790744</v>
      </c>
      <c r="Q103" s="22" t="n">
        <v>150.500933158084</v>
      </c>
      <c r="R103" s="22" t="n">
        <f aca="false">C103*'Weights &amp; Assumptions'!$F$6+D103*'Weights &amp; Assumptions'!$F$7</f>
        <v>109.947698669178</v>
      </c>
      <c r="S103" s="22" t="n">
        <f aca="false">E103*'Weights &amp; Assumptions'!$F$8+F103*'Weights &amp; Assumptions'!$F$9+H103*'Weights &amp; Assumptions'!$F$11</f>
        <v>137.719070398275</v>
      </c>
      <c r="T103" s="22" t="n">
        <f aca="false">G103*'Weights &amp; Assumptions'!$F$10+I103*'Weights &amp; Assumptions'!$F$12+J103*'Weights &amp; Assumptions'!$F$13+K103*'Weights &amp; Assumptions'!$F$14+L103*'Weights &amp; Assumptions'!$F$15+M103*'Weights &amp; Assumptions'!$F$16+N103*'Weights &amp; Assumptions'!$F$17+O103*'Weights &amp; Assumptions'!$F$18+P103*'Weights &amp; Assumptions'!$F$19+Q103*'Weights &amp; Assumptions'!$F$20</f>
        <v>152.774181082855</v>
      </c>
      <c r="U103" s="22" t="n">
        <f aca="false">R103*'Weights &amp; Assumptions'!$B$25/'Weights &amp; Assumptions'!$B$28+S103*'Weights &amp; Assumptions'!$B$26/'Weights &amp; Assumptions'!$B$28+T103*'Weights &amp; Assumptions'!$B$27/'Weights &amp; Assumptions'!$B$28</f>
        <v>145.177586652032</v>
      </c>
      <c r="V103" s="23" t="n">
        <f aca="false">IFERROR(Tabelle1!E104*'Weights &amp; Assumptions'!$F$6+Tabelle1!F104*'Weights &amp; Assumptions'!$F$7,"")</f>
        <v>70.0231020530149</v>
      </c>
      <c r="W103" s="23" t="n">
        <f aca="false">IFERROR(Tabelle1!G104*'Weights &amp; Assumptions'!$F$8+Tabelle1!H104*'Weights &amp; Assumptions'!$F$9+Tabelle1!J104*'Weights &amp; Assumptions'!$F$11,"")</f>
        <v>126.96004414782</v>
      </c>
      <c r="X103" s="23" t="n">
        <f aca="false">IFERROR(Tabelle1!I104*'Weights &amp; Assumptions'!$F$10+Tabelle1!K104*'Weights &amp; Assumptions'!$F$12+Tabelle1!L104*'Weights &amp; Assumptions'!$F$13+Tabelle1!M104*'Weights &amp; Assumptions'!$F$14+Tabelle1!N104*'Weights &amp; Assumptions'!$F$15+Tabelle1!O104*'Weights &amp; Assumptions'!$F$16+Tabelle1!P104*'Weights &amp; Assumptions'!$F$17+Tabelle1!Q104*'Weights &amp; Assumptions'!$F$18+Tabelle1!R104*'Weights &amp; Assumptions'!$F$19+Tabelle1!S104*'Weights &amp; Assumptions'!$F$20,"")</f>
        <v>148.692753396413</v>
      </c>
      <c r="Y103" s="22" t="n">
        <f aca="false">IFERROR(V103*'Weights &amp; Assumptions'!$B$25/'Weights &amp; Assumptions'!$B$28+W103*'Weights &amp; Assumptions'!$B$26/'Weights &amp; Assumptions'!$B$28+X103*'Weights &amp; Assumptions'!$B$27/'Weights &amp; Assumptions'!$B$28,"")</f>
        <v>136.313197160196</v>
      </c>
    </row>
    <row r="104" customFormat="false" ht="15" hidden="false" customHeight="false" outlineLevel="0" collapsed="false">
      <c r="A104" s="20" t="n">
        <v>40968</v>
      </c>
      <c r="B104" s="21" t="n">
        <v>144.71961</v>
      </c>
      <c r="C104" s="22" t="n">
        <v>102.443904306863</v>
      </c>
      <c r="D104" s="22" t="n">
        <v>112.660908417117</v>
      </c>
      <c r="E104" s="22" t="n">
        <v>97.6393466957169</v>
      </c>
      <c r="F104" s="22" t="n">
        <v>142.841322184702</v>
      </c>
      <c r="G104" s="22" t="n">
        <v>136.526163553191</v>
      </c>
      <c r="H104" s="22" t="n">
        <v>152.403066356927</v>
      </c>
      <c r="I104" s="22" t="n">
        <v>160.404035974645</v>
      </c>
      <c r="J104" s="22" t="n">
        <v>158.230848133998</v>
      </c>
      <c r="K104" s="22" t="n">
        <v>177.856032137007</v>
      </c>
      <c r="L104" s="22" t="n">
        <v>172.800860970187</v>
      </c>
      <c r="M104" s="22" t="n">
        <v>133.937776123238</v>
      </c>
      <c r="N104" s="22" t="n">
        <v>134.477650228224</v>
      </c>
      <c r="O104" s="22" t="n">
        <v>137.80493420209</v>
      </c>
      <c r="P104" s="22" t="n">
        <v>156.898707332585</v>
      </c>
      <c r="Q104" s="22" t="n">
        <v>154.744419863013</v>
      </c>
      <c r="R104" s="22" t="n">
        <f aca="false">C104*'Weights &amp; Assumptions'!$F$6+D104*'Weights &amp; Assumptions'!$F$7</f>
        <v>102.569088514743</v>
      </c>
      <c r="S104" s="22" t="n">
        <f aca="false">E104*'Weights &amp; Assumptions'!$F$8+F104*'Weights &amp; Assumptions'!$F$9+H104*'Weights &amp; Assumptions'!$F$11</f>
        <v>139.436247011654</v>
      </c>
      <c r="T104" s="22" t="n">
        <f aca="false">G104*'Weights &amp; Assumptions'!$F$10+I104*'Weights &amp; Assumptions'!$F$12+J104*'Weights &amp; Assumptions'!$F$13+K104*'Weights &amp; Assumptions'!$F$14+L104*'Weights &amp; Assumptions'!$F$15+M104*'Weights &amp; Assumptions'!$F$16+N104*'Weights &amp; Assumptions'!$F$17+O104*'Weights &amp; Assumptions'!$F$18+P104*'Weights &amp; Assumptions'!$F$19+Q104*'Weights &amp; Assumptions'!$F$20</f>
        <v>153.037413917079</v>
      </c>
      <c r="U104" s="22" t="n">
        <f aca="false">R104*'Weights &amp; Assumptions'!$B$25/'Weights &amp; Assumptions'!$B$28+S104*'Weights &amp; Assumptions'!$B$26/'Weights &amp; Assumptions'!$B$28+T104*'Weights &amp; Assumptions'!$B$27/'Weights &amp; Assumptions'!$B$28</f>
        <v>145.186291548586</v>
      </c>
      <c r="V104" s="23" t="n">
        <f aca="false">IFERROR(Tabelle1!E105*'Weights &amp; Assumptions'!$F$6+Tabelle1!F105*'Weights &amp; Assumptions'!$F$7,"")</f>
        <v>68.5242648209199</v>
      </c>
      <c r="W104" s="23" t="n">
        <f aca="false">IFERROR(Tabelle1!G105*'Weights &amp; Assumptions'!$F$8+Tabelle1!H105*'Weights &amp; Assumptions'!$F$9+Tabelle1!J105*'Weights &amp; Assumptions'!$F$11,"")</f>
        <v>125.889618234004</v>
      </c>
      <c r="X104" s="23" t="n">
        <f aca="false">IFERROR(Tabelle1!I105*'Weights &amp; Assumptions'!$F$10+Tabelle1!K105*'Weights &amp; Assumptions'!$F$12+Tabelle1!L105*'Weights &amp; Assumptions'!$F$13+Tabelle1!M105*'Weights &amp; Assumptions'!$F$14+Tabelle1!N105*'Weights &amp; Assumptions'!$F$15+Tabelle1!O105*'Weights &amp; Assumptions'!$F$16+Tabelle1!P105*'Weights &amp; Assumptions'!$F$17+Tabelle1!Q105*'Weights &amp; Assumptions'!$F$18+Tabelle1!R105*'Weights &amp; Assumptions'!$F$19+Tabelle1!S105*'Weights &amp; Assumptions'!$F$20,"")</f>
        <v>145.001667786285</v>
      </c>
      <c r="Y104" s="22" t="n">
        <f aca="false">IFERROR(V104*'Weights &amp; Assumptions'!$B$25/'Weights &amp; Assumptions'!$B$28+W104*'Weights &amp; Assumptions'!$B$26/'Weights &amp; Assumptions'!$B$28+X104*'Weights &amp; Assumptions'!$B$27/'Weights &amp; Assumptions'!$B$28,"")</f>
        <v>133.502922204736</v>
      </c>
    </row>
    <row r="105" customFormat="false" ht="15" hidden="false" customHeight="false" outlineLevel="0" collapsed="false">
      <c r="A105" s="20" t="n">
        <v>40999</v>
      </c>
      <c r="B105" s="21" t="n">
        <v>145.37392</v>
      </c>
      <c r="C105" s="22" t="n">
        <v>97.977749731349</v>
      </c>
      <c r="D105" s="22" t="n">
        <v>131.556047086227</v>
      </c>
      <c r="E105" s="22" t="n">
        <v>96.8624692888956</v>
      </c>
      <c r="F105" s="22" t="n">
        <v>143.649713218839</v>
      </c>
      <c r="G105" s="22" t="n">
        <v>134.259507127413</v>
      </c>
      <c r="H105" s="22" t="n">
        <v>152.489666948555</v>
      </c>
      <c r="I105" s="22" t="n">
        <v>160.240753544302</v>
      </c>
      <c r="J105" s="22" t="n">
        <v>158.457798402338</v>
      </c>
      <c r="K105" s="22" t="n">
        <v>175.865492977486</v>
      </c>
      <c r="L105" s="22" t="n">
        <v>176.743107413671</v>
      </c>
      <c r="M105" s="22" t="n">
        <v>135.557802482748</v>
      </c>
      <c r="N105" s="22" t="n">
        <v>135.53210993481</v>
      </c>
      <c r="O105" s="22" t="n">
        <v>138.518300069203</v>
      </c>
      <c r="P105" s="22" t="n">
        <v>157.35493865862</v>
      </c>
      <c r="Q105" s="22" t="n">
        <v>152.581990965906</v>
      </c>
      <c r="R105" s="22" t="n">
        <f aca="false">C105*'Weights &amp; Assumptions'!$F$6+D105*'Weights &amp; Assumptions'!$F$7</f>
        <v>98.389169019329</v>
      </c>
      <c r="S105" s="22" t="n">
        <f aca="false">E105*'Weights &amp; Assumptions'!$F$8+F105*'Weights &amp; Assumptions'!$F$9+H105*'Weights &amp; Assumptions'!$F$11</f>
        <v>139.904994628857</v>
      </c>
      <c r="T105" s="22" t="n">
        <f aca="false">G105*'Weights &amp; Assumptions'!$F$10+I105*'Weights &amp; Assumptions'!$F$12+J105*'Weights &amp; Assumptions'!$F$13+K105*'Weights &amp; Assumptions'!$F$14+L105*'Weights &amp; Assumptions'!$F$15+M105*'Weights &amp; Assumptions'!$F$16+N105*'Weights &amp; Assumptions'!$F$17+O105*'Weights &amp; Assumptions'!$F$18+P105*'Weights &amp; Assumptions'!$F$19+Q105*'Weights &amp; Assumptions'!$F$20</f>
        <v>153.358152589523</v>
      </c>
      <c r="U105" s="22" t="n">
        <f aca="false">R105*'Weights &amp; Assumptions'!$B$25/'Weights &amp; Assumptions'!$B$28+S105*'Weights &amp; Assumptions'!$B$26/'Weights &amp; Assumptions'!$B$28+T105*'Weights &amp; Assumptions'!$B$27/'Weights &amp; Assumptions'!$B$28</f>
        <v>145.168779419162</v>
      </c>
      <c r="V105" s="23" t="n">
        <f aca="false">IFERROR(Tabelle1!E106*'Weights &amp; Assumptions'!$F$6+Tabelle1!F106*'Weights &amp; Assumptions'!$F$7,"")</f>
        <v>124.660007997402</v>
      </c>
      <c r="W105" s="23" t="n">
        <f aca="false">IFERROR(Tabelle1!G106*'Weights &amp; Assumptions'!$F$8+Tabelle1!H106*'Weights &amp; Assumptions'!$F$9+Tabelle1!J106*'Weights &amp; Assumptions'!$F$11,"")</f>
        <v>142.272735732444</v>
      </c>
      <c r="X105" s="23" t="n">
        <f aca="false">IFERROR(Tabelle1!I106*'Weights &amp; Assumptions'!$F$10+Tabelle1!K106*'Weights &amp; Assumptions'!$F$12+Tabelle1!L106*'Weights &amp; Assumptions'!$F$13+Tabelle1!M106*'Weights &amp; Assumptions'!$F$14+Tabelle1!N106*'Weights &amp; Assumptions'!$F$15+Tabelle1!O106*'Weights &amp; Assumptions'!$F$16+Tabelle1!P106*'Weights &amp; Assumptions'!$F$17+Tabelle1!Q106*'Weights &amp; Assumptions'!$F$18+Tabelle1!R106*'Weights &amp; Assumptions'!$F$19+Tabelle1!S106*'Weights &amp; Assumptions'!$F$20,"")</f>
        <v>154.367476567997</v>
      </c>
      <c r="Y105" s="22" t="n">
        <f aca="false">IFERROR(V105*'Weights &amp; Assumptions'!$B$25/'Weights &amp; Assumptions'!$B$28+W105*'Weights &amp; Assumptions'!$B$26/'Weights &amp; Assumptions'!$B$28+X105*'Weights &amp; Assumptions'!$B$27/'Weights &amp; Assumptions'!$B$28,"")</f>
        <v>148.658792371315</v>
      </c>
    </row>
    <row r="106" customFormat="false" ht="15" hidden="false" customHeight="false" outlineLevel="0" collapsed="false">
      <c r="A106" s="20" t="n">
        <v>41029</v>
      </c>
      <c r="B106" s="21" t="n">
        <v>141.92738</v>
      </c>
      <c r="C106" s="22" t="n">
        <v>88.801945041751</v>
      </c>
      <c r="D106" s="22" t="n">
        <v>107.415365897177</v>
      </c>
      <c r="E106" s="22" t="n">
        <v>98.2437231219838</v>
      </c>
      <c r="F106" s="22" t="n">
        <v>138.379490753162</v>
      </c>
      <c r="G106" s="22" t="n">
        <v>134.314861600885</v>
      </c>
      <c r="H106" s="22" t="n">
        <v>149.834714923267</v>
      </c>
      <c r="I106" s="22" t="n">
        <v>152.50916652719</v>
      </c>
      <c r="J106" s="22" t="n">
        <v>159.109441362825</v>
      </c>
      <c r="K106" s="22" t="n">
        <v>173.412165656385</v>
      </c>
      <c r="L106" s="22" t="n">
        <v>173.557814069142</v>
      </c>
      <c r="M106" s="22" t="n">
        <v>132.645118183842</v>
      </c>
      <c r="N106" s="22" t="n">
        <v>135.303922222507</v>
      </c>
      <c r="O106" s="22" t="n">
        <v>138.346404656092</v>
      </c>
      <c r="P106" s="22" t="n">
        <v>156.856040331746</v>
      </c>
      <c r="Q106" s="22" t="n">
        <v>153.968741296585</v>
      </c>
      <c r="R106" s="22" t="n">
        <f aca="false">C106*'Weights &amp; Assumptions'!$F$6+D106*'Weights &amp; Assumptions'!$F$7</f>
        <v>89.0300066457769</v>
      </c>
      <c r="S106" s="22" t="n">
        <f aca="false">E106*'Weights &amp; Assumptions'!$F$8+F106*'Weights &amp; Assumptions'!$F$9+H106*'Weights &amp; Assumptions'!$F$11</f>
        <v>135.973765796827</v>
      </c>
      <c r="T106" s="22" t="n">
        <f aca="false">G106*'Weights &amp; Assumptions'!$F$10+I106*'Weights &amp; Assumptions'!$F$12+J106*'Weights &amp; Assumptions'!$F$13+K106*'Weights &amp; Assumptions'!$F$14+L106*'Weights &amp; Assumptions'!$F$15+M106*'Weights &amp; Assumptions'!$F$16+N106*'Weights &amp; Assumptions'!$F$17+O106*'Weights &amp; Assumptions'!$F$18+P106*'Weights &amp; Assumptions'!$F$19+Q106*'Weights &amp; Assumptions'!$F$20</f>
        <v>150.628114845018</v>
      </c>
      <c r="U106" s="22" t="n">
        <f aca="false">R106*'Weights &amp; Assumptions'!$B$25/'Weights &amp; Assumptions'!$B$28+S106*'Weights &amp; Assumptions'!$B$26/'Weights &amp; Assumptions'!$B$28+T106*'Weights &amp; Assumptions'!$B$27/'Weights &amp; Assumptions'!$B$28</f>
        <v>141.563134908757</v>
      </c>
      <c r="V106" s="23" t="n">
        <f aca="false">IFERROR(Tabelle1!E107*'Weights &amp; Assumptions'!$F$6+Tabelle1!F107*'Weights &amp; Assumptions'!$F$7,"")</f>
        <v>165.54997191571</v>
      </c>
      <c r="W106" s="23" t="n">
        <f aca="false">IFERROR(Tabelle1!G107*'Weights &amp; Assumptions'!$F$8+Tabelle1!H107*'Weights &amp; Assumptions'!$F$9+Tabelle1!J107*'Weights &amp; Assumptions'!$F$11,"")</f>
        <v>135.403126716619</v>
      </c>
      <c r="X106" s="23" t="n">
        <f aca="false">IFERROR(Tabelle1!I107*'Weights &amp; Assumptions'!$F$10+Tabelle1!K107*'Weights &amp; Assumptions'!$F$12+Tabelle1!L107*'Weights &amp; Assumptions'!$F$13+Tabelle1!M107*'Weights &amp; Assumptions'!$F$14+Tabelle1!N107*'Weights &amp; Assumptions'!$F$15+Tabelle1!O107*'Weights &amp; Assumptions'!$F$16+Tabelle1!P107*'Weights &amp; Assumptions'!$F$17+Tabelle1!Q107*'Weights &amp; Assumptions'!$F$18+Tabelle1!R107*'Weights &amp; Assumptions'!$F$19+Tabelle1!S107*'Weights &amp; Assumptions'!$F$20,"")</f>
        <v>149.921755668512</v>
      </c>
      <c r="Y106" s="22" t="n">
        <f aca="false">IFERROR(V106*'Weights &amp; Assumptions'!$B$25/'Weights &amp; Assumptions'!$B$28+W106*'Weights &amp; Assumptions'!$B$26/'Weights &amp; Assumptions'!$B$28+X106*'Weights &amp; Assumptions'!$B$27/'Weights &amp; Assumptions'!$B$28,"")</f>
        <v>147.372218965312</v>
      </c>
    </row>
    <row r="107" customFormat="false" ht="15" hidden="false" customHeight="false" outlineLevel="0" collapsed="false">
      <c r="A107" s="20" t="n">
        <v>41060</v>
      </c>
      <c r="B107" s="21" t="n">
        <v>140.27489</v>
      </c>
      <c r="C107" s="22" t="n">
        <v>87.2250848955368</v>
      </c>
      <c r="D107" s="22" t="n">
        <v>110.942835464184</v>
      </c>
      <c r="E107" s="22" t="n">
        <v>97.5131154664128</v>
      </c>
      <c r="F107" s="22" t="n">
        <v>137.601882780435</v>
      </c>
      <c r="G107" s="22" t="n">
        <v>131.71722667653</v>
      </c>
      <c r="H107" s="22" t="n">
        <v>149.693467184009</v>
      </c>
      <c r="I107" s="22" t="n">
        <v>157.15199818795</v>
      </c>
      <c r="J107" s="22" t="n">
        <v>157.207785396284</v>
      </c>
      <c r="K107" s="22" t="n">
        <v>173.604629975964</v>
      </c>
      <c r="L107" s="22" t="n">
        <v>176.285308674448</v>
      </c>
      <c r="M107" s="22" t="n">
        <v>134.035711662797</v>
      </c>
      <c r="N107" s="22" t="n">
        <v>135.58847246618</v>
      </c>
      <c r="O107" s="22" t="n">
        <v>138.865157488172</v>
      </c>
      <c r="P107" s="22" t="n">
        <v>157.264988521717</v>
      </c>
      <c r="Q107" s="22" t="n">
        <v>153.418323563599</v>
      </c>
      <c r="R107" s="22" t="n">
        <f aca="false">C107*'Weights &amp; Assumptions'!$F$6+D107*'Weights &amp; Assumptions'!$F$7</f>
        <v>87.5156874817345</v>
      </c>
      <c r="S107" s="22" t="n">
        <f aca="false">E107*'Weights &amp; Assumptions'!$F$8+F107*'Weights &amp; Assumptions'!$F$9+H107*'Weights &amp; Assumptions'!$F$11</f>
        <v>135.334338420837</v>
      </c>
      <c r="T107" s="22" t="n">
        <f aca="false">G107*'Weights &amp; Assumptions'!$F$10+I107*'Weights &amp; Assumptions'!$F$12+J107*'Weights &amp; Assumptions'!$F$13+K107*'Weights &amp; Assumptions'!$F$14+L107*'Weights &amp; Assumptions'!$F$15+M107*'Weights &amp; Assumptions'!$F$16+N107*'Weights &amp; Assumptions'!$F$17+O107*'Weights &amp; Assumptions'!$F$18+P107*'Weights &amp; Assumptions'!$F$19+Q107*'Weights &amp; Assumptions'!$F$20</f>
        <v>151.994516458406</v>
      </c>
      <c r="U107" s="22" t="n">
        <f aca="false">R107*'Weights &amp; Assumptions'!$B$25/'Weights &amp; Assumptions'!$B$28+S107*'Weights &amp; Assumptions'!$B$26/'Weights &amp; Assumptions'!$B$28+T107*'Weights &amp; Assumptions'!$B$27/'Weights &amp; Assumptions'!$B$28</f>
        <v>142.15445668516</v>
      </c>
      <c r="V107" s="23" t="n">
        <f aca="false">IFERROR(Tabelle1!E108*'Weights &amp; Assumptions'!$F$6+Tabelle1!F108*'Weights &amp; Assumptions'!$F$7,"")</f>
        <v>237.986162715701</v>
      </c>
      <c r="W107" s="23" t="n">
        <f aca="false">IFERROR(Tabelle1!G108*'Weights &amp; Assumptions'!$F$8+Tabelle1!H108*'Weights &amp; Assumptions'!$F$9+Tabelle1!J108*'Weights &amp; Assumptions'!$F$11,"")</f>
        <v>138.479906085109</v>
      </c>
      <c r="X107" s="23" t="n">
        <f aca="false">IFERROR(Tabelle1!I108*'Weights &amp; Assumptions'!$F$10+Tabelle1!K108*'Weights &amp; Assumptions'!$F$12+Tabelle1!L108*'Weights &amp; Assumptions'!$F$13+Tabelle1!M108*'Weights &amp; Assumptions'!$F$14+Tabelle1!N108*'Weights &amp; Assumptions'!$F$15+Tabelle1!O108*'Weights &amp; Assumptions'!$F$16+Tabelle1!P108*'Weights &amp; Assumptions'!$F$17+Tabelle1!Q108*'Weights &amp; Assumptions'!$F$18+Tabelle1!R108*'Weights &amp; Assumptions'!$F$19+Tabelle1!S108*'Weights &amp; Assumptions'!$F$20,"")</f>
        <v>155.085494688803</v>
      </c>
      <c r="Y107" s="22" t="n">
        <f aca="false">IFERROR(V107*'Weights &amp; Assumptions'!$B$25/'Weights &amp; Assumptions'!$B$28+W107*'Weights &amp; Assumptions'!$B$26/'Weights &amp; Assumptions'!$B$28+X107*'Weights &amp; Assumptions'!$B$27/'Weights &amp; Assumptions'!$B$28,"")</f>
        <v>157.625213647173</v>
      </c>
    </row>
    <row r="108" customFormat="false" ht="15" hidden="false" customHeight="false" outlineLevel="0" collapsed="false">
      <c r="A108" s="20" t="n">
        <v>41090</v>
      </c>
      <c r="B108" s="21" t="n">
        <v>140.78102</v>
      </c>
      <c r="C108" s="22" t="n">
        <v>88.2615721242674</v>
      </c>
      <c r="D108" s="22" t="n">
        <v>78.2082798788723</v>
      </c>
      <c r="E108" s="22" t="n">
        <v>95.9438131333086</v>
      </c>
      <c r="F108" s="22" t="n">
        <v>137.495851888156</v>
      </c>
      <c r="G108" s="22" t="n">
        <v>133.166301198873</v>
      </c>
      <c r="H108" s="22" t="n">
        <v>149.02902784283</v>
      </c>
      <c r="I108" s="22" t="n">
        <v>157.217977158785</v>
      </c>
      <c r="J108" s="22" t="n">
        <v>157.85973454105</v>
      </c>
      <c r="K108" s="22" t="n">
        <v>174.705255422382</v>
      </c>
      <c r="L108" s="22" t="n">
        <v>173.885922415523</v>
      </c>
      <c r="M108" s="22" t="n">
        <v>133.270368500156</v>
      </c>
      <c r="N108" s="22" t="n">
        <v>135.928291873679</v>
      </c>
      <c r="O108" s="22" t="n">
        <v>139.381708045409</v>
      </c>
      <c r="P108" s="22" t="n">
        <v>157.870268535147</v>
      </c>
      <c r="Q108" s="22" t="n">
        <v>154.222540387636</v>
      </c>
      <c r="R108" s="22" t="n">
        <f aca="false">C108*'Weights &amp; Assumptions'!$F$6+D108*'Weights &amp; Assumptions'!$F$7</f>
        <v>88.1383938018605</v>
      </c>
      <c r="S108" s="22" t="n">
        <f aca="false">E108*'Weights &amp; Assumptions'!$F$8+F108*'Weights &amp; Assumptions'!$F$9+H108*'Weights &amp; Assumptions'!$F$11</f>
        <v>134.93726660207</v>
      </c>
      <c r="T108" s="22" t="n">
        <f aca="false">G108*'Weights &amp; Assumptions'!$F$10+I108*'Weights &amp; Assumptions'!$F$12+J108*'Weights &amp; Assumptions'!$F$13+K108*'Weights &amp; Assumptions'!$F$14+L108*'Weights &amp; Assumptions'!$F$15+M108*'Weights &amp; Assumptions'!$F$16+N108*'Weights &amp; Assumptions'!$F$17+O108*'Weights &amp; Assumptions'!$F$18+P108*'Weights &amp; Assumptions'!$F$19+Q108*'Weights &amp; Assumptions'!$F$20</f>
        <v>152.059093319893</v>
      </c>
      <c r="U108" s="22" t="n">
        <f aca="false">R108*'Weights &amp; Assumptions'!$B$25/'Weights &amp; Assumptions'!$B$28+S108*'Weights &amp; Assumptions'!$B$26/'Weights &amp; Assumptions'!$B$28+T108*'Weights &amp; Assumptions'!$B$27/'Weights &amp; Assumptions'!$B$28</f>
        <v>142.143100624466</v>
      </c>
      <c r="V108" s="23" t="n">
        <f aca="false">IFERROR(Tabelle1!E109*'Weights &amp; Assumptions'!$F$6+Tabelle1!F109*'Weights &amp; Assumptions'!$F$7,"")</f>
        <v>161.367913849895</v>
      </c>
      <c r="W108" s="23" t="n">
        <f aca="false">IFERROR(Tabelle1!G109*'Weights &amp; Assumptions'!$F$8+Tabelle1!H109*'Weights &amp; Assumptions'!$F$9+Tabelle1!J109*'Weights &amp; Assumptions'!$F$11,"")</f>
        <v>134.865568750592</v>
      </c>
      <c r="X108" s="23" t="n">
        <f aca="false">IFERROR(Tabelle1!I109*'Weights &amp; Assumptions'!$F$10+Tabelle1!K109*'Weights &amp; Assumptions'!$F$12+Tabelle1!L109*'Weights &amp; Assumptions'!$F$13+Tabelle1!M109*'Weights &amp; Assumptions'!$F$14+Tabelle1!N109*'Weights &amp; Assumptions'!$F$15+Tabelle1!O109*'Weights &amp; Assumptions'!$F$16+Tabelle1!P109*'Weights &amp; Assumptions'!$F$17+Tabelle1!Q109*'Weights &amp; Assumptions'!$F$18+Tabelle1!R109*'Weights &amp; Assumptions'!$F$19+Tabelle1!S109*'Weights &amp; Assumptions'!$F$20,"")</f>
        <v>155.027027404223</v>
      </c>
      <c r="Y108" s="22" t="n">
        <f aca="false">IFERROR(V108*'Weights &amp; Assumptions'!$B$25/'Weights &amp; Assumptions'!$B$28+W108*'Weights &amp; Assumptions'!$B$26/'Weights &amp; Assumptions'!$B$28+X108*'Weights &amp; Assumptions'!$B$27/'Weights &amp; Assumptions'!$B$28,"")</f>
        <v>150.197749014202</v>
      </c>
    </row>
    <row r="109" customFormat="false" ht="15" hidden="false" customHeight="false" outlineLevel="0" collapsed="false">
      <c r="A109" s="20" t="n">
        <v>41121</v>
      </c>
      <c r="B109" s="21" t="n">
        <v>144.76788</v>
      </c>
      <c r="C109" s="22" t="n">
        <v>100.964711210103</v>
      </c>
      <c r="D109" s="22" t="n">
        <v>103.433658405214</v>
      </c>
      <c r="E109" s="22" t="n">
        <v>96.2940045020174</v>
      </c>
      <c r="F109" s="22" t="n">
        <v>141.055906350312</v>
      </c>
      <c r="G109" s="22" t="n">
        <v>134.1718210689</v>
      </c>
      <c r="H109" s="22" t="n">
        <v>149.366720230719</v>
      </c>
      <c r="I109" s="22" t="n">
        <v>161.123226492013</v>
      </c>
      <c r="J109" s="22" t="n">
        <v>159.006064242488</v>
      </c>
      <c r="K109" s="22" t="n">
        <v>178.305553751197</v>
      </c>
      <c r="L109" s="22" t="n">
        <v>179.070723407218</v>
      </c>
      <c r="M109" s="22" t="n">
        <v>131.578802839159</v>
      </c>
      <c r="N109" s="22" t="n">
        <v>136.121078957771</v>
      </c>
      <c r="O109" s="22" t="n">
        <v>139.139229170579</v>
      </c>
      <c r="P109" s="22" t="n">
        <v>157.729808755139</v>
      </c>
      <c r="Q109" s="22" t="n">
        <v>155.871359319997</v>
      </c>
      <c r="R109" s="22" t="n">
        <f aca="false">C109*'Weights &amp; Assumptions'!$F$6+D109*'Weights &amp; Assumptions'!$F$7</f>
        <v>100.994962073818</v>
      </c>
      <c r="S109" s="22" t="n">
        <f aca="false">E109*'Weights &amp; Assumptions'!$F$8+F109*'Weights &amp; Assumptions'!$F$9+H109*'Weights &amp; Assumptions'!$F$11</f>
        <v>137.442776636827</v>
      </c>
      <c r="T109" s="22" t="n">
        <f aca="false">G109*'Weights &amp; Assumptions'!$F$10+I109*'Weights &amp; Assumptions'!$F$12+J109*'Weights &amp; Assumptions'!$F$13+K109*'Weights &amp; Assumptions'!$F$14+L109*'Weights &amp; Assumptions'!$F$15+M109*'Weights &amp; Assumptions'!$F$16+N109*'Weights &amp; Assumptions'!$F$17+O109*'Weights &amp; Assumptions'!$F$18+P109*'Weights &amp; Assumptions'!$F$19+Q109*'Weights &amp; Assumptions'!$F$20</f>
        <v>153.589944546033</v>
      </c>
      <c r="U109" s="22" t="n">
        <f aca="false">R109*'Weights &amp; Assumptions'!$B$25/'Weights &amp; Assumptions'!$B$28+S109*'Weights &amp; Assumptions'!$B$26/'Weights &amp; Assumptions'!$B$28+T109*'Weights &amp; Assumptions'!$B$27/'Weights &amp; Assumptions'!$B$28</f>
        <v>144.883367738705</v>
      </c>
      <c r="V109" s="23" t="n">
        <f aca="false">IFERROR(Tabelle1!E110*'Weights &amp; Assumptions'!$F$6+Tabelle1!F110*'Weights &amp; Assumptions'!$F$7,"")</f>
        <v>102.322300465072</v>
      </c>
      <c r="W109" s="23" t="n">
        <f aca="false">IFERROR(Tabelle1!G110*'Weights &amp; Assumptions'!$F$8+Tabelle1!H110*'Weights &amp; Assumptions'!$F$9+Tabelle1!J110*'Weights &amp; Assumptions'!$F$11,"")</f>
        <v>140.319327831023</v>
      </c>
      <c r="X109" s="23" t="n">
        <f aca="false">IFERROR(Tabelle1!I110*'Weights &amp; Assumptions'!$F$10+Tabelle1!K110*'Weights &amp; Assumptions'!$F$12+Tabelle1!L110*'Weights &amp; Assumptions'!$F$13+Tabelle1!M110*'Weights &amp; Assumptions'!$F$14+Tabelle1!N110*'Weights &amp; Assumptions'!$F$15+Tabelle1!O110*'Weights &amp; Assumptions'!$F$16+Tabelle1!P110*'Weights &amp; Assumptions'!$F$17+Tabelle1!Q110*'Weights &amp; Assumptions'!$F$18+Tabelle1!R110*'Weights &amp; Assumptions'!$F$19+Tabelle1!S110*'Weights &amp; Assumptions'!$F$20,"")</f>
        <v>155.925076196302</v>
      </c>
      <c r="Y109" s="22" t="n">
        <f aca="false">IFERROR(V109*'Weights &amp; Assumptions'!$B$25/'Weights &amp; Assumptions'!$B$28+W109*'Weights &amp; Assumptions'!$B$26/'Weights &amp; Assumptions'!$B$28+X109*'Weights &amp; Assumptions'!$B$27/'Weights &amp; Assumptions'!$B$28,"")</f>
        <v>147.277917610195</v>
      </c>
    </row>
    <row r="110" customFormat="false" ht="15" hidden="false" customHeight="false" outlineLevel="0" collapsed="false">
      <c r="A110" s="20" t="n">
        <v>41152</v>
      </c>
      <c r="B110" s="21" t="n">
        <v>145.04736</v>
      </c>
      <c r="C110" s="22" t="n">
        <v>109.305026832247</v>
      </c>
      <c r="D110" s="22" t="n">
        <v>120.298042041689</v>
      </c>
      <c r="E110" s="22" t="n">
        <v>95.5973360395845</v>
      </c>
      <c r="F110" s="22" t="n">
        <v>139.073602926642</v>
      </c>
      <c r="G110" s="22" t="n">
        <v>133.641536042779</v>
      </c>
      <c r="H110" s="22" t="n">
        <v>148.129020566816</v>
      </c>
      <c r="I110" s="22" t="n">
        <v>160.864407725903</v>
      </c>
      <c r="J110" s="22" t="n">
        <v>157.62159748874</v>
      </c>
      <c r="K110" s="22" t="n">
        <v>176.490792542539</v>
      </c>
      <c r="L110" s="22" t="n">
        <v>181.193709668294</v>
      </c>
      <c r="M110" s="22" t="n">
        <v>134.284902499581</v>
      </c>
      <c r="N110" s="22" t="n">
        <v>136.03894167439</v>
      </c>
      <c r="O110" s="22" t="n">
        <v>139.440541534406</v>
      </c>
      <c r="P110" s="22" t="n">
        <v>158.043206885321</v>
      </c>
      <c r="Q110" s="22" t="n">
        <v>153.623774385842</v>
      </c>
      <c r="R110" s="22" t="n">
        <f aca="false">C110*'Weights &amp; Assumptions'!$F$6+D110*'Weights &amp; Assumptions'!$F$7</f>
        <v>109.439719143844</v>
      </c>
      <c r="S110" s="22" t="n">
        <f aca="false">E110*'Weights &amp; Assumptions'!$F$8+F110*'Weights &amp; Assumptions'!$F$9+H110*'Weights &amp; Assumptions'!$F$11</f>
        <v>135.769093631854</v>
      </c>
      <c r="T110" s="22" t="n">
        <f aca="false">G110*'Weights &amp; Assumptions'!$F$10+I110*'Weights &amp; Assumptions'!$F$12+J110*'Weights &amp; Assumptions'!$F$13+K110*'Weights &amp; Assumptions'!$F$14+L110*'Weights &amp; Assumptions'!$F$15+M110*'Weights &amp; Assumptions'!$F$16+N110*'Weights &amp; Assumptions'!$F$17+O110*'Weights &amp; Assumptions'!$F$18+P110*'Weights &amp; Assumptions'!$F$19+Q110*'Weights &amp; Assumptions'!$F$20</f>
        <v>153.821603664407</v>
      </c>
      <c r="U110" s="22" t="n">
        <f aca="false">R110*'Weights &amp; Assumptions'!$B$25/'Weights &amp; Assumptions'!$B$28+S110*'Weights &amp; Assumptions'!$B$26/'Weights &amp; Assumptions'!$B$28+T110*'Weights &amp; Assumptions'!$B$27/'Weights &amp; Assumptions'!$B$28</f>
        <v>145.29744885672</v>
      </c>
      <c r="V110" s="23" t="n">
        <f aca="false">IFERROR(Tabelle1!E111*'Weights &amp; Assumptions'!$F$6+Tabelle1!F111*'Weights &amp; Assumptions'!$F$7,"")</f>
        <v>74.4761926590863</v>
      </c>
      <c r="W110" s="23" t="n">
        <f aca="false">IFERROR(Tabelle1!G111*'Weights &amp; Assumptions'!$F$8+Tabelle1!H111*'Weights &amp; Assumptions'!$F$9+Tabelle1!J111*'Weights &amp; Assumptions'!$F$11,"")</f>
        <v>140.271293120586</v>
      </c>
      <c r="X110" s="23" t="n">
        <f aca="false">IFERROR(Tabelle1!I111*'Weights &amp; Assumptions'!$F$10+Tabelle1!K111*'Weights &amp; Assumptions'!$F$12+Tabelle1!L111*'Weights &amp; Assumptions'!$F$13+Tabelle1!M111*'Weights &amp; Assumptions'!$F$14+Tabelle1!N111*'Weights &amp; Assumptions'!$F$15+Tabelle1!O111*'Weights &amp; Assumptions'!$F$16+Tabelle1!P111*'Weights &amp; Assumptions'!$F$17+Tabelle1!Q111*'Weights &amp; Assumptions'!$F$18+Tabelle1!R111*'Weights &amp; Assumptions'!$F$19+Tabelle1!S111*'Weights &amp; Assumptions'!$F$20,"")</f>
        <v>156.210163914267</v>
      </c>
      <c r="Y110" s="22" t="n">
        <f aca="false">IFERROR(V110*'Weights &amp; Assumptions'!$B$25/'Weights &amp; Assumptions'!$B$28+W110*'Weights &amp; Assumptions'!$B$26/'Weights &amp; Assumptions'!$B$28+X110*'Weights &amp; Assumptions'!$B$27/'Weights &amp; Assumptions'!$B$28,"")</f>
        <v>145.114191540217</v>
      </c>
    </row>
    <row r="111" customFormat="false" ht="15" hidden="false" customHeight="false" outlineLevel="0" collapsed="false">
      <c r="A111" s="20" t="n">
        <v>41182</v>
      </c>
      <c r="B111" s="21" t="n">
        <v>146.2317</v>
      </c>
      <c r="C111" s="22" t="n">
        <v>110.158263343113</v>
      </c>
      <c r="D111" s="22" t="n">
        <v>124.046452680932</v>
      </c>
      <c r="E111" s="22" t="n">
        <v>96.0032029142254</v>
      </c>
      <c r="F111" s="22" t="n">
        <v>137.424064557519</v>
      </c>
      <c r="G111" s="22" t="n">
        <v>132.143762409898</v>
      </c>
      <c r="H111" s="22" t="n">
        <v>146.093645360874</v>
      </c>
      <c r="I111" s="22" t="n">
        <v>155.549386451838</v>
      </c>
      <c r="J111" s="22" t="n">
        <v>157.058167706731</v>
      </c>
      <c r="K111" s="22" t="n">
        <v>174.541077090259</v>
      </c>
      <c r="L111" s="22" t="n">
        <v>178.070234279755</v>
      </c>
      <c r="M111" s="22" t="n">
        <v>131.569326376289</v>
      </c>
      <c r="N111" s="22" t="n">
        <v>136.262652391172</v>
      </c>
      <c r="O111" s="22" t="n">
        <v>139.372344951816</v>
      </c>
      <c r="P111" s="22" t="n">
        <v>158.334049225568</v>
      </c>
      <c r="Q111" s="22" t="n">
        <v>153.24802849815</v>
      </c>
      <c r="R111" s="22" t="n">
        <f aca="false">C111*'Weights &amp; Assumptions'!$F$6+D111*'Weights &amp; Assumptions'!$F$7</f>
        <v>110.328428879153</v>
      </c>
      <c r="S111" s="22" t="n">
        <f aca="false">E111*'Weights &amp; Assumptions'!$F$8+F111*'Weights &amp; Assumptions'!$F$9+H111*'Weights &amp; Assumptions'!$F$11</f>
        <v>134.284587014024</v>
      </c>
      <c r="T111" s="22" t="n">
        <f aca="false">G111*'Weights &amp; Assumptions'!$F$10+I111*'Weights &amp; Assumptions'!$F$12+J111*'Weights &amp; Assumptions'!$F$13+K111*'Weights &amp; Assumptions'!$F$14+L111*'Weights &amp; Assumptions'!$F$15+M111*'Weights &amp; Assumptions'!$F$16+N111*'Weights &amp; Assumptions'!$F$17+O111*'Weights &amp; Assumptions'!$F$18+P111*'Weights &amp; Assumptions'!$F$19+Q111*'Weights &amp; Assumptions'!$F$20</f>
        <v>151.611774503077</v>
      </c>
      <c r="U111" s="22" t="n">
        <f aca="false">R111*'Weights &amp; Assumptions'!$B$25/'Weights &amp; Assumptions'!$B$28+S111*'Weights &amp; Assumptions'!$B$26/'Weights &amp; Assumptions'!$B$28+T111*'Weights &amp; Assumptions'!$B$27/'Weights &amp; Assumptions'!$B$28</f>
        <v>143.540465621788</v>
      </c>
      <c r="V111" s="23" t="n">
        <f aca="false">IFERROR(Tabelle1!E112*'Weights &amp; Assumptions'!$F$6+Tabelle1!F112*'Weights &amp; Assumptions'!$F$7,"")</f>
        <v>72.2019442982801</v>
      </c>
      <c r="W111" s="23" t="n">
        <f aca="false">IFERROR(Tabelle1!G112*'Weights &amp; Assumptions'!$F$8+Tabelle1!H112*'Weights &amp; Assumptions'!$F$9+Tabelle1!J112*'Weights &amp; Assumptions'!$F$11,"")</f>
        <v>139.287508118255</v>
      </c>
      <c r="X111" s="23" t="n">
        <f aca="false">IFERROR(Tabelle1!I112*'Weights &amp; Assumptions'!$F$10+Tabelle1!K112*'Weights &amp; Assumptions'!$F$12+Tabelle1!L112*'Weights &amp; Assumptions'!$F$13+Tabelle1!M112*'Weights &amp; Assumptions'!$F$14+Tabelle1!N112*'Weights &amp; Assumptions'!$F$15+Tabelle1!O112*'Weights &amp; Assumptions'!$F$16+Tabelle1!P112*'Weights &amp; Assumptions'!$F$17+Tabelle1!Q112*'Weights &amp; Assumptions'!$F$18+Tabelle1!R112*'Weights &amp; Assumptions'!$F$19+Tabelle1!S112*'Weights &amp; Assumptions'!$F$20,"")</f>
        <v>152.14119579543</v>
      </c>
      <c r="Y111" s="22" t="n">
        <f aca="false">IFERROR(V111*'Weights &amp; Assumptions'!$B$25/'Weights &amp; Assumptions'!$B$28+W111*'Weights &amp; Assumptions'!$B$26/'Weights &amp; Assumptions'!$B$28+X111*'Weights &amp; Assumptions'!$B$27/'Weights &amp; Assumptions'!$B$28,"")</f>
        <v>142.016205985808</v>
      </c>
    </row>
    <row r="112" customFormat="false" ht="15" hidden="false" customHeight="false" outlineLevel="0" collapsed="false">
      <c r="A112" s="20" t="n">
        <v>41213</v>
      </c>
      <c r="B112" s="21" t="n">
        <v>147.08919</v>
      </c>
      <c r="C112" s="22" t="n">
        <v>108.150598697487</v>
      </c>
      <c r="D112" s="22" t="n">
        <v>114.861395500641</v>
      </c>
      <c r="E112" s="22" t="n">
        <v>94.458753366168</v>
      </c>
      <c r="F112" s="22" t="n">
        <v>140.566781911985</v>
      </c>
      <c r="G112" s="22" t="n">
        <v>132.56926868507</v>
      </c>
      <c r="H112" s="22" t="n">
        <v>150.620129118962</v>
      </c>
      <c r="I112" s="22" t="n">
        <v>162.20894308479</v>
      </c>
      <c r="J112" s="22" t="n">
        <v>157.364439454205</v>
      </c>
      <c r="K112" s="22" t="n">
        <v>176.935539119696</v>
      </c>
      <c r="L112" s="22" t="n">
        <v>182.886450639395</v>
      </c>
      <c r="M112" s="22" t="n">
        <v>133.002014472446</v>
      </c>
      <c r="N112" s="22" t="n">
        <v>137.259333454752</v>
      </c>
      <c r="O112" s="22" t="n">
        <v>140.998791146664</v>
      </c>
      <c r="P112" s="22" t="n">
        <v>160.076805799553</v>
      </c>
      <c r="Q112" s="22" t="n">
        <v>156.299253094898</v>
      </c>
      <c r="R112" s="22" t="n">
        <f aca="false">C112*'Weights &amp; Assumptions'!$F$6+D112*'Weights &amp; Assumptions'!$F$7</f>
        <v>108.232822975072</v>
      </c>
      <c r="S112" s="22" t="n">
        <f aca="false">E112*'Weights &amp; Assumptions'!$F$8+F112*'Weights &amp; Assumptions'!$F$9+H112*'Weights &amp; Assumptions'!$F$11</f>
        <v>137.155938602751</v>
      </c>
      <c r="T112" s="22" t="n">
        <f aca="false">G112*'Weights &amp; Assumptions'!$F$10+I112*'Weights &amp; Assumptions'!$F$12+J112*'Weights &amp; Assumptions'!$F$13+K112*'Weights &amp; Assumptions'!$F$14+L112*'Weights &amp; Assumptions'!$F$15+M112*'Weights &amp; Assumptions'!$F$16+N112*'Weights &amp; Assumptions'!$F$17+O112*'Weights &amp; Assumptions'!$F$18+P112*'Weights &amp; Assumptions'!$F$19+Q112*'Weights &amp; Assumptions'!$F$20</f>
        <v>154.509067419321</v>
      </c>
      <c r="U112" s="22" t="n">
        <f aca="false">R112*'Weights &amp; Assumptions'!$B$25/'Weights &amp; Assumptions'!$B$28+S112*'Weights &amp; Assumptions'!$B$26/'Weights &amp; Assumptions'!$B$28+T112*'Weights &amp; Assumptions'!$B$27/'Weights &amp; Assumptions'!$B$28</f>
        <v>146.01195191979</v>
      </c>
      <c r="V112" s="23" t="n">
        <f aca="false">IFERROR(Tabelle1!E113*'Weights &amp; Assumptions'!$F$6+Tabelle1!F113*'Weights &amp; Assumptions'!$F$7,"")</f>
        <v>72.8030556708502</v>
      </c>
      <c r="W112" s="23" t="n">
        <f aca="false">IFERROR(Tabelle1!G113*'Weights &amp; Assumptions'!$F$8+Tabelle1!H113*'Weights &amp; Assumptions'!$F$9+Tabelle1!J113*'Weights &amp; Assumptions'!$F$11,"")</f>
        <v>144.586576792846</v>
      </c>
      <c r="X112" s="23" t="n">
        <f aca="false">IFERROR(Tabelle1!I113*'Weights &amp; Assumptions'!$F$10+Tabelle1!K113*'Weights &amp; Assumptions'!$F$12+Tabelle1!L113*'Weights &amp; Assumptions'!$F$13+Tabelle1!M113*'Weights &amp; Assumptions'!$F$14+Tabelle1!N113*'Weights &amp; Assumptions'!$F$15+Tabelle1!O113*'Weights &amp; Assumptions'!$F$16+Tabelle1!P113*'Weights &amp; Assumptions'!$F$17+Tabelle1!Q113*'Weights &amp; Assumptions'!$F$18+Tabelle1!R113*'Weights &amp; Assumptions'!$F$19+Tabelle1!S113*'Weights &amp; Assumptions'!$F$20,"")</f>
        <v>156.297577478156</v>
      </c>
      <c r="Y112" s="22" t="n">
        <f aca="false">IFERROR(V112*'Weights &amp; Assumptions'!$B$25/'Weights &amp; Assumptions'!$B$28+W112*'Weights &amp; Assumptions'!$B$26/'Weights &amp; Assumptions'!$B$28+X112*'Weights &amp; Assumptions'!$B$27/'Weights &amp; Assumptions'!$B$28,"")</f>
        <v>146.178157962604</v>
      </c>
    </row>
    <row r="113" customFormat="false" ht="15" hidden="false" customHeight="false" outlineLevel="0" collapsed="false">
      <c r="A113" s="20" t="n">
        <v>41243</v>
      </c>
      <c r="B113" s="21" t="n">
        <v>146.95144</v>
      </c>
      <c r="C113" s="22" t="n">
        <v>105.138614406595</v>
      </c>
      <c r="D113" s="22" t="n">
        <v>126.881395330598</v>
      </c>
      <c r="E113" s="22" t="n">
        <v>92.842021992952</v>
      </c>
      <c r="F113" s="22" t="n">
        <v>140.745726855084</v>
      </c>
      <c r="G113" s="22" t="n">
        <v>136.510582687764</v>
      </c>
      <c r="H113" s="22" t="n">
        <v>150.623622641548</v>
      </c>
      <c r="I113" s="22" t="n">
        <v>162.767361082848</v>
      </c>
      <c r="J113" s="22" t="n">
        <v>157.881183231612</v>
      </c>
      <c r="K113" s="22" t="n">
        <v>177.57585509065</v>
      </c>
      <c r="L113" s="22" t="n">
        <v>184.538441184514</v>
      </c>
      <c r="M113" s="22" t="n">
        <v>132.845321643812</v>
      </c>
      <c r="N113" s="22" t="n">
        <v>137.28979330929</v>
      </c>
      <c r="O113" s="22" t="n">
        <v>141.081063249447</v>
      </c>
      <c r="P113" s="22" t="n">
        <v>160.324724714375</v>
      </c>
      <c r="Q113" s="22" t="n">
        <v>153.800352377507</v>
      </c>
      <c r="R113" s="22" t="n">
        <f aca="false">C113*'Weights &amp; Assumptions'!$F$6+D113*'Weights &amp; Assumptions'!$F$7</f>
        <v>105.405018606663</v>
      </c>
      <c r="S113" s="22" t="n">
        <f aca="false">E113*'Weights &amp; Assumptions'!$F$8+F113*'Weights &amp; Assumptions'!$F$9+H113*'Weights &amp; Assumptions'!$F$11</f>
        <v>137.083933232652</v>
      </c>
      <c r="T113" s="22" t="n">
        <f aca="false">G113*'Weights &amp; Assumptions'!$F$10+I113*'Weights &amp; Assumptions'!$F$12+J113*'Weights &amp; Assumptions'!$F$13+K113*'Weights &amp; Assumptions'!$F$14+L113*'Weights &amp; Assumptions'!$F$15+M113*'Weights &amp; Assumptions'!$F$16+N113*'Weights &amp; Assumptions'!$F$17+O113*'Weights &amp; Assumptions'!$F$18+P113*'Weights &amp; Assumptions'!$F$19+Q113*'Weights &amp; Assumptions'!$F$20</f>
        <v>154.835820761446</v>
      </c>
      <c r="U113" s="22" t="n">
        <f aca="false">R113*'Weights &amp; Assumptions'!$B$25/'Weights &amp; Assumptions'!$B$28+S113*'Weights &amp; Assumptions'!$B$26/'Weights &amp; Assumptions'!$B$28+T113*'Weights &amp; Assumptions'!$B$27/'Weights &amp; Assumptions'!$B$28</f>
        <v>145.967998337621</v>
      </c>
      <c r="V113" s="23" t="n">
        <f aca="false">IFERROR(Tabelle1!E114*'Weights &amp; Assumptions'!$F$6+Tabelle1!F114*'Weights &amp; Assumptions'!$F$7,"")</f>
        <v>85.2214013492092</v>
      </c>
      <c r="W113" s="23" t="n">
        <f aca="false">IFERROR(Tabelle1!G114*'Weights &amp; Assumptions'!$F$8+Tabelle1!H114*'Weights &amp; Assumptions'!$F$9+Tabelle1!J114*'Weights &amp; Assumptions'!$F$11,"")</f>
        <v>140.838989578705</v>
      </c>
      <c r="X113" s="23" t="n">
        <f aca="false">IFERROR(Tabelle1!I114*'Weights &amp; Assumptions'!$F$10+Tabelle1!K114*'Weights &amp; Assumptions'!$F$12+Tabelle1!L114*'Weights &amp; Assumptions'!$F$13+Tabelle1!M114*'Weights &amp; Assumptions'!$F$14+Tabelle1!N114*'Weights &amp; Assumptions'!$F$15+Tabelle1!O114*'Weights &amp; Assumptions'!$F$16+Tabelle1!P114*'Weights &amp; Assumptions'!$F$17+Tabelle1!Q114*'Weights &amp; Assumptions'!$F$18+Tabelle1!R114*'Weights &amp; Assumptions'!$F$19+Tabelle1!S114*'Weights &amp; Assumptions'!$F$20,"")</f>
        <v>155.853796197624</v>
      </c>
      <c r="Y113" s="22" t="n">
        <f aca="false">IFERROR(V113*'Weights &amp; Assumptions'!$B$25/'Weights &amp; Assumptions'!$B$28+W113*'Weights &amp; Assumptions'!$B$26/'Weights &amp; Assumptions'!$B$28+X113*'Weights &amp; Assumptions'!$B$27/'Weights &amp; Assumptions'!$B$28,"")</f>
        <v>145.93498012859</v>
      </c>
    </row>
    <row r="114" customFormat="false" ht="15" hidden="false" customHeight="false" outlineLevel="0" collapsed="false">
      <c r="A114" s="20" t="n">
        <v>41274</v>
      </c>
      <c r="B114" s="21" t="n">
        <v>149.27282</v>
      </c>
      <c r="C114" s="22" t="n">
        <v>96.9917711138576</v>
      </c>
      <c r="D114" s="22" t="n">
        <v>117.064389364998</v>
      </c>
      <c r="E114" s="22" t="n">
        <v>95.0245686338979</v>
      </c>
      <c r="F114" s="22" t="n">
        <v>141.50401585992</v>
      </c>
      <c r="G114" s="22" t="n">
        <v>131.455321340576</v>
      </c>
      <c r="H114" s="22" t="n">
        <v>149.795666846193</v>
      </c>
      <c r="I114" s="22" t="n">
        <v>162.951452818015</v>
      </c>
      <c r="J114" s="22" t="n">
        <v>157.862749134034</v>
      </c>
      <c r="K114" s="22" t="n">
        <v>177.532711153598</v>
      </c>
      <c r="L114" s="22" t="n">
        <v>184.307745273672</v>
      </c>
      <c r="M114" s="22" t="n">
        <v>133.131251600409</v>
      </c>
      <c r="N114" s="22" t="n">
        <v>137.45227857376</v>
      </c>
      <c r="O114" s="22" t="n">
        <v>141.505888170841</v>
      </c>
      <c r="P114" s="22" t="n">
        <v>160.686781442318</v>
      </c>
      <c r="Q114" s="22" t="n">
        <v>152.848604434162</v>
      </c>
      <c r="R114" s="22" t="n">
        <f aca="false">C114*'Weights &amp; Assumptions'!$F$6+D114*'Weights &amp; Assumptions'!$F$7</f>
        <v>97.2377115861067</v>
      </c>
      <c r="S114" s="22" t="n">
        <f aca="false">E114*'Weights &amp; Assumptions'!$F$8+F114*'Weights &amp; Assumptions'!$F$9+H114*'Weights &amp; Assumptions'!$F$11</f>
        <v>137.681823079666</v>
      </c>
      <c r="T114" s="22" t="n">
        <f aca="false">G114*'Weights &amp; Assumptions'!$F$10+I114*'Weights &amp; Assumptions'!$F$12+J114*'Weights &amp; Assumptions'!$F$13+K114*'Weights &amp; Assumptions'!$F$14+L114*'Weights &amp; Assumptions'!$F$15+M114*'Weights &amp; Assumptions'!$F$16+N114*'Weights &amp; Assumptions'!$F$17+O114*'Weights &amp; Assumptions'!$F$18+P114*'Weights &amp; Assumptions'!$F$19+Q114*'Weights &amp; Assumptions'!$F$20</f>
        <v>154.784525982052</v>
      </c>
      <c r="U114" s="22" t="n">
        <f aca="false">R114*'Weights &amp; Assumptions'!$B$25/'Weights &amp; Assumptions'!$B$28+S114*'Weights &amp; Assumptions'!$B$26/'Weights &amp; Assumptions'!$B$28+T114*'Weights &amp; Assumptions'!$B$27/'Weights &amp; Assumptions'!$B$28</f>
        <v>145.408392909287</v>
      </c>
      <c r="V114" s="23" t="n">
        <f aca="false">IFERROR(Tabelle1!E115*'Weights &amp; Assumptions'!$F$6+Tabelle1!F115*'Weights &amp; Assumptions'!$F$7,"")</f>
        <v>80.9255153809847</v>
      </c>
      <c r="W114" s="23" t="n">
        <f aca="false">IFERROR(Tabelle1!G115*'Weights &amp; Assumptions'!$F$8+Tabelle1!H115*'Weights &amp; Assumptions'!$F$9+Tabelle1!J115*'Weights &amp; Assumptions'!$F$11,"")</f>
        <v>136.27639543081</v>
      </c>
      <c r="X114" s="23" t="n">
        <f aca="false">IFERROR(Tabelle1!I115*'Weights &amp; Assumptions'!$F$10+Tabelle1!K115*'Weights &amp; Assumptions'!$F$12+Tabelle1!L115*'Weights &amp; Assumptions'!$F$13+Tabelle1!M115*'Weights &amp; Assumptions'!$F$14+Tabelle1!N115*'Weights &amp; Assumptions'!$F$15+Tabelle1!O115*'Weights &amp; Assumptions'!$F$16+Tabelle1!P115*'Weights &amp; Assumptions'!$F$17+Tabelle1!Q115*'Weights &amp; Assumptions'!$F$18+Tabelle1!R115*'Weights &amp; Assumptions'!$F$19+Tabelle1!S115*'Weights &amp; Assumptions'!$F$20,"")</f>
        <v>153.981474098646</v>
      </c>
      <c r="Y114" s="22" t="n">
        <f aca="false">IFERROR(V114*'Weights &amp; Assumptions'!$B$25/'Weights &amp; Assumptions'!$B$28+W114*'Weights &amp; Assumptions'!$B$26/'Weights &amp; Assumptions'!$B$28+X114*'Weights &amp; Assumptions'!$B$27/'Weights &amp; Assumptions'!$B$28,"")</f>
        <v>143.143928672173</v>
      </c>
    </row>
    <row r="115" customFormat="false" ht="15" hidden="false" customHeight="false" outlineLevel="0" collapsed="false">
      <c r="A115" s="20" t="n">
        <v>41305</v>
      </c>
      <c r="B115" s="21" t="n">
        <v>145.88006</v>
      </c>
      <c r="C115" s="22" t="n">
        <v>102.606973672781</v>
      </c>
      <c r="D115" s="22" t="n">
        <v>126.022250521172</v>
      </c>
      <c r="E115" s="22" t="n">
        <v>93.1977915434427</v>
      </c>
      <c r="F115" s="22" t="n">
        <v>140.51331978778</v>
      </c>
      <c r="G115" s="22" t="n">
        <v>130.591096062604</v>
      </c>
      <c r="H115" s="22" t="n">
        <v>148.939926866574</v>
      </c>
      <c r="I115" s="22" t="n">
        <v>162.862289196913</v>
      </c>
      <c r="J115" s="22" t="n">
        <v>156.0624335018</v>
      </c>
      <c r="K115" s="22" t="n">
        <v>176.977704780893</v>
      </c>
      <c r="L115" s="22" t="n">
        <v>180.537558003718</v>
      </c>
      <c r="M115" s="22" t="n">
        <v>134.07224050619</v>
      </c>
      <c r="N115" s="22" t="n">
        <v>137.392988959416</v>
      </c>
      <c r="O115" s="22" t="n">
        <v>141.801169220155</v>
      </c>
      <c r="P115" s="22" t="n">
        <v>160.416470247971</v>
      </c>
      <c r="Q115" s="22" t="n">
        <v>149.756624020838</v>
      </c>
      <c r="R115" s="22" t="n">
        <f aca="false">C115*'Weights &amp; Assumptions'!$F$6+D115*'Weights &amp; Assumptions'!$F$7</f>
        <v>102.893870188914</v>
      </c>
      <c r="S115" s="22" t="n">
        <f aca="false">E115*'Weights &amp; Assumptions'!$F$8+F115*'Weights &amp; Assumptions'!$F$9+H115*'Weights &amp; Assumptions'!$F$11</f>
        <v>136.619415390884</v>
      </c>
      <c r="T115" s="22" t="n">
        <f aca="false">G115*'Weights &amp; Assumptions'!$F$10+I115*'Weights &amp; Assumptions'!$F$12+J115*'Weights &amp; Assumptions'!$F$13+K115*'Weights &amp; Assumptions'!$F$14+L115*'Weights &amp; Assumptions'!$F$15+M115*'Weights &amp; Assumptions'!$F$16+N115*'Weights &amp; Assumptions'!$F$17+O115*'Weights &amp; Assumptions'!$F$18+P115*'Weights &amp; Assumptions'!$F$19+Q115*'Weights &amp; Assumptions'!$F$20</f>
        <v>154.309036794611</v>
      </c>
      <c r="U115" s="22" t="n">
        <f aca="false">R115*'Weights &amp; Assumptions'!$B$25/'Weights &amp; Assumptions'!$B$28+S115*'Weights &amp; Assumptions'!$B$26/'Weights &amp; Assumptions'!$B$28+T115*'Weights &amp; Assumptions'!$B$27/'Weights &amp; Assumptions'!$B$28</f>
        <v>145.291282192299</v>
      </c>
      <c r="V115" s="23" t="n">
        <f aca="false">IFERROR(Tabelle1!E116*'Weights &amp; Assumptions'!$F$6+Tabelle1!F116*'Weights &amp; Assumptions'!$F$7,"")</f>
        <v>63.7841704148937</v>
      </c>
      <c r="W115" s="23" t="n">
        <f aca="false">IFERROR(Tabelle1!G116*'Weights &amp; Assumptions'!$F$8+Tabelle1!H116*'Weights &amp; Assumptions'!$F$9+Tabelle1!J116*'Weights &amp; Assumptions'!$F$11,"")</f>
        <v>125.576961406561</v>
      </c>
      <c r="X115" s="23" t="n">
        <f aca="false">IFERROR(Tabelle1!I116*'Weights &amp; Assumptions'!$F$10+Tabelle1!K116*'Weights &amp; Assumptions'!$F$12+Tabelle1!L116*'Weights &amp; Assumptions'!$F$13+Tabelle1!M116*'Weights &amp; Assumptions'!$F$14+Tabelle1!N116*'Weights &amp; Assumptions'!$F$15+Tabelle1!O116*'Weights &amp; Assumptions'!$F$16+Tabelle1!P116*'Weights &amp; Assumptions'!$F$17+Tabelle1!Q116*'Weights &amp; Assumptions'!$F$18+Tabelle1!R116*'Weights &amp; Assumptions'!$F$19+Tabelle1!S116*'Weights &amp; Assumptions'!$F$20,"")</f>
        <v>149.93758141757</v>
      </c>
      <c r="Y115" s="22" t="n">
        <f aca="false">IFERROR(V115*'Weights &amp; Assumptions'!$B$25/'Weights &amp; Assumptions'!$B$28+W115*'Weights &amp; Assumptions'!$B$26/'Weights &amp; Assumptions'!$B$28+X115*'Weights &amp; Assumptions'!$B$27/'Weights &amp; Assumptions'!$B$28,"")</f>
        <v>136.231324141462</v>
      </c>
    </row>
    <row r="116" customFormat="false" ht="15" hidden="false" customHeight="false" outlineLevel="0" collapsed="false">
      <c r="A116" s="20" t="n">
        <v>41333</v>
      </c>
      <c r="B116" s="21" t="n">
        <v>148.73547</v>
      </c>
      <c r="C116" s="22" t="n">
        <v>109.492064374874</v>
      </c>
      <c r="D116" s="22" t="n">
        <v>159.474106463719</v>
      </c>
      <c r="E116" s="22" t="n">
        <v>91.7832656646758</v>
      </c>
      <c r="F116" s="22" t="n">
        <v>138.715100713176</v>
      </c>
      <c r="G116" s="22" t="n">
        <v>131.553817235967</v>
      </c>
      <c r="H116" s="22" t="n">
        <v>149.311957800771</v>
      </c>
      <c r="I116" s="22" t="n">
        <v>162.475448012465</v>
      </c>
      <c r="J116" s="22" t="n">
        <v>157.233676523539</v>
      </c>
      <c r="K116" s="22" t="n">
        <v>175.762279950543</v>
      </c>
      <c r="L116" s="22" t="n">
        <v>180.507400258479</v>
      </c>
      <c r="M116" s="22" t="n">
        <v>133.63845489083</v>
      </c>
      <c r="N116" s="22" t="n">
        <v>139.10813790671</v>
      </c>
      <c r="O116" s="22" t="n">
        <v>142.289444059505</v>
      </c>
      <c r="P116" s="22" t="n">
        <v>160.909269512384</v>
      </c>
      <c r="Q116" s="22" t="n">
        <v>149.91367227586</v>
      </c>
      <c r="R116" s="22" t="n">
        <f aca="false">C116*'Weights &amp; Assumptions'!$F$6+D116*'Weights &amp; Assumptions'!$F$7</f>
        <v>110.104471131257</v>
      </c>
      <c r="S116" s="22" t="n">
        <f aca="false">E116*'Weights &amp; Assumptions'!$F$8+F116*'Weights &amp; Assumptions'!$F$9+H116*'Weights &amp; Assumptions'!$F$11</f>
        <v>135.319122739859</v>
      </c>
      <c r="T116" s="22" t="n">
        <f aca="false">G116*'Weights &amp; Assumptions'!$F$10+I116*'Weights &amp; Assumptions'!$F$12+J116*'Weights &amp; Assumptions'!$F$13+K116*'Weights &amp; Assumptions'!$F$14+L116*'Weights &amp; Assumptions'!$F$15+M116*'Weights &amp; Assumptions'!$F$16+N116*'Weights &amp; Assumptions'!$F$17+O116*'Weights &amp; Assumptions'!$F$18+P116*'Weights &amp; Assumptions'!$F$19+Q116*'Weights &amp; Assumptions'!$F$20</f>
        <v>154.286191446201</v>
      </c>
      <c r="U116" s="22" t="n">
        <f aca="false">R116*'Weights &amp; Assumptions'!$B$25/'Weights &amp; Assumptions'!$B$28+S116*'Weights &amp; Assumptions'!$B$26/'Weights &amp; Assumptions'!$B$28+T116*'Weights &amp; Assumptions'!$B$27/'Weights &amp; Assumptions'!$B$28</f>
        <v>145.53563345492</v>
      </c>
      <c r="V116" s="23" t="n">
        <f aca="false">IFERROR(Tabelle1!E117*'Weights &amp; Assumptions'!$F$6+Tabelle1!F117*'Weights &amp; Assumptions'!$F$7,"")</f>
        <v>73.3396585189688</v>
      </c>
      <c r="W116" s="23" t="n">
        <f aca="false">IFERROR(Tabelle1!G117*'Weights &amp; Assumptions'!$F$8+Tabelle1!H117*'Weights &amp; Assumptions'!$F$9+Tabelle1!J117*'Weights &amp; Assumptions'!$F$11,"")</f>
        <v>121.620375542009</v>
      </c>
      <c r="X116" s="23" t="n">
        <f aca="false">IFERROR(Tabelle1!I117*'Weights &amp; Assumptions'!$F$10+Tabelle1!K117*'Weights &amp; Assumptions'!$F$12+Tabelle1!L117*'Weights &amp; Assumptions'!$F$13+Tabelle1!M117*'Weights &amp; Assumptions'!$F$14+Tabelle1!N117*'Weights &amp; Assumptions'!$F$15+Tabelle1!O117*'Weights &amp; Assumptions'!$F$16+Tabelle1!P117*'Weights &amp; Assumptions'!$F$17+Tabelle1!Q117*'Weights &amp; Assumptions'!$F$18+Tabelle1!R117*'Weights &amp; Assumptions'!$F$19+Tabelle1!S117*'Weights &amp; Assumptions'!$F$20,"")</f>
        <v>146.164684234885</v>
      </c>
      <c r="Y116" s="22" t="n">
        <f aca="false">IFERROR(V116*'Weights &amp; Assumptions'!$B$25/'Weights &amp; Assumptions'!$B$28+W116*'Weights &amp; Assumptions'!$B$26/'Weights &amp; Assumptions'!$B$28+X116*'Weights &amp; Assumptions'!$B$27/'Weights &amp; Assumptions'!$B$28,"")</f>
        <v>133.527843546983</v>
      </c>
    </row>
    <row r="117" customFormat="false" ht="15" hidden="false" customHeight="false" outlineLevel="0" collapsed="false">
      <c r="A117" s="20" t="n">
        <v>41364</v>
      </c>
      <c r="B117" s="21" t="n">
        <v>148.7589</v>
      </c>
      <c r="C117" s="22" t="n">
        <v>110.017361498489</v>
      </c>
      <c r="D117" s="22" t="n">
        <v>101.430642810164</v>
      </c>
      <c r="E117" s="22" t="n">
        <v>91.4876545928724</v>
      </c>
      <c r="F117" s="22" t="n">
        <v>140.946688079678</v>
      </c>
      <c r="G117" s="22" t="n">
        <v>129.933416352563</v>
      </c>
      <c r="H117" s="22" t="n">
        <v>149.416342314297</v>
      </c>
      <c r="I117" s="22" t="n">
        <v>164.895641136148</v>
      </c>
      <c r="J117" s="22" t="n">
        <v>160.206818923565</v>
      </c>
      <c r="K117" s="22" t="n">
        <v>180.073866863495</v>
      </c>
      <c r="L117" s="22" t="n">
        <v>181.801441825907</v>
      </c>
      <c r="M117" s="22" t="n">
        <v>134.467895579411</v>
      </c>
      <c r="N117" s="22" t="n">
        <v>137.75512537548</v>
      </c>
      <c r="O117" s="22" t="n">
        <v>142.668712551486</v>
      </c>
      <c r="P117" s="22" t="n">
        <v>161.579835529996</v>
      </c>
      <c r="Q117" s="22" t="n">
        <v>150.3094404081</v>
      </c>
      <c r="R117" s="22" t="n">
        <f aca="false">C117*'Weights &amp; Assumptions'!$F$6+D117*'Weights &amp; Assumptions'!$F$7</f>
        <v>109.912152420986</v>
      </c>
      <c r="S117" s="22" t="n">
        <f aca="false">E117*'Weights &amp; Assumptions'!$F$8+F117*'Weights &amp; Assumptions'!$F$9+H117*'Weights &amp; Assumptions'!$F$11</f>
        <v>136.805821806726</v>
      </c>
      <c r="T117" s="22" t="n">
        <f aca="false">G117*'Weights &amp; Assumptions'!$F$10+I117*'Weights &amp; Assumptions'!$F$12+J117*'Weights &amp; Assumptions'!$F$13+K117*'Weights &amp; Assumptions'!$F$14+L117*'Weights &amp; Assumptions'!$F$15+M117*'Weights &amp; Assumptions'!$F$16+N117*'Weights &amp; Assumptions'!$F$17+O117*'Weights &amp; Assumptions'!$F$18+P117*'Weights &amp; Assumptions'!$F$19+Q117*'Weights &amp; Assumptions'!$F$20</f>
        <v>155.739065487955</v>
      </c>
      <c r="U117" s="22" t="n">
        <f aca="false">R117*'Weights &amp; Assumptions'!$B$25/'Weights &amp; Assumptions'!$B$28+S117*'Weights &amp; Assumptions'!$B$26/'Weights &amp; Assumptions'!$B$28+T117*'Weights &amp; Assumptions'!$B$27/'Weights &amp; Assumptions'!$B$28</f>
        <v>146.859469120691</v>
      </c>
      <c r="V117" s="23" t="n">
        <f aca="false">IFERROR(Tabelle1!E118*'Weights &amp; Assumptions'!$F$6+Tabelle1!F118*'Weights &amp; Assumptions'!$F$7,"")</f>
        <v>139.529358462116</v>
      </c>
      <c r="W117" s="23" t="n">
        <f aca="false">IFERROR(Tabelle1!G118*'Weights &amp; Assumptions'!$F$8+Tabelle1!H118*'Weights &amp; Assumptions'!$F$9+Tabelle1!J118*'Weights &amp; Assumptions'!$F$11,"")</f>
        <v>138.046857843847</v>
      </c>
      <c r="X117" s="23" t="n">
        <f aca="false">IFERROR(Tabelle1!I118*'Weights &amp; Assumptions'!$F$10+Tabelle1!K118*'Weights &amp; Assumptions'!$F$12+Tabelle1!L118*'Weights &amp; Assumptions'!$F$13+Tabelle1!M118*'Weights &amp; Assumptions'!$F$14+Tabelle1!N118*'Weights &amp; Assumptions'!$F$15+Tabelle1!O118*'Weights &amp; Assumptions'!$F$16+Tabelle1!P118*'Weights &amp; Assumptions'!$F$17+Tabelle1!Q118*'Weights &amp; Assumptions'!$F$18+Tabelle1!R118*'Weights &amp; Assumptions'!$F$19+Tabelle1!S118*'Weights &amp; Assumptions'!$F$20,"")</f>
        <v>156.235660389044</v>
      </c>
      <c r="Y117" s="22" t="n">
        <f aca="false">IFERROR(V117*'Weights &amp; Assumptions'!$B$25/'Weights &amp; Assumptions'!$B$28+W117*'Weights &amp; Assumptions'!$B$26/'Weights &amp; Assumptions'!$B$28+X117*'Weights &amp; Assumptions'!$B$27/'Weights &amp; Assumptions'!$B$28,"")</f>
        <v>149.997267432645</v>
      </c>
    </row>
    <row r="118" customFormat="false" ht="15" hidden="false" customHeight="false" outlineLevel="0" collapsed="false">
      <c r="A118" s="20" t="n">
        <v>41394</v>
      </c>
      <c r="B118" s="21" t="n">
        <v>148.5213</v>
      </c>
      <c r="C118" s="22" t="n">
        <v>106.442088789262</v>
      </c>
      <c r="D118" s="22" t="n">
        <v>147.46993828838</v>
      </c>
      <c r="E118" s="22" t="n">
        <v>93.2767597009892</v>
      </c>
      <c r="F118" s="22" t="n">
        <v>144.469970637188</v>
      </c>
      <c r="G118" s="22" t="n">
        <v>134.962948355836</v>
      </c>
      <c r="H118" s="22" t="n">
        <v>152.0518478587</v>
      </c>
      <c r="I118" s="22" t="n">
        <v>172.173620683958</v>
      </c>
      <c r="J118" s="22" t="n">
        <v>159.25534917991</v>
      </c>
      <c r="K118" s="22" t="n">
        <v>180.695472769015</v>
      </c>
      <c r="L118" s="22" t="n">
        <v>184.10565693241</v>
      </c>
      <c r="M118" s="22" t="n">
        <v>134.914119220194</v>
      </c>
      <c r="N118" s="22" t="n">
        <v>138.584678561838</v>
      </c>
      <c r="O118" s="22" t="n">
        <v>142.617719983173</v>
      </c>
      <c r="P118" s="22" t="n">
        <v>161.465575414264</v>
      </c>
      <c r="Q118" s="22" t="n">
        <v>149.38670639451</v>
      </c>
      <c r="R118" s="22" t="n">
        <f aca="false">C118*'Weights &amp; Assumptions'!$F$6+D118*'Weights &amp; Assumptions'!$F$7</f>
        <v>106.944783981036</v>
      </c>
      <c r="S118" s="22" t="n">
        <f aca="false">E118*'Weights &amp; Assumptions'!$F$8+F118*'Weights &amp; Assumptions'!$F$9+H118*'Weights &amp; Assumptions'!$F$11</f>
        <v>139.937102629816</v>
      </c>
      <c r="T118" s="22" t="n">
        <f aca="false">G118*'Weights &amp; Assumptions'!$F$10+I118*'Weights &amp; Assumptions'!$F$12+J118*'Weights &amp; Assumptions'!$F$13+K118*'Weights &amp; Assumptions'!$F$14+L118*'Weights &amp; Assumptions'!$F$15+M118*'Weights &amp; Assumptions'!$F$16+N118*'Weights &amp; Assumptions'!$F$17+O118*'Weights &amp; Assumptions'!$F$18+P118*'Weights &amp; Assumptions'!$F$19+Q118*'Weights &amp; Assumptions'!$F$20</f>
        <v>157.690296401833</v>
      </c>
      <c r="U118" s="22" t="n">
        <f aca="false">R118*'Weights &amp; Assumptions'!$B$25/'Weights &amp; Assumptions'!$B$28+S118*'Weights &amp; Assumptions'!$B$26/'Weights &amp; Assumptions'!$B$28+T118*'Weights &amp; Assumptions'!$B$27/'Weights &amp; Assumptions'!$B$28</f>
        <v>148.711821339699</v>
      </c>
      <c r="V118" s="23" t="n">
        <f aca="false">IFERROR(Tabelle1!E119*'Weights &amp; Assumptions'!$F$6+Tabelle1!F119*'Weights &amp; Assumptions'!$F$7,"")</f>
        <v>201.494359653997</v>
      </c>
      <c r="W118" s="23" t="n">
        <f aca="false">IFERROR(Tabelle1!G119*'Weights &amp; Assumptions'!$F$8+Tabelle1!H119*'Weights &amp; Assumptions'!$F$9+Tabelle1!J119*'Weights &amp; Assumptions'!$F$11,"")</f>
        <v>139.739180440549</v>
      </c>
      <c r="X118" s="23" t="n">
        <f aca="false">IFERROR(Tabelle1!I119*'Weights &amp; Assumptions'!$F$10+Tabelle1!K119*'Weights &amp; Assumptions'!$F$12+Tabelle1!L119*'Weights &amp; Assumptions'!$F$13+Tabelle1!M119*'Weights &amp; Assumptions'!$F$14+Tabelle1!N119*'Weights &amp; Assumptions'!$F$15+Tabelle1!O119*'Weights &amp; Assumptions'!$F$16+Tabelle1!P119*'Weights &amp; Assumptions'!$F$17+Tabelle1!Q119*'Weights &amp; Assumptions'!$F$18+Tabelle1!R119*'Weights &amp; Assumptions'!$F$19+Tabelle1!S119*'Weights &amp; Assumptions'!$F$20,"")</f>
        <v>157.17310336456</v>
      </c>
      <c r="Y118" s="22" t="n">
        <f aca="false">IFERROR(V118*'Weights &amp; Assumptions'!$B$25/'Weights &amp; Assumptions'!$B$28+W118*'Weights &amp; Assumptions'!$B$26/'Weights &amp; Assumptions'!$B$28+X118*'Weights &amp; Assumptions'!$B$27/'Weights &amp; Assumptions'!$B$28,"")</f>
        <v>156.255709007182</v>
      </c>
    </row>
    <row r="119" customFormat="false" ht="15" hidden="false" customHeight="false" outlineLevel="0" collapsed="false">
      <c r="A119" s="20" t="n">
        <v>41425</v>
      </c>
      <c r="B119" s="21" t="n">
        <v>148.39639</v>
      </c>
      <c r="C119" s="22" t="n">
        <v>106.185471487462</v>
      </c>
      <c r="D119" s="22" t="n">
        <v>119.864631144094</v>
      </c>
      <c r="E119" s="22" t="n">
        <v>92.0533243019928</v>
      </c>
      <c r="F119" s="22" t="n">
        <v>143.963342958949</v>
      </c>
      <c r="G119" s="22" t="n">
        <v>133.51073015606</v>
      </c>
      <c r="H119" s="22" t="n">
        <v>151.273855680404</v>
      </c>
      <c r="I119" s="22" t="n">
        <v>167.226667064875</v>
      </c>
      <c r="J119" s="22" t="n">
        <v>160.218804811343</v>
      </c>
      <c r="K119" s="22" t="n">
        <v>181.64510456867</v>
      </c>
      <c r="L119" s="22" t="n">
        <v>182.922868938507</v>
      </c>
      <c r="M119" s="22" t="n">
        <v>135.488640747158</v>
      </c>
      <c r="N119" s="22" t="n">
        <v>139.005062821878</v>
      </c>
      <c r="O119" s="22" t="n">
        <v>142.694535258728</v>
      </c>
      <c r="P119" s="22" t="n">
        <v>161.860247916362</v>
      </c>
      <c r="Q119" s="22" t="n">
        <v>151.342361643233</v>
      </c>
      <c r="R119" s="22" t="n">
        <f aca="false">C119*'Weights &amp; Assumptions'!$F$6+D119*'Weights &amp; Assumptions'!$F$7</f>
        <v>106.353075879865</v>
      </c>
      <c r="S119" s="22" t="n">
        <f aca="false">E119*'Weights &amp; Assumptions'!$F$8+F119*'Weights &amp; Assumptions'!$F$9+H119*'Weights &amp; Assumptions'!$F$11</f>
        <v>139.288358117276</v>
      </c>
      <c r="T119" s="22" t="n">
        <f aca="false">G119*'Weights &amp; Assumptions'!$F$10+I119*'Weights &amp; Assumptions'!$F$12+J119*'Weights &amp; Assumptions'!$F$13+K119*'Weights &amp; Assumptions'!$F$14+L119*'Weights &amp; Assumptions'!$F$15+M119*'Weights &amp; Assumptions'!$F$16+N119*'Weights &amp; Assumptions'!$F$17+O119*'Weights &amp; Assumptions'!$F$18+P119*'Weights &amp; Assumptions'!$F$19+Q119*'Weights &amp; Assumptions'!$F$20</f>
        <v>157.034227795641</v>
      </c>
      <c r="U119" s="22" t="n">
        <f aca="false">R119*'Weights &amp; Assumptions'!$B$25/'Weights &amp; Assumptions'!$B$28+S119*'Weights &amp; Assumptions'!$B$26/'Weights &amp; Assumptions'!$B$28+T119*'Weights &amp; Assumptions'!$B$27/'Weights &amp; Assumptions'!$B$28</f>
        <v>148.063100237879</v>
      </c>
      <c r="V119" s="23" t="n">
        <f aca="false">IFERROR(Tabelle1!E120*'Weights &amp; Assumptions'!$F$6+Tabelle1!F120*'Weights &amp; Assumptions'!$F$7,"")</f>
        <v>296.093767769395</v>
      </c>
      <c r="W119" s="23" t="n">
        <f aca="false">IFERROR(Tabelle1!G120*'Weights &amp; Assumptions'!$F$8+Tabelle1!H120*'Weights &amp; Assumptions'!$F$9+Tabelle1!J120*'Weights &amp; Assumptions'!$F$11,"")</f>
        <v>142.947557970916</v>
      </c>
      <c r="X119" s="23" t="n">
        <f aca="false">IFERROR(Tabelle1!I120*'Weights &amp; Assumptions'!$F$10+Tabelle1!K120*'Weights &amp; Assumptions'!$F$12+Tabelle1!L120*'Weights &amp; Assumptions'!$F$13+Tabelle1!M120*'Weights &amp; Assumptions'!$F$14+Tabelle1!N120*'Weights &amp; Assumptions'!$F$15+Tabelle1!O120*'Weights &amp; Assumptions'!$F$16+Tabelle1!P120*'Weights &amp; Assumptions'!$F$17+Tabelle1!Q120*'Weights &amp; Assumptions'!$F$18+Tabelle1!R120*'Weights &amp; Assumptions'!$F$19+Tabelle1!S120*'Weights &amp; Assumptions'!$F$20,"")</f>
        <v>160.019772494098</v>
      </c>
      <c r="Y119" s="22" t="n">
        <f aca="false">IFERROR(V119*'Weights &amp; Assumptions'!$B$25/'Weights &amp; Assumptions'!$B$28+W119*'Weights &amp; Assumptions'!$B$26/'Weights &amp; Assumptions'!$B$28+X119*'Weights &amp; Assumptions'!$B$27/'Weights &amp; Assumptions'!$B$28,"")</f>
        <v>166.896693876272</v>
      </c>
    </row>
    <row r="120" customFormat="false" ht="15" hidden="false" customHeight="false" outlineLevel="0" collapsed="false">
      <c r="A120" s="20" t="n">
        <v>41455</v>
      </c>
      <c r="B120" s="21" t="n">
        <v>149.13535</v>
      </c>
      <c r="C120" s="22" t="n">
        <v>105.637477687247</v>
      </c>
      <c r="D120" s="22" t="n">
        <v>158.541150356856</v>
      </c>
      <c r="E120" s="22" t="n">
        <v>92.8187064939914</v>
      </c>
      <c r="F120" s="22" t="n">
        <v>141.150024759188</v>
      </c>
      <c r="G120" s="22" t="n">
        <v>132.197204525685</v>
      </c>
      <c r="H120" s="22" t="n">
        <v>149.499749780702</v>
      </c>
      <c r="I120" s="22" t="n">
        <v>162.437871089772</v>
      </c>
      <c r="J120" s="22" t="n">
        <v>161.211899817954</v>
      </c>
      <c r="K120" s="22" t="n">
        <v>180.369250858379</v>
      </c>
      <c r="L120" s="22" t="n">
        <v>185.529045734142</v>
      </c>
      <c r="M120" s="22" t="n">
        <v>132.748927473522</v>
      </c>
      <c r="N120" s="22" t="n">
        <v>139.518001244635</v>
      </c>
      <c r="O120" s="22" t="n">
        <v>143.202644285749</v>
      </c>
      <c r="P120" s="22" t="n">
        <v>162.216634730038</v>
      </c>
      <c r="Q120" s="22" t="n">
        <v>154.891345054156</v>
      </c>
      <c r="R120" s="22" t="n">
        <f aca="false">C120*'Weights &amp; Assumptions'!$F$6+D120*'Weights &amp; Assumptions'!$F$7</f>
        <v>106.285681826702</v>
      </c>
      <c r="S120" s="22" t="n">
        <f aca="false">E120*'Weights &amp; Assumptions'!$F$8+F120*'Weights &amp; Assumptions'!$F$9+H120*'Weights &amp; Assumptions'!$F$11</f>
        <v>137.118821012532</v>
      </c>
      <c r="T120" s="22" t="n">
        <f aca="false">G120*'Weights &amp; Assumptions'!$F$10+I120*'Weights &amp; Assumptions'!$F$12+J120*'Weights &amp; Assumptions'!$F$13+K120*'Weights &amp; Assumptions'!$F$14+L120*'Weights &amp; Assumptions'!$F$15+M120*'Weights &amp; Assumptions'!$F$16+N120*'Weights &amp; Assumptions'!$F$17+O120*'Weights &amp; Assumptions'!$F$18+P120*'Weights &amp; Assumptions'!$F$19+Q120*'Weights &amp; Assumptions'!$F$20</f>
        <v>155.82858814815</v>
      </c>
      <c r="U120" s="22" t="n">
        <f aca="false">R120*'Weights &amp; Assumptions'!$B$25/'Weights &amp; Assumptions'!$B$28+S120*'Weights &amp; Assumptions'!$B$26/'Weights &amp; Assumptions'!$B$28+T120*'Weights &amp; Assumptions'!$B$27/'Weights &amp; Assumptions'!$B$28</f>
        <v>146.696643171595</v>
      </c>
      <c r="V120" s="23" t="n">
        <f aca="false">IFERROR(Tabelle1!E121*'Weights &amp; Assumptions'!$F$6+Tabelle1!F121*'Weights &amp; Assumptions'!$F$7,"")</f>
        <v>198.575952448123</v>
      </c>
      <c r="W120" s="23" t="n">
        <f aca="false">IFERROR(Tabelle1!G121*'Weights &amp; Assumptions'!$F$8+Tabelle1!H121*'Weights &amp; Assumptions'!$F$9+Tabelle1!J121*'Weights &amp; Assumptions'!$F$11,"")</f>
        <v>137.602690872036</v>
      </c>
      <c r="X120" s="23" t="n">
        <f aca="false">IFERROR(Tabelle1!I121*'Weights &amp; Assumptions'!$F$10+Tabelle1!K121*'Weights &amp; Assumptions'!$F$12+Tabelle1!L121*'Weights &amp; Assumptions'!$F$13+Tabelle1!M121*'Weights &amp; Assumptions'!$F$14+Tabelle1!N121*'Weights &amp; Assumptions'!$F$15+Tabelle1!O121*'Weights &amp; Assumptions'!$F$16+Tabelle1!P121*'Weights &amp; Assumptions'!$F$17+Tabelle1!Q121*'Weights &amp; Assumptions'!$F$18+Tabelle1!R121*'Weights &amp; Assumptions'!$F$19+Tabelle1!S121*'Weights &amp; Assumptions'!$F$20,"")</f>
        <v>158.989159626044</v>
      </c>
      <c r="Y120" s="22" t="n">
        <f aca="false">IFERROR(V120*'Weights &amp; Assumptions'!$B$25/'Weights &amp; Assumptions'!$B$28+W120*'Weights &amp; Assumptions'!$B$26/'Weights &amp; Assumptions'!$B$28+X120*'Weights &amp; Assumptions'!$B$27/'Weights &amp; Assumptions'!$B$28,"")</f>
        <v>156.623488863822</v>
      </c>
    </row>
    <row r="121" customFormat="false" ht="15" hidden="false" customHeight="false" outlineLevel="0" collapsed="false">
      <c r="A121" s="20" t="n">
        <v>41486</v>
      </c>
      <c r="B121" s="21" t="n">
        <v>148.12424</v>
      </c>
      <c r="C121" s="22" t="n">
        <v>105.349815139691</v>
      </c>
      <c r="D121" s="22" t="n">
        <v>159.779852127394</v>
      </c>
      <c r="E121" s="22" t="n">
        <v>92.2907210758653</v>
      </c>
      <c r="F121" s="22" t="n">
        <v>141.177934995708</v>
      </c>
      <c r="G121" s="22" t="n">
        <v>134.245712642777</v>
      </c>
      <c r="H121" s="22" t="n">
        <v>150.263496184518</v>
      </c>
      <c r="I121" s="22" t="n">
        <v>164.706610888894</v>
      </c>
      <c r="J121" s="22" t="n">
        <v>159.512534079302</v>
      </c>
      <c r="K121" s="22" t="n">
        <v>180.755889144755</v>
      </c>
      <c r="L121" s="22" t="n">
        <v>183.718196272531</v>
      </c>
      <c r="M121" s="22" t="n">
        <v>134.598164950452</v>
      </c>
      <c r="N121" s="22" t="n">
        <v>139.439357381328</v>
      </c>
      <c r="O121" s="22" t="n">
        <v>143.7860530113</v>
      </c>
      <c r="P121" s="22" t="n">
        <v>162.59504801208</v>
      </c>
      <c r="Q121" s="22" t="n">
        <v>153.956339105383</v>
      </c>
      <c r="R121" s="22" t="n">
        <f aca="false">C121*'Weights &amp; Assumptions'!$F$6+D121*'Weights &amp; Assumptions'!$F$7</f>
        <v>106.016721112484</v>
      </c>
      <c r="S121" s="22" t="n">
        <f aca="false">E121*'Weights &amp; Assumptions'!$F$8+F121*'Weights &amp; Assumptions'!$F$9+H121*'Weights &amp; Assumptions'!$F$11</f>
        <v>137.233650634444</v>
      </c>
      <c r="T121" s="22" t="n">
        <f aca="false">G121*'Weights &amp; Assumptions'!$F$10+I121*'Weights &amp; Assumptions'!$F$12+J121*'Weights &amp; Assumptions'!$F$13+K121*'Weights &amp; Assumptions'!$F$14+L121*'Weights &amp; Assumptions'!$F$15+M121*'Weights &amp; Assumptions'!$F$16+N121*'Weights &amp; Assumptions'!$F$17+O121*'Weights &amp; Assumptions'!$F$18+P121*'Weights &amp; Assumptions'!$F$19+Q121*'Weights &amp; Assumptions'!$F$20</f>
        <v>156.57680503294</v>
      </c>
      <c r="U121" s="22" t="n">
        <f aca="false">R121*'Weights &amp; Assumptions'!$B$25/'Weights &amp; Assumptions'!$B$28+S121*'Weights &amp; Assumptions'!$B$26/'Weights &amp; Assumptions'!$B$28+T121*'Weights &amp; Assumptions'!$B$27/'Weights &amp; Assumptions'!$B$28</f>
        <v>147.191089272022</v>
      </c>
      <c r="V121" s="23" t="n">
        <f aca="false">IFERROR(Tabelle1!E122*'Weights &amp; Assumptions'!$F$6+Tabelle1!F122*'Weights &amp; Assumptions'!$F$7,"")</f>
        <v>108.547884416276</v>
      </c>
      <c r="W121" s="23" t="n">
        <f aca="false">IFERROR(Tabelle1!G122*'Weights &amp; Assumptions'!$F$8+Tabelle1!H122*'Weights &amp; Assumptions'!$F$9+Tabelle1!J122*'Weights &amp; Assumptions'!$F$11,"")</f>
        <v>140.147954979693</v>
      </c>
      <c r="X121" s="23" t="n">
        <f aca="false">IFERROR(Tabelle1!I122*'Weights &amp; Assumptions'!$F$10+Tabelle1!K122*'Weights &amp; Assumptions'!$F$12+Tabelle1!L122*'Weights &amp; Assumptions'!$F$13+Tabelle1!M122*'Weights &amp; Assumptions'!$F$14+Tabelle1!N122*'Weights &amp; Assumptions'!$F$15+Tabelle1!O122*'Weights &amp; Assumptions'!$F$16+Tabelle1!P122*'Weights &amp; Assumptions'!$F$17+Tabelle1!Q122*'Weights &amp; Assumptions'!$F$18+Tabelle1!R122*'Weights &amp; Assumptions'!$F$19+Tabelle1!S122*'Weights &amp; Assumptions'!$F$20,"")</f>
        <v>159.512123024933</v>
      </c>
      <c r="Y121" s="22" t="n">
        <f aca="false">IFERROR(V121*'Weights &amp; Assumptions'!$B$25/'Weights &amp; Assumptions'!$B$28+W121*'Weights &amp; Assumptions'!$B$26/'Weights &amp; Assumptions'!$B$28+X121*'Weights &amp; Assumptions'!$B$27/'Weights &amp; Assumptions'!$B$28,"")</f>
        <v>150.086910453599</v>
      </c>
    </row>
    <row r="122" customFormat="false" ht="15" hidden="false" customHeight="false" outlineLevel="0" collapsed="false">
      <c r="A122" s="20" t="n">
        <v>41517</v>
      </c>
      <c r="B122" s="21" t="n">
        <v>150.15944</v>
      </c>
      <c r="C122" s="22" t="n">
        <v>104.744666282101</v>
      </c>
      <c r="D122" s="22" t="n">
        <v>130.396554662081</v>
      </c>
      <c r="E122" s="22" t="n">
        <v>91.9964015599577</v>
      </c>
      <c r="F122" s="22" t="n">
        <v>143.849579061307</v>
      </c>
      <c r="G122" s="22" t="n">
        <v>137.816705563816</v>
      </c>
      <c r="H122" s="22" t="n">
        <v>150.510246561801</v>
      </c>
      <c r="I122" s="22" t="n">
        <v>163.136171067679</v>
      </c>
      <c r="J122" s="22" t="n">
        <v>159.03255802907</v>
      </c>
      <c r="K122" s="22" t="n">
        <v>182.198419011373</v>
      </c>
      <c r="L122" s="22" t="n">
        <v>184.318699107006</v>
      </c>
      <c r="M122" s="22" t="n">
        <v>134.16406494782</v>
      </c>
      <c r="N122" s="22" t="n">
        <v>140.100889573214</v>
      </c>
      <c r="O122" s="22" t="n">
        <v>143.782570947704</v>
      </c>
      <c r="P122" s="22" t="n">
        <v>162.867456671672</v>
      </c>
      <c r="Q122" s="22" t="n">
        <v>153.312350238831</v>
      </c>
      <c r="R122" s="22" t="n">
        <f aca="false">C122*'Weights &amp; Assumptions'!$F$6+D122*'Weights &amp; Assumptions'!$F$7</f>
        <v>105.058966960932</v>
      </c>
      <c r="S122" s="22" t="n">
        <f aca="false">E122*'Weights &amp; Assumptions'!$F$8+F122*'Weights &amp; Assumptions'!$F$9+H122*'Weights &amp; Assumptions'!$F$11</f>
        <v>139.046002815461</v>
      </c>
      <c r="T122" s="22" t="n">
        <f aca="false">G122*'Weights &amp; Assumptions'!$F$10+I122*'Weights &amp; Assumptions'!$F$12+J122*'Weights &amp; Assumptions'!$F$13+K122*'Weights &amp; Assumptions'!$F$14+L122*'Weights &amp; Assumptions'!$F$15+M122*'Weights &amp; Assumptions'!$F$16+N122*'Weights &amp; Assumptions'!$F$17+O122*'Weights &amp; Assumptions'!$F$18+P122*'Weights &amp; Assumptions'!$F$19+Q122*'Weights &amp; Assumptions'!$F$20</f>
        <v>156.549749240669</v>
      </c>
      <c r="U122" s="22" t="n">
        <f aca="false">R122*'Weights &amp; Assumptions'!$B$25/'Weights &amp; Assumptions'!$B$28+S122*'Weights &amp; Assumptions'!$B$26/'Weights &amp; Assumptions'!$B$28+T122*'Weights &amp; Assumptions'!$B$27/'Weights &amp; Assumptions'!$B$28</f>
        <v>147.575077824061</v>
      </c>
      <c r="V122" s="23" t="n">
        <f aca="false">IFERROR(Tabelle1!E123*'Weights &amp; Assumptions'!$F$6+Tabelle1!F123*'Weights &amp; Assumptions'!$F$7,"")</f>
        <v>71.0042225853089</v>
      </c>
      <c r="W122" s="23" t="n">
        <f aca="false">IFERROR(Tabelle1!G123*'Weights &amp; Assumptions'!$F$8+Tabelle1!H123*'Weights &amp; Assumptions'!$F$9+Tabelle1!J123*'Weights &amp; Assumptions'!$F$11,"")</f>
        <v>143.607381082665</v>
      </c>
      <c r="X122" s="23" t="n">
        <f aca="false">IFERROR(Tabelle1!I123*'Weights &amp; Assumptions'!$F$10+Tabelle1!K123*'Weights &amp; Assumptions'!$F$12+Tabelle1!L123*'Weights &amp; Assumptions'!$F$13+Tabelle1!M123*'Weights &amp; Assumptions'!$F$14+Tabelle1!N123*'Weights &amp; Assumptions'!$F$15+Tabelle1!O123*'Weights &amp; Assumptions'!$F$16+Tabelle1!P123*'Weights &amp; Assumptions'!$F$17+Tabelle1!Q123*'Weights &amp; Assumptions'!$F$18+Tabelle1!R123*'Weights &amp; Assumptions'!$F$19+Tabelle1!S123*'Weights &amp; Assumptions'!$F$20,"")</f>
        <v>158.717297255096</v>
      </c>
      <c r="Y122" s="22" t="n">
        <f aca="false">IFERROR(V122*'Weights &amp; Assumptions'!$B$25/'Weights &amp; Assumptions'!$B$28+W122*'Weights &amp; Assumptions'!$B$26/'Weights &amp; Assumptions'!$B$28+X122*'Weights &amp; Assumptions'!$B$27/'Weights &amp; Assumptions'!$B$28,"")</f>
        <v>147.340106642867</v>
      </c>
    </row>
    <row r="123" customFormat="false" ht="15" hidden="false" customHeight="false" outlineLevel="0" collapsed="false">
      <c r="A123" s="20" t="n">
        <v>41547</v>
      </c>
      <c r="B123" s="21" t="n">
        <v>150.20497</v>
      </c>
      <c r="C123" s="22" t="n">
        <v>104.44145172204</v>
      </c>
      <c r="D123" s="22" t="n">
        <v>131.626450024843</v>
      </c>
      <c r="E123" s="22" t="n">
        <v>91.071958204778</v>
      </c>
      <c r="F123" s="22" t="n">
        <v>144.195317910709</v>
      </c>
      <c r="G123" s="22" t="n">
        <v>138.747967792875</v>
      </c>
      <c r="H123" s="22" t="n">
        <v>150.347346761226</v>
      </c>
      <c r="I123" s="22" t="n">
        <v>162.632532459463</v>
      </c>
      <c r="J123" s="22" t="n">
        <v>158.85720249657</v>
      </c>
      <c r="K123" s="22" t="n">
        <v>181.48852362902</v>
      </c>
      <c r="L123" s="22" t="n">
        <v>184.135810889531</v>
      </c>
      <c r="M123" s="22" t="n">
        <v>134.240814573424</v>
      </c>
      <c r="N123" s="22" t="n">
        <v>140.363104726751</v>
      </c>
      <c r="O123" s="22" t="n">
        <v>144.253456161212</v>
      </c>
      <c r="P123" s="22" t="n">
        <v>163.341567544273</v>
      </c>
      <c r="Q123" s="22" t="n">
        <v>154.161318551204</v>
      </c>
      <c r="R123" s="22" t="n">
        <f aca="false">C123*'Weights &amp; Assumptions'!$F$6+D123*'Weights &amp; Assumptions'!$F$7</f>
        <v>104.774536884974</v>
      </c>
      <c r="S123" s="22" t="n">
        <f aca="false">E123*'Weights &amp; Assumptions'!$F$8+F123*'Weights &amp; Assumptions'!$F$9+H123*'Weights &amp; Assumptions'!$F$11</f>
        <v>139.134123375434</v>
      </c>
      <c r="T123" s="22" t="n">
        <f aca="false">G123*'Weights &amp; Assumptions'!$F$10+I123*'Weights &amp; Assumptions'!$F$12+J123*'Weights &amp; Assumptions'!$F$13+K123*'Weights &amp; Assumptions'!$F$14+L123*'Weights &amp; Assumptions'!$F$15+M123*'Weights &amp; Assumptions'!$F$16+N123*'Weights &amp; Assumptions'!$F$17+O123*'Weights &amp; Assumptions'!$F$18+P123*'Weights &amp; Assumptions'!$F$19+Q123*'Weights &amp; Assumptions'!$F$20</f>
        <v>156.504312337215</v>
      </c>
      <c r="U123" s="22" t="n">
        <f aca="false">R123*'Weights &amp; Assumptions'!$B$25/'Weights &amp; Assumptions'!$B$28+S123*'Weights &amp; Assumptions'!$B$26/'Weights &amp; Assumptions'!$B$28+T123*'Weights &amp; Assumptions'!$B$27/'Weights &amp; Assumptions'!$B$28</f>
        <v>147.545104457073</v>
      </c>
      <c r="V123" s="23" t="n">
        <f aca="false">IFERROR(Tabelle1!E124*'Weights &amp; Assumptions'!$F$6+Tabelle1!F124*'Weights &amp; Assumptions'!$F$7,"")</f>
        <v>68.392896719467</v>
      </c>
      <c r="W123" s="23" t="n">
        <f aca="false">IFERROR(Tabelle1!G124*'Weights &amp; Assumptions'!$F$8+Tabelle1!H124*'Weights &amp; Assumptions'!$F$9+Tabelle1!J124*'Weights &amp; Assumptions'!$F$11,"")</f>
        <v>144.39697781301</v>
      </c>
      <c r="X123" s="23" t="n">
        <f aca="false">IFERROR(Tabelle1!I124*'Weights &amp; Assumptions'!$F$10+Tabelle1!K124*'Weights &amp; Assumptions'!$F$12+Tabelle1!L124*'Weights &amp; Assumptions'!$F$13+Tabelle1!M124*'Weights &amp; Assumptions'!$F$14+Tabelle1!N124*'Weights &amp; Assumptions'!$F$15+Tabelle1!O124*'Weights &amp; Assumptions'!$F$16+Tabelle1!P124*'Weights &amp; Assumptions'!$F$17+Tabelle1!Q124*'Weights &amp; Assumptions'!$F$18+Tabelle1!R124*'Weights &amp; Assumptions'!$F$19+Tabelle1!S124*'Weights &amp; Assumptions'!$F$20,"")</f>
        <v>157.28719436757</v>
      </c>
      <c r="Y123" s="22" t="n">
        <f aca="false">IFERROR(V123*'Weights &amp; Assumptions'!$B$25/'Weights &amp; Assumptions'!$B$28+W123*'Weights &amp; Assumptions'!$B$26/'Weights &amp; Assumptions'!$B$28+X123*'Weights &amp; Assumptions'!$B$27/'Weights &amp; Assumptions'!$B$28,"")</f>
        <v>146.40115506692</v>
      </c>
    </row>
    <row r="124" customFormat="false" ht="15" hidden="false" customHeight="false" outlineLevel="0" collapsed="false">
      <c r="A124" s="20" t="n">
        <v>41578</v>
      </c>
      <c r="B124" s="21" t="n">
        <v>148.86711</v>
      </c>
      <c r="C124" s="22" t="n">
        <v>105.747001272157</v>
      </c>
      <c r="D124" s="22" t="n">
        <v>137.811334134345</v>
      </c>
      <c r="E124" s="22" t="n">
        <v>91.9964053245479</v>
      </c>
      <c r="F124" s="22" t="n">
        <v>142.81029859117</v>
      </c>
      <c r="G124" s="22" t="n">
        <v>134.337394224312</v>
      </c>
      <c r="H124" s="22" t="n">
        <v>150.046192529699</v>
      </c>
      <c r="I124" s="22" t="n">
        <v>162.711683409757</v>
      </c>
      <c r="J124" s="22" t="n">
        <v>155.370093478929</v>
      </c>
      <c r="K124" s="22" t="n">
        <v>181.162611580989</v>
      </c>
      <c r="L124" s="22" t="n">
        <v>182.663091187343</v>
      </c>
      <c r="M124" s="22" t="n">
        <v>134.814364162688</v>
      </c>
      <c r="N124" s="22" t="n">
        <v>140.563132501701</v>
      </c>
      <c r="O124" s="22" t="n">
        <v>143.44966371913</v>
      </c>
      <c r="P124" s="22" t="n">
        <v>163.013338566929</v>
      </c>
      <c r="Q124" s="22" t="n">
        <v>150.640539733042</v>
      </c>
      <c r="R124" s="22" t="n">
        <f aca="false">C124*'Weights &amp; Assumptions'!$F$6+D124*'Weights &amp; Assumptions'!$F$7</f>
        <v>106.139870656102</v>
      </c>
      <c r="S124" s="22" t="n">
        <f aca="false">E124*'Weights &amp; Assumptions'!$F$8+F124*'Weights &amp; Assumptions'!$F$9+H124*'Weights &amp; Assumptions'!$F$11</f>
        <v>138.250643755083</v>
      </c>
      <c r="T124" s="22" t="n">
        <f aca="false">G124*'Weights &amp; Assumptions'!$F$10+I124*'Weights &amp; Assumptions'!$F$12+J124*'Weights &amp; Assumptions'!$F$13+K124*'Weights &amp; Assumptions'!$F$14+L124*'Weights &amp; Assumptions'!$F$15+M124*'Weights &amp; Assumptions'!$F$16+N124*'Weights &amp; Assumptions'!$F$17+O124*'Weights &amp; Assumptions'!$F$18+P124*'Weights &amp; Assumptions'!$F$19+Q124*'Weights &amp; Assumptions'!$F$20</f>
        <v>155.932343330484</v>
      </c>
      <c r="U124" s="22" t="n">
        <f aca="false">R124*'Weights &amp; Assumptions'!$B$25/'Weights &amp; Assumptions'!$B$28+S124*'Weights &amp; Assumptions'!$B$26/'Weights &amp; Assumptions'!$B$28+T124*'Weights &amp; Assumptions'!$B$27/'Weights &amp; Assumptions'!$B$28</f>
        <v>147.052840651945</v>
      </c>
      <c r="V124" s="23" t="n">
        <f aca="false">IFERROR(Tabelle1!E125*'Weights &amp; Assumptions'!$F$6+Tabelle1!F125*'Weights &amp; Assumptions'!$F$7,"")</f>
        <v>71.9696448714556</v>
      </c>
      <c r="W124" s="23" t="n">
        <f aca="false">IFERROR(Tabelle1!G125*'Weights &amp; Assumptions'!$F$8+Tabelle1!H125*'Weights &amp; Assumptions'!$F$9+Tabelle1!J125*'Weights &amp; Assumptions'!$F$11,"")</f>
        <v>146.273362294655</v>
      </c>
      <c r="X124" s="23" t="n">
        <f aca="false">IFERROR(Tabelle1!I125*'Weights &amp; Assumptions'!$F$10+Tabelle1!K125*'Weights &amp; Assumptions'!$F$12+Tabelle1!L125*'Weights &amp; Assumptions'!$F$13+Tabelle1!M125*'Weights &amp; Assumptions'!$F$14+Tabelle1!N125*'Weights &amp; Assumptions'!$F$15+Tabelle1!O125*'Weights &amp; Assumptions'!$F$16+Tabelle1!P125*'Weights &amp; Assumptions'!$F$17+Tabelle1!Q125*'Weights &amp; Assumptions'!$F$18+Tabelle1!R125*'Weights &amp; Assumptions'!$F$19+Tabelle1!S125*'Weights &amp; Assumptions'!$F$20,"")</f>
        <v>158.175094137651</v>
      </c>
      <c r="Y124" s="22" t="n">
        <f aca="false">IFERROR(V124*'Weights &amp; Assumptions'!$B$25/'Weights &amp; Assumptions'!$B$28+W124*'Weights &amp; Assumptions'!$B$26/'Weights &amp; Assumptions'!$B$28+X124*'Weights &amp; Assumptions'!$B$27/'Weights &amp; Assumptions'!$B$28,"")</f>
        <v>147.777506805716</v>
      </c>
    </row>
    <row r="125" customFormat="false" ht="15" hidden="false" customHeight="false" outlineLevel="0" collapsed="false">
      <c r="A125" s="20" t="n">
        <v>41608</v>
      </c>
      <c r="B125" s="21" t="n">
        <v>148.05058</v>
      </c>
      <c r="C125" s="22" t="n">
        <v>105.492070388813</v>
      </c>
      <c r="D125" s="22" t="n">
        <v>139.485933134157</v>
      </c>
      <c r="E125" s="22" t="n">
        <v>91.917288255531</v>
      </c>
      <c r="F125" s="22" t="n">
        <v>141.519460068616</v>
      </c>
      <c r="G125" s="22" t="n">
        <v>133.394101470895</v>
      </c>
      <c r="H125" s="22" t="n">
        <v>148.238651405368</v>
      </c>
      <c r="I125" s="22" t="n">
        <v>159.323498476912</v>
      </c>
      <c r="J125" s="22" t="n">
        <v>154.930756218145</v>
      </c>
      <c r="K125" s="22" t="n">
        <v>182.075973765828</v>
      </c>
      <c r="L125" s="22" t="n">
        <v>181.278371371097</v>
      </c>
      <c r="M125" s="22" t="n">
        <v>134.645419837953</v>
      </c>
      <c r="N125" s="22" t="n">
        <v>141.05523907058</v>
      </c>
      <c r="O125" s="22" t="n">
        <v>144.098066284222</v>
      </c>
      <c r="P125" s="22" t="n">
        <v>163.417671708066</v>
      </c>
      <c r="Q125" s="22" t="n">
        <v>152.892479046517</v>
      </c>
      <c r="R125" s="22" t="n">
        <f aca="false">C125*'Weights &amp; Assumptions'!$F$6+D125*'Weights &amp; Assumptions'!$F$7</f>
        <v>105.908581406586</v>
      </c>
      <c r="S125" s="22" t="n">
        <f aca="false">E125*'Weights &amp; Assumptions'!$F$8+F125*'Weights &amp; Assumptions'!$F$9+H125*'Weights &amp; Assumptions'!$F$11</f>
        <v>136.996840642389</v>
      </c>
      <c r="T125" s="22" t="n">
        <f aca="false">G125*'Weights &amp; Assumptions'!$F$10+I125*'Weights &amp; Assumptions'!$F$12+J125*'Weights &amp; Assumptions'!$F$13+K125*'Weights &amp; Assumptions'!$F$14+L125*'Weights &amp; Assumptions'!$F$15+M125*'Weights &amp; Assumptions'!$F$16+N125*'Weights &amp; Assumptions'!$F$17+O125*'Weights &amp; Assumptions'!$F$18+P125*'Weights &amp; Assumptions'!$F$19+Q125*'Weights &amp; Assumptions'!$F$20</f>
        <v>155.435751344408</v>
      </c>
      <c r="U125" s="22" t="n">
        <f aca="false">R125*'Weights &amp; Assumptions'!$B$25/'Weights &amp; Assumptions'!$B$28+S125*'Weights &amp; Assumptions'!$B$26/'Weights &amp; Assumptions'!$B$28+T125*'Weights &amp; Assumptions'!$B$27/'Weights &amp; Assumptions'!$B$28</f>
        <v>146.377152120594</v>
      </c>
      <c r="V125" s="23" t="n">
        <f aca="false">IFERROR(Tabelle1!E126*'Weights &amp; Assumptions'!$F$6+Tabelle1!F126*'Weights &amp; Assumptions'!$F$7,"")</f>
        <v>85.0623242997104</v>
      </c>
      <c r="W125" s="23" t="n">
        <f aca="false">IFERROR(Tabelle1!G126*'Weights &amp; Assumptions'!$F$8+Tabelle1!H126*'Weights &amp; Assumptions'!$F$9+Tabelle1!J126*'Weights &amp; Assumptions'!$F$11,"")</f>
        <v>140.807170471724</v>
      </c>
      <c r="X125" s="23" t="n">
        <f aca="false">IFERROR(Tabelle1!I126*'Weights &amp; Assumptions'!$F$10+Tabelle1!K126*'Weights &amp; Assumptions'!$F$12+Tabelle1!L126*'Weights &amp; Assumptions'!$F$13+Tabelle1!M126*'Weights &amp; Assumptions'!$F$14+Tabelle1!N126*'Weights &amp; Assumptions'!$F$15+Tabelle1!O126*'Weights &amp; Assumptions'!$F$16+Tabelle1!P126*'Weights &amp; Assumptions'!$F$17+Tabelle1!Q126*'Weights &amp; Assumptions'!$F$18+Tabelle1!R126*'Weights &amp; Assumptions'!$F$19+Tabelle1!S126*'Weights &amp; Assumptions'!$F$20,"")</f>
        <v>156.106858094536</v>
      </c>
      <c r="Y125" s="22" t="n">
        <f aca="false">IFERROR(V125*'Weights &amp; Assumptions'!$B$25/'Weights &amp; Assumptions'!$B$28+W125*'Weights &amp; Assumptions'!$B$26/'Weights &amp; Assumptions'!$B$28+X125*'Weights &amp; Assumptions'!$B$27/'Weights &amp; Assumptions'!$B$28,"")</f>
        <v>146.077708389633</v>
      </c>
    </row>
    <row r="126" customFormat="false" ht="15" hidden="false" customHeight="false" outlineLevel="0" collapsed="false">
      <c r="A126" s="20" t="n">
        <v>41639</v>
      </c>
      <c r="B126" s="21" t="n">
        <v>147.19351</v>
      </c>
      <c r="C126" s="22" t="n">
        <v>105.038386347791</v>
      </c>
      <c r="D126" s="22" t="n">
        <v>134.868956137593</v>
      </c>
      <c r="E126" s="22" t="n">
        <v>92.128791458135</v>
      </c>
      <c r="F126" s="22" t="n">
        <v>141.371073488718</v>
      </c>
      <c r="G126" s="22" t="n">
        <v>142.86208947001</v>
      </c>
      <c r="H126" s="22" t="n">
        <v>148.215393254875</v>
      </c>
      <c r="I126" s="22" t="n">
        <v>157.96577630214</v>
      </c>
      <c r="J126" s="22" t="n">
        <v>153.8812245273</v>
      </c>
      <c r="K126" s="22" t="n">
        <v>180.261149165908</v>
      </c>
      <c r="L126" s="22" t="n">
        <v>184.1764020416</v>
      </c>
      <c r="M126" s="22" t="n">
        <v>134.50807008465</v>
      </c>
      <c r="N126" s="22" t="n">
        <v>141.663883070385</v>
      </c>
      <c r="O126" s="22" t="n">
        <v>144.949182082457</v>
      </c>
      <c r="P126" s="22" t="n">
        <v>164.079814439042</v>
      </c>
      <c r="Q126" s="22" t="n">
        <v>150.290118624966</v>
      </c>
      <c r="R126" s="22" t="n">
        <f aca="false">C126*'Weights &amp; Assumptions'!$F$6+D126*'Weights &amp; Assumptions'!$F$7</f>
        <v>105.403886469887</v>
      </c>
      <c r="S126" s="22" t="n">
        <f aca="false">E126*'Weights &amp; Assumptions'!$F$8+F126*'Weights &amp; Assumptions'!$F$9+H126*'Weights &amp; Assumptions'!$F$11</f>
        <v>136.917491285237</v>
      </c>
      <c r="T126" s="22" t="n">
        <f aca="false">G126*'Weights &amp; Assumptions'!$F$10+I126*'Weights &amp; Assumptions'!$F$12+J126*'Weights &amp; Assumptions'!$F$13+K126*'Weights &amp; Assumptions'!$F$14+L126*'Weights &amp; Assumptions'!$F$15+M126*'Weights &amp; Assumptions'!$F$16+N126*'Weights &amp; Assumptions'!$F$17+O126*'Weights &amp; Assumptions'!$F$18+P126*'Weights &amp; Assumptions'!$F$19+Q126*'Weights &amp; Assumptions'!$F$20</f>
        <v>155.333028209962</v>
      </c>
      <c r="U126" s="22" t="n">
        <f aca="false">R126*'Weights &amp; Assumptions'!$B$25/'Weights &amp; Assumptions'!$B$28+S126*'Weights &amp; Assumptions'!$B$26/'Weights &amp; Assumptions'!$B$28+T126*'Weights &amp; Assumptions'!$B$27/'Weights &amp; Assumptions'!$B$28</f>
        <v>146.246918713098</v>
      </c>
      <c r="V126" s="23" t="n">
        <f aca="false">IFERROR(Tabelle1!E127*'Weights &amp; Assumptions'!$F$6+Tabelle1!F127*'Weights &amp; Assumptions'!$F$7,"")</f>
        <v>85.2775805345586</v>
      </c>
      <c r="W126" s="23" t="n">
        <f aca="false">IFERROR(Tabelle1!G127*'Weights &amp; Assumptions'!$F$8+Tabelle1!H127*'Weights &amp; Assumptions'!$F$9+Tabelle1!J127*'Weights &amp; Assumptions'!$F$11,"")</f>
        <v>135.754051028249</v>
      </c>
      <c r="X126" s="23" t="n">
        <f aca="false">IFERROR(Tabelle1!I127*'Weights &amp; Assumptions'!$F$10+Tabelle1!K127*'Weights &amp; Assumptions'!$F$12+Tabelle1!L127*'Weights &amp; Assumptions'!$F$13+Tabelle1!M127*'Weights &amp; Assumptions'!$F$14+Tabelle1!N127*'Weights &amp; Assumptions'!$F$15+Tabelle1!O127*'Weights &amp; Assumptions'!$F$16+Tabelle1!P127*'Weights &amp; Assumptions'!$F$17+Tabelle1!Q127*'Weights &amp; Assumptions'!$F$18+Tabelle1!R127*'Weights &amp; Assumptions'!$F$19+Tabelle1!S127*'Weights &amp; Assumptions'!$F$20,"")</f>
        <v>154.334160462362</v>
      </c>
      <c r="Y126" s="22" t="n">
        <f aca="false">IFERROR(V126*'Weights &amp; Assumptions'!$B$25/'Weights &amp; Assumptions'!$B$28+W126*'Weights &amp; Assumptions'!$B$26/'Weights &amp; Assumptions'!$B$28+X126*'Weights &amp; Assumptions'!$B$27/'Weights &amp; Assumptions'!$B$28,"")</f>
        <v>143.599480278699</v>
      </c>
    </row>
    <row r="127" customFormat="false" ht="15" hidden="false" customHeight="false" outlineLevel="0" collapsed="false">
      <c r="A127" s="20" t="n">
        <v>41670</v>
      </c>
      <c r="B127" s="21" t="n">
        <v>145.47985</v>
      </c>
      <c r="C127" s="22" t="n">
        <v>108.313971788084</v>
      </c>
      <c r="D127" s="22" t="n">
        <v>134.641552596024</v>
      </c>
      <c r="E127" s="22" t="n">
        <v>93.804267943356</v>
      </c>
      <c r="F127" s="22" t="n">
        <v>141.147130720439</v>
      </c>
      <c r="G127" s="22" t="n">
        <v>139.863481641504</v>
      </c>
      <c r="H127" s="22" t="n">
        <v>150.519569142656</v>
      </c>
      <c r="I127" s="22" t="n">
        <v>161.849118388141</v>
      </c>
      <c r="J127" s="22" t="n">
        <v>154.981554496564</v>
      </c>
      <c r="K127" s="22" t="n">
        <v>180.205963507856</v>
      </c>
      <c r="L127" s="22" t="n">
        <v>188.754253450117</v>
      </c>
      <c r="M127" s="22" t="n">
        <v>134.230056167755</v>
      </c>
      <c r="N127" s="22" t="n">
        <v>142.167625891785</v>
      </c>
      <c r="O127" s="22" t="n">
        <v>145.006882785112</v>
      </c>
      <c r="P127" s="22" t="n">
        <v>163.568307321061</v>
      </c>
      <c r="Q127" s="22" t="n">
        <v>152.981050994546</v>
      </c>
      <c r="R127" s="22" t="n">
        <f aca="false">C127*'Weights &amp; Assumptions'!$F$6+D127*'Weights &amp; Assumptions'!$F$7</f>
        <v>108.636551412529</v>
      </c>
      <c r="S127" s="22" t="n">
        <f aca="false">E127*'Weights &amp; Assumptions'!$F$8+F127*'Weights &amp; Assumptions'!$F$9+H127*'Weights &amp; Assumptions'!$F$11</f>
        <v>137.447001650963</v>
      </c>
      <c r="T127" s="22" t="n">
        <f aca="false">G127*'Weights &amp; Assumptions'!$F$10+I127*'Weights &amp; Assumptions'!$F$12+J127*'Weights &amp; Assumptions'!$F$13+K127*'Weights &amp; Assumptions'!$F$14+L127*'Weights &amp; Assumptions'!$F$15+M127*'Weights &amp; Assumptions'!$F$16+N127*'Weights &amp; Assumptions'!$F$17+O127*'Weights &amp; Assumptions'!$F$18+P127*'Weights &amp; Assumptions'!$F$19+Q127*'Weights &amp; Assumptions'!$F$20</f>
        <v>156.535107319858</v>
      </c>
      <c r="U127" s="22" t="n">
        <f aca="false">R127*'Weights &amp; Assumptions'!$B$25/'Weights &amp; Assumptions'!$B$28+S127*'Weights &amp; Assumptions'!$B$26/'Weights &amp; Assumptions'!$B$28+T127*'Weights &amp; Assumptions'!$B$27/'Weights &amp; Assumptions'!$B$28</f>
        <v>147.440517886595</v>
      </c>
      <c r="V127" s="23" t="n">
        <f aca="false">IFERROR(Tabelle1!E128*'Weights &amp; Assumptions'!$F$6+Tabelle1!F128*'Weights &amp; Assumptions'!$F$7,"")</f>
        <v>64.8477777733281</v>
      </c>
      <c r="W127" s="23" t="n">
        <f aca="false">IFERROR(Tabelle1!G128*'Weights &amp; Assumptions'!$F$8+Tabelle1!H128*'Weights &amp; Assumptions'!$F$9+Tabelle1!J128*'Weights &amp; Assumptions'!$F$11,"")</f>
        <v>126.079851539384</v>
      </c>
      <c r="X127" s="23" t="n">
        <f aca="false">IFERROR(Tabelle1!I128*'Weights &amp; Assumptions'!$F$10+Tabelle1!K128*'Weights &amp; Assumptions'!$F$12+Tabelle1!L128*'Weights &amp; Assumptions'!$F$13+Tabelle1!M128*'Weights &amp; Assumptions'!$F$14+Tabelle1!N128*'Weights &amp; Assumptions'!$F$15+Tabelle1!O128*'Weights &amp; Assumptions'!$F$16+Tabelle1!P128*'Weights &amp; Assumptions'!$F$17+Tabelle1!Q128*'Weights &amp; Assumptions'!$F$18+Tabelle1!R128*'Weights &amp; Assumptions'!$F$19+Tabelle1!S128*'Weights &amp; Assumptions'!$F$20,"")</f>
        <v>151.835622231864</v>
      </c>
      <c r="Y127" s="22" t="n">
        <f aca="false">IFERROR(V127*'Weights &amp; Assumptions'!$B$25/'Weights &amp; Assumptions'!$B$28+W127*'Weights &amp; Assumptions'!$B$26/'Weights &amp; Assumptions'!$B$28+X127*'Weights &amp; Assumptions'!$B$27/'Weights &amp; Assumptions'!$B$28,"")</f>
        <v>137.688360357469</v>
      </c>
    </row>
    <row r="128" customFormat="false" ht="15" hidden="false" customHeight="false" outlineLevel="0" collapsed="false">
      <c r="A128" s="20" t="n">
        <v>41698</v>
      </c>
      <c r="B128" s="21" t="n">
        <v>146.61923</v>
      </c>
      <c r="C128" s="22" t="n">
        <v>105.716314763294</v>
      </c>
      <c r="D128" s="22" t="n">
        <v>119.768680624995</v>
      </c>
      <c r="E128" s="22" t="n">
        <v>93.284026579628</v>
      </c>
      <c r="F128" s="22" t="n">
        <v>138.961280820524</v>
      </c>
      <c r="G128" s="22" t="n">
        <v>132.164260222353</v>
      </c>
      <c r="H128" s="22" t="n">
        <v>149.573050846891</v>
      </c>
      <c r="I128" s="22" t="n">
        <v>156.522810697944</v>
      </c>
      <c r="J128" s="22" t="n">
        <v>153.893093163705</v>
      </c>
      <c r="K128" s="22" t="n">
        <v>181.006329840567</v>
      </c>
      <c r="L128" s="22" t="n">
        <v>183.821363277289</v>
      </c>
      <c r="M128" s="22" t="n">
        <v>134.473509554209</v>
      </c>
      <c r="N128" s="22" t="n">
        <v>141.829354819751</v>
      </c>
      <c r="O128" s="22" t="n">
        <v>145.986218448213</v>
      </c>
      <c r="P128" s="22" t="n">
        <v>163.482476749892</v>
      </c>
      <c r="Q128" s="22" t="n">
        <v>148.412319826146</v>
      </c>
      <c r="R128" s="22" t="n">
        <f aca="false">C128*'Weights &amp; Assumptions'!$F$6+D128*'Weights &amp; Assumptions'!$F$7</f>
        <v>105.888491878058</v>
      </c>
      <c r="S128" s="22" t="n">
        <f aca="false">E128*'Weights &amp; Assumptions'!$F$8+F128*'Weights &amp; Assumptions'!$F$9+H128*'Weights &amp; Assumptions'!$F$11</f>
        <v>135.718203638844</v>
      </c>
      <c r="T128" s="22" t="n">
        <f aca="false">G128*'Weights &amp; Assumptions'!$F$10+I128*'Weights &amp; Assumptions'!$F$12+J128*'Weights &amp; Assumptions'!$F$13+K128*'Weights &amp; Assumptions'!$F$14+L128*'Weights &amp; Assumptions'!$F$15+M128*'Weights &amp; Assumptions'!$F$16+N128*'Weights &amp; Assumptions'!$F$17+O128*'Weights &amp; Assumptions'!$F$18+P128*'Weights &amp; Assumptions'!$F$19+Q128*'Weights &amp; Assumptions'!$F$20</f>
        <v>154.757008253318</v>
      </c>
      <c r="U128" s="22" t="n">
        <f aca="false">R128*'Weights &amp; Assumptions'!$B$25/'Weights &amp; Assumptions'!$B$28+S128*'Weights &amp; Assumptions'!$B$26/'Weights &amp; Assumptions'!$B$28+T128*'Weights &amp; Assumptions'!$B$27/'Weights &amp; Assumptions'!$B$28</f>
        <v>145.594148341165</v>
      </c>
      <c r="V128" s="23" t="n">
        <f aca="false">IFERROR(Tabelle1!E129*'Weights &amp; Assumptions'!$F$6+Tabelle1!F129*'Weights &amp; Assumptions'!$F$7,"")</f>
        <v>69.0921677300628</v>
      </c>
      <c r="W128" s="23" t="n">
        <f aca="false">IFERROR(Tabelle1!G129*'Weights &amp; Assumptions'!$F$8+Tabelle1!H129*'Weights &amp; Assumptions'!$F$9+Tabelle1!J129*'Weights &amp; Assumptions'!$F$11,"")</f>
        <v>121.978649701374</v>
      </c>
      <c r="X128" s="23" t="n">
        <f aca="false">IFERROR(Tabelle1!I129*'Weights &amp; Assumptions'!$F$10+Tabelle1!K129*'Weights &amp; Assumptions'!$F$12+Tabelle1!L129*'Weights &amp; Assumptions'!$F$13+Tabelle1!M129*'Weights &amp; Assumptions'!$F$14+Tabelle1!N129*'Weights &amp; Assumptions'!$F$15+Tabelle1!O129*'Weights &amp; Assumptions'!$F$16+Tabelle1!P129*'Weights &amp; Assumptions'!$F$17+Tabelle1!Q129*'Weights &amp; Assumptions'!$F$18+Tabelle1!R129*'Weights &amp; Assumptions'!$F$19+Tabelle1!S129*'Weights &amp; Assumptions'!$F$20,"")</f>
        <v>147.1792575396</v>
      </c>
      <c r="Y128" s="22" t="n">
        <f aca="false">IFERROR(V128*'Weights &amp; Assumptions'!$B$25/'Weights &amp; Assumptions'!$B$28+W128*'Weights &amp; Assumptions'!$B$26/'Weights &amp; Assumptions'!$B$28+X128*'Weights &amp; Assumptions'!$B$27/'Weights &amp; Assumptions'!$B$28,"")</f>
        <v>133.926403888072</v>
      </c>
    </row>
    <row r="129" customFormat="false" ht="15" hidden="false" customHeight="false" outlineLevel="0" collapsed="false">
      <c r="A129" s="20" t="n">
        <v>41729</v>
      </c>
      <c r="B129" s="21" t="n">
        <v>145.49059</v>
      </c>
      <c r="C129" s="22" t="n">
        <v>103.834906407466</v>
      </c>
      <c r="D129" s="22" t="n">
        <v>156.217787264421</v>
      </c>
      <c r="E129" s="22" t="n">
        <v>94.0099542052308</v>
      </c>
      <c r="F129" s="22" t="n">
        <v>135.713449402128</v>
      </c>
      <c r="G129" s="22" t="n">
        <v>132.183068532097</v>
      </c>
      <c r="H129" s="22" t="n">
        <v>148.373569919529</v>
      </c>
      <c r="I129" s="22" t="n">
        <v>148.657974467129</v>
      </c>
      <c r="J129" s="22" t="n">
        <v>153.367493284852</v>
      </c>
      <c r="K129" s="22" t="n">
        <v>179.055404399083</v>
      </c>
      <c r="L129" s="22" t="n">
        <v>178.47458173455</v>
      </c>
      <c r="M129" s="22" t="n">
        <v>131.85579274858</v>
      </c>
      <c r="N129" s="22" t="n">
        <v>142.605402494662</v>
      </c>
      <c r="O129" s="22" t="n">
        <v>145.730040450869</v>
      </c>
      <c r="P129" s="22" t="n">
        <v>163.741245057023</v>
      </c>
      <c r="Q129" s="22" t="n">
        <v>151.605506608157</v>
      </c>
      <c r="R129" s="22" t="n">
        <f aca="false">C129*'Weights &amp; Assumptions'!$F$6+D129*'Weights &amp; Assumptions'!$F$7</f>
        <v>104.476729526629</v>
      </c>
      <c r="S129" s="22" t="n">
        <f aca="false">E129*'Weights &amp; Assumptions'!$F$8+F129*'Weights &amp; Assumptions'!$F$9+H129*'Weights &amp; Assumptions'!$F$11</f>
        <v>133.371549733061</v>
      </c>
      <c r="T129" s="22" t="n">
        <f aca="false">G129*'Weights &amp; Assumptions'!$F$10+I129*'Weights &amp; Assumptions'!$F$12+J129*'Weights &amp; Assumptions'!$F$13+K129*'Weights &amp; Assumptions'!$F$14+L129*'Weights &amp; Assumptions'!$F$15+M129*'Weights &amp; Assumptions'!$F$16+N129*'Weights &amp; Assumptions'!$F$17+O129*'Weights &amp; Assumptions'!$F$18+P129*'Weights &amp; Assumptions'!$F$19+Q129*'Weights &amp; Assumptions'!$F$20</f>
        <v>152.154743741081</v>
      </c>
      <c r="U129" s="22" t="n">
        <f aca="false">R129*'Weights &amp; Assumptions'!$B$25/'Weights &amp; Assumptions'!$B$28+S129*'Weights &amp; Assumptions'!$B$26/'Weights &amp; Assumptions'!$B$28+T129*'Weights &amp; Assumptions'!$B$27/'Weights &amp; Assumptions'!$B$28</f>
        <v>143.159739276258</v>
      </c>
      <c r="V129" s="23" t="n">
        <f aca="false">IFERROR(Tabelle1!E130*'Weights &amp; Assumptions'!$F$6+Tabelle1!F130*'Weights &amp; Assumptions'!$F$7,"")</f>
        <v>131.542157459506</v>
      </c>
      <c r="W129" s="23" t="n">
        <f aca="false">IFERROR(Tabelle1!G130*'Weights &amp; Assumptions'!$F$8+Tabelle1!H130*'Weights &amp; Assumptions'!$F$9+Tabelle1!J130*'Weights &amp; Assumptions'!$F$11,"")</f>
        <v>133.847283182146</v>
      </c>
      <c r="X129" s="23" t="n">
        <f aca="false">IFERROR(Tabelle1!I130*'Weights &amp; Assumptions'!$F$10+Tabelle1!K130*'Weights &amp; Assumptions'!$F$12+Tabelle1!L130*'Weights &amp; Assumptions'!$F$13+Tabelle1!M130*'Weights &amp; Assumptions'!$F$14+Tabelle1!N130*'Weights &amp; Assumptions'!$F$15+Tabelle1!O130*'Weights &amp; Assumptions'!$F$16+Tabelle1!P130*'Weights &amp; Assumptions'!$F$17+Tabelle1!Q130*'Weights &amp; Assumptions'!$F$18+Tabelle1!R130*'Weights &amp; Assumptions'!$F$19+Tabelle1!S130*'Weights &amp; Assumptions'!$F$20,"")</f>
        <v>152.508943594911</v>
      </c>
      <c r="Y129" s="22" t="n">
        <f aca="false">IFERROR(V129*'Weights &amp; Assumptions'!$B$25/'Weights &amp; Assumptions'!$B$28+W129*'Weights &amp; Assumptions'!$B$26/'Weights &amp; Assumptions'!$B$28+X129*'Weights &amp; Assumptions'!$B$27/'Weights &amp; Assumptions'!$B$28,"")</f>
        <v>145.787351300907</v>
      </c>
    </row>
    <row r="130" customFormat="false" ht="15" hidden="false" customHeight="false" outlineLevel="0" collapsed="false">
      <c r="A130" s="20" t="n">
        <v>41759</v>
      </c>
      <c r="B130" s="21" t="n">
        <v>144.97986</v>
      </c>
      <c r="C130" s="22" t="n">
        <v>108.303101842847</v>
      </c>
      <c r="D130" s="22" t="n">
        <v>134.476763844255</v>
      </c>
      <c r="E130" s="22" t="n">
        <v>91.9242044678846</v>
      </c>
      <c r="F130" s="22" t="n">
        <v>135.397115616154</v>
      </c>
      <c r="G130" s="22" t="n">
        <v>136.280747631729</v>
      </c>
      <c r="H130" s="22" t="n">
        <v>147.829040841545</v>
      </c>
      <c r="I130" s="22" t="n">
        <v>153.348450022534</v>
      </c>
      <c r="J130" s="22" t="n">
        <v>154.524871755503</v>
      </c>
      <c r="K130" s="22" t="n">
        <v>181.548084308387</v>
      </c>
      <c r="L130" s="22" t="n">
        <v>179.461783510579</v>
      </c>
      <c r="M130" s="22" t="n">
        <v>132.780748523258</v>
      </c>
      <c r="N130" s="22" t="n">
        <v>142.896339593438</v>
      </c>
      <c r="O130" s="22" t="n">
        <v>146.392006222367</v>
      </c>
      <c r="P130" s="22" t="n">
        <v>164.346817698944</v>
      </c>
      <c r="Q130" s="22" t="n">
        <v>149.254850047923</v>
      </c>
      <c r="R130" s="22" t="n">
        <f aca="false">C130*'Weights &amp; Assumptions'!$F$6+D130*'Weights &amp; Assumptions'!$F$7</f>
        <v>108.623795571616</v>
      </c>
      <c r="S130" s="22" t="n">
        <f aca="false">E130*'Weights &amp; Assumptions'!$F$8+F130*'Weights &amp; Assumptions'!$F$9+H130*'Weights &amp; Assumptions'!$F$11</f>
        <v>132.796413267135</v>
      </c>
      <c r="T130" s="22" t="n">
        <f aca="false">G130*'Weights &amp; Assumptions'!$F$10+I130*'Weights &amp; Assumptions'!$F$12+J130*'Weights &amp; Assumptions'!$F$13+K130*'Weights &amp; Assumptions'!$F$14+L130*'Weights &amp; Assumptions'!$F$15+M130*'Weights &amp; Assumptions'!$F$16+N130*'Weights &amp; Assumptions'!$F$17+O130*'Weights &amp; Assumptions'!$F$18+P130*'Weights &amp; Assumptions'!$F$19+Q130*'Weights &amp; Assumptions'!$F$20</f>
        <v>153.898053885643</v>
      </c>
      <c r="U130" s="22" t="n">
        <f aca="false">R130*'Weights &amp; Assumptions'!$B$25/'Weights &amp; Assumptions'!$B$28+S130*'Weights &amp; Assumptions'!$B$26/'Weights &amp; Assumptions'!$B$28+T130*'Weights &amp; Assumptions'!$B$27/'Weights &amp; Assumptions'!$B$28</f>
        <v>144.488211088531</v>
      </c>
      <c r="V130" s="23" t="n">
        <f aca="false">IFERROR(Tabelle1!E131*'Weights &amp; Assumptions'!$F$6+Tabelle1!F131*'Weights &amp; Assumptions'!$F$7,"")</f>
        <v>212.841987132811</v>
      </c>
      <c r="W130" s="23" t="n">
        <f aca="false">IFERROR(Tabelle1!G131*'Weights &amp; Assumptions'!$F$8+Tabelle1!H131*'Weights &amp; Assumptions'!$F$9+Tabelle1!J131*'Weights &amp; Assumptions'!$F$11,"")</f>
        <v>132.514571965719</v>
      </c>
      <c r="X130" s="23" t="n">
        <f aca="false">IFERROR(Tabelle1!I131*'Weights &amp; Assumptions'!$F$10+Tabelle1!K131*'Weights &amp; Assumptions'!$F$12+Tabelle1!L131*'Weights &amp; Assumptions'!$F$13+Tabelle1!M131*'Weights &amp; Assumptions'!$F$14+Tabelle1!N131*'Weights &amp; Assumptions'!$F$15+Tabelle1!O131*'Weights &amp; Assumptions'!$F$16+Tabelle1!P131*'Weights &amp; Assumptions'!$F$17+Tabelle1!Q131*'Weights &amp; Assumptions'!$F$18+Tabelle1!R131*'Weights &amp; Assumptions'!$F$19+Tabelle1!S131*'Weights &amp; Assumptions'!$F$20,"")</f>
        <v>153.464478169208</v>
      </c>
      <c r="Y130" s="22" t="n">
        <f aca="false">IFERROR(V130*'Weights &amp; Assumptions'!$B$25/'Weights &amp; Assumptions'!$B$28+W130*'Weights &amp; Assumptions'!$B$26/'Weights &amp; Assumptions'!$B$28+X130*'Weights &amp; Assumptions'!$B$27/'Weights &amp; Assumptions'!$B$28,"")</f>
        <v>152.875354569191</v>
      </c>
    </row>
    <row r="131" customFormat="false" ht="15" hidden="false" customHeight="false" outlineLevel="0" collapsed="false">
      <c r="A131" s="20" t="n">
        <v>41790</v>
      </c>
      <c r="B131" s="21" t="n">
        <v>145.33265</v>
      </c>
      <c r="C131" s="22" t="n">
        <v>109.649617527462</v>
      </c>
      <c r="D131" s="22" t="n">
        <v>155.035820057772</v>
      </c>
      <c r="E131" s="22" t="n">
        <v>94.3832819092443</v>
      </c>
      <c r="F131" s="22" t="n">
        <v>136.197663685589</v>
      </c>
      <c r="G131" s="22" t="n">
        <v>138.156535217489</v>
      </c>
      <c r="H131" s="22" t="n">
        <v>147.147630119886</v>
      </c>
      <c r="I131" s="22" t="n">
        <v>153.181479513197</v>
      </c>
      <c r="J131" s="22" t="n">
        <v>155.57986027304</v>
      </c>
      <c r="K131" s="22" t="n">
        <v>182.62207364364</v>
      </c>
      <c r="L131" s="22" t="n">
        <v>180.024159153165</v>
      </c>
      <c r="M131" s="22" t="n">
        <v>132.93978561374</v>
      </c>
      <c r="N131" s="22" t="n">
        <v>143.445008152282</v>
      </c>
      <c r="O131" s="22" t="n">
        <v>146.840156834804</v>
      </c>
      <c r="P131" s="22" t="n">
        <v>164.45019964719</v>
      </c>
      <c r="Q131" s="22" t="n">
        <v>148.995105197803</v>
      </c>
      <c r="R131" s="22" t="n">
        <f aca="false">C131*'Weights &amp; Assumptions'!$F$6+D131*'Weights &amp; Assumptions'!$F$7</f>
        <v>110.20571359546</v>
      </c>
      <c r="S131" s="22" t="n">
        <f aca="false">E131*'Weights &amp; Assumptions'!$F$8+F131*'Weights &amp; Assumptions'!$F$9+H131*'Weights &amp; Assumptions'!$F$11</f>
        <v>133.486258926083</v>
      </c>
      <c r="T131" s="22" t="n">
        <f aca="false">G131*'Weights &amp; Assumptions'!$F$10+I131*'Weights &amp; Assumptions'!$F$12+J131*'Weights &amp; Assumptions'!$F$13+K131*'Weights &amp; Assumptions'!$F$14+L131*'Weights &amp; Assumptions'!$F$15+M131*'Weights &amp; Assumptions'!$F$16+N131*'Weights &amp; Assumptions'!$F$17+O131*'Weights &amp; Assumptions'!$F$18+P131*'Weights &amp; Assumptions'!$F$19+Q131*'Weights &amp; Assumptions'!$F$20</f>
        <v>154.276292316515</v>
      </c>
      <c r="U131" s="22" t="n">
        <f aca="false">R131*'Weights &amp; Assumptions'!$B$25/'Weights &amp; Assumptions'!$B$28+S131*'Weights &amp; Assumptions'!$B$26/'Weights &amp; Assumptions'!$B$28+T131*'Weights &amp; Assumptions'!$B$27/'Weights &amp; Assumptions'!$B$28</f>
        <v>145.050301044106</v>
      </c>
      <c r="V131" s="23" t="n">
        <f aca="false">IFERROR(Tabelle1!E132*'Weights &amp; Assumptions'!$F$6+Tabelle1!F132*'Weights &amp; Assumptions'!$F$7,"")</f>
        <v>322.017572983159</v>
      </c>
      <c r="W131" s="23" t="n">
        <f aca="false">IFERROR(Tabelle1!G132*'Weights &amp; Assumptions'!$F$8+Tabelle1!H132*'Weights &amp; Assumptions'!$F$9+Tabelle1!J132*'Weights &amp; Assumptions'!$F$11,"")</f>
        <v>136.999159829572</v>
      </c>
      <c r="X131" s="23" t="n">
        <f aca="false">IFERROR(Tabelle1!I132*'Weights &amp; Assumptions'!$F$10+Tabelle1!K132*'Weights &amp; Assumptions'!$F$12+Tabelle1!L132*'Weights &amp; Assumptions'!$F$13+Tabelle1!M132*'Weights &amp; Assumptions'!$F$14+Tabelle1!N132*'Weights &amp; Assumptions'!$F$15+Tabelle1!O132*'Weights &amp; Assumptions'!$F$16+Tabelle1!P132*'Weights &amp; Assumptions'!$F$17+Tabelle1!Q132*'Weights &amp; Assumptions'!$F$18+Tabelle1!R132*'Weights &amp; Assumptions'!$F$19+Tabelle1!S132*'Weights &amp; Assumptions'!$F$20,"")</f>
        <v>156.792029605496</v>
      </c>
      <c r="Y131" s="22" t="n">
        <f aca="false">IFERROR(V131*'Weights &amp; Assumptions'!$B$25/'Weights &amp; Assumptions'!$B$28+W131*'Weights &amp; Assumptions'!$B$26/'Weights &amp; Assumptions'!$B$28+X131*'Weights &amp; Assumptions'!$B$27/'Weights &amp; Assumptions'!$B$28,"")</f>
        <v>165.391320376769</v>
      </c>
    </row>
    <row r="132" customFormat="false" ht="15" hidden="false" customHeight="false" outlineLevel="0" collapsed="false">
      <c r="A132" s="20" t="n">
        <v>41820</v>
      </c>
      <c r="B132" s="21" t="n">
        <v>144.60801</v>
      </c>
      <c r="C132" s="22" t="n">
        <v>108.92582206293</v>
      </c>
      <c r="D132" s="22" t="n">
        <v>158.361202909873</v>
      </c>
      <c r="E132" s="22" t="n">
        <v>93.8405941820807</v>
      </c>
      <c r="F132" s="22" t="n">
        <v>134.989841382668</v>
      </c>
      <c r="G132" s="22" t="n">
        <v>139.951025536138</v>
      </c>
      <c r="H132" s="22" t="n">
        <v>148.062767338889</v>
      </c>
      <c r="I132" s="22" t="n">
        <v>148.931361317029</v>
      </c>
      <c r="J132" s="22" t="n">
        <v>154.256293965921</v>
      </c>
      <c r="K132" s="22" t="n">
        <v>182.613752876324</v>
      </c>
      <c r="L132" s="22" t="n">
        <v>177.43797614593</v>
      </c>
      <c r="M132" s="22" t="n">
        <v>135.197900965904</v>
      </c>
      <c r="N132" s="22" t="n">
        <v>143.505531663582</v>
      </c>
      <c r="O132" s="22" t="n">
        <v>147.064090215185</v>
      </c>
      <c r="P132" s="22" t="n">
        <v>164.799331045384</v>
      </c>
      <c r="Q132" s="22" t="n">
        <v>144.938463783778</v>
      </c>
      <c r="R132" s="22" t="n">
        <f aca="false">C132*'Weights &amp; Assumptions'!$F$6+D132*'Weights &amp; Assumptions'!$F$7</f>
        <v>109.531530832917</v>
      </c>
      <c r="S132" s="22" t="n">
        <f aca="false">E132*'Weights &amp; Assumptions'!$F$8+F132*'Weights &amp; Assumptions'!$F$9+H132*'Weights &amp; Assumptions'!$F$11</f>
        <v>132.800114777392</v>
      </c>
      <c r="T132" s="22" t="n">
        <f aca="false">G132*'Weights &amp; Assumptions'!$F$10+I132*'Weights &amp; Assumptions'!$F$12+J132*'Weights &amp; Assumptions'!$F$13+K132*'Weights &amp; Assumptions'!$F$14+L132*'Weights &amp; Assumptions'!$F$15+M132*'Weights &amp; Assumptions'!$F$16+N132*'Weights &amp; Assumptions'!$F$17+O132*'Weights &amp; Assumptions'!$F$18+P132*'Weights &amp; Assumptions'!$F$19+Q132*'Weights &amp; Assumptions'!$F$20</f>
        <v>153.488853162366</v>
      </c>
      <c r="U132" s="22" t="n">
        <f aca="false">R132*'Weights &amp; Assumptions'!$B$25/'Weights &amp; Assumptions'!$B$28+S132*'Weights &amp; Assumptions'!$B$26/'Weights &amp; Assumptions'!$B$28+T132*'Weights &amp; Assumptions'!$B$27/'Weights &amp; Assumptions'!$B$28</f>
        <v>144.299300306853</v>
      </c>
      <c r="V132" s="23" t="n">
        <f aca="false">IFERROR(Tabelle1!E133*'Weights &amp; Assumptions'!$F$6+Tabelle1!F133*'Weights &amp; Assumptions'!$F$7,"")</f>
        <v>214.894412255158</v>
      </c>
      <c r="W132" s="23" t="n">
        <f aca="false">IFERROR(Tabelle1!G133*'Weights &amp; Assumptions'!$F$8+Tabelle1!H133*'Weights &amp; Assumptions'!$F$9+Tabelle1!J133*'Weights &amp; Assumptions'!$F$11,"")</f>
        <v>133.67598188528</v>
      </c>
      <c r="X132" s="23" t="n">
        <f aca="false">IFERROR(Tabelle1!I133*'Weights &amp; Assumptions'!$F$10+Tabelle1!K133*'Weights &amp; Assumptions'!$F$12+Tabelle1!L133*'Weights &amp; Assumptions'!$F$13+Tabelle1!M133*'Weights &amp; Assumptions'!$F$14+Tabelle1!N133*'Weights &amp; Assumptions'!$F$15+Tabelle1!O133*'Weights &amp; Assumptions'!$F$16+Tabelle1!P133*'Weights &amp; Assumptions'!$F$17+Tabelle1!Q133*'Weights &amp; Assumptions'!$F$18+Tabelle1!R133*'Weights &amp; Assumptions'!$F$19+Tabelle1!S133*'Weights &amp; Assumptions'!$F$20,"")</f>
        <v>156.925052071309</v>
      </c>
      <c r="Y132" s="22" t="n">
        <f aca="false">IFERROR(V132*'Weights &amp; Assumptions'!$B$25/'Weights &amp; Assumptions'!$B$28+W132*'Weights &amp; Assumptions'!$B$26/'Weights &amp; Assumptions'!$B$28+X132*'Weights &amp; Assumptions'!$B$27/'Weights &amp; Assumptions'!$B$28,"")</f>
        <v>155.606395751679</v>
      </c>
    </row>
    <row r="133" customFormat="false" ht="15" hidden="false" customHeight="false" outlineLevel="0" collapsed="false">
      <c r="A133" s="20" t="n">
        <v>41851</v>
      </c>
      <c r="B133" s="21" t="n">
        <v>144.0137</v>
      </c>
      <c r="C133" s="22" t="n">
        <v>107.474067975269</v>
      </c>
      <c r="D133" s="22" t="n">
        <v>125.392057311888</v>
      </c>
      <c r="E133" s="22" t="n">
        <v>92.8037894462146</v>
      </c>
      <c r="F133" s="22" t="n">
        <v>134.434082447971</v>
      </c>
      <c r="G133" s="22" t="n">
        <v>138.453306686357</v>
      </c>
      <c r="H133" s="22" t="n">
        <v>145.232868150223</v>
      </c>
      <c r="I133" s="22" t="n">
        <v>151.361564875256</v>
      </c>
      <c r="J133" s="22" t="n">
        <v>155.526711825985</v>
      </c>
      <c r="K133" s="22" t="n">
        <v>181.063021554011</v>
      </c>
      <c r="L133" s="22" t="n">
        <v>177.118340228878</v>
      </c>
      <c r="M133" s="22" t="n">
        <v>133.531385460146</v>
      </c>
      <c r="N133" s="22" t="n">
        <v>143.995184492508</v>
      </c>
      <c r="O133" s="22" t="n">
        <v>147.415885238666</v>
      </c>
      <c r="P133" s="22" t="n">
        <v>165.240888576281</v>
      </c>
      <c r="Q133" s="22" t="n">
        <v>142.697380885333</v>
      </c>
      <c r="R133" s="22" t="n">
        <f aca="false">C133*'Weights &amp; Assumptions'!$F$6+D133*'Weights &amp; Assumptions'!$F$7</f>
        <v>107.693608779765</v>
      </c>
      <c r="S133" s="22" t="n">
        <f aca="false">E133*'Weights &amp; Assumptions'!$F$8+F133*'Weights &amp; Assumptions'!$F$9+H133*'Weights &amp; Assumptions'!$F$11</f>
        <v>131.71316294926</v>
      </c>
      <c r="T133" s="22" t="n">
        <f aca="false">G133*'Weights &amp; Assumptions'!$F$10+I133*'Weights &amp; Assumptions'!$F$12+J133*'Weights &amp; Assumptions'!$F$13+K133*'Weights &amp; Assumptions'!$F$14+L133*'Weights &amp; Assumptions'!$F$15+M133*'Weights &amp; Assumptions'!$F$16+N133*'Weights &amp; Assumptions'!$F$17+O133*'Weights &amp; Assumptions'!$F$18+P133*'Weights &amp; Assumptions'!$F$19+Q133*'Weights &amp; Assumptions'!$F$20</f>
        <v>153.39124428079</v>
      </c>
      <c r="U133" s="22" t="n">
        <f aca="false">R133*'Weights &amp; Assumptions'!$B$25/'Weights &amp; Assumptions'!$B$28+S133*'Weights &amp; Assumptions'!$B$26/'Weights &amp; Assumptions'!$B$28+T133*'Weights &amp; Assumptions'!$B$27/'Weights &amp; Assumptions'!$B$28</f>
        <v>143.792594130401</v>
      </c>
      <c r="V133" s="23" t="n">
        <f aca="false">IFERROR(Tabelle1!E134*'Weights &amp; Assumptions'!$F$6+Tabelle1!F134*'Weights &amp; Assumptions'!$F$7,"")</f>
        <v>111.258049583438</v>
      </c>
      <c r="W133" s="23" t="n">
        <f aca="false">IFERROR(Tabelle1!G134*'Weights &amp; Assumptions'!$F$8+Tabelle1!H134*'Weights &amp; Assumptions'!$F$9+Tabelle1!J134*'Weights &amp; Assumptions'!$F$11,"")</f>
        <v>134.32434395088</v>
      </c>
      <c r="X133" s="23" t="n">
        <f aca="false">IFERROR(Tabelle1!I134*'Weights &amp; Assumptions'!$F$10+Tabelle1!K134*'Weights &amp; Assumptions'!$F$12+Tabelle1!L134*'Weights &amp; Assumptions'!$F$13+Tabelle1!M134*'Weights &amp; Assumptions'!$F$14+Tabelle1!N134*'Weights &amp; Assumptions'!$F$15+Tabelle1!O134*'Weights &amp; Assumptions'!$F$16+Tabelle1!P134*'Weights &amp; Assumptions'!$F$17+Tabelle1!Q134*'Weights &amp; Assumptions'!$F$18+Tabelle1!R134*'Weights &amp; Assumptions'!$F$19+Tabelle1!S134*'Weights &amp; Assumptions'!$F$20,"")</f>
        <v>156.352200334675</v>
      </c>
      <c r="Y133" s="22" t="n">
        <f aca="false">IFERROR(V133*'Weights &amp; Assumptions'!$B$25/'Weights &amp; Assumptions'!$B$28+W133*'Weights &amp; Assumptions'!$B$26/'Weights &amp; Assumptions'!$B$28+X133*'Weights &amp; Assumptions'!$B$27/'Weights &amp; Assumptions'!$B$28,"")</f>
        <v>146.711171760687</v>
      </c>
    </row>
    <row r="134" customFormat="false" ht="15" hidden="false" customHeight="false" outlineLevel="0" collapsed="false">
      <c r="A134" s="20" t="n">
        <v>41882</v>
      </c>
      <c r="B134" s="21" t="n">
        <v>143.6319</v>
      </c>
      <c r="C134" s="22" t="n">
        <v>105.440013718992</v>
      </c>
      <c r="D134" s="22" t="n">
        <v>125.079959204797</v>
      </c>
      <c r="E134" s="22" t="n">
        <v>92.4399963038807</v>
      </c>
      <c r="F134" s="22" t="n">
        <v>131.746351137688</v>
      </c>
      <c r="G134" s="22" t="n">
        <v>134.465979338248</v>
      </c>
      <c r="H134" s="22" t="n">
        <v>143.560787885155</v>
      </c>
      <c r="I134" s="22" t="n">
        <v>147.524797428293</v>
      </c>
      <c r="J134" s="22" t="n">
        <v>157.07336764958</v>
      </c>
      <c r="K134" s="22" t="n">
        <v>180.243592840281</v>
      </c>
      <c r="L134" s="22" t="n">
        <v>174.363682595103</v>
      </c>
      <c r="M134" s="22" t="n">
        <v>133.232410996647</v>
      </c>
      <c r="N134" s="22" t="n">
        <v>144.407451531325</v>
      </c>
      <c r="O134" s="22" t="n">
        <v>147.76553287911</v>
      </c>
      <c r="P134" s="22" t="n">
        <v>165.612420575301</v>
      </c>
      <c r="Q134" s="22" t="n">
        <v>149.008705878623</v>
      </c>
      <c r="R134" s="22" t="n">
        <f aca="false">C134*'Weights &amp; Assumptions'!$F$6+D134*'Weights &amp; Assumptions'!$F$7</f>
        <v>105.680652852726</v>
      </c>
      <c r="S134" s="22" t="n">
        <f aca="false">E134*'Weights &amp; Assumptions'!$F$8+F134*'Weights &amp; Assumptions'!$F$9+H134*'Weights &amp; Assumptions'!$F$11</f>
        <v>129.514488633179</v>
      </c>
      <c r="T134" s="22" t="n">
        <f aca="false">G134*'Weights &amp; Assumptions'!$F$10+I134*'Weights &amp; Assumptions'!$F$12+J134*'Weights &amp; Assumptions'!$F$13+K134*'Weights &amp; Assumptions'!$F$14+L134*'Weights &amp; Assumptions'!$F$15+M134*'Weights &amp; Assumptions'!$F$16+N134*'Weights &amp; Assumptions'!$F$17+O134*'Weights &amp; Assumptions'!$F$18+P134*'Weights &amp; Assumptions'!$F$19+Q134*'Weights &amp; Assumptions'!$F$20</f>
        <v>152.617043335825</v>
      </c>
      <c r="U134" s="22" t="n">
        <f aca="false">R134*'Weights &amp; Assumptions'!$B$25/'Weights &amp; Assumptions'!$B$28+S134*'Weights &amp; Assumptions'!$B$26/'Weights &amp; Assumptions'!$B$28+T134*'Weights &amp; Assumptions'!$B$27/'Weights &amp; Assumptions'!$B$28</f>
        <v>142.535668259234</v>
      </c>
      <c r="V134" s="23" t="n">
        <f aca="false">IFERROR(Tabelle1!E135*'Weights &amp; Assumptions'!$F$6+Tabelle1!F135*'Weights &amp; Assumptions'!$F$7,"")</f>
        <v>69.9517790904757</v>
      </c>
      <c r="W134" s="23" t="n">
        <f aca="false">IFERROR(Tabelle1!G135*'Weights &amp; Assumptions'!$F$8+Tabelle1!H135*'Weights &amp; Assumptions'!$F$9+Tabelle1!J135*'Weights &amp; Assumptions'!$F$11,"")</f>
        <v>133.888091412804</v>
      </c>
      <c r="X134" s="23" t="n">
        <f aca="false">IFERROR(Tabelle1!I135*'Weights &amp; Assumptions'!$F$10+Tabelle1!K135*'Weights &amp; Assumptions'!$F$12+Tabelle1!L135*'Weights &amp; Assumptions'!$F$13+Tabelle1!M135*'Weights &amp; Assumptions'!$F$14+Tabelle1!N135*'Weights &amp; Assumptions'!$F$15+Tabelle1!O135*'Weights &amp; Assumptions'!$F$16+Tabelle1!P135*'Weights &amp; Assumptions'!$F$17+Tabelle1!Q135*'Weights &amp; Assumptions'!$F$18+Tabelle1!R135*'Weights &amp; Assumptions'!$F$19+Tabelle1!S135*'Weights &amp; Assumptions'!$F$20,"")</f>
        <v>154.35023895897</v>
      </c>
      <c r="Y134" s="22" t="n">
        <f aca="false">IFERROR(V134*'Weights &amp; Assumptions'!$B$25/'Weights &amp; Assumptions'!$B$28+W134*'Weights &amp; Assumptions'!$B$26/'Weights &amp; Assumptions'!$B$28+X134*'Weights &amp; Assumptions'!$B$27/'Weights &amp; Assumptions'!$B$28,"")</f>
        <v>141.827895471049</v>
      </c>
    </row>
    <row r="135" customFormat="false" ht="15" hidden="false" customHeight="false" outlineLevel="0" collapsed="false">
      <c r="A135" s="20" t="n">
        <v>41912</v>
      </c>
      <c r="B135" s="21" t="n">
        <v>143.52595</v>
      </c>
      <c r="C135" s="22" t="n">
        <v>108.267978861363</v>
      </c>
      <c r="D135" s="22" t="n">
        <v>138.598405076898</v>
      </c>
      <c r="E135" s="22" t="n">
        <v>93.455960769364</v>
      </c>
      <c r="F135" s="22" t="n">
        <v>133.354936017487</v>
      </c>
      <c r="G135" s="22" t="n">
        <v>135.57476609154</v>
      </c>
      <c r="H135" s="22" t="n">
        <v>145.472106370418</v>
      </c>
      <c r="I135" s="22" t="n">
        <v>152.95435678694</v>
      </c>
      <c r="J135" s="22" t="n">
        <v>156.996484263829</v>
      </c>
      <c r="K135" s="22" t="n">
        <v>181.812674209107</v>
      </c>
      <c r="L135" s="22" t="n">
        <v>177.436276706583</v>
      </c>
      <c r="M135" s="22" t="n">
        <v>134.548332045343</v>
      </c>
      <c r="N135" s="22" t="n">
        <v>144.9523832374</v>
      </c>
      <c r="O135" s="22" t="n">
        <v>148.151397894455</v>
      </c>
      <c r="P135" s="22" t="n">
        <v>165.721784381727</v>
      </c>
      <c r="Q135" s="22" t="n">
        <v>150.969689298494</v>
      </c>
      <c r="R135" s="22" t="n">
        <f aca="false">C135*'Weights &amp; Assumptions'!$F$6+D135*'Weights &amp; Assumptions'!$F$7</f>
        <v>108.639603492172</v>
      </c>
      <c r="S135" s="22" t="n">
        <f aca="false">E135*'Weights &amp; Assumptions'!$F$8+F135*'Weights &amp; Assumptions'!$F$9+H135*'Weights &amp; Assumptions'!$F$11</f>
        <v>131.115382553312</v>
      </c>
      <c r="T135" s="22" t="n">
        <f aca="false">G135*'Weights &amp; Assumptions'!$F$10+I135*'Weights &amp; Assumptions'!$F$12+J135*'Weights &amp; Assumptions'!$F$13+K135*'Weights &amp; Assumptions'!$F$14+L135*'Weights &amp; Assumptions'!$F$15+M135*'Weights &amp; Assumptions'!$F$16+N135*'Weights &amp; Assumptions'!$F$17+O135*'Weights &amp; Assumptions'!$F$18+P135*'Weights &amp; Assumptions'!$F$19+Q135*'Weights &amp; Assumptions'!$F$20</f>
        <v>154.675816470096</v>
      </c>
      <c r="U135" s="22" t="n">
        <f aca="false">R135*'Weights &amp; Assumptions'!$B$25/'Weights &amp; Assumptions'!$B$28+S135*'Weights &amp; Assumptions'!$B$26/'Weights &amp; Assumptions'!$B$28+T135*'Weights &amp; Assumptions'!$B$27/'Weights &amp; Assumptions'!$B$28</f>
        <v>144.548208953966</v>
      </c>
      <c r="V135" s="23" t="n">
        <f aca="false">IFERROR(Tabelle1!E136*'Weights &amp; Assumptions'!$F$6+Tabelle1!F136*'Weights &amp; Assumptions'!$F$7,"")</f>
        <v>68.6911698661518</v>
      </c>
      <c r="W135" s="23" t="n">
        <f aca="false">IFERROR(Tabelle1!G136*'Weights &amp; Assumptions'!$F$8+Tabelle1!H136*'Weights &amp; Assumptions'!$F$9+Tabelle1!J136*'Weights &amp; Assumptions'!$F$11,"")</f>
        <v>136.074874506164</v>
      </c>
      <c r="X135" s="23" t="n">
        <f aca="false">IFERROR(Tabelle1!I136*'Weights &amp; Assumptions'!$F$10+Tabelle1!K136*'Weights &amp; Assumptions'!$F$12+Tabelle1!L136*'Weights &amp; Assumptions'!$F$13+Tabelle1!M136*'Weights &amp; Assumptions'!$F$14+Tabelle1!N136*'Weights &amp; Assumptions'!$F$15+Tabelle1!O136*'Weights &amp; Assumptions'!$F$16+Tabelle1!P136*'Weights &amp; Assumptions'!$F$17+Tabelle1!Q136*'Weights &amp; Assumptions'!$F$18+Tabelle1!R136*'Weights &amp; Assumptions'!$F$19+Tabelle1!S136*'Weights &amp; Assumptions'!$F$20,"")</f>
        <v>155.500736963363</v>
      </c>
      <c r="Y135" s="22" t="n">
        <f aca="false">IFERROR(V135*'Weights &amp; Assumptions'!$B$25/'Weights &amp; Assumptions'!$B$28+W135*'Weights &amp; Assumptions'!$B$26/'Weights &amp; Assumptions'!$B$28+X135*'Weights &amp; Assumptions'!$B$27/'Weights &amp; Assumptions'!$B$28,"")</f>
        <v>143.051665879588</v>
      </c>
    </row>
    <row r="136" customFormat="false" ht="15" hidden="false" customHeight="false" outlineLevel="0" collapsed="false">
      <c r="A136" s="20" t="n">
        <v>41943</v>
      </c>
      <c r="B136" s="21" t="n">
        <v>143.84982</v>
      </c>
      <c r="C136" s="22" t="n">
        <v>105.963540067167</v>
      </c>
      <c r="D136" s="22" t="n">
        <v>148.030627981342</v>
      </c>
      <c r="E136" s="22" t="n">
        <v>94.07111973474</v>
      </c>
      <c r="F136" s="22" t="n">
        <v>133.811692652007</v>
      </c>
      <c r="G136" s="22" t="n">
        <v>142.75371676137</v>
      </c>
      <c r="H136" s="22" t="n">
        <v>144.744929577564</v>
      </c>
      <c r="I136" s="22" t="n">
        <v>152.714109868879</v>
      </c>
      <c r="J136" s="22" t="n">
        <v>158.646591193562</v>
      </c>
      <c r="K136" s="22" t="n">
        <v>183.476734520795</v>
      </c>
      <c r="L136" s="22" t="n">
        <v>176.176600459999</v>
      </c>
      <c r="M136" s="22" t="n">
        <v>134.070147569004</v>
      </c>
      <c r="N136" s="22" t="n">
        <v>145.123724976914</v>
      </c>
      <c r="O136" s="22" t="n">
        <v>148.990234691843</v>
      </c>
      <c r="P136" s="22" t="n">
        <v>166.557928551632</v>
      </c>
      <c r="Q136" s="22" t="n">
        <v>149.32947078142</v>
      </c>
      <c r="R136" s="22" t="n">
        <f aca="false">C136*'Weights &amp; Assumptions'!$F$6+D136*'Weights &amp; Assumptions'!$F$7</f>
        <v>106.478968564751</v>
      </c>
      <c r="S136" s="22" t="n">
        <f aca="false">E136*'Weights &amp; Assumptions'!$F$8+F136*'Weights &amp; Assumptions'!$F$9+H136*'Weights &amp; Assumptions'!$F$11</f>
        <v>131.344410767523</v>
      </c>
      <c r="T136" s="22" t="n">
        <f aca="false">G136*'Weights &amp; Assumptions'!$F$10+I136*'Weights &amp; Assumptions'!$F$12+J136*'Weights &amp; Assumptions'!$F$13+K136*'Weights &amp; Assumptions'!$F$14+L136*'Weights &amp; Assumptions'!$F$15+M136*'Weights &amp; Assumptions'!$F$16+N136*'Weights &amp; Assumptions'!$F$17+O136*'Weights &amp; Assumptions'!$F$18+P136*'Weights &amp; Assumptions'!$F$19+Q136*'Weights &amp; Assumptions'!$F$20</f>
        <v>155.005656013748</v>
      </c>
      <c r="U136" s="22" t="n">
        <f aca="false">R136*'Weights &amp; Assumptions'!$B$25/'Weights &amp; Assumptions'!$B$28+S136*'Weights &amp; Assumptions'!$B$26/'Weights &amp; Assumptions'!$B$28+T136*'Weights &amp; Assumptions'!$B$27/'Weights &amp; Assumptions'!$B$28</f>
        <v>144.64228812344</v>
      </c>
      <c r="V136" s="23" t="n">
        <f aca="false">IFERROR(Tabelle1!E137*'Weights &amp; Assumptions'!$F$6+Tabelle1!F137*'Weights &amp; Assumptions'!$F$7,"")</f>
        <v>71.1230454460614</v>
      </c>
      <c r="W136" s="23" t="n">
        <f aca="false">IFERROR(Tabelle1!G137*'Weights &amp; Assumptions'!$F$8+Tabelle1!H137*'Weights &amp; Assumptions'!$F$9+Tabelle1!J137*'Weights &amp; Assumptions'!$F$11,"")</f>
        <v>138.460886160433</v>
      </c>
      <c r="X136" s="23" t="n">
        <f aca="false">IFERROR(Tabelle1!I137*'Weights &amp; Assumptions'!$F$10+Tabelle1!K137*'Weights &amp; Assumptions'!$F$12+Tabelle1!L137*'Weights &amp; Assumptions'!$F$13+Tabelle1!M137*'Weights &amp; Assumptions'!$F$14+Tabelle1!N137*'Weights &amp; Assumptions'!$F$15+Tabelle1!O137*'Weights &amp; Assumptions'!$F$16+Tabelle1!P137*'Weights &amp; Assumptions'!$F$17+Tabelle1!Q137*'Weights &amp; Assumptions'!$F$18+Tabelle1!R137*'Weights &amp; Assumptions'!$F$19+Tabelle1!S137*'Weights &amp; Assumptions'!$F$20,"")</f>
        <v>156.950417103677</v>
      </c>
      <c r="Y136" s="22" t="n">
        <f aca="false">IFERROR(V136*'Weights &amp; Assumptions'!$B$25/'Weights &amp; Assumptions'!$B$28+W136*'Weights &amp; Assumptions'!$B$26/'Weights &amp; Assumptions'!$B$28+X136*'Weights &amp; Assumptions'!$B$27/'Weights &amp; Assumptions'!$B$28,"")</f>
        <v>144.83273994022</v>
      </c>
    </row>
    <row r="137" customFormat="false" ht="15" hidden="false" customHeight="false" outlineLevel="0" collapsed="false">
      <c r="A137" s="20" t="n">
        <v>41973</v>
      </c>
      <c r="B137" s="21" t="n">
        <v>144.81113</v>
      </c>
      <c r="C137" s="22" t="n">
        <v>106.635221090031</v>
      </c>
      <c r="D137" s="22" t="n">
        <v>140.412574277815</v>
      </c>
      <c r="E137" s="22" t="n">
        <v>94.4218192928807</v>
      </c>
      <c r="F137" s="22" t="n">
        <v>132.475867956382</v>
      </c>
      <c r="G137" s="22" t="n">
        <v>141.416533354748</v>
      </c>
      <c r="H137" s="22" t="n">
        <v>144.921313939012</v>
      </c>
      <c r="I137" s="22" t="n">
        <v>148.735908415596</v>
      </c>
      <c r="J137" s="22" t="n">
        <v>158.000424880009</v>
      </c>
      <c r="K137" s="22" t="n">
        <v>183.22849787492</v>
      </c>
      <c r="L137" s="22" t="n">
        <v>171.891192236544</v>
      </c>
      <c r="M137" s="22" t="n">
        <v>133.436242569196</v>
      </c>
      <c r="N137" s="22" t="n">
        <v>145.568681679608</v>
      </c>
      <c r="O137" s="22" t="n">
        <v>149.084733012967</v>
      </c>
      <c r="P137" s="22" t="n">
        <v>166.817944417436</v>
      </c>
      <c r="Q137" s="22" t="n">
        <v>149.977813334927</v>
      </c>
      <c r="R137" s="22" t="n">
        <f aca="false">C137*'Weights &amp; Assumptions'!$F$6+D137*'Weights &amp; Assumptions'!$F$7</f>
        <v>107.049079316715</v>
      </c>
      <c r="S137" s="22" t="n">
        <f aca="false">E137*'Weights &amp; Assumptions'!$F$8+F137*'Weights &amp; Assumptions'!$F$9+H137*'Weights &amp; Assumptions'!$F$11</f>
        <v>130.524982066873</v>
      </c>
      <c r="T137" s="22" t="n">
        <f aca="false">G137*'Weights &amp; Assumptions'!$F$10+I137*'Weights &amp; Assumptions'!$F$12+J137*'Weights &amp; Assumptions'!$F$13+K137*'Weights &amp; Assumptions'!$F$14+L137*'Weights &amp; Assumptions'!$F$15+M137*'Weights &amp; Assumptions'!$F$16+N137*'Weights &amp; Assumptions'!$F$17+O137*'Weights &amp; Assumptions'!$F$18+P137*'Weights &amp; Assumptions'!$F$19+Q137*'Weights &amp; Assumptions'!$F$20</f>
        <v>153.739422413902</v>
      </c>
      <c r="U137" s="22" t="n">
        <f aca="false">R137*'Weights &amp; Assumptions'!$B$25/'Weights &amp; Assumptions'!$B$28+S137*'Weights &amp; Assumptions'!$B$26/'Weights &amp; Assumptions'!$B$28+T137*'Weights &amp; Assumptions'!$B$27/'Weights &amp; Assumptions'!$B$28</f>
        <v>143.648938570471</v>
      </c>
      <c r="V137" s="23" t="n">
        <f aca="false">IFERROR(Tabelle1!E138*'Weights &amp; Assumptions'!$F$6+Tabelle1!F138*'Weights &amp; Assumptions'!$F$7,"")</f>
        <v>84.6589922642162</v>
      </c>
      <c r="W137" s="23" t="n">
        <f aca="false">IFERROR(Tabelle1!G138*'Weights &amp; Assumptions'!$F$8+Tabelle1!H138*'Weights &amp; Assumptions'!$F$9+Tabelle1!J138*'Weights &amp; Assumptions'!$F$11,"")</f>
        <v>134.599865763092</v>
      </c>
      <c r="X137" s="23" t="n">
        <f aca="false">IFERROR(Tabelle1!I138*'Weights &amp; Assumptions'!$F$10+Tabelle1!K138*'Weights &amp; Assumptions'!$F$12+Tabelle1!L138*'Weights &amp; Assumptions'!$F$13+Tabelle1!M138*'Weights &amp; Assumptions'!$F$14+Tabelle1!N138*'Weights &amp; Assumptions'!$F$15+Tabelle1!O138*'Weights &amp; Assumptions'!$F$16+Tabelle1!P138*'Weights &amp; Assumptions'!$F$17+Tabelle1!Q138*'Weights &amp; Assumptions'!$F$18+Tabelle1!R138*'Weights &amp; Assumptions'!$F$19+Tabelle1!S138*'Weights &amp; Assumptions'!$F$20,"")</f>
        <v>154.357227299176</v>
      </c>
      <c r="Y137" s="22" t="n">
        <f aca="false">IFERROR(V137*'Weights &amp; Assumptions'!$B$25/'Weights &amp; Assumptions'!$B$28+W137*'Weights &amp; Assumptions'!$B$26/'Weights &amp; Assumptions'!$B$28+X137*'Weights &amp; Assumptions'!$B$27/'Weights &amp; Assumptions'!$B$28,"")</f>
        <v>143.25565981969</v>
      </c>
    </row>
    <row r="138" customFormat="false" ht="15" hidden="false" customHeight="false" outlineLevel="0" collapsed="false">
      <c r="A138" s="20" t="n">
        <v>42004</v>
      </c>
      <c r="B138" s="21" t="n">
        <v>144.90914</v>
      </c>
      <c r="C138" s="22" t="n">
        <v>109.696068098284</v>
      </c>
      <c r="D138" s="22" t="n">
        <v>130.043596428846</v>
      </c>
      <c r="E138" s="22" t="n">
        <v>94.4002114939638</v>
      </c>
      <c r="F138" s="22" t="n">
        <v>133.285133601105</v>
      </c>
      <c r="G138" s="22" t="n">
        <v>136.490254037861</v>
      </c>
      <c r="H138" s="22" t="n">
        <v>146.855145611638</v>
      </c>
      <c r="I138" s="22" t="n">
        <v>154.57373758619</v>
      </c>
      <c r="J138" s="22" t="n">
        <v>158.614581142388</v>
      </c>
      <c r="K138" s="22" t="n">
        <v>184.770859408825</v>
      </c>
      <c r="L138" s="22" t="n">
        <v>171.221810671609</v>
      </c>
      <c r="M138" s="22" t="n">
        <v>134.214135174716</v>
      </c>
      <c r="N138" s="22" t="n">
        <v>146.05489884906</v>
      </c>
      <c r="O138" s="22" t="n">
        <v>148.974443317008</v>
      </c>
      <c r="P138" s="22" t="n">
        <v>166.929339179601</v>
      </c>
      <c r="Q138" s="22" t="n">
        <v>150.740898936186</v>
      </c>
      <c r="R138" s="22" t="n">
        <f aca="false">C138*'Weights &amp; Assumptions'!$F$6+D138*'Weights &amp; Assumptions'!$F$7</f>
        <v>109.945376916103</v>
      </c>
      <c r="S138" s="22" t="n">
        <f aca="false">E138*'Weights &amp; Assumptions'!$F$8+F138*'Weights &amp; Assumptions'!$F$9+H138*'Weights &amp; Assumptions'!$F$11</f>
        <v>131.469316990141</v>
      </c>
      <c r="T138" s="22" t="n">
        <f aca="false">G138*'Weights &amp; Assumptions'!$F$10+I138*'Weights &amp; Assumptions'!$F$12+J138*'Weights &amp; Assumptions'!$F$13+K138*'Weights &amp; Assumptions'!$F$14+L138*'Weights &amp; Assumptions'!$F$15+M138*'Weights &amp; Assumptions'!$F$16+N138*'Weights &amp; Assumptions'!$F$17+O138*'Weights &amp; Assumptions'!$F$18+P138*'Weights &amp; Assumptions'!$F$19+Q138*'Weights &amp; Assumptions'!$F$20</f>
        <v>155.236079874744</v>
      </c>
      <c r="U138" s="22" t="n">
        <f aca="false">R138*'Weights &amp; Assumptions'!$B$25/'Weights &amp; Assumptions'!$B$28+S138*'Weights &amp; Assumptions'!$B$26/'Weights &amp; Assumptions'!$B$28+T138*'Weights &amp; Assumptions'!$B$27/'Weights &amp; Assumptions'!$B$28</f>
        <v>145.116154792914</v>
      </c>
      <c r="V138" s="23" t="n">
        <f aca="false">IFERROR(Tabelle1!E139*'Weights &amp; Assumptions'!$F$6+Tabelle1!F139*'Weights &amp; Assumptions'!$F$7,"")</f>
        <v>88.3752914543331</v>
      </c>
      <c r="W138" s="23" t="n">
        <f aca="false">IFERROR(Tabelle1!G139*'Weights &amp; Assumptions'!$F$8+Tabelle1!H139*'Weights &amp; Assumptions'!$F$9+Tabelle1!J139*'Weights &amp; Assumptions'!$F$11,"")</f>
        <v>130.46638598395</v>
      </c>
      <c r="X138" s="23" t="n">
        <f aca="false">IFERROR(Tabelle1!I139*'Weights &amp; Assumptions'!$F$10+Tabelle1!K139*'Weights &amp; Assumptions'!$F$12+Tabelle1!L139*'Weights &amp; Assumptions'!$F$13+Tabelle1!M139*'Weights &amp; Assumptions'!$F$14+Tabelle1!N139*'Weights &amp; Assumptions'!$F$15+Tabelle1!O139*'Weights &amp; Assumptions'!$F$16+Tabelle1!P139*'Weights &amp; Assumptions'!$F$17+Tabelle1!Q139*'Weights &amp; Assumptions'!$F$18+Tabelle1!R139*'Weights &amp; Assumptions'!$F$19+Tabelle1!S139*'Weights &amp; Assumptions'!$F$20,"")</f>
        <v>154.000085817947</v>
      </c>
      <c r="Y138" s="22" t="n">
        <f aca="false">IFERROR(V138*'Weights &amp; Assumptions'!$B$25/'Weights &amp; Assumptions'!$B$28+W138*'Weights &amp; Assumptions'!$B$26/'Weights &amp; Assumptions'!$B$28+X138*'Weights &amp; Assumptions'!$B$27/'Weights &amp; Assumptions'!$B$28,"")</f>
        <v>142.236089081582</v>
      </c>
    </row>
    <row r="139" customFormat="false" ht="15" hidden="false" customHeight="false" outlineLevel="0" collapsed="false">
      <c r="A139" s="20" t="n">
        <v>42035</v>
      </c>
      <c r="B139" s="21" t="n">
        <v>144.24479</v>
      </c>
      <c r="C139" s="22" t="n">
        <v>105.26773006746</v>
      </c>
      <c r="D139" s="22" t="n">
        <v>127.642259607742</v>
      </c>
      <c r="E139" s="22" t="n">
        <v>95.4346300568952</v>
      </c>
      <c r="F139" s="22" t="n">
        <v>134.703762622931</v>
      </c>
      <c r="G139" s="22" t="n">
        <v>139.323922270357</v>
      </c>
      <c r="H139" s="22" t="n">
        <v>146.650183450713</v>
      </c>
      <c r="I139" s="22" t="n">
        <v>152.361240930835</v>
      </c>
      <c r="J139" s="22" t="n">
        <v>160.356161468018</v>
      </c>
      <c r="K139" s="22" t="n">
        <v>183.164845752803</v>
      </c>
      <c r="L139" s="22" t="n">
        <v>172.904794735285</v>
      </c>
      <c r="M139" s="22" t="n">
        <v>134.510908968385</v>
      </c>
      <c r="N139" s="22" t="n">
        <v>146.386992662097</v>
      </c>
      <c r="O139" s="22" t="n">
        <v>149.839498154941</v>
      </c>
      <c r="P139" s="22" t="n">
        <v>167.585600813558</v>
      </c>
      <c r="Q139" s="22" t="n">
        <v>151.151315172734</v>
      </c>
      <c r="R139" s="22" t="n">
        <f aca="false">C139*'Weights &amp; Assumptions'!$F$6+D139*'Weights &amp; Assumptions'!$F$7</f>
        <v>105.541874790019</v>
      </c>
      <c r="S139" s="22" t="n">
        <f aca="false">E139*'Weights &amp; Assumptions'!$F$8+F139*'Weights &amp; Assumptions'!$F$9+H139*'Weights &amp; Assumptions'!$F$11</f>
        <v>132.503839773124</v>
      </c>
      <c r="T139" s="22" t="n">
        <f aca="false">G139*'Weights &amp; Assumptions'!$F$10+I139*'Weights &amp; Assumptions'!$F$12+J139*'Weights &amp; Assumptions'!$F$13+K139*'Weights &amp; Assumptions'!$F$14+L139*'Weights &amp; Assumptions'!$F$15+M139*'Weights &amp; Assumptions'!$F$16+N139*'Weights &amp; Assumptions'!$F$17+O139*'Weights &amp; Assumptions'!$F$18+P139*'Weights &amp; Assumptions'!$F$19+Q139*'Weights &amp; Assumptions'!$F$20</f>
        <v>155.068011476737</v>
      </c>
      <c r="U139" s="22" t="n">
        <f aca="false">R139*'Weights &amp; Assumptions'!$B$25/'Weights &amp; Assumptions'!$B$28+S139*'Weights &amp; Assumptions'!$B$26/'Weights &amp; Assumptions'!$B$28+T139*'Weights &amp; Assumptions'!$B$27/'Weights &amp; Assumptions'!$B$28</f>
        <v>144.912519982486</v>
      </c>
      <c r="V139" s="23" t="n">
        <f aca="false">IFERROR(Tabelle1!E140*'Weights &amp; Assumptions'!$F$6+Tabelle1!F140*'Weights &amp; Assumptions'!$F$7,"")</f>
        <v>61.1716911591042</v>
      </c>
      <c r="W139" s="23" t="n">
        <f aca="false">IFERROR(Tabelle1!G140*'Weights &amp; Assumptions'!$F$8+Tabelle1!H140*'Weights &amp; Assumptions'!$F$9+Tabelle1!J140*'Weights &amp; Assumptions'!$F$11,"")</f>
        <v>121.431466241134</v>
      </c>
      <c r="X139" s="23" t="n">
        <f aca="false">IFERROR(Tabelle1!I140*'Weights &amp; Assumptions'!$F$10+Tabelle1!K140*'Weights &amp; Assumptions'!$F$12+Tabelle1!L140*'Weights &amp; Assumptions'!$F$13+Tabelle1!M140*'Weights &amp; Assumptions'!$F$14+Tabelle1!N140*'Weights &amp; Assumptions'!$F$15+Tabelle1!O140*'Weights &amp; Assumptions'!$F$16+Tabelle1!P140*'Weights &amp; Assumptions'!$F$17+Tabelle1!Q140*'Weights &amp; Assumptions'!$F$18+Tabelle1!R140*'Weights &amp; Assumptions'!$F$19+Tabelle1!S140*'Weights &amp; Assumptions'!$F$20,"")</f>
        <v>150.020540683254</v>
      </c>
      <c r="Y139" s="22" t="n">
        <f aca="false">IFERROR(V139*'Weights &amp; Assumptions'!$B$25/'Weights &amp; Assumptions'!$B$28+W139*'Weights &amp; Assumptions'!$B$26/'Weights &amp; Assumptions'!$B$28+X139*'Weights &amp; Assumptions'!$B$27/'Weights &amp; Assumptions'!$B$28,"")</f>
        <v>134.963713975482</v>
      </c>
    </row>
    <row r="140" customFormat="false" ht="15" hidden="false" customHeight="false" outlineLevel="0" collapsed="false">
      <c r="A140" s="20" t="n">
        <v>42063</v>
      </c>
      <c r="B140" s="21" t="n">
        <v>148.08726</v>
      </c>
      <c r="C140" s="22" t="n">
        <v>109.064492281238</v>
      </c>
      <c r="D140" s="22" t="n">
        <v>118.304206602665</v>
      </c>
      <c r="E140" s="22" t="n">
        <v>94.6544535148228</v>
      </c>
      <c r="F140" s="22" t="n">
        <v>135.938876789268</v>
      </c>
      <c r="G140" s="22" t="n">
        <v>141.792310749223</v>
      </c>
      <c r="H140" s="22" t="n">
        <v>148.41975181061</v>
      </c>
      <c r="I140" s="22" t="n">
        <v>157.239867420446</v>
      </c>
      <c r="J140" s="22" t="n">
        <v>158.541648870879</v>
      </c>
      <c r="K140" s="22" t="n">
        <v>184.345979786423</v>
      </c>
      <c r="L140" s="22" t="n">
        <v>176.748726334046</v>
      </c>
      <c r="M140" s="22" t="n">
        <v>134.921192475358</v>
      </c>
      <c r="N140" s="22" t="n">
        <v>146.554219355148</v>
      </c>
      <c r="O140" s="22" t="n">
        <v>149.443581067787</v>
      </c>
      <c r="P140" s="22" t="n">
        <v>167.850358431335</v>
      </c>
      <c r="Q140" s="22" t="n">
        <v>151.21201007526</v>
      </c>
      <c r="R140" s="22" t="n">
        <f aca="false">C140*'Weights &amp; Assumptions'!$F$6+D140*'Weights &amp; Assumptions'!$F$7</f>
        <v>109.177702211066</v>
      </c>
      <c r="S140" s="22" t="n">
        <f aca="false">E140*'Weights &amp; Assumptions'!$F$8+F140*'Weights &amp; Assumptions'!$F$9+H140*'Weights &amp; Assumptions'!$F$11</f>
        <v>133.609672277327</v>
      </c>
      <c r="T140" s="22" t="n">
        <f aca="false">G140*'Weights &amp; Assumptions'!$F$10+I140*'Weights &amp; Assumptions'!$F$12+J140*'Weights &amp; Assumptions'!$F$13+K140*'Weights &amp; Assumptions'!$F$14+L140*'Weights &amp; Assumptions'!$F$15+M140*'Weights &amp; Assumptions'!$F$16+N140*'Weights &amp; Assumptions'!$F$17+O140*'Weights &amp; Assumptions'!$F$18+P140*'Weights &amp; Assumptions'!$F$19+Q140*'Weights &amp; Assumptions'!$F$20</f>
        <v>156.603307310406</v>
      </c>
      <c r="U140" s="22" t="n">
        <f aca="false">R140*'Weights &amp; Assumptions'!$B$25/'Weights &amp; Assumptions'!$B$28+S140*'Weights &amp; Assumptions'!$B$26/'Weights &amp; Assumptions'!$B$28+T140*'Weights &amp; Assumptions'!$B$27/'Weights &amp; Assumptions'!$B$28</f>
        <v>146.509850363154</v>
      </c>
      <c r="V140" s="23" t="n">
        <f aca="false">IFERROR(Tabelle1!E141*'Weights &amp; Assumptions'!$F$6+Tabelle1!F141*'Weights &amp; Assumptions'!$F$7,"")</f>
        <v>70.4944409852088</v>
      </c>
      <c r="W140" s="23" t="n">
        <f aca="false">IFERROR(Tabelle1!G141*'Weights &amp; Assumptions'!$F$8+Tabelle1!H141*'Weights &amp; Assumptions'!$F$9+Tabelle1!J141*'Weights &amp; Assumptions'!$F$11,"")</f>
        <v>119.875938103476</v>
      </c>
      <c r="X140" s="23" t="n">
        <f aca="false">IFERROR(Tabelle1!I141*'Weights &amp; Assumptions'!$F$10+Tabelle1!K141*'Weights &amp; Assumptions'!$F$12+Tabelle1!L141*'Weights &amp; Assumptions'!$F$13+Tabelle1!M141*'Weights &amp; Assumptions'!$F$14+Tabelle1!N141*'Weights &amp; Assumptions'!$F$15+Tabelle1!O141*'Weights &amp; Assumptions'!$F$16+Tabelle1!P141*'Weights &amp; Assumptions'!$F$17+Tabelle1!Q141*'Weights &amp; Assumptions'!$F$18+Tabelle1!R141*'Weights &amp; Assumptions'!$F$19+Tabelle1!S141*'Weights &amp; Assumptions'!$F$20,"")</f>
        <v>149.40518357281</v>
      </c>
      <c r="Y140" s="22" t="n">
        <f aca="false">IFERROR(V140*'Weights &amp; Assumptions'!$B$25/'Weights &amp; Assumptions'!$B$28+W140*'Weights &amp; Assumptions'!$B$26/'Weights &amp; Assumptions'!$B$28+X140*'Weights &amp; Assumptions'!$B$27/'Weights &amp; Assumptions'!$B$28,"")</f>
        <v>134.932164408291</v>
      </c>
    </row>
    <row r="141" customFormat="false" ht="15" hidden="false" customHeight="false" outlineLevel="0" collapsed="false">
      <c r="A141" s="20" t="n">
        <v>42094</v>
      </c>
      <c r="B141" s="21" t="n">
        <v>147.60559</v>
      </c>
      <c r="C141" s="22" t="n">
        <v>113.968104697144</v>
      </c>
      <c r="D141" s="22" t="n">
        <v>143.156098231862</v>
      </c>
      <c r="E141" s="22" t="n">
        <v>95.4234438150873</v>
      </c>
      <c r="F141" s="22" t="n">
        <v>135.545814140148</v>
      </c>
      <c r="G141" s="22" t="n">
        <v>150.986485512773</v>
      </c>
      <c r="H141" s="22" t="n">
        <v>148.73700996866</v>
      </c>
      <c r="I141" s="22" t="n">
        <v>158.135933846464</v>
      </c>
      <c r="J141" s="22" t="n">
        <v>155.81728903285</v>
      </c>
      <c r="K141" s="22" t="n">
        <v>183.915981884655</v>
      </c>
      <c r="L141" s="22" t="n">
        <v>177.284677847649</v>
      </c>
      <c r="M141" s="22" t="n">
        <v>135.607298338244</v>
      </c>
      <c r="N141" s="22" t="n">
        <v>148.146389258563</v>
      </c>
      <c r="O141" s="22" t="n">
        <v>149.829706735748</v>
      </c>
      <c r="P141" s="22" t="n">
        <v>168.334718474991</v>
      </c>
      <c r="Q141" s="22" t="n">
        <v>144.471280124485</v>
      </c>
      <c r="R141" s="22" t="n">
        <f aca="false">C141*'Weights &amp; Assumptions'!$F$6+D141*'Weights &amp; Assumptions'!$F$7</f>
        <v>114.325731630717</v>
      </c>
      <c r="S141" s="22" t="n">
        <f aca="false">E141*'Weights &amp; Assumptions'!$F$8+F141*'Weights &amp; Assumptions'!$F$9+H141*'Weights &amp; Assumptions'!$F$11</f>
        <v>133.503332689067</v>
      </c>
      <c r="T141" s="22" t="n">
        <f aca="false">G141*'Weights &amp; Assumptions'!$F$10+I141*'Weights &amp; Assumptions'!$F$12+J141*'Weights &amp; Assumptions'!$F$13+K141*'Weights &amp; Assumptions'!$F$14+L141*'Weights &amp; Assumptions'!$F$15+M141*'Weights &amp; Assumptions'!$F$16+N141*'Weights &amp; Assumptions'!$F$17+O141*'Weights &amp; Assumptions'!$F$18+P141*'Weights &amp; Assumptions'!$F$19+Q141*'Weights &amp; Assumptions'!$F$20</f>
        <v>156.881300528252</v>
      </c>
      <c r="U141" s="22" t="n">
        <f aca="false">R141*'Weights &amp; Assumptions'!$B$25/'Weights &amp; Assumptions'!$B$28+S141*'Weights &amp; Assumptions'!$B$26/'Weights &amp; Assumptions'!$B$28+T141*'Weights &amp; Assumptions'!$B$27/'Weights &amp; Assumptions'!$B$28</f>
        <v>147.094242864435</v>
      </c>
      <c r="V141" s="23" t="n">
        <f aca="false">IFERROR(Tabelle1!E142*'Weights &amp; Assumptions'!$F$6+Tabelle1!F142*'Weights &amp; Assumptions'!$F$7,"")</f>
        <v>144.396265066328</v>
      </c>
      <c r="W141" s="23" t="n">
        <f aca="false">IFERROR(Tabelle1!G142*'Weights &amp; Assumptions'!$F$8+Tabelle1!H142*'Weights &amp; Assumptions'!$F$9+Tabelle1!J142*'Weights &amp; Assumptions'!$F$11,"")</f>
        <v>133.983620815966</v>
      </c>
      <c r="X141" s="23" t="n">
        <f aca="false">IFERROR(Tabelle1!I142*'Weights &amp; Assumptions'!$F$10+Tabelle1!K142*'Weights &amp; Assumptions'!$F$12+Tabelle1!L142*'Weights &amp; Assumptions'!$F$13+Tabelle1!M142*'Weights &amp; Assumptions'!$F$14+Tabelle1!N142*'Weights &amp; Assumptions'!$F$15+Tabelle1!O142*'Weights &amp; Assumptions'!$F$16+Tabelle1!P142*'Weights &amp; Assumptions'!$F$17+Tabelle1!Q142*'Weights &amp; Assumptions'!$F$18+Tabelle1!R142*'Weights &amp; Assumptions'!$F$19+Tabelle1!S142*'Weights &amp; Assumptions'!$F$20,"")</f>
        <v>158.322756436373</v>
      </c>
      <c r="Y141" s="22" t="n">
        <f aca="false">IFERROR(V141*'Weights &amp; Assumptions'!$B$25/'Weights &amp; Assumptions'!$B$28+W141*'Weights &amp; Assumptions'!$B$26/'Weights &amp; Assumptions'!$B$28+X141*'Weights &amp; Assumptions'!$B$27/'Weights &amp; Assumptions'!$B$28,"")</f>
        <v>150.682110899318</v>
      </c>
    </row>
    <row r="142" customFormat="false" ht="15" hidden="false" customHeight="false" outlineLevel="0" collapsed="false">
      <c r="A142" s="20" t="n">
        <v>42124</v>
      </c>
      <c r="B142" s="21" t="n">
        <v>149.56613</v>
      </c>
      <c r="C142" s="22" t="n">
        <v>117.035468250694</v>
      </c>
      <c r="D142" s="22" t="n">
        <v>164.170730613112</v>
      </c>
      <c r="E142" s="22" t="n">
        <v>96.0835867180439</v>
      </c>
      <c r="F142" s="22" t="n">
        <v>137.755204954645</v>
      </c>
      <c r="G142" s="22" t="n">
        <v>140.534684759417</v>
      </c>
      <c r="H142" s="22" t="n">
        <v>155.332176685425</v>
      </c>
      <c r="I142" s="22" t="n">
        <v>155.607364443356</v>
      </c>
      <c r="J142" s="22" t="n">
        <v>155.496467285896</v>
      </c>
      <c r="K142" s="22" t="n">
        <v>187.257799593654</v>
      </c>
      <c r="L142" s="22" t="n">
        <v>179.406874554064</v>
      </c>
      <c r="M142" s="22" t="n">
        <v>136.90165975999</v>
      </c>
      <c r="N142" s="22" t="n">
        <v>147.900763430029</v>
      </c>
      <c r="O142" s="22" t="n">
        <v>151.67997621094</v>
      </c>
      <c r="P142" s="22" t="n">
        <v>168.941339406095</v>
      </c>
      <c r="Q142" s="22" t="n">
        <v>151.588287334188</v>
      </c>
      <c r="R142" s="22" t="n">
        <f aca="false">C142*'Weights &amp; Assumptions'!$F$6+D142*'Weights &amp; Assumptions'!$F$7</f>
        <v>117.612994736774</v>
      </c>
      <c r="S142" s="22" t="n">
        <f aca="false">E142*'Weights &amp; Assumptions'!$F$8+F142*'Weights &amp; Assumptions'!$F$9+H142*'Weights &amp; Assumptions'!$F$11</f>
        <v>136.441407558297</v>
      </c>
      <c r="T142" s="22" t="n">
        <f aca="false">G142*'Weights &amp; Assumptions'!$F$10+I142*'Weights &amp; Assumptions'!$F$12+J142*'Weights &amp; Assumptions'!$F$13+K142*'Weights &amp; Assumptions'!$F$14+L142*'Weights &amp; Assumptions'!$F$15+M142*'Weights &amp; Assumptions'!$F$16+N142*'Weights &amp; Assumptions'!$F$17+O142*'Weights &amp; Assumptions'!$F$18+P142*'Weights &amp; Assumptions'!$F$19+Q142*'Weights &amp; Assumptions'!$F$20</f>
        <v>157.515883514932</v>
      </c>
      <c r="U142" s="22" t="n">
        <f aca="false">R142*'Weights &amp; Assumptions'!$B$25/'Weights &amp; Assumptions'!$B$28+S142*'Weights &amp; Assumptions'!$B$26/'Weights &amp; Assumptions'!$B$28+T142*'Weights &amp; Assumptions'!$B$27/'Weights &amp; Assumptions'!$B$28</f>
        <v>148.563926650033</v>
      </c>
      <c r="V142" s="23" t="n">
        <f aca="false">IFERROR(Tabelle1!E143*'Weights &amp; Assumptions'!$F$6+Tabelle1!F143*'Weights &amp; Assumptions'!$F$7,"")</f>
        <v>239.760965478957</v>
      </c>
      <c r="W142" s="23" t="n">
        <f aca="false">IFERROR(Tabelle1!G143*'Weights &amp; Assumptions'!$F$8+Tabelle1!H143*'Weights &amp; Assumptions'!$F$9+Tabelle1!J143*'Weights &amp; Assumptions'!$F$11,"")</f>
        <v>135.225216547658</v>
      </c>
      <c r="X142" s="23" t="n">
        <f aca="false">IFERROR(Tabelle1!I143*'Weights &amp; Assumptions'!$F$10+Tabelle1!K143*'Weights &amp; Assumptions'!$F$12+Tabelle1!L143*'Weights &amp; Assumptions'!$F$13+Tabelle1!M143*'Weights &amp; Assumptions'!$F$14+Tabelle1!N143*'Weights &amp; Assumptions'!$F$15+Tabelle1!O143*'Weights &amp; Assumptions'!$F$16+Tabelle1!P143*'Weights &amp; Assumptions'!$F$17+Tabelle1!Q143*'Weights &amp; Assumptions'!$F$18+Tabelle1!R143*'Weights &amp; Assumptions'!$F$19+Tabelle1!S143*'Weights &amp; Assumptions'!$F$20,"")</f>
        <v>156.8789842626</v>
      </c>
      <c r="Y142" s="22" t="n">
        <f aca="false">IFERROR(V142*'Weights &amp; Assumptions'!$B$25/'Weights &amp; Assumptions'!$B$28+W142*'Weights &amp; Assumptions'!$B$26/'Weights &amp; Assumptions'!$B$28+X142*'Weights &amp; Assumptions'!$B$27/'Weights &amp; Assumptions'!$B$28,"")</f>
        <v>158.074736373907</v>
      </c>
    </row>
    <row r="143" customFormat="false" ht="15" hidden="false" customHeight="false" outlineLevel="0" collapsed="false">
      <c r="A143" s="20" t="n">
        <v>42155</v>
      </c>
      <c r="B143" s="21" t="n">
        <v>149.8329</v>
      </c>
      <c r="C143" s="22" t="n">
        <v>118.98369892545</v>
      </c>
      <c r="D143" s="22" t="n">
        <v>164.892031361361</v>
      </c>
      <c r="E143" s="22" t="n">
        <v>96.6759195122287</v>
      </c>
      <c r="F143" s="22" t="n">
        <v>135.485599530632</v>
      </c>
      <c r="G143" s="22" t="n">
        <v>141.777606292262</v>
      </c>
      <c r="H143" s="22" t="n">
        <v>152.333280916163</v>
      </c>
      <c r="I143" s="22" t="n">
        <v>154.653579736661</v>
      </c>
      <c r="J143" s="22" t="n">
        <v>156.080819213613</v>
      </c>
      <c r="K143" s="22" t="n">
        <v>185.172669567986</v>
      </c>
      <c r="L143" s="22" t="n">
        <v>177.628122321954</v>
      </c>
      <c r="M143" s="22" t="n">
        <v>135.704161086118</v>
      </c>
      <c r="N143" s="22" t="n">
        <v>148.127789093269</v>
      </c>
      <c r="O143" s="22" t="n">
        <v>152.438363813396</v>
      </c>
      <c r="P143" s="22" t="n">
        <v>169.336552783814</v>
      </c>
      <c r="Q143" s="22" t="n">
        <v>147.040267499765</v>
      </c>
      <c r="R143" s="22" t="n">
        <f aca="false">C143*'Weights &amp; Assumptions'!$F$6+D143*'Weights &amp; Assumptions'!$F$7</f>
        <v>119.546192408771</v>
      </c>
      <c r="S143" s="22" t="n">
        <f aca="false">E143*'Weights &amp; Assumptions'!$F$8+F143*'Weights &amp; Assumptions'!$F$9+H143*'Weights &amp; Assumptions'!$F$11</f>
        <v>134.361582597329</v>
      </c>
      <c r="T143" s="22" t="n">
        <f aca="false">G143*'Weights &amp; Assumptions'!$F$10+I143*'Weights &amp; Assumptions'!$F$12+J143*'Weights &amp; Assumptions'!$F$13+K143*'Weights &amp; Assumptions'!$F$14+L143*'Weights &amp; Assumptions'!$F$15+M143*'Weights &amp; Assumptions'!$F$16+N143*'Weights &amp; Assumptions'!$F$17+O143*'Weights &amp; Assumptions'!$F$18+P143*'Weights &amp; Assumptions'!$F$19+Q143*'Weights &amp; Assumptions'!$F$20</f>
        <v>156.557866803261</v>
      </c>
      <c r="U143" s="22" t="n">
        <f aca="false">R143*'Weights &amp; Assumptions'!$B$25/'Weights &amp; Assumptions'!$B$28+S143*'Weights &amp; Assumptions'!$B$26/'Weights &amp; Assumptions'!$B$28+T143*'Weights &amp; Assumptions'!$B$27/'Weights &amp; Assumptions'!$B$28</f>
        <v>147.550176821796</v>
      </c>
      <c r="V143" s="23" t="n">
        <f aca="false">IFERROR(Tabelle1!E144*'Weights &amp; Assumptions'!$F$6+Tabelle1!F144*'Weights &amp; Assumptions'!$F$7,"")</f>
        <v>363.417875231165</v>
      </c>
      <c r="W143" s="23" t="n">
        <f aca="false">IFERROR(Tabelle1!G144*'Weights &amp; Assumptions'!$F$8+Tabelle1!H144*'Weights &amp; Assumptions'!$F$9+Tabelle1!J144*'Weights &amp; Assumptions'!$F$11,"")</f>
        <v>137.669087698388</v>
      </c>
      <c r="X143" s="23" t="n">
        <f aca="false">IFERROR(Tabelle1!I144*'Weights &amp; Assumptions'!$F$10+Tabelle1!K144*'Weights &amp; Assumptions'!$F$12+Tabelle1!L144*'Weights &amp; Assumptions'!$F$13+Tabelle1!M144*'Weights &amp; Assumptions'!$F$14+Tabelle1!N144*'Weights &amp; Assumptions'!$F$15+Tabelle1!O144*'Weights &amp; Assumptions'!$F$16+Tabelle1!P144*'Weights &amp; Assumptions'!$F$17+Tabelle1!Q144*'Weights &amp; Assumptions'!$F$18+Tabelle1!R144*'Weights &amp; Assumptions'!$F$19+Tabelle1!S144*'Weights &amp; Assumptions'!$F$20,"")</f>
        <v>158.780100372572</v>
      </c>
      <c r="Y143" s="22" t="n">
        <f aca="false">IFERROR(V143*'Weights &amp; Assumptions'!$B$25/'Weights &amp; Assumptions'!$B$28+W143*'Weights &amp; Assumptions'!$B$26/'Weights &amp; Assumptions'!$B$28+X143*'Weights &amp; Assumptions'!$B$27/'Weights &amp; Assumptions'!$B$28,"")</f>
        <v>170.335592941704</v>
      </c>
    </row>
    <row r="144" customFormat="false" ht="15" hidden="false" customHeight="false" outlineLevel="0" collapsed="false">
      <c r="A144" s="20" t="n">
        <v>42185</v>
      </c>
      <c r="B144" s="21" t="n">
        <v>150.65951</v>
      </c>
      <c r="C144" s="22" t="n">
        <v>118.699707576235</v>
      </c>
      <c r="D144" s="22" t="n">
        <v>119.80646882738</v>
      </c>
      <c r="E144" s="22" t="n">
        <v>95.8949628798896</v>
      </c>
      <c r="F144" s="22" t="n">
        <v>140.35695171293</v>
      </c>
      <c r="G144" s="22" t="n">
        <v>141.562663654091</v>
      </c>
      <c r="H144" s="22" t="n">
        <v>155.62808423666</v>
      </c>
      <c r="I144" s="22" t="n">
        <v>164.602356177318</v>
      </c>
      <c r="J144" s="22" t="n">
        <v>157.193653285229</v>
      </c>
      <c r="K144" s="22" t="n">
        <v>188.201847928735</v>
      </c>
      <c r="L144" s="22" t="n">
        <v>183.369862141156</v>
      </c>
      <c r="M144" s="22" t="n">
        <v>135.969044457576</v>
      </c>
      <c r="N144" s="22" t="n">
        <v>148.927295954956</v>
      </c>
      <c r="O144" s="22" t="n">
        <v>152.708819472015</v>
      </c>
      <c r="P144" s="22" t="n">
        <v>169.945797424212</v>
      </c>
      <c r="Q144" s="22" t="n">
        <v>150.593447735573</v>
      </c>
      <c r="R144" s="22" t="n">
        <f aca="false">C144*'Weights &amp; Assumptions'!$F$6+D144*'Weights &amp; Assumptions'!$F$7</f>
        <v>118.713268208006</v>
      </c>
      <c r="S144" s="22" t="n">
        <f aca="false">E144*'Weights &amp; Assumptions'!$F$8+F144*'Weights &amp; Assumptions'!$F$9+H144*'Weights &amp; Assumptions'!$F$11</f>
        <v>138.229629692488</v>
      </c>
      <c r="T144" s="22" t="n">
        <f aca="false">G144*'Weights &amp; Assumptions'!$F$10+I144*'Weights &amp; Assumptions'!$F$12+J144*'Weights &amp; Assumptions'!$F$13+K144*'Weights &amp; Assumptions'!$F$14+L144*'Weights &amp; Assumptions'!$F$15+M144*'Weights &amp; Assumptions'!$F$16+N144*'Weights &amp; Assumptions'!$F$17+O144*'Weights &amp; Assumptions'!$F$18+P144*'Weights &amp; Assumptions'!$F$19+Q144*'Weights &amp; Assumptions'!$F$20</f>
        <v>159.894584157501</v>
      </c>
      <c r="U144" s="22" t="n">
        <f aca="false">R144*'Weights &amp; Assumptions'!$B$25/'Weights &amp; Assumptions'!$B$28+S144*'Weights &amp; Assumptions'!$B$26/'Weights &amp; Assumptions'!$B$28+T144*'Weights &amp; Assumptions'!$B$27/'Weights &amp; Assumptions'!$B$28</f>
        <v>150.678347639068</v>
      </c>
      <c r="V144" s="23" t="n">
        <f aca="false">IFERROR(Tabelle1!E145*'Weights &amp; Assumptions'!$F$6+Tabelle1!F145*'Weights &amp; Assumptions'!$F$7,"")</f>
        <v>243.423974402451</v>
      </c>
      <c r="W144" s="23" t="n">
        <f aca="false">IFERROR(Tabelle1!G145*'Weights &amp; Assumptions'!$F$8+Tabelle1!H145*'Weights &amp; Assumptions'!$F$9+Tabelle1!J145*'Weights &amp; Assumptions'!$F$11,"")</f>
        <v>140.156091241736</v>
      </c>
      <c r="X144" s="23" t="n">
        <f aca="false">IFERROR(Tabelle1!I145*'Weights &amp; Assumptions'!$F$10+Tabelle1!K145*'Weights &amp; Assumptions'!$F$12+Tabelle1!L145*'Weights &amp; Assumptions'!$F$13+Tabelle1!M145*'Weights &amp; Assumptions'!$F$14+Tabelle1!N145*'Weights &amp; Assumptions'!$F$15+Tabelle1!O145*'Weights &amp; Assumptions'!$F$16+Tabelle1!P145*'Weights &amp; Assumptions'!$F$17+Tabelle1!Q145*'Weights &amp; Assumptions'!$F$18+Tabelle1!R145*'Weights &amp; Assumptions'!$F$19+Tabelle1!S145*'Weights &amp; Assumptions'!$F$20,"")</f>
        <v>163.981198805275</v>
      </c>
      <c r="Y144" s="22" t="n">
        <f aca="false">IFERROR(V144*'Weights &amp; Assumptions'!$B$25/'Weights &amp; Assumptions'!$B$28+W144*'Weights &amp; Assumptions'!$B$26/'Weights &amp; Assumptions'!$B$28+X144*'Weights &amp; Assumptions'!$B$27/'Weights &amp; Assumptions'!$B$28,"")</f>
        <v>164.311001507967</v>
      </c>
    </row>
    <row r="145" customFormat="false" ht="15" hidden="false" customHeight="false" outlineLevel="0" collapsed="false">
      <c r="A145" s="20" t="n">
        <v>42216</v>
      </c>
      <c r="B145" s="21" t="n">
        <v>150.53913</v>
      </c>
      <c r="C145" s="22" t="n">
        <v>112.905438000691</v>
      </c>
      <c r="D145" s="22" t="n">
        <v>134.476650863945</v>
      </c>
      <c r="E145" s="22" t="n">
        <v>96.1351902349426</v>
      </c>
      <c r="F145" s="22" t="n">
        <v>139.095892526823</v>
      </c>
      <c r="G145" s="22" t="n">
        <v>142.186672329476</v>
      </c>
      <c r="H145" s="22" t="n">
        <v>156.947386314906</v>
      </c>
      <c r="I145" s="22" t="n">
        <v>160.80296659664</v>
      </c>
      <c r="J145" s="22" t="n">
        <v>158.441374784124</v>
      </c>
      <c r="K145" s="22" t="n">
        <v>189.345155892889</v>
      </c>
      <c r="L145" s="22" t="n">
        <v>183.733129516465</v>
      </c>
      <c r="M145" s="22" t="n">
        <v>138.886920334897</v>
      </c>
      <c r="N145" s="22" t="n">
        <v>149.665999463125</v>
      </c>
      <c r="O145" s="22" t="n">
        <v>152.529462015293</v>
      </c>
      <c r="P145" s="22" t="n">
        <v>170.0966834613</v>
      </c>
      <c r="Q145" s="22" t="n">
        <v>152.987093193095</v>
      </c>
      <c r="R145" s="22" t="n">
        <f aca="false">C145*'Weights &amp; Assumptions'!$F$6+D145*'Weights &amp; Assumptions'!$F$7</f>
        <v>113.169740056964</v>
      </c>
      <c r="S145" s="22" t="n">
        <f aca="false">E145*'Weights &amp; Assumptions'!$F$8+F145*'Weights &amp; Assumptions'!$F$9+H145*'Weights &amp; Assumptions'!$F$11</f>
        <v>137.68537087583</v>
      </c>
      <c r="T145" s="22" t="n">
        <f aca="false">G145*'Weights &amp; Assumptions'!$F$10+I145*'Weights &amp; Assumptions'!$F$12+J145*'Weights &amp; Assumptions'!$F$13+K145*'Weights &amp; Assumptions'!$F$14+L145*'Weights &amp; Assumptions'!$F$15+M145*'Weights &amp; Assumptions'!$F$16+N145*'Weights &amp; Assumptions'!$F$17+O145*'Weights &amp; Assumptions'!$F$18+P145*'Weights &amp; Assumptions'!$F$19+Q145*'Weights &amp; Assumptions'!$F$20</f>
        <v>160.185656075831</v>
      </c>
      <c r="U145" s="22" t="n">
        <f aca="false">R145*'Weights &amp; Assumptions'!$B$25/'Weights &amp; Assumptions'!$B$28+S145*'Weights &amp; Assumptions'!$B$26/'Weights &amp; Assumptions'!$B$28+T145*'Weights &amp; Assumptions'!$B$27/'Weights &amp; Assumptions'!$B$28</f>
        <v>150.257762721905</v>
      </c>
      <c r="V145" s="23" t="n">
        <f aca="false">IFERROR(Tabelle1!E146*'Weights &amp; Assumptions'!$F$6+Tabelle1!F146*'Weights &amp; Assumptions'!$F$7,"")</f>
        <v>116.58989623461</v>
      </c>
      <c r="W145" s="23" t="n">
        <f aca="false">IFERROR(Tabelle1!G146*'Weights &amp; Assumptions'!$F$8+Tabelle1!H146*'Weights &amp; Assumptions'!$F$9+Tabelle1!J146*'Weights &amp; Assumptions'!$F$11,"")</f>
        <v>140.080423823058</v>
      </c>
      <c r="X145" s="23" t="n">
        <f aca="false">IFERROR(Tabelle1!I146*'Weights &amp; Assumptions'!$F$10+Tabelle1!K146*'Weights &amp; Assumptions'!$F$12+Tabelle1!L146*'Weights &amp; Assumptions'!$F$13+Tabelle1!M146*'Weights &amp; Assumptions'!$F$14+Tabelle1!N146*'Weights &amp; Assumptions'!$F$15+Tabelle1!O146*'Weights &amp; Assumptions'!$F$16+Tabelle1!P146*'Weights &amp; Assumptions'!$F$17+Tabelle1!Q146*'Weights &amp; Assumptions'!$F$18+Tabelle1!R146*'Weights &amp; Assumptions'!$F$19+Tabelle1!S146*'Weights &amp; Assumptions'!$F$20,"")</f>
        <v>163.183788923288</v>
      </c>
      <c r="Y145" s="22" t="n">
        <f aca="false">IFERROR(V145*'Weights &amp; Assumptions'!$B$25/'Weights &amp; Assumptions'!$B$28+W145*'Weights &amp; Assumptions'!$B$26/'Weights &amp; Assumptions'!$B$28+X145*'Weights &amp; Assumptions'!$B$27/'Weights &amp; Assumptions'!$B$28,"")</f>
        <v>153.130934197802</v>
      </c>
    </row>
    <row r="146" customFormat="false" ht="15" hidden="false" customHeight="false" outlineLevel="0" collapsed="false">
      <c r="A146" s="20" t="n">
        <v>42247</v>
      </c>
      <c r="B146" s="21" t="n">
        <v>150.34522</v>
      </c>
      <c r="C146" s="22" t="n">
        <v>108.583894168885</v>
      </c>
      <c r="D146" s="22" t="n">
        <v>146.612364650397</v>
      </c>
      <c r="E146" s="22" t="n">
        <v>94.8975333067342</v>
      </c>
      <c r="F146" s="22" t="n">
        <v>137.401951624222</v>
      </c>
      <c r="G146" s="22" t="n">
        <v>144.451116714232</v>
      </c>
      <c r="H146" s="22" t="n">
        <v>150.258286206634</v>
      </c>
      <c r="I146" s="22" t="n">
        <v>159.634792869694</v>
      </c>
      <c r="J146" s="22" t="n">
        <v>157.695410226616</v>
      </c>
      <c r="K146" s="22" t="n">
        <v>189.071195032235</v>
      </c>
      <c r="L146" s="22" t="n">
        <v>180.4696552273</v>
      </c>
      <c r="M146" s="22" t="n">
        <v>135.060246305179</v>
      </c>
      <c r="N146" s="22" t="n">
        <v>150.558990240439</v>
      </c>
      <c r="O146" s="22" t="n">
        <v>153.66846060021</v>
      </c>
      <c r="P146" s="22" t="n">
        <v>170.734398588931</v>
      </c>
      <c r="Q146" s="22" t="n">
        <v>150.196592311991</v>
      </c>
      <c r="R146" s="22" t="n">
        <f aca="false">C146*'Weights &amp; Assumptions'!$F$6+D146*'Weights &amp; Assumptions'!$F$7</f>
        <v>109.049839362089</v>
      </c>
      <c r="S146" s="22" t="n">
        <f aca="false">E146*'Weights &amp; Assumptions'!$F$8+F146*'Weights &amp; Assumptions'!$F$9+H146*'Weights &amp; Assumptions'!$F$11</f>
        <v>135.005299593451</v>
      </c>
      <c r="T146" s="22" t="n">
        <f aca="false">G146*'Weights &amp; Assumptions'!$F$10+I146*'Weights &amp; Assumptions'!$F$12+J146*'Weights &amp; Assumptions'!$F$13+K146*'Weights &amp; Assumptions'!$F$14+L146*'Weights &amp; Assumptions'!$F$15+M146*'Weights &amp; Assumptions'!$F$16+N146*'Weights &amp; Assumptions'!$F$17+O146*'Weights &amp; Assumptions'!$F$18+P146*'Weights &amp; Assumptions'!$F$19+Q146*'Weights &amp; Assumptions'!$F$20</f>
        <v>158.969385020618</v>
      </c>
      <c r="U146" s="22" t="n">
        <f aca="false">R146*'Weights &amp; Assumptions'!$B$25/'Weights &amp; Assumptions'!$B$28+S146*'Weights &amp; Assumptions'!$B$26/'Weights &amp; Assumptions'!$B$28+T146*'Weights &amp; Assumptions'!$B$27/'Weights &amp; Assumptions'!$B$28</f>
        <v>148.408624673221</v>
      </c>
      <c r="V146" s="23" t="n">
        <f aca="false">IFERROR(Tabelle1!E147*'Weights &amp; Assumptions'!$F$6+Tabelle1!F147*'Weights &amp; Assumptions'!$F$7,"")</f>
        <v>70.5894613974804</v>
      </c>
      <c r="W146" s="23" t="n">
        <f aca="false">IFERROR(Tabelle1!G147*'Weights &amp; Assumptions'!$F$8+Tabelle1!H147*'Weights &amp; Assumptions'!$F$9+Tabelle1!J147*'Weights &amp; Assumptions'!$F$11,"")</f>
        <v>140.708400145534</v>
      </c>
      <c r="X146" s="23" t="n">
        <f aca="false">IFERROR(Tabelle1!I147*'Weights &amp; Assumptions'!$F$10+Tabelle1!K147*'Weights &amp; Assumptions'!$F$12+Tabelle1!L147*'Weights &amp; Assumptions'!$F$13+Tabelle1!M147*'Weights &amp; Assumptions'!$F$14+Tabelle1!N147*'Weights &amp; Assumptions'!$F$15+Tabelle1!O147*'Weights &amp; Assumptions'!$F$16+Tabelle1!P147*'Weights &amp; Assumptions'!$F$17+Tabelle1!Q147*'Weights &amp; Assumptions'!$F$18+Tabelle1!R147*'Weights &amp; Assumptions'!$F$19+Tabelle1!S147*'Weights &amp; Assumptions'!$F$20,"")</f>
        <v>160.757708170361</v>
      </c>
      <c r="Y146" s="22" t="n">
        <f aca="false">IFERROR(V146*'Weights &amp; Assumptions'!$B$25/'Weights &amp; Assumptions'!$B$28+W146*'Weights &amp; Assumptions'!$B$26/'Weights &amp; Assumptions'!$B$28+X146*'Weights &amp; Assumptions'!$B$27/'Weights &amp; Assumptions'!$B$28,"")</f>
        <v>147.861055999828</v>
      </c>
    </row>
    <row r="147" customFormat="false" ht="15" hidden="false" customHeight="false" outlineLevel="0" collapsed="false">
      <c r="A147" s="20" t="n">
        <v>42277</v>
      </c>
      <c r="B147" s="21" t="n">
        <v>149.00537</v>
      </c>
      <c r="C147" s="22" t="n">
        <v>109.733548015885</v>
      </c>
      <c r="D147" s="22" t="n">
        <v>148.730100972272</v>
      </c>
      <c r="E147" s="22" t="n">
        <v>94.3440717304001</v>
      </c>
      <c r="F147" s="22" t="n">
        <v>134.232872585655</v>
      </c>
      <c r="G147" s="22" t="n">
        <v>145.442524886745</v>
      </c>
      <c r="H147" s="22" t="n">
        <v>152.755591494007</v>
      </c>
      <c r="I147" s="22" t="n">
        <v>157.920520356504</v>
      </c>
      <c r="J147" s="22" t="n">
        <v>158.945534248799</v>
      </c>
      <c r="K147" s="22" t="n">
        <v>190.989311357958</v>
      </c>
      <c r="L147" s="22" t="n">
        <v>181.736329653574</v>
      </c>
      <c r="M147" s="22" t="n">
        <v>136.822048354642</v>
      </c>
      <c r="N147" s="22" t="n">
        <v>150.523836458716</v>
      </c>
      <c r="O147" s="22" t="n">
        <v>153.984224572701</v>
      </c>
      <c r="P147" s="22" t="n">
        <v>171.264582140043</v>
      </c>
      <c r="Q147" s="22" t="n">
        <v>147.254355280666</v>
      </c>
      <c r="R147" s="22" t="n">
        <f aca="false">C147*'Weights &amp; Assumptions'!$F$6+D147*'Weights &amp; Assumptions'!$F$7</f>
        <v>110.211354674198</v>
      </c>
      <c r="S147" s="22" t="n">
        <f aca="false">E147*'Weights &amp; Assumptions'!$F$8+F147*'Weights &amp; Assumptions'!$F$9+H147*'Weights &amp; Assumptions'!$F$11</f>
        <v>133.328960974601</v>
      </c>
      <c r="T147" s="22" t="n">
        <f aca="false">G147*'Weights &amp; Assumptions'!$F$10+I147*'Weights &amp; Assumptions'!$F$12+J147*'Weights &amp; Assumptions'!$F$13+K147*'Weights &amp; Assumptions'!$F$14+L147*'Weights &amp; Assumptions'!$F$15+M147*'Weights &amp; Assumptions'!$F$16+N147*'Weights &amp; Assumptions'!$F$17+O147*'Weights &amp; Assumptions'!$F$18+P147*'Weights &amp; Assumptions'!$F$19+Q147*'Weights &amp; Assumptions'!$F$20</f>
        <v>159.340200302182</v>
      </c>
      <c r="U147" s="22" t="n">
        <f aca="false">R147*'Weights &amp; Assumptions'!$B$25/'Weights &amp; Assumptions'!$B$28+S147*'Weights &amp; Assumptions'!$B$26/'Weights &amp; Assumptions'!$B$28+T147*'Weights &amp; Assumptions'!$B$27/'Weights &amp; Assumptions'!$B$28</f>
        <v>148.301406363225</v>
      </c>
      <c r="V147" s="23" t="n">
        <f aca="false">IFERROR(Tabelle1!E148*'Weights &amp; Assumptions'!$F$6+Tabelle1!F148*'Weights &amp; Assumptions'!$F$7,"")</f>
        <v>66.3205257859859</v>
      </c>
      <c r="W147" s="23" t="n">
        <f aca="false">IFERROR(Tabelle1!G148*'Weights &amp; Assumptions'!$F$8+Tabelle1!H148*'Weights &amp; Assumptions'!$F$9+Tabelle1!J148*'Weights &amp; Assumptions'!$F$11,"")</f>
        <v>138.462179466339</v>
      </c>
      <c r="X147" s="23" t="n">
        <f aca="false">IFERROR(Tabelle1!I148*'Weights &amp; Assumptions'!$F$10+Tabelle1!K148*'Weights &amp; Assumptions'!$F$12+Tabelle1!L148*'Weights &amp; Assumptions'!$F$13+Tabelle1!M148*'Weights &amp; Assumptions'!$F$14+Tabelle1!N148*'Weights &amp; Assumptions'!$F$15+Tabelle1!O148*'Weights &amp; Assumptions'!$F$16+Tabelle1!P148*'Weights &amp; Assumptions'!$F$17+Tabelle1!Q148*'Weights &amp; Assumptions'!$F$18+Tabelle1!R148*'Weights &amp; Assumptions'!$F$19+Tabelle1!S148*'Weights &amp; Assumptions'!$F$20,"")</f>
        <v>159.970228247155</v>
      </c>
      <c r="Y147" s="22" t="n">
        <f aca="false">IFERROR(V147*'Weights &amp; Assumptions'!$B$25/'Weights &amp; Assumptions'!$B$28+W147*'Weights &amp; Assumptions'!$B$26/'Weights &amp; Assumptions'!$B$28+X147*'Weights &amp; Assumptions'!$B$27/'Weights &amp; Assumptions'!$B$28,"")</f>
        <v>146.393574398571</v>
      </c>
    </row>
    <row r="148" customFormat="false" ht="15" hidden="false" customHeight="false" outlineLevel="0" collapsed="false">
      <c r="A148" s="20" t="n">
        <v>42308</v>
      </c>
      <c r="B148" s="21" t="n">
        <v>149.30047</v>
      </c>
      <c r="C148" s="22" t="n">
        <v>108.568143569153</v>
      </c>
      <c r="D148" s="22" t="n">
        <v>145.212091494437</v>
      </c>
      <c r="E148" s="22" t="n">
        <v>94.0165652581291</v>
      </c>
      <c r="F148" s="22" t="n">
        <v>135.51926921045</v>
      </c>
      <c r="G148" s="22" t="n">
        <v>146.147633920527</v>
      </c>
      <c r="H148" s="22" t="n">
        <v>152.826063165361</v>
      </c>
      <c r="I148" s="22" t="n">
        <v>158.262113553015</v>
      </c>
      <c r="J148" s="22" t="n">
        <v>159.513114101217</v>
      </c>
      <c r="K148" s="22" t="n">
        <v>190.070277619295</v>
      </c>
      <c r="L148" s="22" t="n">
        <v>183.005969955342</v>
      </c>
      <c r="M148" s="22" t="n">
        <v>136.560412965399</v>
      </c>
      <c r="N148" s="22" t="n">
        <v>151.151266993423</v>
      </c>
      <c r="O148" s="22" t="n">
        <v>154.171263378699</v>
      </c>
      <c r="P148" s="22" t="n">
        <v>171.470209403536</v>
      </c>
      <c r="Q148" s="22" t="n">
        <v>149.112023197126</v>
      </c>
      <c r="R148" s="22" t="n">
        <f aca="false">C148*'Weights &amp; Assumptions'!$F$6+D148*'Weights &amp; Assumptions'!$F$7</f>
        <v>109.017124850272</v>
      </c>
      <c r="S148" s="22" t="n">
        <f aca="false">E148*'Weights &amp; Assumptions'!$F$8+F148*'Weights &amp; Assumptions'!$F$9+H148*'Weights &amp; Assumptions'!$F$11</f>
        <v>134.169355380751</v>
      </c>
      <c r="T148" s="22" t="n">
        <f aca="false">G148*'Weights &amp; Assumptions'!$F$10+I148*'Weights &amp; Assumptions'!$F$12+J148*'Weights &amp; Assumptions'!$F$13+K148*'Weights &amp; Assumptions'!$F$14+L148*'Weights &amp; Assumptions'!$F$15+M148*'Weights &amp; Assumptions'!$F$16+N148*'Weights &amp; Assumptions'!$F$17+O148*'Weights &amp; Assumptions'!$F$18+P148*'Weights &amp; Assumptions'!$F$19+Q148*'Weights &amp; Assumptions'!$F$20</f>
        <v>159.555138417614</v>
      </c>
      <c r="U148" s="22" t="n">
        <f aca="false">R148*'Weights &amp; Assumptions'!$B$25/'Weights &amp; Assumptions'!$B$28+S148*'Weights &amp; Assumptions'!$B$26/'Weights &amp; Assumptions'!$B$28+T148*'Weights &amp; Assumptions'!$B$27/'Weights &amp; Assumptions'!$B$28</f>
        <v>148.564433869113</v>
      </c>
      <c r="V148" s="23" t="n">
        <f aca="false">IFERROR(Tabelle1!E149*'Weights &amp; Assumptions'!$F$6+Tabelle1!F149*'Weights &amp; Assumptions'!$F$7,"")</f>
        <v>71.6927525793495</v>
      </c>
      <c r="W148" s="23" t="n">
        <f aca="false">IFERROR(Tabelle1!G149*'Weights &amp; Assumptions'!$F$8+Tabelle1!H149*'Weights &amp; Assumptions'!$F$9+Tabelle1!J149*'Weights &amp; Assumptions'!$F$11,"")</f>
        <v>140.664830839545</v>
      </c>
      <c r="X148" s="23" t="n">
        <f aca="false">IFERROR(Tabelle1!I149*'Weights &amp; Assumptions'!$F$10+Tabelle1!K149*'Weights &amp; Assumptions'!$F$12+Tabelle1!L149*'Weights &amp; Assumptions'!$F$13+Tabelle1!M149*'Weights &amp; Assumptions'!$F$14+Tabelle1!N149*'Weights &amp; Assumptions'!$F$15+Tabelle1!O149*'Weights &amp; Assumptions'!$F$16+Tabelle1!P149*'Weights &amp; Assumptions'!$F$17+Tabelle1!Q149*'Weights &amp; Assumptions'!$F$18+Tabelle1!R149*'Weights &amp; Assumptions'!$F$19+Tabelle1!S149*'Weights &amp; Assumptions'!$F$20,"")</f>
        <v>161.004234152416</v>
      </c>
      <c r="Y148" s="22" t="n">
        <f aca="false">IFERROR(V148*'Weights &amp; Assumptions'!$B$25/'Weights &amp; Assumptions'!$B$28+W148*'Weights &amp; Assumptions'!$B$26/'Weights &amp; Assumptions'!$B$28+X148*'Weights &amp; Assumptions'!$B$27/'Weights &amp; Assumptions'!$B$28,"")</f>
        <v>148.102323890622</v>
      </c>
    </row>
    <row r="149" customFormat="false" ht="15" hidden="false" customHeight="false" outlineLevel="0" collapsed="false">
      <c r="A149" s="20" t="n">
        <v>42338</v>
      </c>
      <c r="B149" s="21" t="n">
        <v>148.58071</v>
      </c>
      <c r="C149" s="22" t="n">
        <v>110.42420483527</v>
      </c>
      <c r="D149" s="22" t="n">
        <v>170.101633532432</v>
      </c>
      <c r="E149" s="22" t="n">
        <v>93.9744984873282</v>
      </c>
      <c r="F149" s="22" t="n">
        <v>133.246232486557</v>
      </c>
      <c r="G149" s="22" t="n">
        <v>143.258680469469</v>
      </c>
      <c r="H149" s="22" t="n">
        <v>148.64742675002</v>
      </c>
      <c r="I149" s="22" t="n">
        <v>157.78635826939</v>
      </c>
      <c r="J149" s="22" t="n">
        <v>159.848861533248</v>
      </c>
      <c r="K149" s="22" t="n">
        <v>188.284803501859</v>
      </c>
      <c r="L149" s="22" t="n">
        <v>184.746682348498</v>
      </c>
      <c r="M149" s="22" t="n">
        <v>136.39724787925</v>
      </c>
      <c r="N149" s="22" t="n">
        <v>151.594609597501</v>
      </c>
      <c r="O149" s="22" t="n">
        <v>154.580315162686</v>
      </c>
      <c r="P149" s="22" t="n">
        <v>171.949818629014</v>
      </c>
      <c r="Q149" s="22" t="n">
        <v>148.743655230122</v>
      </c>
      <c r="R149" s="22" t="n">
        <f aca="false">C149*'Weights &amp; Assumptions'!$F$6+D149*'Weights &amp; Assumptions'!$F$7</f>
        <v>111.155404662455</v>
      </c>
      <c r="S149" s="22" t="n">
        <f aca="false">E149*'Weights &amp; Assumptions'!$F$8+F149*'Weights &amp; Assumptions'!$F$9+H149*'Weights &amp; Assumptions'!$F$11</f>
        <v>131.765709935009</v>
      </c>
      <c r="T149" s="22" t="n">
        <f aca="false">G149*'Weights &amp; Assumptions'!$F$10+I149*'Weights &amp; Assumptions'!$F$12+J149*'Weights &amp; Assumptions'!$F$13+K149*'Weights &amp; Assumptions'!$F$14+L149*'Weights &amp; Assumptions'!$F$15+M149*'Weights &amp; Assumptions'!$F$16+N149*'Weights &amp; Assumptions'!$F$17+O149*'Weights &amp; Assumptions'!$F$18+P149*'Weights &amp; Assumptions'!$F$19+Q149*'Weights &amp; Assumptions'!$F$20</f>
        <v>159.317996293168</v>
      </c>
      <c r="U149" s="22" t="n">
        <f aca="false">R149*'Weights &amp; Assumptions'!$B$25/'Weights &amp; Assumptions'!$B$28+S149*'Weights &amp; Assumptions'!$B$26/'Weights &amp; Assumptions'!$B$28+T149*'Weights &amp; Assumptions'!$B$27/'Weights &amp; Assumptions'!$B$28</f>
        <v>147.950480544002</v>
      </c>
      <c r="V149" s="23" t="n">
        <f aca="false">IFERROR(Tabelle1!E150*'Weights &amp; Assumptions'!$F$6+Tabelle1!F150*'Weights &amp; Assumptions'!$F$7,"")</f>
        <v>87.5725208407528</v>
      </c>
      <c r="W149" s="23" t="n">
        <f aca="false">IFERROR(Tabelle1!G150*'Weights &amp; Assumptions'!$F$8+Tabelle1!H150*'Weights &amp; Assumptions'!$F$9+Tabelle1!J150*'Weights &amp; Assumptions'!$F$11,"")</f>
        <v>136.89639144161</v>
      </c>
      <c r="X149" s="23" t="n">
        <f aca="false">IFERROR(Tabelle1!I150*'Weights &amp; Assumptions'!$F$10+Tabelle1!K150*'Weights &amp; Assumptions'!$F$12+Tabelle1!L150*'Weights &amp; Assumptions'!$F$13+Tabelle1!M150*'Weights &amp; Assumptions'!$F$14+Tabelle1!N150*'Weights &amp; Assumptions'!$F$15+Tabelle1!O150*'Weights &amp; Assumptions'!$F$16+Tabelle1!P150*'Weights &amp; Assumptions'!$F$17+Tabelle1!Q150*'Weights &amp; Assumptions'!$F$18+Tabelle1!R150*'Weights &amp; Assumptions'!$F$19+Tabelle1!S150*'Weights &amp; Assumptions'!$F$20,"")</f>
        <v>160.486112917871</v>
      </c>
      <c r="Y149" s="22" t="n">
        <f aca="false">IFERROR(V149*'Weights &amp; Assumptions'!$B$25/'Weights &amp; Assumptions'!$B$28+W149*'Weights &amp; Assumptions'!$B$26/'Weights &amp; Assumptions'!$B$28+X149*'Weights &amp; Assumptions'!$B$27/'Weights &amp; Assumptions'!$B$28,"")</f>
        <v>148.095682854344</v>
      </c>
    </row>
    <row r="150" customFormat="false" ht="15" hidden="false" customHeight="false" outlineLevel="0" collapsed="false">
      <c r="A150" s="20" t="n">
        <v>42369</v>
      </c>
      <c r="B150" s="21" t="n">
        <v>146.93186</v>
      </c>
      <c r="C150" s="22" t="n">
        <v>108.194247628351</v>
      </c>
      <c r="D150" s="22" t="n">
        <v>150.247558850854</v>
      </c>
      <c r="E150" s="22" t="n">
        <v>92.9092971948674</v>
      </c>
      <c r="F150" s="22" t="n">
        <v>132.375356554117</v>
      </c>
      <c r="G150" s="22" t="n">
        <v>144.082608231853</v>
      </c>
      <c r="H150" s="22" t="n">
        <v>145.634405845462</v>
      </c>
      <c r="I150" s="22" t="n">
        <v>154.003753957612</v>
      </c>
      <c r="J150" s="22" t="n">
        <v>159.28288187125</v>
      </c>
      <c r="K150" s="22" t="n">
        <v>188.598710195062</v>
      </c>
      <c r="L150" s="22" t="n">
        <v>181.610678396257</v>
      </c>
      <c r="M150" s="22" t="n">
        <v>135.947818563087</v>
      </c>
      <c r="N150" s="22" t="n">
        <v>151.86198754392</v>
      </c>
      <c r="O150" s="22" t="n">
        <v>154.824662693203</v>
      </c>
      <c r="P150" s="22" t="n">
        <v>172.276580952108</v>
      </c>
      <c r="Q150" s="22" t="n">
        <v>151.267634309881</v>
      </c>
      <c r="R150" s="22" t="n">
        <f aca="false">C150*'Weights &amp; Assumptions'!$F$6+D150*'Weights &amp; Assumptions'!$F$7</f>
        <v>108.709507326528</v>
      </c>
      <c r="S150" s="22" t="n">
        <f aca="false">E150*'Weights &amp; Assumptions'!$F$8+F150*'Weights &amp; Assumptions'!$F$9+H150*'Weights &amp; Assumptions'!$F$11</f>
        <v>130.425372607699</v>
      </c>
      <c r="T150" s="22" t="n">
        <f aca="false">G150*'Weights &amp; Assumptions'!$F$10+I150*'Weights &amp; Assumptions'!$F$12+J150*'Weights &amp; Assumptions'!$F$13+K150*'Weights &amp; Assumptions'!$F$14+L150*'Weights &amp; Assumptions'!$F$15+M150*'Weights &amp; Assumptions'!$F$16+N150*'Weights &amp; Assumptions'!$F$17+O150*'Weights &amp; Assumptions'!$F$18+P150*'Weights &amp; Assumptions'!$F$19+Q150*'Weights &amp; Assumptions'!$F$20</f>
        <v>158.465654407664</v>
      </c>
      <c r="U150" s="22" t="n">
        <f aca="false">R150*'Weights &amp; Assumptions'!$B$25/'Weights &amp; Assumptions'!$B$28+S150*'Weights &amp; Assumptions'!$B$26/'Weights &amp; Assumptions'!$B$28+T150*'Weights &amp; Assumptions'!$B$27/'Weights &amp; Assumptions'!$B$28</f>
        <v>146.834671517692</v>
      </c>
      <c r="V150" s="23" t="n">
        <f aca="false">IFERROR(Tabelle1!E151*'Weights &amp; Assumptions'!$F$6+Tabelle1!F151*'Weights &amp; Assumptions'!$F$7,"")</f>
        <v>89.9015787434</v>
      </c>
      <c r="W150" s="23" t="n">
        <f aca="false">IFERROR(Tabelle1!G151*'Weights &amp; Assumptions'!$F$8+Tabelle1!H151*'Weights &amp; Assumptions'!$F$9+Tabelle1!J151*'Weights &amp; Assumptions'!$F$11,"")</f>
        <v>129.372304174332</v>
      </c>
      <c r="X150" s="23" t="n">
        <f aca="false">IFERROR(Tabelle1!I151*'Weights &amp; Assumptions'!$F$10+Tabelle1!K151*'Weights &amp; Assumptions'!$F$12+Tabelle1!L151*'Weights &amp; Assumptions'!$F$13+Tabelle1!M151*'Weights &amp; Assumptions'!$F$14+Tabelle1!N151*'Weights &amp; Assumptions'!$F$15+Tabelle1!O151*'Weights &amp; Assumptions'!$F$16+Tabelle1!P151*'Weights &amp; Assumptions'!$F$17+Tabelle1!Q151*'Weights &amp; Assumptions'!$F$18+Tabelle1!R151*'Weights &amp; Assumptions'!$F$19+Tabelle1!S151*'Weights &amp; Assumptions'!$F$20,"")</f>
        <v>156.841699941816</v>
      </c>
      <c r="Y150" s="22" t="n">
        <f aca="false">IFERROR(V150*'Weights &amp; Assumptions'!$B$25/'Weights &amp; Assumptions'!$B$28+W150*'Weights &amp; Assumptions'!$B$26/'Weights &amp; Assumptions'!$B$28+X150*'Weights &amp; Assumptions'!$B$27/'Weights &amp; Assumptions'!$B$28,"")</f>
        <v>143.920775891298</v>
      </c>
    </row>
    <row r="151" customFormat="false" ht="15" hidden="false" customHeight="false" outlineLevel="0" collapsed="false">
      <c r="A151" s="20" t="n">
        <v>42400</v>
      </c>
      <c r="B151" s="21" t="n">
        <v>147.90289</v>
      </c>
      <c r="C151" s="22" t="n">
        <v>108.216917045431</v>
      </c>
      <c r="D151" s="22" t="n">
        <v>135.963047206025</v>
      </c>
      <c r="E151" s="22" t="n">
        <v>91.298852816423</v>
      </c>
      <c r="F151" s="22" t="n">
        <v>130.24760013277</v>
      </c>
      <c r="G151" s="22" t="n">
        <v>143.968922135388</v>
      </c>
      <c r="H151" s="22" t="n">
        <v>140.781517422787</v>
      </c>
      <c r="I151" s="22" t="n">
        <v>151.426236282917</v>
      </c>
      <c r="J151" s="22" t="n">
        <v>159.382868569543</v>
      </c>
      <c r="K151" s="22" t="n">
        <v>191.828757032257</v>
      </c>
      <c r="L151" s="22" t="n">
        <v>176.076712843328</v>
      </c>
      <c r="M151" s="22" t="n">
        <v>135.421352520761</v>
      </c>
      <c r="N151" s="22" t="n">
        <v>152.296303562825</v>
      </c>
      <c r="O151" s="22" t="n">
        <v>155.411546972265</v>
      </c>
      <c r="P151" s="22" t="n">
        <v>172.146819410026</v>
      </c>
      <c r="Q151" s="22" t="n">
        <v>144.923421152794</v>
      </c>
      <c r="R151" s="22" t="n">
        <f aca="false">C151*'Weights &amp; Assumptions'!$F$6+D151*'Weights &amp; Assumptions'!$F$7</f>
        <v>108.556877496499</v>
      </c>
      <c r="S151" s="22" t="n">
        <f aca="false">E151*'Weights &amp; Assumptions'!$F$8+F151*'Weights &amp; Assumptions'!$F$9+H151*'Weights &amp; Assumptions'!$F$11</f>
        <v>127.79167269958</v>
      </c>
      <c r="T151" s="22" t="n">
        <f aca="false">G151*'Weights &amp; Assumptions'!$F$10+I151*'Weights &amp; Assumptions'!$F$12+J151*'Weights &amp; Assumptions'!$F$13+K151*'Weights &amp; Assumptions'!$F$14+L151*'Weights &amp; Assumptions'!$F$15+M151*'Weights &amp; Assumptions'!$F$16+N151*'Weights &amp; Assumptions'!$F$17+O151*'Weights &amp; Assumptions'!$F$18+P151*'Weights &amp; Assumptions'!$F$19+Q151*'Weights &amp; Assumptions'!$F$20</f>
        <v>157.611461844497</v>
      </c>
      <c r="U151" s="22" t="n">
        <f aca="false">R151*'Weights &amp; Assumptions'!$B$25/'Weights &amp; Assumptions'!$B$28+S151*'Weights &amp; Assumptions'!$B$26/'Weights &amp; Assumptions'!$B$28+T151*'Weights &amp; Assumptions'!$B$27/'Weights &amp; Assumptions'!$B$28</f>
        <v>145.566138563924</v>
      </c>
      <c r="V151" s="23" t="n">
        <f aca="false">IFERROR(Tabelle1!E152*'Weights &amp; Assumptions'!$F$6+Tabelle1!F152*'Weights &amp; Assumptions'!$F$7,"")</f>
        <v>64.5613694637728</v>
      </c>
      <c r="W151" s="23" t="n">
        <f aca="false">IFERROR(Tabelle1!G152*'Weights &amp; Assumptions'!$F$8+Tabelle1!H152*'Weights &amp; Assumptions'!$F$9+Tabelle1!J152*'Weights &amp; Assumptions'!$F$11,"")</f>
        <v>116.993119366684</v>
      </c>
      <c r="X151" s="23" t="n">
        <f aca="false">IFERROR(Tabelle1!I152*'Weights &amp; Assumptions'!$F$10+Tabelle1!K152*'Weights &amp; Assumptions'!$F$12+Tabelle1!L152*'Weights &amp; Assumptions'!$F$13+Tabelle1!M152*'Weights &amp; Assumptions'!$F$14+Tabelle1!N152*'Weights &amp; Assumptions'!$F$15+Tabelle1!O152*'Weights &amp; Assumptions'!$F$16+Tabelle1!P152*'Weights &amp; Assumptions'!$F$17+Tabelle1!Q152*'Weights &amp; Assumptions'!$F$18+Tabelle1!R152*'Weights &amp; Assumptions'!$F$19+Tabelle1!S152*'Weights &amp; Assumptions'!$F$20,"")</f>
        <v>152.504558125159</v>
      </c>
      <c r="Y151" s="22" t="n">
        <f aca="false">IFERROR(V151*'Weights &amp; Assumptions'!$B$25/'Weights &amp; Assumptions'!$B$28+W151*'Weights &amp; Assumptions'!$B$26/'Weights &amp; Assumptions'!$B$28+X151*'Weights &amp; Assumptions'!$B$27/'Weights &amp; Assumptions'!$B$28,"")</f>
        <v>135.682939524741</v>
      </c>
    </row>
    <row r="152" customFormat="false" ht="15" hidden="false" customHeight="false" outlineLevel="0" collapsed="false">
      <c r="A152" s="20" t="n">
        <v>42429</v>
      </c>
      <c r="B152" s="21" t="n">
        <v>146.87869</v>
      </c>
      <c r="C152" s="22" t="n">
        <v>106.402942882012</v>
      </c>
      <c r="D152" s="22" t="n">
        <v>137.959190687249</v>
      </c>
      <c r="E152" s="22" t="n">
        <v>92.8875741074098</v>
      </c>
      <c r="F152" s="22" t="n">
        <v>133.123591419845</v>
      </c>
      <c r="G152" s="22" t="n">
        <v>149.269673474866</v>
      </c>
      <c r="H152" s="22" t="n">
        <v>139.917042812208</v>
      </c>
      <c r="I152" s="22" t="n">
        <v>154.025734396692</v>
      </c>
      <c r="J152" s="22" t="n">
        <v>161.4084850143</v>
      </c>
      <c r="K152" s="22" t="n">
        <v>194.074504522835</v>
      </c>
      <c r="L152" s="22" t="n">
        <v>176.800564123068</v>
      </c>
      <c r="M152" s="22" t="n">
        <v>136.098131565659</v>
      </c>
      <c r="N152" s="22" t="n">
        <v>152.60762656016</v>
      </c>
      <c r="O152" s="22" t="n">
        <v>155.932724286886</v>
      </c>
      <c r="P152" s="22" t="n">
        <v>172.930635337645</v>
      </c>
      <c r="Q152" s="22" t="n">
        <v>149.817240758179</v>
      </c>
      <c r="R152" s="22" t="n">
        <f aca="false">C152*'Weights &amp; Assumptions'!$F$6+D152*'Weights &amp; Assumptions'!$F$7</f>
        <v>106.789586935644</v>
      </c>
      <c r="S152" s="22" t="n">
        <f aca="false">E152*'Weights &amp; Assumptions'!$F$8+F152*'Weights &amp; Assumptions'!$F$9+H152*'Weights &amp; Assumptions'!$F$11</f>
        <v>129.734739507274</v>
      </c>
      <c r="T152" s="22" t="n">
        <f aca="false">G152*'Weights &amp; Assumptions'!$F$10+I152*'Weights &amp; Assumptions'!$F$12+J152*'Weights &amp; Assumptions'!$F$13+K152*'Weights &amp; Assumptions'!$F$14+L152*'Weights &amp; Assumptions'!$F$15+M152*'Weights &amp; Assumptions'!$F$16+N152*'Weights &amp; Assumptions'!$F$17+O152*'Weights &amp; Assumptions'!$F$18+P152*'Weights &amp; Assumptions'!$F$19+Q152*'Weights &amp; Assumptions'!$F$20</f>
        <v>159.298649335425</v>
      </c>
      <c r="U152" s="22" t="n">
        <f aca="false">R152*'Weights &amp; Assumptions'!$B$25/'Weights &amp; Assumptions'!$B$28+S152*'Weights &amp; Assumptions'!$B$26/'Weights &amp; Assumptions'!$B$28+T152*'Weights &amp; Assumptions'!$B$27/'Weights &amp; Assumptions'!$B$28</f>
        <v>147.031535251567</v>
      </c>
      <c r="V152" s="23" t="n">
        <f aca="false">IFERROR(Tabelle1!E153*'Weights &amp; Assumptions'!$F$6+Tabelle1!F153*'Weights &amp; Assumptions'!$F$7,"")</f>
        <v>70.5103035481103</v>
      </c>
      <c r="W152" s="23" t="n">
        <f aca="false">IFERROR(Tabelle1!G153*'Weights &amp; Assumptions'!$F$8+Tabelle1!H153*'Weights &amp; Assumptions'!$F$9+Tabelle1!J153*'Weights &amp; Assumptions'!$F$11,"")</f>
        <v>116.109032548041</v>
      </c>
      <c r="X152" s="23" t="n">
        <f aca="false">IFERROR(Tabelle1!I153*'Weights &amp; Assumptions'!$F$10+Tabelle1!K153*'Weights &amp; Assumptions'!$F$12+Tabelle1!L153*'Weights &amp; Assumptions'!$F$13+Tabelle1!M153*'Weights &amp; Assumptions'!$F$14+Tabelle1!N153*'Weights &amp; Assumptions'!$F$15+Tabelle1!O153*'Weights &amp; Assumptions'!$F$16+Tabelle1!P153*'Weights &amp; Assumptions'!$F$17+Tabelle1!Q153*'Weights &amp; Assumptions'!$F$18+Tabelle1!R153*'Weights &amp; Assumptions'!$F$19+Tabelle1!S153*'Weights &amp; Assumptions'!$F$20,"")</f>
        <v>152.566706818973</v>
      </c>
      <c r="Y152" s="22" t="n">
        <f aca="false">IFERROR(V152*'Weights &amp; Assumptions'!$B$25/'Weights &amp; Assumptions'!$B$28+W152*'Weights &amp; Assumptions'!$B$26/'Weights &amp; Assumptions'!$B$28+X152*'Weights &amp; Assumptions'!$B$27/'Weights &amp; Assumptions'!$B$28,"")</f>
        <v>135.987373860032</v>
      </c>
    </row>
    <row r="153" customFormat="false" ht="15" hidden="false" customHeight="false" outlineLevel="0" collapsed="false">
      <c r="A153" s="20" t="n">
        <v>42460</v>
      </c>
      <c r="B153" s="21" t="n">
        <v>145.96567</v>
      </c>
      <c r="C153" s="22" t="n">
        <v>106.544295169024</v>
      </c>
      <c r="D153" s="22" t="n">
        <v>133.322954273065</v>
      </c>
      <c r="E153" s="22" t="n">
        <v>90.8104682282129</v>
      </c>
      <c r="F153" s="22" t="n">
        <v>130.30428199007</v>
      </c>
      <c r="G153" s="22" t="n">
        <v>140.292714403144</v>
      </c>
      <c r="H153" s="22" t="n">
        <v>136.520002949004</v>
      </c>
      <c r="I153" s="22" t="n">
        <v>156.951652660424</v>
      </c>
      <c r="J153" s="22" t="n">
        <v>161.220588885414</v>
      </c>
      <c r="K153" s="22" t="n">
        <v>193.187634784988</v>
      </c>
      <c r="L153" s="22" t="n">
        <v>176.160689699618</v>
      </c>
      <c r="M153" s="22" t="n">
        <v>136.081267695094</v>
      </c>
      <c r="N153" s="22" t="n">
        <v>152.00174027638</v>
      </c>
      <c r="O153" s="22" t="n">
        <v>156.357542666806</v>
      </c>
      <c r="P153" s="22" t="n">
        <v>173.018432741607</v>
      </c>
      <c r="Q153" s="22" t="n">
        <v>154.31920308022</v>
      </c>
      <c r="R153" s="22" t="n">
        <f aca="false">C153*'Weights &amp; Assumptions'!$F$6+D153*'Weights &amp; Assumptions'!$F$7</f>
        <v>106.872401646407</v>
      </c>
      <c r="S153" s="22" t="n">
        <f aca="false">E153*'Weights &amp; Assumptions'!$F$8+F153*'Weights &amp; Assumptions'!$F$9+H153*'Weights &amp; Assumptions'!$F$11</f>
        <v>126.883692586656</v>
      </c>
      <c r="T153" s="22" t="n">
        <f aca="false">G153*'Weights &amp; Assumptions'!$F$10+I153*'Weights &amp; Assumptions'!$F$12+J153*'Weights &amp; Assumptions'!$F$13+K153*'Weights &amp; Assumptions'!$F$14+L153*'Weights &amp; Assumptions'!$F$15+M153*'Weights &amp; Assumptions'!$F$16+N153*'Weights &amp; Assumptions'!$F$17+O153*'Weights &amp; Assumptions'!$F$18+P153*'Weights &amp; Assumptions'!$F$19+Q153*'Weights &amp; Assumptions'!$F$20</f>
        <v>159.676787281624</v>
      </c>
      <c r="U153" s="22" t="n">
        <f aca="false">R153*'Weights &amp; Assumptions'!$B$25/'Weights &amp; Assumptions'!$B$28+S153*'Weights &amp; Assumptions'!$B$26/'Weights &amp; Assumptions'!$B$28+T153*'Weights &amp; Assumptions'!$B$27/'Weights &amp; Assumptions'!$B$28</f>
        <v>146.526198668525</v>
      </c>
      <c r="V153" s="23" t="n">
        <f aca="false">IFERROR(Tabelle1!E154*'Weights &amp; Assumptions'!$F$6+Tabelle1!F154*'Weights &amp; Assumptions'!$F$7,"")</f>
        <v>136.564024003409</v>
      </c>
      <c r="W153" s="23" t="n">
        <f aca="false">IFERROR(Tabelle1!G154*'Weights &amp; Assumptions'!$F$8+Tabelle1!H154*'Weights &amp; Assumptions'!$F$9+Tabelle1!J154*'Weights &amp; Assumptions'!$F$11,"")</f>
        <v>128.112079079152</v>
      </c>
      <c r="X153" s="23" t="n">
        <f aca="false">IFERROR(Tabelle1!I154*'Weights &amp; Assumptions'!$F$10+Tabelle1!K154*'Weights &amp; Assumptions'!$F$12+Tabelle1!L154*'Weights &amp; Assumptions'!$F$13+Tabelle1!M154*'Weights &amp; Assumptions'!$F$14+Tabelle1!N154*'Weights &amp; Assumptions'!$F$15+Tabelle1!O154*'Weights &amp; Assumptions'!$F$16+Tabelle1!P154*'Weights &amp; Assumptions'!$F$17+Tabelle1!Q154*'Weights &amp; Assumptions'!$F$18+Tabelle1!R154*'Weights &amp; Assumptions'!$F$19+Tabelle1!S154*'Weights &amp; Assumptions'!$F$20,"")</f>
        <v>162.367992893416</v>
      </c>
      <c r="Y153" s="22" t="n">
        <f aca="false">IFERROR(V153*'Weights &amp; Assumptions'!$B$25/'Weights &amp; Assumptions'!$B$28+W153*'Weights &amp; Assumptions'!$B$26/'Weights &amp; Assumptions'!$B$28+X153*'Weights &amp; Assumptions'!$B$27/'Weights &amp; Assumptions'!$B$28,"")</f>
        <v>151.093772558355</v>
      </c>
    </row>
    <row r="154" customFormat="false" ht="15" hidden="false" customHeight="false" outlineLevel="0" collapsed="false">
      <c r="A154" s="20" t="n">
        <v>42490</v>
      </c>
      <c r="B154" s="21" t="n">
        <v>144.71514</v>
      </c>
      <c r="C154" s="22" t="n">
        <v>110.203683424881</v>
      </c>
      <c r="D154" s="22" t="n">
        <v>121.020661082166</v>
      </c>
      <c r="E154" s="22" t="n">
        <v>92.6162106876866</v>
      </c>
      <c r="F154" s="22" t="n">
        <v>131.414431559585</v>
      </c>
      <c r="G154" s="22" t="n">
        <v>147.019931430219</v>
      </c>
      <c r="H154" s="22" t="n">
        <v>131.254506279417</v>
      </c>
      <c r="I154" s="22" t="n">
        <v>155.931755297088</v>
      </c>
      <c r="J154" s="22" t="n">
        <v>160.36901805263</v>
      </c>
      <c r="K154" s="22" t="n">
        <v>191.258246844833</v>
      </c>
      <c r="L154" s="22" t="n">
        <v>175.772833173391</v>
      </c>
      <c r="M154" s="22" t="n">
        <v>135.890245334794</v>
      </c>
      <c r="N154" s="22" t="n">
        <v>152.880571252226</v>
      </c>
      <c r="O154" s="22" t="n">
        <v>155.54345301836</v>
      </c>
      <c r="P154" s="22" t="n">
        <v>173.491590002661</v>
      </c>
      <c r="Q154" s="22" t="n">
        <v>147.031742724348</v>
      </c>
      <c r="R154" s="22" t="n">
        <f aca="false">C154*'Weights &amp; Assumptions'!$F$6+D154*'Weights &amp; Assumptions'!$F$7</f>
        <v>110.336218830081</v>
      </c>
      <c r="S154" s="22" t="n">
        <f aca="false">E154*'Weights &amp; Assumptions'!$F$8+F154*'Weights &amp; Assumptions'!$F$9+H154*'Weights &amp; Assumptions'!$F$11</f>
        <v>126.748696658494</v>
      </c>
      <c r="T154" s="22" t="n">
        <f aca="false">G154*'Weights &amp; Assumptions'!$F$10+I154*'Weights &amp; Assumptions'!$F$12+J154*'Weights &amp; Assumptions'!$F$13+K154*'Weights &amp; Assumptions'!$F$14+L154*'Weights &amp; Assumptions'!$F$15+M154*'Weights &amp; Assumptions'!$F$16+N154*'Weights &amp; Assumptions'!$F$17+O154*'Weights &amp; Assumptions'!$F$18+P154*'Weights &amp; Assumptions'!$F$19+Q154*'Weights &amp; Assumptions'!$F$20</f>
        <v>158.928290852474</v>
      </c>
      <c r="U154" s="22" t="n">
        <f aca="false">R154*'Weights &amp; Assumptions'!$B$25/'Weights &amp; Assumptions'!$B$28+S154*'Weights &amp; Assumptions'!$B$26/'Weights &amp; Assumptions'!$B$28+T154*'Weights &amp; Assumptions'!$B$27/'Weights &amp; Assumptions'!$B$28</f>
        <v>146.294259356912</v>
      </c>
      <c r="V154" s="23" t="n">
        <f aca="false">IFERROR(Tabelle1!E155*'Weights &amp; Assumptions'!$F$6+Tabelle1!F155*'Weights &amp; Assumptions'!$F$7,"")</f>
        <v>220.629241540268</v>
      </c>
      <c r="W154" s="23" t="n">
        <f aca="false">IFERROR(Tabelle1!G155*'Weights &amp; Assumptions'!$F$8+Tabelle1!H155*'Weights &amp; Assumptions'!$F$9+Tabelle1!J155*'Weights &amp; Assumptions'!$F$11,"")</f>
        <v>124.237758453659</v>
      </c>
      <c r="X154" s="23" t="n">
        <f aca="false">IFERROR(Tabelle1!I155*'Weights &amp; Assumptions'!$F$10+Tabelle1!K155*'Weights &amp; Assumptions'!$F$12+Tabelle1!L155*'Weights &amp; Assumptions'!$F$13+Tabelle1!M155*'Weights &amp; Assumptions'!$F$14+Tabelle1!N155*'Weights &amp; Assumptions'!$F$15+Tabelle1!O155*'Weights &amp; Assumptions'!$F$16+Tabelle1!P155*'Weights &amp; Assumptions'!$F$17+Tabelle1!Q155*'Weights &amp; Assumptions'!$F$18+Tabelle1!R155*'Weights &amp; Assumptions'!$F$19+Tabelle1!S155*'Weights &amp; Assumptions'!$F$20,"")</f>
        <v>157.876867681714</v>
      </c>
      <c r="Y154" s="22" t="n">
        <f aca="false">IFERROR(V154*'Weights &amp; Assumptions'!$B$25/'Weights &amp; Assumptions'!$B$28+W154*'Weights &amp; Assumptions'!$B$26/'Weights &amp; Assumptions'!$B$28+X154*'Weights &amp; Assumptions'!$B$27/'Weights &amp; Assumptions'!$B$28,"")</f>
        <v>154.196617313615</v>
      </c>
    </row>
    <row r="155" customFormat="false" ht="15" hidden="false" customHeight="false" outlineLevel="0" collapsed="false">
      <c r="A155" s="20" t="n">
        <v>42521</v>
      </c>
      <c r="B155" s="21" t="n">
        <v>144.57675</v>
      </c>
      <c r="C155" s="22" t="n">
        <v>111.764743101744</v>
      </c>
      <c r="D155" s="22" t="n">
        <v>118.29737032013</v>
      </c>
      <c r="E155" s="22" t="n">
        <v>89.4564570661571</v>
      </c>
      <c r="F155" s="22" t="n">
        <v>128.598550899974</v>
      </c>
      <c r="G155" s="22" t="n">
        <v>148.622123075786</v>
      </c>
      <c r="H155" s="22" t="n">
        <v>133.355945926354</v>
      </c>
      <c r="I155" s="22" t="n">
        <v>150.899906958249</v>
      </c>
      <c r="J155" s="22" t="n">
        <v>160.293683328601</v>
      </c>
      <c r="K155" s="22" t="n">
        <v>192.166902018884</v>
      </c>
      <c r="L155" s="22" t="n">
        <v>173.378343183601</v>
      </c>
      <c r="M155" s="22" t="n">
        <v>135.548269825767</v>
      </c>
      <c r="N155" s="22" t="n">
        <v>153.071434667899</v>
      </c>
      <c r="O155" s="22" t="n">
        <v>155.565343330666</v>
      </c>
      <c r="P155" s="22" t="n">
        <v>173.93247912809</v>
      </c>
      <c r="Q155" s="22" t="n">
        <v>151.960510251829</v>
      </c>
      <c r="R155" s="22" t="n">
        <f aca="false">C155*'Weights &amp; Assumptions'!$F$6+D155*'Weights &amp; Assumptions'!$F$7</f>
        <v>111.844784350126</v>
      </c>
      <c r="S155" s="22" t="n">
        <f aca="false">E155*'Weights &amp; Assumptions'!$F$8+F155*'Weights &amp; Assumptions'!$F$9+H155*'Weights &amp; Assumptions'!$F$11</f>
        <v>124.916152314894</v>
      </c>
      <c r="T155" s="22" t="n">
        <f aca="false">G155*'Weights &amp; Assumptions'!$F$10+I155*'Weights &amp; Assumptions'!$F$12+J155*'Weights &amp; Assumptions'!$F$13+K155*'Weights &amp; Assumptions'!$F$14+L155*'Weights &amp; Assumptions'!$F$15+M155*'Weights &amp; Assumptions'!$F$16+N155*'Weights &amp; Assumptions'!$F$17+O155*'Weights &amp; Assumptions'!$F$18+P155*'Weights &amp; Assumptions'!$F$19+Q155*'Weights &amp; Assumptions'!$F$20</f>
        <v>158.148217637061</v>
      </c>
      <c r="U155" s="22" t="n">
        <f aca="false">R155*'Weights &amp; Assumptions'!$B$25/'Weights &amp; Assumptions'!$B$28+S155*'Weights &amp; Assumptions'!$B$26/'Weights &amp; Assumptions'!$B$28+T155*'Weights &amp; Assumptions'!$B$27/'Weights &amp; Assumptions'!$B$28</f>
        <v>145.42633437828</v>
      </c>
      <c r="V155" s="23" t="n">
        <f aca="false">IFERROR(Tabelle1!E156*'Weights &amp; Assumptions'!$F$6+Tabelle1!F156*'Weights &amp; Assumptions'!$F$7,"")</f>
        <v>327.141834705903</v>
      </c>
      <c r="W155" s="23" t="n">
        <f aca="false">IFERROR(Tabelle1!G156*'Weights &amp; Assumptions'!$F$8+Tabelle1!H156*'Weights &amp; Assumptions'!$F$9+Tabelle1!J156*'Weights &amp; Assumptions'!$F$11,"")</f>
        <v>127.848948410149</v>
      </c>
      <c r="X155" s="23" t="n">
        <f aca="false">IFERROR(Tabelle1!I156*'Weights &amp; Assumptions'!$F$10+Tabelle1!K156*'Weights &amp; Assumptions'!$F$12+Tabelle1!L156*'Weights &amp; Assumptions'!$F$13+Tabelle1!M156*'Weights &amp; Assumptions'!$F$14+Tabelle1!N156*'Weights &amp; Assumptions'!$F$15+Tabelle1!O156*'Weights &amp; Assumptions'!$F$16+Tabelle1!P156*'Weights &amp; Assumptions'!$F$17+Tabelle1!Q156*'Weights &amp; Assumptions'!$F$18+Tabelle1!R156*'Weights &amp; Assumptions'!$F$19+Tabelle1!S156*'Weights &amp; Assumptions'!$F$20,"")</f>
        <v>160.537575369565</v>
      </c>
      <c r="Y155" s="22" t="n">
        <f aca="false">IFERROR(V155*'Weights &amp; Assumptions'!$B$25/'Weights &amp; Assumptions'!$B$28+W155*'Weights &amp; Assumptions'!$B$26/'Weights &amp; Assumptions'!$B$28+X155*'Weights &amp; Assumptions'!$B$27/'Weights &amp; Assumptions'!$B$28,"")</f>
        <v>165.823334456831</v>
      </c>
    </row>
    <row r="156" customFormat="false" ht="15" hidden="false" customHeight="false" outlineLevel="0" collapsed="false">
      <c r="A156" s="20" t="n">
        <v>42551</v>
      </c>
      <c r="B156" s="21" t="n">
        <v>144.37905</v>
      </c>
      <c r="C156" s="22" t="n">
        <v>111.844141255088</v>
      </c>
      <c r="D156" s="22" t="n">
        <v>153.293040129435</v>
      </c>
      <c r="E156" s="22" t="n">
        <v>89.8998770281813</v>
      </c>
      <c r="F156" s="22" t="n">
        <v>122.539156179999</v>
      </c>
      <c r="G156" s="22" t="n">
        <v>143.233404999192</v>
      </c>
      <c r="H156" s="22" t="n">
        <v>129.461961146675</v>
      </c>
      <c r="I156" s="22" t="n">
        <v>149.297808248646</v>
      </c>
      <c r="J156" s="22" t="n">
        <v>160.995106067963</v>
      </c>
      <c r="K156" s="22" t="n">
        <v>191.996583878205</v>
      </c>
      <c r="L156" s="22" t="n">
        <v>170.862382248048</v>
      </c>
      <c r="M156" s="22" t="n">
        <v>135.376154679494</v>
      </c>
      <c r="N156" s="22" t="n">
        <v>153.033866524639</v>
      </c>
      <c r="O156" s="22" t="n">
        <v>155.940830237115</v>
      </c>
      <c r="P156" s="22" t="n">
        <v>173.920768253315</v>
      </c>
      <c r="Q156" s="22" t="n">
        <v>153.369087988471</v>
      </c>
      <c r="R156" s="22" t="n">
        <f aca="false">C156*'Weights &amp; Assumptions'!$F$6+D156*'Weights &amp; Assumptions'!$F$7</f>
        <v>112.351995369376</v>
      </c>
      <c r="S156" s="22" t="n">
        <f aca="false">E156*'Weights &amp; Assumptions'!$F$8+F156*'Weights &amp; Assumptions'!$F$9+H156*'Weights &amp; Assumptions'!$F$11</f>
        <v>120.084284804871</v>
      </c>
      <c r="T156" s="22" t="n">
        <f aca="false">G156*'Weights &amp; Assumptions'!$F$10+I156*'Weights &amp; Assumptions'!$F$12+J156*'Weights &amp; Assumptions'!$F$13+K156*'Weights &amp; Assumptions'!$F$14+L156*'Weights &amp; Assumptions'!$F$15+M156*'Weights &amp; Assumptions'!$F$16+N156*'Weights &amp; Assumptions'!$F$17+O156*'Weights &amp; Assumptions'!$F$18+P156*'Weights &amp; Assumptions'!$F$19+Q156*'Weights &amp; Assumptions'!$F$20</f>
        <v>157.551257158239</v>
      </c>
      <c r="U156" s="22" t="n">
        <f aca="false">R156*'Weights &amp; Assumptions'!$B$25/'Weights &amp; Assumptions'!$B$28+S156*'Weights &amp; Assumptions'!$B$26/'Weights &amp; Assumptions'!$B$28+T156*'Weights &amp; Assumptions'!$B$27/'Weights &amp; Assumptions'!$B$28</f>
        <v>143.795879051385</v>
      </c>
      <c r="V156" s="23" t="n">
        <f aca="false">IFERROR(Tabelle1!E157*'Weights &amp; Assumptions'!$F$6+Tabelle1!F157*'Weights &amp; Assumptions'!$F$7,"")</f>
        <v>222.256673153002</v>
      </c>
      <c r="W156" s="23" t="n">
        <f aca="false">IFERROR(Tabelle1!G157*'Weights &amp; Assumptions'!$F$8+Tabelle1!H157*'Weights &amp; Assumptions'!$F$9+Tabelle1!J157*'Weights &amp; Assumptions'!$F$11,"")</f>
        <v>121.786100322242</v>
      </c>
      <c r="X156" s="23" t="n">
        <f aca="false">IFERROR(Tabelle1!I157*'Weights &amp; Assumptions'!$F$10+Tabelle1!K157*'Weights &amp; Assumptions'!$F$12+Tabelle1!L157*'Weights &amp; Assumptions'!$F$13+Tabelle1!M157*'Weights &amp; Assumptions'!$F$14+Tabelle1!N157*'Weights &amp; Assumptions'!$F$15+Tabelle1!O157*'Weights &amp; Assumptions'!$F$16+Tabelle1!P157*'Weights &amp; Assumptions'!$F$17+Tabelle1!Q157*'Weights &amp; Assumptions'!$F$18+Tabelle1!R157*'Weights &amp; Assumptions'!$F$19+Tabelle1!S157*'Weights &amp; Assumptions'!$F$20,"")</f>
        <v>161.317010177304</v>
      </c>
      <c r="Y156" s="22" t="n">
        <f aca="false">IFERROR(V156*'Weights &amp; Assumptions'!$B$25/'Weights &amp; Assumptions'!$B$28+W156*'Weights &amp; Assumptions'!$B$26/'Weights &amp; Assumptions'!$B$28+X156*'Weights &amp; Assumptions'!$B$27/'Weights &amp; Assumptions'!$B$28,"")</f>
        <v>155.917939151932</v>
      </c>
    </row>
    <row r="157" customFormat="false" ht="15" hidden="false" customHeight="false" outlineLevel="0" collapsed="false">
      <c r="A157" s="20" t="n">
        <v>42582</v>
      </c>
      <c r="B157" s="21" t="n">
        <v>144.58279</v>
      </c>
      <c r="C157" s="22" t="n">
        <v>110.805443184254</v>
      </c>
      <c r="D157" s="22" t="n">
        <v>157.809657555339</v>
      </c>
      <c r="E157" s="22" t="n">
        <v>89.9296129849955</v>
      </c>
      <c r="F157" s="22" t="n">
        <v>125.171174019677</v>
      </c>
      <c r="G157" s="22" t="n">
        <v>144.77295397123</v>
      </c>
      <c r="H157" s="22" t="n">
        <v>129.052689966502</v>
      </c>
      <c r="I157" s="22" t="n">
        <v>148.479427876293</v>
      </c>
      <c r="J157" s="22" t="n">
        <v>160.383680700214</v>
      </c>
      <c r="K157" s="22" t="n">
        <v>191.929834192228</v>
      </c>
      <c r="L157" s="22" t="n">
        <v>170.775448062865</v>
      </c>
      <c r="M157" s="22" t="n">
        <v>134.247619136009</v>
      </c>
      <c r="N157" s="22" t="n">
        <v>153.257769367465</v>
      </c>
      <c r="O157" s="22" t="n">
        <v>156.36898268472</v>
      </c>
      <c r="P157" s="22" t="n">
        <v>174.557893604331</v>
      </c>
      <c r="Q157" s="22" t="n">
        <v>149.324613280146</v>
      </c>
      <c r="R157" s="22" t="n">
        <f aca="false">C157*'Weights &amp; Assumptions'!$F$6+D157*'Weights &amp; Assumptions'!$F$7</f>
        <v>111.381364000137</v>
      </c>
      <c r="S157" s="22" t="n">
        <f aca="false">E157*'Weights &amp; Assumptions'!$F$8+F157*'Weights &amp; Assumptions'!$F$9+H157*'Weights &amp; Assumptions'!$F$11</f>
        <v>121.772023815686</v>
      </c>
      <c r="T157" s="22" t="n">
        <f aca="false">G157*'Weights &amp; Assumptions'!$F$10+I157*'Weights &amp; Assumptions'!$F$12+J157*'Weights &amp; Assumptions'!$F$13+K157*'Weights &amp; Assumptions'!$F$14+L157*'Weights &amp; Assumptions'!$F$15+M157*'Weights &amp; Assumptions'!$F$16+N157*'Weights &amp; Assumptions'!$F$17+O157*'Weights &amp; Assumptions'!$F$18+P157*'Weights &amp; Assumptions'!$F$19+Q157*'Weights &amp; Assumptions'!$F$20</f>
        <v>157.030675007024</v>
      </c>
      <c r="U157" s="22" t="n">
        <f aca="false">R157*'Weights &amp; Assumptions'!$B$25/'Weights &amp; Assumptions'!$B$28+S157*'Weights &amp; Assumptions'!$B$26/'Weights &amp; Assumptions'!$B$28+T157*'Weights &amp; Assumptions'!$B$27/'Weights &amp; Assumptions'!$B$28</f>
        <v>143.82476856855</v>
      </c>
      <c r="V157" s="23" t="n">
        <f aca="false">IFERROR(Tabelle1!E158*'Weights &amp; Assumptions'!$F$6+Tabelle1!F158*'Weights &amp; Assumptions'!$F$7,"")</f>
        <v>114.757539994994</v>
      </c>
      <c r="W157" s="23" t="n">
        <f aca="false">IFERROR(Tabelle1!G158*'Weights &amp; Assumptions'!$F$8+Tabelle1!H158*'Weights &amp; Assumptions'!$F$9+Tabelle1!J158*'Weights &amp; Assumptions'!$F$11,"")</f>
        <v>123.191229355064</v>
      </c>
      <c r="X157" s="23" t="n">
        <f aca="false">IFERROR(Tabelle1!I158*'Weights &amp; Assumptions'!$F$10+Tabelle1!K158*'Weights &amp; Assumptions'!$F$12+Tabelle1!L158*'Weights &amp; Assumptions'!$F$13+Tabelle1!M158*'Weights &amp; Assumptions'!$F$14+Tabelle1!N158*'Weights &amp; Assumptions'!$F$15+Tabelle1!O158*'Weights &amp; Assumptions'!$F$16+Tabelle1!P158*'Weights &amp; Assumptions'!$F$17+Tabelle1!Q158*'Weights &amp; Assumptions'!$F$18+Tabelle1!R158*'Weights &amp; Assumptions'!$F$19+Tabelle1!S158*'Weights &amp; Assumptions'!$F$20,"")</f>
        <v>159.464005460263</v>
      </c>
      <c r="Y157" s="22" t="n">
        <f aca="false">IFERROR(V157*'Weights &amp; Assumptions'!$B$25/'Weights &amp; Assumptions'!$B$28+W157*'Weights &amp; Assumptions'!$B$26/'Weights &amp; Assumptions'!$B$28+X157*'Weights &amp; Assumptions'!$B$27/'Weights &amp; Assumptions'!$B$28,"")</f>
        <v>146.067531017868</v>
      </c>
    </row>
    <row r="158" customFormat="false" ht="15" hidden="false" customHeight="false" outlineLevel="0" collapsed="false">
      <c r="A158" s="20" t="n">
        <v>42613</v>
      </c>
      <c r="B158" s="21" t="n">
        <v>145.6509</v>
      </c>
      <c r="C158" s="22" t="n">
        <v>109.703902020251</v>
      </c>
      <c r="D158" s="22" t="n">
        <v>162.93606281016</v>
      </c>
      <c r="E158" s="22" t="n">
        <v>89.4347361440132</v>
      </c>
      <c r="F158" s="22" t="n">
        <v>125.891159966257</v>
      </c>
      <c r="G158" s="22" t="n">
        <v>143.406801346053</v>
      </c>
      <c r="H158" s="22" t="n">
        <v>136.0648779907</v>
      </c>
      <c r="I158" s="22" t="n">
        <v>152.11626894707</v>
      </c>
      <c r="J158" s="22" t="n">
        <v>161.720173034596</v>
      </c>
      <c r="K158" s="22" t="n">
        <v>194.685127507595</v>
      </c>
      <c r="L158" s="22" t="n">
        <v>174.42312339249</v>
      </c>
      <c r="M158" s="22" t="n">
        <v>136.957703884839</v>
      </c>
      <c r="N158" s="22" t="n">
        <v>152.974456863353</v>
      </c>
      <c r="O158" s="22" t="n">
        <v>156.180986508699</v>
      </c>
      <c r="P158" s="22" t="n">
        <v>174.808184371482</v>
      </c>
      <c r="Q158" s="22" t="n">
        <v>147.611304961815</v>
      </c>
      <c r="R158" s="22" t="n">
        <f aca="false">C158*'Weights &amp; Assumptions'!$F$6+D158*'Weights &amp; Assumptions'!$F$7</f>
        <v>110.356130972135</v>
      </c>
      <c r="S158" s="22" t="n">
        <f aca="false">E158*'Weights &amp; Assumptions'!$F$8+F158*'Weights &amp; Assumptions'!$F$9+H158*'Weights &amp; Assumptions'!$F$11</f>
        <v>123.657772234113</v>
      </c>
      <c r="T158" s="22" t="n">
        <f aca="false">G158*'Weights &amp; Assumptions'!$F$10+I158*'Weights &amp; Assumptions'!$F$12+J158*'Weights &amp; Assumptions'!$F$13+K158*'Weights &amp; Assumptions'!$F$14+L158*'Weights &amp; Assumptions'!$F$15+M158*'Weights &amp; Assumptions'!$F$16+N158*'Weights &amp; Assumptions'!$F$17+O158*'Weights &amp; Assumptions'!$F$18+P158*'Weights &amp; Assumptions'!$F$19+Q158*'Weights &amp; Assumptions'!$F$20</f>
        <v>158.910616008054</v>
      </c>
      <c r="U158" s="22" t="n">
        <f aca="false">R158*'Weights &amp; Assumptions'!$B$25/'Weights &amp; Assumptions'!$B$28+S158*'Weights &amp; Assumptions'!$B$26/'Weights &amp; Assumptions'!$B$28+T158*'Weights &amp; Assumptions'!$B$27/'Weights &amp; Assumptions'!$B$28</f>
        <v>145.462507344594</v>
      </c>
      <c r="V158" s="23" t="n">
        <f aca="false">IFERROR(Tabelle1!E159*'Weights &amp; Assumptions'!$F$6+Tabelle1!F159*'Weights &amp; Assumptions'!$F$7,"")</f>
        <v>72.9546289520983</v>
      </c>
      <c r="W158" s="23" t="n">
        <f aca="false">IFERROR(Tabelle1!G159*'Weights &amp; Assumptions'!$F$8+Tabelle1!H159*'Weights &amp; Assumptions'!$F$9+Tabelle1!J159*'Weights &amp; Assumptions'!$F$11,"")</f>
        <v>130.259194741311</v>
      </c>
      <c r="X158" s="23" t="n">
        <f aca="false">IFERROR(Tabelle1!I159*'Weights &amp; Assumptions'!$F$10+Tabelle1!K159*'Weights &amp; Assumptions'!$F$12+Tabelle1!L159*'Weights &amp; Assumptions'!$F$13+Tabelle1!M159*'Weights &amp; Assumptions'!$F$14+Tabelle1!N159*'Weights &amp; Assumptions'!$F$15+Tabelle1!O159*'Weights &amp; Assumptions'!$F$16+Tabelle1!P159*'Weights &amp; Assumptions'!$F$17+Tabelle1!Q159*'Weights &amp; Assumptions'!$F$18+Tabelle1!R159*'Weights &amp; Assumptions'!$F$19+Tabelle1!S159*'Weights &amp; Assumptions'!$F$20,"")</f>
        <v>160.877095882405</v>
      </c>
      <c r="Y158" s="22" t="n">
        <f aca="false">IFERROR(V158*'Weights &amp; Assumptions'!$B$25/'Weights &amp; Assumptions'!$B$28+W158*'Weights &amp; Assumptions'!$B$26/'Weights &amp; Assumptions'!$B$28+X158*'Weights &amp; Assumptions'!$B$27/'Weights &amp; Assumptions'!$B$28,"")</f>
        <v>145.358492986054</v>
      </c>
    </row>
    <row r="159" customFormat="false" ht="15" hidden="false" customHeight="false" outlineLevel="0" collapsed="false">
      <c r="A159" s="20" t="n">
        <v>42643</v>
      </c>
      <c r="B159" s="21" t="n">
        <v>145.0188</v>
      </c>
      <c r="C159" s="22" t="n">
        <v>106.767831299338</v>
      </c>
      <c r="D159" s="22" t="n">
        <v>137.578105400989</v>
      </c>
      <c r="E159" s="22" t="n">
        <v>89.7315904808162</v>
      </c>
      <c r="F159" s="22" t="n">
        <v>129.986877741419</v>
      </c>
      <c r="G159" s="22" t="n">
        <v>146.475436372139</v>
      </c>
      <c r="H159" s="22" t="n">
        <v>133.473168313347</v>
      </c>
      <c r="I159" s="22" t="n">
        <v>154.512047711793</v>
      </c>
      <c r="J159" s="22" t="n">
        <v>161.080678754751</v>
      </c>
      <c r="K159" s="22" t="n">
        <v>194.609551571592</v>
      </c>
      <c r="L159" s="22" t="n">
        <v>172.350220515619</v>
      </c>
      <c r="M159" s="22" t="n">
        <v>136.118580590314</v>
      </c>
      <c r="N159" s="22" t="n">
        <v>153.162413630799</v>
      </c>
      <c r="O159" s="22" t="n">
        <v>156.297865621459</v>
      </c>
      <c r="P159" s="22" t="n">
        <v>175.080885179523</v>
      </c>
      <c r="Q159" s="22" t="n">
        <v>146.581727557542</v>
      </c>
      <c r="R159" s="22" t="n">
        <f aca="false">C159*'Weights &amp; Assumptions'!$F$6+D159*'Weights &amp; Assumptions'!$F$7</f>
        <v>107.145335283516</v>
      </c>
      <c r="S159" s="22" t="n">
        <f aca="false">E159*'Weights &amp; Assumptions'!$F$8+F159*'Weights &amp; Assumptions'!$F$9+H159*'Weights &amp; Assumptions'!$F$11</f>
        <v>125.906765331913</v>
      </c>
      <c r="T159" s="22" t="n">
        <f aca="false">G159*'Weights &amp; Assumptions'!$F$10+I159*'Weights &amp; Assumptions'!$F$12+J159*'Weights &amp; Assumptions'!$F$13+K159*'Weights &amp; Assumptions'!$F$14+L159*'Weights &amp; Assumptions'!$F$15+M159*'Weights &amp; Assumptions'!$F$16+N159*'Weights &amp; Assumptions'!$F$17+O159*'Weights &amp; Assumptions'!$F$18+P159*'Weights &amp; Assumptions'!$F$19+Q159*'Weights &amp; Assumptions'!$F$20</f>
        <v>159.104734812618</v>
      </c>
      <c r="U159" s="22" t="n">
        <f aca="false">R159*'Weights &amp; Assumptions'!$B$25/'Weights &amp; Assumptions'!$B$28+S159*'Weights &amp; Assumptions'!$B$26/'Weights &amp; Assumptions'!$B$28+T159*'Weights &amp; Assumptions'!$B$27/'Weights &amp; Assumptions'!$B$28</f>
        <v>145.91737795907</v>
      </c>
      <c r="V159" s="23" t="n">
        <f aca="false">IFERROR(Tabelle1!E160*'Weights &amp; Assumptions'!$F$6+Tabelle1!F160*'Weights &amp; Assumptions'!$F$7,"")</f>
        <v>63.6121583137269</v>
      </c>
      <c r="W159" s="23" t="n">
        <f aca="false">IFERROR(Tabelle1!G160*'Weights &amp; Assumptions'!$F$8+Tabelle1!H160*'Weights &amp; Assumptions'!$F$9+Tabelle1!J160*'Weights &amp; Assumptions'!$F$11,"")</f>
        <v>130.378560247257</v>
      </c>
      <c r="X159" s="23" t="n">
        <f aca="false">IFERROR(Tabelle1!I160*'Weights &amp; Assumptions'!$F$10+Tabelle1!K160*'Weights &amp; Assumptions'!$F$12+Tabelle1!L160*'Weights &amp; Assumptions'!$F$13+Tabelle1!M160*'Weights &amp; Assumptions'!$F$14+Tabelle1!N160*'Weights &amp; Assumptions'!$F$15+Tabelle1!O160*'Weights &amp; Assumptions'!$F$16+Tabelle1!P160*'Weights &amp; Assumptions'!$F$17+Tabelle1!Q160*'Weights &amp; Assumptions'!$F$18+Tabelle1!R160*'Weights &amp; Assumptions'!$F$19+Tabelle1!S160*'Weights &amp; Assumptions'!$F$20,"")</f>
        <v>158.799406786428</v>
      </c>
      <c r="Y159" s="22" t="n">
        <f aca="false">IFERROR(V159*'Weights &amp; Assumptions'!$B$25/'Weights &amp; Assumptions'!$B$28+W159*'Weights &amp; Assumptions'!$B$26/'Weights &amp; Assumptions'!$B$28+X159*'Weights &amp; Assumptions'!$B$27/'Weights &amp; Assumptions'!$B$28,"")</f>
        <v>143.255517870094</v>
      </c>
    </row>
    <row r="160" customFormat="false" ht="15" hidden="false" customHeight="false" outlineLevel="0" collapsed="false">
      <c r="A160" s="20" t="n">
        <v>42674</v>
      </c>
      <c r="B160" s="21" t="n">
        <v>145.15354</v>
      </c>
      <c r="C160" s="22" t="n">
        <v>107.595970474143</v>
      </c>
      <c r="D160" s="22" t="n">
        <v>152.417314815321</v>
      </c>
      <c r="E160" s="22" t="n">
        <v>87.738379199113</v>
      </c>
      <c r="F160" s="22" t="n">
        <v>125.473938446568</v>
      </c>
      <c r="G160" s="22" t="n">
        <v>141.623888825851</v>
      </c>
      <c r="H160" s="22" t="n">
        <v>130.32270272408</v>
      </c>
      <c r="I160" s="22" t="n">
        <v>149.094679352975</v>
      </c>
      <c r="J160" s="22" t="n">
        <v>162.168431249957</v>
      </c>
      <c r="K160" s="22" t="n">
        <v>194.160352089327</v>
      </c>
      <c r="L160" s="22" t="n">
        <v>172.830342469999</v>
      </c>
      <c r="M160" s="22" t="n">
        <v>135.578241690024</v>
      </c>
      <c r="N160" s="22" t="n">
        <v>153.119913157171</v>
      </c>
      <c r="O160" s="22" t="n">
        <v>157.057623088226</v>
      </c>
      <c r="P160" s="22" t="n">
        <v>175.489205379787</v>
      </c>
      <c r="Q160" s="22" t="n">
        <v>148.519548821949</v>
      </c>
      <c r="R160" s="22" t="n">
        <f aca="false">C160*'Weights &amp; Assumptions'!$F$6+D160*'Weights &amp; Assumptions'!$F$7</f>
        <v>108.145145596999</v>
      </c>
      <c r="S160" s="22" t="n">
        <f aca="false">E160*'Weights &amp; Assumptions'!$F$8+F160*'Weights &amp; Assumptions'!$F$9+H160*'Weights &amp; Assumptions'!$F$11</f>
        <v>121.978511241846</v>
      </c>
      <c r="T160" s="22" t="n">
        <f aca="false">G160*'Weights &amp; Assumptions'!$F$10+I160*'Weights &amp; Assumptions'!$F$12+J160*'Weights &amp; Assumptions'!$F$13+K160*'Weights &amp; Assumptions'!$F$14+L160*'Weights &amp; Assumptions'!$F$15+M160*'Weights &amp; Assumptions'!$F$16+N160*'Weights &amp; Assumptions'!$F$17+O160*'Weights &amp; Assumptions'!$F$18+P160*'Weights &amp; Assumptions'!$F$19+Q160*'Weights &amp; Assumptions'!$F$20</f>
        <v>157.964775044433</v>
      </c>
      <c r="U160" s="22" t="n">
        <f aca="false">R160*'Weights &amp; Assumptions'!$B$25/'Weights &amp; Assumptions'!$B$28+S160*'Weights &amp; Assumptions'!$B$26/'Weights &amp; Assumptions'!$B$28+T160*'Weights &amp; Assumptions'!$B$27/'Weights &amp; Assumptions'!$B$28</f>
        <v>144.215490514876</v>
      </c>
      <c r="V160" s="23" t="n">
        <f aca="false">IFERROR(Tabelle1!E161*'Weights &amp; Assumptions'!$F$6+Tabelle1!F161*'Weights &amp; Assumptions'!$F$7,"")</f>
        <v>72.7240654022002</v>
      </c>
      <c r="W160" s="23" t="n">
        <f aca="false">IFERROR(Tabelle1!G161*'Weights &amp; Assumptions'!$F$8+Tabelle1!H161*'Weights &amp; Assumptions'!$F$9+Tabelle1!J161*'Weights &amp; Assumptions'!$F$11,"")</f>
        <v>127.753926116886</v>
      </c>
      <c r="X160" s="23" t="n">
        <f aca="false">IFERROR(Tabelle1!I161*'Weights &amp; Assumptions'!$F$10+Tabelle1!K161*'Weights &amp; Assumptions'!$F$12+Tabelle1!L161*'Weights &amp; Assumptions'!$F$13+Tabelle1!M161*'Weights &amp; Assumptions'!$F$14+Tabelle1!N161*'Weights &amp; Assumptions'!$F$15+Tabelle1!O161*'Weights &amp; Assumptions'!$F$16+Tabelle1!P161*'Weights &amp; Assumptions'!$F$17+Tabelle1!Q161*'Weights &amp; Assumptions'!$F$18+Tabelle1!R161*'Weights &amp; Assumptions'!$F$19+Tabelle1!S161*'Weights &amp; Assumptions'!$F$20,"")</f>
        <v>158.860427210416</v>
      </c>
      <c r="Y160" s="22" t="n">
        <f aca="false">IFERROR(V160*'Weights &amp; Assumptions'!$B$25/'Weights &amp; Assumptions'!$B$28+W160*'Weights &amp; Assumptions'!$B$26/'Weights &amp; Assumptions'!$B$28+X160*'Weights &amp; Assumptions'!$B$27/'Weights &amp; Assumptions'!$B$28,"")</f>
        <v>143.361752757905</v>
      </c>
    </row>
    <row r="161" customFormat="false" ht="15" hidden="false" customHeight="false" outlineLevel="0" collapsed="false">
      <c r="A161" s="20" t="n">
        <v>42704</v>
      </c>
      <c r="B161" s="21" t="n">
        <v>145.78825</v>
      </c>
      <c r="C161" s="22" t="n">
        <v>109.457751200594</v>
      </c>
      <c r="D161" s="22" t="n">
        <v>145.672824602426</v>
      </c>
      <c r="E161" s="22" t="n">
        <v>87.1674985337184</v>
      </c>
      <c r="F161" s="22" t="n">
        <v>129.177484657601</v>
      </c>
      <c r="G161" s="22" t="n">
        <v>144.34805130385</v>
      </c>
      <c r="H161" s="22" t="n">
        <v>134.896505416932</v>
      </c>
      <c r="I161" s="22" t="n">
        <v>153.086300936944</v>
      </c>
      <c r="J161" s="22" t="n">
        <v>161.827724965953</v>
      </c>
      <c r="K161" s="22" t="n">
        <v>196.815305011419</v>
      </c>
      <c r="L161" s="22" t="n">
        <v>175.604910393151</v>
      </c>
      <c r="M161" s="22" t="n">
        <v>137.051928179195</v>
      </c>
      <c r="N161" s="22" t="n">
        <v>153.163339400149</v>
      </c>
      <c r="O161" s="22" t="n">
        <v>157.29581305053</v>
      </c>
      <c r="P161" s="22" t="n">
        <v>175.552064533224</v>
      </c>
      <c r="Q161" s="22" t="n">
        <v>149.236114751261</v>
      </c>
      <c r="R161" s="22" t="n">
        <f aca="false">C161*'Weights &amp; Assumptions'!$F$6+D161*'Weights &amp; Assumptions'!$F$7</f>
        <v>109.901477681292</v>
      </c>
      <c r="S161" s="22" t="n">
        <f aca="false">E161*'Weights &amp; Assumptions'!$F$8+F161*'Weights &amp; Assumptions'!$F$9+H161*'Weights &amp; Assumptions'!$F$11</f>
        <v>125.352995655621</v>
      </c>
      <c r="T161" s="22" t="n">
        <f aca="false">G161*'Weights &amp; Assumptions'!$F$10+I161*'Weights &amp; Assumptions'!$F$12+J161*'Weights &amp; Assumptions'!$F$13+K161*'Weights &amp; Assumptions'!$F$14+L161*'Weights &amp; Assumptions'!$F$15+M161*'Weights &amp; Assumptions'!$F$16+N161*'Weights &amp; Assumptions'!$F$17+O161*'Weights &amp; Assumptions'!$F$18+P161*'Weights &amp; Assumptions'!$F$19+Q161*'Weights &amp; Assumptions'!$F$20</f>
        <v>159.802559879609</v>
      </c>
      <c r="U161" s="22" t="n">
        <f aca="false">R161*'Weights &amp; Assumptions'!$B$25/'Weights &amp; Assumptions'!$B$28+S161*'Weights &amp; Assumptions'!$B$26/'Weights &amp; Assumptions'!$B$28+T161*'Weights &amp; Assumptions'!$B$27/'Weights &amp; Assumptions'!$B$28</f>
        <v>146.45507665774</v>
      </c>
      <c r="V161" s="23" t="n">
        <f aca="false">IFERROR(Tabelle1!E162*'Weights &amp; Assumptions'!$F$6+Tabelle1!F162*'Weights &amp; Assumptions'!$F$7,"")</f>
        <v>87.0312678820276</v>
      </c>
      <c r="W161" s="23" t="n">
        <f aca="false">IFERROR(Tabelle1!G162*'Weights &amp; Assumptions'!$F$8+Tabelle1!H162*'Weights &amp; Assumptions'!$F$9+Tabelle1!J162*'Weights &amp; Assumptions'!$F$11,"")</f>
        <v>131.191701174009</v>
      </c>
      <c r="X161" s="23" t="n">
        <f aca="false">IFERROR(Tabelle1!I162*'Weights &amp; Assumptions'!$F$10+Tabelle1!K162*'Weights &amp; Assumptions'!$F$12+Tabelle1!L162*'Weights &amp; Assumptions'!$F$13+Tabelle1!M162*'Weights &amp; Assumptions'!$F$14+Tabelle1!N162*'Weights &amp; Assumptions'!$F$15+Tabelle1!O162*'Weights &amp; Assumptions'!$F$16+Tabelle1!P162*'Weights &amp; Assumptions'!$F$17+Tabelle1!Q162*'Weights &amp; Assumptions'!$F$18+Tabelle1!R162*'Weights &amp; Assumptions'!$F$19+Tabelle1!S162*'Weights &amp; Assumptions'!$F$20,"")</f>
        <v>161.372218931162</v>
      </c>
      <c r="Y161" s="22" t="n">
        <f aca="false">IFERROR(V161*'Weights &amp; Assumptions'!$B$25/'Weights &amp; Assumptions'!$B$28+W161*'Weights &amp; Assumptions'!$B$26/'Weights &amp; Assumptions'!$B$28+X161*'Weights &amp; Assumptions'!$B$27/'Weights &amp; Assumptions'!$B$28,"")</f>
        <v>147.109424401831</v>
      </c>
    </row>
    <row r="162" customFormat="false" ht="15" hidden="false" customHeight="false" outlineLevel="0" collapsed="false">
      <c r="A162" s="20" t="n">
        <v>42735</v>
      </c>
      <c r="B162" s="21" t="n">
        <v>146.95888</v>
      </c>
      <c r="C162" s="22" t="n">
        <v>109.658857978322</v>
      </c>
      <c r="D162" s="22" t="n">
        <v>169.680922183423</v>
      </c>
      <c r="E162" s="22" t="n">
        <v>87.3009681608051</v>
      </c>
      <c r="F162" s="22" t="n">
        <v>130.132867501489</v>
      </c>
      <c r="G162" s="22" t="n">
        <v>144.739593133196</v>
      </c>
      <c r="H162" s="22" t="n">
        <v>137.888945585613</v>
      </c>
      <c r="I162" s="22" t="n">
        <v>155.913381137194</v>
      </c>
      <c r="J162" s="22" t="n">
        <v>163.354458049456</v>
      </c>
      <c r="K162" s="22" t="n">
        <v>197.991116556043</v>
      </c>
      <c r="L162" s="22" t="n">
        <v>179.716938502324</v>
      </c>
      <c r="M162" s="22" t="n">
        <v>137.685482402639</v>
      </c>
      <c r="N162" s="22" t="n">
        <v>153.122181031139</v>
      </c>
      <c r="O162" s="22" t="n">
        <v>157.2917062603</v>
      </c>
      <c r="P162" s="22" t="n">
        <v>175.747565795579</v>
      </c>
      <c r="Q162" s="22" t="n">
        <v>147.412384098607</v>
      </c>
      <c r="R162" s="22" t="n">
        <f aca="false">C162*'Weights &amp; Assumptions'!$F$6+D162*'Weights &amp; Assumptions'!$F$7</f>
        <v>110.394280464381</v>
      </c>
      <c r="S162" s="22" t="n">
        <f aca="false">E162*'Weights &amp; Assumptions'!$F$8+F162*'Weights &amp; Assumptions'!$F$9+H162*'Weights &amp; Assumptions'!$F$11</f>
        <v>126.634611097483</v>
      </c>
      <c r="T162" s="22" t="n">
        <f aca="false">G162*'Weights &amp; Assumptions'!$F$10+I162*'Weights &amp; Assumptions'!$F$12+J162*'Weights &amp; Assumptions'!$F$13+K162*'Weights &amp; Assumptions'!$F$14+L162*'Weights &amp; Assumptions'!$F$15+M162*'Weights &amp; Assumptions'!$F$16+N162*'Weights &amp; Assumptions'!$F$17+O162*'Weights &amp; Assumptions'!$F$18+P162*'Weights &amp; Assumptions'!$F$19+Q162*'Weights &amp; Assumptions'!$F$20</f>
        <v>160.984193496154</v>
      </c>
      <c r="U162" s="22" t="n">
        <f aca="false">R162*'Weights &amp; Assumptions'!$B$25/'Weights &amp; Assumptions'!$B$28+S162*'Weights &amp; Assumptions'!$B$26/'Weights &amp; Assumptions'!$B$28+T162*'Weights &amp; Assumptions'!$B$27/'Weights &amp; Assumptions'!$B$28</f>
        <v>147.605503707965</v>
      </c>
      <c r="V162" s="23" t="n">
        <f aca="false">IFERROR(Tabelle1!E163*'Weights &amp; Assumptions'!$F$6+Tabelle1!F163*'Weights &amp; Assumptions'!$F$7,"")</f>
        <v>93.8606256887284</v>
      </c>
      <c r="W162" s="23" t="n">
        <f aca="false">IFERROR(Tabelle1!G163*'Weights &amp; Assumptions'!$F$8+Tabelle1!H163*'Weights &amp; Assumptions'!$F$9+Tabelle1!J163*'Weights &amp; Assumptions'!$F$11,"")</f>
        <v>125.239727643146</v>
      </c>
      <c r="X162" s="23" t="n">
        <f aca="false">IFERROR(Tabelle1!I163*'Weights &amp; Assumptions'!$F$10+Tabelle1!K163*'Weights &amp; Assumptions'!$F$12+Tabelle1!L163*'Weights &amp; Assumptions'!$F$13+Tabelle1!M163*'Weights &amp; Assumptions'!$F$14+Tabelle1!N163*'Weights &amp; Assumptions'!$F$15+Tabelle1!O163*'Weights &amp; Assumptions'!$F$16+Tabelle1!P163*'Weights &amp; Assumptions'!$F$17+Tabelle1!Q163*'Weights &amp; Assumptions'!$F$18+Tabelle1!R163*'Weights &amp; Assumptions'!$F$19+Tabelle1!S163*'Weights &amp; Assumptions'!$F$20,"")</f>
        <v>159.053891165164</v>
      </c>
      <c r="Y162" s="22" t="n">
        <f aca="false">IFERROR(V162*'Weights &amp; Assumptions'!$B$25/'Weights &amp; Assumptions'!$B$28+W162*'Weights &amp; Assumptions'!$B$26/'Weights &amp; Assumptions'!$B$28+X162*'Weights &amp; Assumptions'!$B$27/'Weights &amp; Assumptions'!$B$28,"")</f>
        <v>144.59234518607</v>
      </c>
    </row>
    <row r="163" customFormat="false" ht="15" hidden="false" customHeight="false" outlineLevel="0" collapsed="false">
      <c r="A163" s="20" t="n">
        <v>42766</v>
      </c>
      <c r="B163" s="21" t="n">
        <v>147.08627</v>
      </c>
      <c r="C163" s="22" t="n">
        <v>109.90824530039</v>
      </c>
      <c r="D163" s="22" t="n">
        <v>140.849342871733</v>
      </c>
      <c r="E163" s="22" t="n">
        <v>87.3429495285363</v>
      </c>
      <c r="F163" s="22" t="n">
        <v>128.795051142552</v>
      </c>
      <c r="G163" s="22" t="n">
        <v>145.287911273413</v>
      </c>
      <c r="H163" s="22" t="n">
        <v>139.759394833689</v>
      </c>
      <c r="I163" s="22" t="n">
        <v>152.223701780514</v>
      </c>
      <c r="J163" s="22" t="n">
        <v>161.611044941445</v>
      </c>
      <c r="K163" s="22" t="n">
        <v>197.176102284743</v>
      </c>
      <c r="L163" s="22" t="n">
        <v>180.553134999353</v>
      </c>
      <c r="M163" s="22" t="n">
        <v>137.755346204654</v>
      </c>
      <c r="N163" s="22" t="n">
        <v>153.248157134202</v>
      </c>
      <c r="O163" s="22" t="n">
        <v>156.643083908038</v>
      </c>
      <c r="P163" s="22" t="n">
        <v>176.53337274805</v>
      </c>
      <c r="Q163" s="22" t="n">
        <v>149.551275533131</v>
      </c>
      <c r="R163" s="22" t="n">
        <f aca="false">C163*'Weights &amp; Assumptions'!$F$6+D163*'Weights &amp; Assumptions'!$F$7</f>
        <v>110.287352203804</v>
      </c>
      <c r="S163" s="22" t="n">
        <f aca="false">E163*'Weights &amp; Assumptions'!$F$8+F163*'Weights &amp; Assumptions'!$F$9+H163*'Weights &amp; Assumptions'!$F$11</f>
        <v>126.129896926639</v>
      </c>
      <c r="T163" s="22" t="n">
        <f aca="false">G163*'Weights &amp; Assumptions'!$F$10+I163*'Weights &amp; Assumptions'!$F$12+J163*'Weights &amp; Assumptions'!$F$13+K163*'Weights &amp; Assumptions'!$F$14+L163*'Weights &amp; Assumptions'!$F$15+M163*'Weights &amp; Assumptions'!$F$16+N163*'Weights &amp; Assumptions'!$F$17+O163*'Weights &amp; Assumptions'!$F$18+P163*'Weights &amp; Assumptions'!$F$19+Q163*'Weights &amp; Assumptions'!$F$20</f>
        <v>160.265025976958</v>
      </c>
      <c r="U163" s="22" t="n">
        <f aca="false">R163*'Weights &amp; Assumptions'!$B$25/'Weights &amp; Assumptions'!$B$28+S163*'Weights &amp; Assumptions'!$B$26/'Weights &amp; Assumptions'!$B$28+T163*'Weights &amp; Assumptions'!$B$27/'Weights &amp; Assumptions'!$B$28</f>
        <v>146.994730463505</v>
      </c>
      <c r="V163" s="23" t="n">
        <f aca="false">IFERROR(Tabelle1!E164*'Weights &amp; Assumptions'!$F$6+Tabelle1!F164*'Weights &amp; Assumptions'!$F$7,"")</f>
        <v>67.419546142835</v>
      </c>
      <c r="W163" s="23" t="n">
        <f aca="false">IFERROR(Tabelle1!G164*'Weights &amp; Assumptions'!$F$8+Tabelle1!H164*'Weights &amp; Assumptions'!$F$9+Tabelle1!J164*'Weights &amp; Assumptions'!$F$11,"")</f>
        <v>115.657248913236</v>
      </c>
      <c r="X163" s="23" t="n">
        <f aca="false">IFERROR(Tabelle1!I164*'Weights &amp; Assumptions'!$F$10+Tabelle1!K164*'Weights &amp; Assumptions'!$F$12+Tabelle1!L164*'Weights &amp; Assumptions'!$F$13+Tabelle1!M164*'Weights &amp; Assumptions'!$F$14+Tabelle1!N164*'Weights &amp; Assumptions'!$F$15+Tabelle1!O164*'Weights &amp; Assumptions'!$F$16+Tabelle1!P164*'Weights &amp; Assumptions'!$F$17+Tabelle1!Q164*'Weights &amp; Assumptions'!$F$18+Tabelle1!R164*'Weights &amp; Assumptions'!$F$19+Tabelle1!S164*'Weights &amp; Assumptions'!$F$20,"")</f>
        <v>155.52939886715</v>
      </c>
      <c r="Y163" s="22" t="n">
        <f aca="false">IFERROR(V163*'Weights &amp; Assumptions'!$B$25/'Weights &amp; Assumptions'!$B$28+W163*'Weights &amp; Assumptions'!$B$26/'Weights &amp; Assumptions'!$B$28+X163*'Weights &amp; Assumptions'!$B$27/'Weights &amp; Assumptions'!$B$28,"")</f>
        <v>137.534207732665</v>
      </c>
    </row>
    <row r="164" customFormat="false" ht="15" hidden="false" customHeight="false" outlineLevel="0" collapsed="false">
      <c r="A164" s="20" t="n">
        <v>42794</v>
      </c>
      <c r="B164" s="21" t="n">
        <v>146.81395</v>
      </c>
      <c r="C164" s="22" t="n">
        <v>111.595974296091</v>
      </c>
      <c r="D164" s="22" t="n">
        <v>184.277321592978</v>
      </c>
      <c r="E164" s="22" t="n">
        <v>86.4117942542569</v>
      </c>
      <c r="F164" s="22" t="n">
        <v>125.256285657828</v>
      </c>
      <c r="G164" s="22" t="n">
        <v>142.305331618631</v>
      </c>
      <c r="H164" s="22" t="n">
        <v>138.58658350323</v>
      </c>
      <c r="I164" s="22" t="n">
        <v>150.162670882945</v>
      </c>
      <c r="J164" s="22" t="n">
        <v>162.461686948938</v>
      </c>
      <c r="K164" s="22" t="n">
        <v>195.827425903759</v>
      </c>
      <c r="L164" s="22" t="n">
        <v>178.578504900749</v>
      </c>
      <c r="M164" s="22" t="n">
        <v>137.407552800019</v>
      </c>
      <c r="N164" s="22" t="n">
        <v>153.448114500795</v>
      </c>
      <c r="O164" s="22" t="n">
        <v>156.725469346772</v>
      </c>
      <c r="P164" s="22" t="n">
        <v>176.770392895778</v>
      </c>
      <c r="Q164" s="22" t="n">
        <v>151.102929422082</v>
      </c>
      <c r="R164" s="22" t="n">
        <f aca="false">C164*'Weights &amp; Assumptions'!$F$6+D164*'Weights &amp; Assumptions'!$F$7</f>
        <v>112.486505100505</v>
      </c>
      <c r="S164" s="22" t="n">
        <f aca="false">E164*'Weights &amp; Assumptions'!$F$8+F164*'Weights &amp; Assumptions'!$F$9+H164*'Weights &amp; Assumptions'!$F$11</f>
        <v>123.395358257946</v>
      </c>
      <c r="T164" s="22" t="n">
        <f aca="false">G164*'Weights &amp; Assumptions'!$F$10+I164*'Weights &amp; Assumptions'!$F$12+J164*'Weights &amp; Assumptions'!$F$13+K164*'Weights &amp; Assumptions'!$F$14+L164*'Weights &amp; Assumptions'!$F$15+M164*'Weights &amp; Assumptions'!$F$16+N164*'Weights &amp; Assumptions'!$F$17+O164*'Weights &amp; Assumptions'!$F$18+P164*'Weights &amp; Assumptions'!$F$19+Q164*'Weights &amp; Assumptions'!$F$20</f>
        <v>159.510212492737</v>
      </c>
      <c r="U164" s="22" t="n">
        <f aca="false">R164*'Weights &amp; Assumptions'!$B$25/'Weights &amp; Assumptions'!$B$28+S164*'Weights &amp; Assumptions'!$B$26/'Weights &amp; Assumptions'!$B$28+T164*'Weights &amp; Assumptions'!$B$27/'Weights &amp; Assumptions'!$B$28</f>
        <v>145.961313708212</v>
      </c>
      <c r="V164" s="23" t="n">
        <f aca="false">IFERROR(Tabelle1!E165*'Weights &amp; Assumptions'!$F$6+Tabelle1!F165*'Weights &amp; Assumptions'!$F$7,"")</f>
        <v>76.2415359659599</v>
      </c>
      <c r="W164" s="23" t="n">
        <f aca="false">IFERROR(Tabelle1!G165*'Weights &amp; Assumptions'!$F$8+Tabelle1!H165*'Weights &amp; Assumptions'!$F$9+Tabelle1!J165*'Weights &amp; Assumptions'!$F$11,"")</f>
        <v>110.084295577095</v>
      </c>
      <c r="X164" s="23" t="n">
        <f aca="false">IFERROR(Tabelle1!I165*'Weights &amp; Assumptions'!$F$10+Tabelle1!K165*'Weights &amp; Assumptions'!$F$12+Tabelle1!L165*'Weights &amp; Assumptions'!$F$13+Tabelle1!M165*'Weights &amp; Assumptions'!$F$14+Tabelle1!N165*'Weights &amp; Assumptions'!$F$15+Tabelle1!O165*'Weights &amp; Assumptions'!$F$16+Tabelle1!P165*'Weights &amp; Assumptions'!$F$17+Tabelle1!Q165*'Weights &amp; Assumptions'!$F$18+Tabelle1!R165*'Weights &amp; Assumptions'!$F$19+Tabelle1!S165*'Weights &amp; Assumptions'!$F$20,"")</f>
        <v>153.055832569061</v>
      </c>
      <c r="Y164" s="22" t="n">
        <f aca="false">IFERROR(V164*'Weights &amp; Assumptions'!$B$25/'Weights &amp; Assumptions'!$B$28+W164*'Weights &amp; Assumptions'!$B$26/'Weights &amp; Assumptions'!$B$28+X164*'Weights &amp; Assumptions'!$B$27/'Weights &amp; Assumptions'!$B$28,"")</f>
        <v>135.184166839266</v>
      </c>
    </row>
    <row r="165" customFormat="false" ht="15" hidden="false" customHeight="false" outlineLevel="0" collapsed="false">
      <c r="A165" s="20" t="n">
        <v>42825</v>
      </c>
      <c r="B165" s="21" t="n">
        <v>147.64481</v>
      </c>
      <c r="C165" s="22" t="n">
        <v>108.46483009938</v>
      </c>
      <c r="D165" s="22" t="n">
        <v>161.614968813226</v>
      </c>
      <c r="E165" s="22" t="n">
        <v>87.02650158733</v>
      </c>
      <c r="F165" s="22" t="n">
        <v>130.42262089605</v>
      </c>
      <c r="G165" s="22" t="n">
        <v>145.260381732845</v>
      </c>
      <c r="H165" s="22" t="n">
        <v>145.341107688842</v>
      </c>
      <c r="I165" s="22" t="n">
        <v>155.25911887852</v>
      </c>
      <c r="J165" s="22" t="n">
        <v>162.587439496883</v>
      </c>
      <c r="K165" s="22" t="n">
        <v>197.740311242539</v>
      </c>
      <c r="L165" s="22" t="n">
        <v>184.458991247773</v>
      </c>
      <c r="M165" s="22" t="n">
        <v>139.051692383355</v>
      </c>
      <c r="N165" s="22" t="n">
        <v>153.885191554669</v>
      </c>
      <c r="O165" s="22" t="n">
        <v>157.104689921855</v>
      </c>
      <c r="P165" s="22" t="n">
        <v>176.910032151197</v>
      </c>
      <c r="Q165" s="22" t="n">
        <v>154.40693414705</v>
      </c>
      <c r="R165" s="22" t="n">
        <f aca="false">C165*'Weights &amp; Assumptions'!$F$6+D165*'Weights &amp; Assumptions'!$F$7</f>
        <v>109.116054072847</v>
      </c>
      <c r="S165" s="22" t="n">
        <f aca="false">E165*'Weights &amp; Assumptions'!$F$8+F165*'Weights &amp; Assumptions'!$F$9+H165*'Weights &amp; Assumptions'!$F$11</f>
        <v>128.349096820239</v>
      </c>
      <c r="T165" s="22" t="n">
        <f aca="false">G165*'Weights &amp; Assumptions'!$F$10+I165*'Weights &amp; Assumptions'!$F$12+J165*'Weights &amp; Assumptions'!$F$13+K165*'Weights &amp; Assumptions'!$F$14+L165*'Weights &amp; Assumptions'!$F$15+M165*'Weights &amp; Assumptions'!$F$16+N165*'Weights &amp; Assumptions'!$F$17+O165*'Weights &amp; Assumptions'!$F$18+P165*'Weights &amp; Assumptions'!$F$19+Q165*'Weights &amp; Assumptions'!$F$20</f>
        <v>161.959109009929</v>
      </c>
      <c r="U165" s="22" t="n">
        <f aca="false">R165*'Weights &amp; Assumptions'!$B$25/'Weights &amp; Assumptions'!$B$28+S165*'Weights &amp; Assumptions'!$B$26/'Weights &amp; Assumptions'!$B$28+T165*'Weights &amp; Assumptions'!$B$27/'Weights &amp; Assumptions'!$B$28</f>
        <v>148.588043378326</v>
      </c>
      <c r="V165" s="23" t="n">
        <f aca="false">IFERROR(Tabelle1!E166*'Weights &amp; Assumptions'!$F$6+Tabelle1!F166*'Weights &amp; Assumptions'!$F$7,"")</f>
        <v>142.306630042431</v>
      </c>
      <c r="W165" s="23" t="n">
        <f aca="false">IFERROR(Tabelle1!G166*'Weights &amp; Assumptions'!$F$8+Tabelle1!H166*'Weights &amp; Assumptions'!$F$9+Tabelle1!J166*'Weights &amp; Assumptions'!$F$11,"")</f>
        <v>129.949964800615</v>
      </c>
      <c r="X165" s="23" t="n">
        <f aca="false">IFERROR(Tabelle1!I166*'Weights &amp; Assumptions'!$F$10+Tabelle1!K166*'Weights &amp; Assumptions'!$F$12+Tabelle1!L166*'Weights &amp; Assumptions'!$F$13+Tabelle1!M166*'Weights &amp; Assumptions'!$F$14+Tabelle1!N166*'Weights &amp; Assumptions'!$F$15+Tabelle1!O166*'Weights &amp; Assumptions'!$F$16+Tabelle1!P166*'Weights &amp; Assumptions'!$F$17+Tabelle1!Q166*'Weights &amp; Assumptions'!$F$18+Tabelle1!R166*'Weights &amp; Assumptions'!$F$19+Tabelle1!S166*'Weights &amp; Assumptions'!$F$20,"")</f>
        <v>165.244178726236</v>
      </c>
      <c r="Y165" s="22" t="n">
        <f aca="false">IFERROR(V165*'Weights &amp; Assumptions'!$B$25/'Weights &amp; Assumptions'!$B$28+W165*'Weights &amp; Assumptions'!$B$26/'Weights &amp; Assumptions'!$B$28+X165*'Weights &amp; Assumptions'!$B$27/'Weights &amp; Assumptions'!$B$28,"")</f>
        <v>153.934351295097</v>
      </c>
    </row>
    <row r="166" customFormat="false" ht="15" hidden="false" customHeight="false" outlineLevel="0" collapsed="false">
      <c r="A166" s="20" t="n">
        <v>42855</v>
      </c>
      <c r="B166" s="21" t="n">
        <v>147.67329</v>
      </c>
      <c r="C166" s="22" t="n">
        <v>119.39800074207</v>
      </c>
      <c r="D166" s="22" t="n">
        <v>148.321007465737</v>
      </c>
      <c r="E166" s="22" t="n">
        <v>83.7594621633665</v>
      </c>
      <c r="F166" s="22" t="n">
        <v>125.833084566341</v>
      </c>
      <c r="G166" s="22" t="n">
        <v>142.1934449506</v>
      </c>
      <c r="H166" s="22" t="n">
        <v>141.288504163665</v>
      </c>
      <c r="I166" s="22" t="n">
        <v>149.557843008922</v>
      </c>
      <c r="J166" s="22" t="n">
        <v>165.808873586782</v>
      </c>
      <c r="K166" s="22" t="n">
        <v>196.508512221254</v>
      </c>
      <c r="L166" s="22" t="n">
        <v>177.056806395449</v>
      </c>
      <c r="M166" s="22" t="n">
        <v>137.058426813931</v>
      </c>
      <c r="N166" s="22" t="n">
        <v>154.076874134575</v>
      </c>
      <c r="O166" s="22" t="n">
        <v>157.361298532029</v>
      </c>
      <c r="P166" s="22" t="n">
        <v>177.04704608248</v>
      </c>
      <c r="Q166" s="22" t="n">
        <v>155.830290163875</v>
      </c>
      <c r="R166" s="22" t="n">
        <f aca="false">C166*'Weights &amp; Assumptions'!$F$6+D166*'Weights &amp; Assumptions'!$F$7</f>
        <v>119.752380915273</v>
      </c>
      <c r="S166" s="22" t="n">
        <f aca="false">E166*'Weights &amp; Assumptions'!$F$8+F166*'Weights &amp; Assumptions'!$F$9+H166*'Weights &amp; Assumptions'!$F$11</f>
        <v>124.029319376089</v>
      </c>
      <c r="T166" s="22" t="n">
        <f aca="false">G166*'Weights &amp; Assumptions'!$F$10+I166*'Weights &amp; Assumptions'!$F$12+J166*'Weights &amp; Assumptions'!$F$13+K166*'Weights &amp; Assumptions'!$F$14+L166*'Weights &amp; Assumptions'!$F$15+M166*'Weights &amp; Assumptions'!$F$16+N166*'Weights &amp; Assumptions'!$F$17+O166*'Weights &amp; Assumptions'!$F$18+P166*'Weights &amp; Assumptions'!$F$19+Q166*'Weights &amp; Assumptions'!$F$20</f>
        <v>159.837682519369</v>
      </c>
      <c r="U166" s="22" t="n">
        <f aca="false">R166*'Weights &amp; Assumptions'!$B$25/'Weights &amp; Assumptions'!$B$28+S166*'Weights &amp; Assumptions'!$B$26/'Weights &amp; Assumptions'!$B$28+T166*'Weights &amp; Assumptions'!$B$27/'Weights &amp; Assumptions'!$B$28</f>
        <v>146.952423089668</v>
      </c>
      <c r="V166" s="23" t="n">
        <f aca="false">IFERROR(Tabelle1!E167*'Weights &amp; Assumptions'!$F$6+Tabelle1!F167*'Weights &amp; Assumptions'!$F$7,"")</f>
        <v>230.4627243071</v>
      </c>
      <c r="W166" s="23" t="n">
        <f aca="false">IFERROR(Tabelle1!G167*'Weights &amp; Assumptions'!$F$8+Tabelle1!H167*'Weights &amp; Assumptions'!$F$9+Tabelle1!J167*'Weights &amp; Assumptions'!$F$11,"")</f>
        <v>120.385375348115</v>
      </c>
      <c r="X166" s="23" t="n">
        <f aca="false">IFERROR(Tabelle1!I167*'Weights &amp; Assumptions'!$F$10+Tabelle1!K167*'Weights &amp; Assumptions'!$F$12+Tabelle1!L167*'Weights &amp; Assumptions'!$F$13+Tabelle1!M167*'Weights &amp; Assumptions'!$F$14+Tabelle1!N167*'Weights &amp; Assumptions'!$F$15+Tabelle1!O167*'Weights &amp; Assumptions'!$F$16+Tabelle1!P167*'Weights &amp; Assumptions'!$F$17+Tabelle1!Q167*'Weights &amp; Assumptions'!$F$18+Tabelle1!R167*'Weights &amp; Assumptions'!$F$19+Tabelle1!S167*'Weights &amp; Assumptions'!$F$20,"")</f>
        <v>158.600250548846</v>
      </c>
      <c r="Y166" s="22" t="n">
        <f aca="false">IFERROR(V166*'Weights &amp; Assumptions'!$B$25/'Weights &amp; Assumptions'!$B$28+W166*'Weights &amp; Assumptions'!$B$26/'Weights &amp; Assumptions'!$B$28+X166*'Weights &amp; Assumptions'!$B$27/'Weights &amp; Assumptions'!$B$28,"")</f>
        <v>154.467569041372</v>
      </c>
    </row>
    <row r="167" customFormat="false" ht="15" hidden="false" customHeight="false" outlineLevel="0" collapsed="false">
      <c r="A167" s="20" t="n">
        <v>42886</v>
      </c>
      <c r="B167" s="21" t="n">
        <v>148.67448</v>
      </c>
      <c r="C167" s="22" t="n">
        <v>118.426723641301</v>
      </c>
      <c r="D167" s="22" t="n">
        <v>190.580088318757</v>
      </c>
      <c r="E167" s="22" t="n">
        <v>85.8101682726526</v>
      </c>
      <c r="F167" s="22" t="n">
        <v>130.158380426026</v>
      </c>
      <c r="G167" s="22" t="n">
        <v>142.53275596585</v>
      </c>
      <c r="H167" s="22" t="n">
        <v>144.32446353191</v>
      </c>
      <c r="I167" s="22" t="n">
        <v>157.777644355696</v>
      </c>
      <c r="J167" s="22" t="n">
        <v>165.592227921662</v>
      </c>
      <c r="K167" s="22" t="n">
        <v>199.78272906362</v>
      </c>
      <c r="L167" s="22" t="n">
        <v>180.082162733428</v>
      </c>
      <c r="M167" s="22" t="n">
        <v>138.583725268125</v>
      </c>
      <c r="N167" s="22" t="n">
        <v>154.185981316192</v>
      </c>
      <c r="O167" s="22" t="n">
        <v>157.768069674264</v>
      </c>
      <c r="P167" s="22" t="n">
        <v>177.11527939196</v>
      </c>
      <c r="Q167" s="22" t="n">
        <v>149.236398547021</v>
      </c>
      <c r="R167" s="22" t="n">
        <f aca="false">C167*'Weights &amp; Assumptions'!$F$6+D167*'Weights &amp; Assumptions'!$F$7</f>
        <v>119.310785319808</v>
      </c>
      <c r="S167" s="22" t="n">
        <f aca="false">E167*'Weights &amp; Assumptions'!$F$8+F167*'Weights &amp; Assumptions'!$F$9+H167*'Weights &amp; Assumptions'!$F$11</f>
        <v>127.814435187069</v>
      </c>
      <c r="T167" s="22" t="n">
        <f aca="false">G167*'Weights &amp; Assumptions'!$F$10+I167*'Weights &amp; Assumptions'!$F$12+J167*'Weights &amp; Assumptions'!$F$13+K167*'Weights &amp; Assumptions'!$F$14+L167*'Weights &amp; Assumptions'!$F$15+M167*'Weights &amp; Assumptions'!$F$16+N167*'Weights &amp; Assumptions'!$F$17+O167*'Weights &amp; Assumptions'!$F$18+P167*'Weights &amp; Assumptions'!$F$19+Q167*'Weights &amp; Assumptions'!$F$20</f>
        <v>162.212357534406</v>
      </c>
      <c r="U167" s="22" t="n">
        <f aca="false">R167*'Weights &amp; Assumptions'!$B$25/'Weights &amp; Assumptions'!$B$28+S167*'Weights &amp; Assumptions'!$B$26/'Weights &amp; Assumptions'!$B$28+T167*'Weights &amp; Assumptions'!$B$27/'Weights &amp; Assumptions'!$B$28</f>
        <v>149.465871502242</v>
      </c>
      <c r="V167" s="23" t="n">
        <f aca="false">IFERROR(Tabelle1!E168*'Weights &amp; Assumptions'!$F$6+Tabelle1!F168*'Weights &amp; Assumptions'!$F$7,"")</f>
        <v>328.012107954971</v>
      </c>
      <c r="W167" s="23" t="n">
        <f aca="false">IFERROR(Tabelle1!G168*'Weights &amp; Assumptions'!$F$8+Tabelle1!H168*'Weights &amp; Assumptions'!$F$9+Tabelle1!J168*'Weights &amp; Assumptions'!$F$11,"")</f>
        <v>131.052081358765</v>
      </c>
      <c r="X167" s="23" t="n">
        <f aca="false">IFERROR(Tabelle1!I168*'Weights &amp; Assumptions'!$F$10+Tabelle1!K168*'Weights &amp; Assumptions'!$F$12+Tabelle1!L168*'Weights &amp; Assumptions'!$F$13+Tabelle1!M168*'Weights &amp; Assumptions'!$F$14+Tabelle1!N168*'Weights &amp; Assumptions'!$F$15+Tabelle1!O168*'Weights &amp; Assumptions'!$F$16+Tabelle1!P168*'Weights &amp; Assumptions'!$F$17+Tabelle1!Q168*'Weights &amp; Assumptions'!$F$18+Tabelle1!R168*'Weights &amp; Assumptions'!$F$19+Tabelle1!S168*'Weights &amp; Assumptions'!$F$20,"")</f>
        <v>165.13516228002</v>
      </c>
      <c r="Y167" s="22" t="n">
        <f aca="false">IFERROR(V167*'Weights &amp; Assumptions'!$B$25/'Weights &amp; Assumptions'!$B$28+W167*'Weights &amp; Assumptions'!$B$26/'Weights &amp; Assumptions'!$B$28+X167*'Weights &amp; Assumptions'!$B$27/'Weights &amp; Assumptions'!$B$28,"")</f>
        <v>169.737386982226</v>
      </c>
    </row>
    <row r="168" customFormat="false" ht="15" hidden="false" customHeight="false" outlineLevel="0" collapsed="false">
      <c r="A168" s="20" t="n">
        <v>42916</v>
      </c>
      <c r="B168" s="21" t="n">
        <v>150.27199</v>
      </c>
      <c r="C168" s="22" t="n">
        <v>121.336344528608</v>
      </c>
      <c r="D168" s="22" t="n">
        <v>178.18836693356</v>
      </c>
      <c r="E168" s="22" t="n">
        <v>84.7427787628914</v>
      </c>
      <c r="F168" s="22" t="n">
        <v>136.617279492626</v>
      </c>
      <c r="G168" s="22" t="n">
        <v>143.979746619466</v>
      </c>
      <c r="H168" s="22" t="n">
        <v>147.900570039979</v>
      </c>
      <c r="I168" s="22" t="n">
        <v>161.361229523534</v>
      </c>
      <c r="J168" s="22" t="n">
        <v>167.576694751417</v>
      </c>
      <c r="K168" s="22" t="n">
        <v>199.695091851875</v>
      </c>
      <c r="L168" s="22" t="n">
        <v>183.093506113142</v>
      </c>
      <c r="M168" s="22" t="n">
        <v>140.137117120771</v>
      </c>
      <c r="N168" s="22" t="n">
        <v>154.176073799971</v>
      </c>
      <c r="O168" s="22" t="n">
        <v>157.951141370938</v>
      </c>
      <c r="P168" s="22" t="n">
        <v>177.529535622345</v>
      </c>
      <c r="Q168" s="22" t="n">
        <v>144.775116334199</v>
      </c>
      <c r="R168" s="22" t="n">
        <f aca="false">C168*'Weights &amp; Assumptions'!$F$6+D168*'Weights &amp; Assumptions'!$F$7</f>
        <v>122.032925964256</v>
      </c>
      <c r="S168" s="22" t="n">
        <f aca="false">E168*'Weights &amp; Assumptions'!$F$8+F168*'Weights &amp; Assumptions'!$F$9+H168*'Weights &amp; Assumptions'!$F$11</f>
        <v>132.774158862517</v>
      </c>
      <c r="T168" s="22" t="n">
        <f aca="false">G168*'Weights &amp; Assumptions'!$F$10+I168*'Weights &amp; Assumptions'!$F$12+J168*'Weights &amp; Assumptions'!$F$13+K168*'Weights &amp; Assumptions'!$F$14+L168*'Weights &amp; Assumptions'!$F$15+M168*'Weights &amp; Assumptions'!$F$16+N168*'Weights &amp; Assumptions'!$F$17+O168*'Weights &amp; Assumptions'!$F$18+P168*'Weights &amp; Assumptions'!$F$19+Q168*'Weights &amp; Assumptions'!$F$20</f>
        <v>163.407412082199</v>
      </c>
      <c r="U168" s="22" t="n">
        <f aca="false">R168*'Weights &amp; Assumptions'!$B$25/'Weights &amp; Assumptions'!$B$28+S168*'Weights &amp; Assumptions'!$B$26/'Weights &amp; Assumptions'!$B$28+T168*'Weights &amp; Assumptions'!$B$27/'Weights &amp; Assumptions'!$B$28</f>
        <v>151.790141127288</v>
      </c>
      <c r="V168" s="23" t="n">
        <f aca="false">IFERROR(Tabelle1!E169*'Weights &amp; Assumptions'!$F$6+Tabelle1!F169*'Weights &amp; Assumptions'!$F$7,"")</f>
        <v>228.206871579838</v>
      </c>
      <c r="W168" s="23" t="n">
        <f aca="false">IFERROR(Tabelle1!G169*'Weights &amp; Assumptions'!$F$8+Tabelle1!H169*'Weights &amp; Assumptions'!$F$9+Tabelle1!J169*'Weights &amp; Assumptions'!$F$11,"")</f>
        <v>135.450317540257</v>
      </c>
      <c r="X168" s="23" t="n">
        <f aca="false">IFERROR(Tabelle1!I169*'Weights &amp; Assumptions'!$F$10+Tabelle1!K169*'Weights &amp; Assumptions'!$F$12+Tabelle1!L169*'Weights &amp; Assumptions'!$F$13+Tabelle1!M169*'Weights &amp; Assumptions'!$F$14+Tabelle1!N169*'Weights &amp; Assumptions'!$F$15+Tabelle1!O169*'Weights &amp; Assumptions'!$F$16+Tabelle1!P169*'Weights &amp; Assumptions'!$F$17+Tabelle1!Q169*'Weights &amp; Assumptions'!$F$18+Tabelle1!R169*'Weights &amp; Assumptions'!$F$19+Tabelle1!S169*'Weights &amp; Assumptions'!$F$20,"")</f>
        <v>166.986895638505</v>
      </c>
      <c r="Y168" s="22" t="n">
        <f aca="false">IFERROR(V168*'Weights &amp; Assumptions'!$B$25/'Weights &amp; Assumptions'!$B$28+W168*'Weights &amp; Assumptions'!$B$26/'Weights &amp; Assumptions'!$B$28+X168*'Weights &amp; Assumptions'!$B$27/'Weights &amp; Assumptions'!$B$28,"")</f>
        <v>163.737175564669</v>
      </c>
    </row>
    <row r="169" customFormat="false" ht="15" hidden="false" customHeight="false" outlineLevel="0" collapsed="false">
      <c r="A169" s="20" t="n">
        <v>42947</v>
      </c>
      <c r="B169" s="21" t="n">
        <v>150.46352</v>
      </c>
      <c r="C169" s="22" t="n">
        <v>109.793747818129</v>
      </c>
      <c r="D169" s="22" t="n">
        <v>160.415446732516</v>
      </c>
      <c r="E169" s="22" t="n">
        <v>85.6645329413089</v>
      </c>
      <c r="F169" s="22" t="n">
        <v>132.198562650968</v>
      </c>
      <c r="G169" s="22" t="n">
        <v>141.614527580865</v>
      </c>
      <c r="H169" s="22" t="n">
        <v>147.04200384433</v>
      </c>
      <c r="I169" s="22" t="n">
        <v>158.592822967243</v>
      </c>
      <c r="J169" s="22" t="n">
        <v>168.080613278063</v>
      </c>
      <c r="K169" s="22" t="n">
        <v>198.526850991708</v>
      </c>
      <c r="L169" s="22" t="n">
        <v>181.846035192393</v>
      </c>
      <c r="M169" s="22" t="n">
        <v>139.97610121209</v>
      </c>
      <c r="N169" s="22" t="n">
        <v>154.14237037574</v>
      </c>
      <c r="O169" s="22" t="n">
        <v>158.91304619194</v>
      </c>
      <c r="P169" s="22" t="n">
        <v>177.922283772159</v>
      </c>
      <c r="Q169" s="22" t="n">
        <v>150.393451414394</v>
      </c>
      <c r="R169" s="22" t="n">
        <f aca="false">C169*'Weights &amp; Assumptions'!$F$6+D169*'Weights &amp; Assumptions'!$F$7</f>
        <v>110.41399199262</v>
      </c>
      <c r="S169" s="22" t="n">
        <f aca="false">E169*'Weights &amp; Assumptions'!$F$8+F169*'Weights &amp; Assumptions'!$F$9+H169*'Weights &amp; Assumptions'!$F$11</f>
        <v>129.734745491193</v>
      </c>
      <c r="T169" s="22" t="n">
        <f aca="false">G169*'Weights &amp; Assumptions'!$F$10+I169*'Weights &amp; Assumptions'!$F$12+J169*'Weights &amp; Assumptions'!$F$13+K169*'Weights &amp; Assumptions'!$F$14+L169*'Weights &amp; Assumptions'!$F$15+M169*'Weights &amp; Assumptions'!$F$16+N169*'Weights &amp; Assumptions'!$F$17+O169*'Weights &amp; Assumptions'!$F$18+P169*'Weights &amp; Assumptions'!$F$19+Q169*'Weights &amp; Assumptions'!$F$20</f>
        <v>162.906944363467</v>
      </c>
      <c r="U169" s="22" t="n">
        <f aca="false">R169*'Weights &amp; Assumptions'!$B$25/'Weights &amp; Assumptions'!$B$28+S169*'Weights &amp; Assumptions'!$B$26/'Weights &amp; Assumptions'!$B$28+T169*'Weights &amp; Assumptions'!$B$27/'Weights &amp; Assumptions'!$B$28</f>
        <v>149.681674837422</v>
      </c>
      <c r="V169" s="23" t="n">
        <f aca="false">IFERROR(Tabelle1!E170*'Weights &amp; Assumptions'!$F$6+Tabelle1!F170*'Weights &amp; Assumptions'!$F$7,"")</f>
        <v>113.346999556859</v>
      </c>
      <c r="W169" s="23" t="n">
        <f aca="false">IFERROR(Tabelle1!G170*'Weights &amp; Assumptions'!$F$8+Tabelle1!H170*'Weights &amp; Assumptions'!$F$9+Tabelle1!J170*'Weights &amp; Assumptions'!$F$11,"")</f>
        <v>131.466001868922</v>
      </c>
      <c r="X169" s="23" t="n">
        <f aca="false">IFERROR(Tabelle1!I170*'Weights &amp; Assumptions'!$F$10+Tabelle1!K170*'Weights &amp; Assumptions'!$F$12+Tabelle1!L170*'Weights &amp; Assumptions'!$F$13+Tabelle1!M170*'Weights &amp; Assumptions'!$F$14+Tabelle1!N170*'Weights &amp; Assumptions'!$F$15+Tabelle1!O170*'Weights &amp; Assumptions'!$F$16+Tabelle1!P170*'Weights &amp; Assumptions'!$F$17+Tabelle1!Q170*'Weights &amp; Assumptions'!$F$18+Tabelle1!R170*'Weights &amp; Assumptions'!$F$19+Tabelle1!S170*'Weights &amp; Assumptions'!$F$20,"")</f>
        <v>165.438475256705</v>
      </c>
      <c r="Y169" s="22" t="n">
        <f aca="false">IFERROR(V169*'Weights &amp; Assumptions'!$B$25/'Weights &amp; Assumptions'!$B$28+W169*'Weights &amp; Assumptions'!$B$26/'Weights &amp; Assumptions'!$B$28+X169*'Weights &amp; Assumptions'!$B$27/'Weights &amp; Assumptions'!$B$28,"")</f>
        <v>152.034082984464</v>
      </c>
    </row>
    <row r="170" customFormat="false" ht="15" hidden="false" customHeight="false" outlineLevel="0" collapsed="false">
      <c r="A170" s="20" t="n">
        <v>42978</v>
      </c>
      <c r="B170" s="21" t="n">
        <v>150.39058</v>
      </c>
      <c r="C170" s="22" t="n">
        <v>111.572272055032</v>
      </c>
      <c r="D170" s="22" t="n">
        <v>157.568910059046</v>
      </c>
      <c r="E170" s="22" t="n">
        <v>87.2602011803316</v>
      </c>
      <c r="F170" s="22" t="n">
        <v>133.294277005898</v>
      </c>
      <c r="G170" s="22" t="n">
        <v>142.511577314112</v>
      </c>
      <c r="H170" s="22" t="n">
        <v>148.126717321426</v>
      </c>
      <c r="I170" s="22" t="n">
        <v>159.084471396424</v>
      </c>
      <c r="J170" s="22" t="n">
        <v>167.551544448726</v>
      </c>
      <c r="K170" s="22" t="n">
        <v>197.948096425396</v>
      </c>
      <c r="L170" s="22" t="n">
        <v>182.816082949633</v>
      </c>
      <c r="M170" s="22" t="n">
        <v>141.30681519118</v>
      </c>
      <c r="N170" s="22" t="n">
        <v>154.095383289475</v>
      </c>
      <c r="O170" s="22" t="n">
        <v>158.877006098667</v>
      </c>
      <c r="P170" s="22" t="n">
        <v>178.114808662383</v>
      </c>
      <c r="Q170" s="22" t="n">
        <v>150.734247174462</v>
      </c>
      <c r="R170" s="22" t="n">
        <f aca="false">C170*'Weights &amp; Assumptions'!$F$6+D170*'Weights &amp; Assumptions'!$F$7</f>
        <v>112.135847505481</v>
      </c>
      <c r="S170" s="22" t="n">
        <f aca="false">E170*'Weights &amp; Assumptions'!$F$8+F170*'Weights &amp; Assumptions'!$F$9+H170*'Weights &amp; Assumptions'!$F$11</f>
        <v>130.887861451846</v>
      </c>
      <c r="T170" s="22" t="n">
        <f aca="false">G170*'Weights &amp; Assumptions'!$F$10+I170*'Weights &amp; Assumptions'!$F$12+J170*'Weights &amp; Assumptions'!$F$13+K170*'Weights &amp; Assumptions'!$F$14+L170*'Weights &amp; Assumptions'!$F$15+M170*'Weights &amp; Assumptions'!$F$16+N170*'Weights &amp; Assumptions'!$F$17+O170*'Weights &amp; Assumptions'!$F$18+P170*'Weights &amp; Assumptions'!$F$19+Q170*'Weights &amp; Assumptions'!$F$20</f>
        <v>163.29451514092</v>
      </c>
      <c r="U170" s="22" t="n">
        <f aca="false">R170*'Weights &amp; Assumptions'!$B$25/'Weights &amp; Assumptions'!$B$28+S170*'Weights &amp; Assumptions'!$B$26/'Weights &amp; Assumptions'!$B$28+T170*'Weights &amp; Assumptions'!$B$27/'Weights &amp; Assumptions'!$B$28</f>
        <v>150.384765051448</v>
      </c>
      <c r="V170" s="23" t="n">
        <f aca="false">IFERROR(Tabelle1!E171*'Weights &amp; Assumptions'!$F$6+Tabelle1!F171*'Weights &amp; Assumptions'!$F$7,"")</f>
        <v>75.3354918521829</v>
      </c>
      <c r="W170" s="23" t="n">
        <f aca="false">IFERROR(Tabelle1!G171*'Weights &amp; Assumptions'!$F$8+Tabelle1!H171*'Weights &amp; Assumptions'!$F$9+Tabelle1!J171*'Weights &amp; Assumptions'!$F$11,"")</f>
        <v>139.303742614716</v>
      </c>
      <c r="X170" s="23" t="n">
        <f aca="false">IFERROR(Tabelle1!I171*'Weights &amp; Assumptions'!$F$10+Tabelle1!K171*'Weights &amp; Assumptions'!$F$12+Tabelle1!L171*'Weights &amp; Assumptions'!$F$13+Tabelle1!M171*'Weights &amp; Assumptions'!$F$14+Tabelle1!N171*'Weights &amp; Assumptions'!$F$15+Tabelle1!O171*'Weights &amp; Assumptions'!$F$16+Tabelle1!P171*'Weights &amp; Assumptions'!$F$17+Tabelle1!Q171*'Weights &amp; Assumptions'!$F$18+Tabelle1!R171*'Weights &amp; Assumptions'!$F$19+Tabelle1!S171*'Weights &amp; Assumptions'!$F$20,"")</f>
        <v>165.31273425774</v>
      </c>
      <c r="Y170" s="22" t="n">
        <f aca="false">IFERROR(V170*'Weights &amp; Assumptions'!$B$25/'Weights &amp; Assumptions'!$B$28+W170*'Weights &amp; Assumptions'!$B$26/'Weights &amp; Assumptions'!$B$28+X170*'Weights &amp; Assumptions'!$B$27/'Weights &amp; Assumptions'!$B$28,"")</f>
        <v>150.847323533763</v>
      </c>
    </row>
    <row r="171" customFormat="false" ht="15" hidden="false" customHeight="false" outlineLevel="0" collapsed="false">
      <c r="A171" s="20" t="n">
        <v>43008</v>
      </c>
      <c r="B171" s="21" t="n">
        <v>151.21749</v>
      </c>
      <c r="C171" s="22" t="n">
        <v>111.22053577709</v>
      </c>
      <c r="D171" s="22" t="n">
        <v>190.541178547283</v>
      </c>
      <c r="E171" s="22" t="n">
        <v>86.9858586780254</v>
      </c>
      <c r="F171" s="22" t="n">
        <v>134.462629441232</v>
      </c>
      <c r="G171" s="22" t="n">
        <v>143.286789424558</v>
      </c>
      <c r="H171" s="22" t="n">
        <v>148.663608247021</v>
      </c>
      <c r="I171" s="22" t="n">
        <v>160.592183563228</v>
      </c>
      <c r="J171" s="22" t="n">
        <v>167.912484333567</v>
      </c>
      <c r="K171" s="22" t="n">
        <v>198.308603801734</v>
      </c>
      <c r="L171" s="22" t="n">
        <v>185.635008600019</v>
      </c>
      <c r="M171" s="22" t="n">
        <v>141.966462480446</v>
      </c>
      <c r="N171" s="22" t="n">
        <v>154.201221765041</v>
      </c>
      <c r="O171" s="22" t="n">
        <v>159.097158638068</v>
      </c>
      <c r="P171" s="22" t="n">
        <v>178.369968364665</v>
      </c>
      <c r="Q171" s="22" t="n">
        <v>155.652902244958</v>
      </c>
      <c r="R171" s="22" t="n">
        <f aca="false">C171*'Weights &amp; Assumptions'!$F$6+D171*'Weights &amp; Assumptions'!$F$7</f>
        <v>112.192414786491</v>
      </c>
      <c r="S171" s="22" t="n">
        <f aca="false">E171*'Weights &amp; Assumptions'!$F$8+F171*'Weights &amp; Assumptions'!$F$9+H171*'Weights &amp; Assumptions'!$F$11</f>
        <v>131.752411070052</v>
      </c>
      <c r="T171" s="22" t="n">
        <f aca="false">G171*'Weights &amp; Assumptions'!$F$10+I171*'Weights &amp; Assumptions'!$F$12+J171*'Weights &amp; Assumptions'!$F$13+K171*'Weights &amp; Assumptions'!$F$14+L171*'Weights &amp; Assumptions'!$F$15+M171*'Weights &amp; Assumptions'!$F$16+N171*'Weights &amp; Assumptions'!$F$17+O171*'Weights &amp; Assumptions'!$F$18+P171*'Weights &amp; Assumptions'!$F$19+Q171*'Weights &amp; Assumptions'!$F$20</f>
        <v>164.356192722317</v>
      </c>
      <c r="U171" s="22" t="n">
        <f aca="false">R171*'Weights &amp; Assumptions'!$B$25/'Weights &amp; Assumptions'!$B$28+S171*'Weights &amp; Assumptions'!$B$26/'Weights &amp; Assumptions'!$B$28+T171*'Weights &amp; Assumptions'!$B$27/'Weights &amp; Assumptions'!$B$28</f>
        <v>151.309693273315</v>
      </c>
      <c r="V171" s="23" t="n">
        <f aca="false">IFERROR(Tabelle1!E172*'Weights &amp; Assumptions'!$F$6+Tabelle1!F172*'Weights &amp; Assumptions'!$F$7,"")</f>
        <v>67.3821490208698</v>
      </c>
      <c r="W171" s="23" t="n">
        <f aca="false">IFERROR(Tabelle1!G172*'Weights &amp; Assumptions'!$F$8+Tabelle1!H172*'Weights &amp; Assumptions'!$F$9+Tabelle1!J172*'Weights &amp; Assumptions'!$F$11,"")</f>
        <v>134.688266850345</v>
      </c>
      <c r="X171" s="23" t="n">
        <f aca="false">IFERROR(Tabelle1!I172*'Weights &amp; Assumptions'!$F$10+Tabelle1!K172*'Weights &amp; Assumptions'!$F$12+Tabelle1!L172*'Weights &amp; Assumptions'!$F$13+Tabelle1!M172*'Weights &amp; Assumptions'!$F$14+Tabelle1!N172*'Weights &amp; Assumptions'!$F$15+Tabelle1!O172*'Weights &amp; Assumptions'!$F$16+Tabelle1!P172*'Weights &amp; Assumptions'!$F$17+Tabelle1!Q172*'Weights &amp; Assumptions'!$F$18+Tabelle1!R172*'Weights &amp; Assumptions'!$F$19+Tabelle1!S172*'Weights &amp; Assumptions'!$F$20,"")</f>
        <v>162.655804422201</v>
      </c>
      <c r="Y171" s="22" t="n">
        <f aca="false">IFERROR(V171*'Weights &amp; Assumptions'!$B$25/'Weights &amp; Assumptions'!$B$28+W171*'Weights &amp; Assumptions'!$B$26/'Weights &amp; Assumptions'!$B$28+X171*'Weights &amp; Assumptions'!$B$27/'Weights &amp; Assumptions'!$B$28,"")</f>
        <v>147.225208665533</v>
      </c>
    </row>
    <row r="172" customFormat="false" ht="15" hidden="false" customHeight="false" outlineLevel="0" collapsed="false">
      <c r="A172" s="20" t="n">
        <v>43039</v>
      </c>
      <c r="B172" s="21" t="n">
        <v>151.71276</v>
      </c>
      <c r="C172" s="22" t="n">
        <v>114.888409780338</v>
      </c>
      <c r="D172" s="22" t="n">
        <v>156.942257172867</v>
      </c>
      <c r="E172" s="22" t="n">
        <v>88.5341163614666</v>
      </c>
      <c r="F172" s="22" t="n">
        <v>132.600643955342</v>
      </c>
      <c r="G172" s="22" t="n">
        <v>142.396333809706</v>
      </c>
      <c r="H172" s="22" t="n">
        <v>151.586317990301</v>
      </c>
      <c r="I172" s="22" t="n">
        <v>161.21314739399</v>
      </c>
      <c r="J172" s="22" t="n">
        <v>167.059640851699</v>
      </c>
      <c r="K172" s="22" t="n">
        <v>198.177155543222</v>
      </c>
      <c r="L172" s="22" t="n">
        <v>187.490093177674</v>
      </c>
      <c r="M172" s="22" t="n">
        <v>142.237055381765</v>
      </c>
      <c r="N172" s="22" t="n">
        <v>154.34548584049</v>
      </c>
      <c r="O172" s="22" t="n">
        <v>158.957321162518</v>
      </c>
      <c r="P172" s="22" t="n">
        <v>178.581669928052</v>
      </c>
      <c r="Q172" s="22" t="n">
        <v>154.005089276433</v>
      </c>
      <c r="R172" s="22" t="n">
        <f aca="false">C172*'Weights &amp; Assumptions'!$F$6+D172*'Weights &amp; Assumptions'!$F$7</f>
        <v>115.403676047957</v>
      </c>
      <c r="S172" s="22" t="n">
        <f aca="false">E172*'Weights &amp; Assumptions'!$F$8+F172*'Weights &amp; Assumptions'!$F$9+H172*'Weights &amp; Assumptions'!$F$11</f>
        <v>131.294365829788</v>
      </c>
      <c r="T172" s="22" t="n">
        <f aca="false">G172*'Weights &amp; Assumptions'!$F$10+I172*'Weights &amp; Assumptions'!$F$12+J172*'Weights &amp; Assumptions'!$F$13+K172*'Weights &amp; Assumptions'!$F$14+L172*'Weights &amp; Assumptions'!$F$15+M172*'Weights &amp; Assumptions'!$F$16+N172*'Weights &amp; Assumptions'!$F$17+O172*'Weights &amp; Assumptions'!$F$18+P172*'Weights &amp; Assumptions'!$F$19+Q172*'Weights &amp; Assumptions'!$F$20</f>
        <v>164.523158973437</v>
      </c>
      <c r="U172" s="22" t="n">
        <f aca="false">R172*'Weights &amp; Assumptions'!$B$25/'Weights &amp; Assumptions'!$B$28+S172*'Weights &amp; Assumptions'!$B$26/'Weights &amp; Assumptions'!$B$28+T172*'Weights &amp; Assumptions'!$B$27/'Weights &amp; Assumptions'!$B$28</f>
        <v>151.565876935898</v>
      </c>
      <c r="V172" s="23" t="n">
        <f aca="false">IFERROR(Tabelle1!E173*'Weights &amp; Assumptions'!$F$6+Tabelle1!F173*'Weights &amp; Assumptions'!$F$7,"")</f>
        <v>80.1311440509648</v>
      </c>
      <c r="W172" s="23" t="n">
        <f aca="false">IFERROR(Tabelle1!G173*'Weights &amp; Assumptions'!$F$8+Tabelle1!H173*'Weights &amp; Assumptions'!$F$9+Tabelle1!J173*'Weights &amp; Assumptions'!$F$11,"")</f>
        <v>138.163846043442</v>
      </c>
      <c r="X172" s="23" t="n">
        <f aca="false">IFERROR(Tabelle1!I173*'Weights &amp; Assumptions'!$F$10+Tabelle1!K173*'Weights &amp; Assumptions'!$F$12+Tabelle1!L173*'Weights &amp; Assumptions'!$F$13+Tabelle1!M173*'Weights &amp; Assumptions'!$F$14+Tabelle1!N173*'Weights &amp; Assumptions'!$F$15+Tabelle1!O173*'Weights &amp; Assumptions'!$F$16+Tabelle1!P173*'Weights &amp; Assumptions'!$F$17+Tabelle1!Q173*'Weights &amp; Assumptions'!$F$18+Tabelle1!R173*'Weights &amp; Assumptions'!$F$19+Tabelle1!S173*'Weights &amp; Assumptions'!$F$20,"")</f>
        <v>165.551272947509</v>
      </c>
      <c r="Y172" s="22" t="n">
        <f aca="false">IFERROR(V172*'Weights &amp; Assumptions'!$B$25/'Weights &amp; Assumptions'!$B$28+W172*'Weights &amp; Assumptions'!$B$26/'Weights &amp; Assumptions'!$B$28+X172*'Weights &amp; Assumptions'!$B$27/'Weights &amp; Assumptions'!$B$28,"")</f>
        <v>151.101657824714</v>
      </c>
    </row>
    <row r="173" customFormat="false" ht="15" hidden="false" customHeight="false" outlineLevel="0" collapsed="false">
      <c r="A173" s="20" t="n">
        <v>43069</v>
      </c>
      <c r="B173" s="21" t="n">
        <v>152.63221</v>
      </c>
      <c r="C173" s="22" t="n">
        <v>111.2675492997</v>
      </c>
      <c r="D173" s="22" t="n">
        <v>163.370503770544</v>
      </c>
      <c r="E173" s="22" t="n">
        <v>88.5636151252112</v>
      </c>
      <c r="F173" s="22" t="n">
        <v>135.581508249254</v>
      </c>
      <c r="G173" s="22" t="n">
        <v>140.609727445541</v>
      </c>
      <c r="H173" s="22" t="n">
        <v>154.473658661841</v>
      </c>
      <c r="I173" s="22" t="n">
        <v>166.080865247846</v>
      </c>
      <c r="J173" s="22" t="n">
        <v>168.584712647768</v>
      </c>
      <c r="K173" s="22" t="n">
        <v>198.959625451414</v>
      </c>
      <c r="L173" s="22" t="n">
        <v>190.17032044578</v>
      </c>
      <c r="M173" s="22" t="n">
        <v>142.702861344912</v>
      </c>
      <c r="N173" s="22" t="n">
        <v>154.436503968155</v>
      </c>
      <c r="O173" s="22" t="n">
        <v>159.180430562434</v>
      </c>
      <c r="P173" s="22" t="n">
        <v>178.872666241683</v>
      </c>
      <c r="Q173" s="22" t="n">
        <v>152.667965823859</v>
      </c>
      <c r="R173" s="22" t="n">
        <f aca="false">C173*'Weights &amp; Assumptions'!$F$6+D173*'Weights &amp; Assumptions'!$F$7</f>
        <v>111.905942610817</v>
      </c>
      <c r="S173" s="22" t="n">
        <f aca="false">E173*'Weights &amp; Assumptions'!$F$8+F173*'Weights &amp; Assumptions'!$F$9+H173*'Weights &amp; Assumptions'!$F$11</f>
        <v>133.903360661343</v>
      </c>
      <c r="T173" s="22" t="n">
        <f aca="false">G173*'Weights &amp; Assumptions'!$F$10+I173*'Weights &amp; Assumptions'!$F$12+J173*'Weights &amp; Assumptions'!$F$13+K173*'Weights &amp; Assumptions'!$F$14+L173*'Weights &amp; Assumptions'!$F$15+M173*'Weights &amp; Assumptions'!$F$16+N173*'Weights &amp; Assumptions'!$F$17+O173*'Weights &amp; Assumptions'!$F$18+P173*'Weights &amp; Assumptions'!$F$19+Q173*'Weights &amp; Assumptions'!$F$20</f>
        <v>165.920379990008</v>
      </c>
      <c r="U173" s="22" t="n">
        <f aca="false">R173*'Weights &amp; Assumptions'!$B$25/'Weights &amp; Assumptions'!$B$28+S173*'Weights &amp; Assumptions'!$B$26/'Weights &amp; Assumptions'!$B$28+T173*'Weights &amp; Assumptions'!$B$27/'Weights &amp; Assumptions'!$B$28</f>
        <v>152.874639025098</v>
      </c>
      <c r="V173" s="23" t="n">
        <f aca="false">IFERROR(Tabelle1!E174*'Weights &amp; Assumptions'!$F$6+Tabelle1!F174*'Weights &amp; Assumptions'!$F$7,"")</f>
        <v>89.464586386813</v>
      </c>
      <c r="W173" s="23" t="n">
        <f aca="false">IFERROR(Tabelle1!G174*'Weights &amp; Assumptions'!$F$8+Tabelle1!H174*'Weights &amp; Assumptions'!$F$9+Tabelle1!J174*'Weights &amp; Assumptions'!$F$11,"")</f>
        <v>140.100519039554</v>
      </c>
      <c r="X173" s="23" t="n">
        <f aca="false">IFERROR(Tabelle1!I174*'Weights &amp; Assumptions'!$F$10+Tabelle1!K174*'Weights &amp; Assumptions'!$F$12+Tabelle1!L174*'Weights &amp; Assumptions'!$F$13+Tabelle1!M174*'Weights &amp; Assumptions'!$F$14+Tabelle1!N174*'Weights &amp; Assumptions'!$F$15+Tabelle1!O174*'Weights &amp; Assumptions'!$F$16+Tabelle1!P174*'Weights &amp; Assumptions'!$F$17+Tabelle1!Q174*'Weights &amp; Assumptions'!$F$18+Tabelle1!R174*'Weights &amp; Assumptions'!$F$19+Tabelle1!S174*'Weights &amp; Assumptions'!$F$20,"")</f>
        <v>167.935886306148</v>
      </c>
      <c r="Y173" s="22" t="n">
        <f aca="false">IFERROR(V173*'Weights &amp; Assumptions'!$B$25/'Weights &amp; Assumptions'!$B$28+W173*'Weights &amp; Assumptions'!$B$26/'Weights &amp; Assumptions'!$B$28+X173*'Weights &amp; Assumptions'!$B$27/'Weights &amp; Assumptions'!$B$28,"")</f>
        <v>153.950168550253</v>
      </c>
    </row>
    <row r="174" customFormat="false" ht="15" hidden="false" customHeight="false" outlineLevel="0" collapsed="false">
      <c r="A174" s="20" t="n">
        <v>43100</v>
      </c>
      <c r="B174" s="21" t="n">
        <v>152.24534</v>
      </c>
      <c r="C174" s="22" t="n">
        <v>109.946647502752</v>
      </c>
      <c r="D174" s="22" t="n">
        <v>158.050479384528</v>
      </c>
      <c r="E174" s="22" t="n">
        <v>87.9169178385711</v>
      </c>
      <c r="F174" s="22" t="n">
        <v>133.381870869108</v>
      </c>
      <c r="G174" s="22" t="n">
        <v>145.689552401411</v>
      </c>
      <c r="H174" s="22" t="n">
        <v>151.988585139009</v>
      </c>
      <c r="I174" s="22" t="n">
        <v>158.646160944165</v>
      </c>
      <c r="J174" s="22" t="n">
        <v>167.040754742596</v>
      </c>
      <c r="K174" s="22" t="n">
        <v>196.951896887006</v>
      </c>
      <c r="L174" s="22" t="n">
        <v>187.320623990527</v>
      </c>
      <c r="M174" s="22" t="n">
        <v>142.262686367456</v>
      </c>
      <c r="N174" s="22" t="n">
        <v>154.181972133262</v>
      </c>
      <c r="O174" s="22" t="n">
        <v>159.571538619871</v>
      </c>
      <c r="P174" s="22" t="n">
        <v>178.606127517415</v>
      </c>
      <c r="Q174" s="22" t="n">
        <v>151.707015823378</v>
      </c>
      <c r="R174" s="22" t="n">
        <f aca="false">C174*'Weights &amp; Assumptions'!$F$6+D174*'Weights &amp; Assumptions'!$F$7</f>
        <v>110.536041421471</v>
      </c>
      <c r="S174" s="22" t="n">
        <f aca="false">E174*'Weights &amp; Assumptions'!$F$8+F174*'Weights &amp; Assumptions'!$F$9+H174*'Weights &amp; Assumptions'!$F$11</f>
        <v>131.829677680569</v>
      </c>
      <c r="T174" s="22" t="n">
        <f aca="false">G174*'Weights &amp; Assumptions'!$F$10+I174*'Weights &amp; Assumptions'!$F$12+J174*'Weights &amp; Assumptions'!$F$13+K174*'Weights &amp; Assumptions'!$F$14+L174*'Weights &amp; Assumptions'!$F$15+M174*'Weights &amp; Assumptions'!$F$16+N174*'Weights &amp; Assumptions'!$F$17+O174*'Weights &amp; Assumptions'!$F$18+P174*'Weights &amp; Assumptions'!$F$19+Q174*'Weights &amp; Assumptions'!$F$20</f>
        <v>163.813230830158</v>
      </c>
      <c r="U174" s="22" t="n">
        <f aca="false">R174*'Weights &amp; Assumptions'!$B$25/'Weights &amp; Assumptions'!$B$28+S174*'Weights &amp; Assumptions'!$B$26/'Weights &amp; Assumptions'!$B$28+T174*'Weights &amp; Assumptions'!$B$27/'Weights &amp; Assumptions'!$B$28</f>
        <v>150.838244825119</v>
      </c>
      <c r="V174" s="23" t="n">
        <f aca="false">IFERROR(Tabelle1!E175*'Weights &amp; Assumptions'!$F$6+Tabelle1!F175*'Weights &amp; Assumptions'!$F$7,"")</f>
        <v>96.6969634905424</v>
      </c>
      <c r="W174" s="23" t="n">
        <f aca="false">IFERROR(Tabelle1!G175*'Weights &amp; Assumptions'!$F$8+Tabelle1!H175*'Weights &amp; Assumptions'!$F$9+Tabelle1!J175*'Weights &amp; Assumptions'!$F$11,"")</f>
        <v>129.742599012177</v>
      </c>
      <c r="X174" s="23" t="n">
        <f aca="false">IFERROR(Tabelle1!I175*'Weights &amp; Assumptions'!$F$10+Tabelle1!K175*'Weights &amp; Assumptions'!$F$12+Tabelle1!L175*'Weights &amp; Assumptions'!$F$13+Tabelle1!M175*'Weights &amp; Assumptions'!$F$14+Tabelle1!N175*'Weights &amp; Assumptions'!$F$15+Tabelle1!O175*'Weights &amp; Assumptions'!$F$16+Tabelle1!P175*'Weights &amp; Assumptions'!$F$17+Tabelle1!Q175*'Weights &amp; Assumptions'!$F$18+Tabelle1!R175*'Weights &amp; Assumptions'!$F$19+Tabelle1!S175*'Weights &amp; Assumptions'!$F$20,"")</f>
        <v>161.96708853472</v>
      </c>
      <c r="Y174" s="22" t="n">
        <f aca="false">IFERROR(V174*'Weights &amp; Assumptions'!$B$25/'Weights &amp; Assumptions'!$B$28+W174*'Weights &amp; Assumptions'!$B$26/'Weights &amp; Assumptions'!$B$28+X174*'Weights &amp; Assumptions'!$B$27/'Weights &amp; Assumptions'!$B$28,"")</f>
        <v>147.921816059078</v>
      </c>
    </row>
    <row r="175" customFormat="false" ht="15" hidden="false" customHeight="false" outlineLevel="0" collapsed="false">
      <c r="A175" s="20" t="n">
        <v>43131</v>
      </c>
      <c r="B175" s="21" t="n">
        <v>150.9775</v>
      </c>
      <c r="C175" s="22" t="n">
        <v>106.171072757037</v>
      </c>
      <c r="D175" s="22" t="n">
        <v>190.988128072652</v>
      </c>
      <c r="E175" s="22" t="n">
        <v>87.6549488339816</v>
      </c>
      <c r="F175" s="22" t="n">
        <v>132.419668021641</v>
      </c>
      <c r="G175" s="22" t="n">
        <v>144.521747445856</v>
      </c>
      <c r="H175" s="22" t="n">
        <v>154.199693773963</v>
      </c>
      <c r="I175" s="22" t="n">
        <v>160.708209327045</v>
      </c>
      <c r="J175" s="22" t="n">
        <v>164.506433103677</v>
      </c>
      <c r="K175" s="22" t="n">
        <v>197.936505786026</v>
      </c>
      <c r="L175" s="22" t="n">
        <v>191.636981420887</v>
      </c>
      <c r="M175" s="22" t="n">
        <v>142.956436295453</v>
      </c>
      <c r="N175" s="22" t="n">
        <v>154.722739664038</v>
      </c>
      <c r="O175" s="22" t="n">
        <v>160.10441266057</v>
      </c>
      <c r="P175" s="22" t="n">
        <v>179.616479259811</v>
      </c>
      <c r="Q175" s="22" t="n">
        <v>153.294417650037</v>
      </c>
      <c r="R175" s="22" t="n">
        <f aca="false">C175*'Weights &amp; Assumptions'!$F$6+D175*'Weights &amp; Assumptions'!$F$7</f>
        <v>107.210296757519</v>
      </c>
      <c r="S175" s="22" t="n">
        <f aca="false">E175*'Weights &amp; Assumptions'!$F$8+F175*'Weights &amp; Assumptions'!$F$9+H175*'Weights &amp; Assumptions'!$F$11</f>
        <v>131.612156880587</v>
      </c>
      <c r="T175" s="22" t="n">
        <f aca="false">G175*'Weights &amp; Assumptions'!$F$10+I175*'Weights &amp; Assumptions'!$F$12+J175*'Weights &amp; Assumptions'!$F$13+K175*'Weights &amp; Assumptions'!$F$14+L175*'Weights &amp; Assumptions'!$F$15+M175*'Weights &amp; Assumptions'!$F$16+N175*'Weights &amp; Assumptions'!$F$17+O175*'Weights &amp; Assumptions'!$F$18+P175*'Weights &amp; Assumptions'!$F$19+Q175*'Weights &amp; Assumptions'!$F$20</f>
        <v>164.9456518453</v>
      </c>
      <c r="U175" s="22" t="n">
        <f aca="false">R175*'Weights &amp; Assumptions'!$B$25/'Weights &amp; Assumptions'!$B$28+S175*'Weights &amp; Assumptions'!$B$26/'Weights &amp; Assumptions'!$B$28+T175*'Weights &amp; Assumptions'!$B$27/'Weights &amp; Assumptions'!$B$28</f>
        <v>151.237648920059</v>
      </c>
      <c r="V175" s="23" t="n">
        <f aca="false">IFERROR(Tabelle1!E176*'Weights &amp; Assumptions'!$F$6+Tabelle1!F176*'Weights &amp; Assumptions'!$F$7,"")</f>
        <v>69.1162834944756</v>
      </c>
      <c r="W175" s="23" t="n">
        <f aca="false">IFERROR(Tabelle1!G176*'Weights &amp; Assumptions'!$F$8+Tabelle1!H176*'Weights &amp; Assumptions'!$F$9+Tabelle1!J176*'Weights &amp; Assumptions'!$F$11,"")</f>
        <v>121.808708654886</v>
      </c>
      <c r="X175" s="23" t="n">
        <f aca="false">IFERROR(Tabelle1!I176*'Weights &amp; Assumptions'!$F$10+Tabelle1!K176*'Weights &amp; Assumptions'!$F$12+Tabelle1!L176*'Weights &amp; Assumptions'!$F$13+Tabelle1!M176*'Weights &amp; Assumptions'!$F$14+Tabelle1!N176*'Weights &amp; Assumptions'!$F$15+Tabelle1!O176*'Weights &amp; Assumptions'!$F$16+Tabelle1!P176*'Weights &amp; Assumptions'!$F$17+Tabelle1!Q176*'Weights &amp; Assumptions'!$F$18+Tabelle1!R176*'Weights &amp; Assumptions'!$F$19+Tabelle1!S176*'Weights &amp; Assumptions'!$F$20,"")</f>
        <v>161.465201857815</v>
      </c>
      <c r="Y175" s="22" t="n">
        <f aca="false">IFERROR(V175*'Weights &amp; Assumptions'!$B$25/'Weights &amp; Assumptions'!$B$28+W175*'Weights &amp; Assumptions'!$B$26/'Weights &amp; Assumptions'!$B$28+X175*'Weights &amp; Assumptions'!$B$27/'Weights &amp; Assumptions'!$B$28,"")</f>
        <v>143.171696485687</v>
      </c>
    </row>
    <row r="176" customFormat="false" ht="15" hidden="false" customHeight="false" outlineLevel="0" collapsed="false">
      <c r="A176" s="20" t="n">
        <v>43159</v>
      </c>
      <c r="B176" s="21" t="n">
        <v>152.19147</v>
      </c>
      <c r="C176" s="22" t="n">
        <v>110.324574753632</v>
      </c>
      <c r="D176" s="22" t="n">
        <v>162.923244179781</v>
      </c>
      <c r="E176" s="22" t="n">
        <v>87.2634196013423</v>
      </c>
      <c r="F176" s="22" t="n">
        <v>130.674273865628</v>
      </c>
      <c r="G176" s="22" t="n">
        <v>144.613989783115</v>
      </c>
      <c r="H176" s="22" t="n">
        <v>150.9489384005</v>
      </c>
      <c r="I176" s="22" t="n">
        <v>161.41848645209</v>
      </c>
      <c r="J176" s="22" t="n">
        <v>164.750146823739</v>
      </c>
      <c r="K176" s="22" t="n">
        <v>195.988316513447</v>
      </c>
      <c r="L176" s="22" t="n">
        <v>193.629112877288</v>
      </c>
      <c r="M176" s="22" t="n">
        <v>142.341213381181</v>
      </c>
      <c r="N176" s="22" t="n">
        <v>154.441615696014</v>
      </c>
      <c r="O176" s="22" t="n">
        <v>160.116681510565</v>
      </c>
      <c r="P176" s="22" t="n">
        <v>179.421321666853</v>
      </c>
      <c r="Q176" s="22" t="n">
        <v>151.546502359841</v>
      </c>
      <c r="R176" s="22" t="n">
        <f aca="false">C176*'Weights &amp; Assumptions'!$F$6+D176*'Weights &amp; Assumptions'!$F$7</f>
        <v>110.969041829949</v>
      </c>
      <c r="S176" s="22" t="n">
        <f aca="false">E176*'Weights &amp; Assumptions'!$F$8+F176*'Weights &amp; Assumptions'!$F$9+H176*'Weights &amp; Assumptions'!$F$11</f>
        <v>129.714808798755</v>
      </c>
      <c r="T176" s="22" t="n">
        <f aca="false">G176*'Weights &amp; Assumptions'!$F$10+I176*'Weights &amp; Assumptions'!$F$12+J176*'Weights &amp; Assumptions'!$F$13+K176*'Weights &amp; Assumptions'!$F$14+L176*'Weights &amp; Assumptions'!$F$15+M176*'Weights &amp; Assumptions'!$F$16+N176*'Weights &amp; Assumptions'!$F$17+O176*'Weights &amp; Assumptions'!$F$18+P176*'Weights &amp; Assumptions'!$F$19+Q176*'Weights &amp; Assumptions'!$F$20</f>
        <v>164.711109708368</v>
      </c>
      <c r="U176" s="22" t="n">
        <f aca="false">R176*'Weights &amp; Assumptions'!$B$25/'Weights &amp; Assumptions'!$B$28+S176*'Weights &amp; Assumptions'!$B$26/'Weights &amp; Assumptions'!$B$28+T176*'Weights &amp; Assumptions'!$B$27/'Weights &amp; Assumptions'!$B$28</f>
        <v>150.895977756282</v>
      </c>
      <c r="V176" s="23" t="n">
        <f aca="false">IFERROR(Tabelle1!E177*'Weights &amp; Assumptions'!$F$6+Tabelle1!F177*'Weights &amp; Assumptions'!$F$7,"")</f>
        <v>75.8173800796177</v>
      </c>
      <c r="W176" s="23" t="n">
        <f aca="false">IFERROR(Tabelle1!G177*'Weights &amp; Assumptions'!$F$8+Tabelle1!H177*'Weights &amp; Assumptions'!$F$9+Tabelle1!J177*'Weights &amp; Assumptions'!$F$11,"")</f>
        <v>117.136588072225</v>
      </c>
      <c r="X176" s="23" t="n">
        <f aca="false">IFERROR(Tabelle1!I177*'Weights &amp; Assumptions'!$F$10+Tabelle1!K177*'Weights &amp; Assumptions'!$F$12+Tabelle1!L177*'Weights &amp; Assumptions'!$F$13+Tabelle1!M177*'Weights &amp; Assumptions'!$F$14+Tabelle1!N177*'Weights &amp; Assumptions'!$F$15+Tabelle1!O177*'Weights &amp; Assumptions'!$F$16+Tabelle1!P177*'Weights &amp; Assumptions'!$F$17+Tabelle1!Q177*'Weights &amp; Assumptions'!$F$18+Tabelle1!R177*'Weights &amp; Assumptions'!$F$19+Tabelle1!S177*'Weights &amp; Assumptions'!$F$20,"")</f>
        <v>159.095340226367</v>
      </c>
      <c r="Y176" s="22" t="n">
        <f aca="false">IFERROR(V176*'Weights &amp; Assumptions'!$B$25/'Weights &amp; Assumptions'!$B$28+W176*'Weights &amp; Assumptions'!$B$26/'Weights &amp; Assumptions'!$B$28+X176*'Weights &amp; Assumptions'!$B$27/'Weights &amp; Assumptions'!$B$28,"")</f>
        <v>140.95068492608</v>
      </c>
    </row>
    <row r="177" customFormat="false" ht="15" hidden="false" customHeight="false" outlineLevel="0" collapsed="false">
      <c r="A177" s="20" t="n">
        <v>43190</v>
      </c>
      <c r="B177" s="21" t="n">
        <v>151.52876</v>
      </c>
      <c r="C177" s="22" t="n">
        <v>108.813748353881</v>
      </c>
      <c r="D177" s="22" t="n">
        <v>175.022040112499</v>
      </c>
      <c r="E177" s="22" t="n">
        <v>88.1248805410879</v>
      </c>
      <c r="F177" s="22" t="n">
        <v>134.573295052934</v>
      </c>
      <c r="G177" s="22" t="n">
        <v>145.000860128141</v>
      </c>
      <c r="H177" s="22" t="n">
        <v>154.288464482106</v>
      </c>
      <c r="I177" s="22" t="n">
        <v>162.841928673926</v>
      </c>
      <c r="J177" s="22" t="n">
        <v>168.489269613144</v>
      </c>
      <c r="K177" s="22" t="n">
        <v>197.191243640091</v>
      </c>
      <c r="L177" s="22" t="n">
        <v>190.355279082567</v>
      </c>
      <c r="M177" s="22" t="n">
        <v>143.943641411719</v>
      </c>
      <c r="N177" s="22" t="n">
        <v>154.384065813771</v>
      </c>
      <c r="O177" s="22" t="n">
        <v>160.377286231043</v>
      </c>
      <c r="P177" s="22" t="n">
        <v>180.602796947228</v>
      </c>
      <c r="Q177" s="22" t="n">
        <v>146.622898502405</v>
      </c>
      <c r="R177" s="22" t="n">
        <f aca="false">C177*'Weights &amp; Assumptions'!$F$6+D177*'Weights &amp; Assumptions'!$F$7</f>
        <v>109.624967814053</v>
      </c>
      <c r="S177" s="22" t="n">
        <f aca="false">E177*'Weights &amp; Assumptions'!$F$8+F177*'Weights &amp; Assumptions'!$F$9+H177*'Weights &amp; Assumptions'!$F$11</f>
        <v>133.13459620636</v>
      </c>
      <c r="T177" s="22" t="n">
        <f aca="false">G177*'Weights &amp; Assumptions'!$F$10+I177*'Weights &amp; Assumptions'!$F$12+J177*'Weights &amp; Assumptions'!$F$13+K177*'Weights &amp; Assumptions'!$F$14+L177*'Weights &amp; Assumptions'!$F$15+M177*'Weights &amp; Assumptions'!$F$16+N177*'Weights &amp; Assumptions'!$F$17+O177*'Weights &amp; Assumptions'!$F$18+P177*'Weights &amp; Assumptions'!$F$19+Q177*'Weights &amp; Assumptions'!$F$20</f>
        <v>165.269789312756</v>
      </c>
      <c r="U177" s="22" t="n">
        <f aca="false">R177*'Weights &amp; Assumptions'!$B$25/'Weights &amp; Assumptions'!$B$28+S177*'Weights &amp; Assumptions'!$B$26/'Weights &amp; Assumptions'!$B$28+T177*'Weights &amp; Assumptions'!$B$27/'Weights &amp; Assumptions'!$B$28</f>
        <v>152.055833291639</v>
      </c>
      <c r="V177" s="23" t="n">
        <f aca="false">IFERROR(Tabelle1!E178*'Weights &amp; Assumptions'!$F$6+Tabelle1!F178*'Weights &amp; Assumptions'!$F$7,"")</f>
        <v>144.759994337612</v>
      </c>
      <c r="W177" s="23" t="n">
        <f aca="false">IFERROR(Tabelle1!G178*'Weights &amp; Assumptions'!$F$8+Tabelle1!H178*'Weights &amp; Assumptions'!$F$9+Tabelle1!J178*'Weights &amp; Assumptions'!$F$11,"")</f>
        <v>133.338456846133</v>
      </c>
      <c r="X177" s="23" t="n">
        <f aca="false">IFERROR(Tabelle1!I178*'Weights &amp; Assumptions'!$F$10+Tabelle1!K178*'Weights &amp; Assumptions'!$F$12+Tabelle1!L178*'Weights &amp; Assumptions'!$F$13+Tabelle1!M178*'Weights &amp; Assumptions'!$F$14+Tabelle1!N178*'Weights &amp; Assumptions'!$F$15+Tabelle1!O178*'Weights &amp; Assumptions'!$F$16+Tabelle1!P178*'Weights &amp; Assumptions'!$F$17+Tabelle1!Q178*'Weights &amp; Assumptions'!$F$18+Tabelle1!R178*'Weights &amp; Assumptions'!$F$19+Tabelle1!S178*'Weights &amp; Assumptions'!$F$20,"")</f>
        <v>168.229203633992</v>
      </c>
      <c r="Y177" s="22" t="n">
        <f aca="false">IFERROR(V177*'Weights &amp; Assumptions'!$B$25/'Weights &amp; Assumptions'!$B$28+W177*'Weights &amp; Assumptions'!$B$26/'Weights &amp; Assumptions'!$B$28+X177*'Weights &amp; Assumptions'!$B$27/'Weights &amp; Assumptions'!$B$28,"")</f>
        <v>156.982058394773</v>
      </c>
    </row>
    <row r="178" customFormat="false" ht="15" hidden="false" customHeight="false" outlineLevel="0" collapsed="false">
      <c r="A178" s="20" t="n">
        <v>43220</v>
      </c>
      <c r="B178" s="21" t="n">
        <v>146.79266</v>
      </c>
      <c r="C178" s="22" t="n">
        <v>88.5806222710516</v>
      </c>
      <c r="D178" s="22" t="n">
        <v>151.2438477686</v>
      </c>
      <c r="E178" s="22" t="n">
        <v>89.2325835069813</v>
      </c>
      <c r="F178" s="22" t="n">
        <v>131.190349112314</v>
      </c>
      <c r="G178" s="22" t="n">
        <v>147.452610437963</v>
      </c>
      <c r="H178" s="22" t="n">
        <v>154.796899794214</v>
      </c>
      <c r="I178" s="22" t="n">
        <v>159.599402457514</v>
      </c>
      <c r="J178" s="22" t="n">
        <v>169.725052227975</v>
      </c>
      <c r="K178" s="22" t="n">
        <v>194.051215565097</v>
      </c>
      <c r="L178" s="22" t="n">
        <v>194.298430888801</v>
      </c>
      <c r="M178" s="22" t="n">
        <v>144.98956779404</v>
      </c>
      <c r="N178" s="22" t="n">
        <v>154.495467654367</v>
      </c>
      <c r="O178" s="22" t="n">
        <v>161.512235328984</v>
      </c>
      <c r="P178" s="22" t="n">
        <v>181.147387207445</v>
      </c>
      <c r="Q178" s="22" t="n">
        <v>152.094739037531</v>
      </c>
      <c r="R178" s="22" t="n">
        <f aca="false">C178*'Weights &amp; Assumptions'!$F$6+D178*'Weights &amp; Assumptions'!$F$7</f>
        <v>89.3484056802062</v>
      </c>
      <c r="S178" s="22" t="n">
        <f aca="false">E178*'Weights &amp; Assumptions'!$F$8+F178*'Weights &amp; Assumptions'!$F$9+H178*'Weights &amp; Assumptions'!$F$11</f>
        <v>131.098490081169</v>
      </c>
      <c r="T178" s="22" t="n">
        <f aca="false">G178*'Weights &amp; Assumptions'!$F$10+I178*'Weights &amp; Assumptions'!$F$12+J178*'Weights &amp; Assumptions'!$F$13+K178*'Weights &amp; Assumptions'!$F$14+L178*'Weights &amp; Assumptions'!$F$15+M178*'Weights &amp; Assumptions'!$F$16+N178*'Weights &amp; Assumptions'!$F$17+O178*'Weights &amp; Assumptions'!$F$18+P178*'Weights &amp; Assumptions'!$F$19+Q178*'Weights &amp; Assumptions'!$F$20</f>
        <v>165.227636053982</v>
      </c>
      <c r="U178" s="22" t="n">
        <f aca="false">R178*'Weights &amp; Assumptions'!$B$25/'Weights &amp; Assumptions'!$B$28+S178*'Weights &amp; Assumptions'!$B$26/'Weights &amp; Assumptions'!$B$28+T178*'Weights &amp; Assumptions'!$B$27/'Weights &amp; Assumptions'!$B$28</f>
        <v>149.785769391327</v>
      </c>
      <c r="V178" s="23" t="n">
        <f aca="false">IFERROR(Tabelle1!E179*'Weights &amp; Assumptions'!$F$6+Tabelle1!F179*'Weights &amp; Assumptions'!$F$7,"")</f>
        <v>162.645983411878</v>
      </c>
      <c r="W178" s="23" t="n">
        <f aca="false">IFERROR(Tabelle1!G179*'Weights &amp; Assumptions'!$F$8+Tabelle1!H179*'Weights &amp; Assumptions'!$F$9+Tabelle1!J179*'Weights &amp; Assumptions'!$F$11,"")</f>
        <v>126.414614495822</v>
      </c>
      <c r="X178" s="23" t="n">
        <f aca="false">IFERROR(Tabelle1!I179*'Weights &amp; Assumptions'!$F$10+Tabelle1!K179*'Weights &amp; Assumptions'!$F$12+Tabelle1!L179*'Weights &amp; Assumptions'!$F$13+Tabelle1!M179*'Weights &amp; Assumptions'!$F$14+Tabelle1!N179*'Weights &amp; Assumptions'!$F$15+Tabelle1!O179*'Weights &amp; Assumptions'!$F$16+Tabelle1!P179*'Weights &amp; Assumptions'!$F$17+Tabelle1!Q179*'Weights &amp; Assumptions'!$F$18+Tabelle1!R179*'Weights &amp; Assumptions'!$F$19+Tabelle1!S179*'Weights &amp; Assumptions'!$F$20,"")</f>
        <v>163.4890716679</v>
      </c>
      <c r="Y178" s="22" t="n">
        <f aca="false">IFERROR(V178*'Weights &amp; Assumptions'!$B$25/'Weights &amp; Assumptions'!$B$28+W178*'Weights &amp; Assumptions'!$B$26/'Weights &amp; Assumptions'!$B$28+X178*'Weights &amp; Assumptions'!$B$27/'Weights &amp; Assumptions'!$B$28,"")</f>
        <v>153.55959007681</v>
      </c>
    </row>
    <row r="179" customFormat="false" ht="15" hidden="false" customHeight="false" outlineLevel="0" collapsed="false">
      <c r="A179" s="20" t="n">
        <v>43251</v>
      </c>
      <c r="B179" s="21" t="n">
        <v>144.56309</v>
      </c>
      <c r="C179" s="22" t="n">
        <v>85.5669232921786</v>
      </c>
      <c r="D179" s="22" t="n">
        <v>162.578983149973</v>
      </c>
      <c r="E179" s="22" t="n">
        <v>88.6641194685686</v>
      </c>
      <c r="F179" s="22" t="n">
        <v>129.643025291218</v>
      </c>
      <c r="G179" s="22" t="n">
        <v>142.653390183502</v>
      </c>
      <c r="H179" s="22" t="n">
        <v>153.212843725807</v>
      </c>
      <c r="I179" s="22" t="n">
        <v>157.729035984993</v>
      </c>
      <c r="J179" s="22" t="n">
        <v>167.928648508238</v>
      </c>
      <c r="K179" s="22" t="n">
        <v>190.559647160718</v>
      </c>
      <c r="L179" s="22" t="n">
        <v>199.004996453173</v>
      </c>
      <c r="M179" s="22" t="n">
        <v>144.249733718635</v>
      </c>
      <c r="N179" s="22" t="n">
        <v>154.350868797804</v>
      </c>
      <c r="O179" s="22" t="n">
        <v>161.310926490002</v>
      </c>
      <c r="P179" s="22" t="n">
        <v>181.519242232681</v>
      </c>
      <c r="Q179" s="22" t="n">
        <v>154.864698095105</v>
      </c>
      <c r="R179" s="22" t="n">
        <f aca="false">C179*'Weights &amp; Assumptions'!$F$6+D179*'Weights &amp; Assumptions'!$F$7</f>
        <v>86.5105163069676</v>
      </c>
      <c r="S179" s="22" t="n">
        <f aca="false">E179*'Weights &amp; Assumptions'!$F$8+F179*'Weights &amp; Assumptions'!$F$9+H179*'Weights &amp; Assumptions'!$F$11</f>
        <v>129.660387680946</v>
      </c>
      <c r="T179" s="22" t="n">
        <f aca="false">G179*'Weights &amp; Assumptions'!$F$10+I179*'Weights &amp; Assumptions'!$F$12+J179*'Weights &amp; Assumptions'!$F$13+K179*'Weights &amp; Assumptions'!$F$14+L179*'Weights &amp; Assumptions'!$F$15+M179*'Weights &amp; Assumptions'!$F$16+N179*'Weights &amp; Assumptions'!$F$17+O179*'Weights &amp; Assumptions'!$F$18+P179*'Weights &amp; Assumptions'!$F$19+Q179*'Weights &amp; Assumptions'!$F$20</f>
        <v>164.476249654705</v>
      </c>
      <c r="U179" s="22" t="n">
        <f aca="false">R179*'Weights &amp; Assumptions'!$B$25/'Weights &amp; Assumptions'!$B$28+S179*'Weights &amp; Assumptions'!$B$26/'Weights &amp; Assumptions'!$B$28+T179*'Weights &amp; Assumptions'!$B$27/'Weights &amp; Assumptions'!$B$28</f>
        <v>148.67671387583</v>
      </c>
      <c r="V179" s="23" t="n">
        <f aca="false">IFERROR(Tabelle1!E180*'Weights &amp; Assumptions'!$F$6+Tabelle1!F180*'Weights &amp; Assumptions'!$F$7,"")</f>
        <v>222.548135830205</v>
      </c>
      <c r="W179" s="23" t="n">
        <f aca="false">IFERROR(Tabelle1!G180*'Weights &amp; Assumptions'!$F$8+Tabelle1!H180*'Weights &amp; Assumptions'!$F$9+Tabelle1!J180*'Weights &amp; Assumptions'!$F$11,"")</f>
        <v>132.215827049429</v>
      </c>
      <c r="X179" s="23" t="n">
        <f aca="false">IFERROR(Tabelle1!I180*'Weights &amp; Assumptions'!$F$10+Tabelle1!K180*'Weights &amp; Assumptions'!$F$12+Tabelle1!L180*'Weights &amp; Assumptions'!$F$13+Tabelle1!M180*'Weights &amp; Assumptions'!$F$14+Tabelle1!N180*'Weights &amp; Assumptions'!$F$15+Tabelle1!O180*'Weights &amp; Assumptions'!$F$16+Tabelle1!P180*'Weights &amp; Assumptions'!$F$17+Tabelle1!Q180*'Weights &amp; Assumptions'!$F$18+Tabelle1!R180*'Weights &amp; Assumptions'!$F$19+Tabelle1!S180*'Weights &amp; Assumptions'!$F$20,"")</f>
        <v>166.920153234243</v>
      </c>
      <c r="Y179" s="22" t="n">
        <f aca="false">IFERROR(V179*'Weights &amp; Assumptions'!$B$25/'Weights &amp; Assumptions'!$B$28+W179*'Weights &amp; Assumptions'!$B$26/'Weights &amp; Assumptions'!$B$28+X179*'Weights &amp; Assumptions'!$B$27/'Weights &amp; Assumptions'!$B$28,"")</f>
        <v>162.358900714119</v>
      </c>
    </row>
    <row r="180" customFormat="false" ht="15" hidden="false" customHeight="false" outlineLevel="0" collapsed="false">
      <c r="A180" s="20" t="n">
        <v>43281</v>
      </c>
      <c r="B180" s="21" t="n">
        <v>143.25908</v>
      </c>
      <c r="C180" s="22" t="n">
        <v>85.3374406137446</v>
      </c>
      <c r="D180" s="22" t="n">
        <v>167.108355568179</v>
      </c>
      <c r="E180" s="22" t="n">
        <v>88.7225507210111</v>
      </c>
      <c r="F180" s="22" t="n">
        <v>126.312626950363</v>
      </c>
      <c r="G180" s="22" t="n">
        <v>150.245926108729</v>
      </c>
      <c r="H180" s="22" t="n">
        <v>152.670711858524</v>
      </c>
      <c r="I180" s="22" t="n">
        <v>150.592103865835</v>
      </c>
      <c r="J180" s="22" t="n">
        <v>165.991236588871</v>
      </c>
      <c r="K180" s="22" t="n">
        <v>189.271818953732</v>
      </c>
      <c r="L180" s="22" t="n">
        <v>193.265108677621</v>
      </c>
      <c r="M180" s="22" t="n">
        <v>143.140018039469</v>
      </c>
      <c r="N180" s="22" t="n">
        <v>154.285539920826</v>
      </c>
      <c r="O180" s="22" t="n">
        <v>161.711299428685</v>
      </c>
      <c r="P180" s="22" t="n">
        <v>181.60976421176</v>
      </c>
      <c r="Q180" s="22" t="n">
        <v>154.973637199171</v>
      </c>
      <c r="R180" s="22" t="n">
        <f aca="false">C180*'Weights &amp; Assumptions'!$F$6+D180*'Weights &amp; Assumptions'!$F$7</f>
        <v>86.339341670623</v>
      </c>
      <c r="S180" s="22" t="n">
        <f aca="false">E180*'Weights &amp; Assumptions'!$F$8+F180*'Weights &amp; Assumptions'!$F$9+H180*'Weights &amp; Assumptions'!$F$11</f>
        <v>127.315469591235</v>
      </c>
      <c r="T180" s="22" t="n">
        <f aca="false">G180*'Weights &amp; Assumptions'!$F$10+I180*'Weights &amp; Assumptions'!$F$12+J180*'Weights &amp; Assumptions'!$F$13+K180*'Weights &amp; Assumptions'!$F$14+L180*'Weights &amp; Assumptions'!$F$15+M180*'Weights &amp; Assumptions'!$F$16+N180*'Weights &amp; Assumptions'!$F$17+O180*'Weights &amp; Assumptions'!$F$18+P180*'Weights &amp; Assumptions'!$F$19+Q180*'Weights &amp; Assumptions'!$F$20</f>
        <v>162.333639793994</v>
      </c>
      <c r="U180" s="22" t="n">
        <f aca="false">R180*'Weights &amp; Assumptions'!$B$25/'Weights &amp; Assumptions'!$B$28+S180*'Weights &amp; Assumptions'!$B$26/'Weights &amp; Assumptions'!$B$28+T180*'Weights &amp; Assumptions'!$B$27/'Weights &amp; Assumptions'!$B$28</f>
        <v>146.645711779024</v>
      </c>
      <c r="V180" s="23" t="n">
        <f aca="false">IFERROR(Tabelle1!E181*'Weights &amp; Assumptions'!$F$6+Tabelle1!F181*'Weights &amp; Assumptions'!$F$7,"")</f>
        <v>150.532129317648</v>
      </c>
      <c r="W180" s="23" t="n">
        <f aca="false">IFERROR(Tabelle1!G181*'Weights &amp; Assumptions'!$F$8+Tabelle1!H181*'Weights &amp; Assumptions'!$F$9+Tabelle1!J181*'Weights &amp; Assumptions'!$F$11,"")</f>
        <v>129.262346774231</v>
      </c>
      <c r="X180" s="23" t="n">
        <f aca="false">IFERROR(Tabelle1!I181*'Weights &amp; Assumptions'!$F$10+Tabelle1!K181*'Weights &amp; Assumptions'!$F$12+Tabelle1!L181*'Weights &amp; Assumptions'!$F$13+Tabelle1!M181*'Weights &amp; Assumptions'!$F$14+Tabelle1!N181*'Weights &amp; Assumptions'!$F$15+Tabelle1!O181*'Weights &amp; Assumptions'!$F$16+Tabelle1!P181*'Weights &amp; Assumptions'!$F$17+Tabelle1!Q181*'Weights &amp; Assumptions'!$F$18+Tabelle1!R181*'Weights &amp; Assumptions'!$F$19+Tabelle1!S181*'Weights &amp; Assumptions'!$F$20,"")</f>
        <v>164.802829908195</v>
      </c>
      <c r="Y180" s="22" t="n">
        <f aca="false">IFERROR(V180*'Weights &amp; Assumptions'!$B$25/'Weights &amp; Assumptions'!$B$28+W180*'Weights &amp; Assumptions'!$B$26/'Weights &amp; Assumptions'!$B$28+X180*'Weights &amp; Assumptions'!$B$27/'Weights &amp; Assumptions'!$B$28,"")</f>
        <v>154.154670960248</v>
      </c>
    </row>
    <row r="181" customFormat="false" ht="15" hidden="false" customHeight="false" outlineLevel="0" collapsed="false">
      <c r="A181" s="20" t="n">
        <v>43312</v>
      </c>
      <c r="B181" s="21" t="n">
        <v>143.57921</v>
      </c>
      <c r="C181" s="22" t="n">
        <v>103.060858847056</v>
      </c>
      <c r="D181" s="22" t="n">
        <v>182.296917268323</v>
      </c>
      <c r="E181" s="22" t="n">
        <v>87.3539464963381</v>
      </c>
      <c r="F181" s="22" t="n">
        <v>123.546569961365</v>
      </c>
      <c r="G181" s="22" t="n">
        <v>143.95288766041</v>
      </c>
      <c r="H181" s="22" t="n">
        <v>146.880202798991</v>
      </c>
      <c r="I181" s="22" t="n">
        <v>148.258529082589</v>
      </c>
      <c r="J181" s="22" t="n">
        <v>166.458354665599</v>
      </c>
      <c r="K181" s="22" t="n">
        <v>191.559916735067</v>
      </c>
      <c r="L181" s="22" t="n">
        <v>193.988967914861</v>
      </c>
      <c r="M181" s="22" t="n">
        <v>141.958974179763</v>
      </c>
      <c r="N181" s="22" t="n">
        <v>154.166578310612</v>
      </c>
      <c r="O181" s="22" t="n">
        <v>161.207868155853</v>
      </c>
      <c r="P181" s="22" t="n">
        <v>180.68367437937</v>
      </c>
      <c r="Q181" s="22" t="n">
        <v>154.153470364029</v>
      </c>
      <c r="R181" s="22" t="n">
        <f aca="false">C181*'Weights &amp; Assumptions'!$F$6+D181*'Weights &amp; Assumptions'!$F$7</f>
        <v>104.031701483699</v>
      </c>
      <c r="S181" s="22" t="n">
        <f aca="false">E181*'Weights &amp; Assumptions'!$F$8+F181*'Weights &amp; Assumptions'!$F$9+H181*'Weights &amp; Assumptions'!$F$11</f>
        <v>124.086200461336</v>
      </c>
      <c r="T181" s="22" t="n">
        <f aca="false">G181*'Weights &amp; Assumptions'!$F$10+I181*'Weights &amp; Assumptions'!$F$12+J181*'Weights &amp; Assumptions'!$F$13+K181*'Weights &amp; Assumptions'!$F$14+L181*'Weights &amp; Assumptions'!$F$15+M181*'Weights &amp; Assumptions'!$F$16+N181*'Weights &amp; Assumptions'!$F$17+O181*'Weights &amp; Assumptions'!$F$18+P181*'Weights &amp; Assumptions'!$F$19+Q181*'Weights &amp; Assumptions'!$F$20</f>
        <v>161.688789305866</v>
      </c>
      <c r="U181" s="22" t="n">
        <f aca="false">R181*'Weights &amp; Assumptions'!$B$25/'Weights &amp; Assumptions'!$B$28+S181*'Weights &amp; Assumptions'!$B$26/'Weights &amp; Assumptions'!$B$28+T181*'Weights &amp; Assumptions'!$B$27/'Weights &amp; Assumptions'!$B$28</f>
        <v>146.852126433464</v>
      </c>
      <c r="V181" s="23" t="n">
        <f aca="false">IFERROR(Tabelle1!E182*'Weights &amp; Assumptions'!$F$6+Tabelle1!F182*'Weights &amp; Assumptions'!$F$7,"")</f>
        <v>107.68358566799</v>
      </c>
      <c r="W181" s="23" t="n">
        <f aca="false">IFERROR(Tabelle1!G182*'Weights &amp; Assumptions'!$F$8+Tabelle1!H182*'Weights &amp; Assumptions'!$F$9+Tabelle1!J182*'Weights &amp; Assumptions'!$F$11,"")</f>
        <v>126.505583359306</v>
      </c>
      <c r="X181" s="23" t="n">
        <f aca="false">IFERROR(Tabelle1!I182*'Weights &amp; Assumptions'!$F$10+Tabelle1!K182*'Weights &amp; Assumptions'!$F$12+Tabelle1!L182*'Weights &amp; Assumptions'!$F$13+Tabelle1!M182*'Weights &amp; Assumptions'!$F$14+Tabelle1!N182*'Weights &amp; Assumptions'!$F$15+Tabelle1!O182*'Weights &amp; Assumptions'!$F$16+Tabelle1!P182*'Weights &amp; Assumptions'!$F$17+Tabelle1!Q182*'Weights &amp; Assumptions'!$F$18+Tabelle1!R182*'Weights &amp; Assumptions'!$F$19+Tabelle1!S182*'Weights &amp; Assumptions'!$F$20,"")</f>
        <v>163.915727790314</v>
      </c>
      <c r="Y181" s="22" t="n">
        <f aca="false">IFERROR(V181*'Weights &amp; Assumptions'!$B$25/'Weights &amp; Assumptions'!$B$28+W181*'Weights &amp; Assumptions'!$B$26/'Weights &amp; Assumptions'!$B$28+X181*'Weights &amp; Assumptions'!$B$27/'Weights &amp; Assumptions'!$B$28,"")</f>
        <v>149.249793379173</v>
      </c>
    </row>
    <row r="182" customFormat="false" ht="15" hidden="false" customHeight="false" outlineLevel="0" collapsed="false">
      <c r="A182" s="20" t="n">
        <v>43343</v>
      </c>
      <c r="B182" s="21" t="n">
        <v>146.53723</v>
      </c>
      <c r="C182" s="22" t="n">
        <v>111.028243662029</v>
      </c>
      <c r="D182" s="22" t="n">
        <v>169.600658196304</v>
      </c>
      <c r="E182" s="22" t="n">
        <v>86.0142802930679</v>
      </c>
      <c r="F182" s="22" t="n">
        <v>126.420844390682</v>
      </c>
      <c r="G182" s="22" t="n">
        <v>144.989890686683</v>
      </c>
      <c r="H182" s="22" t="n">
        <v>147.670787724669</v>
      </c>
      <c r="I182" s="22" t="n">
        <v>150.944237739581</v>
      </c>
      <c r="J182" s="22" t="n">
        <v>165.223510223676</v>
      </c>
      <c r="K182" s="22" t="n">
        <v>191.700087834223</v>
      </c>
      <c r="L182" s="22" t="n">
        <v>193.709257969695</v>
      </c>
      <c r="M182" s="22" t="n">
        <v>141.573760156796</v>
      </c>
      <c r="N182" s="22" t="n">
        <v>154.080305018488</v>
      </c>
      <c r="O182" s="22" t="n">
        <v>161.468994824571</v>
      </c>
      <c r="P182" s="22" t="n">
        <v>180.883167218847</v>
      </c>
      <c r="Q182" s="22" t="n">
        <v>154.065218547963</v>
      </c>
      <c r="R182" s="22" t="n">
        <f aca="false">C182*'Weights &amp; Assumptions'!$F$6+D182*'Weights &amp; Assumptions'!$F$7</f>
        <v>111.745904263705</v>
      </c>
      <c r="S182" s="22" t="n">
        <f aca="false">E182*'Weights &amp; Assumptions'!$F$8+F182*'Weights &amp; Assumptions'!$F$9+H182*'Weights &amp; Assumptions'!$F$11</f>
        <v>126.023258295621</v>
      </c>
      <c r="T182" s="22" t="n">
        <f aca="false">G182*'Weights &amp; Assumptions'!$F$10+I182*'Weights &amp; Assumptions'!$F$12+J182*'Weights &amp; Assumptions'!$F$13+K182*'Weights &amp; Assumptions'!$F$14+L182*'Weights &amp; Assumptions'!$F$15+M182*'Weights &amp; Assumptions'!$F$16+N182*'Weights &amp; Assumptions'!$F$17+O182*'Weights &amp; Assumptions'!$F$18+P182*'Weights &amp; Assumptions'!$F$19+Q182*'Weights &amp; Assumptions'!$F$20</f>
        <v>162.148252733319</v>
      </c>
      <c r="U182" s="22" t="n">
        <f aca="false">R182*'Weights &amp; Assumptions'!$B$25/'Weights &amp; Assumptions'!$B$28+S182*'Weights &amp; Assumptions'!$B$26/'Weights &amp; Assumptions'!$B$28+T182*'Weights &amp; Assumptions'!$B$27/'Weights &amp; Assumptions'!$B$28</f>
        <v>148.313186693618</v>
      </c>
      <c r="V182" s="23" t="n">
        <f aca="false">IFERROR(Tabelle1!E183*'Weights &amp; Assumptions'!$F$6+Tabelle1!F183*'Weights &amp; Assumptions'!$F$7,"")</f>
        <v>77.2221190077592</v>
      </c>
      <c r="W182" s="23" t="n">
        <f aca="false">IFERROR(Tabelle1!G183*'Weights &amp; Assumptions'!$F$8+Tabelle1!H183*'Weights &amp; Assumptions'!$F$9+Tabelle1!J183*'Weights &amp; Assumptions'!$F$11,"")</f>
        <v>134.587676113689</v>
      </c>
      <c r="X182" s="23" t="n">
        <f aca="false">IFERROR(Tabelle1!I183*'Weights &amp; Assumptions'!$F$10+Tabelle1!K183*'Weights &amp; Assumptions'!$F$12+Tabelle1!L183*'Weights &amp; Assumptions'!$F$13+Tabelle1!M183*'Weights &amp; Assumptions'!$F$14+Tabelle1!N183*'Weights &amp; Assumptions'!$F$15+Tabelle1!O183*'Weights &amp; Assumptions'!$F$16+Tabelle1!P183*'Weights &amp; Assumptions'!$F$17+Tabelle1!Q183*'Weights &amp; Assumptions'!$F$18+Tabelle1!R183*'Weights &amp; Assumptions'!$F$19+Tabelle1!S183*'Weights &amp; Assumptions'!$F$20,"")</f>
        <v>163.867531710226</v>
      </c>
      <c r="Y182" s="22" t="n">
        <f aca="false">IFERROR(V182*'Weights &amp; Assumptions'!$B$25/'Weights &amp; Assumptions'!$B$28+W182*'Weights &amp; Assumptions'!$B$26/'Weights &amp; Assumptions'!$B$28+X182*'Weights &amp; Assumptions'!$B$27/'Weights &amp; Assumptions'!$B$28,"")</f>
        <v>148.811884409851</v>
      </c>
    </row>
    <row r="183" customFormat="false" ht="15" hidden="false" customHeight="false" outlineLevel="0" collapsed="false">
      <c r="A183" s="20" t="n">
        <v>43373</v>
      </c>
      <c r="B183" s="21" t="n">
        <v>143.13224</v>
      </c>
      <c r="C183" s="22" t="n">
        <v>108.588058111712</v>
      </c>
      <c r="D183" s="22" t="n">
        <v>197.021947057152</v>
      </c>
      <c r="E183" s="22" t="n">
        <v>86.8055325934305</v>
      </c>
      <c r="F183" s="22" t="n">
        <v>120.007454898355</v>
      </c>
      <c r="G183" s="22" t="n">
        <v>139.672405238913</v>
      </c>
      <c r="H183" s="22" t="n">
        <v>145.53261020616</v>
      </c>
      <c r="I183" s="22" t="n">
        <v>142.752689428212</v>
      </c>
      <c r="J183" s="22" t="n">
        <v>165.138672478665</v>
      </c>
      <c r="K183" s="22" t="n">
        <v>188.40689633026</v>
      </c>
      <c r="L183" s="22" t="n">
        <v>189.637919654233</v>
      </c>
      <c r="M183" s="22" t="n">
        <v>139.287683592429</v>
      </c>
      <c r="N183" s="22" t="n">
        <v>154.128761604791</v>
      </c>
      <c r="O183" s="22" t="n">
        <v>161.340559894663</v>
      </c>
      <c r="P183" s="22" t="n">
        <v>180.381067345962</v>
      </c>
      <c r="Q183" s="22" t="n">
        <v>150.771589936415</v>
      </c>
      <c r="R183" s="22" t="n">
        <f aca="false">C183*'Weights &amp; Assumptions'!$F$6+D183*'Weights &amp; Assumptions'!$F$7</f>
        <v>109.671597495461</v>
      </c>
      <c r="S183" s="22" t="n">
        <f aca="false">E183*'Weights &amp; Assumptions'!$F$8+F183*'Weights &amp; Assumptions'!$F$9+H183*'Weights &amp; Assumptions'!$F$11</f>
        <v>121.360714156491</v>
      </c>
      <c r="T183" s="22" t="n">
        <f aca="false">G183*'Weights &amp; Assumptions'!$F$10+I183*'Weights &amp; Assumptions'!$F$12+J183*'Weights &amp; Assumptions'!$F$13+K183*'Weights &amp; Assumptions'!$F$14+L183*'Weights &amp; Assumptions'!$F$15+M183*'Weights &amp; Assumptions'!$F$16+N183*'Weights &amp; Assumptions'!$F$17+O183*'Weights &amp; Assumptions'!$F$18+P183*'Weights &amp; Assumptions'!$F$19+Q183*'Weights &amp; Assumptions'!$F$20</f>
        <v>158.848580749311</v>
      </c>
      <c r="U183" s="22" t="n">
        <f aca="false">R183*'Weights &amp; Assumptions'!$B$25/'Weights &amp; Assumptions'!$B$28+S183*'Weights &amp; Assumptions'!$B$26/'Weights &amp; Assumptions'!$B$28+T183*'Weights &amp; Assumptions'!$B$27/'Weights &amp; Assumptions'!$B$28</f>
        <v>144.753912358037</v>
      </c>
      <c r="V183" s="23" t="n">
        <f aca="false">IFERROR(Tabelle1!E184*'Weights &amp; Assumptions'!$F$6+Tabelle1!F184*'Weights &amp; Assumptions'!$F$7,"")</f>
        <v>68.153557231499</v>
      </c>
      <c r="W183" s="23" t="n">
        <f aca="false">IFERROR(Tabelle1!G184*'Weights &amp; Assumptions'!$F$8+Tabelle1!H184*'Weights &amp; Assumptions'!$F$9+Tabelle1!J184*'Weights &amp; Assumptions'!$F$11,"")</f>
        <v>123.194082049241</v>
      </c>
      <c r="X183" s="23" t="n">
        <f aca="false">IFERROR(Tabelle1!I184*'Weights &amp; Assumptions'!$F$10+Tabelle1!K184*'Weights &amp; Assumptions'!$F$12+Tabelle1!L184*'Weights &amp; Assumptions'!$F$13+Tabelle1!M184*'Weights &amp; Assumptions'!$F$14+Tabelle1!N184*'Weights &amp; Assumptions'!$F$15+Tabelle1!O184*'Weights &amp; Assumptions'!$F$16+Tabelle1!P184*'Weights &amp; Assumptions'!$F$17+Tabelle1!Q184*'Weights &amp; Assumptions'!$F$18+Tabelle1!R184*'Weights &amp; Assumptions'!$F$19+Tabelle1!S184*'Weights &amp; Assumptions'!$F$20,"")</f>
        <v>156.558642483839</v>
      </c>
      <c r="Y183" s="22" t="n">
        <f aca="false">IFERROR(V183*'Weights &amp; Assumptions'!$B$25/'Weights &amp; Assumptions'!$B$28+W183*'Weights &amp; Assumptions'!$B$26/'Weights &amp; Assumptions'!$B$28+X183*'Weights &amp; Assumptions'!$B$27/'Weights &amp; Assumptions'!$B$28,"")</f>
        <v>140.269162823394</v>
      </c>
    </row>
    <row r="184" customFormat="false" ht="15" hidden="false" customHeight="false" outlineLevel="0" collapsed="false">
      <c r="A184" s="20" t="n">
        <v>43404</v>
      </c>
      <c r="B184" s="21" t="n">
        <v>143.59559</v>
      </c>
      <c r="C184" s="22" t="n">
        <v>113.020719419291</v>
      </c>
      <c r="D184" s="22" t="n">
        <v>202.981106044379</v>
      </c>
      <c r="E184" s="22" t="n">
        <v>86.3749904075309</v>
      </c>
      <c r="F184" s="22" t="n">
        <v>120.991315831522</v>
      </c>
      <c r="G184" s="22" t="n">
        <v>140.365150604633</v>
      </c>
      <c r="H184" s="22" t="n">
        <v>144.031595903711</v>
      </c>
      <c r="I184" s="22" t="n">
        <v>143.689882914628</v>
      </c>
      <c r="J184" s="22" t="n">
        <v>163.043349121853</v>
      </c>
      <c r="K184" s="22" t="n">
        <v>189.808071884985</v>
      </c>
      <c r="L184" s="22" t="n">
        <v>182.745130050124</v>
      </c>
      <c r="M184" s="22" t="n">
        <v>140.446797925755</v>
      </c>
      <c r="N184" s="22" t="n">
        <v>153.766096347057</v>
      </c>
      <c r="O184" s="22" t="n">
        <v>161.411037350333</v>
      </c>
      <c r="P184" s="22" t="n">
        <v>179.924967382634</v>
      </c>
      <c r="Q184" s="22" t="n">
        <v>147.070537912179</v>
      </c>
      <c r="R184" s="22" t="n">
        <f aca="false">C184*'Weights &amp; Assumptions'!$F$6+D184*'Weights &amp; Assumptions'!$F$7</f>
        <v>114.122962270396</v>
      </c>
      <c r="S184" s="22" t="n">
        <f aca="false">E184*'Weights &amp; Assumptions'!$F$8+F184*'Weights &amp; Assumptions'!$F$9+H184*'Weights &amp; Assumptions'!$F$11</f>
        <v>121.658040396791</v>
      </c>
      <c r="T184" s="22" t="n">
        <f aca="false">G184*'Weights &amp; Assumptions'!$F$10+I184*'Weights &amp; Assumptions'!$F$12+J184*'Weights &amp; Assumptions'!$F$13+K184*'Weights &amp; Assumptions'!$F$14+L184*'Weights &amp; Assumptions'!$F$15+M184*'Weights &amp; Assumptions'!$F$16+N184*'Weights &amp; Assumptions'!$F$17+O184*'Weights &amp; Assumptions'!$F$18+P184*'Weights &amp; Assumptions'!$F$19+Q184*'Weights &amp; Assumptions'!$F$20</f>
        <v>158.611872583597</v>
      </c>
      <c r="U184" s="22" t="n">
        <f aca="false">R184*'Weights &amp; Assumptions'!$B$25/'Weights &amp; Assumptions'!$B$28+S184*'Weights &amp; Assumptions'!$B$26/'Weights &amp; Assumptions'!$B$28+T184*'Weights &amp; Assumptions'!$B$27/'Weights &amp; Assumptions'!$B$28</f>
        <v>145.05254649061</v>
      </c>
      <c r="V184" s="23" t="n">
        <f aca="false">IFERROR(Tabelle1!E185*'Weights &amp; Assumptions'!$F$6+Tabelle1!F185*'Weights &amp; Assumptions'!$F$7,"")</f>
        <v>81.3980061253144</v>
      </c>
      <c r="W184" s="23" t="n">
        <f aca="false">IFERROR(Tabelle1!G185*'Weights &amp; Assumptions'!$F$8+Tabelle1!H185*'Weights &amp; Assumptions'!$F$9+Tabelle1!J185*'Weights &amp; Assumptions'!$F$11,"")</f>
        <v>129.331266701615</v>
      </c>
      <c r="X184" s="23" t="n">
        <f aca="false">IFERROR(Tabelle1!I185*'Weights &amp; Assumptions'!$F$10+Tabelle1!K185*'Weights &amp; Assumptions'!$F$12+Tabelle1!L185*'Weights &amp; Assumptions'!$F$13+Tabelle1!M185*'Weights &amp; Assumptions'!$F$14+Tabelle1!N185*'Weights &amp; Assumptions'!$F$15+Tabelle1!O185*'Weights &amp; Assumptions'!$F$16+Tabelle1!P185*'Weights &amp; Assumptions'!$F$17+Tabelle1!Q185*'Weights &amp; Assumptions'!$F$18+Tabelle1!R185*'Weights &amp; Assumptions'!$F$19+Tabelle1!S185*'Weights &amp; Assumptions'!$F$20,"")</f>
        <v>159.916689764728</v>
      </c>
      <c r="Y184" s="22" t="n">
        <f aca="false">IFERROR(V184*'Weights &amp; Assumptions'!$B$25/'Weights &amp; Assumptions'!$B$28+W184*'Weights &amp; Assumptions'!$B$26/'Weights &amp; Assumptions'!$B$28+X184*'Weights &amp; Assumptions'!$B$27/'Weights &amp; Assumptions'!$B$28,"")</f>
        <v>145.195708600563</v>
      </c>
    </row>
    <row r="185" customFormat="false" ht="15" hidden="false" customHeight="false" outlineLevel="0" collapsed="false">
      <c r="A185" s="20" t="n">
        <v>43434</v>
      </c>
      <c r="B185" s="21" t="n">
        <v>141.66615</v>
      </c>
      <c r="C185" s="22" t="n">
        <v>112.86789037601</v>
      </c>
      <c r="D185" s="22" t="n">
        <v>176.067968692346</v>
      </c>
      <c r="E185" s="22" t="n">
        <v>86.263370113902</v>
      </c>
      <c r="F185" s="22" t="n">
        <v>118.039511136893</v>
      </c>
      <c r="G185" s="22" t="n">
        <v>138.97934810578</v>
      </c>
      <c r="H185" s="22" t="n">
        <v>139.225615133383</v>
      </c>
      <c r="I185" s="22" t="n">
        <v>141.687090861694</v>
      </c>
      <c r="J185" s="22" t="n">
        <v>164.533390075017</v>
      </c>
      <c r="K185" s="22" t="n">
        <v>187.471472644122</v>
      </c>
      <c r="L185" s="22" t="n">
        <v>178.34391551253</v>
      </c>
      <c r="M185" s="22" t="n">
        <v>139.283263295712</v>
      </c>
      <c r="N185" s="22" t="n">
        <v>154.009432300753</v>
      </c>
      <c r="O185" s="22" t="n">
        <v>161.312892765</v>
      </c>
      <c r="P185" s="22" t="n">
        <v>180.096016940581</v>
      </c>
      <c r="Q185" s="22" t="n">
        <v>143.732036481967</v>
      </c>
      <c r="R185" s="22" t="n">
        <f aca="false">C185*'Weights &amp; Assumptions'!$F$6+D185*'Weights &amp; Assumptions'!$F$7</f>
        <v>113.642251593507</v>
      </c>
      <c r="S185" s="22" t="n">
        <f aca="false">E185*'Weights &amp; Assumptions'!$F$8+F185*'Weights &amp; Assumptions'!$F$9+H185*'Weights &amp; Assumptions'!$F$11</f>
        <v>118.659078543438</v>
      </c>
      <c r="T185" s="22" t="n">
        <f aca="false">G185*'Weights &amp; Assumptions'!$F$10+I185*'Weights &amp; Assumptions'!$F$12+J185*'Weights &amp; Assumptions'!$F$13+K185*'Weights &amp; Assumptions'!$F$14+L185*'Weights &amp; Assumptions'!$F$15+M185*'Weights &amp; Assumptions'!$F$16+N185*'Weights &amp; Assumptions'!$F$17+O185*'Weights &amp; Assumptions'!$F$18+P185*'Weights &amp; Assumptions'!$F$19+Q185*'Weights &amp; Assumptions'!$F$20</f>
        <v>157.166930024387</v>
      </c>
      <c r="U185" s="22" t="n">
        <f aca="false">R185*'Weights &amp; Assumptions'!$B$25/'Weights &amp; Assumptions'!$B$28+S185*'Weights &amp; Assumptions'!$B$26/'Weights &amp; Assumptions'!$B$28+T185*'Weights &amp; Assumptions'!$B$27/'Weights &amp; Assumptions'!$B$28</f>
        <v>143.275262912581</v>
      </c>
      <c r="V185" s="23" t="n">
        <f aca="false">IFERROR(Tabelle1!E186*'Weights &amp; Assumptions'!$F$6+Tabelle1!F186*'Weights &amp; Assumptions'!$F$7,"")</f>
        <v>90.6051607626846</v>
      </c>
      <c r="W185" s="23" t="n">
        <f aca="false">IFERROR(Tabelle1!G186*'Weights &amp; Assumptions'!$F$8+Tabelle1!H186*'Weights &amp; Assumptions'!$F$9+Tabelle1!J186*'Weights &amp; Assumptions'!$F$11,"")</f>
        <v>123.462653144804</v>
      </c>
      <c r="X185" s="23" t="n">
        <f aca="false">IFERROR(Tabelle1!I186*'Weights &amp; Assumptions'!$F$10+Tabelle1!K186*'Weights &amp; Assumptions'!$F$12+Tabelle1!L186*'Weights &amp; Assumptions'!$F$13+Tabelle1!M186*'Weights &amp; Assumptions'!$F$14+Tabelle1!N186*'Weights &amp; Assumptions'!$F$15+Tabelle1!O186*'Weights &amp; Assumptions'!$F$16+Tabelle1!P186*'Weights &amp; Assumptions'!$F$17+Tabelle1!Q186*'Weights &amp; Assumptions'!$F$18+Tabelle1!R186*'Weights &amp; Assumptions'!$F$19+Tabelle1!S186*'Weights &amp; Assumptions'!$F$20,"")</f>
        <v>158.511317114489</v>
      </c>
      <c r="Y185" s="22" t="n">
        <f aca="false">IFERROR(V185*'Weights &amp; Assumptions'!$B$25/'Weights &amp; Assumptions'!$B$28+W185*'Weights &amp; Assumptions'!$B$26/'Weights &amp; Assumptions'!$B$28+X185*'Weights &amp; Assumptions'!$B$27/'Weights &amp; Assumptions'!$B$28,"")</f>
        <v>143.493882099796</v>
      </c>
    </row>
    <row r="186" customFormat="false" ht="15" hidden="false" customHeight="false" outlineLevel="0" collapsed="false">
      <c r="A186" s="20" t="n">
        <v>43465</v>
      </c>
      <c r="B186" s="21" t="n">
        <v>141.97365</v>
      </c>
      <c r="C186" s="22" t="n">
        <v>113.551495240771</v>
      </c>
      <c r="D186" s="22" t="n">
        <v>149.456994905822</v>
      </c>
      <c r="E186" s="22" t="n">
        <v>87.011872054027</v>
      </c>
      <c r="F186" s="22" t="n">
        <v>113.911089713712</v>
      </c>
      <c r="G186" s="22" t="n">
        <v>135.284182113934</v>
      </c>
      <c r="H186" s="22" t="n">
        <v>133.895500732659</v>
      </c>
      <c r="I186" s="22" t="n">
        <v>137.89310346205</v>
      </c>
      <c r="J186" s="22" t="n">
        <v>161.715871385602</v>
      </c>
      <c r="K186" s="22" t="n">
        <v>187.268262590054</v>
      </c>
      <c r="L186" s="22" t="n">
        <v>180.058010983109</v>
      </c>
      <c r="M186" s="22" t="n">
        <v>138.783217564846</v>
      </c>
      <c r="N186" s="22" t="n">
        <v>153.155705562089</v>
      </c>
      <c r="O186" s="22" t="n">
        <v>161.22600479068</v>
      </c>
      <c r="P186" s="22" t="n">
        <v>179.231754556904</v>
      </c>
      <c r="Q186" s="22" t="n">
        <v>140.962365956342</v>
      </c>
      <c r="R186" s="22" t="n">
        <f aca="false">C186*'Weights &amp; Assumptions'!$F$6+D186*'Weights &amp; Assumptions'!$F$7</f>
        <v>113.991428658199</v>
      </c>
      <c r="S186" s="22" t="n">
        <f aca="false">E186*'Weights &amp; Assumptions'!$F$8+F186*'Weights &amp; Assumptions'!$F$9+H186*'Weights &amp; Assumptions'!$F$11</f>
        <v>114.862609567658</v>
      </c>
      <c r="T186" s="22" t="n">
        <f aca="false">G186*'Weights &amp; Assumptions'!$F$10+I186*'Weights &amp; Assumptions'!$F$12+J186*'Weights &amp; Assumptions'!$F$13+K186*'Weights &amp; Assumptions'!$F$14+L186*'Weights &amp; Assumptions'!$F$15+M186*'Weights &amp; Assumptions'!$F$16+N186*'Weights &amp; Assumptions'!$F$17+O186*'Weights &amp; Assumptions'!$F$18+P186*'Weights &amp; Assumptions'!$F$19+Q186*'Weights &amp; Assumptions'!$F$20</f>
        <v>155.85612528467</v>
      </c>
      <c r="U186" s="22" t="n">
        <f aca="false">R186*'Weights &amp; Assumptions'!$B$25/'Weights &amp; Assumptions'!$B$28+S186*'Weights &amp; Assumptions'!$B$26/'Weights &amp; Assumptions'!$B$28+T186*'Weights &amp; Assumptions'!$B$27/'Weights &amp; Assumptions'!$B$28</f>
        <v>141.442750487326</v>
      </c>
      <c r="V186" s="23" t="n">
        <f aca="false">IFERROR(Tabelle1!E187*'Weights &amp; Assumptions'!$F$6+Tabelle1!F187*'Weights &amp; Assumptions'!$F$7,"")</f>
        <v>101.670188338637</v>
      </c>
      <c r="W186" s="23" t="n">
        <f aca="false">IFERROR(Tabelle1!G187*'Weights &amp; Assumptions'!$F$8+Tabelle1!H187*'Weights &amp; Assumptions'!$F$9+Tabelle1!J187*'Weights &amp; Assumptions'!$F$11,"")</f>
        <v>112.772598003407</v>
      </c>
      <c r="X186" s="23" t="n">
        <f aca="false">IFERROR(Tabelle1!I187*'Weights &amp; Assumptions'!$F$10+Tabelle1!K187*'Weights &amp; Assumptions'!$F$12+Tabelle1!L187*'Weights &amp; Assumptions'!$F$13+Tabelle1!M187*'Weights &amp; Assumptions'!$F$14+Tabelle1!N187*'Weights &amp; Assumptions'!$F$15+Tabelle1!O187*'Weights &amp; Assumptions'!$F$16+Tabelle1!P187*'Weights &amp; Assumptions'!$F$17+Tabelle1!Q187*'Weights &amp; Assumptions'!$F$18+Tabelle1!R187*'Weights &amp; Assumptions'!$F$19+Tabelle1!S187*'Weights &amp; Assumptions'!$F$20,"")</f>
        <v>154.968424908649</v>
      </c>
      <c r="Y186" s="22" t="n">
        <f aca="false">IFERROR(V186*'Weights &amp; Assumptions'!$B$25/'Weights &amp; Assumptions'!$B$28+W186*'Weights &amp; Assumptions'!$B$26/'Weights &amp; Assumptions'!$B$28+X186*'Weights &amp; Assumptions'!$B$27/'Weights &amp; Assumptions'!$B$28,"")</f>
        <v>139.276051047948</v>
      </c>
    </row>
    <row r="187" customFormat="false" ht="15" hidden="false" customHeight="false" outlineLevel="0" collapsed="false">
      <c r="A187" s="20" t="n">
        <v>43496</v>
      </c>
      <c r="B187" s="21" t="n">
        <v>141.39773</v>
      </c>
      <c r="C187" s="22" t="n">
        <v>109.346067462945</v>
      </c>
      <c r="D187" s="22" t="n">
        <v>199.90280339845</v>
      </c>
      <c r="E187" s="22" t="n">
        <v>86.9498050718357</v>
      </c>
      <c r="F187" s="22" t="n">
        <v>117.759276160616</v>
      </c>
      <c r="G187" s="22" t="n">
        <v>136.264415785535</v>
      </c>
      <c r="H187" s="22" t="n">
        <v>139.593079215909</v>
      </c>
      <c r="I187" s="22" t="n">
        <v>138.692365009586</v>
      </c>
      <c r="J187" s="22" t="n">
        <v>155.016485485583</v>
      </c>
      <c r="K187" s="22" t="n">
        <v>186.733926033972</v>
      </c>
      <c r="L187" s="22" t="n">
        <v>178.851271160248</v>
      </c>
      <c r="M187" s="22" t="n">
        <v>138.780332943157</v>
      </c>
      <c r="N187" s="22" t="n">
        <v>153.367268476507</v>
      </c>
      <c r="O187" s="22" t="n">
        <v>160.756471882562</v>
      </c>
      <c r="P187" s="22" t="n">
        <v>178.757053551519</v>
      </c>
      <c r="Q187" s="22" t="n">
        <v>145.810558642211</v>
      </c>
      <c r="R187" s="22" t="n">
        <f aca="false">C187*'Weights &amp; Assumptions'!$F$6+D187*'Weights &amp; Assumptions'!$F$7</f>
        <v>110.455617105282</v>
      </c>
      <c r="S187" s="22" t="n">
        <f aca="false">E187*'Weights &amp; Assumptions'!$F$8+F187*'Weights &amp; Assumptions'!$F$9+H187*'Weights &amp; Assumptions'!$F$11</f>
        <v>118.629192754398</v>
      </c>
      <c r="T187" s="22" t="n">
        <f aca="false">G187*'Weights &amp; Assumptions'!$F$10+I187*'Weights &amp; Assumptions'!$F$12+J187*'Weights &amp; Assumptions'!$F$13+K187*'Weights &amp; Assumptions'!$F$14+L187*'Weights &amp; Assumptions'!$F$15+M187*'Weights &amp; Assumptions'!$F$16+N187*'Weights &amp; Assumptions'!$F$17+O187*'Weights &amp; Assumptions'!$F$18+P187*'Weights &amp; Assumptions'!$F$19+Q187*'Weights &amp; Assumptions'!$F$20</f>
        <v>155.779028884451</v>
      </c>
      <c r="U187" s="22" t="n">
        <f aca="false">R187*'Weights &amp; Assumptions'!$B$25/'Weights &amp; Assumptions'!$B$28+S187*'Weights &amp; Assumptions'!$B$26/'Weights &amp; Assumptions'!$B$28+T187*'Weights &amp; Assumptions'!$B$27/'Weights &amp; Assumptions'!$B$28</f>
        <v>142.09756655166</v>
      </c>
      <c r="V187" s="23" t="n">
        <f aca="false">IFERROR(Tabelle1!E188*'Weights &amp; Assumptions'!$F$6+Tabelle1!F188*'Weights &amp; Assumptions'!$F$7,"")</f>
        <v>74.1416825736284</v>
      </c>
      <c r="W187" s="23" t="n">
        <f aca="false">IFERROR(Tabelle1!G188*'Weights &amp; Assumptions'!$F$8+Tabelle1!H188*'Weights &amp; Assumptions'!$F$9+Tabelle1!J188*'Weights &amp; Assumptions'!$F$11,"")</f>
        <v>110.633653243895</v>
      </c>
      <c r="X187" s="23" t="n">
        <f aca="false">IFERROR(Tabelle1!I188*'Weights &amp; Assumptions'!$F$10+Tabelle1!K188*'Weights &amp; Assumptions'!$F$12+Tabelle1!L188*'Weights &amp; Assumptions'!$F$13+Tabelle1!M188*'Weights &amp; Assumptions'!$F$14+Tabelle1!N188*'Weights &amp; Assumptions'!$F$15+Tabelle1!O188*'Weights &amp; Assumptions'!$F$16+Tabelle1!P188*'Weights &amp; Assumptions'!$F$17+Tabelle1!Q188*'Weights &amp; Assumptions'!$F$18+Tabelle1!R188*'Weights &amp; Assumptions'!$F$19+Tabelle1!S188*'Weights &amp; Assumptions'!$F$20,"")</f>
        <v>154.284610189039</v>
      </c>
      <c r="Y187" s="22" t="n">
        <f aca="false">IFERROR(V187*'Weights &amp; Assumptions'!$B$25/'Weights &amp; Assumptions'!$B$28+W187*'Weights &amp; Assumptions'!$B$26/'Weights &amp; Assumptions'!$B$28+X187*'Weights &amp; Assumptions'!$B$27/'Weights &amp; Assumptions'!$B$28,"")</f>
        <v>135.95299991346</v>
      </c>
    </row>
    <row r="188" customFormat="false" ht="15" hidden="false" customHeight="false" outlineLevel="0" collapsed="false">
      <c r="A188" s="20" t="n">
        <v>43524</v>
      </c>
      <c r="B188" s="21" t="n">
        <v>143.6589</v>
      </c>
      <c r="C188" s="22" t="n">
        <v>117.85340558862</v>
      </c>
      <c r="D188" s="22" t="n">
        <v>156.207761314242</v>
      </c>
      <c r="E188" s="22" t="n">
        <v>86.8025909275166</v>
      </c>
      <c r="F188" s="22" t="n">
        <v>118.920128363845</v>
      </c>
      <c r="G188" s="22" t="n">
        <v>140.112246246385</v>
      </c>
      <c r="H188" s="22" t="n">
        <v>145.327494613699</v>
      </c>
      <c r="I188" s="22" t="n">
        <v>141.853416094825</v>
      </c>
      <c r="J188" s="22" t="n">
        <v>153.331303750472</v>
      </c>
      <c r="K188" s="22" t="n">
        <v>187.782866420358</v>
      </c>
      <c r="L188" s="22" t="n">
        <v>176.386824645734</v>
      </c>
      <c r="M188" s="22" t="n">
        <v>140.732319510128</v>
      </c>
      <c r="N188" s="22" t="n">
        <v>153.615374718782</v>
      </c>
      <c r="O188" s="22" t="n">
        <v>160.90868493238</v>
      </c>
      <c r="P188" s="22" t="n">
        <v>179.692266123903</v>
      </c>
      <c r="Q188" s="22" t="n">
        <v>145.322982110332</v>
      </c>
      <c r="R188" s="22" t="n">
        <f aca="false">C188*'Weights &amp; Assumptions'!$F$6+D188*'Weights &amp; Assumptions'!$F$7</f>
        <v>118.32334370242</v>
      </c>
      <c r="S188" s="22" t="n">
        <f aca="false">E188*'Weights &amp; Assumptions'!$F$8+F188*'Weights &amp; Assumptions'!$F$9+H188*'Weights &amp; Assumptions'!$F$11</f>
        <v>120.58664606682</v>
      </c>
      <c r="T188" s="22" t="n">
        <f aca="false">G188*'Weights &amp; Assumptions'!$F$10+I188*'Weights &amp; Assumptions'!$F$12+J188*'Weights &amp; Assumptions'!$F$13+K188*'Weights &amp; Assumptions'!$F$14+L188*'Weights &amp; Assumptions'!$F$15+M188*'Weights &amp; Assumptions'!$F$16+N188*'Weights &amp; Assumptions'!$F$17+O188*'Weights &amp; Assumptions'!$F$18+P188*'Weights &amp; Assumptions'!$F$19+Q188*'Weights &amp; Assumptions'!$F$20</f>
        <v>156.891991154384</v>
      </c>
      <c r="U188" s="22" t="n">
        <f aca="false">R188*'Weights &amp; Assumptions'!$B$25/'Weights &amp; Assumptions'!$B$28+S188*'Weights &amp; Assumptions'!$B$26/'Weights &amp; Assumptions'!$B$28+T188*'Weights &amp; Assumptions'!$B$27/'Weights &amp; Assumptions'!$B$28</f>
        <v>144.001824089856</v>
      </c>
      <c r="V188" s="23" t="n">
        <f aca="false">IFERROR(Tabelle1!E189*'Weights &amp; Assumptions'!$F$6+Tabelle1!F189*'Weights &amp; Assumptions'!$F$7,"")</f>
        <v>78.3604084406622</v>
      </c>
      <c r="W188" s="23" t="n">
        <f aca="false">IFERROR(Tabelle1!G189*'Weights &amp; Assumptions'!$F$8+Tabelle1!H189*'Weights &amp; Assumptions'!$F$9+Tabelle1!J189*'Weights &amp; Assumptions'!$F$11,"")</f>
        <v>110.368688657707</v>
      </c>
      <c r="X188" s="23" t="n">
        <f aca="false">IFERROR(Tabelle1!I189*'Weights &amp; Assumptions'!$F$10+Tabelle1!K189*'Weights &amp; Assumptions'!$F$12+Tabelle1!L189*'Weights &amp; Assumptions'!$F$13+Tabelle1!M189*'Weights &amp; Assumptions'!$F$14+Tabelle1!N189*'Weights &amp; Assumptions'!$F$15+Tabelle1!O189*'Weights &amp; Assumptions'!$F$16+Tabelle1!P189*'Weights &amp; Assumptions'!$F$17+Tabelle1!Q189*'Weights &amp; Assumptions'!$F$18+Tabelle1!R189*'Weights &amp; Assumptions'!$F$19+Tabelle1!S189*'Weights &amp; Assumptions'!$F$20,"")</f>
        <v>152.637554688603</v>
      </c>
      <c r="Y188" s="22" t="n">
        <f aca="false">IFERROR(V188*'Weights &amp; Assumptions'!$B$25/'Weights &amp; Assumptions'!$B$28+W188*'Weights &amp; Assumptions'!$B$26/'Weights &amp; Assumptions'!$B$28+X188*'Weights &amp; Assumptions'!$B$27/'Weights &amp; Assumptions'!$B$28,"")</f>
        <v>135.165610467939</v>
      </c>
    </row>
    <row r="189" customFormat="false" ht="15" hidden="false" customHeight="false" outlineLevel="0" collapsed="false">
      <c r="A189" s="20" t="n">
        <v>43555</v>
      </c>
      <c r="B189" s="21" t="n">
        <v>142.25994</v>
      </c>
      <c r="C189" s="22" t="n">
        <v>121.911335546368</v>
      </c>
      <c r="D189" s="22" t="n">
        <v>186.135003785455</v>
      </c>
      <c r="E189" s="22" t="n">
        <v>86.7777870184632</v>
      </c>
      <c r="F189" s="22" t="n">
        <v>117.432745046078</v>
      </c>
      <c r="G189" s="22" t="n">
        <v>134.106385154217</v>
      </c>
      <c r="H189" s="22" t="n">
        <v>145.683977605793</v>
      </c>
      <c r="I189" s="22" t="n">
        <v>141.001079545849</v>
      </c>
      <c r="J189" s="22" t="n">
        <v>161.629231847734</v>
      </c>
      <c r="K189" s="22" t="n">
        <v>190.021756674524</v>
      </c>
      <c r="L189" s="22" t="n">
        <v>168.220409401932</v>
      </c>
      <c r="M189" s="22" t="n">
        <v>139.894281592279</v>
      </c>
      <c r="N189" s="22" t="n">
        <v>153.76641850195</v>
      </c>
      <c r="O189" s="22" t="n">
        <v>160.945750093416</v>
      </c>
      <c r="P189" s="22" t="n">
        <v>180.935254350069</v>
      </c>
      <c r="Q189" s="22" t="n">
        <v>140.469810178851</v>
      </c>
      <c r="R189" s="22" t="n">
        <f aca="false">C189*'Weights &amp; Assumptions'!$F$6+D189*'Weights &amp; Assumptions'!$F$7</f>
        <v>122.698238335962</v>
      </c>
      <c r="S189" s="22" t="n">
        <f aca="false">E189*'Weights &amp; Assumptions'!$F$8+F189*'Weights &amp; Assumptions'!$F$9+H189*'Weights &amp; Assumptions'!$F$11</f>
        <v>119.658012281594</v>
      </c>
      <c r="T189" s="22" t="n">
        <f aca="false">G189*'Weights &amp; Assumptions'!$F$10+I189*'Weights &amp; Assumptions'!$F$12+J189*'Weights &amp; Assumptions'!$F$13+K189*'Weights &amp; Assumptions'!$F$14+L189*'Weights &amp; Assumptions'!$F$15+M189*'Weights &amp; Assumptions'!$F$16+N189*'Weights &amp; Assumptions'!$F$17+O189*'Weights &amp; Assumptions'!$F$18+P189*'Weights &amp; Assumptions'!$F$19+Q189*'Weights &amp; Assumptions'!$F$20</f>
        <v>156.311044808237</v>
      </c>
      <c r="U189" s="22" t="n">
        <f aca="false">R189*'Weights &amp; Assumptions'!$B$25/'Weights &amp; Assumptions'!$B$28+S189*'Weights &amp; Assumptions'!$B$26/'Weights &amp; Assumptions'!$B$28+T189*'Weights &amp; Assumptions'!$B$27/'Weights &amp; Assumptions'!$B$28</f>
        <v>143.744220762635</v>
      </c>
      <c r="V189" s="23" t="n">
        <f aca="false">IFERROR(Tabelle1!E190*'Weights &amp; Assumptions'!$F$6+Tabelle1!F190*'Weights &amp; Assumptions'!$F$7,"")</f>
        <v>160.459040494988</v>
      </c>
      <c r="W189" s="23" t="n">
        <f aca="false">IFERROR(Tabelle1!G190*'Weights &amp; Assumptions'!$F$8+Tabelle1!H190*'Weights &amp; Assumptions'!$F$9+Tabelle1!J190*'Weights &amp; Assumptions'!$F$11,"")</f>
        <v>118.714403238555</v>
      </c>
      <c r="X189" s="23" t="n">
        <f aca="false">IFERROR(Tabelle1!I190*'Weights &amp; Assumptions'!$F$10+Tabelle1!K190*'Weights &amp; Assumptions'!$F$12+Tabelle1!L190*'Weights &amp; Assumptions'!$F$13+Tabelle1!M190*'Weights &amp; Assumptions'!$F$14+Tabelle1!N190*'Weights &amp; Assumptions'!$F$15+Tabelle1!O190*'Weights &amp; Assumptions'!$F$16+Tabelle1!P190*'Weights &amp; Assumptions'!$F$17+Tabelle1!Q190*'Weights &amp; Assumptions'!$F$18+Tabelle1!R190*'Weights &amp; Assumptions'!$F$19+Tabelle1!S190*'Weights &amp; Assumptions'!$F$20,"")</f>
        <v>158.380660130025</v>
      </c>
      <c r="Y189" s="22" t="n">
        <f aca="false">IFERROR(V189*'Weights &amp; Assumptions'!$B$25/'Weights &amp; Assumptions'!$B$28+W189*'Weights &amp; Assumptions'!$B$26/'Weights &amp; Assumptions'!$B$28+X189*'Weights &amp; Assumptions'!$B$27/'Weights &amp; Assumptions'!$B$28,"")</f>
        <v>148.007087368105</v>
      </c>
    </row>
    <row r="190" customFormat="false" ht="15" hidden="false" customHeight="false" outlineLevel="0" collapsed="false">
      <c r="A190" s="20" t="n">
        <v>43585</v>
      </c>
      <c r="B190" s="21" t="n">
        <v>142.60579</v>
      </c>
      <c r="C190" s="22" t="n">
        <v>126.129950787431</v>
      </c>
      <c r="D190" s="22" t="n">
        <v>185.362457813957</v>
      </c>
      <c r="E190" s="22" t="n">
        <v>89.8812086816511</v>
      </c>
      <c r="F190" s="22" t="n">
        <v>120.174705845059</v>
      </c>
      <c r="G190" s="22" t="n">
        <v>139.741967880496</v>
      </c>
      <c r="H190" s="22" t="n">
        <v>147.925291928139</v>
      </c>
      <c r="I190" s="22" t="n">
        <v>142.410055441526</v>
      </c>
      <c r="J190" s="22" t="n">
        <v>169.068182537925</v>
      </c>
      <c r="K190" s="22" t="n">
        <v>191.646837564966</v>
      </c>
      <c r="L190" s="22" t="n">
        <v>171.979259291755</v>
      </c>
      <c r="M190" s="22" t="n">
        <v>142.219600826333</v>
      </c>
      <c r="N190" s="22" t="n">
        <v>155.702615279867</v>
      </c>
      <c r="O190" s="22" t="n">
        <v>162.584039994037</v>
      </c>
      <c r="P190" s="22" t="n">
        <v>181.455107634662</v>
      </c>
      <c r="Q190" s="22" t="n">
        <v>150.863012895673</v>
      </c>
      <c r="R190" s="22" t="n">
        <f aca="false">C190*'Weights &amp; Assumptions'!$F$6+D190*'Weights &amp; Assumptions'!$F$7</f>
        <v>126.855699195951</v>
      </c>
      <c r="S190" s="22" t="n">
        <f aca="false">E190*'Weights &amp; Assumptions'!$F$8+F190*'Weights &amp; Assumptions'!$F$9+H190*'Weights &amp; Assumptions'!$F$11</f>
        <v>122.338834194047</v>
      </c>
      <c r="T190" s="22" t="n">
        <f aca="false">G190*'Weights &amp; Assumptions'!$F$10+I190*'Weights &amp; Assumptions'!$F$12+J190*'Weights &amp; Assumptions'!$F$13+K190*'Weights &amp; Assumptions'!$F$14+L190*'Weights &amp; Assumptions'!$F$15+M190*'Weights &amp; Assumptions'!$F$16+N190*'Weights &amp; Assumptions'!$F$17+O190*'Weights &amp; Assumptions'!$F$18+P190*'Weights &amp; Assumptions'!$F$19+Q190*'Weights &amp; Assumptions'!$F$20</f>
        <v>159.013102816493</v>
      </c>
      <c r="U190" s="22" t="n">
        <f aca="false">R190*'Weights &amp; Assumptions'!$B$25/'Weights &amp; Assumptions'!$B$28+S190*'Weights &amp; Assumptions'!$B$26/'Weights &amp; Assumptions'!$B$28+T190*'Weights &amp; Assumptions'!$B$27/'Weights &amp; Assumptions'!$B$28</f>
        <v>146.562741232505</v>
      </c>
      <c r="V190" s="23" t="n">
        <f aca="false">IFERROR(Tabelle1!E191*'Weights &amp; Assumptions'!$F$6+Tabelle1!F191*'Weights &amp; Assumptions'!$F$7,"")</f>
        <v>230.040457596095</v>
      </c>
      <c r="W190" s="23" t="n">
        <f aca="false">IFERROR(Tabelle1!G191*'Weights &amp; Assumptions'!$F$8+Tabelle1!H191*'Weights &amp; Assumptions'!$F$9+Tabelle1!J191*'Weights &amp; Assumptions'!$F$11,"")</f>
        <v>117.696524074264</v>
      </c>
      <c r="X190" s="23" t="n">
        <f aca="false">IFERROR(Tabelle1!I191*'Weights &amp; Assumptions'!$F$10+Tabelle1!K191*'Weights &amp; Assumptions'!$F$12+Tabelle1!L191*'Weights &amp; Assumptions'!$F$13+Tabelle1!M191*'Weights &amp; Assumptions'!$F$14+Tabelle1!N191*'Weights &amp; Assumptions'!$F$15+Tabelle1!O191*'Weights &amp; Assumptions'!$F$16+Tabelle1!P191*'Weights &amp; Assumptions'!$F$17+Tabelle1!Q191*'Weights &amp; Assumptions'!$F$18+Tabelle1!R191*'Weights &amp; Assumptions'!$F$19+Tabelle1!S191*'Weights &amp; Assumptions'!$F$20,"")</f>
        <v>157.138020752773</v>
      </c>
      <c r="Y190" s="22" t="n">
        <f aca="false">IFERROR(V190*'Weights &amp; Assumptions'!$B$25/'Weights &amp; Assumptions'!$B$28+W190*'Weights &amp; Assumptions'!$B$26/'Weights &amp; Assumptions'!$B$28+X190*'Weights &amp; Assumptions'!$B$27/'Weights &amp; Assumptions'!$B$28,"")</f>
        <v>152.766412935824</v>
      </c>
    </row>
    <row r="191" customFormat="false" ht="15" hidden="false" customHeight="false" outlineLevel="0" collapsed="false">
      <c r="A191" s="20" t="n">
        <v>43616</v>
      </c>
      <c r="B191" s="21" t="n">
        <v>144.83825</v>
      </c>
      <c r="C191" s="22" t="n">
        <v>131.686388789739</v>
      </c>
      <c r="D191" s="22" t="n">
        <v>112.851754061349</v>
      </c>
      <c r="E191" s="22" t="n">
        <v>90.3457859340169</v>
      </c>
      <c r="F191" s="22" t="n">
        <v>122.490607699129</v>
      </c>
      <c r="G191" s="22" t="n">
        <v>140.25371319634</v>
      </c>
      <c r="H191" s="22" t="n">
        <v>152.982217576695</v>
      </c>
      <c r="I191" s="22" t="n">
        <v>144.356005041723</v>
      </c>
      <c r="J191" s="22" t="n">
        <v>170.394532442093</v>
      </c>
      <c r="K191" s="22" t="n">
        <v>195.135384493042</v>
      </c>
      <c r="L191" s="22" t="n">
        <v>170.174736177729</v>
      </c>
      <c r="M191" s="22" t="n">
        <v>142.131050269338</v>
      </c>
      <c r="N191" s="22" t="n">
        <v>156.119098443886</v>
      </c>
      <c r="O191" s="22" t="n">
        <v>162.688259765527</v>
      </c>
      <c r="P191" s="22" t="n">
        <v>182.020473704319</v>
      </c>
      <c r="Q191" s="22" t="n">
        <v>152.15571691467</v>
      </c>
      <c r="R191" s="22" t="n">
        <f aca="false">C191*'Weights &amp; Assumptions'!$F$6+D191*'Weights &amp; Assumptions'!$F$7</f>
        <v>131.455616754831</v>
      </c>
      <c r="S191" s="22" t="n">
        <f aca="false">E191*'Weights &amp; Assumptions'!$F$8+F191*'Weights &amp; Assumptions'!$F$9+H191*'Weights &amp; Assumptions'!$F$11</f>
        <v>125.004712127356</v>
      </c>
      <c r="T191" s="22" t="n">
        <f aca="false">G191*'Weights &amp; Assumptions'!$F$10+I191*'Weights &amp; Assumptions'!$F$12+J191*'Weights &amp; Assumptions'!$F$13+K191*'Weights &amp; Assumptions'!$F$14+L191*'Weights &amp; Assumptions'!$F$15+M191*'Weights &amp; Assumptions'!$F$16+N191*'Weights &amp; Assumptions'!$F$17+O191*'Weights &amp; Assumptions'!$F$18+P191*'Weights &amp; Assumptions'!$F$19+Q191*'Weights &amp; Assumptions'!$F$20</f>
        <v>159.996948097921</v>
      </c>
      <c r="U191" s="22" t="n">
        <f aca="false">R191*'Weights &amp; Assumptions'!$B$25/'Weights &amp; Assumptions'!$B$28+S191*'Weights &amp; Assumptions'!$B$26/'Weights &amp; Assumptions'!$B$28+T191*'Weights &amp; Assumptions'!$B$27/'Weights &amp; Assumptions'!$B$28</f>
        <v>148.29725985146</v>
      </c>
      <c r="V191" s="23" t="n">
        <f aca="false">IFERROR(Tabelle1!E192*'Weights &amp; Assumptions'!$F$6+Tabelle1!F192*'Weights &amp; Assumptions'!$F$7,"")</f>
        <v>338.765149232548</v>
      </c>
      <c r="W191" s="23" t="n">
        <f aca="false">IFERROR(Tabelle1!G192*'Weights &amp; Assumptions'!$F$8+Tabelle1!H192*'Weights &amp; Assumptions'!$F$9+Tabelle1!J192*'Weights &amp; Assumptions'!$F$11,"")</f>
        <v>125.774119122474</v>
      </c>
      <c r="X191" s="23" t="n">
        <f aca="false">IFERROR(Tabelle1!I192*'Weights &amp; Assumptions'!$F$10+Tabelle1!K192*'Weights &amp; Assumptions'!$F$12+Tabelle1!L192*'Weights &amp; Assumptions'!$F$13+Tabelle1!M192*'Weights &amp; Assumptions'!$F$14+Tabelle1!N192*'Weights &amp; Assumptions'!$F$15+Tabelle1!O192*'Weights &amp; Assumptions'!$F$16+Tabelle1!P192*'Weights &amp; Assumptions'!$F$17+Tabelle1!Q192*'Weights &amp; Assumptions'!$F$18+Tabelle1!R192*'Weights &amp; Assumptions'!$F$19+Tabelle1!S192*'Weights &amp; Assumptions'!$F$20,"")</f>
        <v>161.278471112733</v>
      </c>
      <c r="Y191" s="22" t="n">
        <f aca="false">IFERROR(V191*'Weights &amp; Assumptions'!$B$25/'Weights &amp; Assumptions'!$B$28+W191*'Weights &amp; Assumptions'!$B$26/'Weights &amp; Assumptions'!$B$28+X191*'Weights &amp; Assumptions'!$B$27/'Weights &amp; Assumptions'!$B$28,"")</f>
        <v>166.728523721013</v>
      </c>
    </row>
    <row r="192" customFormat="false" ht="15" hidden="false" customHeight="false" outlineLevel="0" collapsed="false">
      <c r="A192" s="20" t="n">
        <v>43646</v>
      </c>
      <c r="B192" s="21" t="n">
        <v>144.03378</v>
      </c>
      <c r="C192" s="22" t="n">
        <v>128.059875326141</v>
      </c>
      <c r="D192" s="22" t="n">
        <v>170.023694367327</v>
      </c>
      <c r="E192" s="22" t="n">
        <v>90.0374223343959</v>
      </c>
      <c r="F192" s="22" t="n">
        <v>116.886926320996</v>
      </c>
      <c r="G192" s="22" t="n">
        <v>132.95464569629</v>
      </c>
      <c r="H192" s="22" t="n">
        <v>144.351360388016</v>
      </c>
      <c r="I192" s="22" t="n">
        <v>139.699350094704</v>
      </c>
      <c r="J192" s="22" t="n">
        <v>172.330169873947</v>
      </c>
      <c r="K192" s="22" t="n">
        <v>193.014558672808</v>
      </c>
      <c r="L192" s="22" t="n">
        <v>164.333887031771</v>
      </c>
      <c r="M192" s="22" t="n">
        <v>141.025305908059</v>
      </c>
      <c r="N192" s="22" t="n">
        <v>155.7973275048</v>
      </c>
      <c r="O192" s="22" t="n">
        <v>163.02418991976</v>
      </c>
      <c r="P192" s="22" t="n">
        <v>181.801792465313</v>
      </c>
      <c r="Q192" s="22" t="n">
        <v>154.29338875758</v>
      </c>
      <c r="R192" s="22" t="n">
        <f aca="false">C192*'Weights &amp; Assumptions'!$F$6+D192*'Weights &amp; Assumptions'!$F$7</f>
        <v>128.574038518169</v>
      </c>
      <c r="S192" s="22" t="n">
        <f aca="false">E192*'Weights &amp; Assumptions'!$F$8+F192*'Weights &amp; Assumptions'!$F$9+H192*'Weights &amp; Assumptions'!$F$11</f>
        <v>119.402647341898</v>
      </c>
      <c r="T192" s="22" t="n">
        <f aca="false">G192*'Weights &amp; Assumptions'!$F$10+I192*'Weights &amp; Assumptions'!$F$12+J192*'Weights &amp; Assumptions'!$F$13+K192*'Weights &amp; Assumptions'!$F$14+L192*'Weights &amp; Assumptions'!$F$15+M192*'Weights &amp; Assumptions'!$F$16+N192*'Weights &amp; Assumptions'!$F$17+O192*'Weights &amp; Assumptions'!$F$18+P192*'Weights &amp; Assumptions'!$F$19+Q192*'Weights &amp; Assumptions'!$F$20</f>
        <v>158.049406971831</v>
      </c>
      <c r="U192" s="22" t="n">
        <f aca="false">R192*'Weights &amp; Assumptions'!$B$25/'Weights &amp; Assumptions'!$B$28+S192*'Weights &amp; Assumptions'!$B$26/'Weights &amp; Assumptions'!$B$28+T192*'Weights &amp; Assumptions'!$B$27/'Weights &amp; Assumptions'!$B$28</f>
        <v>145.29955055564</v>
      </c>
      <c r="V192" s="23" t="n">
        <f aca="false">IFERROR(Tabelle1!E193*'Weights &amp; Assumptions'!$F$6+Tabelle1!F193*'Weights &amp; Assumptions'!$F$7,"")</f>
        <v>222.304177598956</v>
      </c>
      <c r="W192" s="23" t="n">
        <f aca="false">IFERROR(Tabelle1!G193*'Weights &amp; Assumptions'!$F$8+Tabelle1!H193*'Weights &amp; Assumptions'!$F$9+Tabelle1!J193*'Weights &amp; Assumptions'!$F$11,"")</f>
        <v>121.047159822201</v>
      </c>
      <c r="X192" s="23" t="n">
        <f aca="false">IFERROR(Tabelle1!I193*'Weights &amp; Assumptions'!$F$10+Tabelle1!K193*'Weights &amp; Assumptions'!$F$12+Tabelle1!L193*'Weights &amp; Assumptions'!$F$13+Tabelle1!M193*'Weights &amp; Assumptions'!$F$14+Tabelle1!N193*'Weights &amp; Assumptions'!$F$15+Tabelle1!O193*'Weights &amp; Assumptions'!$F$16+Tabelle1!P193*'Weights &amp; Assumptions'!$F$17+Tabelle1!Q193*'Weights &amp; Assumptions'!$F$18+Tabelle1!R193*'Weights &amp; Assumptions'!$F$19+Tabelle1!S193*'Weights &amp; Assumptions'!$F$20,"")</f>
        <v>159.706269461398</v>
      </c>
      <c r="Y192" s="22" t="n">
        <f aca="false">IFERROR(V192*'Weights &amp; Assumptions'!$B$25/'Weights &amp; Assumptions'!$B$28+W192*'Weights &amp; Assumptions'!$B$26/'Weights &amp; Assumptions'!$B$28+X192*'Weights &amp; Assumptions'!$B$27/'Weights &amp; Assumptions'!$B$28,"")</f>
        <v>154.678153491243</v>
      </c>
    </row>
    <row r="193" customFormat="false" ht="15" hidden="false" customHeight="false" outlineLevel="0" collapsed="false">
      <c r="A193" s="20" t="n">
        <v>43677</v>
      </c>
      <c r="B193" s="21" t="n">
        <v>145.83568</v>
      </c>
      <c r="C193" s="22" t="n">
        <v>123.413223807393</v>
      </c>
      <c r="D193" s="22" t="n">
        <v>183.676972513375</v>
      </c>
      <c r="E193" s="22" t="n">
        <v>90.1970666429797</v>
      </c>
      <c r="F193" s="22" t="n">
        <v>120.640615085269</v>
      </c>
      <c r="G193" s="22" t="n">
        <v>137.900029345543</v>
      </c>
      <c r="H193" s="22" t="n">
        <v>144.816840963067</v>
      </c>
      <c r="I193" s="22" t="n">
        <v>142.725847255626</v>
      </c>
      <c r="J193" s="22" t="n">
        <v>177.417270730365</v>
      </c>
      <c r="K193" s="22" t="n">
        <v>194.551279441128</v>
      </c>
      <c r="L193" s="22" t="n">
        <v>167.547048412027</v>
      </c>
      <c r="M193" s="22" t="n">
        <v>142.867109506502</v>
      </c>
      <c r="N193" s="22" t="n">
        <v>155.920309206842</v>
      </c>
      <c r="O193" s="22" t="n">
        <v>163.166048097537</v>
      </c>
      <c r="P193" s="22" t="n">
        <v>181.233619737088</v>
      </c>
      <c r="Q193" s="22" t="n">
        <v>156.138150597483</v>
      </c>
      <c r="R193" s="22" t="n">
        <f aca="false">C193*'Weights &amp; Assumptions'!$F$6+D193*'Weights &amp; Assumptions'!$F$7</f>
        <v>124.151607541434</v>
      </c>
      <c r="S193" s="22" t="n">
        <f aca="false">E193*'Weights &amp; Assumptions'!$F$8+F193*'Weights &amp; Assumptions'!$F$9+H193*'Weights &amp; Assumptions'!$F$11</f>
        <v>122.042204003317</v>
      </c>
      <c r="T193" s="22" t="n">
        <f aca="false">G193*'Weights &amp; Assumptions'!$F$10+I193*'Weights &amp; Assumptions'!$F$12+J193*'Weights &amp; Assumptions'!$F$13+K193*'Weights &amp; Assumptions'!$F$14+L193*'Weights &amp; Assumptions'!$F$15+M193*'Weights &amp; Assumptions'!$F$16+N193*'Weights &amp; Assumptions'!$F$17+O193*'Weights &amp; Assumptions'!$F$18+P193*'Weights &amp; Assumptions'!$F$19+Q193*'Weights &amp; Assumptions'!$F$20</f>
        <v>159.969473209736</v>
      </c>
      <c r="U193" s="22" t="n">
        <f aca="false">R193*'Weights &amp; Assumptions'!$B$25/'Weights &amp; Assumptions'!$B$28+S193*'Weights &amp; Assumptions'!$B$26/'Weights &amp; Assumptions'!$B$28+T193*'Weights &amp; Assumptions'!$B$27/'Weights &amp; Assumptions'!$B$28</f>
        <v>146.878801070812</v>
      </c>
      <c r="V193" s="23" t="n">
        <f aca="false">IFERROR(Tabelle1!E194*'Weights &amp; Assumptions'!$F$6+Tabelle1!F194*'Weights &amp; Assumptions'!$F$7,"")</f>
        <v>128.387673923672</v>
      </c>
      <c r="W193" s="23" t="n">
        <f aca="false">IFERROR(Tabelle1!G194*'Weights &amp; Assumptions'!$F$8+Tabelle1!H194*'Weights &amp; Assumptions'!$F$9+Tabelle1!J194*'Weights &amp; Assumptions'!$F$11,"")</f>
        <v>125.580821509563</v>
      </c>
      <c r="X193" s="23" t="n">
        <f aca="false">IFERROR(Tabelle1!I194*'Weights &amp; Assumptions'!$F$10+Tabelle1!K194*'Weights &amp; Assumptions'!$F$12+Tabelle1!L194*'Weights &amp; Assumptions'!$F$13+Tabelle1!M194*'Weights &amp; Assumptions'!$F$14+Tabelle1!N194*'Weights &amp; Assumptions'!$F$15+Tabelle1!O194*'Weights &amp; Assumptions'!$F$16+Tabelle1!P194*'Weights &amp; Assumptions'!$F$17+Tabelle1!Q194*'Weights &amp; Assumptions'!$F$18+Tabelle1!R194*'Weights &amp; Assumptions'!$F$19+Tabelle1!S194*'Weights &amp; Assumptions'!$F$20,"")</f>
        <v>161.752758256291</v>
      </c>
      <c r="Y193" s="22" t="n">
        <f aca="false">IFERROR(V193*'Weights &amp; Assumptions'!$B$25/'Weights &amp; Assumptions'!$B$28+W193*'Weights &amp; Assumptions'!$B$26/'Weights &amp; Assumptions'!$B$28+X193*'Weights &amp; Assumptions'!$B$27/'Weights &amp; Assumptions'!$B$28,"")</f>
        <v>149.3346500761</v>
      </c>
    </row>
    <row r="194" customFormat="false" ht="15" hidden="false" customHeight="false" outlineLevel="0" collapsed="false">
      <c r="A194" s="20" t="n">
        <v>43708</v>
      </c>
      <c r="B194" s="21" t="n">
        <v>144.79059</v>
      </c>
      <c r="C194" s="22" t="n">
        <v>117.078929752784</v>
      </c>
      <c r="D194" s="22" t="n">
        <v>160.242881772967</v>
      </c>
      <c r="E194" s="22" t="n">
        <v>89.2514517394189</v>
      </c>
      <c r="F194" s="22" t="n">
        <v>118.480886758265</v>
      </c>
      <c r="G194" s="22" t="n">
        <v>138.034419721024</v>
      </c>
      <c r="H194" s="22" t="n">
        <v>144.629271904727</v>
      </c>
      <c r="I194" s="22" t="n">
        <v>139.686378582198</v>
      </c>
      <c r="J194" s="22" t="n">
        <v>167.690481948552</v>
      </c>
      <c r="K194" s="22" t="n">
        <v>191.435225513058</v>
      </c>
      <c r="L194" s="22" t="n">
        <v>164.432475591653</v>
      </c>
      <c r="M194" s="22" t="n">
        <v>140.673407338764</v>
      </c>
      <c r="N194" s="22" t="n">
        <v>156.67129141696</v>
      </c>
      <c r="O194" s="22" t="n">
        <v>162.695058915099</v>
      </c>
      <c r="P194" s="22" t="n">
        <v>181.702179733221</v>
      </c>
      <c r="Q194" s="22" t="n">
        <v>148.469846552527</v>
      </c>
      <c r="R194" s="22" t="n">
        <f aca="false">C194*'Weights &amp; Assumptions'!$F$6+D194*'Weights &amp; Assumptions'!$F$7</f>
        <v>117.607797617014</v>
      </c>
      <c r="S194" s="22" t="n">
        <f aca="false">E194*'Weights &amp; Assumptions'!$F$8+F194*'Weights &amp; Assumptions'!$F$9+H194*'Weights &amp; Assumptions'!$F$11</f>
        <v>120.438285392845</v>
      </c>
      <c r="T194" s="22" t="n">
        <f aca="false">G194*'Weights &amp; Assumptions'!$F$10+I194*'Weights &amp; Assumptions'!$F$12+J194*'Weights &amp; Assumptions'!$F$13+K194*'Weights &amp; Assumptions'!$F$14+L194*'Weights &amp; Assumptions'!$F$15+M194*'Weights &amp; Assumptions'!$F$16+N194*'Weights &amp; Assumptions'!$F$17+O194*'Weights &amp; Assumptions'!$F$18+P194*'Weights &amp; Assumptions'!$F$19+Q194*'Weights &amp; Assumptions'!$F$20</f>
        <v>157.410980290415</v>
      </c>
      <c r="U194" s="22" t="n">
        <f aca="false">R194*'Weights &amp; Assumptions'!$B$25/'Weights &amp; Assumptions'!$B$28+S194*'Weights &amp; Assumptions'!$B$26/'Weights &amp; Assumptions'!$B$28+T194*'Weights &amp; Assumptions'!$B$27/'Weights &amp; Assumptions'!$B$28</f>
        <v>144.239774721573</v>
      </c>
      <c r="V194" s="23" t="n">
        <f aca="false">IFERROR(Tabelle1!E195*'Weights &amp; Assumptions'!$F$6+Tabelle1!F195*'Weights &amp; Assumptions'!$F$7,"")</f>
        <v>80.6227483167066</v>
      </c>
      <c r="W194" s="23" t="n">
        <f aca="false">IFERROR(Tabelle1!G195*'Weights &amp; Assumptions'!$F$8+Tabelle1!H195*'Weights &amp; Assumptions'!$F$9+Tabelle1!J195*'Weights &amp; Assumptions'!$F$11,"")</f>
        <v>127.842824381275</v>
      </c>
      <c r="X194" s="23" t="n">
        <f aca="false">IFERROR(Tabelle1!I195*'Weights &amp; Assumptions'!$F$10+Tabelle1!K195*'Weights &amp; Assumptions'!$F$12+Tabelle1!L195*'Weights &amp; Assumptions'!$F$13+Tabelle1!M195*'Weights &amp; Assumptions'!$F$14+Tabelle1!N195*'Weights &amp; Assumptions'!$F$15+Tabelle1!O195*'Weights &amp; Assumptions'!$F$16+Tabelle1!P195*'Weights &amp; Assumptions'!$F$17+Tabelle1!Q195*'Weights &amp; Assumptions'!$F$18+Tabelle1!R195*'Weights &amp; Assumptions'!$F$19+Tabelle1!S195*'Weights &amp; Assumptions'!$F$20,"")</f>
        <v>158.266543571395</v>
      </c>
      <c r="Y194" s="22" t="n">
        <f aca="false">IFERROR(V194*'Weights &amp; Assumptions'!$B$25/'Weights &amp; Assumptions'!$B$28+W194*'Weights &amp; Assumptions'!$B$26/'Weights &amp; Assumptions'!$B$28+X194*'Weights &amp; Assumptions'!$B$27/'Weights &amp; Assumptions'!$B$28,"")</f>
        <v>143.661966155288</v>
      </c>
    </row>
    <row r="195" customFormat="false" ht="15" hidden="false" customHeight="false" outlineLevel="0" collapsed="false">
      <c r="A195" s="20" t="n">
        <v>43738</v>
      </c>
      <c r="B195" s="21" t="n">
        <v>140.55731</v>
      </c>
      <c r="C195" s="22" t="n">
        <v>115.672272113516</v>
      </c>
      <c r="D195" s="22" t="n">
        <v>113.919724781049</v>
      </c>
      <c r="E195" s="22" t="n">
        <v>88.8976367967909</v>
      </c>
      <c r="F195" s="22" t="n">
        <v>114.064514167468</v>
      </c>
      <c r="G195" s="22" t="n">
        <v>139.635533929271</v>
      </c>
      <c r="H195" s="22" t="n">
        <v>139.745106623544</v>
      </c>
      <c r="I195" s="22" t="n">
        <v>134.968802690326</v>
      </c>
      <c r="J195" s="22" t="n">
        <v>168.634390932274</v>
      </c>
      <c r="K195" s="22" t="n">
        <v>189.799688059052</v>
      </c>
      <c r="L195" s="22" t="n">
        <v>161.429586552135</v>
      </c>
      <c r="M195" s="22" t="n">
        <v>140.455611179119</v>
      </c>
      <c r="N195" s="22" t="n">
        <v>156.81760007081</v>
      </c>
      <c r="O195" s="22" t="n">
        <v>162.572249173229</v>
      </c>
      <c r="P195" s="22" t="n">
        <v>180.553503345888</v>
      </c>
      <c r="Q195" s="22" t="n">
        <v>148.0940311143</v>
      </c>
      <c r="R195" s="22" t="n">
        <f aca="false">C195*'Weights &amp; Assumptions'!$F$6+D195*'Weights &amp; Assumptions'!$F$7</f>
        <v>115.650798964712</v>
      </c>
      <c r="S195" s="22" t="n">
        <f aca="false">E195*'Weights &amp; Assumptions'!$F$8+F195*'Weights &amp; Assumptions'!$F$9+H195*'Weights &amp; Assumptions'!$F$11</f>
        <v>116.4095206122</v>
      </c>
      <c r="T195" s="22" t="n">
        <f aca="false">G195*'Weights &amp; Assumptions'!$F$10+I195*'Weights &amp; Assumptions'!$F$12+J195*'Weights &amp; Assumptions'!$F$13+K195*'Weights &amp; Assumptions'!$F$14+L195*'Weights &amp; Assumptions'!$F$15+M195*'Weights &amp; Assumptions'!$F$16+N195*'Weights &amp; Assumptions'!$F$17+O195*'Weights &amp; Assumptions'!$F$18+P195*'Weights &amp; Assumptions'!$F$19+Q195*'Weights &amp; Assumptions'!$F$20</f>
        <v>155.929709689293</v>
      </c>
      <c r="U195" s="22" t="n">
        <f aca="false">R195*'Weights &amp; Assumptions'!$B$25/'Weights &amp; Assumptions'!$B$28+S195*'Weights &amp; Assumptions'!$B$26/'Weights &amp; Assumptions'!$B$28+T195*'Weights &amp; Assumptions'!$B$27/'Weights &amp; Assumptions'!$B$28</f>
        <v>142.041166938673</v>
      </c>
      <c r="V195" s="23" t="n">
        <f aca="false">IFERROR(Tabelle1!E196*'Weights &amp; Assumptions'!$F$6+Tabelle1!F196*'Weights &amp; Assumptions'!$F$7,"")</f>
        <v>71.9353723668371</v>
      </c>
      <c r="W195" s="23" t="n">
        <f aca="false">IFERROR(Tabelle1!G196*'Weights &amp; Assumptions'!$F$8+Tabelle1!H196*'Weights &amp; Assumptions'!$F$9+Tabelle1!J196*'Weights &amp; Assumptions'!$F$11,"")</f>
        <v>118.227023398378</v>
      </c>
      <c r="X195" s="23" t="n">
        <f aca="false">IFERROR(Tabelle1!I196*'Weights &amp; Assumptions'!$F$10+Tabelle1!K196*'Weights &amp; Assumptions'!$F$12+Tabelle1!L196*'Weights &amp; Assumptions'!$F$13+Tabelle1!M196*'Weights &amp; Assumptions'!$F$14+Tabelle1!N196*'Weights &amp; Assumptions'!$F$15+Tabelle1!O196*'Weights &amp; Assumptions'!$F$16+Tabelle1!P196*'Weights &amp; Assumptions'!$F$17+Tabelle1!Q196*'Weights &amp; Assumptions'!$F$18+Tabelle1!R196*'Weights &amp; Assumptions'!$F$19+Tabelle1!S196*'Weights &amp; Assumptions'!$F$20,"")</f>
        <v>153.769682166467</v>
      </c>
      <c r="Y195" s="22" t="n">
        <f aca="false">IFERROR(V195*'Weights &amp; Assumptions'!$B$25/'Weights &amp; Assumptions'!$B$28+W195*'Weights &amp; Assumptions'!$B$26/'Weights &amp; Assumptions'!$B$28+X195*'Weights &amp; Assumptions'!$B$27/'Weights &amp; Assumptions'!$B$28,"")</f>
        <v>137.452301640437</v>
      </c>
    </row>
    <row r="196" customFormat="false" ht="15" hidden="false" customHeight="false" outlineLevel="0" collapsed="false">
      <c r="A196" s="20" t="n">
        <v>43769</v>
      </c>
      <c r="B196" s="21" t="n">
        <v>143.79727</v>
      </c>
      <c r="C196" s="22" t="n">
        <v>118.40759930587</v>
      </c>
      <c r="D196" s="22" t="n">
        <v>162.47190338338</v>
      </c>
      <c r="E196" s="22" t="n">
        <v>88.7450859740162</v>
      </c>
      <c r="F196" s="22" t="n">
        <v>118.043915929378</v>
      </c>
      <c r="G196" s="22" t="n">
        <v>144.371257804819</v>
      </c>
      <c r="H196" s="22" t="n">
        <v>134.721392911099</v>
      </c>
      <c r="I196" s="22" t="n">
        <v>140.613194700049</v>
      </c>
      <c r="J196" s="22" t="n">
        <v>166.656019596472</v>
      </c>
      <c r="K196" s="22" t="n">
        <v>189.813726568601</v>
      </c>
      <c r="L196" s="22" t="n">
        <v>165.430386558338</v>
      </c>
      <c r="M196" s="22" t="n">
        <v>140.19357955379</v>
      </c>
      <c r="N196" s="22" t="n">
        <v>156.355125153122</v>
      </c>
      <c r="O196" s="22" t="n">
        <v>161.852072366297</v>
      </c>
      <c r="P196" s="22" t="n">
        <v>179.896100877412</v>
      </c>
      <c r="Q196" s="22" t="n">
        <v>137.171238051343</v>
      </c>
      <c r="R196" s="22" t="n">
        <f aca="false">C196*'Weights &amp; Assumptions'!$F$6+D196*'Weights &amp; Assumptions'!$F$7</f>
        <v>118.947498765849</v>
      </c>
      <c r="S196" s="22" t="n">
        <f aca="false">E196*'Weights &amp; Assumptions'!$F$8+F196*'Weights &amp; Assumptions'!$F$9+H196*'Weights &amp; Assumptions'!$F$11</f>
        <v>118.020015107597</v>
      </c>
      <c r="T196" s="22" t="n">
        <f aca="false">G196*'Weights &amp; Assumptions'!$F$10+I196*'Weights &amp; Assumptions'!$F$12+J196*'Weights &amp; Assumptions'!$F$13+K196*'Weights &amp; Assumptions'!$F$14+L196*'Weights &amp; Assumptions'!$F$15+M196*'Weights &amp; Assumptions'!$F$16+N196*'Weights &amp; Assumptions'!$F$17+O196*'Weights &amp; Assumptions'!$F$18+P196*'Weights &amp; Assumptions'!$F$19+Q196*'Weights &amp; Assumptions'!$F$20</f>
        <v>156.630274607684</v>
      </c>
      <c r="U196" s="22" t="n">
        <f aca="false">R196*'Weights &amp; Assumptions'!$B$25/'Weights &amp; Assumptions'!$B$28+S196*'Weights &amp; Assumptions'!$B$26/'Weights &amp; Assumptions'!$B$28+T196*'Weights &amp; Assumptions'!$B$27/'Weights &amp; Assumptions'!$B$28</f>
        <v>143.201515903551</v>
      </c>
      <c r="V196" s="23" t="n">
        <f aca="false">IFERROR(Tabelle1!E197*'Weights &amp; Assumptions'!$F$6+Tabelle1!F197*'Weights &amp; Assumptions'!$F$7,"")</f>
        <v>82.3544361516549</v>
      </c>
      <c r="W196" s="23" t="n">
        <f aca="false">IFERROR(Tabelle1!G197*'Weights &amp; Assumptions'!$F$8+Tabelle1!H197*'Weights &amp; Assumptions'!$F$9+Tabelle1!J197*'Weights &amp; Assumptions'!$F$11,"")</f>
        <v>126.339212380997</v>
      </c>
      <c r="X196" s="23" t="n">
        <f aca="false">IFERROR(Tabelle1!I197*'Weights &amp; Assumptions'!$F$10+Tabelle1!K197*'Weights &amp; Assumptions'!$F$12+Tabelle1!L197*'Weights &amp; Assumptions'!$F$13+Tabelle1!M197*'Weights &amp; Assumptions'!$F$14+Tabelle1!N197*'Weights &amp; Assumptions'!$F$15+Tabelle1!O197*'Weights &amp; Assumptions'!$F$16+Tabelle1!P197*'Weights &amp; Assumptions'!$F$17+Tabelle1!Q197*'Weights &amp; Assumptions'!$F$18+Tabelle1!R197*'Weights &amp; Assumptions'!$F$19+Tabelle1!S197*'Weights &amp; Assumptions'!$F$20,"")</f>
        <v>158.063063312406</v>
      </c>
      <c r="Y196" s="22" t="n">
        <f aca="false">IFERROR(V196*'Weights &amp; Assumptions'!$B$25/'Weights &amp; Assumptions'!$B$28+W196*'Weights &amp; Assumptions'!$B$26/'Weights &amp; Assumptions'!$B$28+X196*'Weights &amp; Assumptions'!$B$27/'Weights &amp; Assumptions'!$B$28,"")</f>
        <v>143.275120368899</v>
      </c>
    </row>
    <row r="197" customFormat="false" ht="15" hidden="false" customHeight="false" outlineLevel="0" collapsed="false">
      <c r="A197" s="20" t="n">
        <v>43799</v>
      </c>
      <c r="B197" s="21" t="n">
        <v>140.88369</v>
      </c>
      <c r="C197" s="22" t="n">
        <v>115.672571597523</v>
      </c>
      <c r="D197" s="22" t="n">
        <v>145.428163648356</v>
      </c>
      <c r="E197" s="22" t="n">
        <v>88.0356423242019</v>
      </c>
      <c r="F197" s="22" t="n">
        <v>112.839270832668</v>
      </c>
      <c r="G197" s="22" t="n">
        <v>142.538250438855</v>
      </c>
      <c r="H197" s="22" t="n">
        <v>133.023228976087</v>
      </c>
      <c r="I197" s="22" t="n">
        <v>135.944284143656</v>
      </c>
      <c r="J197" s="22" t="n">
        <v>168.624181110344</v>
      </c>
      <c r="K197" s="22" t="n">
        <v>187.189248550464</v>
      </c>
      <c r="L197" s="22" t="n">
        <v>162.868201787991</v>
      </c>
      <c r="M197" s="22" t="n">
        <v>138.411982717876</v>
      </c>
      <c r="N197" s="22" t="n">
        <v>156.158297183642</v>
      </c>
      <c r="O197" s="22" t="n">
        <v>161.645485598095</v>
      </c>
      <c r="P197" s="22" t="n">
        <v>179.755027418902</v>
      </c>
      <c r="Q197" s="22" t="n">
        <v>136.750162331976</v>
      </c>
      <c r="R197" s="22" t="n">
        <f aca="false">C197*'Weights &amp; Assumptions'!$F$6+D197*'Weights &amp; Assumptions'!$F$7</f>
        <v>116.037153052193</v>
      </c>
      <c r="S197" s="22" t="n">
        <f aca="false">E197*'Weights &amp; Assumptions'!$F$8+F197*'Weights &amp; Assumptions'!$F$9+H197*'Weights &amp; Assumptions'!$F$11</f>
        <v>114.082569609461</v>
      </c>
      <c r="T197" s="22" t="n">
        <f aca="false">G197*'Weights &amp; Assumptions'!$F$10+I197*'Weights &amp; Assumptions'!$F$12+J197*'Weights &amp; Assumptions'!$F$13+K197*'Weights &amp; Assumptions'!$F$14+L197*'Weights &amp; Assumptions'!$F$15+M197*'Weights &amp; Assumptions'!$F$16+N197*'Weights &amp; Assumptions'!$F$17+O197*'Weights &amp; Assumptions'!$F$18+P197*'Weights &amp; Assumptions'!$F$19+Q197*'Weights &amp; Assumptions'!$F$20</f>
        <v>154.71223753344</v>
      </c>
      <c r="U197" s="22" t="n">
        <f aca="false">R197*'Weights &amp; Assumptions'!$B$25/'Weights &amp; Assumptions'!$B$28+S197*'Weights &amp; Assumptions'!$B$26/'Weights &amp; Assumptions'!$B$28+T197*'Weights &amp; Assumptions'!$B$27/'Weights &amp; Assumptions'!$B$28</f>
        <v>140.66322733339</v>
      </c>
      <c r="V197" s="23" t="n">
        <f aca="false">IFERROR(Tabelle1!E198*'Weights &amp; Assumptions'!$F$6+Tabelle1!F198*'Weights &amp; Assumptions'!$F$7,"")</f>
        <v>91.044495050357</v>
      </c>
      <c r="W197" s="23" t="n">
        <f aca="false">IFERROR(Tabelle1!G198*'Weights &amp; Assumptions'!$F$8+Tabelle1!H198*'Weights &amp; Assumptions'!$F$9+Tabelle1!J198*'Weights &amp; Assumptions'!$F$11,"")</f>
        <v>118.709695863048</v>
      </c>
      <c r="X197" s="23" t="n">
        <f aca="false">IFERROR(Tabelle1!I198*'Weights &amp; Assumptions'!$F$10+Tabelle1!K198*'Weights &amp; Assumptions'!$F$12+Tabelle1!L198*'Weights &amp; Assumptions'!$F$13+Tabelle1!M198*'Weights &amp; Assumptions'!$F$14+Tabelle1!N198*'Weights &amp; Assumptions'!$F$15+Tabelle1!O198*'Weights &amp; Assumptions'!$F$16+Tabelle1!P198*'Weights &amp; Assumptions'!$F$17+Tabelle1!Q198*'Weights &amp; Assumptions'!$F$18+Tabelle1!R198*'Weights &amp; Assumptions'!$F$19+Tabelle1!S198*'Weights &amp; Assumptions'!$F$20,"")</f>
        <v>155.873145617234</v>
      </c>
      <c r="Y197" s="22" t="n">
        <f aca="false">IFERROR(V197*'Weights &amp; Assumptions'!$B$25/'Weights &amp; Assumptions'!$B$28+W197*'Weights &amp; Assumptions'!$B$26/'Weights &amp; Assumptions'!$B$28+X197*'Weights &amp; Assumptions'!$B$27/'Weights &amp; Assumptions'!$B$28,"")</f>
        <v>140.551557417465</v>
      </c>
    </row>
    <row r="198" customFormat="false" ht="15" hidden="false" customHeight="false" outlineLevel="0" collapsed="false">
      <c r="A198" s="20" t="n">
        <v>43830</v>
      </c>
      <c r="B198" s="21" t="n">
        <v>140.12669</v>
      </c>
      <c r="C198" s="22" t="n">
        <v>108.660467185485</v>
      </c>
      <c r="D198" s="22" t="n">
        <v>157.15432900625</v>
      </c>
      <c r="E198" s="22" t="n">
        <v>88.0797449912078</v>
      </c>
      <c r="F198" s="22" t="n">
        <v>114.322399969197</v>
      </c>
      <c r="G198" s="22" t="n">
        <v>140.188518466151</v>
      </c>
      <c r="H198" s="22" t="n">
        <v>127.618839582409</v>
      </c>
      <c r="I198" s="22" t="n">
        <v>135.183978526664</v>
      </c>
      <c r="J198" s="22" t="n">
        <v>163.612326497089</v>
      </c>
      <c r="K198" s="22" t="n">
        <v>187.373225052718</v>
      </c>
      <c r="L198" s="22" t="n">
        <v>162.946624919338</v>
      </c>
      <c r="M198" s="22" t="n">
        <v>139.113438009618</v>
      </c>
      <c r="N198" s="22" t="n">
        <v>155.389054138019</v>
      </c>
      <c r="O198" s="22" t="n">
        <v>161.335107757154</v>
      </c>
      <c r="P198" s="22" t="n">
        <v>179.23079175567</v>
      </c>
      <c r="Q198" s="22" t="n">
        <v>132.179535423152</v>
      </c>
      <c r="R198" s="22" t="n">
        <f aca="false">C198*'Weights &amp; Assumptions'!$F$6+D198*'Weights &amp; Assumptions'!$F$7</f>
        <v>109.254639959966</v>
      </c>
      <c r="S198" s="22" t="n">
        <f aca="false">E198*'Weights &amp; Assumptions'!$F$8+F198*'Weights &amp; Assumptions'!$F$9+H198*'Weights &amp; Assumptions'!$F$11</f>
        <v>113.959049499135</v>
      </c>
      <c r="T198" s="22" t="n">
        <f aca="false">G198*'Weights &amp; Assumptions'!$F$10+I198*'Weights &amp; Assumptions'!$F$12+J198*'Weights &amp; Assumptions'!$F$13+K198*'Weights &amp; Assumptions'!$F$14+L198*'Weights &amp; Assumptions'!$F$15+M198*'Weights &amp; Assumptions'!$F$16+N198*'Weights &amp; Assumptions'!$F$17+O198*'Weights &amp; Assumptions'!$F$18+P198*'Weights &amp; Assumptions'!$F$19+Q198*'Weights &amp; Assumptions'!$F$20</f>
        <v>154.048812412124</v>
      </c>
      <c r="U198" s="22" t="n">
        <f aca="false">R198*'Weights &amp; Assumptions'!$B$25/'Weights &amp; Assumptions'!$B$28+S198*'Weights &amp; Assumptions'!$B$26/'Weights &amp; Assumptions'!$B$28+T198*'Weights &amp; Assumptions'!$B$27/'Weights &amp; Assumptions'!$B$28</f>
        <v>139.629975812592</v>
      </c>
      <c r="V198" s="23" t="n">
        <f aca="false">IFERROR(Tabelle1!E199*'Weights &amp; Assumptions'!$F$6+Tabelle1!F199*'Weights &amp; Assumptions'!$F$7,"")</f>
        <v>100.652794982539</v>
      </c>
      <c r="W198" s="23" t="n">
        <f aca="false">IFERROR(Tabelle1!G199*'Weights &amp; Assumptions'!$F$8+Tabelle1!H199*'Weights &amp; Assumptions'!$F$9+Tabelle1!J199*'Weights &amp; Assumptions'!$F$11,"")</f>
        <v>112.78321505449</v>
      </c>
      <c r="X198" s="23" t="n">
        <f aca="false">IFERROR(Tabelle1!I199*'Weights &amp; Assumptions'!$F$10+Tabelle1!K199*'Weights &amp; Assumptions'!$F$12+Tabelle1!L199*'Weights &amp; Assumptions'!$F$13+Tabelle1!M199*'Weights &amp; Assumptions'!$F$14+Tabelle1!N199*'Weights &amp; Assumptions'!$F$15+Tabelle1!O199*'Weights &amp; Assumptions'!$F$16+Tabelle1!P199*'Weights &amp; Assumptions'!$F$17+Tabelle1!Q199*'Weights &amp; Assumptions'!$F$18+Tabelle1!R199*'Weights &amp; Assumptions'!$F$19+Tabelle1!S199*'Weights &amp; Assumptions'!$F$20,"")</f>
        <v>154.319789442603</v>
      </c>
      <c r="Y198" s="22" t="n">
        <f aca="false">IFERROR(V198*'Weights &amp; Assumptions'!$B$25/'Weights &amp; Assumptions'!$B$28+W198*'Weights &amp; Assumptions'!$B$26/'Weights &amp; Assumptions'!$B$28+X198*'Weights &amp; Assumptions'!$B$27/'Weights &amp; Assumptions'!$B$28,"")</f>
        <v>138.771783248284</v>
      </c>
    </row>
    <row r="199" customFormat="false" ht="15" hidden="false" customHeight="false" outlineLevel="0" collapsed="false">
      <c r="A199" s="20" t="n">
        <v>43861</v>
      </c>
      <c r="B199" s="21" t="n">
        <v>140.93018</v>
      </c>
      <c r="C199" s="22" t="n">
        <v>117.653470704068</v>
      </c>
      <c r="D199" s="22" t="n">
        <v>129.790744085545</v>
      </c>
      <c r="E199" s="22" t="n">
        <v>87.1405515875211</v>
      </c>
      <c r="F199" s="22" t="n">
        <v>114.784446322603</v>
      </c>
      <c r="G199" s="22" t="n">
        <v>141.76497051946</v>
      </c>
      <c r="H199" s="22" t="n">
        <v>125.957697509518</v>
      </c>
      <c r="I199" s="22" t="n">
        <v>139.495276590409</v>
      </c>
      <c r="J199" s="22" t="n">
        <v>148.066487786094</v>
      </c>
      <c r="K199" s="22" t="n">
        <v>183.171914167987</v>
      </c>
      <c r="L199" s="22" t="n">
        <v>161.59658811292</v>
      </c>
      <c r="M199" s="22" t="n">
        <v>139.324955149112</v>
      </c>
      <c r="N199" s="22" t="n">
        <v>154.527489445474</v>
      </c>
      <c r="O199" s="22" t="n">
        <v>160.872105781269</v>
      </c>
      <c r="P199" s="22" t="n">
        <v>178.91952151178</v>
      </c>
      <c r="Q199" s="22" t="n">
        <v>140.450553392782</v>
      </c>
      <c r="R199" s="22" t="n">
        <f aca="false">C199*'Weights &amp; Assumptions'!$F$6+D199*'Weights &amp; Assumptions'!$F$7</f>
        <v>117.802183079798</v>
      </c>
      <c r="S199" s="22" t="n">
        <f aca="false">E199*'Weights &amp; Assumptions'!$F$8+F199*'Weights &amp; Assumptions'!$F$9+H199*'Weights &amp; Assumptions'!$F$11</f>
        <v>113.811480739839</v>
      </c>
      <c r="T199" s="22" t="n">
        <f aca="false">G199*'Weights &amp; Assumptions'!$F$10+I199*'Weights &amp; Assumptions'!$F$12+J199*'Weights &amp; Assumptions'!$F$13+K199*'Weights &amp; Assumptions'!$F$14+L199*'Weights &amp; Assumptions'!$F$15+M199*'Weights &amp; Assumptions'!$F$16+N199*'Weights &amp; Assumptions'!$F$17+O199*'Weights &amp; Assumptions'!$F$18+P199*'Weights &amp; Assumptions'!$F$19+Q199*'Weights &amp; Assumptions'!$F$20</f>
        <v>153.887331855641</v>
      </c>
      <c r="U199" s="22" t="n">
        <f aca="false">R199*'Weights &amp; Assumptions'!$B$25/'Weights &amp; Assumptions'!$B$28+S199*'Weights &amp; Assumptions'!$B$26/'Weights &amp; Assumptions'!$B$28+T199*'Weights &amp; Assumptions'!$B$27/'Weights &amp; Assumptions'!$B$28</f>
        <v>140.202888980073</v>
      </c>
      <c r="V199" s="23" t="n">
        <f aca="false">IFERROR(Tabelle1!E200*'Weights &amp; Assumptions'!$F$6+Tabelle1!F200*'Weights &amp; Assumptions'!$F$7,"")</f>
        <v>84.9873239124683</v>
      </c>
      <c r="W199" s="23" t="n">
        <f aca="false">IFERROR(Tabelle1!G200*'Weights &amp; Assumptions'!$F$8+Tabelle1!H200*'Weights &amp; Assumptions'!$F$9+Tabelle1!J200*'Weights &amp; Assumptions'!$F$11,"")</f>
        <v>105.952685018464</v>
      </c>
      <c r="X199" s="23" t="n">
        <f aca="false">IFERROR(Tabelle1!I200*'Weights &amp; Assumptions'!$F$10+Tabelle1!K200*'Weights &amp; Assumptions'!$F$12+Tabelle1!L200*'Weights &amp; Assumptions'!$F$13+Tabelle1!M200*'Weights &amp; Assumptions'!$F$14+Tabelle1!N200*'Weights &amp; Assumptions'!$F$15+Tabelle1!O200*'Weights &amp; Assumptions'!$F$16+Tabelle1!P200*'Weights &amp; Assumptions'!$F$17+Tabelle1!Q200*'Weights &amp; Assumptions'!$F$18+Tabelle1!R200*'Weights &amp; Assumptions'!$F$19+Tabelle1!S200*'Weights &amp; Assumptions'!$F$20,"")</f>
        <v>153.740023142546</v>
      </c>
      <c r="Y199" s="22" t="n">
        <f aca="false">IFERROR(V199*'Weights &amp; Assumptions'!$B$25/'Weights &amp; Assumptions'!$B$28+W199*'Weights &amp; Assumptions'!$B$26/'Weights &amp; Assumptions'!$B$28+X199*'Weights &amp; Assumptions'!$B$27/'Weights &amp; Assumptions'!$B$28,"")</f>
        <v>135.264126496957</v>
      </c>
    </row>
    <row r="200" customFormat="false" ht="15" hidden="false" customHeight="false" outlineLevel="0" collapsed="false">
      <c r="A200" s="20" t="n">
        <v>43890</v>
      </c>
      <c r="B200" s="21" t="n">
        <v>139.54976</v>
      </c>
      <c r="C200" s="22" t="n">
        <v>107.302363969345</v>
      </c>
      <c r="D200" s="22" t="n">
        <v>165.323474870007</v>
      </c>
      <c r="E200" s="22" t="n">
        <v>91.1225818726017</v>
      </c>
      <c r="F200" s="22" t="n">
        <v>115.552051313424</v>
      </c>
      <c r="G200" s="22" t="n">
        <v>145.202433341959</v>
      </c>
      <c r="H200" s="22" t="n">
        <v>122.211771398106</v>
      </c>
      <c r="I200" s="22" t="n">
        <v>135.815628300163</v>
      </c>
      <c r="J200" s="22" t="n">
        <v>148.866655567003</v>
      </c>
      <c r="K200" s="22" t="n">
        <v>184.910907723865</v>
      </c>
      <c r="L200" s="22" t="n">
        <v>161.37093558555</v>
      </c>
      <c r="M200" s="22" t="n">
        <v>139.260321352276</v>
      </c>
      <c r="N200" s="22" t="n">
        <v>155.103752454618</v>
      </c>
      <c r="O200" s="22" t="n">
        <v>160.845575256474</v>
      </c>
      <c r="P200" s="22" t="n">
        <v>180.17112870768</v>
      </c>
      <c r="Q200" s="22" t="n">
        <v>141.594468115831</v>
      </c>
      <c r="R200" s="22" t="n">
        <f aca="false">C200*'Weights &amp; Assumptions'!$F$6+D200*'Weights &amp; Assumptions'!$F$7</f>
        <v>108.013269703555</v>
      </c>
      <c r="S200" s="22" t="n">
        <f aca="false">E200*'Weights &amp; Assumptions'!$F$8+F200*'Weights &amp; Assumptions'!$F$9+H200*'Weights &amp; Assumptions'!$F$11</f>
        <v>114.02260561507</v>
      </c>
      <c r="T200" s="22" t="n">
        <f aca="false">G200*'Weights &amp; Assumptions'!$F$10+I200*'Weights &amp; Assumptions'!$F$12+J200*'Weights &amp; Assumptions'!$F$13+K200*'Weights &amp; Assumptions'!$F$14+L200*'Weights &amp; Assumptions'!$F$15+M200*'Weights &amp; Assumptions'!$F$16+N200*'Weights &amp; Assumptions'!$F$17+O200*'Weights &amp; Assumptions'!$F$18+P200*'Weights &amp; Assumptions'!$F$19+Q200*'Weights &amp; Assumptions'!$F$20</f>
        <v>153.702452736808</v>
      </c>
      <c r="U200" s="22" t="n">
        <f aca="false">R200*'Weights &amp; Assumptions'!$B$25/'Weights &amp; Assumptions'!$B$28+S200*'Weights &amp; Assumptions'!$B$26/'Weights &amp; Assumptions'!$B$28+T200*'Weights &amp; Assumptions'!$B$27/'Weights &amp; Assumptions'!$B$28</f>
        <v>139.317527774066</v>
      </c>
      <c r="V200" s="23" t="n">
        <f aca="false">IFERROR(Tabelle1!E201*'Weights &amp; Assumptions'!$F$6+Tabelle1!F201*'Weights &amp; Assumptions'!$F$7,"")</f>
        <v>69.9347790246839</v>
      </c>
      <c r="W200" s="23" t="n">
        <f aca="false">IFERROR(Tabelle1!G201*'Weights &amp; Assumptions'!$F$8+Tabelle1!H201*'Weights &amp; Assumptions'!$F$9+Tabelle1!J201*'Weights &amp; Assumptions'!$F$11,"")</f>
        <v>105.134935284749</v>
      </c>
      <c r="X200" s="23" t="n">
        <f aca="false">IFERROR(Tabelle1!I201*'Weights &amp; Assumptions'!$F$10+Tabelle1!K201*'Weights &amp; Assumptions'!$F$12+Tabelle1!L201*'Weights &amp; Assumptions'!$F$13+Tabelle1!M201*'Weights &amp; Assumptions'!$F$14+Tabelle1!N201*'Weights &amp; Assumptions'!$F$15+Tabelle1!O201*'Weights &amp; Assumptions'!$F$16+Tabelle1!P201*'Weights &amp; Assumptions'!$F$17+Tabelle1!Q201*'Weights &amp; Assumptions'!$F$18+Tabelle1!R201*'Weights &amp; Assumptions'!$F$19+Tabelle1!S201*'Weights &amp; Assumptions'!$F$20,"")</f>
        <v>150.619933215649</v>
      </c>
      <c r="Y200" s="22" t="n">
        <f aca="false">IFERROR(V200*'Weights &amp; Assumptions'!$B$25/'Weights &amp; Assumptions'!$B$28+W200*'Weights &amp; Assumptions'!$B$26/'Weights &amp; Assumptions'!$B$28+X200*'Weights &amp; Assumptions'!$B$27/'Weights &amp; Assumptions'!$B$28,"")</f>
        <v>131.755126143698</v>
      </c>
    </row>
    <row r="201" customFormat="false" ht="15" hidden="false" customHeight="false" outlineLevel="0" collapsed="false">
      <c r="A201" s="20" t="n">
        <v>43921</v>
      </c>
      <c r="B201" s="21" t="n">
        <v>125.96025</v>
      </c>
      <c r="C201" s="22" t="n">
        <v>107.590210439979</v>
      </c>
      <c r="D201" s="22" t="n">
        <v>104.130679934663</v>
      </c>
      <c r="E201" s="22" t="n">
        <v>84.0483195760777</v>
      </c>
      <c r="F201" s="22" t="n">
        <v>101.256011240287</v>
      </c>
      <c r="G201" s="22" t="n">
        <v>145.2016742067</v>
      </c>
      <c r="H201" s="22" t="n">
        <v>96.9905606157404</v>
      </c>
      <c r="I201" s="22" t="n">
        <v>123.520455685061</v>
      </c>
      <c r="J201" s="22" t="n">
        <v>102.693993929249</v>
      </c>
      <c r="K201" s="22" t="n">
        <v>162.807657491391</v>
      </c>
      <c r="L201" s="22" t="n">
        <v>165.420872542488</v>
      </c>
      <c r="M201" s="22" t="n">
        <v>131.399725347638</v>
      </c>
      <c r="N201" s="22" t="n">
        <v>153.479938042879</v>
      </c>
      <c r="O201" s="22" t="n">
        <v>157.909150523269</v>
      </c>
      <c r="P201" s="22" t="n">
        <v>164.79792000586</v>
      </c>
      <c r="Q201" s="22" t="n">
        <v>109.457872537935</v>
      </c>
      <c r="R201" s="22" t="n">
        <f aca="false">C201*'Weights &amp; Assumptions'!$F$6+D201*'Weights &amp; Assumptions'!$F$7</f>
        <v>107.547822418865</v>
      </c>
      <c r="S201" s="22" t="n">
        <f aca="false">E201*'Weights &amp; Assumptions'!$F$8+F201*'Weights &amp; Assumptions'!$F$9+H201*'Weights &amp; Assumptions'!$F$11</f>
        <v>98.3128581683377</v>
      </c>
      <c r="T201" s="22" t="n">
        <f aca="false">G201*'Weights &amp; Assumptions'!$F$10+I201*'Weights &amp; Assumptions'!$F$12+J201*'Weights &amp; Assumptions'!$F$13+K201*'Weights &amp; Assumptions'!$F$14+L201*'Weights &amp; Assumptions'!$F$15+M201*'Weights &amp; Assumptions'!$F$16+N201*'Weights &amp; Assumptions'!$F$17+O201*'Weights &amp; Assumptions'!$F$18+P201*'Weights &amp; Assumptions'!$F$19+Q201*'Weights &amp; Assumptions'!$F$20</f>
        <v>141.276504924637</v>
      </c>
      <c r="U201" s="22" t="n">
        <f aca="false">R201*'Weights &amp; Assumptions'!$B$25/'Weights &amp; Assumptions'!$B$28+S201*'Weights &amp; Assumptions'!$B$26/'Weights &amp; Assumptions'!$B$28+T201*'Weights &amp; Assumptions'!$B$27/'Weights &amp; Assumptions'!$B$28</f>
        <v>127.021856224876</v>
      </c>
      <c r="V201" s="23" t="n">
        <f aca="false">IFERROR(Tabelle1!E202*'Weights &amp; Assumptions'!$F$6+Tabelle1!F202*'Weights &amp; Assumptions'!$F$7,"")</f>
        <v>138.089757030429</v>
      </c>
      <c r="W201" s="23" t="n">
        <f aca="false">IFERROR(Tabelle1!G202*'Weights &amp; Assumptions'!$F$8+Tabelle1!H202*'Weights &amp; Assumptions'!$F$9+Tabelle1!J202*'Weights &amp; Assumptions'!$F$11,"")</f>
        <v>97.1300768326326</v>
      </c>
      <c r="X201" s="23" t="n">
        <f aca="false">IFERROR(Tabelle1!I202*'Weights &amp; Assumptions'!$F$10+Tabelle1!K202*'Weights &amp; Assumptions'!$F$12+Tabelle1!L202*'Weights &amp; Assumptions'!$F$13+Tabelle1!M202*'Weights &amp; Assumptions'!$F$14+Tabelle1!N202*'Weights &amp; Assumptions'!$F$15+Tabelle1!O202*'Weights &amp; Assumptions'!$F$16+Tabelle1!P202*'Weights &amp; Assumptions'!$F$17+Tabelle1!Q202*'Weights &amp; Assumptions'!$F$18+Tabelle1!R202*'Weights &amp; Assumptions'!$F$19+Tabelle1!S202*'Weights &amp; Assumptions'!$F$20,"")</f>
        <v>143.028452686105</v>
      </c>
      <c r="Y201" s="22" t="n">
        <f aca="false">IFERROR(V201*'Weights &amp; Assumptions'!$B$25/'Weights &amp; Assumptions'!$B$28+W201*'Weights &amp; Assumptions'!$B$26/'Weights &amp; Assumptions'!$B$28+X201*'Weights &amp; Assumptions'!$B$27/'Weights &amp; Assumptions'!$B$28,"")</f>
        <v>130.408912110776</v>
      </c>
    </row>
    <row r="202" customFormat="false" ht="15" hidden="false" customHeight="false" outlineLevel="0" collapsed="false">
      <c r="A202" s="20" t="n">
        <v>43951</v>
      </c>
      <c r="B202" s="21" t="n">
        <v>105.99228</v>
      </c>
      <c r="C202" s="22" t="n">
        <v>116.114203120753</v>
      </c>
      <c r="D202" s="22" t="n">
        <v>139.932440936138</v>
      </c>
      <c r="E202" s="22" t="n">
        <v>72.0701407835786</v>
      </c>
      <c r="F202" s="22" t="n">
        <v>80.9596608813419</v>
      </c>
      <c r="G202" s="22" t="n">
        <v>131.465077751038</v>
      </c>
      <c r="H202" s="22" t="n">
        <v>46.187676245529</v>
      </c>
      <c r="I202" s="22" t="n">
        <v>109.038606345186</v>
      </c>
      <c r="J202" s="22" t="n">
        <v>26.6706301797889</v>
      </c>
      <c r="K202" s="22" t="n">
        <v>141.516458080485</v>
      </c>
      <c r="L202" s="22" t="n">
        <v>163.361494545383</v>
      </c>
      <c r="M202" s="22" t="n">
        <v>117.73657620917</v>
      </c>
      <c r="N202" s="22" t="n">
        <v>136.702924402827</v>
      </c>
      <c r="O202" s="22" t="n">
        <v>147.189055499689</v>
      </c>
      <c r="P202" s="22" t="n">
        <v>121.102077828933</v>
      </c>
      <c r="Q202" s="22" t="n">
        <v>41.4486170262765</v>
      </c>
      <c r="R202" s="22" t="n">
        <f aca="false">C202*'Weights &amp; Assumptions'!$F$6+D202*'Weights &amp; Assumptions'!$F$7</f>
        <v>116.406036930531</v>
      </c>
      <c r="S202" s="22" t="n">
        <f aca="false">E202*'Weights &amp; Assumptions'!$F$8+F202*'Weights &amp; Assumptions'!$F$9+H202*'Weights &amp; Assumptions'!$F$11</f>
        <v>72.654446883139</v>
      </c>
      <c r="T202" s="22" t="n">
        <f aca="false">G202*'Weights &amp; Assumptions'!$F$10+I202*'Weights &amp; Assumptions'!$F$12+J202*'Weights &amp; Assumptions'!$F$13+K202*'Weights &amp; Assumptions'!$F$14+L202*'Weights &amp; Assumptions'!$F$15+M202*'Weights &amp; Assumptions'!$F$16+N202*'Weights &amp; Assumptions'!$F$17+O202*'Weights &amp; Assumptions'!$F$18+P202*'Weights &amp; Assumptions'!$F$19+Q202*'Weights &amp; Assumptions'!$F$20</f>
        <v>119.062131807841</v>
      </c>
      <c r="U202" s="22" t="n">
        <f aca="false">R202*'Weights &amp; Assumptions'!$B$25/'Weights &amp; Assumptions'!$B$28+S202*'Weights &amp; Assumptions'!$B$26/'Weights &amp; Assumptions'!$B$28+T202*'Weights &amp; Assumptions'!$B$27/'Weights &amp; Assumptions'!$B$28</f>
        <v>106.498669158658</v>
      </c>
      <c r="V202" s="23" t="n">
        <f aca="false">IFERROR(Tabelle1!E203*'Weights &amp; Assumptions'!$F$6+Tabelle1!F203*'Weights &amp; Assumptions'!$F$7,"")</f>
        <v>209.482192116542</v>
      </c>
      <c r="W202" s="23" t="n">
        <f aca="false">IFERROR(Tabelle1!G203*'Weights &amp; Assumptions'!$F$8+Tabelle1!H203*'Weights &amp; Assumptions'!$F$9+Tabelle1!J203*'Weights &amp; Assumptions'!$F$11,"")</f>
        <v>69.9206376914312</v>
      </c>
      <c r="X202" s="23" t="n">
        <f aca="false">IFERROR(Tabelle1!I203*'Weights &amp; Assumptions'!$F$10+Tabelle1!K203*'Weights &amp; Assumptions'!$F$12+Tabelle1!L203*'Weights &amp; Assumptions'!$F$13+Tabelle1!M203*'Weights &amp; Assumptions'!$F$14+Tabelle1!N203*'Weights &amp; Assumptions'!$F$15+Tabelle1!O203*'Weights &amp; Assumptions'!$F$16+Tabelle1!P203*'Weights &amp; Assumptions'!$F$17+Tabelle1!Q203*'Weights &amp; Assumptions'!$F$18+Tabelle1!R203*'Weights &amp; Assumptions'!$F$19+Tabelle1!S203*'Weights &amp; Assumptions'!$F$20,"")</f>
        <v>118.074831822902</v>
      </c>
      <c r="Y202" s="22" t="n">
        <f aca="false">IFERROR(V202*'Weights &amp; Assumptions'!$B$25/'Weights &amp; Assumptions'!$B$28+W202*'Weights &amp; Assumptions'!$B$26/'Weights &amp; Assumptions'!$B$28+X202*'Weights &amp; Assumptions'!$B$27/'Weights &amp; Assumptions'!$B$28,"")</f>
        <v>112.938944035622</v>
      </c>
    </row>
    <row r="203" customFormat="false" ht="15" hidden="false" customHeight="false" outlineLevel="0" collapsed="false">
      <c r="A203" s="20" t="n">
        <v>43982</v>
      </c>
      <c r="B203" s="21" t="n">
        <v>117.20962</v>
      </c>
      <c r="C203" s="22" t="n">
        <v>115.790855659123</v>
      </c>
      <c r="D203" s="22" t="n">
        <v>166.416932770045</v>
      </c>
      <c r="E203" s="22" t="n">
        <v>72.99019778825</v>
      </c>
      <c r="F203" s="22" t="n">
        <v>93.3282060573264</v>
      </c>
      <c r="G203" s="22" t="n">
        <v>134.215638604285</v>
      </c>
      <c r="H203" s="22" t="n">
        <v>79.354023128886</v>
      </c>
      <c r="I203" s="22" t="n">
        <v>118.011787341362</v>
      </c>
      <c r="J203" s="22" t="n">
        <v>47.8769772246649</v>
      </c>
      <c r="K203" s="22" t="n">
        <v>155.004404998763</v>
      </c>
      <c r="L203" s="22" t="n">
        <v>162.521804932525</v>
      </c>
      <c r="M203" s="22" t="n">
        <v>122.886437787066</v>
      </c>
      <c r="N203" s="22" t="n">
        <v>137.892535506739</v>
      </c>
      <c r="O203" s="22" t="n">
        <v>150.424644310599</v>
      </c>
      <c r="P203" s="22" t="n">
        <v>146.912945862816</v>
      </c>
      <c r="Q203" s="22" t="n">
        <v>46.2828619801664</v>
      </c>
      <c r="R203" s="22" t="n">
        <f aca="false">C203*'Weights &amp; Assumptions'!$F$6+D203*'Weights &amp; Assumptions'!$F$7</f>
        <v>116.411153477624</v>
      </c>
      <c r="S203" s="22" t="n">
        <f aca="false">E203*'Weights &amp; Assumptions'!$F$8+F203*'Weights &amp; Assumptions'!$F$9+H203*'Weights &amp; Assumptions'!$F$11</f>
        <v>87.9887421089288</v>
      </c>
      <c r="T203" s="22" t="n">
        <f aca="false">G203*'Weights &amp; Assumptions'!$F$10+I203*'Weights &amp; Assumptions'!$F$12+J203*'Weights &amp; Assumptions'!$F$13+K203*'Weights &amp; Assumptions'!$F$14+L203*'Weights &amp; Assumptions'!$F$15+M203*'Weights &amp; Assumptions'!$F$16+N203*'Weights &amp; Assumptions'!$F$17+O203*'Weights &amp; Assumptions'!$F$18+P203*'Weights &amp; Assumptions'!$F$19+Q203*'Weights &amp; Assumptions'!$F$20</f>
        <v>127.405367351497</v>
      </c>
      <c r="U203" s="22" t="n">
        <f aca="false">R203*'Weights &amp; Assumptions'!$B$25/'Weights &amp; Assumptions'!$B$28+S203*'Weights &amp; Assumptions'!$B$26/'Weights &amp; Assumptions'!$B$28+T203*'Weights &amp; Assumptions'!$B$27/'Weights &amp; Assumptions'!$B$28</f>
        <v>116.001374469998</v>
      </c>
      <c r="V203" s="23" t="n">
        <f aca="false">IFERROR(Tabelle1!E204*'Weights &amp; Assumptions'!$F$6+Tabelle1!F204*'Weights &amp; Assumptions'!$F$7,"")</f>
        <v>292.760144789216</v>
      </c>
      <c r="W203" s="23" t="n">
        <f aca="false">IFERROR(Tabelle1!G204*'Weights &amp; Assumptions'!$F$8+Tabelle1!H204*'Weights &amp; Assumptions'!$F$9+Tabelle1!J204*'Weights &amp; Assumptions'!$F$11,"")</f>
        <v>87.165674836491</v>
      </c>
      <c r="X203" s="23" t="n">
        <f aca="false">IFERROR(Tabelle1!I204*'Weights &amp; Assumptions'!$F$10+Tabelle1!K204*'Weights &amp; Assumptions'!$F$12+Tabelle1!L204*'Weights &amp; Assumptions'!$F$13+Tabelle1!M204*'Weights &amp; Assumptions'!$F$14+Tabelle1!N204*'Weights &amp; Assumptions'!$F$15+Tabelle1!O204*'Weights &amp; Assumptions'!$F$16+Tabelle1!P204*'Weights &amp; Assumptions'!$F$17+Tabelle1!Q204*'Weights &amp; Assumptions'!$F$18+Tabelle1!R204*'Weights &amp; Assumptions'!$F$19+Tabelle1!S204*'Weights &amp; Assumptions'!$F$20,"")</f>
        <v>127.845057167259</v>
      </c>
      <c r="Y203" s="22" t="n">
        <f aca="false">IFERROR(V203*'Weights &amp; Assumptions'!$B$25/'Weights &amp; Assumptions'!$B$28+W203*'Weights &amp; Assumptions'!$B$26/'Weights &amp; Assumptions'!$B$28+X203*'Weights &amp; Assumptions'!$B$27/'Weights &amp; Assumptions'!$B$28,"")</f>
        <v>130.864211904886</v>
      </c>
    </row>
    <row r="204" customFormat="false" ht="15" hidden="false" customHeight="false" outlineLevel="0" collapsed="false">
      <c r="A204" s="20" t="n">
        <v>44012</v>
      </c>
      <c r="B204" s="21" t="n">
        <v>124.34497</v>
      </c>
      <c r="C204" s="22" t="n">
        <v>116.586761088242</v>
      </c>
      <c r="D204" s="22" t="n">
        <v>88.7559682664528</v>
      </c>
      <c r="E204" s="22" t="n">
        <v>76.3997691103486</v>
      </c>
      <c r="F204" s="22" t="n">
        <v>108.732196500432</v>
      </c>
      <c r="G204" s="22" t="n">
        <v>136.87980356819</v>
      </c>
      <c r="H204" s="22" t="n">
        <v>100.568589414397</v>
      </c>
      <c r="I204" s="22" t="n">
        <v>129.756874668167</v>
      </c>
      <c r="J204" s="22" t="n">
        <v>66.7092176697347</v>
      </c>
      <c r="K204" s="22" t="n">
        <v>155.564033933354</v>
      </c>
      <c r="L204" s="22" t="n">
        <v>168.853939497392</v>
      </c>
      <c r="M204" s="22" t="n">
        <v>128.134875176165</v>
      </c>
      <c r="N204" s="22" t="n">
        <v>137.489251655287</v>
      </c>
      <c r="O204" s="22" t="n">
        <v>150.801615837421</v>
      </c>
      <c r="P204" s="22" t="n">
        <v>149.822921162439</v>
      </c>
      <c r="Q204" s="22" t="n">
        <v>60.448379571734</v>
      </c>
      <c r="R204" s="22" t="n">
        <f aca="false">C204*'Weights &amp; Assumptions'!$F$6+D204*'Weights &amp; Assumptions'!$F$7</f>
        <v>116.245763304892</v>
      </c>
      <c r="S204" s="22" t="n">
        <f aca="false">E204*'Weights &amp; Assumptions'!$F$8+F204*'Weights &amp; Assumptions'!$F$9+H204*'Weights &amp; Assumptions'!$F$11</f>
        <v>103.171106572784</v>
      </c>
      <c r="T204" s="22" t="n">
        <f aca="false">G204*'Weights &amp; Assumptions'!$F$10+I204*'Weights &amp; Assumptions'!$F$12+J204*'Weights &amp; Assumptions'!$F$13+K204*'Weights &amp; Assumptions'!$F$14+L204*'Weights &amp; Assumptions'!$F$15+M204*'Weights &amp; Assumptions'!$F$16+N204*'Weights &amp; Assumptions'!$F$17+O204*'Weights &amp; Assumptions'!$F$18+P204*'Weights &amp; Assumptions'!$F$19+Q204*'Weights &amp; Assumptions'!$F$20</f>
        <v>133.364182996721</v>
      </c>
      <c r="U204" s="22" t="n">
        <f aca="false">R204*'Weights &amp; Assumptions'!$B$25/'Weights &amp; Assumptions'!$B$28+S204*'Weights &amp; Assumptions'!$B$26/'Weights &amp; Assumptions'!$B$28+T204*'Weights &amp; Assumptions'!$B$27/'Weights &amp; Assumptions'!$B$28</f>
        <v>123.899066899889</v>
      </c>
      <c r="V204" s="23" t="n">
        <f aca="false">IFERROR(Tabelle1!E205*'Weights &amp; Assumptions'!$F$6+Tabelle1!F205*'Weights &amp; Assumptions'!$F$7,"")</f>
        <v>199.521268633747</v>
      </c>
      <c r="W204" s="23" t="n">
        <f aca="false">IFERROR(Tabelle1!G205*'Weights &amp; Assumptions'!$F$8+Tabelle1!H205*'Weights &amp; Assumptions'!$F$9+Tabelle1!J205*'Weights &amp; Assumptions'!$F$11,"")</f>
        <v>105.081304364541</v>
      </c>
      <c r="X204" s="23" t="n">
        <f aca="false">IFERROR(Tabelle1!I205*'Weights &amp; Assumptions'!$F$10+Tabelle1!K205*'Weights &amp; Assumptions'!$F$12+Tabelle1!L205*'Weights &amp; Assumptions'!$F$13+Tabelle1!M205*'Weights &amp; Assumptions'!$F$14+Tabelle1!N205*'Weights &amp; Assumptions'!$F$15+Tabelle1!O205*'Weights &amp; Assumptions'!$F$16+Tabelle1!P205*'Weights &amp; Assumptions'!$F$17+Tabelle1!Q205*'Weights &amp; Assumptions'!$F$18+Tabelle1!R205*'Weights &amp; Assumptions'!$F$19+Tabelle1!S205*'Weights &amp; Assumptions'!$F$20,"")</f>
        <v>135.110876113448</v>
      </c>
      <c r="Y204" s="22" t="n">
        <f aca="false">IFERROR(V204*'Weights &amp; Assumptions'!$B$25/'Weights &amp; Assumptions'!$B$28+W204*'Weights &amp; Assumptions'!$B$26/'Weights &amp; Assumptions'!$B$28+X204*'Weights &amp; Assumptions'!$B$27/'Weights &amp; Assumptions'!$B$28,"")</f>
        <v>132.529573958572</v>
      </c>
    </row>
    <row r="205" customFormat="false" ht="15" hidden="false" customHeight="false" outlineLevel="0" collapsed="false">
      <c r="A205" s="20" t="n">
        <v>44043</v>
      </c>
      <c r="B205" s="21" t="n">
        <v>126.15819</v>
      </c>
      <c r="C205" s="22" t="n">
        <v>114.708097006456</v>
      </c>
      <c r="D205" s="22" t="n">
        <v>66.051200795694</v>
      </c>
      <c r="E205" s="22" t="n">
        <v>77.6849696368024</v>
      </c>
      <c r="F205" s="22" t="n">
        <v>110.311739282406</v>
      </c>
      <c r="G205" s="22" t="n">
        <v>143.500698265489</v>
      </c>
      <c r="H205" s="22" t="n">
        <v>112.529095130148</v>
      </c>
      <c r="I205" s="22" t="n">
        <v>133.875479300962</v>
      </c>
      <c r="J205" s="22" t="n">
        <v>62.2996973063384</v>
      </c>
      <c r="K205" s="22" t="n">
        <v>150.407594515462</v>
      </c>
      <c r="L205" s="22" t="n">
        <v>167.073137534127</v>
      </c>
      <c r="M205" s="22" t="n">
        <v>130.672447659122</v>
      </c>
      <c r="N205" s="22" t="n">
        <v>141.699184229072</v>
      </c>
      <c r="O205" s="22" t="n">
        <v>153.282382573104</v>
      </c>
      <c r="P205" s="22" t="n">
        <v>164.117336972811</v>
      </c>
      <c r="Q205" s="22" t="n">
        <v>59.4986423326514</v>
      </c>
      <c r="R205" s="22" t="n">
        <f aca="false">C205*'Weights &amp; Assumptions'!$F$6+D205*'Weights &amp; Assumptions'!$F$7</f>
        <v>114.111926647286</v>
      </c>
      <c r="S205" s="22" t="n">
        <f aca="false">E205*'Weights &amp; Assumptions'!$F$8+F205*'Weights &amp; Assumptions'!$F$9+H205*'Weights &amp; Assumptions'!$F$11</f>
        <v>106.878105326259</v>
      </c>
      <c r="T205" s="22" t="n">
        <f aca="false">G205*'Weights &amp; Assumptions'!$F$10+I205*'Weights &amp; Assumptions'!$F$12+J205*'Weights &amp; Assumptions'!$F$13+K205*'Weights &amp; Assumptions'!$F$14+L205*'Weights &amp; Assumptions'!$F$15+M205*'Weights &amp; Assumptions'!$F$16+N205*'Weights &amp; Assumptions'!$F$17+O205*'Weights &amp; Assumptions'!$F$18+P205*'Weights &amp; Assumptions'!$F$19+Q205*'Weights &amp; Assumptions'!$F$20</f>
        <v>135.383132619095</v>
      </c>
      <c r="U205" s="22" t="n">
        <f aca="false">R205*'Weights &amp; Assumptions'!$B$25/'Weights &amp; Assumptions'!$B$28+S205*'Weights &amp; Assumptions'!$B$26/'Weights &amp; Assumptions'!$B$28+T205*'Weights &amp; Assumptions'!$B$27/'Weights &amp; Assumptions'!$B$28</f>
        <v>126.018476048511</v>
      </c>
      <c r="V205" s="23" t="n">
        <f aca="false">IFERROR(Tabelle1!E206*'Weights &amp; Assumptions'!$F$6+Tabelle1!F206*'Weights &amp; Assumptions'!$F$7,"")</f>
        <v>116.679606230081</v>
      </c>
      <c r="W205" s="23" t="n">
        <f aca="false">IFERROR(Tabelle1!G206*'Weights &amp; Assumptions'!$F$8+Tabelle1!H206*'Weights &amp; Assumptions'!$F$9+Tabelle1!J206*'Weights &amp; Assumptions'!$F$11,"")</f>
        <v>110.368342713242</v>
      </c>
      <c r="X205" s="23" t="n">
        <f aca="false">IFERROR(Tabelle1!I206*'Weights &amp; Assumptions'!$F$10+Tabelle1!K206*'Weights &amp; Assumptions'!$F$12+Tabelle1!L206*'Weights &amp; Assumptions'!$F$13+Tabelle1!M206*'Weights &amp; Assumptions'!$F$14+Tabelle1!N206*'Weights &amp; Assumptions'!$F$15+Tabelle1!O206*'Weights &amp; Assumptions'!$F$16+Tabelle1!P206*'Weights &amp; Assumptions'!$F$17+Tabelle1!Q206*'Weights &amp; Assumptions'!$F$18+Tabelle1!R206*'Weights &amp; Assumptions'!$F$19+Tabelle1!S206*'Weights &amp; Assumptions'!$F$20,"")</f>
        <v>136.155228702919</v>
      </c>
      <c r="Y205" s="22" t="n">
        <f aca="false">IFERROR(V205*'Weights &amp; Assumptions'!$B$25/'Weights &amp; Assumptions'!$B$28+W205*'Weights &amp; Assumptions'!$B$26/'Weights &amp; Assumptions'!$B$28+X205*'Weights &amp; Assumptions'!$B$27/'Weights &amp; Assumptions'!$B$28,"")</f>
        <v>127.664024335631</v>
      </c>
    </row>
    <row r="206" customFormat="false" ht="15" hidden="false" customHeight="false" outlineLevel="0" collapsed="false">
      <c r="A206" s="20" t="n">
        <v>44074</v>
      </c>
      <c r="B206" s="21" t="n">
        <v>128.84416</v>
      </c>
      <c r="C206" s="22" t="n">
        <v>113.286983383805</v>
      </c>
      <c r="D206" s="22" t="n">
        <v>141.275573940215</v>
      </c>
      <c r="E206" s="22" t="n">
        <v>78.7587851770366</v>
      </c>
      <c r="F206" s="22" t="n">
        <v>108.696011294857</v>
      </c>
      <c r="G206" s="22" t="n">
        <v>139.353131116203</v>
      </c>
      <c r="H206" s="22" t="n">
        <v>109.650417269759</v>
      </c>
      <c r="I206" s="22" t="n">
        <v>132.207524001234</v>
      </c>
      <c r="J206" s="22" t="n">
        <v>71.6485421454435</v>
      </c>
      <c r="K206" s="22" t="n">
        <v>151.405602577397</v>
      </c>
      <c r="L206" s="22" t="n">
        <v>167.223279217844</v>
      </c>
      <c r="M206" s="22" t="n">
        <v>133.607123468972</v>
      </c>
      <c r="N206" s="22" t="n">
        <v>141.55425802027</v>
      </c>
      <c r="O206" s="22" t="n">
        <v>152.487271225693</v>
      </c>
      <c r="P206" s="22" t="n">
        <v>162.998622636477</v>
      </c>
      <c r="Q206" s="22" t="n">
        <v>68.1166791494385</v>
      </c>
      <c r="R206" s="22" t="n">
        <f aca="false">C206*'Weights &amp; Assumptions'!$F$6+D206*'Weights &amp; Assumptions'!$F$7</f>
        <v>113.629914589535</v>
      </c>
      <c r="S206" s="22" t="n">
        <f aca="false">E206*'Weights &amp; Assumptions'!$F$8+F206*'Weights &amp; Assumptions'!$F$9+H206*'Weights &amp; Assumptions'!$F$11</f>
        <v>105.320400386799</v>
      </c>
      <c r="T206" s="22" t="n">
        <f aca="false">G206*'Weights &amp; Assumptions'!$F$10+I206*'Weights &amp; Assumptions'!$F$12+J206*'Weights &amp; Assumptions'!$F$13+K206*'Weights &amp; Assumptions'!$F$14+L206*'Weights &amp; Assumptions'!$F$15+M206*'Weights &amp; Assumptions'!$F$16+N206*'Weights &amp; Assumptions'!$F$17+O206*'Weights &amp; Assumptions'!$F$18+P206*'Weights &amp; Assumptions'!$F$19+Q206*'Weights &amp; Assumptions'!$F$20</f>
        <v>136.437342601611</v>
      </c>
      <c r="U206" s="22" t="n">
        <f aca="false">R206*'Weights &amp; Assumptions'!$B$25/'Weights &amp; Assumptions'!$B$28+S206*'Weights &amp; Assumptions'!$B$26/'Weights &amp; Assumptions'!$B$28+T206*'Weights &amp; Assumptions'!$B$27/'Weights &amp; Assumptions'!$B$28</f>
        <v>126.249241920293</v>
      </c>
      <c r="V206" s="23" t="n">
        <f aca="false">IFERROR(Tabelle1!E207*'Weights &amp; Assumptions'!$F$6+Tabelle1!F207*'Weights &amp; Assumptions'!$F$7,"")</f>
        <v>78.1328097070357</v>
      </c>
      <c r="W206" s="23" t="n">
        <f aca="false">IFERROR(Tabelle1!G207*'Weights &amp; Assumptions'!$F$8+Tabelle1!H207*'Weights &amp; Assumptions'!$F$9+Tabelle1!J207*'Weights &amp; Assumptions'!$F$11,"")</f>
        <v>111.100998431509</v>
      </c>
      <c r="X206" s="23" t="n">
        <f aca="false">IFERROR(Tabelle1!I207*'Weights &amp; Assumptions'!$F$10+Tabelle1!K207*'Weights &amp; Assumptions'!$F$12+Tabelle1!L207*'Weights &amp; Assumptions'!$F$13+Tabelle1!M207*'Weights &amp; Assumptions'!$F$14+Tabelle1!N207*'Weights &amp; Assumptions'!$F$15+Tabelle1!O207*'Weights &amp; Assumptions'!$F$16+Tabelle1!P207*'Weights &amp; Assumptions'!$F$17+Tabelle1!Q207*'Weights &amp; Assumptions'!$F$18+Tabelle1!R207*'Weights &amp; Assumptions'!$F$19+Tabelle1!S207*'Weights &amp; Assumptions'!$F$20,"")</f>
        <v>137.125135805104</v>
      </c>
      <c r="Y206" s="22" t="n">
        <f aca="false">IFERROR(V206*'Weights &amp; Assumptions'!$B$25/'Weights &amp; Assumptions'!$B$28+W206*'Weights &amp; Assumptions'!$B$26/'Weights &amp; Assumptions'!$B$28+X206*'Weights &amp; Assumptions'!$B$27/'Weights &amp; Assumptions'!$B$28,"")</f>
        <v>125.255357830594</v>
      </c>
    </row>
    <row r="207" customFormat="false" ht="15" hidden="false" customHeight="false" outlineLevel="0" collapsed="false">
      <c r="A207" s="20" t="n">
        <v>44104</v>
      </c>
      <c r="B207" s="21" t="n">
        <v>130.79655</v>
      </c>
      <c r="C207" s="22" t="n">
        <v>117.545022787563</v>
      </c>
      <c r="D207" s="22" t="n">
        <v>162.569311252436</v>
      </c>
      <c r="E207" s="22" t="n">
        <v>77.307958991968</v>
      </c>
      <c r="F207" s="22" t="n">
        <v>115.306639741125</v>
      </c>
      <c r="G207" s="22" t="n">
        <v>141.931767445739</v>
      </c>
      <c r="H207" s="22" t="n">
        <v>112.63568305764</v>
      </c>
      <c r="I207" s="22" t="n">
        <v>140.851436199211</v>
      </c>
      <c r="J207" s="22" t="n">
        <v>66.4597572429293</v>
      </c>
      <c r="K207" s="22" t="n">
        <v>153.7527056555</v>
      </c>
      <c r="L207" s="22" t="n">
        <v>169.213781218279</v>
      </c>
      <c r="M207" s="22" t="n">
        <v>135.405866467473</v>
      </c>
      <c r="N207" s="22" t="n">
        <v>141.636716658016</v>
      </c>
      <c r="O207" s="22" t="n">
        <v>153.377102209681</v>
      </c>
      <c r="P207" s="22" t="n">
        <v>167.978437791568</v>
      </c>
      <c r="Q207" s="22" t="n">
        <v>73.3156823252915</v>
      </c>
      <c r="R207" s="22" t="n">
        <f aca="false">C207*'Weights &amp; Assumptions'!$F$6+D207*'Weights &amp; Assumptions'!$F$7</f>
        <v>118.096684490545</v>
      </c>
      <c r="S207" s="22" t="n">
        <f aca="false">E207*'Weights &amp; Assumptions'!$F$8+F207*'Weights &amp; Assumptions'!$F$9+H207*'Weights &amp; Assumptions'!$F$11</f>
        <v>110.213260950743</v>
      </c>
      <c r="T207" s="22" t="n">
        <f aca="false">G207*'Weights &amp; Assumptions'!$F$10+I207*'Weights &amp; Assumptions'!$F$12+J207*'Weights &amp; Assumptions'!$F$13+K207*'Weights &amp; Assumptions'!$F$14+L207*'Weights &amp; Assumptions'!$F$15+M207*'Weights &amp; Assumptions'!$F$16+N207*'Weights &amp; Assumptions'!$F$17+O207*'Weights &amp; Assumptions'!$F$18+P207*'Weights &amp; Assumptions'!$F$19+Q207*'Weights &amp; Assumptions'!$F$20</f>
        <v>139.608195309435</v>
      </c>
      <c r="U207" s="22" t="n">
        <f aca="false">R207*'Weights &amp; Assumptions'!$B$25/'Weights &amp; Assumptions'!$B$28+S207*'Weights &amp; Assumptions'!$B$26/'Weights &amp; Assumptions'!$B$28+T207*'Weights &amp; Assumptions'!$B$27/'Weights &amp; Assumptions'!$B$28</f>
        <v>129.986735128345</v>
      </c>
      <c r="V207" s="23" t="n">
        <f aca="false">IFERROR(Tabelle1!E208*'Weights &amp; Assumptions'!$F$6+Tabelle1!F208*'Weights &amp; Assumptions'!$F$7,"")</f>
        <v>75.7926148968427</v>
      </c>
      <c r="W207" s="23" t="n">
        <f aca="false">IFERROR(Tabelle1!G208*'Weights &amp; Assumptions'!$F$8+Tabelle1!H208*'Weights &amp; Assumptions'!$F$9+Tabelle1!J208*'Weights &amp; Assumptions'!$F$11,"")</f>
        <v>113.630467634572</v>
      </c>
      <c r="X207" s="23" t="n">
        <f aca="false">IFERROR(Tabelle1!I208*'Weights &amp; Assumptions'!$F$10+Tabelle1!K208*'Weights &amp; Assumptions'!$F$12+Tabelle1!L208*'Weights &amp; Assumptions'!$F$13+Tabelle1!M208*'Weights &amp; Assumptions'!$F$14+Tabelle1!N208*'Weights &amp; Assumptions'!$F$15+Tabelle1!O208*'Weights &amp; Assumptions'!$F$16+Tabelle1!P208*'Weights &amp; Assumptions'!$F$17+Tabelle1!Q208*'Weights &amp; Assumptions'!$F$18+Tabelle1!R208*'Weights &amp; Assumptions'!$F$19+Tabelle1!S208*'Weights &amp; Assumptions'!$F$20,"")</f>
        <v>138.826240372803</v>
      </c>
      <c r="Y207" s="22" t="n">
        <f aca="false">IFERROR(V207*'Weights &amp; Assumptions'!$B$25/'Weights &amp; Assumptions'!$B$28+W207*'Weights &amp; Assumptions'!$B$26/'Weights &amp; Assumptions'!$B$28+X207*'Weights &amp; Assumptions'!$B$27/'Weights &amp; Assumptions'!$B$28,"")</f>
        <v>126.837670643879</v>
      </c>
    </row>
    <row r="208" customFormat="false" ht="15" hidden="false" customHeight="false" outlineLevel="0" collapsed="false">
      <c r="A208" s="20" t="n">
        <v>44135</v>
      </c>
      <c r="B208" s="21" t="n">
        <v>133.39866</v>
      </c>
      <c r="C208" s="22" t="n">
        <v>112.215098594231</v>
      </c>
      <c r="D208" s="22" t="n">
        <v>148.773777487153</v>
      </c>
      <c r="E208" s="22" t="n">
        <v>77.8498503869691</v>
      </c>
      <c r="F208" s="22" t="n">
        <v>116.876881690673</v>
      </c>
      <c r="G208" s="22" t="n">
        <v>141.766847313595</v>
      </c>
      <c r="H208" s="22" t="n">
        <v>132.376307479544</v>
      </c>
      <c r="I208" s="22" t="n">
        <v>140.290975776149</v>
      </c>
      <c r="J208" s="22" t="n">
        <v>73.6531284019773</v>
      </c>
      <c r="K208" s="22" t="n">
        <v>152.993858640264</v>
      </c>
      <c r="L208" s="22" t="n">
        <v>170.599883671164</v>
      </c>
      <c r="M208" s="22" t="n">
        <v>136.339810337543</v>
      </c>
      <c r="N208" s="22" t="n">
        <v>142.514244793162</v>
      </c>
      <c r="O208" s="22" t="n">
        <v>154.450939800232</v>
      </c>
      <c r="P208" s="22" t="n">
        <v>176.285449028476</v>
      </c>
      <c r="Q208" s="22" t="n">
        <v>102.64130964588</v>
      </c>
      <c r="R208" s="22" t="n">
        <f aca="false">C208*'Weights &amp; Assumptions'!$F$6+D208*'Weights &amp; Assumptions'!$F$7</f>
        <v>112.663035113485</v>
      </c>
      <c r="S208" s="22" t="n">
        <f aca="false">E208*'Weights &amp; Assumptions'!$F$8+F208*'Weights &amp; Assumptions'!$F$9+H208*'Weights &amp; Assumptions'!$F$11</f>
        <v>115.446040027203</v>
      </c>
      <c r="T208" s="22" t="n">
        <f aca="false">G208*'Weights &amp; Assumptions'!$F$10+I208*'Weights &amp; Assumptions'!$F$12+J208*'Weights &amp; Assumptions'!$F$13+K208*'Weights &amp; Assumptions'!$F$14+L208*'Weights &amp; Assumptions'!$F$15+M208*'Weights &amp; Assumptions'!$F$16+N208*'Weights &amp; Assumptions'!$F$17+O208*'Weights &amp; Assumptions'!$F$18+P208*'Weights &amp; Assumptions'!$F$19+Q208*'Weights &amp; Assumptions'!$F$20</f>
        <v>142.384738960654</v>
      </c>
      <c r="U208" s="22" t="n">
        <f aca="false">R208*'Weights &amp; Assumptions'!$B$25/'Weights &amp; Assumptions'!$B$28+S208*'Weights &amp; Assumptions'!$B$26/'Weights &amp; Assumptions'!$B$28+T208*'Weights &amp; Assumptions'!$B$27/'Weights &amp; Assumptions'!$B$28</f>
        <v>132.72759265748</v>
      </c>
      <c r="V208" s="23" t="n">
        <f aca="false">IFERROR(Tabelle1!E209*'Weights &amp; Assumptions'!$F$6+Tabelle1!F209*'Weights &amp; Assumptions'!$F$7,"")</f>
        <v>74.4215208736487</v>
      </c>
      <c r="W208" s="23" t="n">
        <f aca="false">IFERROR(Tabelle1!G209*'Weights &amp; Assumptions'!$F$8+Tabelle1!H209*'Weights &amp; Assumptions'!$F$9+Tabelle1!J209*'Weights &amp; Assumptions'!$F$11,"")</f>
        <v>122.916758620101</v>
      </c>
      <c r="X208" s="23" t="n">
        <f aca="false">IFERROR(Tabelle1!I209*'Weights &amp; Assumptions'!$F$10+Tabelle1!K209*'Weights &amp; Assumptions'!$F$12+Tabelle1!L209*'Weights &amp; Assumptions'!$F$13+Tabelle1!M209*'Weights &amp; Assumptions'!$F$14+Tabelle1!N209*'Weights &amp; Assumptions'!$F$15+Tabelle1!O209*'Weights &amp; Assumptions'!$F$16+Tabelle1!P209*'Weights &amp; Assumptions'!$F$17+Tabelle1!Q209*'Weights &amp; Assumptions'!$F$18+Tabelle1!R209*'Weights &amp; Assumptions'!$F$19+Tabelle1!S209*'Weights &amp; Assumptions'!$F$20,"")</f>
        <v>143.226953238519</v>
      </c>
      <c r="Y208" s="22" t="n">
        <f aca="false">IFERROR(V208*'Weights &amp; Assumptions'!$B$25/'Weights &amp; Assumptions'!$B$28+W208*'Weights &amp; Assumptions'!$B$26/'Weights &amp; Assumptions'!$B$28+X208*'Weights &amp; Assumptions'!$B$27/'Weights &amp; Assumptions'!$B$28,"")</f>
        <v>132.053284672471</v>
      </c>
    </row>
    <row r="209" customFormat="false" ht="15" hidden="false" customHeight="false" outlineLevel="0" collapsed="false">
      <c r="A209" s="20" t="n">
        <v>44165</v>
      </c>
      <c r="B209" s="21" t="n">
        <v>134.87132</v>
      </c>
      <c r="C209" s="22" t="n">
        <v>112.712492350342</v>
      </c>
      <c r="D209" s="22" t="n">
        <v>140.153688510543</v>
      </c>
      <c r="E209" s="22" t="n">
        <v>78.1039687190978</v>
      </c>
      <c r="F209" s="22" t="n">
        <v>117.584762890944</v>
      </c>
      <c r="G209" s="22" t="n">
        <v>144.099182735972</v>
      </c>
      <c r="H209" s="22" t="n">
        <v>136.273097616382</v>
      </c>
      <c r="I209" s="22" t="n">
        <v>139.648257656667</v>
      </c>
      <c r="J209" s="22" t="n">
        <v>77.4216444306252</v>
      </c>
      <c r="K209" s="22" t="n">
        <v>154.561081506552</v>
      </c>
      <c r="L209" s="22" t="n">
        <v>169.830473903391</v>
      </c>
      <c r="M209" s="22" t="n">
        <v>137.76568864851</v>
      </c>
      <c r="N209" s="22" t="n">
        <v>142.623279321369</v>
      </c>
      <c r="O209" s="22" t="n">
        <v>154.612340048888</v>
      </c>
      <c r="P209" s="22" t="n">
        <v>176.444921166864</v>
      </c>
      <c r="Q209" s="22" t="n">
        <v>104.874741886409</v>
      </c>
      <c r="R209" s="22" t="n">
        <f aca="false">C209*'Weights &amp; Assumptions'!$F$6+D209*'Weights &amp; Assumptions'!$F$7</f>
        <v>113.048716586676</v>
      </c>
      <c r="S209" s="22" t="n">
        <f aca="false">E209*'Weights &amp; Assumptions'!$F$8+F209*'Weights &amp; Assumptions'!$F$9+H209*'Weights &amp; Assumptions'!$F$11</f>
        <v>116.764068029479</v>
      </c>
      <c r="T209" s="22" t="n">
        <f aca="false">G209*'Weights &amp; Assumptions'!$F$10+I209*'Weights &amp; Assumptions'!$F$12+J209*'Weights &amp; Assumptions'!$F$13+K209*'Weights &amp; Assumptions'!$F$14+L209*'Weights &amp; Assumptions'!$F$15+M209*'Weights &amp; Assumptions'!$F$16+N209*'Weights &amp; Assumptions'!$F$17+O209*'Weights &amp; Assumptions'!$F$18+P209*'Weights &amp; Assumptions'!$F$19+Q209*'Weights &amp; Assumptions'!$F$20</f>
        <v>143.113188953595</v>
      </c>
      <c r="U209" s="22" t="n">
        <f aca="false">R209*'Weights &amp; Assumptions'!$B$25/'Weights &amp; Assumptions'!$B$28+S209*'Weights &amp; Assumptions'!$B$26/'Weights &amp; Assumptions'!$B$28+T209*'Weights &amp; Assumptions'!$B$27/'Weights &amp; Assumptions'!$B$28</f>
        <v>133.584063177891</v>
      </c>
      <c r="V209" s="23" t="n">
        <f aca="false">IFERROR(Tabelle1!E210*'Weights &amp; Assumptions'!$F$6+Tabelle1!F210*'Weights &amp; Assumptions'!$F$7,"")</f>
        <v>86.962314391366</v>
      </c>
      <c r="W209" s="23" t="n">
        <f aca="false">IFERROR(Tabelle1!G210*'Weights &amp; Assumptions'!$F$8+Tabelle1!H210*'Weights &amp; Assumptions'!$F$9+Tabelle1!J210*'Weights &amp; Assumptions'!$F$11,"")</f>
        <v>121.552403410299</v>
      </c>
      <c r="X209" s="23" t="n">
        <f aca="false">IFERROR(Tabelle1!I210*'Weights &amp; Assumptions'!$F$10+Tabelle1!K210*'Weights &amp; Assumptions'!$F$12+Tabelle1!L210*'Weights &amp; Assumptions'!$F$13+Tabelle1!M210*'Weights &amp; Assumptions'!$F$14+Tabelle1!N210*'Weights &amp; Assumptions'!$F$15+Tabelle1!O210*'Weights &amp; Assumptions'!$F$16+Tabelle1!P210*'Weights &amp; Assumptions'!$F$17+Tabelle1!Q210*'Weights &amp; Assumptions'!$F$18+Tabelle1!R210*'Weights &amp; Assumptions'!$F$19+Tabelle1!S210*'Weights &amp; Assumptions'!$F$20,"")</f>
        <v>143.863326911962</v>
      </c>
      <c r="Y209" s="22" t="n">
        <f aca="false">IFERROR(V209*'Weights &amp; Assumptions'!$B$25/'Weights &amp; Assumptions'!$B$28+W209*'Weights &amp; Assumptions'!$B$26/'Weights &amp; Assumptions'!$B$28+X209*'Weights &amp; Assumptions'!$B$27/'Weights &amp; Assumptions'!$B$28,"")</f>
        <v>133.156420318569</v>
      </c>
    </row>
    <row r="210" customFormat="false" ht="15" hidden="false" customHeight="false" outlineLevel="0" collapsed="false">
      <c r="A210" s="20" t="n">
        <v>44196</v>
      </c>
      <c r="B210" s="21" t="n">
        <v>136.95759</v>
      </c>
      <c r="C210" s="22" t="n">
        <v>116.12107379788</v>
      </c>
      <c r="D210" s="22" t="n">
        <v>151.847810467942</v>
      </c>
      <c r="E210" s="22" t="n">
        <v>80.0021886064332</v>
      </c>
      <c r="F210" s="22" t="n">
        <v>118.872788884304</v>
      </c>
      <c r="G210" s="22" t="n">
        <v>143.685441701826</v>
      </c>
      <c r="H210" s="22" t="n">
        <v>142.488530210642</v>
      </c>
      <c r="I210" s="22" t="n">
        <v>147.1002759139</v>
      </c>
      <c r="J210" s="22" t="n">
        <v>85.1524156784473</v>
      </c>
      <c r="K210" s="22" t="n">
        <v>153.418483560409</v>
      </c>
      <c r="L210" s="22" t="n">
        <v>169.682655404038</v>
      </c>
      <c r="M210" s="22" t="n">
        <v>138.366474354915</v>
      </c>
      <c r="N210" s="22" t="n">
        <v>142.592845320116</v>
      </c>
      <c r="O210" s="22" t="n">
        <v>155.374082467754</v>
      </c>
      <c r="P210" s="22" t="n">
        <v>176.299587415952</v>
      </c>
      <c r="Q210" s="22" t="n">
        <v>109.428265898463</v>
      </c>
      <c r="R210" s="22" t="n">
        <f aca="false">C210*'Weights &amp; Assumptions'!$F$6+D210*'Weights &amp; Assumptions'!$F$7</f>
        <v>116.558816915326</v>
      </c>
      <c r="S210" s="22" t="n">
        <f aca="false">E210*'Weights &amp; Assumptions'!$F$8+F210*'Weights &amp; Assumptions'!$F$9+H210*'Weights &amp; Assumptions'!$F$11</f>
        <v>119.151444949078</v>
      </c>
      <c r="T210" s="22" t="n">
        <f aca="false">G210*'Weights &amp; Assumptions'!$F$10+I210*'Weights &amp; Assumptions'!$F$12+J210*'Weights &amp; Assumptions'!$F$13+K210*'Weights &amp; Assumptions'!$F$14+L210*'Weights &amp; Assumptions'!$F$15+M210*'Weights &amp; Assumptions'!$F$16+N210*'Weights &amp; Assumptions'!$F$17+O210*'Weights &amp; Assumptions'!$F$18+P210*'Weights &amp; Assumptions'!$F$19+Q210*'Weights &amp; Assumptions'!$F$20</f>
        <v>145.216373915108</v>
      </c>
      <c r="U210" s="22" t="n">
        <f aca="false">R210*'Weights &amp; Assumptions'!$B$25/'Weights &amp; Assumptions'!$B$28+S210*'Weights &amp; Assumptions'!$B$26/'Weights &amp; Assumptions'!$B$28+T210*'Weights &amp; Assumptions'!$B$27/'Weights &amp; Assumptions'!$B$28</f>
        <v>135.880861115506</v>
      </c>
      <c r="V210" s="23" t="n">
        <f aca="false">IFERROR(Tabelle1!E211*'Weights &amp; Assumptions'!$F$6+Tabelle1!F211*'Weights &amp; Assumptions'!$F$7,"")</f>
        <v>112.143373099367</v>
      </c>
      <c r="W210" s="23" t="n">
        <f aca="false">IFERROR(Tabelle1!G211*'Weights &amp; Assumptions'!$F$8+Tabelle1!H211*'Weights &amp; Assumptions'!$F$9+Tabelle1!J211*'Weights &amp; Assumptions'!$F$11,"")</f>
        <v>117.802988130251</v>
      </c>
      <c r="X210" s="23" t="n">
        <f aca="false">IFERROR(Tabelle1!I211*'Weights &amp; Assumptions'!$F$10+Tabelle1!K211*'Weights &amp; Assumptions'!$F$12+Tabelle1!L211*'Weights &amp; Assumptions'!$F$13+Tabelle1!M211*'Weights &amp; Assumptions'!$F$14+Tabelle1!N211*'Weights &amp; Assumptions'!$F$15+Tabelle1!O211*'Weights &amp; Assumptions'!$F$16+Tabelle1!P211*'Weights &amp; Assumptions'!$F$17+Tabelle1!Q211*'Weights &amp; Assumptions'!$F$18+Tabelle1!R211*'Weights &amp; Assumptions'!$F$19+Tabelle1!S211*'Weights &amp; Assumptions'!$F$20,"")</f>
        <v>145.533958670098</v>
      </c>
      <c r="Y210" s="22" t="n">
        <f aca="false">IFERROR(V210*'Weights &amp; Assumptions'!$B$25/'Weights &amp; Assumptions'!$B$28+W210*'Weights &amp; Assumptions'!$B$26/'Weights &amp; Assumptions'!$B$28+X210*'Weights &amp; Assumptions'!$B$27/'Weights &amp; Assumptions'!$B$28,"")</f>
        <v>135.358311277407</v>
      </c>
    </row>
    <row r="211" customFormat="false" ht="15" hidden="false" customHeight="false" outlineLevel="0" collapsed="false">
      <c r="A211" s="20" t="n">
        <v>44227</v>
      </c>
      <c r="B211" s="21" t="n">
        <v>139.84977</v>
      </c>
      <c r="C211" s="22" t="n">
        <v>112.07242866689</v>
      </c>
      <c r="D211" s="22" t="n">
        <v>156.843836697413</v>
      </c>
      <c r="E211" s="22" t="n">
        <v>78.9859845756005</v>
      </c>
      <c r="F211" s="22" t="n">
        <v>122.052927093804</v>
      </c>
      <c r="G211" s="22" t="n">
        <v>140.246172397886</v>
      </c>
      <c r="H211" s="22" t="n">
        <v>141.668878984273</v>
      </c>
      <c r="I211" s="22" t="n">
        <v>146.116352704683</v>
      </c>
      <c r="J211" s="22" t="n">
        <v>90.2854256975915</v>
      </c>
      <c r="K211" s="22" t="n">
        <v>159.643567048425</v>
      </c>
      <c r="L211" s="22" t="n">
        <v>165.979585894792</v>
      </c>
      <c r="M211" s="22" t="n">
        <v>141.019885880157</v>
      </c>
      <c r="N211" s="22" t="n">
        <v>145.295572631221</v>
      </c>
      <c r="O211" s="22" t="n">
        <v>156.065392432187</v>
      </c>
      <c r="P211" s="22" t="n">
        <v>176.520067412472</v>
      </c>
      <c r="Q211" s="22" t="n">
        <v>117.145486909471</v>
      </c>
      <c r="R211" s="22" t="n">
        <f aca="false">C211*'Weights &amp; Assumptions'!$F$6+D211*'Weights &amp; Assumptions'!$F$7</f>
        <v>112.620991943316</v>
      </c>
      <c r="S211" s="22" t="n">
        <f aca="false">E211*'Weights &amp; Assumptions'!$F$8+F211*'Weights &amp; Assumptions'!$F$9+H211*'Weights &amp; Assumptions'!$F$11</f>
        <v>120.997298899862</v>
      </c>
      <c r="T211" s="22" t="n">
        <f aca="false">G211*'Weights &amp; Assumptions'!$F$10+I211*'Weights &amp; Assumptions'!$F$12+J211*'Weights &amp; Assumptions'!$F$13+K211*'Weights &amp; Assumptions'!$F$14+L211*'Weights &amp; Assumptions'!$F$15+M211*'Weights &amp; Assumptions'!$F$16+N211*'Weights &amp; Assumptions'!$F$17+O211*'Weights &amp; Assumptions'!$F$18+P211*'Weights &amp; Assumptions'!$F$19+Q211*'Weights &amp; Assumptions'!$F$20</f>
        <v>147.06868670296</v>
      </c>
      <c r="U211" s="22" t="n">
        <f aca="false">R211*'Weights &amp; Assumptions'!$B$25/'Weights &amp; Assumptions'!$B$28+S211*'Weights &amp; Assumptions'!$B$26/'Weights &amp; Assumptions'!$B$28+T211*'Weights &amp; Assumptions'!$B$27/'Weights &amp; Assumptions'!$B$28</f>
        <v>137.245659009163</v>
      </c>
      <c r="V211" s="23" t="n">
        <f aca="false">IFERROR(Tabelle1!E212*'Weights &amp; Assumptions'!$F$6+Tabelle1!F212*'Weights &amp; Assumptions'!$F$7,"")</f>
        <v>87.4593402849787</v>
      </c>
      <c r="W211" s="23" t="n">
        <f aca="false">IFERROR(Tabelle1!G212*'Weights &amp; Assumptions'!$F$8+Tabelle1!H212*'Weights &amp; Assumptions'!$F$9+Tabelle1!J212*'Weights &amp; Assumptions'!$F$11,"")</f>
        <v>111.250268533345</v>
      </c>
      <c r="X211" s="23" t="n">
        <f aca="false">IFERROR(Tabelle1!I212*'Weights &amp; Assumptions'!$F$10+Tabelle1!K212*'Weights &amp; Assumptions'!$F$12+Tabelle1!L212*'Weights &amp; Assumptions'!$F$13+Tabelle1!M212*'Weights &amp; Assumptions'!$F$14+Tabelle1!N212*'Weights &amp; Assumptions'!$F$15+Tabelle1!O212*'Weights &amp; Assumptions'!$F$16+Tabelle1!P212*'Weights &amp; Assumptions'!$F$17+Tabelle1!Q212*'Weights &amp; Assumptions'!$F$18+Tabelle1!R212*'Weights &amp; Assumptions'!$F$19+Tabelle1!S212*'Weights &amp; Assumptions'!$F$20,"")</f>
        <v>146.095920832673</v>
      </c>
      <c r="Y211" s="22" t="n">
        <f aca="false">IFERROR(V211*'Weights &amp; Assumptions'!$B$25/'Weights &amp; Assumptions'!$B$28+W211*'Weights &amp; Assumptions'!$B$26/'Weights &amp; Assumptions'!$B$28+X211*'Weights &amp; Assumptions'!$B$27/'Weights &amp; Assumptions'!$B$28,"")</f>
        <v>131.910195291459</v>
      </c>
    </row>
    <row r="212" customFormat="false" ht="15" hidden="false" customHeight="false" outlineLevel="0" collapsed="false">
      <c r="A212" s="20" t="n">
        <v>44255</v>
      </c>
      <c r="B212" s="21" t="n">
        <v>138.24268</v>
      </c>
      <c r="C212" s="22" t="n">
        <v>110.709240161933</v>
      </c>
      <c r="D212" s="22" t="n">
        <v>152.822223034991</v>
      </c>
      <c r="E212" s="22" t="n">
        <v>81.3885591945678</v>
      </c>
      <c r="F212" s="22" t="n">
        <v>118.325648561622</v>
      </c>
      <c r="G212" s="22" t="n">
        <v>136.570430145982</v>
      </c>
      <c r="H212" s="22" t="n">
        <v>139.031772679465</v>
      </c>
      <c r="I212" s="22" t="n">
        <v>144.719425250649</v>
      </c>
      <c r="J212" s="22" t="n">
        <v>94.5144315759954</v>
      </c>
      <c r="K212" s="22" t="n">
        <v>160.177600028077</v>
      </c>
      <c r="L212" s="22" t="n">
        <v>167.78953370912</v>
      </c>
      <c r="M212" s="22" t="n">
        <v>140.912869401216</v>
      </c>
      <c r="N212" s="22" t="n">
        <v>146.13992811711</v>
      </c>
      <c r="O212" s="22" t="n">
        <v>156.65468678591</v>
      </c>
      <c r="P212" s="22" t="n">
        <v>178.272608224505</v>
      </c>
      <c r="Q212" s="22" t="n">
        <v>120.40850610359</v>
      </c>
      <c r="R212" s="22" t="n">
        <f aca="false">C212*'Weights &amp; Assumptions'!$F$6+D212*'Weights &amp; Assumptions'!$F$7</f>
        <v>111.22523098914</v>
      </c>
      <c r="S212" s="22" t="n">
        <f aca="false">E212*'Weights &amp; Assumptions'!$F$8+F212*'Weights &amp; Assumptions'!$F$9+H212*'Weights &amp; Assumptions'!$F$11</f>
        <v>118.229019414111</v>
      </c>
      <c r="T212" s="22" t="n">
        <f aca="false">G212*'Weights &amp; Assumptions'!$F$10+I212*'Weights &amp; Assumptions'!$F$12+J212*'Weights &amp; Assumptions'!$F$13+K212*'Weights &amp; Assumptions'!$F$14+L212*'Weights &amp; Assumptions'!$F$15+M212*'Weights &amp; Assumptions'!$F$16+N212*'Weights &amp; Assumptions'!$F$17+O212*'Weights &amp; Assumptions'!$F$18+P212*'Weights &amp; Assumptions'!$F$19+Q212*'Weights &amp; Assumptions'!$F$20</f>
        <v>147.501062115503</v>
      </c>
      <c r="U212" s="22" t="n">
        <f aca="false">R212*'Weights &amp; Assumptions'!$B$25/'Weights &amp; Assumptions'!$B$28+S212*'Weights &amp; Assumptions'!$B$26/'Weights &amp; Assumptions'!$B$28+T212*'Weights &amp; Assumptions'!$B$27/'Weights &amp; Assumptions'!$B$28</f>
        <v>136.673542212141</v>
      </c>
      <c r="V212" s="23" t="n">
        <f aca="false">IFERROR(Tabelle1!E213*'Weights &amp; Assumptions'!$F$6+Tabelle1!F213*'Weights &amp; Assumptions'!$F$7,"")</f>
        <v>72.8850921992587</v>
      </c>
      <c r="W212" s="23" t="n">
        <f aca="false">IFERROR(Tabelle1!G213*'Weights &amp; Assumptions'!$F$8+Tabelle1!H213*'Weights &amp; Assumptions'!$F$9+Tabelle1!J213*'Weights &amp; Assumptions'!$F$11,"")</f>
        <v>108.165571304387</v>
      </c>
      <c r="X212" s="23" t="n">
        <f aca="false">IFERROR(Tabelle1!I213*'Weights &amp; Assumptions'!$F$10+Tabelle1!K213*'Weights &amp; Assumptions'!$F$12+Tabelle1!L213*'Weights &amp; Assumptions'!$F$13+Tabelle1!M213*'Weights &amp; Assumptions'!$F$14+Tabelle1!N213*'Weights &amp; Assumptions'!$F$15+Tabelle1!O213*'Weights &amp; Assumptions'!$F$16+Tabelle1!P213*'Weights &amp; Assumptions'!$F$17+Tabelle1!Q213*'Weights &amp; Assumptions'!$F$18+Tabelle1!R213*'Weights &amp; Assumptions'!$F$19+Tabelle1!S213*'Weights &amp; Assumptions'!$F$20,"")</f>
        <v>143.673930209649</v>
      </c>
      <c r="Y212" s="22" t="n">
        <f aca="false">IFERROR(V212*'Weights &amp; Assumptions'!$B$25/'Weights &amp; Assumptions'!$B$28+W212*'Weights &amp; Assumptions'!$B$26/'Weights &amp; Assumptions'!$B$28+X212*'Weights &amp; Assumptions'!$B$27/'Weights &amp; Assumptions'!$B$28,"")</f>
        <v>128.29239489144</v>
      </c>
    </row>
    <row r="213" customFormat="false" ht="15" hidden="false" customHeight="false" outlineLevel="0" collapsed="false">
      <c r="A213" s="20" t="n">
        <v>44286</v>
      </c>
      <c r="B213" s="21" t="n">
        <v>140.89139</v>
      </c>
      <c r="C213" s="22" t="n">
        <v>114.648434097781</v>
      </c>
      <c r="D213" s="22" t="n">
        <v>174.676577456321</v>
      </c>
      <c r="E213" s="22" t="n">
        <v>82.8120822762664</v>
      </c>
      <c r="F213" s="22" t="n">
        <v>129.274660782857</v>
      </c>
      <c r="G213" s="22" t="n">
        <v>142.882376073812</v>
      </c>
      <c r="H213" s="22" t="n">
        <v>148.392863784714</v>
      </c>
      <c r="I213" s="22" t="n">
        <v>151.700466284199</v>
      </c>
      <c r="J213" s="22" t="n">
        <v>94.1577209207117</v>
      </c>
      <c r="K213" s="22" t="n">
        <v>165.616103222991</v>
      </c>
      <c r="L213" s="22" t="n">
        <v>170.343710987914</v>
      </c>
      <c r="M213" s="22" t="n">
        <v>143.969530142169</v>
      </c>
      <c r="N213" s="22" t="n">
        <v>147.919942711926</v>
      </c>
      <c r="O213" s="22" t="n">
        <v>158.619042207523</v>
      </c>
      <c r="P213" s="22" t="n">
        <v>180.561206771316</v>
      </c>
      <c r="Q213" s="22" t="n">
        <v>113.164365510103</v>
      </c>
      <c r="R213" s="22" t="n">
        <f aca="false">C213*'Weights &amp; Assumptions'!$F$6+D213*'Weights &amp; Assumptions'!$F$7</f>
        <v>115.383931068884</v>
      </c>
      <c r="S213" s="22" t="n">
        <f aca="false">E213*'Weights &amp; Assumptions'!$F$8+F213*'Weights &amp; Assumptions'!$F$9+H213*'Weights &amp; Assumptions'!$F$11</f>
        <v>127.709908581463</v>
      </c>
      <c r="T213" s="22" t="n">
        <f aca="false">G213*'Weights &amp; Assumptions'!$F$10+I213*'Weights &amp; Assumptions'!$F$12+J213*'Weights &amp; Assumptions'!$F$13+K213*'Weights &amp; Assumptions'!$F$14+L213*'Weights &amp; Assumptions'!$F$15+M213*'Weights &amp; Assumptions'!$F$16+N213*'Weights &amp; Assumptions'!$F$17+O213*'Weights &amp; Assumptions'!$F$18+P213*'Weights &amp; Assumptions'!$F$19+Q213*'Weights &amp; Assumptions'!$F$20</f>
        <v>150.776680405545</v>
      </c>
      <c r="U213" s="22" t="n">
        <f aca="false">R213*'Weights &amp; Assumptions'!$B$25/'Weights &amp; Assumptions'!$B$28+S213*'Weights &amp; Assumptions'!$B$26/'Weights &amp; Assumptions'!$B$28+T213*'Weights &amp; Assumptions'!$B$27/'Weights &amp; Assumptions'!$B$28</f>
        <v>141.673341720211</v>
      </c>
      <c r="V213" s="23" t="n">
        <f aca="false">IFERROR(Tabelle1!E214*'Weights &amp; Assumptions'!$F$6+Tabelle1!F214*'Weights &amp; Assumptions'!$F$7,"")</f>
        <v>147.657047640076</v>
      </c>
      <c r="W213" s="23" t="n">
        <f aca="false">IFERROR(Tabelle1!G214*'Weights &amp; Assumptions'!$F$8+Tabelle1!H214*'Weights &amp; Assumptions'!$F$9+Tabelle1!J214*'Weights &amp; Assumptions'!$F$11,"")</f>
        <v>128.891430378011</v>
      </c>
      <c r="X213" s="23" t="n">
        <f aca="false">IFERROR(Tabelle1!I214*'Weights &amp; Assumptions'!$F$10+Tabelle1!K214*'Weights &amp; Assumptions'!$F$12+Tabelle1!L214*'Weights &amp; Assumptions'!$F$13+Tabelle1!M214*'Weights &amp; Assumptions'!$F$14+Tabelle1!N214*'Weights &amp; Assumptions'!$F$15+Tabelle1!O214*'Weights &amp; Assumptions'!$F$16+Tabelle1!P214*'Weights &amp; Assumptions'!$F$17+Tabelle1!Q214*'Weights &amp; Assumptions'!$F$18+Tabelle1!R214*'Weights &amp; Assumptions'!$F$19+Tabelle1!S214*'Weights &amp; Assumptions'!$F$20,"")</f>
        <v>153.277078252415</v>
      </c>
      <c r="Y213" s="22" t="n">
        <f aca="false">IFERROR(V213*'Weights &amp; Assumptions'!$B$25/'Weights &amp; Assumptions'!$B$28+W213*'Weights &amp; Assumptions'!$B$26/'Weights &amp; Assumptions'!$B$28+X213*'Weights &amp; Assumptions'!$B$27/'Weights &amp; Assumptions'!$B$28,"")</f>
        <v>146.320983264733</v>
      </c>
    </row>
    <row r="214" customFormat="false" ht="15" hidden="false" customHeight="false" outlineLevel="0" collapsed="false">
      <c r="A214" s="20" t="n">
        <v>44316</v>
      </c>
      <c r="B214" s="21" t="n">
        <v>139.31159</v>
      </c>
      <c r="C214" s="22" t="n">
        <v>118.145594110846</v>
      </c>
      <c r="D214" s="22" t="n">
        <v>147.79014091294</v>
      </c>
      <c r="E214" s="22" t="n">
        <v>84.7049513563955</v>
      </c>
      <c r="F214" s="22" t="n">
        <v>126.828435067514</v>
      </c>
      <c r="G214" s="22" t="n">
        <v>147.696375555118</v>
      </c>
      <c r="H214" s="22" t="n">
        <v>143.48102303948</v>
      </c>
      <c r="I214" s="22" t="n">
        <v>152.826474628899</v>
      </c>
      <c r="J214" s="22" t="n">
        <v>110.113356297085</v>
      </c>
      <c r="K214" s="22" t="n">
        <v>166.393094680727</v>
      </c>
      <c r="L214" s="22" t="n">
        <v>167.408865422604</v>
      </c>
      <c r="M214" s="22" t="n">
        <v>145.029323115183</v>
      </c>
      <c r="N214" s="22" t="n">
        <v>147.963960811778</v>
      </c>
      <c r="O214" s="22" t="n">
        <v>158.129558629611</v>
      </c>
      <c r="P214" s="22" t="n">
        <v>181.676904345257</v>
      </c>
      <c r="Q214" s="22" t="n">
        <v>112.805837663358</v>
      </c>
      <c r="R214" s="22" t="n">
        <f aca="false">C214*'Weights &amp; Assumptions'!$F$6+D214*'Weights &amp; Assumptions'!$F$7</f>
        <v>118.508814979638</v>
      </c>
      <c r="S214" s="22" t="n">
        <f aca="false">E214*'Weights &amp; Assumptions'!$F$8+F214*'Weights &amp; Assumptions'!$F$9+H214*'Weights &amp; Assumptions'!$F$11</f>
        <v>125.268114999128</v>
      </c>
      <c r="T214" s="22" t="n">
        <f aca="false">G214*'Weights &amp; Assumptions'!$F$10+I214*'Weights &amp; Assumptions'!$F$12+J214*'Weights &amp; Assumptions'!$F$13+K214*'Weights &amp; Assumptions'!$F$14+L214*'Weights &amp; Assumptions'!$F$15+M214*'Weights &amp; Assumptions'!$F$16+N214*'Weights &amp; Assumptions'!$F$17+O214*'Weights &amp; Assumptions'!$F$18+P214*'Weights &amp; Assumptions'!$F$19+Q214*'Weights &amp; Assumptions'!$F$20</f>
        <v>152.023946673464</v>
      </c>
      <c r="U214" s="22" t="n">
        <f aca="false">R214*'Weights &amp; Assumptions'!$B$25/'Weights &amp; Assumptions'!$B$28+S214*'Weights &amp; Assumptions'!$B$26/'Weights &amp; Assumptions'!$B$28+T214*'Weights &amp; Assumptions'!$B$27/'Weights &amp; Assumptions'!$B$28</f>
        <v>142.097156215625</v>
      </c>
      <c r="V214" s="23" t="n">
        <f aca="false">IFERROR(Tabelle1!E215*'Weights &amp; Assumptions'!$F$6+Tabelle1!F215*'Weights &amp; Assumptions'!$F$7,"")</f>
        <v>206.79452692602</v>
      </c>
      <c r="W214" s="23" t="n">
        <f aca="false">IFERROR(Tabelle1!G215*'Weights &amp; Assumptions'!$F$8+Tabelle1!H215*'Weights &amp; Assumptions'!$F$9+Tabelle1!J215*'Weights &amp; Assumptions'!$F$11,"")</f>
        <v>121.503552191352</v>
      </c>
      <c r="X214" s="23" t="n">
        <f aca="false">IFERROR(Tabelle1!I215*'Weights &amp; Assumptions'!$F$10+Tabelle1!K215*'Weights &amp; Assumptions'!$F$12+Tabelle1!L215*'Weights &amp; Assumptions'!$F$13+Tabelle1!M215*'Weights &amp; Assumptions'!$F$14+Tabelle1!N215*'Weights &amp; Assumptions'!$F$15+Tabelle1!O215*'Weights &amp; Assumptions'!$F$16+Tabelle1!P215*'Weights &amp; Assumptions'!$F$17+Tabelle1!Q215*'Weights &amp; Assumptions'!$F$18+Tabelle1!R215*'Weights &amp; Assumptions'!$F$19+Tabelle1!S215*'Weights &amp; Assumptions'!$F$20,"")</f>
        <v>151.131071852479</v>
      </c>
      <c r="Y214" s="22" t="n">
        <f aca="false">IFERROR(V214*'Weights &amp; Assumptions'!$B$25/'Weights &amp; Assumptions'!$B$28+W214*'Weights &amp; Assumptions'!$B$26/'Weights &amp; Assumptions'!$B$28+X214*'Weights &amp; Assumptions'!$B$27/'Weights &amp; Assumptions'!$B$28,"")</f>
        <v>147.922807039886</v>
      </c>
    </row>
    <row r="215" customFormat="false" ht="15" hidden="false" customHeight="false" outlineLevel="0" collapsed="false">
      <c r="A215" s="20" t="n">
        <v>44347</v>
      </c>
      <c r="B215" s="21" t="n">
        <v>138.85916</v>
      </c>
      <c r="C215" s="22" t="n">
        <v>117.359074845255</v>
      </c>
      <c r="D215" s="22" t="n">
        <v>159.461514861696</v>
      </c>
      <c r="E215" s="22" t="n">
        <v>86.7397078973956</v>
      </c>
      <c r="F215" s="22" t="n">
        <v>122.51947987517</v>
      </c>
      <c r="G215" s="22" t="n">
        <v>147.004123259666</v>
      </c>
      <c r="H215" s="22" t="n">
        <v>133.657303146832</v>
      </c>
      <c r="I215" s="22" t="n">
        <v>148.048648501191</v>
      </c>
      <c r="J215" s="22" t="n">
        <v>101.572443482221</v>
      </c>
      <c r="K215" s="22" t="n">
        <v>166.85365896179</v>
      </c>
      <c r="L215" s="22" t="n">
        <v>165.78030295534</v>
      </c>
      <c r="M215" s="22" t="n">
        <v>142.410363230084</v>
      </c>
      <c r="N215" s="22" t="n">
        <v>148.927241035634</v>
      </c>
      <c r="O215" s="22" t="n">
        <v>158.130239874869</v>
      </c>
      <c r="P215" s="22" t="n">
        <v>182.808687041884</v>
      </c>
      <c r="Q215" s="22" t="n">
        <v>114.660139049644</v>
      </c>
      <c r="R215" s="22" t="n">
        <f aca="false">C215*'Weights &amp; Assumptions'!$F$6+D215*'Weights &amp; Assumptions'!$F$7</f>
        <v>117.874936495734</v>
      </c>
      <c r="S215" s="22" t="n">
        <f aca="false">E215*'Weights &amp; Assumptions'!$F$8+F215*'Weights &amp; Assumptions'!$F$9+H215*'Weights &amp; Assumptions'!$F$11</f>
        <v>120.567728716865</v>
      </c>
      <c r="T215" s="22" t="n">
        <f aca="false">G215*'Weights &amp; Assumptions'!$F$10+I215*'Weights &amp; Assumptions'!$F$12+J215*'Weights &amp; Assumptions'!$F$13+K215*'Weights &amp; Assumptions'!$F$14+L215*'Weights &amp; Assumptions'!$F$15+M215*'Weights &amp; Assumptions'!$F$16+N215*'Weights &amp; Assumptions'!$F$17+O215*'Weights &amp; Assumptions'!$F$18+P215*'Weights &amp; Assumptions'!$F$19+Q215*'Weights &amp; Assumptions'!$F$20</f>
        <v>150.315786406368</v>
      </c>
      <c r="U215" s="22" t="n">
        <f aca="false">R215*'Weights &amp; Assumptions'!$B$25/'Weights &amp; Assumptions'!$B$28+S215*'Weights &amp; Assumptions'!$B$26/'Weights &amp; Assumptions'!$B$28+T215*'Weights &amp; Assumptions'!$B$27/'Weights &amp; Assumptions'!$B$28</f>
        <v>139.683443918023</v>
      </c>
      <c r="V215" s="23" t="n">
        <f aca="false">IFERROR(Tabelle1!E216*'Weights &amp; Assumptions'!$F$6+Tabelle1!F216*'Weights &amp; Assumptions'!$F$7,"")</f>
        <v>280.530597089904</v>
      </c>
      <c r="W215" s="23" t="n">
        <f aca="false">IFERROR(Tabelle1!G216*'Weights &amp; Assumptions'!$F$8+Tabelle1!H216*'Weights &amp; Assumptions'!$F$9+Tabelle1!J216*'Weights &amp; Assumptions'!$F$11,"")</f>
        <v>118.798022673644</v>
      </c>
      <c r="X215" s="23" t="n">
        <f aca="false">IFERROR(Tabelle1!I216*'Weights &amp; Assumptions'!$F$10+Tabelle1!K216*'Weights &amp; Assumptions'!$F$12+Tabelle1!L216*'Weights &amp; Assumptions'!$F$13+Tabelle1!M216*'Weights &amp; Assumptions'!$F$14+Tabelle1!N216*'Weights &amp; Assumptions'!$F$15+Tabelle1!O216*'Weights &amp; Assumptions'!$F$16+Tabelle1!P216*'Weights &amp; Assumptions'!$F$17+Tabelle1!Q216*'Weights &amp; Assumptions'!$F$18+Tabelle1!R216*'Weights &amp; Assumptions'!$F$19+Tabelle1!S216*'Weights &amp; Assumptions'!$F$20,"")</f>
        <v>150.506482623938</v>
      </c>
      <c r="Y215" s="22" t="n">
        <f aca="false">IFERROR(V215*'Weights &amp; Assumptions'!$B$25/'Weights &amp; Assumptions'!$B$28+W215*'Weights &amp; Assumptions'!$B$26/'Weights &amp; Assumptions'!$B$28+X215*'Weights &amp; Assumptions'!$B$27/'Weights &amp; Assumptions'!$B$28,"")</f>
        <v>152.983780644089</v>
      </c>
    </row>
    <row r="216" customFormat="false" ht="15" hidden="false" customHeight="false" outlineLevel="0" collapsed="false">
      <c r="A216" s="20" t="n">
        <v>44377</v>
      </c>
      <c r="B216" s="21" t="n">
        <v>141.52411</v>
      </c>
      <c r="C216" s="22" t="n">
        <v>116.088611654782</v>
      </c>
      <c r="D216" s="22" t="n">
        <v>168.65874774387</v>
      </c>
      <c r="E216" s="22" t="n">
        <v>87.8656272845272</v>
      </c>
      <c r="F216" s="22" t="n">
        <v>126.826223297941</v>
      </c>
      <c r="G216" s="22" t="n">
        <v>148.649118645464</v>
      </c>
      <c r="H216" s="22" t="n">
        <v>142.644038507599</v>
      </c>
      <c r="I216" s="22" t="n">
        <v>149.592732084512</v>
      </c>
      <c r="J216" s="22" t="n">
        <v>102.914044635636</v>
      </c>
      <c r="K216" s="22" t="n">
        <v>169.293597880802</v>
      </c>
      <c r="L216" s="22" t="n">
        <v>165.856884116748</v>
      </c>
      <c r="M216" s="22" t="n">
        <v>144.235139766166</v>
      </c>
      <c r="N216" s="22" t="n">
        <v>148.392073720782</v>
      </c>
      <c r="O216" s="22" t="n">
        <v>158.747066042704</v>
      </c>
      <c r="P216" s="22" t="n">
        <v>182.935927737969</v>
      </c>
      <c r="Q216" s="22" t="n">
        <v>119.683908364128</v>
      </c>
      <c r="R216" s="22" t="n">
        <f aca="false">C216*'Weights &amp; Assumptions'!$F$6+D216*'Weights &amp; Assumptions'!$F$7</f>
        <v>116.732729125367</v>
      </c>
      <c r="S216" s="22" t="n">
        <f aca="false">E216*'Weights &amp; Assumptions'!$F$8+F216*'Weights &amp; Assumptions'!$F$9+H216*'Weights &amp; Assumptions'!$F$11</f>
        <v>125.469641892182</v>
      </c>
      <c r="T216" s="22" t="n">
        <f aca="false">G216*'Weights &amp; Assumptions'!$F$10+I216*'Weights &amp; Assumptions'!$F$12+J216*'Weights &amp; Assumptions'!$F$13+K216*'Weights &amp; Assumptions'!$F$14+L216*'Weights &amp; Assumptions'!$F$15+M216*'Weights &amp; Assumptions'!$F$16+N216*'Weights &amp; Assumptions'!$F$17+O216*'Weights &amp; Assumptions'!$F$18+P216*'Weights &amp; Assumptions'!$F$19+Q216*'Weights &amp; Assumptions'!$F$20</f>
        <v>151.752820512573</v>
      </c>
      <c r="U216" s="22" t="n">
        <f aca="false">R216*'Weights &amp; Assumptions'!$B$25/'Weights &amp; Assumptions'!$B$28+S216*'Weights &amp; Assumptions'!$B$26/'Weights &amp; Assumptions'!$B$28+T216*'Weights &amp; Assumptions'!$B$27/'Weights &amp; Assumptions'!$B$28</f>
        <v>141.82544938746</v>
      </c>
      <c r="V216" s="23" t="n">
        <f aca="false">IFERROR(Tabelle1!E217*'Weights &amp; Assumptions'!$F$6+Tabelle1!F217*'Weights &amp; Assumptions'!$F$7,"")</f>
        <v>192.790154565738</v>
      </c>
      <c r="W216" s="23" t="n">
        <f aca="false">IFERROR(Tabelle1!G217*'Weights &amp; Assumptions'!$F$8+Tabelle1!H217*'Weights &amp; Assumptions'!$F$9+Tabelle1!J217*'Weights &amp; Assumptions'!$F$11,"")</f>
        <v>128.169020865906</v>
      </c>
      <c r="X216" s="23" t="n">
        <f aca="false">IFERROR(Tabelle1!I217*'Weights &amp; Assumptions'!$F$10+Tabelle1!K217*'Weights &amp; Assumptions'!$F$12+Tabelle1!L217*'Weights &amp; Assumptions'!$F$13+Tabelle1!M217*'Weights &amp; Assumptions'!$F$14+Tabelle1!N217*'Weights &amp; Assumptions'!$F$15+Tabelle1!O217*'Weights &amp; Assumptions'!$F$16+Tabelle1!P217*'Weights &amp; Assumptions'!$F$17+Tabelle1!Q217*'Weights &amp; Assumptions'!$F$18+Tabelle1!R217*'Weights &amp; Assumptions'!$F$19+Tabelle1!S217*'Weights &amp; Assumptions'!$F$20,"")</f>
        <v>154.235975099595</v>
      </c>
      <c r="Y216" s="22" t="n">
        <f aca="false">IFERROR(V216*'Weights &amp; Assumptions'!$B$25/'Weights &amp; Assumptions'!$B$28+W216*'Weights &amp; Assumptions'!$B$26/'Weights &amp; Assumptions'!$B$28+X216*'Weights &amp; Assumptions'!$B$27/'Weights &amp; Assumptions'!$B$28,"")</f>
        <v>150.539044368931</v>
      </c>
    </row>
    <row r="217" customFormat="false" ht="15" hidden="false" customHeight="false" outlineLevel="0" collapsed="false">
      <c r="A217" s="20" t="n">
        <v>44408</v>
      </c>
      <c r="B217" s="21" t="n">
        <v>141.37917</v>
      </c>
      <c r="C217" s="22" t="n">
        <v>114.865453634272</v>
      </c>
      <c r="D217" s="22" t="n">
        <v>188.232148297364</v>
      </c>
      <c r="E217" s="22" t="n">
        <v>87.6702801564148</v>
      </c>
      <c r="F217" s="22" t="n">
        <v>124.962223164952</v>
      </c>
      <c r="G217" s="22" t="n">
        <v>148.606745636762</v>
      </c>
      <c r="H217" s="22" t="n">
        <v>140.407251941805</v>
      </c>
      <c r="I217" s="22" t="n">
        <v>149.485125510883</v>
      </c>
      <c r="J217" s="22" t="n">
        <v>112.198392602441</v>
      </c>
      <c r="K217" s="22" t="n">
        <v>168.636170463609</v>
      </c>
      <c r="L217" s="22" t="n">
        <v>163.783131621992</v>
      </c>
      <c r="M217" s="22" t="n">
        <v>144.517288243824</v>
      </c>
      <c r="N217" s="22" t="n">
        <v>151.36506949033</v>
      </c>
      <c r="O217" s="22" t="n">
        <v>158.70886893296</v>
      </c>
      <c r="P217" s="22" t="n">
        <v>181.759952381808</v>
      </c>
      <c r="Q217" s="22" t="n">
        <v>118.375479439313</v>
      </c>
      <c r="R217" s="22" t="n">
        <f aca="false">C217*'Weights &amp; Assumptions'!$F$6+D217*'Weights &amp; Assumptions'!$F$7</f>
        <v>115.764381681777</v>
      </c>
      <c r="S217" s="22" t="n">
        <f aca="false">E217*'Weights &amp; Assumptions'!$F$8+F217*'Weights &amp; Assumptions'!$F$9+H217*'Weights &amp; Assumptions'!$F$11</f>
        <v>123.727214886574</v>
      </c>
      <c r="T217" s="22" t="n">
        <f aca="false">G217*'Weights &amp; Assumptions'!$F$10+I217*'Weights &amp; Assumptions'!$F$12+J217*'Weights &amp; Assumptions'!$F$13+K217*'Weights &amp; Assumptions'!$F$14+L217*'Weights &amp; Assumptions'!$F$15+M217*'Weights &amp; Assumptions'!$F$16+N217*'Weights &amp; Assumptions'!$F$17+O217*'Weights &amp; Assumptions'!$F$18+P217*'Weights &amp; Assumptions'!$F$19+Q217*'Weights &amp; Assumptions'!$F$20</f>
        <v>152.086799853875</v>
      </c>
      <c r="U217" s="22" t="n">
        <f aca="false">R217*'Weights &amp; Assumptions'!$B$25/'Weights &amp; Assumptions'!$B$28+S217*'Weights &amp; Assumptions'!$B$26/'Weights &amp; Assumptions'!$B$28+T217*'Weights &amp; Assumptions'!$B$27/'Weights &amp; Assumptions'!$B$28</f>
        <v>141.498009709063</v>
      </c>
      <c r="V217" s="23" t="n">
        <f aca="false">IFERROR(Tabelle1!E218*'Weights &amp; Assumptions'!$F$6+Tabelle1!F218*'Weights &amp; Assumptions'!$F$7,"")</f>
        <v>117.737055034267</v>
      </c>
      <c r="W217" s="23" t="n">
        <f aca="false">IFERROR(Tabelle1!G218*'Weights &amp; Assumptions'!$F$8+Tabelle1!H218*'Weights &amp; Assumptions'!$F$9+Tabelle1!J218*'Weights &amp; Assumptions'!$F$11,"")</f>
        <v>127.23341815838</v>
      </c>
      <c r="X217" s="23" t="n">
        <f aca="false">IFERROR(Tabelle1!I218*'Weights &amp; Assumptions'!$F$10+Tabelle1!K218*'Weights &amp; Assumptions'!$F$12+Tabelle1!L218*'Weights &amp; Assumptions'!$F$13+Tabelle1!M218*'Weights &amp; Assumptions'!$F$14+Tabelle1!N218*'Weights &amp; Assumptions'!$F$15+Tabelle1!O218*'Weights &amp; Assumptions'!$F$16+Tabelle1!P218*'Weights &amp; Assumptions'!$F$17+Tabelle1!Q218*'Weights &amp; Assumptions'!$F$18+Tabelle1!R218*'Weights &amp; Assumptions'!$F$19+Tabelle1!S218*'Weights &amp; Assumptions'!$F$20,"")</f>
        <v>152.561256455736</v>
      </c>
      <c r="Y217" s="22" t="n">
        <f aca="false">IFERROR(V217*'Weights &amp; Assumptions'!$B$25/'Weights &amp; Assumptions'!$B$28+W217*'Weights &amp; Assumptions'!$B$26/'Weights &amp; Assumptions'!$B$28+X217*'Weights &amp; Assumptions'!$B$27/'Weights &amp; Assumptions'!$B$28,"")</f>
        <v>142.904362341705</v>
      </c>
    </row>
    <row r="218" customFormat="false" ht="15" hidden="false" customHeight="false" outlineLevel="0" collapsed="false">
      <c r="A218" s="20" t="n">
        <v>44439</v>
      </c>
      <c r="B218" s="21" t="n">
        <v>143.3159</v>
      </c>
      <c r="C218" s="22" t="n">
        <v>115.546203151271</v>
      </c>
      <c r="D218" s="22" t="n">
        <v>149.924359370452</v>
      </c>
      <c r="E218" s="22" t="n">
        <v>88.0082836836156</v>
      </c>
      <c r="F218" s="22" t="n">
        <v>124.351627467521</v>
      </c>
      <c r="G218" s="22" t="n">
        <v>152.154157980988</v>
      </c>
      <c r="H218" s="22" t="n">
        <v>140.961591178842</v>
      </c>
      <c r="I218" s="22" t="n">
        <v>149.598342468528</v>
      </c>
      <c r="J218" s="22" t="n">
        <v>114.515674933631</v>
      </c>
      <c r="K218" s="22" t="n">
        <v>171.57413248378</v>
      </c>
      <c r="L218" s="22" t="n">
        <v>165.990404297416</v>
      </c>
      <c r="M218" s="22" t="n">
        <v>143.853107186198</v>
      </c>
      <c r="N218" s="22" t="n">
        <v>152.650368803019</v>
      </c>
      <c r="O218" s="22" t="n">
        <v>160.90600061773</v>
      </c>
      <c r="P218" s="22" t="n">
        <v>182.588005185463</v>
      </c>
      <c r="Q218" s="22" t="n">
        <v>120.542460619487</v>
      </c>
      <c r="R218" s="22" t="n">
        <f aca="false">C218*'Weights &amp; Assumptions'!$F$6+D218*'Weights &amp; Assumptions'!$F$7</f>
        <v>115.967422738562</v>
      </c>
      <c r="S218" s="22" t="n">
        <f aca="false">E218*'Weights &amp; Assumptions'!$F$8+F218*'Weights &amp; Assumptions'!$F$9+H218*'Weights &amp; Assumptions'!$F$11</f>
        <v>123.472563224322</v>
      </c>
      <c r="T218" s="22" t="n">
        <f aca="false">G218*'Weights &amp; Assumptions'!$F$10+I218*'Weights &amp; Assumptions'!$F$12+J218*'Weights &amp; Assumptions'!$F$13+K218*'Weights &amp; Assumptions'!$F$14+L218*'Weights &amp; Assumptions'!$F$15+M218*'Weights &amp; Assumptions'!$F$16+N218*'Weights &amp; Assumptions'!$F$17+O218*'Weights &amp; Assumptions'!$F$18+P218*'Weights &amp; Assumptions'!$F$19+Q218*'Weights &amp; Assumptions'!$F$20</f>
        <v>153.241404887703</v>
      </c>
      <c r="U218" s="22" t="n">
        <f aca="false">R218*'Weights &amp; Assumptions'!$B$25/'Weights &amp; Assumptions'!$B$28+S218*'Weights &amp; Assumptions'!$B$26/'Weights &amp; Assumptions'!$B$28+T218*'Weights &amp; Assumptions'!$B$27/'Weights &amp; Assumptions'!$B$28</f>
        <v>142.198031760711</v>
      </c>
      <c r="V218" s="23" t="n">
        <f aca="false">IFERROR(Tabelle1!E219*'Weights &amp; Assumptions'!$F$6+Tabelle1!F219*'Weights &amp; Assumptions'!$F$7,"")</f>
        <v>80.9904363639289</v>
      </c>
      <c r="W218" s="23" t="n">
        <f aca="false">IFERROR(Tabelle1!G219*'Weights &amp; Assumptions'!$F$8+Tabelle1!H219*'Weights &amp; Assumptions'!$F$9+Tabelle1!J219*'Weights &amp; Assumptions'!$F$11,"")</f>
        <v>130.028119565618</v>
      </c>
      <c r="X218" s="23" t="n">
        <f aca="false">IFERROR(Tabelle1!I219*'Weights &amp; Assumptions'!$F$10+Tabelle1!K219*'Weights &amp; Assumptions'!$F$12+Tabelle1!L219*'Weights &amp; Assumptions'!$F$13+Tabelle1!M219*'Weights &amp; Assumptions'!$F$14+Tabelle1!N219*'Weights &amp; Assumptions'!$F$15+Tabelle1!O219*'Weights &amp; Assumptions'!$F$16+Tabelle1!P219*'Weights &amp; Assumptions'!$F$17+Tabelle1!Q219*'Weights &amp; Assumptions'!$F$18+Tabelle1!R219*'Weights &amp; Assumptions'!$F$19+Tabelle1!S219*'Weights &amp; Assumptions'!$F$20,"")</f>
        <v>154.059261246418</v>
      </c>
      <c r="Y218" s="22" t="n">
        <f aca="false">IFERROR(V218*'Weights &amp; Assumptions'!$B$25/'Weights &amp; Assumptions'!$B$28+W218*'Weights &amp; Assumptions'!$B$26/'Weights &amp; Assumptions'!$B$28+X218*'Weights &amp; Assumptions'!$B$27/'Weights &amp; Assumptions'!$B$28,"")</f>
        <v>141.538425678149</v>
      </c>
    </row>
    <row r="219" customFormat="false" ht="15" hidden="false" customHeight="false" outlineLevel="0" collapsed="false">
      <c r="A219" s="20" t="n">
        <v>44469</v>
      </c>
      <c r="B219" s="21" t="n">
        <v>144.17735</v>
      </c>
      <c r="C219" s="22" t="n">
        <v>114.418768962332</v>
      </c>
      <c r="D219" s="22" t="n">
        <v>150.377180240405</v>
      </c>
      <c r="E219" s="22" t="n">
        <v>90.3169846948702</v>
      </c>
      <c r="F219" s="22" t="n">
        <v>126.667649371558</v>
      </c>
      <c r="G219" s="22" t="n">
        <v>148.531370843013</v>
      </c>
      <c r="H219" s="22" t="n">
        <v>143.041041254683</v>
      </c>
      <c r="I219" s="22" t="n">
        <v>150.797180364665</v>
      </c>
      <c r="J219" s="22" t="n">
        <v>124.776255369085</v>
      </c>
      <c r="K219" s="22" t="n">
        <v>172.562682410557</v>
      </c>
      <c r="L219" s="22" t="n">
        <v>167.476064896871</v>
      </c>
      <c r="M219" s="22" t="n">
        <v>145.602463314884</v>
      </c>
      <c r="N219" s="22" t="n">
        <v>153.697085640259</v>
      </c>
      <c r="O219" s="22" t="n">
        <v>161.579396175669</v>
      </c>
      <c r="P219" s="22" t="n">
        <v>181.58457630781</v>
      </c>
      <c r="Q219" s="22" t="n">
        <v>122.137833911415</v>
      </c>
      <c r="R219" s="22" t="n">
        <f aca="false">C219*'Weights &amp; Assumptions'!$F$6+D219*'Weights &amp; Assumptions'!$F$7</f>
        <v>114.85935068119</v>
      </c>
      <c r="S219" s="22" t="n">
        <f aca="false">E219*'Weights &amp; Assumptions'!$F$8+F219*'Weights &amp; Assumptions'!$F$9+H219*'Weights &amp; Assumptions'!$F$11</f>
        <v>125.738427531233</v>
      </c>
      <c r="T219" s="22" t="n">
        <f aca="false">G219*'Weights &amp; Assumptions'!$F$10+I219*'Weights &amp; Assumptions'!$F$12+J219*'Weights &amp; Assumptions'!$F$13+K219*'Weights &amp; Assumptions'!$F$14+L219*'Weights &amp; Assumptions'!$F$15+M219*'Weights &amp; Assumptions'!$F$16+N219*'Weights &amp; Assumptions'!$F$17+O219*'Weights &amp; Assumptions'!$F$18+P219*'Weights &amp; Assumptions'!$F$19+Q219*'Weights &amp; Assumptions'!$F$20</f>
        <v>154.639024728771</v>
      </c>
      <c r="U219" s="22" t="n">
        <f aca="false">R219*'Weights &amp; Assumptions'!$B$25/'Weights &amp; Assumptions'!$B$28+S219*'Weights &amp; Assumptions'!$B$26/'Weights &amp; Assumptions'!$B$28+T219*'Weights &amp; Assumptions'!$B$27/'Weights &amp; Assumptions'!$B$28</f>
        <v>143.616303336373</v>
      </c>
      <c r="V219" s="23" t="n">
        <f aca="false">IFERROR(Tabelle1!E220*'Weights &amp; Assumptions'!$F$6+Tabelle1!F220*'Weights &amp; Assumptions'!$F$7,"")</f>
        <v>75.9642801162084</v>
      </c>
      <c r="W219" s="23" t="n">
        <f aca="false">IFERROR(Tabelle1!G220*'Weights &amp; Assumptions'!$F$8+Tabelle1!H220*'Weights &amp; Assumptions'!$F$9+Tabelle1!J220*'Weights &amp; Assumptions'!$F$11,"")</f>
        <v>130.688859033875</v>
      </c>
      <c r="X219" s="23" t="n">
        <f aca="false">IFERROR(Tabelle1!I220*'Weights &amp; Assumptions'!$F$10+Tabelle1!K220*'Weights &amp; Assumptions'!$F$12+Tabelle1!L220*'Weights &amp; Assumptions'!$F$13+Tabelle1!M220*'Weights &amp; Assumptions'!$F$14+Tabelle1!N220*'Weights &amp; Assumptions'!$F$15+Tabelle1!O220*'Weights &amp; Assumptions'!$F$16+Tabelle1!P220*'Weights &amp; Assumptions'!$F$17+Tabelle1!Q220*'Weights &amp; Assumptions'!$F$18+Tabelle1!R220*'Weights &amp; Assumptions'!$F$19+Tabelle1!S220*'Weights &amp; Assumptions'!$F$20,"")</f>
        <v>154.119761294405</v>
      </c>
      <c r="Y219" s="22" t="n">
        <f aca="false">IFERROR(V219*'Weights &amp; Assumptions'!$B$25/'Weights &amp; Assumptions'!$B$28+W219*'Weights &amp; Assumptions'!$B$26/'Weights &amp; Assumptions'!$B$28+X219*'Weights &amp; Assumptions'!$B$27/'Weights &amp; Assumptions'!$B$28,"")</f>
        <v>141.33176517675</v>
      </c>
    </row>
    <row r="220" customFormat="false" ht="15" hidden="false" customHeight="false" outlineLevel="0" collapsed="false">
      <c r="A220" s="20" t="n">
        <v>44500</v>
      </c>
      <c r="B220" s="21" t="n">
        <v>143.35586</v>
      </c>
      <c r="C220" s="22" t="n">
        <v>118.177104944312</v>
      </c>
      <c r="D220" s="22" t="n">
        <v>141.264270284141</v>
      </c>
      <c r="E220" s="22" t="n">
        <v>90.0661237553101</v>
      </c>
      <c r="F220" s="22" t="n">
        <v>124.294019147748</v>
      </c>
      <c r="G220" s="22" t="n">
        <v>141.015225593544</v>
      </c>
      <c r="H220" s="22" t="n">
        <v>140.806647658015</v>
      </c>
      <c r="I220" s="22" t="n">
        <v>148.965222019394</v>
      </c>
      <c r="J220" s="22" t="n">
        <v>113.179771213295</v>
      </c>
      <c r="K220" s="22" t="n">
        <v>172.974544406961</v>
      </c>
      <c r="L220" s="22" t="n">
        <v>166.476627324518</v>
      </c>
      <c r="M220" s="22" t="n">
        <v>145.304978841</v>
      </c>
      <c r="N220" s="22" t="n">
        <v>159.162571104298</v>
      </c>
      <c r="O220" s="22" t="n">
        <v>162.409161121999</v>
      </c>
      <c r="P220" s="22" t="n">
        <v>181.240790631631</v>
      </c>
      <c r="Q220" s="22" t="n">
        <v>120.170974567627</v>
      </c>
      <c r="R220" s="22" t="n">
        <f aca="false">C220*'Weights &amp; Assumptions'!$F$6+D220*'Weights &amp; Assumptions'!$F$7</f>
        <v>118.459981262465</v>
      </c>
      <c r="S220" s="22" t="n">
        <f aca="false">E220*'Weights &amp; Assumptions'!$F$8+F220*'Weights &amp; Assumptions'!$F$9+H220*'Weights &amp; Assumptions'!$F$11</f>
        <v>123.647257374846</v>
      </c>
      <c r="T220" s="22" t="n">
        <f aca="false">G220*'Weights &amp; Assumptions'!$F$10+I220*'Weights &amp; Assumptions'!$F$12+J220*'Weights &amp; Assumptions'!$F$13+K220*'Weights &amp; Assumptions'!$F$14+L220*'Weights &amp; Assumptions'!$F$15+M220*'Weights &amp; Assumptions'!$F$16+N220*'Weights &amp; Assumptions'!$F$17+O220*'Weights &amp; Assumptions'!$F$18+P220*'Weights &amp; Assumptions'!$F$19+Q220*'Weights &amp; Assumptions'!$F$20</f>
        <v>153.875888189904</v>
      </c>
      <c r="U220" s="22" t="n">
        <f aca="false">R220*'Weights &amp; Assumptions'!$B$25/'Weights &amp; Assumptions'!$B$28+S220*'Weights &amp; Assumptions'!$B$26/'Weights &amp; Assumptions'!$B$28+T220*'Weights &amp; Assumptions'!$B$27/'Weights &amp; Assumptions'!$B$28</f>
        <v>142.866143153196</v>
      </c>
      <c r="V220" s="23" t="n">
        <f aca="false">IFERROR(Tabelle1!E221*'Weights &amp; Assumptions'!$F$6+Tabelle1!F221*'Weights &amp; Assumptions'!$F$7,"")</f>
        <v>76.1485423779216</v>
      </c>
      <c r="W220" s="23" t="n">
        <f aca="false">IFERROR(Tabelle1!G221*'Weights &amp; Assumptions'!$F$8+Tabelle1!H221*'Weights &amp; Assumptions'!$F$9+Tabelle1!J221*'Weights &amp; Assumptions'!$F$11,"")</f>
        <v>130.18155190743</v>
      </c>
      <c r="X220" s="23" t="n">
        <f aca="false">IFERROR(Tabelle1!I221*'Weights &amp; Assumptions'!$F$10+Tabelle1!K221*'Weights &amp; Assumptions'!$F$12+Tabelle1!L221*'Weights &amp; Assumptions'!$F$13+Tabelle1!M221*'Weights &amp; Assumptions'!$F$14+Tabelle1!N221*'Weights &amp; Assumptions'!$F$15+Tabelle1!O221*'Weights &amp; Assumptions'!$F$16+Tabelle1!P221*'Weights &amp; Assumptions'!$F$17+Tabelle1!Q221*'Weights &amp; Assumptions'!$F$18+Tabelle1!R221*'Weights &amp; Assumptions'!$F$19+Tabelle1!S221*'Weights &amp; Assumptions'!$F$20,"")</f>
        <v>153.994373557352</v>
      </c>
      <c r="Y220" s="22" t="n">
        <f aca="false">IFERROR(V220*'Weights &amp; Assumptions'!$B$25/'Weights &amp; Assumptions'!$B$28+W220*'Weights &amp; Assumptions'!$B$26/'Weights &amp; Assumptions'!$B$28+X220*'Weights &amp; Assumptions'!$B$27/'Weights &amp; Assumptions'!$B$28,"")</f>
        <v>141.130798295213</v>
      </c>
    </row>
    <row r="221" customFormat="false" ht="15" hidden="false" customHeight="false" outlineLevel="0" collapsed="false">
      <c r="A221" s="20" t="n">
        <v>44530</v>
      </c>
      <c r="B221" s="21" t="n">
        <v>145.71357</v>
      </c>
      <c r="C221" s="22" t="n">
        <v>120.406501727762</v>
      </c>
      <c r="D221" s="22" t="n">
        <v>163.867631096618</v>
      </c>
      <c r="E221" s="22" t="n">
        <v>92.4270318673704</v>
      </c>
      <c r="F221" s="22" t="n">
        <v>129.178628392254</v>
      </c>
      <c r="G221" s="22" t="n">
        <v>144.849244404447</v>
      </c>
      <c r="H221" s="22" t="n">
        <v>143.22449858149</v>
      </c>
      <c r="I221" s="22" t="n">
        <v>154.134204849968</v>
      </c>
      <c r="J221" s="22" t="n">
        <v>118.729115724823</v>
      </c>
      <c r="K221" s="22" t="n">
        <v>176.314872408033</v>
      </c>
      <c r="L221" s="22" t="n">
        <v>170.955385568895</v>
      </c>
      <c r="M221" s="22" t="n">
        <v>147.064028067034</v>
      </c>
      <c r="N221" s="22" t="n">
        <v>159.673182419123</v>
      </c>
      <c r="O221" s="22" t="n">
        <v>162.850900747622</v>
      </c>
      <c r="P221" s="22" t="n">
        <v>181.613933438877</v>
      </c>
      <c r="Q221" s="22" t="n">
        <v>121.90848656708</v>
      </c>
      <c r="R221" s="22" t="n">
        <f aca="false">C221*'Weights &amp; Assumptions'!$F$6+D221*'Weights &amp; Assumptions'!$F$7</f>
        <v>120.939010768074</v>
      </c>
      <c r="S221" s="22" t="n">
        <f aca="false">E221*'Weights &amp; Assumptions'!$F$8+F221*'Weights &amp; Assumptions'!$F$9+H221*'Weights &amp; Assumptions'!$F$11</f>
        <v>127.716658466217</v>
      </c>
      <c r="T221" s="22" t="n">
        <f aca="false">G221*'Weights &amp; Assumptions'!$F$10+I221*'Weights &amp; Assumptions'!$F$12+J221*'Weights &amp; Assumptions'!$F$13+K221*'Weights &amp; Assumptions'!$F$14+L221*'Weights &amp; Assumptions'!$F$15+M221*'Weights &amp; Assumptions'!$F$16+N221*'Weights &amp; Assumptions'!$F$17+O221*'Weights &amp; Assumptions'!$F$18+P221*'Weights &amp; Assumptions'!$F$19+Q221*'Weights &amp; Assumptions'!$F$20</f>
        <v>156.685429966218</v>
      </c>
      <c r="U221" s="22" t="n">
        <f aca="false">R221*'Weights &amp; Assumptions'!$B$25/'Weights &amp; Assumptions'!$B$28+S221*'Weights &amp; Assumptions'!$B$26/'Weights &amp; Assumptions'!$B$28+T221*'Weights &amp; Assumptions'!$B$27/'Weights &amp; Assumptions'!$B$28</f>
        <v>145.982973274251</v>
      </c>
      <c r="V221" s="23" t="n">
        <f aca="false">IFERROR(Tabelle1!E222*'Weights &amp; Assumptions'!$F$6+Tabelle1!F222*'Weights &amp; Assumptions'!$F$7,"")</f>
        <v>92.5020834496609</v>
      </c>
      <c r="W221" s="23" t="n">
        <f aca="false">IFERROR(Tabelle1!G222*'Weights &amp; Assumptions'!$F$8+Tabelle1!H222*'Weights &amp; Assumptions'!$F$9+Tabelle1!J222*'Weights &amp; Assumptions'!$F$11,"")</f>
        <v>133.550300527456</v>
      </c>
      <c r="X221" s="23" t="n">
        <f aca="false">IFERROR(Tabelle1!I222*'Weights &amp; Assumptions'!$F$10+Tabelle1!K222*'Weights &amp; Assumptions'!$F$12+Tabelle1!L222*'Weights &amp; Assumptions'!$F$13+Tabelle1!M222*'Weights &amp; Assumptions'!$F$14+Tabelle1!N222*'Weights &amp; Assumptions'!$F$15+Tabelle1!O222*'Weights &amp; Assumptions'!$F$16+Tabelle1!P222*'Weights &amp; Assumptions'!$F$17+Tabelle1!Q222*'Weights &amp; Assumptions'!$F$18+Tabelle1!R222*'Weights &amp; Assumptions'!$F$19+Tabelle1!S222*'Weights &amp; Assumptions'!$F$20,"")</f>
        <v>157.418338358139</v>
      </c>
      <c r="Y221" s="22" t="n">
        <f aca="false">IFERROR(V221*'Weights &amp; Assumptions'!$B$25/'Weights &amp; Assumptions'!$B$28+W221*'Weights &amp; Assumptions'!$B$26/'Weights &amp; Assumptions'!$B$28+X221*'Weights &amp; Assumptions'!$B$27/'Weights &amp; Assumptions'!$B$28,"")</f>
        <v>145.624882358115</v>
      </c>
    </row>
    <row r="222" customFormat="false" ht="15" hidden="false" customHeight="false" outlineLevel="0" collapsed="false">
      <c r="A222" s="20" t="n">
        <v>44561</v>
      </c>
      <c r="B222" s="21" t="n">
        <v>149.7204</v>
      </c>
      <c r="C222" s="22" t="n">
        <v>129.522983711871</v>
      </c>
      <c r="D222" s="22" t="n">
        <v>145.019254354364</v>
      </c>
      <c r="E222" s="22" t="n">
        <v>91.840565743212</v>
      </c>
      <c r="F222" s="22" t="n">
        <v>131.837081800556</v>
      </c>
      <c r="G222" s="22" t="n">
        <v>148.869571251423</v>
      </c>
      <c r="H222" s="22" t="n">
        <v>147.984923494988</v>
      </c>
      <c r="I222" s="22" t="n">
        <v>158.525707079752</v>
      </c>
      <c r="J222" s="22" t="n">
        <v>120.714910011094</v>
      </c>
      <c r="K222" s="22" t="n">
        <v>179.479977774941</v>
      </c>
      <c r="L222" s="22" t="n">
        <v>169.756051231564</v>
      </c>
      <c r="M222" s="22" t="n">
        <v>147.903166178537</v>
      </c>
      <c r="N222" s="22" t="n">
        <v>159.465221899255</v>
      </c>
      <c r="O222" s="22" t="n">
        <v>163.856684431125</v>
      </c>
      <c r="P222" s="22" t="n">
        <v>181.199233710277</v>
      </c>
      <c r="Q222" s="22" t="n">
        <v>124.162165812542</v>
      </c>
      <c r="R222" s="22" t="n">
        <f aca="false">C222*'Weights &amp; Assumptions'!$F$6+D222*'Weights &amp; Assumptions'!$F$7</f>
        <v>129.712852321548</v>
      </c>
      <c r="S222" s="22" t="n">
        <f aca="false">E222*'Weights &amp; Assumptions'!$F$8+F222*'Weights &amp; Assumptions'!$F$9+H222*'Weights &amp; Assumptions'!$F$11</f>
        <v>130.425566226303</v>
      </c>
      <c r="T222" s="22" t="n">
        <f aca="false">G222*'Weights &amp; Assumptions'!$F$10+I222*'Weights &amp; Assumptions'!$F$12+J222*'Weights &amp; Assumptions'!$F$13+K222*'Weights &amp; Assumptions'!$F$14+L222*'Weights &amp; Assumptions'!$F$15+M222*'Weights &amp; Assumptions'!$F$16+N222*'Weights &amp; Assumptions'!$F$17+O222*'Weights &amp; Assumptions'!$F$18+P222*'Weights &amp; Assumptions'!$F$19+Q222*'Weights &amp; Assumptions'!$F$20</f>
        <v>158.474782924539</v>
      </c>
      <c r="U222" s="22" t="n">
        <f aca="false">R222*'Weights &amp; Assumptions'!$B$25/'Weights &amp; Assumptions'!$B$28+S222*'Weights &amp; Assumptions'!$B$26/'Weights &amp; Assumptions'!$B$28+T222*'Weights &amp; Assumptions'!$B$27/'Weights &amp; Assumptions'!$B$28</f>
        <v>148.602856322909</v>
      </c>
      <c r="V222" s="23" t="n">
        <f aca="false">IFERROR(Tabelle1!E223*'Weights &amp; Assumptions'!$F$6+Tabelle1!F223*'Weights &amp; Assumptions'!$F$7,"")</f>
        <v>129.159068976651</v>
      </c>
      <c r="W222" s="23" t="n">
        <f aca="false">IFERROR(Tabelle1!G223*'Weights &amp; Assumptions'!$F$8+Tabelle1!H223*'Weights &amp; Assumptions'!$F$9+Tabelle1!J223*'Weights &amp; Assumptions'!$F$11,"")</f>
        <v>128.6488732548</v>
      </c>
      <c r="X222" s="23" t="n">
        <f aca="false">IFERROR(Tabelle1!I223*'Weights &amp; Assumptions'!$F$10+Tabelle1!K223*'Weights &amp; Assumptions'!$F$12+Tabelle1!L223*'Weights &amp; Assumptions'!$F$13+Tabelle1!M223*'Weights &amp; Assumptions'!$F$14+Tabelle1!N223*'Weights &amp; Assumptions'!$F$15+Tabelle1!O223*'Weights &amp; Assumptions'!$F$16+Tabelle1!P223*'Weights &amp; Assumptions'!$F$17+Tabelle1!Q223*'Weights &amp; Assumptions'!$F$18+Tabelle1!R223*'Weights &amp; Assumptions'!$F$19+Tabelle1!S223*'Weights &amp; Assumptions'!$F$20,"")</f>
        <v>158.286694812753</v>
      </c>
      <c r="Y222" s="22" t="n">
        <f aca="false">IFERROR(V222*'Weights &amp; Assumptions'!$B$25/'Weights &amp; Assumptions'!$B$28+W222*'Weights &amp; Assumptions'!$B$26/'Weights &amp; Assumptions'!$B$28+X222*'Weights &amp; Assumptions'!$B$27/'Weights &amp; Assumptions'!$B$28,"")</f>
        <v>147.961648294523</v>
      </c>
    </row>
    <row r="223" customFormat="false" ht="15" hidden="false" customHeight="false" outlineLevel="0" collapsed="false">
      <c r="A223" s="20" t="n">
        <v>44592</v>
      </c>
      <c r="B223" s="21" t="n">
        <v>148.52455</v>
      </c>
      <c r="C223" s="22" t="n">
        <v>124.020420033423</v>
      </c>
      <c r="D223" s="22" t="n">
        <v>133.845382675272</v>
      </c>
      <c r="E223" s="22" t="n">
        <v>92.5973749982837</v>
      </c>
      <c r="F223" s="22" t="n">
        <v>123.422378660178</v>
      </c>
      <c r="G223" s="22" t="n">
        <v>151.257179654632</v>
      </c>
      <c r="H223" s="22" t="n">
        <v>144.273514607928</v>
      </c>
      <c r="I223" s="22" t="n">
        <v>152.13501388088</v>
      </c>
      <c r="J223" s="22" t="n">
        <v>134.210695398338</v>
      </c>
      <c r="K223" s="22" t="n">
        <v>174.674910108962</v>
      </c>
      <c r="L223" s="22" t="n">
        <v>171.101535379428</v>
      </c>
      <c r="M223" s="22" t="n">
        <v>147.671488477214</v>
      </c>
      <c r="N223" s="22" t="n">
        <v>159.875378124043</v>
      </c>
      <c r="O223" s="22" t="n">
        <v>163.891406609448</v>
      </c>
      <c r="P223" s="22" t="n">
        <v>182.081139848391</v>
      </c>
      <c r="Q223" s="22" t="n">
        <v>123.052526908147</v>
      </c>
      <c r="R223" s="22" t="n">
        <f aca="false">C223*'Weights &amp; Assumptions'!$F$6+D223*'Weights &amp; Assumptions'!$F$7</f>
        <v>124.140800739205</v>
      </c>
      <c r="S223" s="22" t="n">
        <f aca="false">E223*'Weights &amp; Assumptions'!$F$8+F223*'Weights &amp; Assumptions'!$F$9+H223*'Weights &amp; Assumptions'!$F$11</f>
        <v>124.085727932632</v>
      </c>
      <c r="T223" s="22" t="n">
        <f aca="false">G223*'Weights &amp; Assumptions'!$F$10+I223*'Weights &amp; Assumptions'!$F$12+J223*'Weights &amp; Assumptions'!$F$13+K223*'Weights &amp; Assumptions'!$F$14+L223*'Weights &amp; Assumptions'!$F$15+M223*'Weights &amp; Assumptions'!$F$16+N223*'Weights &amp; Assumptions'!$F$17+O223*'Weights &amp; Assumptions'!$F$18+P223*'Weights &amp; Assumptions'!$F$19+Q223*'Weights &amp; Assumptions'!$F$20</f>
        <v>157.273227488108</v>
      </c>
      <c r="U223" s="22" t="n">
        <f aca="false">R223*'Weights &amp; Assumptions'!$B$25/'Weights &amp; Assumptions'!$B$28+S223*'Weights &amp; Assumptions'!$B$26/'Weights &amp; Assumptions'!$B$28+T223*'Weights &amp; Assumptions'!$B$27/'Weights &amp; Assumptions'!$B$28</f>
        <v>145.668253454603</v>
      </c>
      <c r="V223" s="23" t="n">
        <f aca="false">IFERROR(Tabelle1!E224*'Weights &amp; Assumptions'!$F$6+Tabelle1!F224*'Weights &amp; Assumptions'!$F$7,"")</f>
        <v>103.066282846808</v>
      </c>
      <c r="W223" s="23" t="n">
        <f aca="false">IFERROR(Tabelle1!G224*'Weights &amp; Assumptions'!$F$8+Tabelle1!H224*'Weights &amp; Assumptions'!$F$9+Tabelle1!J224*'Weights &amp; Assumptions'!$F$11,"")</f>
        <v>112.614570162983</v>
      </c>
      <c r="X223" s="23" t="n">
        <f aca="false">IFERROR(Tabelle1!I224*'Weights &amp; Assumptions'!$F$10+Tabelle1!K224*'Weights &amp; Assumptions'!$F$12+Tabelle1!L224*'Weights &amp; Assumptions'!$F$13+Tabelle1!M224*'Weights &amp; Assumptions'!$F$14+Tabelle1!N224*'Weights &amp; Assumptions'!$F$15+Tabelle1!O224*'Weights &amp; Assumptions'!$F$16+Tabelle1!P224*'Weights &amp; Assumptions'!$F$17+Tabelle1!Q224*'Weights &amp; Assumptions'!$F$18+Tabelle1!R224*'Weights &amp; Assumptions'!$F$19+Tabelle1!S224*'Weights &amp; Assumptions'!$F$20,"")</f>
        <v>156.111873483912</v>
      </c>
      <c r="Y223" s="22" t="n">
        <f aca="false">IFERROR(V223*'Weights &amp; Assumptions'!$B$25/'Weights &amp; Assumptions'!$B$28+W223*'Weights &amp; Assumptions'!$B$26/'Weights &amp; Assumptions'!$B$28+X223*'Weights &amp; Assumptions'!$B$27/'Weights &amp; Assumptions'!$B$28,"")</f>
        <v>140.094611513897</v>
      </c>
    </row>
    <row r="224" customFormat="false" ht="15" hidden="false" customHeight="false" outlineLevel="0" collapsed="false">
      <c r="A224" s="20" t="n">
        <v>44620</v>
      </c>
      <c r="B224" s="21" t="n">
        <v>150.70923</v>
      </c>
      <c r="C224" s="22" t="n">
        <v>117.53436909109</v>
      </c>
      <c r="D224" s="22" t="n">
        <v>157.469011938758</v>
      </c>
      <c r="E224" s="22" t="n">
        <v>91.6437225708754</v>
      </c>
      <c r="F224" s="22" t="n">
        <v>131.458766682632</v>
      </c>
      <c r="G224" s="22" t="n">
        <v>144.451967033087</v>
      </c>
      <c r="H224" s="22" t="n">
        <v>149.942785705956</v>
      </c>
      <c r="I224" s="22" t="n">
        <v>156.266508628536</v>
      </c>
      <c r="J224" s="22" t="n">
        <v>137.530465250638</v>
      </c>
      <c r="K224" s="22" t="n">
        <v>180.182899073607</v>
      </c>
      <c r="L224" s="22" t="n">
        <v>170.818912294248</v>
      </c>
      <c r="M224" s="22" t="n">
        <v>149.767631888379</v>
      </c>
      <c r="N224" s="22" t="n">
        <v>160.39406837742</v>
      </c>
      <c r="O224" s="22" t="n">
        <v>164.454501108591</v>
      </c>
      <c r="P224" s="22" t="n">
        <v>182.782148636652</v>
      </c>
      <c r="Q224" s="22" t="n">
        <v>131.361079968241</v>
      </c>
      <c r="R224" s="22" t="n">
        <f aca="false">C224*'Weights &amp; Assumptions'!$F$6+D224*'Weights &amp; Assumptions'!$F$7</f>
        <v>118.023669729311</v>
      </c>
      <c r="S224" s="22" t="n">
        <f aca="false">E224*'Weights &amp; Assumptions'!$F$8+F224*'Weights &amp; Assumptions'!$F$9+H224*'Weights &amp; Assumptions'!$F$11</f>
        <v>130.555599357693</v>
      </c>
      <c r="T224" s="22" t="n">
        <f aca="false">G224*'Weights &amp; Assumptions'!$F$10+I224*'Weights &amp; Assumptions'!$F$12+J224*'Weights &amp; Assumptions'!$F$13+K224*'Weights &amp; Assumptions'!$F$14+L224*'Weights &amp; Assumptions'!$F$15+M224*'Weights &amp; Assumptions'!$F$16+N224*'Weights &amp; Assumptions'!$F$17+O224*'Weights &amp; Assumptions'!$F$18+P224*'Weights &amp; Assumptions'!$F$19+Q224*'Weights &amp; Assumptions'!$F$20</f>
        <v>159.881201933644</v>
      </c>
      <c r="U224" s="22" t="n">
        <f aca="false">R224*'Weights &amp; Assumptions'!$B$25/'Weights &amp; Assumptions'!$B$28+S224*'Weights &amp; Assumptions'!$B$26/'Weights &amp; Assumptions'!$B$28+T224*'Weights &amp; Assumptions'!$B$27/'Weights &amp; Assumptions'!$B$28</f>
        <v>148.57113015852</v>
      </c>
      <c r="V224" s="23" t="n">
        <f aca="false">IFERROR(Tabelle1!E225*'Weights &amp; Assumptions'!$F$6+Tabelle1!F225*'Weights &amp; Assumptions'!$F$7,"")</f>
        <v>79.7492601268161</v>
      </c>
      <c r="W224" s="23" t="n">
        <f aca="false">IFERROR(Tabelle1!G225*'Weights &amp; Assumptions'!$F$8+Tabelle1!H225*'Weights &amp; Assumptions'!$F$9+Tabelle1!J225*'Weights &amp; Assumptions'!$F$11,"")</f>
        <v>118.375372905896</v>
      </c>
      <c r="X224" s="23" t="n">
        <f aca="false">IFERROR(Tabelle1!I225*'Weights &amp; Assumptions'!$F$10+Tabelle1!K225*'Weights &amp; Assumptions'!$F$12+Tabelle1!L225*'Weights &amp; Assumptions'!$F$13+Tabelle1!M225*'Weights &amp; Assumptions'!$F$14+Tabelle1!N225*'Weights &amp; Assumptions'!$F$15+Tabelle1!O225*'Weights &amp; Assumptions'!$F$16+Tabelle1!P225*'Weights &amp; Assumptions'!$F$17+Tabelle1!Q225*'Weights &amp; Assumptions'!$F$18+Tabelle1!R225*'Weights &amp; Assumptions'!$F$19+Tabelle1!S225*'Weights &amp; Assumptions'!$F$20,"")</f>
        <v>155.657383999336</v>
      </c>
      <c r="Y224" s="22" t="n">
        <f aca="false">IFERROR(V224*'Weights &amp; Assumptions'!$B$25/'Weights &amp; Assumptions'!$B$28+W224*'Weights &amp; Assumptions'!$B$26/'Weights &amp; Assumptions'!$B$28+X224*'Weights &amp; Assumptions'!$B$27/'Weights &amp; Assumptions'!$B$28,"")</f>
        <v>139.374691237748</v>
      </c>
    </row>
    <row r="225" customFormat="false" ht="15" hidden="false" customHeight="false" outlineLevel="0" collapsed="false">
      <c r="A225" s="20" t="n">
        <v>44651</v>
      </c>
      <c r="B225" s="21" t="n">
        <v>150.34672</v>
      </c>
      <c r="C225" s="22" t="n">
        <v>116.373312412415</v>
      </c>
      <c r="D225" s="22" t="n">
        <v>164.691617220701</v>
      </c>
      <c r="E225" s="22" t="n">
        <v>94.3266705436349</v>
      </c>
      <c r="F225" s="22" t="n">
        <v>132.625368706388</v>
      </c>
      <c r="G225" s="22" t="n">
        <v>142.610429676321</v>
      </c>
      <c r="H225" s="22" t="n">
        <v>151.62879199309</v>
      </c>
      <c r="I225" s="22" t="n">
        <v>158.404430201555</v>
      </c>
      <c r="J225" s="22" t="n">
        <v>137.273087095428</v>
      </c>
      <c r="K225" s="22" t="n">
        <v>182.399951050211</v>
      </c>
      <c r="L225" s="22" t="n">
        <v>170.887549495655</v>
      </c>
      <c r="M225" s="22" t="n">
        <v>150.311504276951</v>
      </c>
      <c r="N225" s="22" t="n">
        <v>160.859414305524</v>
      </c>
      <c r="O225" s="22" t="n">
        <v>164.700468622684</v>
      </c>
      <c r="P225" s="22" t="n">
        <v>183.276097463898</v>
      </c>
      <c r="Q225" s="22" t="n">
        <v>126.936259613116</v>
      </c>
      <c r="R225" s="22" t="n">
        <f aca="false">C225*'Weights &amp; Assumptions'!$F$6+D225*'Weights &amp; Assumptions'!$F$7</f>
        <v>116.965334168329</v>
      </c>
      <c r="S225" s="22" t="n">
        <f aca="false">E225*'Weights &amp; Assumptions'!$F$8+F225*'Weights &amp; Assumptions'!$F$9+H225*'Weights &amp; Assumptions'!$F$11</f>
        <v>132.011453789556</v>
      </c>
      <c r="T225" s="22" t="n">
        <f aca="false">G225*'Weights &amp; Assumptions'!$F$10+I225*'Weights &amp; Assumptions'!$F$12+J225*'Weights &amp; Assumptions'!$F$13+K225*'Weights &amp; Assumptions'!$F$14+L225*'Weights &amp; Assumptions'!$F$15+M225*'Weights &amp; Assumptions'!$F$16+N225*'Weights &amp; Assumptions'!$F$17+O225*'Weights &amp; Assumptions'!$F$18+P225*'Weights &amp; Assumptions'!$F$19+Q225*'Weights &amp; Assumptions'!$F$20</f>
        <v>160.546614102482</v>
      </c>
      <c r="U225" s="22" t="n">
        <f aca="false">R225*'Weights &amp; Assumptions'!$B$25/'Weights &amp; Assumptions'!$B$28+S225*'Weights &amp; Assumptions'!$B$26/'Weights &amp; Assumptions'!$B$28+T225*'Weights &amp; Assumptions'!$B$27/'Weights &amp; Assumptions'!$B$28</f>
        <v>149.302110863641</v>
      </c>
      <c r="V225" s="23" t="n">
        <f aca="false">IFERROR(Tabelle1!E226*'Weights &amp; Assumptions'!$F$6+Tabelle1!F226*'Weights &amp; Assumptions'!$F$7,"")</f>
        <v>150.16015638729</v>
      </c>
      <c r="W225" s="23" t="n">
        <f aca="false">IFERROR(Tabelle1!G226*'Weights &amp; Assumptions'!$F$8+Tabelle1!H226*'Weights &amp; Assumptions'!$F$9+Tabelle1!J226*'Weights &amp; Assumptions'!$F$11,"")</f>
        <v>134.363651053295</v>
      </c>
      <c r="X225" s="23" t="n">
        <f aca="false">IFERROR(Tabelle1!I226*'Weights &amp; Assumptions'!$F$10+Tabelle1!K226*'Weights &amp; Assumptions'!$F$12+Tabelle1!L226*'Weights &amp; Assumptions'!$F$13+Tabelle1!M226*'Weights &amp; Assumptions'!$F$14+Tabelle1!N226*'Weights &amp; Assumptions'!$F$15+Tabelle1!O226*'Weights &amp; Assumptions'!$F$16+Tabelle1!P226*'Weights &amp; Assumptions'!$F$17+Tabelle1!Q226*'Weights &amp; Assumptions'!$F$18+Tabelle1!R226*'Weights &amp; Assumptions'!$F$19+Tabelle1!S226*'Weights &amp; Assumptions'!$F$20,"")</f>
        <v>162.977642262948</v>
      </c>
      <c r="Y225" s="22" t="n">
        <f aca="false">IFERROR(V225*'Weights &amp; Assumptions'!$B$25/'Weights &amp; Assumptions'!$B$28+W225*'Weights &amp; Assumptions'!$B$26/'Weights &amp; Assumptions'!$B$28+X225*'Weights &amp; Assumptions'!$B$27/'Weights &amp; Assumptions'!$B$28,"")</f>
        <v>154.293284434721</v>
      </c>
    </row>
    <row r="226" customFormat="false" ht="15" hidden="false" customHeight="false" outlineLevel="0" collapsed="false">
      <c r="A226" s="20" t="n">
        <v>44681</v>
      </c>
      <c r="B226" s="21" t="n">
        <v>152.0977</v>
      </c>
      <c r="C226" s="22" t="n">
        <v>121.082835394944</v>
      </c>
      <c r="D226" s="22" t="n">
        <v>235.707019044812</v>
      </c>
      <c r="E226" s="22" t="n">
        <v>97.1996965522405</v>
      </c>
      <c r="F226" s="22" t="n">
        <v>132.391258751194</v>
      </c>
      <c r="G226" s="22" t="n">
        <v>152.068346049665</v>
      </c>
      <c r="H226" s="22" t="n">
        <v>155.891863653169</v>
      </c>
      <c r="I226" s="22" t="n">
        <v>162.072278925852</v>
      </c>
      <c r="J226" s="22" t="n">
        <v>126.996189196026</v>
      </c>
      <c r="K226" s="22" t="n">
        <v>184.572608877419</v>
      </c>
      <c r="L226" s="22" t="n">
        <v>171.523574070386</v>
      </c>
      <c r="M226" s="22" t="n">
        <v>151.88802989197</v>
      </c>
      <c r="N226" s="22" t="n">
        <v>162.333193342416</v>
      </c>
      <c r="O226" s="22" t="n">
        <v>166.481300342646</v>
      </c>
      <c r="P226" s="22" t="n">
        <v>183.631773584857</v>
      </c>
      <c r="Q226" s="22" t="n">
        <v>131.008298843486</v>
      </c>
      <c r="R226" s="22" t="n">
        <f aca="false">C226*'Weights &amp; Assumptions'!$F$6+D226*'Weights &amp; Assumptions'!$F$7</f>
        <v>122.487272300249</v>
      </c>
      <c r="S226" s="22" t="n">
        <f aca="false">E226*'Weights &amp; Assumptions'!$F$8+F226*'Weights &amp; Assumptions'!$F$9+H226*'Weights &amp; Assumptions'!$F$11</f>
        <v>133.085197897615</v>
      </c>
      <c r="T226" s="22" t="n">
        <f aca="false">G226*'Weights &amp; Assumptions'!$F$10+I226*'Weights &amp; Assumptions'!$F$12+J226*'Weights &amp; Assumptions'!$F$13+K226*'Weights &amp; Assumptions'!$F$14+L226*'Weights &amp; Assumptions'!$F$15+M226*'Weights &amp; Assumptions'!$F$16+N226*'Weights &amp; Assumptions'!$F$17+O226*'Weights &amp; Assumptions'!$F$18+P226*'Weights &amp; Assumptions'!$F$19+Q226*'Weights &amp; Assumptions'!$F$20</f>
        <v>162.286190681023</v>
      </c>
      <c r="U226" s="22" t="n">
        <f aca="false">R226*'Weights &amp; Assumptions'!$B$25/'Weights &amp; Assumptions'!$B$28+S226*'Weights &amp; Assumptions'!$B$26/'Weights &amp; Assumptions'!$B$28+T226*'Weights &amp; Assumptions'!$B$27/'Weights &amp; Assumptions'!$B$28</f>
        <v>151.181974239412</v>
      </c>
      <c r="V226" s="23" t="n">
        <f aca="false">IFERROR(Tabelle1!E227*'Weights &amp; Assumptions'!$F$6+Tabelle1!F227*'Weights &amp; Assumptions'!$F$7,"")</f>
        <v>203.011993524749</v>
      </c>
      <c r="W226" s="23" t="n">
        <f aca="false">IFERROR(Tabelle1!G227*'Weights &amp; Assumptions'!$F$8+Tabelle1!H227*'Weights &amp; Assumptions'!$F$9+Tabelle1!J227*'Weights &amp; Assumptions'!$F$11,"")</f>
        <v>129.72205637595</v>
      </c>
      <c r="X226" s="23" t="n">
        <f aca="false">IFERROR(Tabelle1!I227*'Weights &amp; Assumptions'!$F$10+Tabelle1!K227*'Weights &amp; Assumptions'!$F$12+Tabelle1!L227*'Weights &amp; Assumptions'!$F$13+Tabelle1!M227*'Weights &amp; Assumptions'!$F$14+Tabelle1!N227*'Weights &amp; Assumptions'!$F$15+Tabelle1!O227*'Weights &amp; Assumptions'!$F$16+Tabelle1!P227*'Weights &amp; Assumptions'!$F$17+Tabelle1!Q227*'Weights &amp; Assumptions'!$F$18+Tabelle1!R227*'Weights &amp; Assumptions'!$F$19+Tabelle1!S227*'Weights &amp; Assumptions'!$F$20,"")</f>
        <v>161.746144711089</v>
      </c>
      <c r="Y226" s="22" t="n">
        <f aca="false">IFERROR(V226*'Weights &amp; Assumptions'!$B$25/'Weights &amp; Assumptions'!$B$28+W226*'Weights &amp; Assumptions'!$B$26/'Weights &amp; Assumptions'!$B$28+X226*'Weights &amp; Assumptions'!$B$27/'Weights &amp; Assumptions'!$B$28,"")</f>
        <v>156.692619277551</v>
      </c>
    </row>
    <row r="227" customFormat="false" ht="15" hidden="false" customHeight="false" outlineLevel="0" collapsed="false">
      <c r="A227" s="20" t="n">
        <v>44712</v>
      </c>
      <c r="B227" s="21" t="n">
        <v>152.12668</v>
      </c>
      <c r="C227" s="22" t="n">
        <v>121.59554622659</v>
      </c>
      <c r="D227" s="22" t="n">
        <v>166.701036708189</v>
      </c>
      <c r="E227" s="22" t="n">
        <v>98.5939965349437</v>
      </c>
      <c r="F227" s="22" t="n">
        <v>134.992354335679</v>
      </c>
      <c r="G227" s="22" t="n">
        <v>154.045463006468</v>
      </c>
      <c r="H227" s="22" t="n">
        <v>156.182795574351</v>
      </c>
      <c r="I227" s="22" t="n">
        <v>163.389592468564</v>
      </c>
      <c r="J227" s="22" t="n">
        <v>150.377808302785</v>
      </c>
      <c r="K227" s="22" t="n">
        <v>185.516879111974</v>
      </c>
      <c r="L227" s="22" t="n">
        <v>169.827992036277</v>
      </c>
      <c r="M227" s="22" t="n">
        <v>152.726163146999</v>
      </c>
      <c r="N227" s="22" t="n">
        <v>162.405336718059</v>
      </c>
      <c r="O227" s="22" t="n">
        <v>166.716729747578</v>
      </c>
      <c r="P227" s="22" t="n">
        <v>183.611694697779</v>
      </c>
      <c r="Q227" s="22" t="n">
        <v>129.755378088071</v>
      </c>
      <c r="R227" s="22" t="n">
        <f aca="false">C227*'Weights &amp; Assumptions'!$F$6+D227*'Weights &amp; Assumptions'!$F$7</f>
        <v>122.148202860183</v>
      </c>
      <c r="S227" s="22" t="n">
        <f aca="false">E227*'Weights &amp; Assumptions'!$F$8+F227*'Weights &amp; Assumptions'!$F$9+H227*'Weights &amp; Assumptions'!$F$11</f>
        <v>135.060943198131</v>
      </c>
      <c r="T227" s="22" t="n">
        <f aca="false">G227*'Weights &amp; Assumptions'!$F$10+I227*'Weights &amp; Assumptions'!$F$12+J227*'Weights &amp; Assumptions'!$F$13+K227*'Weights &amp; Assumptions'!$F$14+L227*'Weights &amp; Assumptions'!$F$15+M227*'Weights &amp; Assumptions'!$F$16+N227*'Weights &amp; Assumptions'!$F$17+O227*'Weights &amp; Assumptions'!$F$18+P227*'Weights &amp; Assumptions'!$F$19+Q227*'Weights &amp; Assumptions'!$F$20</f>
        <v>163.837226660968</v>
      </c>
      <c r="U227" s="22" t="n">
        <f aca="false">R227*'Weights &amp; Assumptions'!$B$25/'Weights &amp; Assumptions'!$B$28+S227*'Weights &amp; Assumptions'!$B$26/'Weights &amp; Assumptions'!$B$28+T227*'Weights &amp; Assumptions'!$B$27/'Weights &amp; Assumptions'!$B$28</f>
        <v>152.687366428908</v>
      </c>
      <c r="V227" s="23" t="n">
        <f aca="false">IFERROR(Tabelle1!E228*'Weights &amp; Assumptions'!$F$6+Tabelle1!F228*'Weights &amp; Assumptions'!$F$7,"")</f>
        <v>270.764627551638</v>
      </c>
      <c r="W227" s="23" t="n">
        <f aca="false">IFERROR(Tabelle1!G228*'Weights &amp; Assumptions'!$F$8+Tabelle1!H228*'Weights &amp; Assumptions'!$F$9+Tabelle1!J228*'Weights &amp; Assumptions'!$F$11,"")</f>
        <v>133.773538438842</v>
      </c>
      <c r="X227" s="23" t="n">
        <f aca="false">IFERROR(Tabelle1!I228*'Weights &amp; Assumptions'!$F$10+Tabelle1!K228*'Weights &amp; Assumptions'!$F$12+Tabelle1!L228*'Weights &amp; Assumptions'!$F$13+Tabelle1!M228*'Weights &amp; Assumptions'!$F$14+Tabelle1!N228*'Weights &amp; Assumptions'!$F$15+Tabelle1!O228*'Weights &amp; Assumptions'!$F$16+Tabelle1!P228*'Weights &amp; Assumptions'!$F$17+Tabelle1!Q228*'Weights &amp; Assumptions'!$F$18+Tabelle1!R228*'Weights &amp; Assumptions'!$F$19+Tabelle1!S228*'Weights &amp; Assumptions'!$F$20,"")</f>
        <v>164.661270759417</v>
      </c>
      <c r="Y227" s="22" t="n">
        <f aca="false">IFERROR(V227*'Weights &amp; Assumptions'!$B$25/'Weights &amp; Assumptions'!$B$28+W227*'Weights &amp; Assumptions'!$B$26/'Weights &amp; Assumptions'!$B$28+X227*'Weights &amp; Assumptions'!$B$27/'Weights &amp; Assumptions'!$B$28,"")</f>
        <v>165.349843117274</v>
      </c>
    </row>
    <row r="228" customFormat="false" ht="15" hidden="false" customHeight="false" outlineLevel="0" collapsed="false">
      <c r="A228" s="20" t="n">
        <v>44742</v>
      </c>
      <c r="B228" s="21" t="n">
        <v>154.30297</v>
      </c>
      <c r="C228" s="22" t="n">
        <v>120.59649606832</v>
      </c>
      <c r="D228" s="22" t="n">
        <v>158.339851912925</v>
      </c>
      <c r="E228" s="22" t="n">
        <v>97.5380066677734</v>
      </c>
      <c r="F228" s="22" t="n">
        <v>136.346985565775</v>
      </c>
      <c r="G228" s="22" t="n">
        <v>156.147347360183</v>
      </c>
      <c r="H228" s="22" t="n">
        <v>155.533372107782</v>
      </c>
      <c r="I228" s="22" t="n">
        <v>164.085000103065</v>
      </c>
      <c r="J228" s="22" t="n">
        <v>173.690338945505</v>
      </c>
      <c r="K228" s="22" t="n">
        <v>185.598395204746</v>
      </c>
      <c r="L228" s="22" t="n">
        <v>170.359625715101</v>
      </c>
      <c r="M228" s="22" t="n">
        <v>152.231962059387</v>
      </c>
      <c r="N228" s="22" t="n">
        <v>162.524502907167</v>
      </c>
      <c r="O228" s="22" t="n">
        <v>167.328078838565</v>
      </c>
      <c r="P228" s="22" t="n">
        <v>183.770077486857</v>
      </c>
      <c r="Q228" s="22" t="n">
        <v>129.567488843266</v>
      </c>
      <c r="R228" s="22" t="n">
        <f aca="false">C228*'Weights &amp; Assumptions'!$F$6+D228*'Weights &amp; Assumptions'!$F$7</f>
        <v>121.058947884249</v>
      </c>
      <c r="S228" s="22" t="n">
        <f aca="false">E228*'Weights &amp; Assumptions'!$F$8+F228*'Weights &amp; Assumptions'!$F$9+H228*'Weights &amp; Assumptions'!$F$11</f>
        <v>135.710259865582</v>
      </c>
      <c r="T228" s="22" t="n">
        <f aca="false">G228*'Weights &amp; Assumptions'!$F$10+I228*'Weights &amp; Assumptions'!$F$12+J228*'Weights &amp; Assumptions'!$F$13+K228*'Weights &amp; Assumptions'!$F$14+L228*'Weights &amp; Assumptions'!$F$15+M228*'Weights &amp; Assumptions'!$F$16+N228*'Weights &amp; Assumptions'!$F$17+O228*'Weights &amp; Assumptions'!$F$18+P228*'Weights &amp; Assumptions'!$F$19+Q228*'Weights &amp; Assumptions'!$F$20</f>
        <v>165.13757655238</v>
      </c>
      <c r="U228" s="22" t="n">
        <f aca="false">R228*'Weights &amp; Assumptions'!$B$25/'Weights &amp; Assumptions'!$B$28+S228*'Weights &amp; Assumptions'!$B$26/'Weights &amp; Assumptions'!$B$28+T228*'Weights &amp; Assumptions'!$B$27/'Weights &amp; Assumptions'!$B$28</f>
        <v>153.614105376717</v>
      </c>
      <c r="V228" s="23" t="n">
        <f aca="false">IFERROR(Tabelle1!E229*'Weights &amp; Assumptions'!$F$6+Tabelle1!F229*'Weights &amp; Assumptions'!$F$7,"")</f>
        <v>190.733445314001</v>
      </c>
      <c r="W228" s="23" t="n">
        <f aca="false">IFERROR(Tabelle1!G229*'Weights &amp; Assumptions'!$F$8+Tabelle1!H229*'Weights &amp; Assumptions'!$F$9+Tabelle1!J229*'Weights &amp; Assumptions'!$F$11,"")</f>
        <v>137.816453702457</v>
      </c>
      <c r="X228" s="23" t="n">
        <f aca="false">IFERROR(Tabelle1!I229*'Weights &amp; Assumptions'!$F$10+Tabelle1!K229*'Weights &amp; Assumptions'!$F$12+Tabelle1!L229*'Weights &amp; Assumptions'!$F$13+Tabelle1!M229*'Weights &amp; Assumptions'!$F$14+Tabelle1!N229*'Weights &amp; Assumptions'!$F$15+Tabelle1!O229*'Weights &amp; Assumptions'!$F$16+Tabelle1!P229*'Weights &amp; Assumptions'!$F$17+Tabelle1!Q229*'Weights &amp; Assumptions'!$F$18+Tabelle1!R229*'Weights &amp; Assumptions'!$F$19+Tabelle1!S229*'Weights &amp; Assumptions'!$F$20,"")</f>
        <v>168.087227962235</v>
      </c>
      <c r="Y228" s="22" t="n">
        <f aca="false">IFERROR(V228*'Weights &amp; Assumptions'!$B$25/'Weights &amp; Assumptions'!$B$28+W228*'Weights &amp; Assumptions'!$B$26/'Weights &amp; Assumptions'!$B$28+X228*'Weights &amp; Assumptions'!$B$27/'Weights &amp; Assumptions'!$B$28,"")</f>
        <v>161.937736793636</v>
      </c>
    </row>
    <row r="229" customFormat="false" ht="15" hidden="false" customHeight="false" outlineLevel="0" collapsed="false">
      <c r="A229" s="20" t="n">
        <v>44773</v>
      </c>
      <c r="B229" s="21" t="n">
        <v>152.5582</v>
      </c>
      <c r="C229" s="22" t="n">
        <v>107.82572836983</v>
      </c>
      <c r="D229" s="22" t="n">
        <v>159.511229546549</v>
      </c>
      <c r="E229" s="22" t="n">
        <v>98.3004425280904</v>
      </c>
      <c r="F229" s="22" t="n">
        <v>132.070746788936</v>
      </c>
      <c r="G229" s="22" t="n">
        <v>146.0058616079</v>
      </c>
      <c r="H229" s="22" t="n">
        <v>150.319402311071</v>
      </c>
      <c r="I229" s="22" t="n">
        <v>159.95029595981</v>
      </c>
      <c r="J229" s="22" t="n">
        <v>144.194929537416</v>
      </c>
      <c r="K229" s="22" t="n">
        <v>184.478925874409</v>
      </c>
      <c r="L229" s="22" t="n">
        <v>166.709205725628</v>
      </c>
      <c r="M229" s="22" t="n">
        <v>153.214864199799</v>
      </c>
      <c r="N229" s="22" t="n">
        <v>162.491053796238</v>
      </c>
      <c r="O229" s="22" t="n">
        <v>167.57959232216</v>
      </c>
      <c r="P229" s="22" t="n">
        <v>183.577550663968</v>
      </c>
      <c r="Q229" s="22" t="n">
        <v>131.032754196258</v>
      </c>
      <c r="R229" s="22" t="n">
        <f aca="false">C229*'Weights &amp; Assumptions'!$F$6+D229*'Weights &amp; Assumptions'!$F$7</f>
        <v>108.459006819546</v>
      </c>
      <c r="S229" s="22" t="n">
        <f aca="false">E229*'Weights &amp; Assumptions'!$F$8+F229*'Weights &amp; Assumptions'!$F$9+H229*'Weights &amp; Assumptions'!$F$11</f>
        <v>131.840275777864</v>
      </c>
      <c r="T229" s="22" t="n">
        <f aca="false">G229*'Weights &amp; Assumptions'!$F$10+I229*'Weights &amp; Assumptions'!$F$12+J229*'Weights &amp; Assumptions'!$F$13+K229*'Weights &amp; Assumptions'!$F$14+L229*'Weights &amp; Assumptions'!$F$15+M229*'Weights &amp; Assumptions'!$F$16+N229*'Weights &amp; Assumptions'!$F$17+O229*'Weights &amp; Assumptions'!$F$18+P229*'Weights &amp; Assumptions'!$F$19+Q229*'Weights &amp; Assumptions'!$F$20</f>
        <v>162.470812549582</v>
      </c>
      <c r="U229" s="22" t="n">
        <f aca="false">R229*'Weights &amp; Assumptions'!$B$25/'Weights &amp; Assumptions'!$B$28+S229*'Weights &amp; Assumptions'!$B$26/'Weights &amp; Assumptions'!$B$28+T229*'Weights &amp; Assumptions'!$B$27/'Weights &amp; Assumptions'!$B$28</f>
        <v>149.793982313425</v>
      </c>
      <c r="V229" s="23" t="n">
        <f aca="false">IFERROR(Tabelle1!E230*'Weights &amp; Assumptions'!$F$6+Tabelle1!F230*'Weights &amp; Assumptions'!$F$7,"")</f>
        <v>110.432442616894</v>
      </c>
      <c r="W229" s="23" t="n">
        <f aca="false">IFERROR(Tabelle1!G230*'Weights &amp; Assumptions'!$F$8+Tabelle1!H230*'Weights &amp; Assumptions'!$F$9+Tabelle1!J230*'Weights &amp; Assumptions'!$F$11,"")</f>
        <v>135.730160763168</v>
      </c>
      <c r="X229" s="23" t="n">
        <f aca="false">IFERROR(Tabelle1!I230*'Weights &amp; Assumptions'!$F$10+Tabelle1!K230*'Weights &amp; Assumptions'!$F$12+Tabelle1!L230*'Weights &amp; Assumptions'!$F$13+Tabelle1!M230*'Weights &amp; Assumptions'!$F$14+Tabelle1!N230*'Weights &amp; Assumptions'!$F$15+Tabelle1!O230*'Weights &amp; Assumptions'!$F$16+Tabelle1!P230*'Weights &amp; Assumptions'!$F$17+Tabelle1!Q230*'Weights &amp; Assumptions'!$F$18+Tabelle1!R230*'Weights &amp; Assumptions'!$F$19+Tabelle1!S230*'Weights &amp; Assumptions'!$F$20,"")</f>
        <v>163.146910015872</v>
      </c>
      <c r="Y229" s="22" t="n">
        <f aca="false">IFERROR(V229*'Weights &amp; Assumptions'!$B$25/'Weights &amp; Assumptions'!$B$28+W229*'Weights &amp; Assumptions'!$B$26/'Weights &amp; Assumptions'!$B$28+X229*'Weights &amp; Assumptions'!$B$27/'Weights &amp; Assumptions'!$B$28,"")</f>
        <v>151.43352978561</v>
      </c>
    </row>
    <row r="230" customFormat="false" ht="15" hidden="false" customHeight="false" outlineLevel="0" collapsed="false">
      <c r="A230" s="20" t="n">
        <v>44804</v>
      </c>
      <c r="B230" s="21" t="n">
        <v>151.72301</v>
      </c>
      <c r="C230" s="22" t="n">
        <v>108.631633064359</v>
      </c>
      <c r="D230" s="22" t="n">
        <v>165.195969024373</v>
      </c>
      <c r="E230" s="22" t="n">
        <v>99.4558127488731</v>
      </c>
      <c r="F230" s="22" t="n">
        <v>133.337829241542</v>
      </c>
      <c r="G230" s="22" t="n">
        <v>145.615613900147</v>
      </c>
      <c r="H230" s="22" t="n">
        <v>150.585728603164</v>
      </c>
      <c r="I230" s="22" t="n">
        <v>160.777239220509</v>
      </c>
      <c r="J230" s="22" t="n">
        <v>143.410875500035</v>
      </c>
      <c r="K230" s="22" t="n">
        <v>183.474692463279</v>
      </c>
      <c r="L230" s="22" t="n">
        <v>165.402801297297</v>
      </c>
      <c r="M230" s="22" t="n">
        <v>152.800464400748</v>
      </c>
      <c r="N230" s="22" t="n">
        <v>162.818200882333</v>
      </c>
      <c r="O230" s="22" t="n">
        <v>167.488188364931</v>
      </c>
      <c r="P230" s="22" t="n">
        <v>183.629807167769</v>
      </c>
      <c r="Q230" s="22" t="n">
        <v>130.590676448433</v>
      </c>
      <c r="R230" s="22" t="n">
        <f aca="false">C230*'Weights &amp; Assumptions'!$F$6+D230*'Weights &amp; Assumptions'!$F$7</f>
        <v>109.324689611562</v>
      </c>
      <c r="S230" s="22" t="n">
        <f aca="false">E230*'Weights &amp; Assumptions'!$F$8+F230*'Weights &amp; Assumptions'!$F$9+H230*'Weights &amp; Assumptions'!$F$11</f>
        <v>132.885538901262</v>
      </c>
      <c r="T230" s="22" t="n">
        <f aca="false">G230*'Weights &amp; Assumptions'!$F$10+I230*'Weights &amp; Assumptions'!$F$12+J230*'Weights &amp; Assumptions'!$F$13+K230*'Weights &amp; Assumptions'!$F$14+L230*'Weights &amp; Assumptions'!$F$15+M230*'Weights &amp; Assumptions'!$F$16+N230*'Weights &amp; Assumptions'!$F$17+O230*'Weights &amp; Assumptions'!$F$18+P230*'Weights &amp; Assumptions'!$F$19+Q230*'Weights &amp; Assumptions'!$F$20</f>
        <v>162.264524416448</v>
      </c>
      <c r="U230" s="22" t="n">
        <f aca="false">R230*'Weights &amp; Assumptions'!$B$25/'Weights &amp; Assumptions'!$B$28+S230*'Weights &amp; Assumptions'!$B$26/'Weights &amp; Assumptions'!$B$28+T230*'Weights &amp; Assumptions'!$B$27/'Weights &amp; Assumptions'!$B$28</f>
        <v>150.01044277442</v>
      </c>
      <c r="V230" s="23" t="n">
        <f aca="false">IFERROR(Tabelle1!E231*'Weights &amp; Assumptions'!$F$6+Tabelle1!F231*'Weights &amp; Assumptions'!$F$7,"")</f>
        <v>79.1440192125243</v>
      </c>
      <c r="W230" s="23" t="n">
        <f aca="false">IFERROR(Tabelle1!G231*'Weights &amp; Assumptions'!$F$8+Tabelle1!H231*'Weights &amp; Assumptions'!$F$9+Tabelle1!J231*'Weights &amp; Assumptions'!$F$11,"")</f>
        <v>141.075520828376</v>
      </c>
      <c r="X230" s="23" t="n">
        <f aca="false">IFERROR(Tabelle1!I231*'Weights &amp; Assumptions'!$F$10+Tabelle1!K231*'Weights &amp; Assumptions'!$F$12+Tabelle1!L231*'Weights &amp; Assumptions'!$F$13+Tabelle1!M231*'Weights &amp; Assumptions'!$F$14+Tabelle1!N231*'Weights &amp; Assumptions'!$F$15+Tabelle1!O231*'Weights &amp; Assumptions'!$F$16+Tabelle1!P231*'Weights &amp; Assumptions'!$F$17+Tabelle1!Q231*'Weights &amp; Assumptions'!$F$18+Tabelle1!R231*'Weights &amp; Assumptions'!$F$19+Tabelle1!S231*'Weights &amp; Assumptions'!$F$20,"")</f>
        <v>163.804075757348</v>
      </c>
      <c r="Y230" s="22" t="n">
        <f aca="false">IFERROR(V230*'Weights &amp; Assumptions'!$B$25/'Weights &amp; Assumptions'!$B$28+W230*'Weights &amp; Assumptions'!$B$26/'Weights &amp; Assumptions'!$B$28+X230*'Weights &amp; Assumptions'!$B$27/'Weights &amp; Assumptions'!$B$28,"")</f>
        <v>150.657106777516</v>
      </c>
    </row>
    <row r="231" customFormat="false" ht="15" hidden="false" customHeight="false" outlineLevel="0" collapsed="false">
      <c r="A231" s="20" t="n">
        <v>44834</v>
      </c>
      <c r="B231" s="21" t="n">
        <v>150.78775</v>
      </c>
      <c r="C231" s="22" t="n">
        <v>107.008694144761</v>
      </c>
      <c r="D231" s="22" t="n">
        <v>149.884107123112</v>
      </c>
      <c r="E231" s="22" t="n">
        <v>99.2130027350416</v>
      </c>
      <c r="F231" s="22" t="n">
        <v>131.111079062219</v>
      </c>
      <c r="G231" s="22" t="n">
        <v>143.762661877079</v>
      </c>
      <c r="H231" s="22" t="n">
        <v>150.954943687025</v>
      </c>
      <c r="I231" s="22" t="n">
        <v>160.796232313175</v>
      </c>
      <c r="J231" s="22" t="n">
        <v>139.198660896979</v>
      </c>
      <c r="K231" s="22" t="n">
        <v>182.264429632042</v>
      </c>
      <c r="L231" s="22" t="n">
        <v>163.970482944285</v>
      </c>
      <c r="M231" s="22" t="n">
        <v>151.974422481079</v>
      </c>
      <c r="N231" s="22" t="n">
        <v>162.894055700075</v>
      </c>
      <c r="O231" s="22" t="n">
        <v>167.541788053351</v>
      </c>
      <c r="P231" s="22" t="n">
        <v>183.344264738658</v>
      </c>
      <c r="Q231" s="22" t="n">
        <v>130.370261220162</v>
      </c>
      <c r="R231" s="22" t="n">
        <f aca="false">C231*'Weights &amp; Assumptions'!$F$6+D231*'Weights &amp; Assumptions'!$F$7</f>
        <v>107.534026674072</v>
      </c>
      <c r="S231" s="22" t="n">
        <f aca="false">E231*'Weights &amp; Assumptions'!$F$8+F231*'Weights &amp; Assumptions'!$F$9+H231*'Weights &amp; Assumptions'!$F$11</f>
        <v>131.436467509908</v>
      </c>
      <c r="T231" s="22" t="n">
        <f aca="false">G231*'Weights &amp; Assumptions'!$F$10+I231*'Weights &amp; Assumptions'!$F$12+J231*'Weights &amp; Assumptions'!$F$13+K231*'Weights &amp; Assumptions'!$F$14+L231*'Weights &amp; Assumptions'!$F$15+M231*'Weights &amp; Assumptions'!$F$16+N231*'Weights &amp; Assumptions'!$F$17+O231*'Weights &amp; Assumptions'!$F$18+P231*'Weights &amp; Assumptions'!$F$19+Q231*'Weights &amp; Assumptions'!$F$20</f>
        <v>161.543104139802</v>
      </c>
      <c r="U231" s="22" t="n">
        <f aca="false">R231*'Weights &amp; Assumptions'!$B$25/'Weights &amp; Assumptions'!$B$28+S231*'Weights &amp; Assumptions'!$B$26/'Weights &amp; Assumptions'!$B$28+T231*'Weights &amp; Assumptions'!$B$27/'Weights &amp; Assumptions'!$B$28</f>
        <v>149.005817006576</v>
      </c>
      <c r="V231" s="23" t="n">
        <f aca="false">IFERROR(Tabelle1!E232*'Weights &amp; Assumptions'!$F$6+Tabelle1!F232*'Weights &amp; Assumptions'!$F$7,"")</f>
        <v>74.2548610203692</v>
      </c>
      <c r="W231" s="23" t="n">
        <f aca="false">IFERROR(Tabelle1!G232*'Weights &amp; Assumptions'!$F$8+Tabelle1!H232*'Weights &amp; Assumptions'!$F$9+Tabelle1!J232*'Weights &amp; Assumptions'!$F$11,"")</f>
        <v>137.432021678262</v>
      </c>
      <c r="X231" s="23" t="n">
        <f aca="false">IFERROR(Tabelle1!I232*'Weights &amp; Assumptions'!$F$10+Tabelle1!K232*'Weights &amp; Assumptions'!$F$12+Tabelle1!L232*'Weights &amp; Assumptions'!$F$13+Tabelle1!M232*'Weights &amp; Assumptions'!$F$14+Tabelle1!N232*'Weights &amp; Assumptions'!$F$15+Tabelle1!O232*'Weights &amp; Assumptions'!$F$16+Tabelle1!P232*'Weights &amp; Assumptions'!$F$17+Tabelle1!Q232*'Weights &amp; Assumptions'!$F$18+Tabelle1!R232*'Weights &amp; Assumptions'!$F$19+Tabelle1!S232*'Weights &amp; Assumptions'!$F$20,"")</f>
        <v>161.233705739707</v>
      </c>
      <c r="Y231" s="22" t="n">
        <f aca="false">IFERROR(V231*'Weights &amp; Assumptions'!$B$25/'Weights &amp; Assumptions'!$B$28+W231*'Weights &amp; Assumptions'!$B$26/'Weights &amp; Assumptions'!$B$28+X231*'Weights &amp; Assumptions'!$B$27/'Weights &amp; Assumptions'!$B$28,"")</f>
        <v>147.606824720421</v>
      </c>
    </row>
    <row r="232" customFormat="false" ht="15" hidden="false" customHeight="false" outlineLevel="0" collapsed="false">
      <c r="A232" s="20" t="n">
        <v>44865</v>
      </c>
      <c r="B232" s="21" t="n">
        <v>149.08576</v>
      </c>
      <c r="C232" s="22" t="n">
        <v>101.379198956412</v>
      </c>
      <c r="D232" s="22" t="n">
        <v>130.342067054617</v>
      </c>
      <c r="E232" s="22" t="n">
        <v>100.835570270691</v>
      </c>
      <c r="F232" s="22" t="n">
        <v>128.775408534241</v>
      </c>
      <c r="G232" s="22" t="n">
        <v>150.784040365246</v>
      </c>
      <c r="H232" s="22" t="n">
        <v>146.701764658877</v>
      </c>
      <c r="I232" s="22" t="n">
        <v>156.901201148833</v>
      </c>
      <c r="J232" s="22" t="n">
        <v>146.938619103336</v>
      </c>
      <c r="K232" s="22" t="n">
        <v>183.455264509301</v>
      </c>
      <c r="L232" s="22" t="n">
        <v>161.031059263921</v>
      </c>
      <c r="M232" s="22" t="n">
        <v>150.89366307606</v>
      </c>
      <c r="N232" s="22" t="n">
        <v>161.629724487641</v>
      </c>
      <c r="O232" s="22" t="n">
        <v>167.141348494705</v>
      </c>
      <c r="P232" s="22" t="n">
        <v>183.558514163882</v>
      </c>
      <c r="Q232" s="22" t="n">
        <v>130.43233469114</v>
      </c>
      <c r="R232" s="22" t="n">
        <f aca="false">C232*'Weights &amp; Assumptions'!$F$6+D232*'Weights &amp; Assumptions'!$F$7</f>
        <v>101.734067532531</v>
      </c>
      <c r="S232" s="22" t="n">
        <f aca="false">E232*'Weights &amp; Assumptions'!$F$8+F232*'Weights &amp; Assumptions'!$F$9+H232*'Weights &amp; Assumptions'!$F$11</f>
        <v>129.1739392293</v>
      </c>
      <c r="T232" s="22" t="n">
        <f aca="false">G232*'Weights &amp; Assumptions'!$F$10+I232*'Weights &amp; Assumptions'!$F$12+J232*'Weights &amp; Assumptions'!$F$13+K232*'Weights &amp; Assumptions'!$F$14+L232*'Weights &amp; Assumptions'!$F$15+M232*'Weights &amp; Assumptions'!$F$16+N232*'Weights &amp; Assumptions'!$F$17+O232*'Weights &amp; Assumptions'!$F$18+P232*'Weights &amp; Assumptions'!$F$19+Q232*'Weights &amp; Assumptions'!$F$20</f>
        <v>160.911264968334</v>
      </c>
      <c r="U232" s="22" t="n">
        <f aca="false">R232*'Weights &amp; Assumptions'!$B$25/'Weights &amp; Assumptions'!$B$28+S232*'Weights &amp; Assumptions'!$B$26/'Weights &amp; Assumptions'!$B$28+T232*'Weights &amp; Assumptions'!$B$27/'Weights &amp; Assumptions'!$B$28</f>
        <v>147.506739549451</v>
      </c>
      <c r="V232" s="23" t="n">
        <f aca="false">IFERROR(Tabelle1!E233*'Weights &amp; Assumptions'!$F$6+Tabelle1!F233*'Weights &amp; Assumptions'!$F$7,"")</f>
        <v>64.7757441715832</v>
      </c>
      <c r="W232" s="23" t="n">
        <f aca="false">IFERROR(Tabelle1!G233*'Weights &amp; Assumptions'!$F$8+Tabelle1!H233*'Weights &amp; Assumptions'!$F$9+Tabelle1!J233*'Weights &amp; Assumptions'!$F$11,"")</f>
        <v>135.750431098722</v>
      </c>
      <c r="X232" s="23" t="n">
        <f aca="false">IFERROR(Tabelle1!I233*'Weights &amp; Assumptions'!$F$10+Tabelle1!K233*'Weights &amp; Assumptions'!$F$12+Tabelle1!L233*'Weights &amp; Assumptions'!$F$13+Tabelle1!M233*'Weights &amp; Assumptions'!$F$14+Tabelle1!N233*'Weights &amp; Assumptions'!$F$15+Tabelle1!O233*'Weights &amp; Assumptions'!$F$16+Tabelle1!P233*'Weights &amp; Assumptions'!$F$17+Tabelle1!Q233*'Weights &amp; Assumptions'!$F$18+Tabelle1!R233*'Weights &amp; Assumptions'!$F$19+Tabelle1!S233*'Weights &amp; Assumptions'!$F$20,"")</f>
        <v>160.878895668558</v>
      </c>
      <c r="Y232" s="22" t="n">
        <f aca="false">IFERROR(V232*'Weights &amp; Assumptions'!$B$25/'Weights &amp; Assumptions'!$B$28+W232*'Weights &amp; Assumptions'!$B$26/'Weights &amp; Assumptions'!$B$28+X232*'Weights &amp; Assumptions'!$B$27/'Weights &amp; Assumptions'!$B$28,"")</f>
        <v>146.133663603793</v>
      </c>
    </row>
    <row r="233" customFormat="false" ht="15" hidden="false" customHeight="false" outlineLevel="0" collapsed="false">
      <c r="A233" s="20" t="n">
        <v>44895</v>
      </c>
      <c r="B233" s="21" t="n">
        <v>148.32757</v>
      </c>
      <c r="C233" s="22" t="n">
        <v>98.4798406130702</v>
      </c>
      <c r="D233" s="22" t="n">
        <v>143.614911591796</v>
      </c>
      <c r="E233" s="22" t="n">
        <v>99.8505025433635</v>
      </c>
      <c r="F233" s="22" t="n">
        <v>130.594820410722</v>
      </c>
      <c r="G233" s="22" t="n">
        <v>152.249335534409</v>
      </c>
      <c r="H233" s="22" t="n">
        <v>148.448908256101</v>
      </c>
      <c r="I233" s="22" t="n">
        <v>158.673847699699</v>
      </c>
      <c r="J233" s="22" t="n">
        <v>146.754193383264</v>
      </c>
      <c r="K233" s="22" t="n">
        <v>181.768683445538</v>
      </c>
      <c r="L233" s="22" t="n">
        <v>162.219703058098</v>
      </c>
      <c r="M233" s="22" t="n">
        <v>152.04298936314</v>
      </c>
      <c r="N233" s="22" t="n">
        <v>162.014893186962</v>
      </c>
      <c r="O233" s="22" t="n">
        <v>167.737681430906</v>
      </c>
      <c r="P233" s="22" t="n">
        <v>183.389570351138</v>
      </c>
      <c r="Q233" s="22" t="n">
        <v>129.34388381358</v>
      </c>
      <c r="R233" s="22" t="n">
        <f aca="false">C233*'Weights &amp; Assumptions'!$F$6+D233*'Weights &amp; Assumptions'!$F$7</f>
        <v>99.032859682761</v>
      </c>
      <c r="S233" s="22" t="n">
        <f aca="false">E233*'Weights &amp; Assumptions'!$F$8+F233*'Weights &amp; Assumptions'!$F$9+H233*'Weights &amp; Assumptions'!$F$11</f>
        <v>130.643447476516</v>
      </c>
      <c r="T233" s="22" t="n">
        <f aca="false">G233*'Weights &amp; Assumptions'!$F$10+I233*'Weights &amp; Assumptions'!$F$12+J233*'Weights &amp; Assumptions'!$F$13+K233*'Weights &amp; Assumptions'!$F$14+L233*'Weights &amp; Assumptions'!$F$15+M233*'Weights &amp; Assumptions'!$F$16+N233*'Weights &amp; Assumptions'!$F$17+O233*'Weights &amp; Assumptions'!$F$18+P233*'Weights &amp; Assumptions'!$F$19+Q233*'Weights &amp; Assumptions'!$F$20</f>
        <v>161.392688519445</v>
      </c>
      <c r="U233" s="22" t="n">
        <f aca="false">R233*'Weights &amp; Assumptions'!$B$25/'Weights &amp; Assumptions'!$B$28+S233*'Weights &amp; Assumptions'!$B$26/'Weights &amp; Assumptions'!$B$28+T233*'Weights &amp; Assumptions'!$B$27/'Weights &amp; Assumptions'!$B$28</f>
        <v>147.983886658169</v>
      </c>
      <c r="V233" s="23" t="n">
        <f aca="false">IFERROR(Tabelle1!E234*'Weights &amp; Assumptions'!$F$6+Tabelle1!F234*'Weights &amp; Assumptions'!$F$7,"")</f>
        <v>75.347423106876</v>
      </c>
      <c r="W233" s="23" t="n">
        <f aca="false">IFERROR(Tabelle1!G234*'Weights &amp; Assumptions'!$F$8+Tabelle1!H234*'Weights &amp; Assumptions'!$F$9+Tabelle1!J234*'Weights &amp; Assumptions'!$F$11,"")</f>
        <v>136.718223725773</v>
      </c>
      <c r="X233" s="23" t="n">
        <f aca="false">IFERROR(Tabelle1!I234*'Weights &amp; Assumptions'!$F$10+Tabelle1!K234*'Weights &amp; Assumptions'!$F$12+Tabelle1!L234*'Weights &amp; Assumptions'!$F$13+Tabelle1!M234*'Weights &amp; Assumptions'!$F$14+Tabelle1!N234*'Weights &amp; Assumptions'!$F$15+Tabelle1!O234*'Weights &amp; Assumptions'!$F$16+Tabelle1!P234*'Weights &amp; Assumptions'!$F$17+Tabelle1!Q234*'Weights &amp; Assumptions'!$F$18+Tabelle1!R234*'Weights &amp; Assumptions'!$F$19+Tabelle1!S234*'Weights &amp; Assumptions'!$F$20,"")</f>
        <v>161.913996461043</v>
      </c>
      <c r="Y233" s="22" t="n">
        <f aca="false">IFERROR(V233*'Weights &amp; Assumptions'!$B$25/'Weights &amp; Assumptions'!$B$28+W233*'Weights &amp; Assumptions'!$B$26/'Weights &amp; Assumptions'!$B$28+X233*'Weights &amp; Assumptions'!$B$27/'Weights &amp; Assumptions'!$B$28,"")</f>
        <v>147.950992821844</v>
      </c>
    </row>
    <row r="234" customFormat="false" ht="15" hidden="false" customHeight="false" outlineLevel="0" collapsed="false">
      <c r="A234" s="20" t="n">
        <v>44926</v>
      </c>
      <c r="B234" s="21" t="n">
        <v>148.48524</v>
      </c>
      <c r="C234" s="22" t="n">
        <v>92.0829256635476</v>
      </c>
      <c r="D234" s="22" t="n">
        <v>155.226613878361</v>
      </c>
      <c r="E234" s="22" t="n">
        <v>101.577249411327</v>
      </c>
      <c r="F234" s="22" t="n">
        <v>131.473303262177</v>
      </c>
      <c r="G234" s="22" t="n">
        <v>156.92716594813</v>
      </c>
      <c r="H234" s="22" t="n">
        <v>147.533983826023</v>
      </c>
      <c r="I234" s="22" t="n">
        <v>159.375157567923</v>
      </c>
      <c r="J234" s="22" t="n">
        <v>144.741279346683</v>
      </c>
      <c r="K234" s="22" t="n">
        <v>181.369108015536</v>
      </c>
      <c r="L234" s="22" t="n">
        <v>166.491714760401</v>
      </c>
      <c r="M234" s="22" t="n">
        <v>152.035148004563</v>
      </c>
      <c r="N234" s="22" t="n">
        <v>161.959153871643</v>
      </c>
      <c r="O234" s="22" t="n">
        <v>168.005646310115</v>
      </c>
      <c r="P234" s="22" t="n">
        <v>183.595294238282</v>
      </c>
      <c r="Q234" s="22" t="n">
        <v>128.242534414316</v>
      </c>
      <c r="R234" s="22" t="n">
        <f aca="false">C234*'Weights &amp; Assumptions'!$F$6+D234*'Weights &amp; Assumptions'!$F$7</f>
        <v>92.8565959593108</v>
      </c>
      <c r="S234" s="22" t="n">
        <f aca="false">E234*'Weights &amp; Assumptions'!$F$8+F234*'Weights &amp; Assumptions'!$F$9+H234*'Weights &amp; Assumptions'!$F$11</f>
        <v>131.249602013788</v>
      </c>
      <c r="T234" s="22" t="n">
        <f aca="false">G234*'Weights &amp; Assumptions'!$F$10+I234*'Weights &amp; Assumptions'!$F$12+J234*'Weights &amp; Assumptions'!$F$13+K234*'Weights &amp; Assumptions'!$F$14+L234*'Weights &amp; Assumptions'!$F$15+M234*'Weights &amp; Assumptions'!$F$16+N234*'Weights &amp; Assumptions'!$F$17+O234*'Weights &amp; Assumptions'!$F$18+P234*'Weights &amp; Assumptions'!$F$19+Q234*'Weights &amp; Assumptions'!$F$20</f>
        <v>161.808684622106</v>
      </c>
      <c r="U234" s="22" t="n">
        <f aca="false">R234*'Weights &amp; Assumptions'!$B$25/'Weights &amp; Assumptions'!$B$28+S234*'Weights &amp; Assumptions'!$B$26/'Weights &amp; Assumptions'!$B$28+T234*'Weights &amp; Assumptions'!$B$27/'Weights &amp; Assumptions'!$B$28</f>
        <v>147.897353124833</v>
      </c>
      <c r="V234" s="23" t="n">
        <f aca="false">IFERROR(Tabelle1!E235*'Weights &amp; Assumptions'!$F$6+Tabelle1!F235*'Weights &amp; Assumptions'!$F$7,"")</f>
        <v>92.3344764826403</v>
      </c>
      <c r="W234" s="23" t="n">
        <f aca="false">IFERROR(Tabelle1!G235*'Weights &amp; Assumptions'!$F$8+Tabelle1!H235*'Weights &amp; Assumptions'!$F$9+Tabelle1!J235*'Weights &amp; Assumptions'!$F$11,"")</f>
        <v>128.245571672358</v>
      </c>
      <c r="X234" s="23" t="n">
        <f aca="false">IFERROR(Tabelle1!I235*'Weights &amp; Assumptions'!$F$10+Tabelle1!K235*'Weights &amp; Assumptions'!$F$12+Tabelle1!L235*'Weights &amp; Assumptions'!$F$13+Tabelle1!M235*'Weights &amp; Assumptions'!$F$14+Tabelle1!N235*'Weights &amp; Assumptions'!$F$15+Tabelle1!O235*'Weights &amp; Assumptions'!$F$16+Tabelle1!P235*'Weights &amp; Assumptions'!$F$17+Tabelle1!Q235*'Weights &amp; Assumptions'!$F$18+Tabelle1!R235*'Weights &amp; Assumptions'!$F$19+Tabelle1!S235*'Weights &amp; Assumptions'!$F$20,"")</f>
        <v>160.551825310428</v>
      </c>
      <c r="Y234" s="22" t="n">
        <f aca="false">IFERROR(V234*'Weights &amp; Assumptions'!$B$25/'Weights &amp; Assumptions'!$B$28+W234*'Weights &amp; Assumptions'!$B$26/'Weights &amp; Assumptions'!$B$28+X234*'Weights &amp; Assumptions'!$B$27/'Weights &amp; Assumptions'!$B$28,"")</f>
        <v>146.237535800078</v>
      </c>
    </row>
    <row r="235" customFormat="false" ht="15" hidden="false" customHeight="false" outlineLevel="0" collapsed="false">
      <c r="A235" s="20" t="n">
        <v>44957</v>
      </c>
      <c r="B235" s="21" t="n">
        <v>149.95773</v>
      </c>
      <c r="C235" s="22" t="n">
        <v>95.4672851232145</v>
      </c>
      <c r="D235" s="22" t="n">
        <v>197.112774826614</v>
      </c>
      <c r="E235" s="22" t="n">
        <v>103.207220372788</v>
      </c>
      <c r="F235" s="22" t="n">
        <v>133.162982195348</v>
      </c>
      <c r="G235" s="22" t="n">
        <v>152.246199166541</v>
      </c>
      <c r="H235" s="22" t="n">
        <v>153.808106106622</v>
      </c>
      <c r="I235" s="22" t="n">
        <v>160.849134938691</v>
      </c>
      <c r="J235" s="22" t="n">
        <v>148.611589476523</v>
      </c>
      <c r="K235" s="22" t="n">
        <v>181.614347744781</v>
      </c>
      <c r="L235" s="22" t="n">
        <v>166.145261954369</v>
      </c>
      <c r="M235" s="22" t="n">
        <v>153.078532428383</v>
      </c>
      <c r="N235" s="22" t="n">
        <v>163.242326474</v>
      </c>
      <c r="O235" s="22" t="n">
        <v>168.670423474498</v>
      </c>
      <c r="P235" s="22" t="n">
        <v>184.017648505029</v>
      </c>
      <c r="Q235" s="22" t="n">
        <v>130.620893129261</v>
      </c>
      <c r="R235" s="22" t="n">
        <f aca="false">C235*'Weights &amp; Assumptions'!$F$6+D235*'Weights &amp; Assumptions'!$F$7</f>
        <v>96.7127001172562</v>
      </c>
      <c r="S235" s="22" t="n">
        <f aca="false">E235*'Weights &amp; Assumptions'!$F$8+F235*'Weights &amp; Assumptions'!$F$9+H235*'Weights &amp; Assumptions'!$F$11</f>
        <v>133.887199779139</v>
      </c>
      <c r="T235" s="22" t="n">
        <f aca="false">G235*'Weights &amp; Assumptions'!$F$10+I235*'Weights &amp; Assumptions'!$F$12+J235*'Weights &amp; Assumptions'!$F$13+K235*'Weights &amp; Assumptions'!$F$14+L235*'Weights &amp; Assumptions'!$F$15+M235*'Weights &amp; Assumptions'!$F$16+N235*'Weights &amp; Assumptions'!$F$17+O235*'Weights &amp; Assumptions'!$F$18+P235*'Weights &amp; Assumptions'!$F$19+Q235*'Weights &amp; Assumptions'!$F$20</f>
        <v>162.709861673654</v>
      </c>
      <c r="U235" s="22" t="n">
        <f aca="false">R235*'Weights &amp; Assumptions'!$B$25/'Weights &amp; Assumptions'!$B$28+S235*'Weights &amp; Assumptions'!$B$26/'Weights &amp; Assumptions'!$B$28+T235*'Weights &amp; Assumptions'!$B$27/'Weights &amp; Assumptions'!$B$28</f>
        <v>149.508195619577</v>
      </c>
      <c r="V235" s="23" t="n">
        <f aca="false">IFERROR(Tabelle1!E236*'Weights &amp; Assumptions'!$F$6+Tabelle1!F236*'Weights &amp; Assumptions'!$F$7,"")</f>
        <v>82.3195025339388</v>
      </c>
      <c r="W235" s="23" t="n">
        <f aca="false">IFERROR(Tabelle1!G236*'Weights &amp; Assumptions'!$F$8+Tabelle1!H236*'Weights &amp; Assumptions'!$F$9+Tabelle1!J236*'Weights &amp; Assumptions'!$F$11,"")</f>
        <v>121.15018138381</v>
      </c>
      <c r="X235" s="23" t="n">
        <f aca="false">IFERROR(Tabelle1!I236*'Weights &amp; Assumptions'!$F$10+Tabelle1!K236*'Weights &amp; Assumptions'!$F$12+Tabelle1!L236*'Weights &amp; Assumptions'!$F$13+Tabelle1!M236*'Weights &amp; Assumptions'!$F$14+Tabelle1!N236*'Weights &amp; Assumptions'!$F$15+Tabelle1!O236*'Weights &amp; Assumptions'!$F$16+Tabelle1!P236*'Weights &amp; Assumptions'!$F$17+Tabelle1!Q236*'Weights &amp; Assumptions'!$F$18+Tabelle1!R236*'Weights &amp; Assumptions'!$F$19+Tabelle1!S236*'Weights &amp; Assumptions'!$F$20,"")</f>
        <v>161.054919205008</v>
      </c>
      <c r="Y235" s="22" t="n">
        <f aca="false">IFERROR(V235*'Weights &amp; Assumptions'!$B$25/'Weights &amp; Assumptions'!$B$28+W235*'Weights &amp; Assumptions'!$B$26/'Weights &amp; Assumptions'!$B$28+X235*'Weights &amp; Assumptions'!$B$27/'Weights &amp; Assumptions'!$B$28,"")</f>
        <v>143.837585373619</v>
      </c>
    </row>
    <row r="236" customFormat="false" ht="15" hidden="false" customHeight="false" outlineLevel="0" collapsed="false">
      <c r="A236" s="20" t="n">
        <v>44985</v>
      </c>
      <c r="B236" s="21" t="n">
        <v>150.15642</v>
      </c>
      <c r="C236" s="22" t="n">
        <v>100.397226337358</v>
      </c>
      <c r="D236" s="22" t="n">
        <v>129.025802893652</v>
      </c>
      <c r="E236" s="22" t="n">
        <v>102.196785084121</v>
      </c>
      <c r="F236" s="22" t="n">
        <v>129.719569585189</v>
      </c>
      <c r="G236" s="22" t="n">
        <v>148.085261732603</v>
      </c>
      <c r="H236" s="22" t="n">
        <v>152.881536205221</v>
      </c>
      <c r="I236" s="22" t="n">
        <v>158.206844648309</v>
      </c>
      <c r="J236" s="22" t="n">
        <v>149.415669254716</v>
      </c>
      <c r="K236" s="22" t="n">
        <v>180.828578418895</v>
      </c>
      <c r="L236" s="22" t="n">
        <v>163.976869279054</v>
      </c>
      <c r="M236" s="22" t="n">
        <v>152.55780515741</v>
      </c>
      <c r="N236" s="22" t="n">
        <v>163.61367684023</v>
      </c>
      <c r="O236" s="22" t="n">
        <v>168.888161657443</v>
      </c>
      <c r="P236" s="22" t="n">
        <v>184.203934658933</v>
      </c>
      <c r="Q236" s="22" t="n">
        <v>136.931669355247</v>
      </c>
      <c r="R236" s="22" t="n">
        <f aca="false">C236*'Weights &amp; Assumptions'!$F$6+D236*'Weights &amp; Assumptions'!$F$7</f>
        <v>100.747998994416</v>
      </c>
      <c r="S236" s="22" t="n">
        <f aca="false">E236*'Weights &amp; Assumptions'!$F$8+F236*'Weights &amp; Assumptions'!$F$9+H236*'Weights &amp; Assumptions'!$F$11</f>
        <v>131.258596867813</v>
      </c>
      <c r="T236" s="22" t="n">
        <f aca="false">G236*'Weights &amp; Assumptions'!$F$10+I236*'Weights &amp; Assumptions'!$F$12+J236*'Weights &amp; Assumptions'!$F$13+K236*'Weights &amp; Assumptions'!$F$14+L236*'Weights &amp; Assumptions'!$F$15+M236*'Weights &amp; Assumptions'!$F$16+N236*'Weights &amp; Assumptions'!$F$17+O236*'Weights &amp; Assumptions'!$F$18+P236*'Weights &amp; Assumptions'!$F$19+Q236*'Weights &amp; Assumptions'!$F$20</f>
        <v>162.116198330979</v>
      </c>
      <c r="U236" s="22" t="n">
        <f aca="false">R236*'Weights &amp; Assumptions'!$B$25/'Weights &amp; Assumptions'!$B$28+S236*'Weights &amp; Assumptions'!$B$26/'Weights &amp; Assumptions'!$B$28+T236*'Weights &amp; Assumptions'!$B$27/'Weights &amp; Assumptions'!$B$28</f>
        <v>148.761780081396</v>
      </c>
      <c r="V236" s="23" t="n">
        <f aca="false">IFERROR(Tabelle1!E237*'Weights &amp; Assumptions'!$F$6+Tabelle1!F237*'Weights &amp; Assumptions'!$F$7,"")</f>
        <v>70.0217748036376</v>
      </c>
      <c r="W236" s="23" t="n">
        <f aca="false">IFERROR(Tabelle1!G237*'Weights &amp; Assumptions'!$F$8+Tabelle1!H237*'Weights &amp; Assumptions'!$F$9+Tabelle1!J237*'Weights &amp; Assumptions'!$F$11,"")</f>
        <v>118.334274323438</v>
      </c>
      <c r="X236" s="23" t="n">
        <f aca="false">IFERROR(Tabelle1!I237*'Weights &amp; Assumptions'!$F$10+Tabelle1!K237*'Weights &amp; Assumptions'!$F$12+Tabelle1!L237*'Weights &amp; Assumptions'!$F$13+Tabelle1!M237*'Weights &amp; Assumptions'!$F$14+Tabelle1!N237*'Weights &amp; Assumptions'!$F$15+Tabelle1!O237*'Weights &amp; Assumptions'!$F$16+Tabelle1!P237*'Weights &amp; Assumptions'!$F$17+Tabelle1!Q237*'Weights &amp; Assumptions'!$F$18+Tabelle1!R237*'Weights &amp; Assumptions'!$F$19+Tabelle1!S237*'Weights &amp; Assumptions'!$F$20,"")</f>
        <v>157.526501995223</v>
      </c>
      <c r="Y236" s="22" t="n">
        <f aca="false">IFERROR(V236*'Weights &amp; Assumptions'!$B$25/'Weights &amp; Assumptions'!$B$28+W236*'Weights &amp; Assumptions'!$B$26/'Weights &amp; Assumptions'!$B$28+X236*'Weights &amp; Assumptions'!$B$27/'Weights &amp; Assumptions'!$B$28,"")</f>
        <v>139.762884608331</v>
      </c>
    </row>
    <row r="237" customFormat="false" ht="15" hidden="false" customHeight="false" outlineLevel="0" collapsed="false">
      <c r="A237" s="20" t="n">
        <v>45016</v>
      </c>
      <c r="B237" s="21" t="n">
        <v>150.75596</v>
      </c>
      <c r="C237" s="22" t="n">
        <v>94.3370739222816</v>
      </c>
      <c r="D237" s="22" t="n">
        <v>147.238193068282</v>
      </c>
      <c r="E237" s="22" t="n">
        <v>103.866150801891</v>
      </c>
      <c r="F237" s="22" t="n">
        <v>137.151167984764</v>
      </c>
      <c r="G237" s="22" t="n">
        <v>159.659835757811</v>
      </c>
      <c r="H237" s="22" t="n">
        <v>158.109250499519</v>
      </c>
      <c r="I237" s="22" t="n">
        <v>166.038868951229</v>
      </c>
      <c r="J237" s="22" t="n">
        <v>150.801589176672</v>
      </c>
      <c r="K237" s="22" t="n">
        <v>180.902009040922</v>
      </c>
      <c r="L237" s="22" t="n">
        <v>168.432823060287</v>
      </c>
      <c r="M237" s="22" t="n">
        <v>154.740922036362</v>
      </c>
      <c r="N237" s="22" t="n">
        <v>164.259101742757</v>
      </c>
      <c r="O237" s="22" t="n">
        <v>169.609701524809</v>
      </c>
      <c r="P237" s="22" t="n">
        <v>185.071156243074</v>
      </c>
      <c r="Q237" s="22" t="n">
        <v>130.822867819495</v>
      </c>
      <c r="R237" s="22" t="n">
        <f aca="false">C237*'Weights &amp; Assumptions'!$F$6+D237*'Weights &amp; Assumptions'!$F$7</f>
        <v>94.9852467745967</v>
      </c>
      <c r="S237" s="22" t="n">
        <f aca="false">E237*'Weights &amp; Assumptions'!$F$8+F237*'Weights &amp; Assumptions'!$F$9+H237*'Weights &amp; Assumptions'!$F$11</f>
        <v>137.543076774367</v>
      </c>
      <c r="T237" s="22" t="n">
        <f aca="false">G237*'Weights &amp; Assumptions'!$F$10+I237*'Weights &amp; Assumptions'!$F$12+J237*'Weights &amp; Assumptions'!$F$13+K237*'Weights &amp; Assumptions'!$F$14+L237*'Weights &amp; Assumptions'!$F$15+M237*'Weights &amp; Assumptions'!$F$16+N237*'Weights &amp; Assumptions'!$F$17+O237*'Weights &amp; Assumptions'!$F$18+P237*'Weights &amp; Assumptions'!$F$19+Q237*'Weights &amp; Assumptions'!$F$20</f>
        <v>164.740925675764</v>
      </c>
      <c r="U237" s="22" t="n">
        <f aca="false">R237*'Weights &amp; Assumptions'!$B$25/'Weights &amp; Assumptions'!$B$28+S237*'Weights &amp; Assumptions'!$B$26/'Weights &amp; Assumptions'!$B$28+T237*'Weights &amp; Assumptions'!$B$27/'Weights &amp; Assumptions'!$B$28</f>
        <v>151.655983046001</v>
      </c>
      <c r="V237" s="23" t="n">
        <f aca="false">IFERROR(Tabelle1!E238*'Weights &amp; Assumptions'!$F$6+Tabelle1!F238*'Weights &amp; Assumptions'!$F$7,"")</f>
        <v>123.382499426824</v>
      </c>
      <c r="W237" s="23" t="n">
        <f aca="false">IFERROR(Tabelle1!G238*'Weights &amp; Assumptions'!$F$8+Tabelle1!H238*'Weights &amp; Assumptions'!$F$9+Tabelle1!J238*'Weights &amp; Assumptions'!$F$11,"")</f>
        <v>139.772320417309</v>
      </c>
      <c r="X237" s="23" t="n">
        <f aca="false">IFERROR(Tabelle1!I238*'Weights &amp; Assumptions'!$F$10+Tabelle1!K238*'Weights &amp; Assumptions'!$F$12+Tabelle1!L238*'Weights &amp; Assumptions'!$F$13+Tabelle1!M238*'Weights &amp; Assumptions'!$F$14+Tabelle1!N238*'Weights &amp; Assumptions'!$F$15+Tabelle1!O238*'Weights &amp; Assumptions'!$F$16+Tabelle1!P238*'Weights &amp; Assumptions'!$F$17+Tabelle1!Q238*'Weights &amp; Assumptions'!$F$18+Tabelle1!R238*'Weights &amp; Assumptions'!$F$19+Tabelle1!S238*'Weights &amp; Assumptions'!$F$20,"")</f>
        <v>166.570635951878</v>
      </c>
      <c r="Y237" s="22" t="n">
        <f aca="false">IFERROR(V237*'Weights &amp; Assumptions'!$B$25/'Weights &amp; Assumptions'!$B$28+W237*'Weights &amp; Assumptions'!$B$26/'Weights &amp; Assumptions'!$B$28+X237*'Weights &amp; Assumptions'!$B$27/'Weights &amp; Assumptions'!$B$28,"")</f>
        <v>155.82097513829</v>
      </c>
    </row>
    <row r="238" customFormat="false" ht="15" hidden="false" customHeight="false" outlineLevel="0" collapsed="false">
      <c r="A238" s="20" t="n">
        <v>45046</v>
      </c>
      <c r="B238" s="21" t="n">
        <v>147.35749</v>
      </c>
      <c r="C238" s="22" t="n">
        <v>74.4361318494263</v>
      </c>
      <c r="D238" s="22" t="n">
        <v>81.8447966854529</v>
      </c>
      <c r="E238" s="22" t="n">
        <v>103.606679517347</v>
      </c>
      <c r="F238" s="22" t="n">
        <v>133.464972485603</v>
      </c>
      <c r="G238" s="22" t="n">
        <v>146.876159436927</v>
      </c>
      <c r="H238" s="22" t="n">
        <v>155.341558411826</v>
      </c>
      <c r="I238" s="22" t="n">
        <v>163.364269582311</v>
      </c>
      <c r="J238" s="22" t="n">
        <v>127.489098027979</v>
      </c>
      <c r="K238" s="22" t="n">
        <v>178.94623553235</v>
      </c>
      <c r="L238" s="22" t="n">
        <v>164.469630221746</v>
      </c>
      <c r="M238" s="22" t="n">
        <v>153.438056713525</v>
      </c>
      <c r="N238" s="22" t="n">
        <v>165.057671660981</v>
      </c>
      <c r="O238" s="22" t="n">
        <v>170.316525224614</v>
      </c>
      <c r="P238" s="22" t="n">
        <v>185.326949603662</v>
      </c>
      <c r="Q238" s="22" t="n">
        <v>131.433342861572</v>
      </c>
      <c r="R238" s="22" t="n">
        <f aca="false">C238*'Weights &amp; Assumptions'!$F$6+D238*'Weights &amp; Assumptions'!$F$7</f>
        <v>74.5269067800164</v>
      </c>
      <c r="S238" s="22" t="n">
        <f aca="false">E238*'Weights &amp; Assumptions'!$F$8+F238*'Weights &amp; Assumptions'!$F$9+H238*'Weights &amp; Assumptions'!$F$11</f>
        <v>134.457370250376</v>
      </c>
      <c r="T238" s="22" t="n">
        <f aca="false">G238*'Weights &amp; Assumptions'!$F$10+I238*'Weights &amp; Assumptions'!$F$12+J238*'Weights &amp; Assumptions'!$F$13+K238*'Weights &amp; Assumptions'!$F$14+L238*'Weights &amp; Assumptions'!$F$15+M238*'Weights &amp; Assumptions'!$F$16+N238*'Weights &amp; Assumptions'!$F$17+O238*'Weights &amp; Assumptions'!$F$18+P238*'Weights &amp; Assumptions'!$F$19+Q238*'Weights &amp; Assumptions'!$F$20</f>
        <v>162.070843393855</v>
      </c>
      <c r="U238" s="22" t="n">
        <f aca="false">R238*'Weights &amp; Assumptions'!$B$25/'Weights &amp; Assumptions'!$B$28+S238*'Weights &amp; Assumptions'!$B$26/'Weights &amp; Assumptions'!$B$28+T238*'Weights &amp; Assumptions'!$B$27/'Weights &amp; Assumptions'!$B$28</f>
        <v>147.382929392478</v>
      </c>
      <c r="V238" s="23" t="n">
        <f aca="false">IFERROR(Tabelle1!E239*'Weights &amp; Assumptions'!$F$6+Tabelle1!F239*'Weights &amp; Assumptions'!$F$7,"")</f>
        <v>121.10092197292</v>
      </c>
      <c r="W238" s="23" t="n">
        <f aca="false">IFERROR(Tabelle1!G239*'Weights &amp; Assumptions'!$F$8+Tabelle1!H239*'Weights &amp; Assumptions'!$F$9+Tabelle1!J239*'Weights &amp; Assumptions'!$F$11,"")</f>
        <v>131.720936053144</v>
      </c>
      <c r="X238" s="23" t="n">
        <f aca="false">IFERROR(Tabelle1!I239*'Weights &amp; Assumptions'!$F$10+Tabelle1!K239*'Weights &amp; Assumptions'!$F$12+Tabelle1!L239*'Weights &amp; Assumptions'!$F$13+Tabelle1!M239*'Weights &amp; Assumptions'!$F$14+Tabelle1!N239*'Weights &amp; Assumptions'!$F$15+Tabelle1!O239*'Weights &amp; Assumptions'!$F$16+Tabelle1!P239*'Weights &amp; Assumptions'!$F$17+Tabelle1!Q239*'Weights &amp; Assumptions'!$F$18+Tabelle1!R239*'Weights &amp; Assumptions'!$F$19+Tabelle1!S239*'Weights &amp; Assumptions'!$F$20,"")</f>
        <v>161.897797826935</v>
      </c>
      <c r="Y238" s="22" t="n">
        <f aca="false">IFERROR(V238*'Weights &amp; Assumptions'!$B$25/'Weights &amp; Assumptions'!$B$28+W238*'Weights &amp; Assumptions'!$B$26/'Weights &amp; Assumptions'!$B$28+X238*'Weights &amp; Assumptions'!$B$27/'Weights &amp; Assumptions'!$B$28,"")</f>
        <v>150.450351311637</v>
      </c>
    </row>
    <row r="239" customFormat="false" ht="15" hidden="false" customHeight="false" outlineLevel="0" collapsed="false">
      <c r="A239" s="20" t="n">
        <v>45077</v>
      </c>
      <c r="B239" s="21" t="n">
        <v>145.55273</v>
      </c>
      <c r="C239" s="22" t="n">
        <v>64.5909863478249</v>
      </c>
      <c r="D239" s="22" t="n">
        <v>146.095273586291</v>
      </c>
      <c r="E239" s="22" t="n">
        <v>104.614639662846</v>
      </c>
      <c r="F239" s="22" t="n">
        <v>133.362764215581</v>
      </c>
      <c r="G239" s="22" t="n">
        <v>142.01179191679</v>
      </c>
      <c r="H239" s="22" t="n">
        <v>156.676596394771</v>
      </c>
      <c r="I239" s="22" t="n">
        <v>164.687709400261</v>
      </c>
      <c r="J239" s="22" t="n">
        <v>152.728879041009</v>
      </c>
      <c r="K239" s="22" t="n">
        <v>178.753261193859</v>
      </c>
      <c r="L239" s="22" t="n">
        <v>165.022049647548</v>
      </c>
      <c r="M239" s="22" t="n">
        <v>154.18647162374</v>
      </c>
      <c r="N239" s="22" t="n">
        <v>165.489501027654</v>
      </c>
      <c r="O239" s="22" t="n">
        <v>170.769987953106</v>
      </c>
      <c r="P239" s="22" t="n">
        <v>185.816335077636</v>
      </c>
      <c r="Q239" s="22" t="n">
        <v>132.698211149827</v>
      </c>
      <c r="R239" s="22" t="n">
        <f aca="false">C239*'Weights &amp; Assumptions'!$F$6+D239*'Weights &amp; Assumptions'!$F$7</f>
        <v>65.5896205390877</v>
      </c>
      <c r="S239" s="22" t="n">
        <f aca="false">E239*'Weights &amp; Assumptions'!$F$8+F239*'Weights &amp; Assumptions'!$F$9+H239*'Weights &amp; Assumptions'!$F$11</f>
        <v>134.787125886026</v>
      </c>
      <c r="T239" s="22" t="n">
        <f aca="false">G239*'Weights &amp; Assumptions'!$F$10+I239*'Weights &amp; Assumptions'!$F$12+J239*'Weights &amp; Assumptions'!$F$13+K239*'Weights &amp; Assumptions'!$F$14+L239*'Weights &amp; Assumptions'!$F$15+M239*'Weights &amp; Assumptions'!$F$16+N239*'Weights &amp; Assumptions'!$F$17+O239*'Weights &amp; Assumptions'!$F$18+P239*'Weights &amp; Assumptions'!$F$19+Q239*'Weights &amp; Assumptions'!$F$20</f>
        <v>163.728220867253</v>
      </c>
      <c r="U239" s="22" t="n">
        <f aca="false">R239*'Weights &amp; Assumptions'!$B$25/'Weights &amp; Assumptions'!$B$28+S239*'Weights &amp; Assumptions'!$B$26/'Weights &amp; Assumptions'!$B$28+T239*'Weights &amp; Assumptions'!$B$27/'Weights &amp; Assumptions'!$B$28</f>
        <v>147.798367925607</v>
      </c>
      <c r="V239" s="23" t="n">
        <f aca="false">IFERROR(Tabelle1!E240*'Weights &amp; Assumptions'!$F$6+Tabelle1!F240*'Weights &amp; Assumptions'!$F$7,"")</f>
        <v>138.586541374835</v>
      </c>
      <c r="W239" s="23" t="n">
        <f aca="false">IFERROR(Tabelle1!G240*'Weights &amp; Assumptions'!$F$8+Tabelle1!H240*'Weights &amp; Assumptions'!$F$9+Tabelle1!J240*'Weights &amp; Assumptions'!$F$11,"")</f>
        <v>134.45715621011</v>
      </c>
      <c r="X239" s="23" t="n">
        <f aca="false">IFERROR(Tabelle1!I240*'Weights &amp; Assumptions'!$F$10+Tabelle1!K240*'Weights &amp; Assumptions'!$F$12+Tabelle1!L240*'Weights &amp; Assumptions'!$F$13+Tabelle1!M240*'Weights &amp; Assumptions'!$F$14+Tabelle1!N240*'Weights &amp; Assumptions'!$F$15+Tabelle1!O240*'Weights &amp; Assumptions'!$F$16+Tabelle1!P240*'Weights &amp; Assumptions'!$F$17+Tabelle1!Q240*'Weights &amp; Assumptions'!$F$18+Tabelle1!R240*'Weights &amp; Assumptions'!$F$19+Tabelle1!S240*'Weights &amp; Assumptions'!$F$20,"")</f>
        <v>165.256051042983</v>
      </c>
      <c r="Y239" s="22" t="n">
        <f aca="false">IFERROR(V239*'Weights &amp; Assumptions'!$B$25/'Weights &amp; Assumptions'!$B$28+W239*'Weights &amp; Assumptions'!$B$26/'Weights &amp; Assumptions'!$B$28+X239*'Weights &amp; Assumptions'!$B$27/'Weights &amp; Assumptions'!$B$28,"")</f>
        <v>154.828492851264</v>
      </c>
    </row>
    <row r="240" customFormat="false" ht="15" hidden="false" customHeight="false" outlineLevel="0" collapsed="false">
      <c r="A240" s="20" t="n">
        <v>45107</v>
      </c>
      <c r="B240" s="21" t="n">
        <v>146.06327</v>
      </c>
      <c r="C240" s="22" t="n">
        <v>70.0235939091279</v>
      </c>
      <c r="D240" s="22" t="n">
        <v>161.74355358422</v>
      </c>
      <c r="E240" s="22" t="n">
        <v>106.352254533055</v>
      </c>
      <c r="F240" s="22" t="n">
        <v>132.661222244985</v>
      </c>
      <c r="G240" s="22" t="n">
        <v>146.143993355805</v>
      </c>
      <c r="H240" s="22" t="n">
        <v>155.963864959389</v>
      </c>
      <c r="I240" s="22" t="n">
        <v>167.399964993909</v>
      </c>
      <c r="J240" s="22" t="n">
        <v>170.402474390906</v>
      </c>
      <c r="K240" s="22" t="n">
        <v>179.904765069732</v>
      </c>
      <c r="L240" s="22" t="n">
        <v>165.278359789767</v>
      </c>
      <c r="M240" s="22" t="n">
        <v>154.436442157753</v>
      </c>
      <c r="N240" s="22" t="n">
        <v>165.714921465139</v>
      </c>
      <c r="O240" s="22" t="n">
        <v>171.182353581558</v>
      </c>
      <c r="P240" s="22" t="n">
        <v>186.084360135786</v>
      </c>
      <c r="Q240" s="22" t="n">
        <v>131.708041132087</v>
      </c>
      <c r="R240" s="22" t="n">
        <f aca="false">C240*'Weights &amp; Assumptions'!$F$6+D240*'Weights &amp; Assumptions'!$F$7</f>
        <v>71.147395991892</v>
      </c>
      <c r="S240" s="22" t="n">
        <f aca="false">E240*'Weights &amp; Assumptions'!$F$8+F240*'Weights &amp; Assumptions'!$F$9+H240*'Weights &amp; Assumptions'!$F$11</f>
        <v>134.374482624486</v>
      </c>
      <c r="T240" s="22" t="n">
        <f aca="false">G240*'Weights &amp; Assumptions'!$F$10+I240*'Weights &amp; Assumptions'!$F$12+J240*'Weights &amp; Assumptions'!$F$13+K240*'Weights &amp; Assumptions'!$F$14+L240*'Weights &amp; Assumptions'!$F$15+M240*'Weights &amp; Assumptions'!$F$16+N240*'Weights &amp; Assumptions'!$F$17+O240*'Weights &amp; Assumptions'!$F$18+P240*'Weights &amp; Assumptions'!$F$19+Q240*'Weights &amp; Assumptions'!$F$20</f>
        <v>165.478879725741</v>
      </c>
      <c r="U240" s="22" t="n">
        <f aca="false">R240*'Weights &amp; Assumptions'!$B$25/'Weights &amp; Assumptions'!$B$28+S240*'Weights &amp; Assumptions'!$B$26/'Weights &amp; Assumptions'!$B$28+T240*'Weights &amp; Assumptions'!$B$27/'Weights &amp; Assumptions'!$B$28</f>
        <v>149.293187212001</v>
      </c>
      <c r="V240" s="23" t="n">
        <f aca="false">IFERROR(Tabelle1!E241*'Weights &amp; Assumptions'!$F$6+Tabelle1!F241*'Weights &amp; Assumptions'!$F$7,"")</f>
        <v>108.142035791826</v>
      </c>
      <c r="W240" s="23" t="n">
        <f aca="false">IFERROR(Tabelle1!G241*'Weights &amp; Assumptions'!$F$8+Tabelle1!H241*'Weights &amp; Assumptions'!$F$9+Tabelle1!J241*'Weights &amp; Assumptions'!$F$11,"")</f>
        <v>134.108611905136</v>
      </c>
      <c r="X240" s="23" t="n">
        <f aca="false">IFERROR(Tabelle1!I241*'Weights &amp; Assumptions'!$F$10+Tabelle1!K241*'Weights &amp; Assumptions'!$F$12+Tabelle1!L241*'Weights &amp; Assumptions'!$F$13+Tabelle1!M241*'Weights &amp; Assumptions'!$F$14+Tabelle1!N241*'Weights &amp; Assumptions'!$F$15+Tabelle1!O241*'Weights &amp; Assumptions'!$F$16+Tabelle1!P241*'Weights &amp; Assumptions'!$F$17+Tabelle1!Q241*'Weights &amp; Assumptions'!$F$18+Tabelle1!R241*'Weights &amp; Assumptions'!$F$19+Tabelle1!S241*'Weights &amp; Assumptions'!$F$20,"")</f>
        <v>168.326616437003</v>
      </c>
      <c r="Y240" s="22" t="n">
        <f aca="false">IFERROR(V240*'Weights &amp; Assumptions'!$B$25/'Weights &amp; Assumptions'!$B$28+W240*'Weights &amp; Assumptions'!$B$26/'Weights &amp; Assumptions'!$B$28+X240*'Weights &amp; Assumptions'!$B$27/'Weights &amp; Assumptions'!$B$28,"")</f>
        <v>154.17791490459</v>
      </c>
    </row>
    <row r="241" customFormat="false" ht="15" hidden="false" customHeight="false" outlineLevel="0" collapsed="false">
      <c r="A241" s="20" t="n">
        <v>45138</v>
      </c>
      <c r="B241" s="21" t="n">
        <v>148.72466</v>
      </c>
      <c r="C241" s="22" t="n">
        <v>91.9734076797592</v>
      </c>
      <c r="D241" s="22" t="n">
        <v>186.541543397811</v>
      </c>
      <c r="E241" s="22" t="n">
        <v>105.913046630211</v>
      </c>
      <c r="F241" s="22" t="n">
        <v>127.704367324355</v>
      </c>
      <c r="G241" s="22" t="n">
        <v>145.936862827787</v>
      </c>
      <c r="H241" s="22" t="n">
        <v>149.670475902265</v>
      </c>
      <c r="I241" s="22" t="n">
        <v>158.622722534842</v>
      </c>
      <c r="J241" s="22" t="n">
        <v>153.566982219048</v>
      </c>
      <c r="K241" s="22" t="n">
        <v>181.833276321711</v>
      </c>
      <c r="L241" s="22" t="n">
        <v>163.412145112686</v>
      </c>
      <c r="M241" s="22" t="n">
        <v>153.2709971874</v>
      </c>
      <c r="N241" s="22" t="n">
        <v>165.93988965203</v>
      </c>
      <c r="O241" s="22" t="n">
        <v>170.978929696718</v>
      </c>
      <c r="P241" s="22" t="n">
        <v>186.361908974117</v>
      </c>
      <c r="Q241" s="22" t="n">
        <v>132.324471019609</v>
      </c>
      <c r="R241" s="22" t="n">
        <f aca="false">C241*'Weights &amp; Assumptions'!$F$6+D241*'Weights &amp; Assumptions'!$F$7</f>
        <v>93.1321071412454</v>
      </c>
      <c r="S241" s="22" t="n">
        <f aca="false">E241*'Weights &amp; Assumptions'!$F$8+F241*'Weights &amp; Assumptions'!$F$9+H241*'Weights &amp; Assumptions'!$F$11</f>
        <v>129.678592780516</v>
      </c>
      <c r="T241" s="22" t="n">
        <f aca="false">G241*'Weights &amp; Assumptions'!$F$10+I241*'Weights &amp; Assumptions'!$F$12+J241*'Weights &amp; Assumptions'!$F$13+K241*'Weights &amp; Assumptions'!$F$14+L241*'Weights &amp; Assumptions'!$F$15+M241*'Weights &amp; Assumptions'!$F$16+N241*'Weights &amp; Assumptions'!$F$17+O241*'Weights &amp; Assumptions'!$F$18+P241*'Weights &amp; Assumptions'!$F$19+Q241*'Weights &amp; Assumptions'!$F$20</f>
        <v>162.860870554867</v>
      </c>
      <c r="U241" s="22" t="n">
        <f aca="false">R241*'Weights &amp; Assumptions'!$B$25/'Weights &amp; Assumptions'!$B$28+S241*'Weights &amp; Assumptions'!$B$26/'Weights &amp; Assumptions'!$B$28+T241*'Weights &amp; Assumptions'!$B$27/'Weights &amp; Assumptions'!$B$28</f>
        <v>148.186821982598</v>
      </c>
      <c r="V241" s="23" t="n">
        <f aca="false">IFERROR(Tabelle1!E242*'Weights &amp; Assumptions'!$F$6+Tabelle1!F242*'Weights &amp; Assumptions'!$F$7,"")</f>
        <v>96.1196634398875</v>
      </c>
      <c r="W241" s="23" t="n">
        <f aca="false">IFERROR(Tabelle1!G242*'Weights &amp; Assumptions'!$F$8+Tabelle1!H242*'Weights &amp; Assumptions'!$F$9+Tabelle1!J242*'Weights &amp; Assumptions'!$F$11,"")</f>
        <v>133.960299412902</v>
      </c>
      <c r="X241" s="23" t="n">
        <f aca="false">IFERROR(Tabelle1!I242*'Weights &amp; Assumptions'!$F$10+Tabelle1!K242*'Weights &amp; Assumptions'!$F$12+Tabelle1!L242*'Weights &amp; Assumptions'!$F$13+Tabelle1!M242*'Weights &amp; Assumptions'!$F$14+Tabelle1!N242*'Weights &amp; Assumptions'!$F$15+Tabelle1!O242*'Weights &amp; Assumptions'!$F$16+Tabelle1!P242*'Weights &amp; Assumptions'!$F$17+Tabelle1!Q242*'Weights &amp; Assumptions'!$F$18+Tabelle1!R242*'Weights &amp; Assumptions'!$F$19+Tabelle1!S242*'Weights &amp; Assumptions'!$F$20,"")</f>
        <v>164.011035318349</v>
      </c>
      <c r="Y241" s="22" t="n">
        <f aca="false">IFERROR(V241*'Weights &amp; Assumptions'!$B$25/'Weights &amp; Assumptions'!$B$28+W241*'Weights &amp; Assumptions'!$B$26/'Weights &amp; Assumptions'!$B$28+X241*'Weights &amp; Assumptions'!$B$27/'Weights &amp; Assumptions'!$B$28,"")</f>
        <v>150.323877110186</v>
      </c>
    </row>
    <row r="242" customFormat="false" ht="15" hidden="false" customHeight="false" outlineLevel="0" collapsed="false">
      <c r="A242" s="20" t="n">
        <v>45169</v>
      </c>
      <c r="B242" s="21" t="n">
        <v>150.05695</v>
      </c>
      <c r="C242" s="22" t="n">
        <v>103.849475735593</v>
      </c>
      <c r="D242" s="22" t="n">
        <v>137.656615540153</v>
      </c>
      <c r="E242" s="22" t="n">
        <v>106.774867995237</v>
      </c>
      <c r="F242" s="22" t="n">
        <v>128.761539248423</v>
      </c>
      <c r="G242" s="22" t="n">
        <v>147.564177148872</v>
      </c>
      <c r="H242" s="22" t="n">
        <v>152.789255367249</v>
      </c>
      <c r="I242" s="22" t="n">
        <v>161.761631926503</v>
      </c>
      <c r="J242" s="22" t="n">
        <v>153.209197591099</v>
      </c>
      <c r="K242" s="22" t="n">
        <v>183.906860663986</v>
      </c>
      <c r="L242" s="22" t="n">
        <v>163.34798021868</v>
      </c>
      <c r="M242" s="22" t="n">
        <v>154.929946195397</v>
      </c>
      <c r="N242" s="22" t="n">
        <v>166.206878873595</v>
      </c>
      <c r="O242" s="22" t="n">
        <v>171.176073325169</v>
      </c>
      <c r="P242" s="22" t="n">
        <v>186.798622474686</v>
      </c>
      <c r="Q242" s="22" t="n">
        <v>131.342258730676</v>
      </c>
      <c r="R242" s="22" t="n">
        <f aca="false">C242*'Weights &amp; Assumptions'!$F$6+D242*'Weights &amp; Assumptions'!$F$7</f>
        <v>104.263698923864</v>
      </c>
      <c r="S242" s="22" t="n">
        <f aca="false">E242*'Weights &amp; Assumptions'!$F$8+F242*'Weights &amp; Assumptions'!$F$9+H242*'Weights &amp; Assumptions'!$F$11</f>
        <v>131.141921838341</v>
      </c>
      <c r="T242" s="22" t="n">
        <f aca="false">G242*'Weights &amp; Assumptions'!$F$10+I242*'Weights &amp; Assumptions'!$F$12+J242*'Weights &amp; Assumptions'!$F$13+K242*'Weights &amp; Assumptions'!$F$14+L242*'Weights &amp; Assumptions'!$F$15+M242*'Weights &amp; Assumptions'!$F$16+N242*'Weights &amp; Assumptions'!$F$17+O242*'Weights &amp; Assumptions'!$F$18+P242*'Weights &amp; Assumptions'!$F$19+Q242*'Weights &amp; Assumptions'!$F$20</f>
        <v>164.18236060729</v>
      </c>
      <c r="U242" s="22" t="n">
        <f aca="false">R242*'Weights &amp; Assumptions'!$B$25/'Weights &amp; Assumptions'!$B$28+S242*'Weights &amp; Assumptions'!$B$26/'Weights &amp; Assumptions'!$B$28+T242*'Weights &amp; Assumptions'!$B$27/'Weights &amp; Assumptions'!$B$28</f>
        <v>150.369105203338</v>
      </c>
      <c r="V242" s="23" t="n">
        <f aca="false">IFERROR(Tabelle1!E243*'Weights &amp; Assumptions'!$F$6+Tabelle1!F243*'Weights &amp; Assumptions'!$F$7,"")</f>
        <v>76.239482954792</v>
      </c>
      <c r="W242" s="23" t="n">
        <f aca="false">IFERROR(Tabelle1!G243*'Weights &amp; Assumptions'!$F$8+Tabelle1!H243*'Weights &amp; Assumptions'!$F$9+Tabelle1!J243*'Weights &amp; Assumptions'!$F$11,"")</f>
        <v>139.913658166728</v>
      </c>
      <c r="X242" s="23" t="n">
        <f aca="false">IFERROR(Tabelle1!I243*'Weights &amp; Assumptions'!$F$10+Tabelle1!K243*'Weights &amp; Assumptions'!$F$12+Tabelle1!L243*'Weights &amp; Assumptions'!$F$13+Tabelle1!M243*'Weights &amp; Assumptions'!$F$14+Tabelle1!N243*'Weights &amp; Assumptions'!$F$15+Tabelle1!O243*'Weights &amp; Assumptions'!$F$16+Tabelle1!P243*'Weights &amp; Assumptions'!$F$17+Tabelle1!Q243*'Weights &amp; Assumptions'!$F$18+Tabelle1!R243*'Weights &amp; Assumptions'!$F$19+Tabelle1!S243*'Weights &amp; Assumptions'!$F$20,"")</f>
        <v>166.147513246086</v>
      </c>
      <c r="Y242" s="22" t="n">
        <f aca="false">IFERROR(V242*'Weights &amp; Assumptions'!$B$25/'Weights &amp; Assumptions'!$B$28+W242*'Weights &amp; Assumptions'!$B$26/'Weights &amp; Assumptions'!$B$28+X242*'Weights &amp; Assumptions'!$B$27/'Weights &amp; Assumptions'!$B$28,"")</f>
        <v>151.628114360421</v>
      </c>
    </row>
    <row r="243" customFormat="false" ht="15" hidden="false" customHeight="false" outlineLevel="0" collapsed="false">
      <c r="A243" s="20" t="n">
        <v>45199</v>
      </c>
      <c r="B243" s="21" t="n">
        <v>149.69825</v>
      </c>
      <c r="C243" s="22" t="n">
        <v>102.851078386767</v>
      </c>
      <c r="D243" s="22" t="n">
        <v>165.926937174794</v>
      </c>
      <c r="E243" s="22" t="n">
        <v>107.173778277155</v>
      </c>
      <c r="F243" s="22" t="n">
        <v>127.101433671402</v>
      </c>
      <c r="G243" s="22" t="n">
        <v>154.145163753994</v>
      </c>
      <c r="H243" s="22" t="n">
        <v>149.590047576912</v>
      </c>
      <c r="I243" s="22" t="n">
        <v>159.117672090045</v>
      </c>
      <c r="J243" s="22" t="n">
        <v>152.754160085392</v>
      </c>
      <c r="K243" s="22" t="n">
        <v>182.869718949312</v>
      </c>
      <c r="L243" s="22" t="n">
        <v>160.550712372146</v>
      </c>
      <c r="M243" s="22" t="n">
        <v>154.036730924287</v>
      </c>
      <c r="N243" s="22" t="n">
        <v>166.536900731982</v>
      </c>
      <c r="O243" s="22" t="n">
        <v>171.280881358164</v>
      </c>
      <c r="P243" s="22" t="n">
        <v>186.816843937481</v>
      </c>
      <c r="Q243" s="22" t="n">
        <v>132.037109730346</v>
      </c>
      <c r="R243" s="22" t="n">
        <f aca="false">C243*'Weights &amp; Assumptions'!$F$6+D243*'Weights &amp; Assumptions'!$F$7</f>
        <v>103.623917600055</v>
      </c>
      <c r="S243" s="22" t="n">
        <f aca="false">E243*'Weights &amp; Assumptions'!$F$8+F243*'Weights &amp; Assumptions'!$F$9+H243*'Weights &amp; Assumptions'!$F$11</f>
        <v>129.407026695402</v>
      </c>
      <c r="T243" s="22" t="n">
        <f aca="false">G243*'Weights &amp; Assumptions'!$F$10+I243*'Weights &amp; Assumptions'!$F$12+J243*'Weights &amp; Assumptions'!$F$13+K243*'Weights &amp; Assumptions'!$F$14+L243*'Weights &amp; Assumptions'!$F$15+M243*'Weights &amp; Assumptions'!$F$16+N243*'Weights &amp; Assumptions'!$F$17+O243*'Weights &amp; Assumptions'!$F$18+P243*'Weights &amp; Assumptions'!$F$19+Q243*'Weights &amp; Assumptions'!$F$20</f>
        <v>163.341421067251</v>
      </c>
      <c r="U243" s="22" t="n">
        <f aca="false">R243*'Weights &amp; Assumptions'!$B$25/'Weights &amp; Assumptions'!$B$28+S243*'Weights &amp; Assumptions'!$B$26/'Weights &amp; Assumptions'!$B$28+T243*'Weights &amp; Assumptions'!$B$27/'Weights &amp; Assumptions'!$B$28</f>
        <v>149.30732459447</v>
      </c>
      <c r="V243" s="23" t="n">
        <f aca="false">IFERROR(Tabelle1!E244*'Weights &amp; Assumptions'!$F$6+Tabelle1!F244*'Weights &amp; Assumptions'!$F$7,"")</f>
        <v>73.2329804607812</v>
      </c>
      <c r="W243" s="23" t="n">
        <f aca="false">IFERROR(Tabelle1!G244*'Weights &amp; Assumptions'!$F$8+Tabelle1!H244*'Weights &amp; Assumptions'!$F$9+Tabelle1!J244*'Weights &amp; Assumptions'!$F$11,"")</f>
        <v>135.538019993005</v>
      </c>
      <c r="X243" s="23" t="n">
        <f aca="false">IFERROR(Tabelle1!I244*'Weights &amp; Assumptions'!$F$10+Tabelle1!K244*'Weights &amp; Assumptions'!$F$12+Tabelle1!L244*'Weights &amp; Assumptions'!$F$13+Tabelle1!M244*'Weights &amp; Assumptions'!$F$14+Tabelle1!N244*'Weights &amp; Assumptions'!$F$15+Tabelle1!O244*'Weights &amp; Assumptions'!$F$16+Tabelle1!P244*'Weights &amp; Assumptions'!$F$17+Tabelle1!Q244*'Weights &amp; Assumptions'!$F$18+Tabelle1!R244*'Weights &amp; Assumptions'!$F$19+Tabelle1!S244*'Weights &amp; Assumptions'!$F$20,"")</f>
        <v>162.970938182604</v>
      </c>
      <c r="Y243" s="22" t="n">
        <f aca="false">IFERROR(V243*'Weights &amp; Assumptions'!$B$25/'Weights &amp; Assumptions'!$B$28+W243*'Weights &amp; Assumptions'!$B$26/'Weights &amp; Assumptions'!$B$28+X243*'Weights &amp; Assumptions'!$B$27/'Weights &amp; Assumptions'!$B$28,"")</f>
        <v>148.146956700607</v>
      </c>
    </row>
    <row r="244" customFormat="false" ht="15" hidden="false" customHeight="false" outlineLevel="0" collapsed="false">
      <c r="A244" s="20" t="n">
        <v>45230</v>
      </c>
      <c r="B244" s="21" t="n">
        <v>148.01321</v>
      </c>
      <c r="C244" s="22" t="n">
        <v>102.327994562185</v>
      </c>
      <c r="D244" s="22" t="n">
        <v>174.129942922511</v>
      </c>
      <c r="E244" s="22" t="n">
        <v>107.474213879094</v>
      </c>
      <c r="F244" s="22" t="n">
        <v>125.409437176655</v>
      </c>
      <c r="G244" s="22" t="n">
        <v>149.990750987464</v>
      </c>
      <c r="H244" s="22" t="n">
        <v>149.03551355266</v>
      </c>
      <c r="I244" s="22" t="n">
        <v>156.179516175216</v>
      </c>
      <c r="J244" s="22" t="n">
        <v>152.957880512927</v>
      </c>
      <c r="K244" s="22" t="n">
        <v>181.30380464042</v>
      </c>
      <c r="L244" s="22" t="n">
        <v>164.491490163714</v>
      </c>
      <c r="M244" s="22" t="n">
        <v>154.539321530661</v>
      </c>
      <c r="N244" s="22" t="n">
        <v>166.291951710576</v>
      </c>
      <c r="O244" s="22" t="n">
        <v>171.125410411251</v>
      </c>
      <c r="P244" s="22" t="n">
        <v>187.314259003327</v>
      </c>
      <c r="Q244" s="22" t="n">
        <v>130.940726104263</v>
      </c>
      <c r="R244" s="22" t="n">
        <f aca="false">C244*'Weights &amp; Assumptions'!$F$6+D244*'Weights &amp; Assumptions'!$F$7</f>
        <v>103.207750499712</v>
      </c>
      <c r="S244" s="22" t="n">
        <f aca="false">E244*'Weights &amp; Assumptions'!$F$8+F244*'Weights &amp; Assumptions'!$F$9+H244*'Weights &amp; Assumptions'!$F$11</f>
        <v>128.189882326302</v>
      </c>
      <c r="T244" s="22" t="n">
        <f aca="false">G244*'Weights &amp; Assumptions'!$F$10+I244*'Weights &amp; Assumptions'!$F$12+J244*'Weights &amp; Assumptions'!$F$13+K244*'Weights &amp; Assumptions'!$F$14+L244*'Weights &amp; Assumptions'!$F$15+M244*'Weights &amp; Assumptions'!$F$16+N244*'Weights &amp; Assumptions'!$F$17+O244*'Weights &amp; Assumptions'!$F$18+P244*'Weights &amp; Assumptions'!$F$19+Q244*'Weights &amp; Assumptions'!$F$20</f>
        <v>162.751726167585</v>
      </c>
      <c r="U244" s="22" t="n">
        <f aca="false">R244*'Weights &amp; Assumptions'!$B$25/'Weights &amp; Assumptions'!$B$28+S244*'Weights &amp; Assumptions'!$B$26/'Weights &amp; Assumptions'!$B$28+T244*'Weights &amp; Assumptions'!$B$27/'Weights &amp; Assumptions'!$B$28</f>
        <v>148.565339047262</v>
      </c>
      <c r="V244" s="23" t="n">
        <f aca="false">IFERROR(Tabelle1!E245*'Weights &amp; Assumptions'!$F$6+Tabelle1!F245*'Weights &amp; Assumptions'!$F$7,"")</f>
        <v>65.6971874879918</v>
      </c>
      <c r="W244" s="23" t="n">
        <f aca="false">IFERROR(Tabelle1!G245*'Weights &amp; Assumptions'!$F$8+Tabelle1!H245*'Weights &amp; Assumptions'!$F$9+Tabelle1!J245*'Weights &amp; Assumptions'!$F$11,"")</f>
        <v>136.122959215848</v>
      </c>
      <c r="X244" s="23" t="n">
        <f aca="false">IFERROR(Tabelle1!I245*'Weights &amp; Assumptions'!$F$10+Tabelle1!K245*'Weights &amp; Assumptions'!$F$12+Tabelle1!L245*'Weights &amp; Assumptions'!$F$13+Tabelle1!M245*'Weights &amp; Assumptions'!$F$14+Tabelle1!N245*'Weights &amp; Assumptions'!$F$15+Tabelle1!O245*'Weights &amp; Assumptions'!$F$16+Tabelle1!P245*'Weights &amp; Assumptions'!$F$17+Tabelle1!Q245*'Weights &amp; Assumptions'!$F$18+Tabelle1!R245*'Weights &amp; Assumptions'!$F$19+Tabelle1!S245*'Weights &amp; Assumptions'!$F$20,"")</f>
        <v>163.564368897895</v>
      </c>
      <c r="Y244" s="22" t="n">
        <f aca="false">IFERROR(V244*'Weights &amp; Assumptions'!$B$25/'Weights &amp; Assumptions'!$B$28+W244*'Weights &amp; Assumptions'!$B$26/'Weights &amp; Assumptions'!$B$28+X244*'Weights &amp; Assumptions'!$B$27/'Weights &amp; Assumptions'!$B$28,"")</f>
        <v>148.056080747169</v>
      </c>
    </row>
    <row r="245" customFormat="false" ht="15" hidden="false" customHeight="false" outlineLevel="0" collapsed="false">
      <c r="A245" s="20" t="n">
        <v>45260</v>
      </c>
      <c r="B245" s="21" t="n">
        <v>146.3883</v>
      </c>
      <c r="C245" s="22" t="n">
        <v>103.815422215346</v>
      </c>
      <c r="D245" s="22" t="n">
        <v>105.621261837416</v>
      </c>
      <c r="E245" s="22" t="n">
        <v>108.923321138237</v>
      </c>
      <c r="F245" s="22" t="n">
        <v>123.772333559766</v>
      </c>
      <c r="G245" s="22" t="n">
        <v>150.645423879874</v>
      </c>
      <c r="H245" s="22" t="n">
        <v>148.580604356053</v>
      </c>
      <c r="I245" s="22" t="n">
        <v>154.558476926792</v>
      </c>
      <c r="J245" s="22" t="n">
        <v>152.525075286839</v>
      </c>
      <c r="K245" s="22" t="n">
        <v>181.866793594379</v>
      </c>
      <c r="L245" s="22" t="n">
        <v>157.563062433324</v>
      </c>
      <c r="M245" s="22" t="n">
        <v>153.94932958505</v>
      </c>
      <c r="N245" s="22" t="n">
        <v>166.173880776574</v>
      </c>
      <c r="O245" s="22" t="n">
        <v>171.31801050679</v>
      </c>
      <c r="P245" s="22" t="n">
        <v>187.493200130386</v>
      </c>
      <c r="Q245" s="22" t="n">
        <v>131.331395211531</v>
      </c>
      <c r="R245" s="22" t="n">
        <f aca="false">C245*'Weights &amp; Assumptions'!$F$6+D245*'Weights &amp; Assumptions'!$F$7</f>
        <v>103.837548329832</v>
      </c>
      <c r="S245" s="22" t="n">
        <f aca="false">E245*'Weights &amp; Assumptions'!$F$8+F245*'Weights &amp; Assumptions'!$F$9+H245*'Weights &amp; Assumptions'!$F$11</f>
        <v>127.167544237187</v>
      </c>
      <c r="T245" s="22" t="n">
        <f aca="false">G245*'Weights &amp; Assumptions'!$F$10+I245*'Weights &amp; Assumptions'!$F$12+J245*'Weights &amp; Assumptions'!$F$13+K245*'Weights &amp; Assumptions'!$F$14+L245*'Weights &amp; Assumptions'!$F$15+M245*'Weights &amp; Assumptions'!$F$16+N245*'Weights &amp; Assumptions'!$F$17+O245*'Weights &amp; Assumptions'!$F$18+P245*'Weights &amp; Assumptions'!$F$19+Q245*'Weights &amp; Assumptions'!$F$20</f>
        <v>161.891708046703</v>
      </c>
      <c r="U245" s="22" t="n">
        <f aca="false">R245*'Weights &amp; Assumptions'!$B$25/'Weights &amp; Assumptions'!$B$28+S245*'Weights &amp; Assumptions'!$B$26/'Weights &amp; Assumptions'!$B$28+T245*'Weights &amp; Assumptions'!$B$27/'Weights &amp; Assumptions'!$B$28</f>
        <v>147.787154009507</v>
      </c>
      <c r="V245" s="23" t="n">
        <f aca="false">IFERROR(Tabelle1!E246*'Weights &amp; Assumptions'!$F$6+Tabelle1!F246*'Weights &amp; Assumptions'!$F$7,"")</f>
        <v>78.5658185659289</v>
      </c>
      <c r="W245" s="23" t="n">
        <f aca="false">IFERROR(Tabelle1!G246*'Weights &amp; Assumptions'!$F$8+Tabelle1!H246*'Weights &amp; Assumptions'!$F$9+Tabelle1!J246*'Weights &amp; Assumptions'!$F$11,"")</f>
        <v>133.009284920201</v>
      </c>
      <c r="X245" s="23" t="n">
        <f aca="false">IFERROR(Tabelle1!I246*'Weights &amp; Assumptions'!$F$10+Tabelle1!K246*'Weights &amp; Assumptions'!$F$12+Tabelle1!L246*'Weights &amp; Assumptions'!$F$13+Tabelle1!M246*'Weights &amp; Assumptions'!$F$14+Tabelle1!N246*'Weights &amp; Assumptions'!$F$15+Tabelle1!O246*'Weights &amp; Assumptions'!$F$16+Tabelle1!P246*'Weights &amp; Assumptions'!$F$17+Tabelle1!Q246*'Weights &amp; Assumptions'!$F$18+Tabelle1!R246*'Weights &amp; Assumptions'!$F$19+Tabelle1!S246*'Weights &amp; Assumptions'!$F$20,"")</f>
        <v>162.436068475537</v>
      </c>
      <c r="Y245" s="22" t="n">
        <f aca="false">IFERROR(V245*'Weights &amp; Assumptions'!$B$25/'Weights &amp; Assumptions'!$B$28+W245*'Weights &amp; Assumptions'!$B$26/'Weights &amp; Assumptions'!$B$28+X245*'Weights &amp; Assumptions'!$B$27/'Weights &amp; Assumptions'!$B$28,"")</f>
        <v>147.574188932162</v>
      </c>
    </row>
    <row r="246" customFormat="false" ht="15" hidden="false" customHeight="false" outlineLevel="0" collapsed="false">
      <c r="A246" s="20" t="n">
        <v>45291</v>
      </c>
      <c r="B246" s="21" t="n">
        <v>142.86747</v>
      </c>
      <c r="C246" s="22" t="n">
        <v>100.696651860194</v>
      </c>
      <c r="D246" s="22" t="n">
        <v>171.044830853625</v>
      </c>
      <c r="E246" s="22" t="n">
        <v>109.478367528392</v>
      </c>
      <c r="F246" s="22" t="n">
        <v>115.395528142263</v>
      </c>
      <c r="G246" s="22" t="n">
        <v>140.166633140686</v>
      </c>
      <c r="H246" s="22" t="n">
        <v>139.027199658701</v>
      </c>
      <c r="I246" s="22" t="n">
        <v>144.741422830784</v>
      </c>
      <c r="J246" s="22" t="n">
        <v>153.151973126507</v>
      </c>
      <c r="K246" s="22" t="n">
        <v>180.268761685369</v>
      </c>
      <c r="L246" s="22" t="n">
        <v>149.869841831612</v>
      </c>
      <c r="M246" s="22" t="n">
        <v>151.784567186599</v>
      </c>
      <c r="N246" s="22" t="n">
        <v>166.306968037455</v>
      </c>
      <c r="O246" s="22" t="n">
        <v>171.544033525806</v>
      </c>
      <c r="P246" s="22" t="n">
        <v>187.538946809319</v>
      </c>
      <c r="Q246" s="22" t="n">
        <v>130.720052088334</v>
      </c>
      <c r="R246" s="22" t="n">
        <f aca="false">C246*'Weights &amp; Assumptions'!$F$6+D246*'Weights &amp; Assumptions'!$F$7</f>
        <v>101.558595436614</v>
      </c>
      <c r="S246" s="22" t="n">
        <f aca="false">E246*'Weights &amp; Assumptions'!$F$8+F246*'Weights &amp; Assumptions'!$F$9+H246*'Weights &amp; Assumptions'!$F$11</f>
        <v>119.612068043683</v>
      </c>
      <c r="T246" s="22" t="n">
        <f aca="false">G246*'Weights &amp; Assumptions'!$F$10+I246*'Weights &amp; Assumptions'!$F$12+J246*'Weights &amp; Assumptions'!$F$13+K246*'Weights &amp; Assumptions'!$F$14+L246*'Weights &amp; Assumptions'!$F$15+M246*'Weights &amp; Assumptions'!$F$16+N246*'Weights &amp; Assumptions'!$F$17+O246*'Weights &amp; Assumptions'!$F$18+P246*'Weights &amp; Assumptions'!$F$19+Q246*'Weights &amp; Assumptions'!$F$20</f>
        <v>158.365066673165</v>
      </c>
      <c r="U246" s="22" t="n">
        <f aca="false">R246*'Weights &amp; Assumptions'!$B$25/'Weights &amp; Assumptions'!$B$28+S246*'Weights &amp; Assumptions'!$B$26/'Weights &amp; Assumptions'!$B$28+T246*'Weights &amp; Assumptions'!$B$27/'Weights &amp; Assumptions'!$B$28</f>
        <v>143.293857182812</v>
      </c>
      <c r="V246" s="23" t="n">
        <f aca="false">IFERROR(Tabelle1!E247*'Weights &amp; Assumptions'!$F$6+Tabelle1!F247*'Weights &amp; Assumptions'!$F$7,"")</f>
        <v>101.194782155397</v>
      </c>
      <c r="W246" s="23" t="n">
        <f aca="false">IFERROR(Tabelle1!G247*'Weights &amp; Assumptions'!$F$8+Tabelle1!H247*'Weights &amp; Assumptions'!$F$9+Tabelle1!J247*'Weights &amp; Assumptions'!$F$11,"")</f>
        <v>116.84019996969</v>
      </c>
      <c r="X246" s="23" t="n">
        <f aca="false">IFERROR(Tabelle1!I247*'Weights &amp; Assumptions'!$F$10+Tabelle1!K247*'Weights &amp; Assumptions'!$F$12+Tabelle1!L247*'Weights &amp; Assumptions'!$F$13+Tabelle1!M247*'Weights &amp; Assumptions'!$F$14+Tabelle1!N247*'Weights &amp; Assumptions'!$F$15+Tabelle1!O247*'Weights &amp; Assumptions'!$F$16+Tabelle1!P247*'Weights &amp; Assumptions'!$F$17+Tabelle1!Q247*'Weights &amp; Assumptions'!$F$18+Tabelle1!R247*'Weights &amp; Assumptions'!$F$19+Tabelle1!S247*'Weights &amp; Assumptions'!$F$20,"")</f>
        <v>156.917752234955</v>
      </c>
      <c r="Y246" s="22" t="n">
        <f aca="false">IFERROR(V246*'Weights &amp; Assumptions'!$B$25/'Weights &amp; Assumptions'!$B$28+W246*'Weights &amp; Assumptions'!$B$26/'Weights &amp; Assumptions'!$B$28+X246*'Weights &amp; Assumptions'!$B$27/'Weights &amp; Assumptions'!$B$28,"")</f>
        <v>141.585227444085</v>
      </c>
    </row>
    <row r="247" customFormat="false" ht="15" hidden="false" customHeight="false" outlineLevel="0" collapsed="false">
      <c r="A247" s="20" t="n">
        <v>45322</v>
      </c>
      <c r="B247" s="21" t="n">
        <v>143.55367</v>
      </c>
      <c r="C247" s="22" t="n">
        <v>105.824841170242</v>
      </c>
      <c r="D247" s="22" t="n">
        <v>162.485209685792</v>
      </c>
      <c r="E247" s="22" t="n">
        <v>109.655331921124</v>
      </c>
      <c r="F247" s="22" t="n">
        <v>116.731994011491</v>
      </c>
      <c r="G247" s="22" t="n">
        <v>143.79999289063</v>
      </c>
      <c r="H247" s="22" t="n">
        <v>130.181606713716</v>
      </c>
      <c r="I247" s="22" t="n">
        <v>146.819829093799</v>
      </c>
      <c r="J247" s="22" t="n">
        <v>150.89401047475</v>
      </c>
      <c r="K247" s="22" t="n">
        <v>181.305216201287</v>
      </c>
      <c r="L247" s="22" t="n">
        <v>147.430866136861</v>
      </c>
      <c r="M247" s="22" t="n">
        <v>152.085713997722</v>
      </c>
      <c r="N247" s="22" t="n">
        <v>164.670542324782</v>
      </c>
      <c r="O247" s="22" t="n">
        <v>171.60467815776</v>
      </c>
      <c r="P247" s="22" t="n">
        <v>186.883586398332</v>
      </c>
      <c r="Q247" s="22" t="n">
        <v>129.719911238083</v>
      </c>
      <c r="R247" s="22" t="n">
        <f aca="false">C247*'Weights &amp; Assumptions'!$F$6+D247*'Weights &amp; Assumptions'!$F$7</f>
        <v>106.519074359762</v>
      </c>
      <c r="S247" s="22" t="n">
        <f aca="false">E247*'Weights &amp; Assumptions'!$F$8+F247*'Weights &amp; Assumptions'!$F$9+H247*'Weights &amp; Assumptions'!$F$11</f>
        <v>118.688928756397</v>
      </c>
      <c r="T247" s="22" t="n">
        <f aca="false">G247*'Weights &amp; Assumptions'!$F$10+I247*'Weights &amp; Assumptions'!$F$12+J247*'Weights &amp; Assumptions'!$F$13+K247*'Weights &amp; Assumptions'!$F$14+L247*'Weights &amp; Assumptions'!$F$15+M247*'Weights &amp; Assumptions'!$F$16+N247*'Weights &amp; Assumptions'!$F$17+O247*'Weights &amp; Assumptions'!$F$18+P247*'Weights &amp; Assumptions'!$F$19+Q247*'Weights &amp; Assumptions'!$F$20</f>
        <v>158.560332006462</v>
      </c>
      <c r="U247" s="22" t="n">
        <f aca="false">R247*'Weights &amp; Assumptions'!$B$25/'Weights &amp; Assumptions'!$B$28+S247*'Weights &amp; Assumptions'!$B$26/'Weights &amp; Assumptions'!$B$28+T247*'Weights &amp; Assumptions'!$B$27/'Weights &amp; Assumptions'!$B$28</f>
        <v>143.591524576811</v>
      </c>
      <c r="V247" s="23" t="n">
        <f aca="false">IFERROR(Tabelle1!E248*'Weights &amp; Assumptions'!$F$6+Tabelle1!F248*'Weights &amp; Assumptions'!$F$7,"")</f>
        <v>90.1841450285455</v>
      </c>
      <c r="W247" s="23" t="n">
        <f aca="false">IFERROR(Tabelle1!G248*'Weights &amp; Assumptions'!$F$8+Tabelle1!H248*'Weights &amp; Assumptions'!$F$9+Tabelle1!J248*'Weights &amp; Assumptions'!$F$11,"")</f>
        <v>108.32557798577</v>
      </c>
      <c r="X247" s="23" t="n">
        <f aca="false">IFERROR(Tabelle1!I248*'Weights &amp; Assumptions'!$F$10+Tabelle1!K248*'Weights &amp; Assumptions'!$F$12+Tabelle1!L248*'Weights &amp; Assumptions'!$F$13+Tabelle1!M248*'Weights &amp; Assumptions'!$F$14+Tabelle1!N248*'Weights &amp; Assumptions'!$F$15+Tabelle1!O248*'Weights &amp; Assumptions'!$F$16+Tabelle1!P248*'Weights &amp; Assumptions'!$F$17+Tabelle1!Q248*'Weights &amp; Assumptions'!$F$18+Tabelle1!R248*'Weights &amp; Assumptions'!$F$19+Tabelle1!S248*'Weights &amp; Assumptions'!$F$20,"")</f>
        <v>157.181769134367</v>
      </c>
      <c r="Y247" s="22" t="n">
        <f aca="false">IFERROR(V247*'Weights &amp; Assumptions'!$B$25/'Weights &amp; Assumptions'!$B$28+W247*'Weights &amp; Assumptions'!$B$26/'Weights &amp; Assumptions'!$B$28+X247*'Weights &amp; Assumptions'!$B$27/'Weights &amp; Assumptions'!$B$28,"")</f>
        <v>138.568898062154</v>
      </c>
    </row>
    <row r="248" customFormat="false" ht="15" hidden="false" customHeight="false" outlineLevel="0" collapsed="false">
      <c r="A248" s="20" t="n">
        <v>45351</v>
      </c>
      <c r="B248" s="21" t="n">
        <v>143.80882</v>
      </c>
      <c r="C248" s="22" t="n">
        <v>105.380028443853</v>
      </c>
      <c r="D248" s="22" t="n">
        <v>146.817349974139</v>
      </c>
      <c r="E248" s="22" t="n">
        <v>112.977021525976</v>
      </c>
      <c r="F248" s="22" t="n">
        <v>117.858266401781</v>
      </c>
      <c r="G248" s="22" t="n">
        <v>154.996152092221</v>
      </c>
      <c r="H248" s="22" t="n">
        <v>127.24431058401</v>
      </c>
      <c r="I248" s="22" t="n">
        <v>148.693368902315</v>
      </c>
      <c r="J248" s="22" t="n">
        <v>151.721473290371</v>
      </c>
      <c r="K248" s="22" t="n">
        <v>181.244653137041</v>
      </c>
      <c r="L248" s="22" t="n">
        <v>144.786755833211</v>
      </c>
      <c r="M248" s="22" t="n">
        <v>152.067499531753</v>
      </c>
      <c r="N248" s="22" t="n">
        <v>164.632872474041</v>
      </c>
      <c r="O248" s="22" t="n">
        <v>171.970463221721</v>
      </c>
      <c r="P248" s="22" t="n">
        <v>186.836270657153</v>
      </c>
      <c r="Q248" s="22" t="n">
        <v>134.392106105798</v>
      </c>
      <c r="R248" s="22" t="n">
        <f aca="false">C248*'Weights &amp; Assumptions'!$F$6+D248*'Weights &amp; Assumptions'!$F$7</f>
        <v>105.887740706318</v>
      </c>
      <c r="S248" s="22" t="n">
        <f aca="false">E248*'Weights &amp; Assumptions'!$F$8+F248*'Weights &amp; Assumptions'!$F$9+H248*'Weights &amp; Assumptions'!$F$11</f>
        <v>119.230791634206</v>
      </c>
      <c r="T248" s="22" t="n">
        <f aca="false">G248*'Weights &amp; Assumptions'!$F$10+I248*'Weights &amp; Assumptions'!$F$12+J248*'Weights &amp; Assumptions'!$F$13+K248*'Weights &amp; Assumptions'!$F$14+L248*'Weights &amp; Assumptions'!$F$15+M248*'Weights &amp; Assumptions'!$F$16+N248*'Weights &amp; Assumptions'!$F$17+O248*'Weights &amp; Assumptions'!$F$18+P248*'Weights &amp; Assumptions'!$F$19+Q248*'Weights &amp; Assumptions'!$F$20</f>
        <v>159.359689062926</v>
      </c>
      <c r="U248" s="22" t="n">
        <f aca="false">R248*'Weights &amp; Assumptions'!$B$25/'Weights &amp; Assumptions'!$B$28+S248*'Weights &amp; Assumptions'!$B$26/'Weights &amp; Assumptions'!$B$28+T248*'Weights &amp; Assumptions'!$B$27/'Weights &amp; Assumptions'!$B$28</f>
        <v>144.202373292039</v>
      </c>
      <c r="V248" s="23" t="n">
        <f aca="false">IFERROR(Tabelle1!E249*'Weights &amp; Assumptions'!$F$6+Tabelle1!F249*'Weights &amp; Assumptions'!$F$7,"")</f>
        <v>71.9573917903243</v>
      </c>
      <c r="W248" s="23" t="n">
        <f aca="false">IFERROR(Tabelle1!G249*'Weights &amp; Assumptions'!$F$8+Tabelle1!H249*'Weights &amp; Assumptions'!$F$9+Tabelle1!J249*'Weights &amp; Assumptions'!$F$11,"")</f>
        <v>107.63073973379</v>
      </c>
      <c r="X248" s="23" t="n">
        <f aca="false">IFERROR(Tabelle1!I249*'Weights &amp; Assumptions'!$F$10+Tabelle1!K249*'Weights &amp; Assumptions'!$F$12+Tabelle1!L249*'Weights &amp; Assumptions'!$F$13+Tabelle1!M249*'Weights &amp; Assumptions'!$F$14+Tabelle1!N249*'Weights &amp; Assumptions'!$F$15+Tabelle1!O249*'Weights &amp; Assumptions'!$F$16+Tabelle1!P249*'Weights &amp; Assumptions'!$F$17+Tabelle1!Q249*'Weights &amp; Assumptions'!$F$18+Tabelle1!R249*'Weights &amp; Assumptions'!$F$19+Tabelle1!S249*'Weights &amp; Assumptions'!$F$20,"")</f>
        <v>155.07879885563</v>
      </c>
      <c r="Y248" s="22" t="n">
        <f aca="false">IFERROR(V248*'Weights &amp; Assumptions'!$B$25/'Weights &amp; Assumptions'!$B$28+W248*'Weights &amp; Assumptions'!$B$26/'Weights &amp; Assumptions'!$B$28+X248*'Weights &amp; Assumptions'!$B$27/'Weights &amp; Assumptions'!$B$28,"")</f>
        <v>135.487575878328</v>
      </c>
    </row>
    <row r="249" customFormat="false" ht="15" hidden="false" customHeight="false" outlineLevel="0" collapsed="false">
      <c r="A249" s="20" t="n">
        <v>45382</v>
      </c>
      <c r="B249" s="21" t="n">
        <v>142.11453</v>
      </c>
      <c r="C249" s="22" t="n">
        <v>105.821770785541</v>
      </c>
      <c r="D249" s="22" t="n">
        <v>143.784252024252</v>
      </c>
      <c r="E249" s="22" t="n">
        <v>110.935588965273</v>
      </c>
      <c r="F249" s="22" t="n">
        <v>111.507135932659</v>
      </c>
      <c r="G249" s="22" t="n">
        <v>148.120817536917</v>
      </c>
      <c r="H249" s="22" t="n">
        <v>117.509384158708</v>
      </c>
      <c r="I249" s="22" t="n">
        <v>141.867916220986</v>
      </c>
      <c r="J249" s="22" t="n">
        <v>153.027280769283</v>
      </c>
      <c r="K249" s="22" t="n">
        <v>180.2104735893</v>
      </c>
      <c r="L249" s="22" t="n">
        <v>145.050142984901</v>
      </c>
      <c r="M249" s="22" t="n">
        <v>150.443497700864</v>
      </c>
      <c r="N249" s="22" t="n">
        <v>164.067615158661</v>
      </c>
      <c r="O249" s="22" t="n">
        <v>171.39976747088</v>
      </c>
      <c r="P249" s="22" t="n">
        <v>186.339472222569</v>
      </c>
      <c r="Q249" s="22" t="n">
        <v>127.816106728586</v>
      </c>
      <c r="R249" s="22" t="n">
        <f aca="false">C249*'Weights &amp; Assumptions'!$F$6+D249*'Weights &amp; Assumptions'!$F$7</f>
        <v>106.286907443189</v>
      </c>
      <c r="S249" s="22" t="n">
        <f aca="false">E249*'Weights &amp; Assumptions'!$F$8+F249*'Weights &amp; Assumptions'!$F$9+H249*'Weights &amp; Assumptions'!$F$11</f>
        <v>112.689304604068</v>
      </c>
      <c r="T249" s="22" t="n">
        <f aca="false">G249*'Weights &amp; Assumptions'!$F$10+I249*'Weights &amp; Assumptions'!$F$12+J249*'Weights &amp; Assumptions'!$F$13+K249*'Weights &amp; Assumptions'!$F$14+L249*'Weights &amp; Assumptions'!$F$15+M249*'Weights &amp; Assumptions'!$F$16+N249*'Weights &amp; Assumptions'!$F$17+O249*'Weights &amp; Assumptions'!$F$18+P249*'Weights &amp; Assumptions'!$F$19+Q249*'Weights &amp; Assumptions'!$F$20</f>
        <v>156.883408518722</v>
      </c>
      <c r="U249" s="22" t="n">
        <f aca="false">R249*'Weights &amp; Assumptions'!$B$25/'Weights &amp; Assumptions'!$B$28+S249*'Weights &amp; Assumptions'!$B$26/'Weights &amp; Assumptions'!$B$28+T249*'Weights &amp; Assumptions'!$B$27/'Weights &amp; Assumptions'!$B$28</f>
        <v>140.886335751352</v>
      </c>
      <c r="V249" s="23" t="n">
        <f aca="false">IFERROR(Tabelle1!E250*'Weights &amp; Assumptions'!$F$6+Tabelle1!F250*'Weights &amp; Assumptions'!$F$7,"")</f>
        <v>137.217784607096</v>
      </c>
      <c r="W249" s="23" t="n">
        <f aca="false">IFERROR(Tabelle1!G250*'Weights &amp; Assumptions'!$F$8+Tabelle1!H250*'Weights &amp; Assumptions'!$F$9+Tabelle1!J250*'Weights &amp; Assumptions'!$F$11,"")</f>
        <v>112.780761010537</v>
      </c>
      <c r="X249" s="23" t="n">
        <f aca="false">IFERROR(Tabelle1!I250*'Weights &amp; Assumptions'!$F$10+Tabelle1!K250*'Weights &amp; Assumptions'!$F$12+Tabelle1!L250*'Weights &amp; Assumptions'!$F$13+Tabelle1!M250*'Weights &amp; Assumptions'!$F$14+Tabelle1!N250*'Weights &amp; Assumptions'!$F$15+Tabelle1!O250*'Weights &amp; Assumptions'!$F$16+Tabelle1!P250*'Weights &amp; Assumptions'!$F$17+Tabelle1!Q250*'Weights &amp; Assumptions'!$F$18+Tabelle1!R250*'Weights &amp; Assumptions'!$F$19+Tabelle1!S250*'Weights &amp; Assumptions'!$F$20,"")</f>
        <v>157.518386218495</v>
      </c>
      <c r="Y249" s="22" t="n">
        <f aca="false">IFERROR(V249*'Weights &amp; Assumptions'!$B$25/'Weights &amp; Assumptions'!$B$28+W249*'Weights &amp; Assumptions'!$B$26/'Weights &amp; Assumptions'!$B$28+X249*'Weights &amp; Assumptions'!$B$27/'Weights &amp; Assumptions'!$B$28,"")</f>
        <v>143.918632822154</v>
      </c>
    </row>
    <row r="250" customFormat="false" ht="15" hidden="false" customHeight="false" outlineLevel="0" collapsed="false">
      <c r="A250" s="20" t="n">
        <v>45412</v>
      </c>
      <c r="B250" s="21" t="n">
        <v>141.05612</v>
      </c>
      <c r="C250" s="22" t="n">
        <v>117.664901952689</v>
      </c>
      <c r="D250" s="22" t="n">
        <v>209.241759552794</v>
      </c>
      <c r="E250" s="22" t="n">
        <v>112.540251008406</v>
      </c>
      <c r="F250" s="22" t="n">
        <v>112.444813919476</v>
      </c>
      <c r="G250" s="22" t="n">
        <v>150.175632953869</v>
      </c>
      <c r="H250" s="22" t="n">
        <v>117.475888704938</v>
      </c>
      <c r="I250" s="22" t="n">
        <v>139.605924499728</v>
      </c>
      <c r="J250" s="22" t="n">
        <v>124.601199068768</v>
      </c>
      <c r="K250" s="22" t="n">
        <v>181.438221186608</v>
      </c>
      <c r="L250" s="22" t="n">
        <v>150.156306479295</v>
      </c>
      <c r="M250" s="22" t="n">
        <v>151.196895483603</v>
      </c>
      <c r="N250" s="22" t="n">
        <v>163.710437064313</v>
      </c>
      <c r="O250" s="22" t="n">
        <v>171.332622918264</v>
      </c>
      <c r="P250" s="22" t="n">
        <v>186.256403473751</v>
      </c>
      <c r="Q250" s="22" t="n">
        <v>126.836822060748</v>
      </c>
      <c r="R250" s="22" t="n">
        <f aca="false">C250*'Weights &amp; Assumptions'!$F$6+D250*'Weights &amp; Assumptions'!$F$7</f>
        <v>118.786950672167</v>
      </c>
      <c r="S250" s="22" t="n">
        <f aca="false">E250*'Weights &amp; Assumptions'!$F$8+F250*'Weights &amp; Assumptions'!$F$9+H250*'Weights &amp; Assumptions'!$F$11</f>
        <v>113.504300593803</v>
      </c>
      <c r="T250" s="22" t="n">
        <f aca="false">G250*'Weights &amp; Assumptions'!$F$10+I250*'Weights &amp; Assumptions'!$F$12+J250*'Weights &amp; Assumptions'!$F$13+K250*'Weights &amp; Assumptions'!$F$14+L250*'Weights &amp; Assumptions'!$F$15+M250*'Weights &amp; Assumptions'!$F$16+N250*'Weights &amp; Assumptions'!$F$17+O250*'Weights &amp; Assumptions'!$F$18+P250*'Weights &amp; Assumptions'!$F$19+Q250*'Weights &amp; Assumptions'!$F$20</f>
        <v>155.775506053364</v>
      </c>
      <c r="U250" s="22" t="n">
        <f aca="false">R250*'Weights &amp; Assumptions'!$B$25/'Weights &amp; Assumptions'!$B$28+S250*'Weights &amp; Assumptions'!$B$26/'Weights &amp; Assumptions'!$B$28+T250*'Weights &amp; Assumptions'!$B$27/'Weights &amp; Assumptions'!$B$28</f>
        <v>141.431483542976</v>
      </c>
      <c r="V250" s="23" t="n">
        <f aca="false">IFERROR(Tabelle1!E251*'Weights &amp; Assumptions'!$F$6+Tabelle1!F251*'Weights &amp; Assumptions'!$F$7,"")</f>
        <v>199.715704078378</v>
      </c>
      <c r="W250" s="23" t="n">
        <f aca="false">IFERROR(Tabelle1!G251*'Weights &amp; Assumptions'!$F$8+Tabelle1!H251*'Weights &amp; Assumptions'!$F$9+Tabelle1!J251*'Weights &amp; Assumptions'!$F$11,"")</f>
        <v>110.969528302635</v>
      </c>
      <c r="X250" s="23" t="n">
        <f aca="false">IFERROR(Tabelle1!I251*'Weights &amp; Assumptions'!$F$10+Tabelle1!K251*'Weights &amp; Assumptions'!$F$12+Tabelle1!L251*'Weights &amp; Assumptions'!$F$13+Tabelle1!M251*'Weights &amp; Assumptions'!$F$14+Tabelle1!N251*'Weights &amp; Assumptions'!$F$15+Tabelle1!O251*'Weights &amp; Assumptions'!$F$16+Tabelle1!P251*'Weights &amp; Assumptions'!$F$17+Tabelle1!Q251*'Weights &amp; Assumptions'!$F$18+Tabelle1!R251*'Weights &amp; Assumptions'!$F$19+Tabelle1!S251*'Weights &amp; Assumptions'!$F$20,"")</f>
        <v>155.303398046781</v>
      </c>
      <c r="Y250" s="22" t="n">
        <f aca="false">IFERROR(V250*'Weights &amp; Assumptions'!$B$25/'Weights &amp; Assumptions'!$B$28+W250*'Weights &amp; Assumptions'!$B$26/'Weights &amp; Assumptions'!$B$28+X250*'Weights &amp; Assumptions'!$B$27/'Weights &amp; Assumptions'!$B$28,"")</f>
        <v>147.240477086356</v>
      </c>
    </row>
    <row r="251" customFormat="false" ht="15" hidden="false" customHeight="false" outlineLevel="0" collapsed="false">
      <c r="A251" s="20" t="n">
        <v>45443</v>
      </c>
      <c r="B251" s="21" t="n">
        <v>142.8362</v>
      </c>
      <c r="C251" s="22" t="n">
        <v>121.947307308647</v>
      </c>
      <c r="D251" s="22" t="n">
        <v>150.729433723449</v>
      </c>
      <c r="E251" s="22" t="n">
        <v>113.006783857696</v>
      </c>
      <c r="F251" s="22" t="n">
        <v>113.997399756796</v>
      </c>
      <c r="G251" s="22" t="n">
        <v>156.780068832252</v>
      </c>
      <c r="H251" s="22" t="n">
        <v>122.747152832726</v>
      </c>
      <c r="I251" s="22" t="n">
        <v>143.239841474421</v>
      </c>
      <c r="J251" s="22" t="n">
        <v>150.243460277935</v>
      </c>
      <c r="K251" s="22" t="n">
        <v>183.870921666278</v>
      </c>
      <c r="L251" s="22" t="n">
        <v>151.667085841734</v>
      </c>
      <c r="M251" s="22" t="n">
        <v>153.035604421776</v>
      </c>
      <c r="N251" s="22" t="n">
        <v>163.606701703015</v>
      </c>
      <c r="O251" s="22" t="n">
        <v>171.401721615447</v>
      </c>
      <c r="P251" s="22" t="n">
        <v>185.689534333708</v>
      </c>
      <c r="Q251" s="22" t="n">
        <v>126.385537485794</v>
      </c>
      <c r="R251" s="22" t="n">
        <f aca="false">C251*'Weights &amp; Assumptions'!$F$6+D251*'Weights &amp; Assumptions'!$F$7</f>
        <v>122.299961340833</v>
      </c>
      <c r="S251" s="22" t="n">
        <f aca="false">E251*'Weights &amp; Assumptions'!$F$8+F251*'Weights &amp; Assumptions'!$F$9+H251*'Weights &amp; Assumptions'!$F$11</f>
        <v>115.701902710153</v>
      </c>
      <c r="T251" s="22" t="n">
        <f aca="false">G251*'Weights &amp; Assumptions'!$F$10+I251*'Weights &amp; Assumptions'!$F$12+J251*'Weights &amp; Assumptions'!$F$13+K251*'Weights &amp; Assumptions'!$F$14+L251*'Weights &amp; Assumptions'!$F$15+M251*'Weights &amp; Assumptions'!$F$16+N251*'Weights &amp; Assumptions'!$F$17+O251*'Weights &amp; Assumptions'!$F$18+P251*'Weights &amp; Assumptions'!$F$19+Q251*'Weights &amp; Assumptions'!$F$20</f>
        <v>158.67527703982</v>
      </c>
      <c r="U251" s="22" t="n">
        <f aca="false">R251*'Weights &amp; Assumptions'!$B$25/'Weights &amp; Assumptions'!$B$28+S251*'Weights &amp; Assumptions'!$B$26/'Weights &amp; Assumptions'!$B$28+T251*'Weights &amp; Assumptions'!$B$27/'Weights &amp; Assumptions'!$B$28</f>
        <v>144.195986880944</v>
      </c>
      <c r="V251" s="23" t="n">
        <f aca="false">IFERROR(Tabelle1!E252*'Weights &amp; Assumptions'!$F$6+Tabelle1!F252*'Weights &amp; Assumptions'!$F$7,"")</f>
        <v>269.762240275205</v>
      </c>
      <c r="W251" s="23" t="n">
        <f aca="false">IFERROR(Tabelle1!G252*'Weights &amp; Assumptions'!$F$8+Tabelle1!H252*'Weights &amp; Assumptions'!$F$9+Tabelle1!J252*'Weights &amp; Assumptions'!$F$11,"")</f>
        <v>115.379751716582</v>
      </c>
      <c r="X251" s="23" t="n">
        <f aca="false">IFERROR(Tabelle1!I252*'Weights &amp; Assumptions'!$F$10+Tabelle1!K252*'Weights &amp; Assumptions'!$F$12+Tabelle1!L252*'Weights &amp; Assumptions'!$F$13+Tabelle1!M252*'Weights &amp; Assumptions'!$F$14+Tabelle1!N252*'Weights &amp; Assumptions'!$F$15+Tabelle1!O252*'Weights &amp; Assumptions'!$F$16+Tabelle1!P252*'Weights &amp; Assumptions'!$F$17+Tabelle1!Q252*'Weights &amp; Assumptions'!$F$18+Tabelle1!R252*'Weights &amp; Assumptions'!$F$19+Tabelle1!S252*'Weights &amp; Assumptions'!$F$20,"")</f>
        <v>160.076523741208</v>
      </c>
      <c r="Y251" s="22" t="n">
        <f aca="false">IFERROR(V251*'Weights &amp; Assumptions'!$B$25/'Weights &amp; Assumptions'!$B$28+W251*'Weights &amp; Assumptions'!$B$26/'Weights &amp; Assumptions'!$B$28+X251*'Weights &amp; Assumptions'!$B$27/'Weights &amp; Assumptions'!$B$28,"")</f>
        <v>157.393594186742</v>
      </c>
    </row>
    <row r="252" customFormat="false" ht="15" hidden="false" customHeight="false" outlineLevel="0" collapsed="false">
      <c r="A252" s="20" t="n">
        <v>45473</v>
      </c>
      <c r="B252" s="21" t="n">
        <v>143.71875</v>
      </c>
      <c r="C252" s="22" t="n">
        <v>119.179270215305</v>
      </c>
      <c r="D252" s="22" t="n">
        <v>247.223584517356</v>
      </c>
      <c r="E252" s="22" t="n">
        <v>110.967951360416</v>
      </c>
      <c r="F252" s="22" t="n">
        <v>109.579198649347</v>
      </c>
      <c r="G252" s="22" t="n">
        <v>141.613534678824</v>
      </c>
      <c r="H252" s="22" t="n">
        <v>120.083775516772</v>
      </c>
      <c r="I252" s="22" t="n">
        <v>138.753999814122</v>
      </c>
      <c r="J252" s="22" t="n">
        <v>164.092397659</v>
      </c>
      <c r="K252" s="22" t="n">
        <v>182.282760690903</v>
      </c>
      <c r="L252" s="22" t="n">
        <v>149.789662681686</v>
      </c>
      <c r="M252" s="22" t="n">
        <v>151.93679905026</v>
      </c>
      <c r="N252" s="22" t="n">
        <v>163.152503442477</v>
      </c>
      <c r="O252" s="22" t="n">
        <v>171.377915185714</v>
      </c>
      <c r="P252" s="22" t="n">
        <v>185.54085718309</v>
      </c>
      <c r="Q252" s="22" t="n">
        <v>127.249689926501</v>
      </c>
      <c r="R252" s="22" t="n">
        <f aca="false">C252*'Weights &amp; Assumptions'!$F$6+D252*'Weights &amp; Assumptions'!$F$7</f>
        <v>120.748137750883</v>
      </c>
      <c r="S252" s="22" t="n">
        <f aca="false">E252*'Weights &amp; Assumptions'!$F$8+F252*'Weights &amp; Assumptions'!$F$9+H252*'Weights &amp; Assumptions'!$F$11</f>
        <v>111.933364005965</v>
      </c>
      <c r="T252" s="22" t="n">
        <f aca="false">G252*'Weights &amp; Assumptions'!$F$10+I252*'Weights &amp; Assumptions'!$F$12+J252*'Weights &amp; Assumptions'!$F$13+K252*'Weights &amp; Assumptions'!$F$14+L252*'Weights &amp; Assumptions'!$F$15+M252*'Weights &amp; Assumptions'!$F$16+N252*'Weights &amp; Assumptions'!$F$17+O252*'Weights &amp; Assumptions'!$F$18+P252*'Weights &amp; Assumptions'!$F$19+Q252*'Weights &amp; Assumptions'!$F$20</f>
        <v>157.373690769582</v>
      </c>
      <c r="U252" s="22" t="n">
        <f aca="false">R252*'Weights &amp; Assumptions'!$B$25/'Weights &amp; Assumptions'!$B$28+S252*'Weights &amp; Assumptions'!$B$26/'Weights &amp; Assumptions'!$B$28+T252*'Weights &amp; Assumptions'!$B$27/'Weights &amp; Assumptions'!$B$28</f>
        <v>142.217399746015</v>
      </c>
      <c r="V252" s="23" t="n">
        <f aca="false">IFERROR(Tabelle1!E253*'Weights &amp; Assumptions'!$F$6+Tabelle1!F253*'Weights &amp; Assumptions'!$F$7,"")</f>
        <v>189.491251315956</v>
      </c>
      <c r="W252" s="23" t="n">
        <f aca="false">IFERROR(Tabelle1!G253*'Weights &amp; Assumptions'!$F$8+Tabelle1!H253*'Weights &amp; Assumptions'!$F$9+Tabelle1!J253*'Weights &amp; Assumptions'!$F$11,"")</f>
        <v>109.425560748125</v>
      </c>
      <c r="X252" s="23" t="n">
        <f aca="false">IFERROR(Tabelle1!I253*'Weights &amp; Assumptions'!$F$10+Tabelle1!K253*'Weights &amp; Assumptions'!$F$12+Tabelle1!L253*'Weights &amp; Assumptions'!$F$13+Tabelle1!M253*'Weights &amp; Assumptions'!$F$14+Tabelle1!N253*'Weights &amp; Assumptions'!$F$15+Tabelle1!O253*'Weights &amp; Assumptions'!$F$16+Tabelle1!P253*'Weights &amp; Assumptions'!$F$17+Tabelle1!Q253*'Weights &amp; Assumptions'!$F$18+Tabelle1!R253*'Weights &amp; Assumptions'!$F$19+Tabelle1!S253*'Weights &amp; Assumptions'!$F$20,"")</f>
        <v>159.345419504878</v>
      </c>
      <c r="Y252" s="22" t="n">
        <f aca="false">IFERROR(V252*'Weights &amp; Assumptions'!$B$25/'Weights &amp; Assumptions'!$B$28+W252*'Weights &amp; Assumptions'!$B$26/'Weights &amp; Assumptions'!$B$28+X252*'Weights &amp; Assumptions'!$B$27/'Weights &amp; Assumptions'!$B$28,"")</f>
        <v>148.600117429385</v>
      </c>
    </row>
    <row r="253" customFormat="false" ht="15" hidden="false" customHeight="false" outlineLevel="0" collapsed="false">
      <c r="A253" s="20" t="n">
        <v>45504</v>
      </c>
      <c r="B253" s="21" t="n">
        <v>147.28294</v>
      </c>
      <c r="C253" s="22" t="n">
        <v>115.056172520292</v>
      </c>
      <c r="D253" s="22" t="n">
        <v>217.783667352997</v>
      </c>
      <c r="E253" s="22" t="n">
        <v>111.651090857663</v>
      </c>
      <c r="F253" s="22" t="n">
        <v>119.471702852494</v>
      </c>
      <c r="G253" s="22" t="n">
        <v>152.171105486747</v>
      </c>
      <c r="H253" s="22" t="n">
        <v>128.384746622514</v>
      </c>
      <c r="I253" s="22" t="n">
        <v>150.38267594169</v>
      </c>
      <c r="J253" s="22" t="n">
        <v>164.348392390828</v>
      </c>
      <c r="K253" s="22" t="n">
        <v>183.705375647476</v>
      </c>
      <c r="L253" s="22" t="n">
        <v>158.13230688995</v>
      </c>
      <c r="M253" s="22" t="n">
        <v>153.234596564882</v>
      </c>
      <c r="N253" s="22" t="n">
        <v>163.169487820274</v>
      </c>
      <c r="O253" s="22" t="n">
        <v>171.449802828942</v>
      </c>
      <c r="P253" s="22" t="n">
        <v>185.663824252898</v>
      </c>
      <c r="Q253" s="22" t="n">
        <v>127.150881302131</v>
      </c>
      <c r="R253" s="22" t="n">
        <f aca="false">C253*'Weights &amp; Assumptions'!$F$6+D253*'Weights &amp; Assumptions'!$F$7</f>
        <v>116.314844820837</v>
      </c>
      <c r="S253" s="22" t="n">
        <f aca="false">E253*'Weights &amp; Assumptions'!$F$8+F253*'Weights &amp; Assumptions'!$F$9+H253*'Weights &amp; Assumptions'!$F$11</f>
        <v>120.394737227346</v>
      </c>
      <c r="T253" s="22" t="n">
        <f aca="false">G253*'Weights &amp; Assumptions'!$F$10+I253*'Weights &amp; Assumptions'!$F$12+J253*'Weights &amp; Assumptions'!$F$13+K253*'Weights &amp; Assumptions'!$F$14+L253*'Weights &amp; Assumptions'!$F$15+M253*'Weights &amp; Assumptions'!$F$16+N253*'Weights &amp; Assumptions'!$F$17+O253*'Weights &amp; Assumptions'!$F$18+P253*'Weights &amp; Assumptions'!$F$19+Q253*'Weights &amp; Assumptions'!$F$20</f>
        <v>161.168885099421</v>
      </c>
      <c r="U253" s="22" t="n">
        <f aca="false">R253*'Weights &amp; Assumptions'!$B$25/'Weights &amp; Assumptions'!$B$28+S253*'Weights &amp; Assumptions'!$B$26/'Weights &amp; Assumptions'!$B$28+T253*'Weights &amp; Assumptions'!$B$27/'Weights &amp; Assumptions'!$B$28</f>
        <v>146.56303562386</v>
      </c>
      <c r="V253" s="23" t="n">
        <f aca="false">IFERROR(Tabelle1!E254*'Weights &amp; Assumptions'!$F$6+Tabelle1!F254*'Weights &amp; Assumptions'!$F$7,"")</f>
        <v>119.253061420007</v>
      </c>
      <c r="W253" s="23" t="n">
        <f aca="false">IFERROR(Tabelle1!G254*'Weights &amp; Assumptions'!$F$8+Tabelle1!H254*'Weights &amp; Assumptions'!$F$9+Tabelle1!J254*'Weights &amp; Assumptions'!$F$11,"")</f>
        <v>125.591850996924</v>
      </c>
      <c r="X253" s="23" t="n">
        <f aca="false">IFERROR(Tabelle1!I254*'Weights &amp; Assumptions'!$F$10+Tabelle1!K254*'Weights &amp; Assumptions'!$F$12+Tabelle1!L254*'Weights &amp; Assumptions'!$F$13+Tabelle1!M254*'Weights &amp; Assumptions'!$F$14+Tabelle1!N254*'Weights &amp; Assumptions'!$F$15+Tabelle1!O254*'Weights &amp; Assumptions'!$F$16+Tabelle1!P254*'Weights &amp; Assumptions'!$F$17+Tabelle1!Q254*'Weights &amp; Assumptions'!$F$18+Tabelle1!R254*'Weights &amp; Assumptions'!$F$19+Tabelle1!S254*'Weights &amp; Assumptions'!$F$20,"")</f>
        <v>162.670843343105</v>
      </c>
      <c r="Y253" s="22" t="n">
        <f aca="false">IFERROR(V253*'Weights &amp; Assumptions'!$B$25/'Weights &amp; Assumptions'!$B$28+W253*'Weights &amp; Assumptions'!$B$26/'Weights &amp; Assumptions'!$B$28+X253*'Weights &amp; Assumptions'!$B$27/'Weights &amp; Assumptions'!$B$28,"")</f>
        <v>149.168103540743</v>
      </c>
    </row>
    <row r="254" customFormat="false" ht="15" hidden="false" customHeight="false" outlineLevel="0" collapsed="false">
      <c r="A254" s="20" t="n">
        <v>45535</v>
      </c>
      <c r="B254" s="21" t="n">
        <v>147.7746</v>
      </c>
      <c r="C254" s="22" t="n">
        <v>112.844043068328</v>
      </c>
      <c r="D254" s="22" t="n">
        <v>166.344021682356</v>
      </c>
      <c r="E254" s="22" t="n">
        <v>113.995868225281</v>
      </c>
      <c r="F254" s="22" t="n">
        <v>120.522188268679</v>
      </c>
      <c r="G254" s="22" t="n">
        <v>151.002077391763</v>
      </c>
      <c r="H254" s="22" t="n">
        <v>127.475714792201</v>
      </c>
      <c r="I254" s="22" t="n">
        <v>152.031144393088</v>
      </c>
      <c r="J254" s="22" t="n">
        <v>164.933480975477</v>
      </c>
      <c r="K254" s="22" t="n">
        <v>181.296530521366</v>
      </c>
      <c r="L254" s="22" t="n">
        <v>157.171344579938</v>
      </c>
      <c r="M254" s="22" t="n">
        <v>153.825609526978</v>
      </c>
      <c r="N254" s="22" t="n">
        <v>162.933155086194</v>
      </c>
      <c r="O254" s="22" t="n">
        <v>171.532883879738</v>
      </c>
      <c r="P254" s="22" t="n">
        <v>185.254083226559</v>
      </c>
      <c r="Q254" s="22" t="n">
        <v>126.917842057834</v>
      </c>
      <c r="R254" s="22" t="n">
        <f aca="false">C254*'Weights &amp; Assumptions'!$F$6+D254*'Weights &amp; Assumptions'!$F$7</f>
        <v>113.49955346767</v>
      </c>
      <c r="S254" s="22" t="n">
        <f aca="false">E254*'Weights &amp; Assumptions'!$F$8+F254*'Weights &amp; Assumptions'!$F$9+H254*'Weights &amp; Assumptions'!$F$11</f>
        <v>121.191544413978</v>
      </c>
      <c r="T254" s="22" t="n">
        <f aca="false">G254*'Weights &amp; Assumptions'!$F$10+I254*'Weights &amp; Assumptions'!$F$12+J254*'Weights &amp; Assumptions'!$F$13+K254*'Weights &amp; Assumptions'!$F$14+L254*'Weights &amp; Assumptions'!$F$15+M254*'Weights &amp; Assumptions'!$F$16+N254*'Weights &amp; Assumptions'!$F$17+O254*'Weights &amp; Assumptions'!$F$18+P254*'Weights &amp; Assumptions'!$F$19+Q254*'Weights &amp; Assumptions'!$F$20</f>
        <v>161.136441483372</v>
      </c>
      <c r="U254" s="22" t="n">
        <f aca="false">R254*'Weights &amp; Assumptions'!$B$25/'Weights &amp; Assumptions'!$B$28+S254*'Weights &amp; Assumptions'!$B$26/'Weights &amp; Assumptions'!$B$28+T254*'Weights &amp; Assumptions'!$B$27/'Weights &amp; Assumptions'!$B$28</f>
        <v>146.517621040708</v>
      </c>
      <c r="V254" s="23" t="n">
        <f aca="false">IFERROR(Tabelle1!E255*'Weights &amp; Assumptions'!$F$6+Tabelle1!F255*'Weights &amp; Assumptions'!$F$7,"")</f>
        <v>81.3208183588992</v>
      </c>
      <c r="W254" s="23" t="n">
        <f aca="false">IFERROR(Tabelle1!G255*'Weights &amp; Assumptions'!$F$8+Tabelle1!H255*'Weights &amp; Assumptions'!$F$9+Tabelle1!J255*'Weights &amp; Assumptions'!$F$11,"")</f>
        <v>129.128339766507</v>
      </c>
      <c r="X254" s="23" t="n">
        <f aca="false">IFERROR(Tabelle1!I255*'Weights &amp; Assumptions'!$F$10+Tabelle1!K255*'Weights &amp; Assumptions'!$F$12+Tabelle1!L255*'Weights &amp; Assumptions'!$F$13+Tabelle1!M255*'Weights &amp; Assumptions'!$F$14+Tabelle1!N255*'Weights &amp; Assumptions'!$F$15+Tabelle1!O255*'Weights &amp; Assumptions'!$F$16+Tabelle1!P255*'Weights &amp; Assumptions'!$F$17+Tabelle1!Q255*'Weights &amp; Assumptions'!$F$18+Tabelle1!R255*'Weights &amp; Assumptions'!$F$19+Tabelle1!S255*'Weights &amp; Assumptions'!$F$20,"")</f>
        <v>162.857382553266</v>
      </c>
      <c r="Y254" s="22" t="n">
        <f aca="false">IFERROR(V254*'Weights &amp; Assumptions'!$B$25/'Weights &amp; Assumptions'!$B$28+W254*'Weights &amp; Assumptions'!$B$26/'Weights &amp; Assumptions'!$B$28+X254*'Weights &amp; Assumptions'!$B$27/'Weights &amp; Assumptions'!$B$28,"")</f>
        <v>147.047255301279</v>
      </c>
    </row>
    <row r="255" customFormat="false" ht="15" hidden="false" customHeight="false" outlineLevel="0" collapsed="false">
      <c r="A255" s="20" t="n">
        <v>45565</v>
      </c>
      <c r="B255" s="21" t="n">
        <v>147.82665</v>
      </c>
      <c r="C255" s="22" t="n">
        <v>110.707742956057</v>
      </c>
      <c r="D255" s="22" t="n">
        <v>132.485481073663</v>
      </c>
      <c r="E255" s="22" t="n">
        <v>116.139793309685</v>
      </c>
      <c r="F255" s="22" t="n">
        <v>118.719329206199</v>
      </c>
      <c r="G255" s="22" t="n">
        <v>147.125473818974</v>
      </c>
      <c r="H255" s="22" t="n">
        <v>126.37225166418</v>
      </c>
      <c r="I255" s="22" t="n">
        <v>150.21461442868</v>
      </c>
      <c r="J255" s="22" t="n">
        <v>164.370385747996</v>
      </c>
      <c r="K255" s="22" t="n">
        <v>182.41155067948</v>
      </c>
      <c r="L255" s="22" t="n">
        <v>157.716535064546</v>
      </c>
      <c r="M255" s="22" t="n">
        <v>152.99190743041</v>
      </c>
      <c r="N255" s="22" t="n">
        <v>162.706665557842</v>
      </c>
      <c r="O255" s="22" t="n">
        <v>171.329796374948</v>
      </c>
      <c r="P255" s="22" t="n">
        <v>185.010144214511</v>
      </c>
      <c r="Q255" s="22" t="n">
        <v>125.453287530162</v>
      </c>
      <c r="R255" s="22" t="n">
        <f aca="false">C255*'Weights &amp; Assumptions'!$F$6+D255*'Weights &amp; Assumptions'!$F$7</f>
        <v>110.974575470388</v>
      </c>
      <c r="S255" s="22" t="n">
        <f aca="false">E255*'Weights &amp; Assumptions'!$F$8+F255*'Weights &amp; Assumptions'!$F$9+H255*'Weights &amp; Assumptions'!$F$11</f>
        <v>120.005623028695</v>
      </c>
      <c r="T255" s="22" t="n">
        <f aca="false">G255*'Weights &amp; Assumptions'!$F$10+I255*'Weights &amp; Assumptions'!$F$12+J255*'Weights &amp; Assumptions'!$F$13+K255*'Weights &amp; Assumptions'!$F$14+L255*'Weights &amp; Assumptions'!$F$15+M255*'Weights &amp; Assumptions'!$F$16+N255*'Weights &amp; Assumptions'!$F$17+O255*'Weights &amp; Assumptions'!$F$18+P255*'Weights &amp; Assumptions'!$F$19+Q255*'Weights &amp; Assumptions'!$F$20</f>
        <v>160.530078440946</v>
      </c>
      <c r="U255" s="22" t="n">
        <f aca="false">R255*'Weights &amp; Assumptions'!$B$25/'Weights &amp; Assumptions'!$B$28+S255*'Weights &amp; Assumptions'!$B$26/'Weights &amp; Assumptions'!$B$28+T255*'Weights &amp; Assumptions'!$B$27/'Weights &amp; Assumptions'!$B$28</f>
        <v>145.596169919716</v>
      </c>
      <c r="V255" s="23" t="n">
        <f aca="false">IFERROR(Tabelle1!E256*'Weights &amp; Assumptions'!$F$6+Tabelle1!F256*'Weights &amp; Assumptions'!$F$7,"")</f>
        <v>75.8078484029988</v>
      </c>
      <c r="W255" s="23" t="n">
        <f aca="false">IFERROR(Tabelle1!G256*'Weights &amp; Assumptions'!$F$8+Tabelle1!H256*'Weights &amp; Assumptions'!$F$9+Tabelle1!J256*'Weights &amp; Assumptions'!$F$11,"")</f>
        <v>125.96642874984</v>
      </c>
      <c r="X255" s="23" t="n">
        <f aca="false">IFERROR(Tabelle1!I256*'Weights &amp; Assumptions'!$F$10+Tabelle1!K256*'Weights &amp; Assumptions'!$F$12+Tabelle1!L256*'Weights &amp; Assumptions'!$F$13+Tabelle1!M256*'Weights &amp; Assumptions'!$F$14+Tabelle1!N256*'Weights &amp; Assumptions'!$F$15+Tabelle1!O256*'Weights &amp; Assumptions'!$F$16+Tabelle1!P256*'Weights &amp; Assumptions'!$F$17+Tabelle1!Q256*'Weights &amp; Assumptions'!$F$18+Tabelle1!R256*'Weights &amp; Assumptions'!$F$19+Tabelle1!S256*'Weights &amp; Assumptions'!$F$20,"")</f>
        <v>160.269322952676</v>
      </c>
      <c r="Y255" s="22" t="n">
        <f aca="false">IFERROR(V255*'Weights &amp; Assumptions'!$B$25/'Weights &amp; Assumptions'!$B$28+W255*'Weights &amp; Assumptions'!$B$26/'Weights &amp; Assumptions'!$B$28+X255*'Weights &amp; Assumptions'!$B$27/'Weights &amp; Assumptions'!$B$28,"")</f>
        <v>144.061196172108</v>
      </c>
    </row>
    <row r="256" customFormat="false" ht="15" hidden="false" customHeight="false" outlineLevel="0" collapsed="false">
      <c r="A256" s="20" t="n">
        <v>45596</v>
      </c>
      <c r="B256" s="21" t="n">
        <v>149.04702</v>
      </c>
      <c r="C256" s="22" t="n">
        <v>110.321451060912</v>
      </c>
      <c r="D256" s="22" t="n">
        <v>123.981143526569</v>
      </c>
      <c r="E256" s="22" t="n">
        <v>116.855418967165</v>
      </c>
      <c r="F256" s="22" t="n">
        <v>121.586159271892</v>
      </c>
      <c r="G256" s="22" t="n">
        <v>147.425541038472</v>
      </c>
      <c r="H256" s="22" t="n">
        <v>126.406292293243</v>
      </c>
      <c r="I256" s="22" t="n">
        <v>153.87677313329</v>
      </c>
      <c r="J256" s="22" t="n">
        <v>172.74937862812</v>
      </c>
      <c r="K256" s="22" t="n">
        <v>183.583122353048</v>
      </c>
      <c r="L256" s="22" t="n">
        <v>163.191913287163</v>
      </c>
      <c r="M256" s="22" t="n">
        <v>154.543228341062</v>
      </c>
      <c r="N256" s="22" t="n">
        <v>162.597670063928</v>
      </c>
      <c r="O256" s="22" t="n">
        <v>171.983587093115</v>
      </c>
      <c r="P256" s="22" t="n">
        <v>185.048385532587</v>
      </c>
      <c r="Q256" s="22" t="n">
        <v>126.155548876193</v>
      </c>
      <c r="R256" s="22" t="n">
        <f aca="false">C256*'Weights &amp; Assumptions'!$F$6+D256*'Weights &amp; Assumptions'!$F$7</f>
        <v>110.488816930863</v>
      </c>
      <c r="S256" s="22" t="n">
        <f aca="false">E256*'Weights &amp; Assumptions'!$F$8+F256*'Weights &amp; Assumptions'!$F$9+H256*'Weights &amp; Assumptions'!$F$11</f>
        <v>122.025467270255</v>
      </c>
      <c r="T256" s="22" t="n">
        <f aca="false">G256*'Weights &amp; Assumptions'!$F$10+I256*'Weights &amp; Assumptions'!$F$12+J256*'Weights &amp; Assumptions'!$F$13+K256*'Weights &amp; Assumptions'!$F$14+L256*'Weights &amp; Assumptions'!$F$15+M256*'Weights &amp; Assumptions'!$F$16+N256*'Weights &amp; Assumptions'!$F$17+O256*'Weights &amp; Assumptions'!$F$18+P256*'Weights &amp; Assumptions'!$F$19+Q256*'Weights &amp; Assumptions'!$F$20</f>
        <v>162.659195633162</v>
      </c>
      <c r="U256" s="22" t="n">
        <f aca="false">R256*'Weights &amp; Assumptions'!$B$25/'Weights &amp; Assumptions'!$B$28+S256*'Weights &amp; Assumptions'!$B$26/'Weights &amp; Assumptions'!$B$28+T256*'Weights &amp; Assumptions'!$B$27/'Weights &amp; Assumptions'!$B$28</f>
        <v>147.476839275566</v>
      </c>
      <c r="V256" s="23" t="n">
        <f aca="false">IFERROR(Tabelle1!E257*'Weights &amp; Assumptions'!$F$6+Tabelle1!F257*'Weights &amp; Assumptions'!$F$7,"")</f>
        <v>67.8970126426383</v>
      </c>
      <c r="W256" s="23" t="n">
        <f aca="false">IFERROR(Tabelle1!G257*'Weights &amp; Assumptions'!$F$8+Tabelle1!H257*'Weights &amp; Assumptions'!$F$9+Tabelle1!J257*'Weights &amp; Assumptions'!$F$11,"")</f>
        <v>131.153546857264</v>
      </c>
      <c r="X256" s="23" t="n">
        <f aca="false">IFERROR(Tabelle1!I257*'Weights &amp; Assumptions'!$F$10+Tabelle1!K257*'Weights &amp; Assumptions'!$F$12+Tabelle1!L257*'Weights &amp; Assumptions'!$F$13+Tabelle1!M257*'Weights &amp; Assumptions'!$F$14+Tabelle1!N257*'Weights &amp; Assumptions'!$F$15+Tabelle1!O257*'Weights &amp; Assumptions'!$F$16+Tabelle1!P257*'Weights &amp; Assumptions'!$F$17+Tabelle1!Q257*'Weights &amp; Assumptions'!$F$18+Tabelle1!R257*'Weights &amp; Assumptions'!$F$19+Tabelle1!S257*'Weights &amp; Assumptions'!$F$20,"")</f>
        <v>164.617595317103</v>
      </c>
      <c r="Y256" s="22" t="n">
        <f aca="false">IFERROR(V256*'Weights &amp; Assumptions'!$B$25/'Weights &amp; Assumptions'!$B$28+W256*'Weights &amp; Assumptions'!$B$26/'Weights &amp; Assumptions'!$B$28+X256*'Weights &amp; Assumptions'!$B$27/'Weights &amp; Assumptions'!$B$28,"")</f>
        <v>147.603982899014</v>
      </c>
    </row>
    <row r="257" customFormat="false" ht="15" hidden="false" customHeight="false" outlineLevel="0" collapsed="false">
      <c r="A257" s="20" t="n">
        <v>45626</v>
      </c>
      <c r="B257" s="21" t="n">
        <v>150.80206</v>
      </c>
      <c r="C257" s="22" t="n">
        <v>109.734495792352</v>
      </c>
      <c r="D257" s="22" t="n">
        <v>227.53361490355</v>
      </c>
      <c r="E257" s="22" t="n">
        <v>118.164266951032</v>
      </c>
      <c r="F257" s="22" t="n">
        <v>123.094138428613</v>
      </c>
      <c r="G257" s="22" t="n">
        <v>145.576257753649</v>
      </c>
      <c r="H257" s="22" t="n">
        <v>129.126709815935</v>
      </c>
      <c r="I257" s="22" t="n">
        <v>156.93708592641</v>
      </c>
      <c r="J257" s="22" t="n">
        <v>174.057672767998</v>
      </c>
      <c r="K257" s="22" t="n">
        <v>184.18199025667</v>
      </c>
      <c r="L257" s="22" t="n">
        <v>170.074404683481</v>
      </c>
      <c r="M257" s="22" t="n">
        <v>156.48386098778</v>
      </c>
      <c r="N257" s="22" t="n">
        <v>162.408133546967</v>
      </c>
      <c r="O257" s="22" t="n">
        <v>172.039062281502</v>
      </c>
      <c r="P257" s="22" t="n">
        <v>185.033785590992</v>
      </c>
      <c r="Q257" s="22" t="n">
        <v>125.981713930238</v>
      </c>
      <c r="R257" s="22" t="n">
        <f aca="false">C257*'Weights &amp; Assumptions'!$F$6+D257*'Weights &amp; Assumptions'!$F$7</f>
        <v>111.177833707827</v>
      </c>
      <c r="S257" s="22" t="n">
        <f aca="false">E257*'Weights &amp; Assumptions'!$F$8+F257*'Weights &amp; Assumptions'!$F$9+H257*'Weights &amp; Assumptions'!$F$11</f>
        <v>123.762250168812</v>
      </c>
      <c r="T257" s="22" t="n">
        <f aca="false">G257*'Weights &amp; Assumptions'!$F$10+I257*'Weights &amp; Assumptions'!$F$12+J257*'Weights &amp; Assumptions'!$F$13+K257*'Weights &amp; Assumptions'!$F$14+L257*'Weights &amp; Assumptions'!$F$15+M257*'Weights &amp; Assumptions'!$F$16+N257*'Weights &amp; Assumptions'!$F$17+O257*'Weights &amp; Assumptions'!$F$18+P257*'Weights &amp; Assumptions'!$F$19+Q257*'Weights &amp; Assumptions'!$F$20</f>
        <v>164.273865967506</v>
      </c>
      <c r="U257" s="22" t="n">
        <f aca="false">R257*'Weights &amp; Assumptions'!$B$25/'Weights &amp; Assumptions'!$B$28+S257*'Weights &amp; Assumptions'!$B$26/'Weights &amp; Assumptions'!$B$28+T257*'Weights &amp; Assumptions'!$B$27/'Weights &amp; Assumptions'!$B$28</f>
        <v>149.046318370025</v>
      </c>
      <c r="V257" s="23" t="n">
        <f aca="false">IFERROR(Tabelle1!E258*'Weights &amp; Assumptions'!$F$6+Tabelle1!F258*'Weights &amp; Assumptions'!$F$7,"")</f>
        <v>81.8367346829001</v>
      </c>
      <c r="W257" s="23" t="n">
        <f aca="false">IFERROR(Tabelle1!G258*'Weights &amp; Assumptions'!$F$8+Tabelle1!H258*'Weights &amp; Assumptions'!$F$9+Tabelle1!J258*'Weights &amp; Assumptions'!$F$11,"")</f>
        <v>128.196607556126</v>
      </c>
      <c r="X257" s="23" t="n">
        <f aca="false">IFERROR(Tabelle1!I258*'Weights &amp; Assumptions'!$F$10+Tabelle1!K258*'Weights &amp; Assumptions'!$F$12+Tabelle1!L258*'Weights &amp; Assumptions'!$F$13+Tabelle1!M258*'Weights &amp; Assumptions'!$F$14+Tabelle1!N258*'Weights &amp; Assumptions'!$F$15+Tabelle1!O258*'Weights &amp; Assumptions'!$F$16+Tabelle1!P258*'Weights &amp; Assumptions'!$F$17+Tabelle1!Q258*'Weights &amp; Assumptions'!$F$18+Tabelle1!R258*'Weights &amp; Assumptions'!$F$19+Tabelle1!S258*'Weights &amp; Assumptions'!$F$20,"")</f>
        <v>164.552816387694</v>
      </c>
      <c r="Y257" s="22" t="n">
        <f aca="false">IFERROR(V257*'Weights &amp; Assumptions'!$B$25/'Weights &amp; Assumptions'!$B$28+W257*'Weights &amp; Assumptions'!$B$26/'Weights &amp; Assumptions'!$B$28+X257*'Weights &amp; Assumptions'!$B$27/'Weights &amp; Assumptions'!$B$28,"")</f>
        <v>147.945117291905</v>
      </c>
    </row>
    <row r="258" customFormat="false" ht="15" hidden="false" customHeight="false" outlineLevel="0" collapsed="false">
      <c r="A258" s="20" t="n">
        <v>45657</v>
      </c>
      <c r="B258" s="21" t="n">
        <v>151.48527</v>
      </c>
      <c r="C258" s="22" t="n">
        <v>107.512472348015</v>
      </c>
      <c r="D258" s="22" t="n">
        <v>145.501002815876</v>
      </c>
      <c r="E258" s="22" t="n">
        <v>117.497604536132</v>
      </c>
      <c r="F258" s="22" t="n">
        <v>123.524628434845</v>
      </c>
      <c r="G258" s="22" t="n">
        <v>143.601454489924</v>
      </c>
      <c r="H258" s="22" t="n">
        <v>130.052849834906</v>
      </c>
      <c r="I258" s="22" t="n">
        <v>157.275186333891</v>
      </c>
      <c r="J258" s="22" t="n">
        <v>175.083572692634</v>
      </c>
      <c r="K258" s="22" t="n">
        <v>185.356432639917</v>
      </c>
      <c r="L258" s="22" t="n">
        <v>175.506455835814</v>
      </c>
      <c r="M258" s="22" t="n">
        <v>157.62613676149</v>
      </c>
      <c r="N258" s="22" t="n">
        <v>162.130073688019</v>
      </c>
      <c r="O258" s="22" t="n">
        <v>172.092825348871</v>
      </c>
      <c r="P258" s="22" t="n">
        <v>185.044291854648</v>
      </c>
      <c r="Q258" s="22" t="n">
        <v>126.220889867931</v>
      </c>
      <c r="R258" s="22" t="n">
        <f aca="false">C258*'Weights &amp; Assumptions'!$F$6+D258*'Weights &amp; Assumptions'!$F$7</f>
        <v>107.977928174775</v>
      </c>
      <c r="S258" s="22" t="n">
        <f aca="false">E258*'Weights &amp; Assumptions'!$F$8+F258*'Weights &amp; Assumptions'!$F$9+H258*'Weights &amp; Assumptions'!$F$11</f>
        <v>124.164998293655</v>
      </c>
      <c r="T258" s="22" t="n">
        <f aca="false">G258*'Weights &amp; Assumptions'!$F$10+I258*'Weights &amp; Assumptions'!$F$12+J258*'Weights &amp; Assumptions'!$F$13+K258*'Weights &amp; Assumptions'!$F$14+L258*'Weights &amp; Assumptions'!$F$15+M258*'Weights &amp; Assumptions'!$F$16+N258*'Weights &amp; Assumptions'!$F$17+O258*'Weights &amp; Assumptions'!$F$18+P258*'Weights &amp; Assumptions'!$F$19+Q258*'Weights &amp; Assumptions'!$F$20</f>
        <v>165.144323327622</v>
      </c>
      <c r="U258" s="22" t="n">
        <f aca="false">R258*'Weights &amp; Assumptions'!$B$25/'Weights &amp; Assumptions'!$B$28+S258*'Weights &amp; Assumptions'!$B$26/'Weights &amp; Assumptions'!$B$28+T258*'Weights &amp; Assumptions'!$B$27/'Weights &amp; Assumptions'!$B$28</f>
        <v>149.450896840373</v>
      </c>
      <c r="V258" s="23" t="n">
        <f aca="false">IFERROR(Tabelle1!E259*'Weights &amp; Assumptions'!$F$6+Tabelle1!F259*'Weights &amp; Assumptions'!$F$7,"")</f>
        <v>110.5422365619</v>
      </c>
      <c r="W258" s="23" t="n">
        <f aca="false">IFERROR(Tabelle1!G259*'Weights &amp; Assumptions'!$F$8+Tabelle1!H259*'Weights &amp; Assumptions'!$F$9+Tabelle1!J259*'Weights &amp; Assumptions'!$F$11,"")</f>
        <v>121.905911137606</v>
      </c>
      <c r="X258" s="23" t="n">
        <f aca="false">IFERROR(Tabelle1!I259*'Weights &amp; Assumptions'!$F$10+Tabelle1!K259*'Weights &amp; Assumptions'!$F$12+Tabelle1!L259*'Weights &amp; Assumptions'!$F$13+Tabelle1!M259*'Weights &amp; Assumptions'!$F$14+Tabelle1!N259*'Weights &amp; Assumptions'!$F$15+Tabelle1!O259*'Weights &amp; Assumptions'!$F$16+Tabelle1!P259*'Weights &amp; Assumptions'!$F$17+Tabelle1!Q259*'Weights &amp; Assumptions'!$F$18+Tabelle1!R259*'Weights &amp; Assumptions'!$F$19+Tabelle1!S259*'Weights &amp; Assumptions'!$F$20,"")</f>
        <v>164.218532540654</v>
      </c>
      <c r="Y258" s="22" t="n">
        <f aca="false">IFERROR(V258*'Weights &amp; Assumptions'!$B$25/'Weights &amp; Assumptions'!$B$28+W258*'Weights &amp; Assumptions'!$B$26/'Weights &amp; Assumptions'!$B$28+X258*'Weights &amp; Assumptions'!$B$27/'Weights &amp; Assumptions'!$B$28,"")</f>
        <v>148.463381483787</v>
      </c>
    </row>
    <row r="259" customFormat="false" ht="15" hidden="false" customHeight="false" outlineLevel="0" collapsed="false">
      <c r="A259" s="20" t="n">
        <v>45688</v>
      </c>
      <c r="B259" s="21" t="n">
        <v>151.93093</v>
      </c>
      <c r="C259" s="22" t="n">
        <v>108.746105974556</v>
      </c>
      <c r="D259" s="22" t="n">
        <v>151.412967161628</v>
      </c>
      <c r="E259" s="22" t="n">
        <v>118.516490489789</v>
      </c>
      <c r="F259" s="22" t="n">
        <v>121.940046258599</v>
      </c>
      <c r="G259" s="22" t="n">
        <v>152.425754463959</v>
      </c>
      <c r="H259" s="22" t="n">
        <v>132.506051683749</v>
      </c>
      <c r="I259" s="22" t="n">
        <v>157.431285100811</v>
      </c>
      <c r="J259" s="22" t="n">
        <v>170.017170068167</v>
      </c>
      <c r="K259" s="22" t="n">
        <v>185.074124063014</v>
      </c>
      <c r="L259" s="22" t="n">
        <v>185.370829190844</v>
      </c>
      <c r="M259" s="22" t="n">
        <v>158.107847456242</v>
      </c>
      <c r="N259" s="22" t="n">
        <v>162.422696553118</v>
      </c>
      <c r="O259" s="22" t="n">
        <v>172.390296407325</v>
      </c>
      <c r="P259" s="22" t="n">
        <v>185.40371004753</v>
      </c>
      <c r="Q259" s="22" t="n">
        <v>127.177784224664</v>
      </c>
      <c r="R259" s="22" t="n">
        <f aca="false">C259*'Weights &amp; Assumptions'!$F$6+D259*'Weights &amp; Assumptions'!$F$7</f>
        <v>109.268883215593</v>
      </c>
      <c r="S259" s="22" t="n">
        <f aca="false">E259*'Weights &amp; Assumptions'!$F$8+F259*'Weights &amp; Assumptions'!$F$9+H259*'Weights &amp; Assumptions'!$F$11</f>
        <v>123.732430026818</v>
      </c>
      <c r="T259" s="22" t="n">
        <f aca="false">G259*'Weights &amp; Assumptions'!$F$10+I259*'Weights &amp; Assumptions'!$F$12+J259*'Weights &amp; Assumptions'!$F$13+K259*'Weights &amp; Assumptions'!$F$14+L259*'Weights &amp; Assumptions'!$F$15+M259*'Weights &amp; Assumptions'!$F$16+N259*'Weights &amp; Assumptions'!$F$17+O259*'Weights &amp; Assumptions'!$F$18+P259*'Weights &amp; Assumptions'!$F$19+Q259*'Weights &amp; Assumptions'!$F$20</f>
        <v>166.125929081943</v>
      </c>
      <c r="U259" s="22" t="n">
        <f aca="false">R259*'Weights &amp; Assumptions'!$B$25/'Weights &amp; Assumptions'!$B$28+S259*'Weights &amp; Assumptions'!$B$26/'Weights &amp; Assumptions'!$B$28+T259*'Weights &amp; Assumptions'!$B$27/'Weights &amp; Assumptions'!$B$28</f>
        <v>150.08240368202</v>
      </c>
      <c r="V259" s="23" t="n">
        <f aca="false">IFERROR(Tabelle1!E260*'Weights &amp; Assumptions'!$F$6+Tabelle1!F260*'Weights &amp; Assumptions'!$F$7,"")</f>
        <v>92.6883842080547</v>
      </c>
      <c r="W259" s="23" t="n">
        <f aca="false">IFERROR(Tabelle1!G260*'Weights &amp; Assumptions'!$F$8+Tabelle1!H260*'Weights &amp; Assumptions'!$F$9+Tabelle1!J260*'Weights &amp; Assumptions'!$F$11,"")</f>
        <v>114.369437824593</v>
      </c>
      <c r="X259" s="23" t="n">
        <f aca="false">IFERROR(Tabelle1!I260*'Weights &amp; Assumptions'!$F$10+Tabelle1!K260*'Weights &amp; Assumptions'!$F$12+Tabelle1!L260*'Weights &amp; Assumptions'!$F$13+Tabelle1!M260*'Weights &amp; Assumptions'!$F$14+Tabelle1!N260*'Weights &amp; Assumptions'!$F$15+Tabelle1!O260*'Weights &amp; Assumptions'!$F$16+Tabelle1!P260*'Weights &amp; Assumptions'!$F$17+Tabelle1!Q260*'Weights &amp; Assumptions'!$F$18+Tabelle1!R260*'Weights &amp; Assumptions'!$F$19+Tabelle1!S260*'Weights &amp; Assumptions'!$F$20,"")</f>
        <v>165.15030141311</v>
      </c>
      <c r="Y259" s="22" t="n">
        <f aca="false">IFERROR(V259*'Weights &amp; Assumptions'!$B$25/'Weights &amp; Assumptions'!$B$28+W259*'Weights &amp; Assumptions'!$B$26/'Weights &amp; Assumptions'!$B$28+X259*'Weights &amp; Assumptions'!$B$27/'Weights &amp; Assumptions'!$B$28,"")</f>
        <v>145.567167580225</v>
      </c>
    </row>
    <row r="260" customFormat="false" ht="15" hidden="false" customHeight="false" outlineLevel="0" collapsed="false">
      <c r="A260" s="20" t="n">
        <v>45716</v>
      </c>
      <c r="B260" s="21" t="n">
        <v>153.54265</v>
      </c>
      <c r="C260" s="22" t="n">
        <v>114.852298514644</v>
      </c>
      <c r="D260" s="22" t="n">
        <v>160.430823208814</v>
      </c>
      <c r="E260" s="22" t="n">
        <v>118.808020439323</v>
      </c>
      <c r="F260" s="22" t="n">
        <v>124.180172727424</v>
      </c>
      <c r="G260" s="22" t="n">
        <v>153.61235169459</v>
      </c>
      <c r="H260" s="22" t="n">
        <v>132.629851363991</v>
      </c>
      <c r="I260" s="22" t="n">
        <v>157.801727926987</v>
      </c>
      <c r="J260" s="22" t="n">
        <v>169.550983441932</v>
      </c>
      <c r="K260" s="22" t="n">
        <v>187.176800214858</v>
      </c>
      <c r="L260" s="22" t="n">
        <v>186.9488480139</v>
      </c>
      <c r="M260" s="22" t="n">
        <v>158.956218083414</v>
      </c>
      <c r="N260" s="22" t="n">
        <v>162.247746914821</v>
      </c>
      <c r="O260" s="22" t="n">
        <v>171.848008446283</v>
      </c>
      <c r="P260" s="22" t="n">
        <v>184.874964554366</v>
      </c>
      <c r="Q260" s="22" t="n">
        <v>131.791161299009</v>
      </c>
      <c r="R260" s="22" t="n">
        <f aca="false">C260*'Weights &amp; Assumptions'!$F$6+D260*'Weights &amp; Assumptions'!$F$7</f>
        <v>115.410751016827</v>
      </c>
      <c r="S260" s="22" t="n">
        <f aca="false">E260*'Weights &amp; Assumptions'!$F$8+F260*'Weights &amp; Assumptions'!$F$9+H260*'Weights &amp; Assumptions'!$F$11</f>
        <v>125.299017680691</v>
      </c>
      <c r="T260" s="22" t="n">
        <f aca="false">G260*'Weights &amp; Assumptions'!$F$10+I260*'Weights &amp; Assumptions'!$F$12+J260*'Weights &amp; Assumptions'!$F$13+K260*'Weights &amp; Assumptions'!$F$14+L260*'Weights &amp; Assumptions'!$F$15+M260*'Weights &amp; Assumptions'!$F$16+N260*'Weights &amp; Assumptions'!$F$17+O260*'Weights &amp; Assumptions'!$F$18+P260*'Weights &amp; Assumptions'!$F$19+Q260*'Weights &amp; Assumptions'!$F$20</f>
        <v>166.970389769608</v>
      </c>
      <c r="U260" s="22" t="n">
        <f aca="false">R260*'Weights &amp; Assumptions'!$B$25/'Weights &amp; Assumptions'!$B$28+S260*'Weights &amp; Assumptions'!$B$26/'Weights &amp; Assumptions'!$B$28+T260*'Weights &amp; Assumptions'!$B$27/'Weights &amp; Assumptions'!$B$28</f>
        <v>151.563347409555</v>
      </c>
      <c r="V260" s="23" t="n">
        <f aca="false">IFERROR(Tabelle1!E261*'Weights &amp; Assumptions'!$F$6+Tabelle1!F261*'Weights &amp; Assumptions'!$F$7,"")</f>
        <v>76.9187753410567</v>
      </c>
      <c r="W260" s="23" t="n">
        <f aca="false">IFERROR(Tabelle1!G261*'Weights &amp; Assumptions'!$F$8+Tabelle1!H261*'Weights &amp; Assumptions'!$F$9+Tabelle1!J261*'Weights &amp; Assumptions'!$F$11,"")</f>
        <v>112.96369267936</v>
      </c>
      <c r="X260" s="23" t="n">
        <f aca="false">IFERROR(Tabelle1!I261*'Weights &amp; Assumptions'!$F$10+Tabelle1!K261*'Weights &amp; Assumptions'!$F$12+Tabelle1!L261*'Weights &amp; Assumptions'!$F$13+Tabelle1!M261*'Weights &amp; Assumptions'!$F$14+Tabelle1!N261*'Weights &amp; Assumptions'!$F$15+Tabelle1!O261*'Weights &amp; Assumptions'!$F$16+Tabelle1!P261*'Weights &amp; Assumptions'!$F$17+Tabelle1!Q261*'Weights &amp; Assumptions'!$F$18+Tabelle1!R261*'Weights &amp; Assumptions'!$F$19+Tabelle1!S261*'Weights &amp; Assumptions'!$F$20,"")</f>
        <v>162.371615488424</v>
      </c>
      <c r="Y260" s="22" t="n">
        <f aca="false">IFERROR(V260*'Weights &amp; Assumptions'!$B$25/'Weights &amp; Assumptions'!$B$28+W260*'Weights &amp; Assumptions'!$B$26/'Weights &amp; Assumptions'!$B$28+X260*'Weights &amp; Assumptions'!$B$27/'Weights &amp; Assumptions'!$B$28,"")</f>
        <v>142.063621345667</v>
      </c>
    </row>
    <row r="261" customFormat="false" ht="15" hidden="false" customHeight="false" outlineLevel="0" collapsed="false">
      <c r="A261" s="20" t="n">
        <v>45747</v>
      </c>
      <c r="B261" s="21" t="n">
        <v>149.34718</v>
      </c>
      <c r="C261" s="22" t="n">
        <v>112.517132736536</v>
      </c>
      <c r="D261" s="22" t="n">
        <v>142.979057663802</v>
      </c>
      <c r="E261" s="22" t="n">
        <v>117.087392222304</v>
      </c>
      <c r="F261" s="22" t="n">
        <v>116.080475186378</v>
      </c>
      <c r="G261" s="22" t="n">
        <v>143.32910819615</v>
      </c>
      <c r="H261" s="22" t="n">
        <v>128.481210154305</v>
      </c>
      <c r="I261" s="22" t="n">
        <v>151.598853831224</v>
      </c>
      <c r="J261" s="22" t="n">
        <v>171.487687753138</v>
      </c>
      <c r="K261" s="22" t="n">
        <v>183.161777847506</v>
      </c>
      <c r="L261" s="22" t="n">
        <v>188.425275036476</v>
      </c>
      <c r="M261" s="22" t="n">
        <v>157.209334291192</v>
      </c>
      <c r="N261" s="22" t="n">
        <v>161.920679046317</v>
      </c>
      <c r="O261" s="22" t="n">
        <v>172.09492381338</v>
      </c>
      <c r="P261" s="22" t="n">
        <v>184.924511011751</v>
      </c>
      <c r="Q261" s="22" t="n">
        <v>127.22664271043</v>
      </c>
      <c r="R261" s="22" t="n">
        <f aca="false">C261*'Weights &amp; Assumptions'!$F$6+D261*'Weights &amp; Assumptions'!$F$7</f>
        <v>112.890368560009</v>
      </c>
      <c r="S261" s="22" t="n">
        <f aca="false">E261*'Weights &amp; Assumptions'!$F$8+F261*'Weights &amp; Assumptions'!$F$9+H261*'Weights &amp; Assumptions'!$F$11</f>
        <v>118.784064755</v>
      </c>
      <c r="T261" s="22" t="n">
        <f aca="false">G261*'Weights &amp; Assumptions'!$F$10+I261*'Weights &amp; Assumptions'!$F$12+J261*'Weights &amp; Assumptions'!$F$13+K261*'Weights &amp; Assumptions'!$F$14+L261*'Weights &amp; Assumptions'!$F$15+M261*'Weights &amp; Assumptions'!$F$16+N261*'Weights &amp; Assumptions'!$F$17+O261*'Weights &amp; Assumptions'!$F$18+P261*'Weights &amp; Assumptions'!$F$19+Q261*'Weights &amp; Assumptions'!$F$20</f>
        <v>164.419605632887</v>
      </c>
      <c r="U261" s="22" t="n">
        <f aca="false">R261*'Weights &amp; Assumptions'!$B$25/'Weights &amp; Assumptions'!$B$28+S261*'Weights &amp; Assumptions'!$B$26/'Weights &amp; Assumptions'!$B$28+T261*'Weights &amp; Assumptions'!$B$27/'Weights &amp; Assumptions'!$B$28</f>
        <v>147.960972271337</v>
      </c>
      <c r="V261" s="23" t="n">
        <f aca="false">IFERROR(Tabelle1!E262*'Weights &amp; Assumptions'!$F$6+Tabelle1!F262*'Weights &amp; Assumptions'!$F$7,"")</f>
        <v>147.800061111429</v>
      </c>
      <c r="W261" s="23" t="n">
        <f aca="false">IFERROR(Tabelle1!G262*'Weights &amp; Assumptions'!$F$8+Tabelle1!H262*'Weights &amp; Assumptions'!$F$9+Tabelle1!J262*'Weights &amp; Assumptions'!$F$11,"")</f>
        <v>119.487906491625</v>
      </c>
      <c r="X261" s="23" t="n">
        <f aca="false">IFERROR(Tabelle1!I262*'Weights &amp; Assumptions'!$F$10+Tabelle1!K262*'Weights &amp; Assumptions'!$F$12+Tabelle1!L262*'Weights &amp; Assumptions'!$F$13+Tabelle1!M262*'Weights &amp; Assumptions'!$F$14+Tabelle1!N262*'Weights &amp; Assumptions'!$F$15+Tabelle1!O262*'Weights &amp; Assumptions'!$F$16+Tabelle1!P262*'Weights &amp; Assumptions'!$F$17+Tabelle1!Q262*'Weights &amp; Assumptions'!$F$18+Tabelle1!R262*'Weights &amp; Assumptions'!$F$19+Tabelle1!S262*'Weights &amp; Assumptions'!$F$20,"")</f>
        <v>165.007625047517</v>
      </c>
      <c r="Y261" s="22" t="n">
        <f aca="false">IFERROR(V261*'Weights &amp; Assumptions'!$B$25/'Weights &amp; Assumptions'!$B$28+W261*'Weights &amp; Assumptions'!$B$26/'Weights &amp; Assumptions'!$B$28+X261*'Weights &amp; Assumptions'!$B$27/'Weights &amp; Assumptions'!$B$28,"")</f>
        <v>151.459407803204</v>
      </c>
    </row>
    <row r="262" customFormat="false" ht="15" hidden="false" customHeight="false" outlineLevel="0" collapsed="false">
      <c r="A262" s="20" t="n">
        <v>45777</v>
      </c>
      <c r="B262" s="21" t="n">
        <v>152.3841</v>
      </c>
      <c r="C262" s="22" t="n">
        <v>120.790227495292</v>
      </c>
      <c r="D262" s="22" t="n">
        <v>178.224942113678</v>
      </c>
      <c r="E262" s="22" t="n">
        <v>117.472130245871</v>
      </c>
      <c r="F262" s="22" t="n">
        <v>120.934238796578</v>
      </c>
      <c r="G262" s="22" t="n">
        <v>144.376123526732</v>
      </c>
      <c r="H262" s="22" t="n">
        <v>135.139302232591</v>
      </c>
      <c r="I262" s="22" t="n">
        <v>158.490276981665</v>
      </c>
      <c r="J262" s="22" t="n">
        <v>146.257078046454</v>
      </c>
      <c r="K262" s="22" t="n">
        <v>185.804845953474</v>
      </c>
      <c r="L262" s="22" t="n">
        <v>194.405991163718</v>
      </c>
      <c r="M262" s="22" t="n">
        <v>160.095161263667</v>
      </c>
      <c r="N262" s="22" t="n">
        <v>161.901457889161</v>
      </c>
      <c r="O262" s="22" t="n">
        <v>172.291578187177</v>
      </c>
      <c r="P262" s="22" t="n">
        <v>185.214020480849</v>
      </c>
      <c r="Q262" s="22" t="n">
        <v>129.553214199753</v>
      </c>
      <c r="R262" s="22" t="n">
        <f aca="false">C262*'Weights &amp; Assumptions'!$F$6+D262*'Weights &amp; Assumptions'!$F$7</f>
        <v>121.493948388102</v>
      </c>
      <c r="S262" s="22" t="n">
        <f aca="false">E262*'Weights &amp; Assumptions'!$F$8+F262*'Weights &amp; Assumptions'!$F$9+H262*'Weights &amp; Assumptions'!$F$11</f>
        <v>123.48012118393</v>
      </c>
      <c r="T262" s="22" t="n">
        <f aca="false">G262*'Weights &amp; Assumptions'!$F$10+I262*'Weights &amp; Assumptions'!$F$12+J262*'Weights &amp; Assumptions'!$F$13+K262*'Weights &amp; Assumptions'!$F$14+L262*'Weights &amp; Assumptions'!$F$15+M262*'Weights &amp; Assumptions'!$F$16+N262*'Weights &amp; Assumptions'!$F$17+O262*'Weights &amp; Assumptions'!$F$18+P262*'Weights &amp; Assumptions'!$F$19+Q262*'Weights &amp; Assumptions'!$F$20</f>
        <v>166.262378240631</v>
      </c>
      <c r="U262" s="22" t="n">
        <f aca="false">R262*'Weights &amp; Assumptions'!$B$25/'Weights &amp; Assumptions'!$B$28+S262*'Weights &amp; Assumptions'!$B$26/'Weights &amp; Assumptions'!$B$28+T262*'Weights &amp; Assumptions'!$B$27/'Weights &amp; Assumptions'!$B$28</f>
        <v>151.129720240886</v>
      </c>
      <c r="V262" s="23" t="n">
        <f aca="false">IFERROR(Tabelle1!E263*'Weights &amp; Assumptions'!$F$6+Tabelle1!F263*'Weights &amp; Assumptions'!$F$7,"")</f>
        <v>213.222425821504</v>
      </c>
      <c r="W262" s="23" t="n">
        <f aca="false">IFERROR(Tabelle1!G263*'Weights &amp; Assumptions'!$F$8+Tabelle1!H263*'Weights &amp; Assumptions'!$F$9+Tabelle1!J263*'Weights &amp; Assumptions'!$F$11,"")</f>
        <v>121.527131231056</v>
      </c>
      <c r="X262" s="23" t="n">
        <f aca="false">IFERROR(Tabelle1!I263*'Weights &amp; Assumptions'!$F$10+Tabelle1!K263*'Weights &amp; Assumptions'!$F$12+Tabelle1!L263*'Weights &amp; Assumptions'!$F$13+Tabelle1!M263*'Weights &amp; Assumptions'!$F$14+Tabelle1!N263*'Weights &amp; Assumptions'!$F$15+Tabelle1!O263*'Weights &amp; Assumptions'!$F$16+Tabelle1!P263*'Weights &amp; Assumptions'!$F$17+Tabelle1!Q263*'Weights &amp; Assumptions'!$F$18+Tabelle1!R263*'Weights &amp; Assumptions'!$F$19+Tabelle1!S263*'Weights &amp; Assumptions'!$F$20,"")</f>
        <v>165.823232013295</v>
      </c>
      <c r="Y262" s="22" t="n">
        <f aca="false">IFERROR(V262*'Weights &amp; Assumptions'!$B$25/'Weights &amp; Assumptions'!$B$28+W262*'Weights &amp; Assumptions'!$B$26/'Weights &amp; Assumptions'!$B$28+X262*'Weights &amp; Assumptions'!$B$27/'Weights &amp; Assumptions'!$B$28,"")</f>
        <v>158.020956849736</v>
      </c>
    </row>
    <row r="263" customFormat="false" ht="15" hidden="false" customHeight="false" outlineLevel="0" collapsed="false">
      <c r="A263" s="20" t="n">
        <v>45808</v>
      </c>
      <c r="B263" s="21" t="n">
        <v>152.27052</v>
      </c>
      <c r="C263" s="22" t="n">
        <v>124.214854164066</v>
      </c>
      <c r="D263" s="22" t="n">
        <v>176.695152155001</v>
      </c>
      <c r="E263" s="22" t="n">
        <v>118.75406476905</v>
      </c>
      <c r="F263" s="22" t="n">
        <v>121.028022541312</v>
      </c>
      <c r="G263" s="22" t="n">
        <v>143.099620359505</v>
      </c>
      <c r="H263" s="22" t="n">
        <v>130.545112516165</v>
      </c>
      <c r="I263" s="22" t="n">
        <v>156.839086680709</v>
      </c>
      <c r="J263" s="22" t="n">
        <v>179.43037419203</v>
      </c>
      <c r="K263" s="22" t="n">
        <v>186.427023446362</v>
      </c>
      <c r="L263" s="22" t="n">
        <v>192.977333507078</v>
      </c>
      <c r="M263" s="22" t="n">
        <v>158.759906694275</v>
      </c>
      <c r="N263" s="22" t="n">
        <v>161.673513561332</v>
      </c>
      <c r="O263" s="22" t="n">
        <v>172.365876806149</v>
      </c>
      <c r="P263" s="22" t="n">
        <v>184.871659157296</v>
      </c>
      <c r="Q263" s="22" t="n">
        <v>128.333459486451</v>
      </c>
      <c r="R263" s="22" t="n">
        <f aca="false">C263*'Weights &amp; Assumptions'!$F$6+D263*'Weights &amp; Assumptions'!$F$7</f>
        <v>124.857870890144</v>
      </c>
      <c r="S263" s="22" t="n">
        <f aca="false">E263*'Weights &amp; Assumptions'!$F$8+F263*'Weights &amp; Assumptions'!$F$9+H263*'Weights &amp; Assumptions'!$F$11</f>
        <v>122.7391518145</v>
      </c>
      <c r="T263" s="22" t="n">
        <f aca="false">G263*'Weights &amp; Assumptions'!$F$10+I263*'Weights &amp; Assumptions'!$F$12+J263*'Weights &amp; Assumptions'!$F$13+K263*'Weights &amp; Assumptions'!$F$14+L263*'Weights &amp; Assumptions'!$F$15+M263*'Weights &amp; Assumptions'!$F$16+N263*'Weights &amp; Assumptions'!$F$17+O263*'Weights &amp; Assumptions'!$F$18+P263*'Weights &amp; Assumptions'!$F$19+Q263*'Weights &amp; Assumptions'!$F$20</f>
        <v>167.043076004204</v>
      </c>
      <c r="U263" s="22" t="n">
        <f aca="false">R263*'Weights &amp; Assumptions'!$B$25/'Weights &amp; Assumptions'!$B$28+S263*'Weights &amp; Assumptions'!$B$26/'Weights &amp; Assumptions'!$B$28+T263*'Weights &amp; Assumptions'!$B$27/'Weights &amp; Assumptions'!$B$28</f>
        <v>151.722514838374</v>
      </c>
      <c r="V263" s="23" t="n">
        <f aca="false">IFERROR(Tabelle1!E264*'Weights &amp; Assumptions'!$F$6+Tabelle1!F264*'Weights &amp; Assumptions'!$F$7,"")</f>
        <v>282.895986311725</v>
      </c>
      <c r="W263" s="23" t="n">
        <f aca="false">IFERROR(Tabelle1!G264*'Weights &amp; Assumptions'!$F$8+Tabelle1!H264*'Weights &amp; Assumptions'!$F$9+Tabelle1!J264*'Weights &amp; Assumptions'!$F$11,"")</f>
        <v>121.803367847908</v>
      </c>
      <c r="X263" s="23" t="n">
        <f aca="false">IFERROR(Tabelle1!I264*'Weights &amp; Assumptions'!$F$10+Tabelle1!K264*'Weights &amp; Assumptions'!$F$12+Tabelle1!L264*'Weights &amp; Assumptions'!$F$13+Tabelle1!M264*'Weights &amp; Assumptions'!$F$14+Tabelle1!N264*'Weights &amp; Assumptions'!$F$15+Tabelle1!O264*'Weights &amp; Assumptions'!$F$16+Tabelle1!P264*'Weights &amp; Assumptions'!$F$17+Tabelle1!Q264*'Weights &amp; Assumptions'!$F$18+Tabelle1!R264*'Weights &amp; Assumptions'!$F$19+Tabelle1!S264*'Weights &amp; Assumptions'!$F$20,"")</f>
        <v>167.515986067415</v>
      </c>
      <c r="Y263" s="22" t="n">
        <f aca="false">IFERROR(V263*'Weights &amp; Assumptions'!$B$25/'Weights &amp; Assumptions'!$B$28+W263*'Weights &amp; Assumptions'!$B$26/'Weights &amp; Assumptions'!$B$28+X263*'Weights &amp; Assumptions'!$B$27/'Weights &amp; Assumptions'!$B$28,"")</f>
        <v>165.040680406829</v>
      </c>
    </row>
    <row r="264" customFormat="false" ht="15" hidden="false" customHeight="false" outlineLevel="0" collapsed="false">
      <c r="A264" s="20" t="n">
        <v>45838</v>
      </c>
      <c r="B264" s="21" t="n">
        <v>151.5483</v>
      </c>
      <c r="C264" s="22" t="n">
        <v>121.41795839578</v>
      </c>
      <c r="D264" s="22" t="n">
        <v>92.5163477730071</v>
      </c>
      <c r="E264" s="22" t="n">
        <v>123.662858895455</v>
      </c>
      <c r="F264" s="22" t="n">
        <v>120.758823517829</v>
      </c>
      <c r="G264" s="22" t="n">
        <v>154.144251846625</v>
      </c>
      <c r="H264" s="22" t="n">
        <v>131.816898905557</v>
      </c>
      <c r="I264" s="22" t="n">
        <v>155.506290003549</v>
      </c>
      <c r="J264" s="22" t="n">
        <v>190.928740228705</v>
      </c>
      <c r="K264" s="22" t="n">
        <v>185.728789538943</v>
      </c>
      <c r="L264" s="22" t="n">
        <v>192.635944012024</v>
      </c>
      <c r="M264" s="22" t="n">
        <v>159.082114064826</v>
      </c>
      <c r="N264" s="22" t="n">
        <v>161.565709768048</v>
      </c>
      <c r="O264" s="22" t="n">
        <v>172.345813670645</v>
      </c>
      <c r="P264" s="22" t="n">
        <v>185.669649492551</v>
      </c>
      <c r="Q264" s="22" t="n">
        <v>126.576574193042</v>
      </c>
      <c r="R264" s="22" t="n">
        <f aca="false">C264*'Weights &amp; Assumptions'!$F$6+D264*'Weights &amp; Assumptions'!$F$7</f>
        <v>121.063840379067</v>
      </c>
      <c r="S264" s="22" t="n">
        <f aca="false">E264*'Weights &amp; Assumptions'!$F$8+F264*'Weights &amp; Assumptions'!$F$9+H264*'Weights &amp; Assumptions'!$F$11</f>
        <v>123.409216968041</v>
      </c>
      <c r="T264" s="22" t="n">
        <f aca="false">G264*'Weights &amp; Assumptions'!$F$10+I264*'Weights &amp; Assumptions'!$F$12+J264*'Weights &amp; Assumptions'!$F$13+K264*'Weights &amp; Assumptions'!$F$14+L264*'Weights &amp; Assumptions'!$F$15+M264*'Weights &amp; Assumptions'!$F$16+N264*'Weights &amp; Assumptions'!$F$17+O264*'Weights &amp; Assumptions'!$F$18+P264*'Weights &amp; Assumptions'!$F$19+Q264*'Weights &amp; Assumptions'!$F$20</f>
        <v>167.51111640977</v>
      </c>
      <c r="U264" s="22" t="n">
        <f aca="false">R264*'Weights &amp; Assumptions'!$B$25/'Weights &amp; Assumptions'!$B$28+S264*'Weights &amp; Assumptions'!$B$26/'Weights &amp; Assumptions'!$B$28+T264*'Weights &amp; Assumptions'!$B$27/'Weights &amp; Assumptions'!$B$28</f>
        <v>151.886685856634</v>
      </c>
      <c r="V264" s="23" t="n">
        <f aca="false">IFERROR(Tabelle1!E265*'Weights &amp; Assumptions'!$F$6+Tabelle1!F265*'Weights &amp; Assumptions'!$F$7,"")</f>
        <v>196.585170655892</v>
      </c>
      <c r="W264" s="23" t="n">
        <f aca="false">IFERROR(Tabelle1!G265*'Weights &amp; Assumptions'!$F$8+Tabelle1!H265*'Weights &amp; Assumptions'!$F$9+Tabelle1!J265*'Weights &amp; Assumptions'!$F$11,"")</f>
        <v>119.081929253078</v>
      </c>
      <c r="X264" s="23" t="n">
        <f aca="false">IFERROR(Tabelle1!I265*'Weights &amp; Assumptions'!$F$10+Tabelle1!K265*'Weights &amp; Assumptions'!$F$12+Tabelle1!L265*'Weights &amp; Assumptions'!$F$13+Tabelle1!M265*'Weights &amp; Assumptions'!$F$14+Tabelle1!N265*'Weights &amp; Assumptions'!$F$15+Tabelle1!O265*'Weights &amp; Assumptions'!$F$16+Tabelle1!P265*'Weights &amp; Assumptions'!$F$17+Tabelle1!Q265*'Weights &amp; Assumptions'!$F$18+Tabelle1!R265*'Weights &amp; Assumptions'!$F$19+Tabelle1!S265*'Weights &amp; Assumptions'!$F$20,"")</f>
        <v>168.796962371379</v>
      </c>
      <c r="Y264" s="22" t="n">
        <f aca="false">IFERROR(V264*'Weights &amp; Assumptions'!$B$25/'Weights &amp; Assumptions'!$B$28+W264*'Weights &amp; Assumptions'!$B$26/'Weights &amp; Assumptions'!$B$28+X264*'Weights &amp; Assumptions'!$B$27/'Weights &amp; Assumptions'!$B$28,"")</f>
        <v>157.908320435189</v>
      </c>
    </row>
    <row r="265" customFormat="false" ht="15" hidden="false" customHeight="false" outlineLevel="0" collapsed="false">
      <c r="A265" s="20" t="n">
        <v>45869</v>
      </c>
      <c r="B265" s="21" t="n">
        <v>151.2933</v>
      </c>
      <c r="C265" s="22" t="n">
        <v>117.601435550962</v>
      </c>
      <c r="D265" s="22" t="n">
        <v>66.9186986379332</v>
      </c>
      <c r="E265" s="22" t="n">
        <v>125.956960766021</v>
      </c>
      <c r="F265" s="22" t="n">
        <v>118.035537262987</v>
      </c>
      <c r="G265" s="22" t="n">
        <v>148.548083044673</v>
      </c>
      <c r="H265" s="22" t="n">
        <v>129.205978825883</v>
      </c>
      <c r="I265" s="22" t="n">
        <v>152.278322295051</v>
      </c>
      <c r="J265" s="22" t="n">
        <v>174.273543030662</v>
      </c>
      <c r="K265" s="22" t="n">
        <v>185.642597568603</v>
      </c>
      <c r="L265" s="22" t="n">
        <v>191.754862787702</v>
      </c>
      <c r="M265" s="22" t="n">
        <v>158.948554475413</v>
      </c>
      <c r="N265" s="22" t="n">
        <v>161.235903016292</v>
      </c>
      <c r="O265" s="22" t="n">
        <v>172.483762544358</v>
      </c>
      <c r="P265" s="22" t="n">
        <v>185.384344773825</v>
      </c>
      <c r="Q265" s="22" t="n">
        <v>126.951034198465</v>
      </c>
      <c r="R265" s="22" t="n">
        <f aca="false">C265*'Weights &amp; Assumptions'!$F$6+D265*'Weights &amp; Assumptions'!$F$7</f>
        <v>116.980443506212</v>
      </c>
      <c r="S265" s="22" t="n">
        <f aca="false">E265*'Weights &amp; Assumptions'!$F$8+F265*'Weights &amp; Assumptions'!$F$9+H265*'Weights &amp; Assumptions'!$F$11</f>
        <v>121.308403889094</v>
      </c>
      <c r="T265" s="22" t="n">
        <f aca="false">G265*'Weights &amp; Assumptions'!$F$10+I265*'Weights &amp; Assumptions'!$F$12+J265*'Weights &amp; Assumptions'!$F$13+K265*'Weights &amp; Assumptions'!$F$14+L265*'Weights &amp; Assumptions'!$F$15+M265*'Weights &amp; Assumptions'!$F$16+N265*'Weights &amp; Assumptions'!$F$17+O265*'Weights &amp; Assumptions'!$F$18+P265*'Weights &amp; Assumptions'!$F$19+Q265*'Weights &amp; Assumptions'!$F$20</f>
        <v>165.788907595789</v>
      </c>
      <c r="U265" s="22" t="n">
        <f aca="false">R265*'Weights &amp; Assumptions'!$B$25/'Weights &amp; Assumptions'!$B$28+S265*'Weights &amp; Assumptions'!$B$26/'Weights &amp; Assumptions'!$B$28+T265*'Weights &amp; Assumptions'!$B$27/'Weights &amp; Assumptions'!$B$28</f>
        <v>149.86569391196</v>
      </c>
      <c r="V265" s="23" t="n">
        <f aca="false">IFERROR(Tabelle1!E266*'Weights &amp; Assumptions'!$F$6+Tabelle1!F266*'Weights &amp; Assumptions'!$F$7,"")</f>
        <v>118.370493248948</v>
      </c>
      <c r="W265" s="23" t="n">
        <f aca="false">IFERROR(Tabelle1!G266*'Weights &amp; Assumptions'!$F$8+Tabelle1!H266*'Weights &amp; Assumptions'!$F$9+Tabelle1!J266*'Weights &amp; Assumptions'!$F$11,"")</f>
        <v>126.738832411495</v>
      </c>
      <c r="X265" s="23" t="n">
        <f aca="false">IFERROR(Tabelle1!I266*'Weights &amp; Assumptions'!$F$10+Tabelle1!K266*'Weights &amp; Assumptions'!$F$12+Tabelle1!L266*'Weights &amp; Assumptions'!$F$13+Tabelle1!M266*'Weights &amp; Assumptions'!$F$14+Tabelle1!N266*'Weights &amp; Assumptions'!$F$15+Tabelle1!O266*'Weights &amp; Assumptions'!$F$16+Tabelle1!P266*'Weights &amp; Assumptions'!$F$17+Tabelle1!Q266*'Weights &amp; Assumptions'!$F$18+Tabelle1!R266*'Weights &amp; Assumptions'!$F$19+Tabelle1!S266*'Weights &amp; Assumptions'!$F$20,"")</f>
        <v>167.291989684135</v>
      </c>
      <c r="Y265" s="22" t="n">
        <f aca="false">IFERROR(V265*'Weights &amp; Assumptions'!$B$25/'Weights &amp; Assumptions'!$B$28+W265*'Weights &amp; Assumptions'!$B$26/'Weights &amp; Assumptions'!$B$28+X265*'Weights &amp; Assumptions'!$B$27/'Weights &amp; Assumptions'!$B$28,"")</f>
        <v>152.403642512795</v>
      </c>
    </row>
    <row r="266" customFormat="false" ht="15" hidden="false" customHeight="false" outlineLevel="0" collapsed="false">
      <c r="A266" s="20" t="n">
        <v>45900</v>
      </c>
      <c r="B266" s="21" t="n">
        <v>152.17594</v>
      </c>
      <c r="C266" s="22" t="n">
        <v>115.852828035928</v>
      </c>
      <c r="D266" s="22" t="n">
        <v>164.767778790484</v>
      </c>
      <c r="E266" s="22" t="n">
        <v>124.962465906233</v>
      </c>
      <c r="F266" s="22" t="n">
        <v>115.832974338654</v>
      </c>
      <c r="G266" s="22" t="n">
        <v>148.264722004812</v>
      </c>
      <c r="H266" s="22" t="n">
        <v>127.664438005162</v>
      </c>
      <c r="I266" s="22" t="n">
        <v>149.334544840535</v>
      </c>
      <c r="J266" s="22" t="n">
        <v>176.221089362056</v>
      </c>
      <c r="K266" s="22" t="n">
        <v>186.746221949827</v>
      </c>
      <c r="L266" s="22" t="n">
        <v>195.526085464702</v>
      </c>
      <c r="M266" s="22" t="n">
        <v>157.997855291872</v>
      </c>
      <c r="N266" s="22" t="n">
        <v>161.088780564364</v>
      </c>
      <c r="O266" s="22" t="n">
        <v>172.323770837561</v>
      </c>
      <c r="P266" s="22" t="n">
        <v>185.499449974646</v>
      </c>
      <c r="Q266" s="22" t="n">
        <v>127.247622435304</v>
      </c>
      <c r="R266" s="22" t="n">
        <f aca="false">C266*'Weights &amp; Assumptions'!$F$6+D266*'Weights &amp; Assumptions'!$F$7</f>
        <v>116.452160217614</v>
      </c>
      <c r="S266" s="22" t="n">
        <f aca="false">E266*'Weights &amp; Assumptions'!$F$8+F266*'Weights &amp; Assumptions'!$F$9+H266*'Weights &amp; Assumptions'!$F$11</f>
        <v>119.387788040638</v>
      </c>
      <c r="T266" s="22" t="n">
        <f aca="false">G266*'Weights &amp; Assumptions'!$F$10+I266*'Weights &amp; Assumptions'!$F$12+J266*'Weights &amp; Assumptions'!$F$13+K266*'Weights &amp; Assumptions'!$F$14+L266*'Weights &amp; Assumptions'!$F$15+M266*'Weights &amp; Assumptions'!$F$16+N266*'Weights &amp; Assumptions'!$F$17+O266*'Weights &amp; Assumptions'!$F$18+P266*'Weights &amp; Assumptions'!$F$19+Q266*'Weights &amp; Assumptions'!$F$20</f>
        <v>165.525891136215</v>
      </c>
      <c r="U266" s="22" t="n">
        <f aca="false">R266*'Weights &amp; Assumptions'!$B$25/'Weights &amp; Assumptions'!$B$28+S266*'Weights &amp; Assumptions'!$B$26/'Weights &amp; Assumptions'!$B$28+T266*'Weights &amp; Assumptions'!$B$27/'Weights &amp; Assumptions'!$B$28</f>
        <v>149.139636711952</v>
      </c>
      <c r="V266" s="23" t="n">
        <f aca="false">IFERROR(Tabelle1!E267*'Weights &amp; Assumptions'!$F$6+Tabelle1!F267*'Weights &amp; Assumptions'!$F$7,"")</f>
        <v>80.9536657846748</v>
      </c>
      <c r="W266" s="23" t="n">
        <f aca="false">IFERROR(Tabelle1!G267*'Weights &amp; Assumptions'!$F$8+Tabelle1!H267*'Weights &amp; Assumptions'!$F$9+Tabelle1!J267*'Weights &amp; Assumptions'!$F$11,"")</f>
        <v>126.218539047902</v>
      </c>
      <c r="X266" s="23" t="n">
        <f aca="false">IFERROR(Tabelle1!I267*'Weights &amp; Assumptions'!$F$10+Tabelle1!K267*'Weights &amp; Assumptions'!$F$12+Tabelle1!L267*'Weights &amp; Assumptions'!$F$13+Tabelle1!M267*'Weights &amp; Assumptions'!$F$14+Tabelle1!N267*'Weights &amp; Assumptions'!$F$15+Tabelle1!O267*'Weights &amp; Assumptions'!$F$16+Tabelle1!P267*'Weights &amp; Assumptions'!$F$17+Tabelle1!Q267*'Weights &amp; Assumptions'!$F$18+Tabelle1!R267*'Weights &amp; Assumptions'!$F$19+Tabelle1!S267*'Weights &amp; Assumptions'!$F$20,"")</f>
        <v>166.951957908681</v>
      </c>
      <c r="Y266" s="22" t="n">
        <f aca="false">IFERROR(V266*'Weights &amp; Assumptions'!$B$25/'Weights &amp; Assumptions'!$B$28+W266*'Weights &amp; Assumptions'!$B$26/'Weights &amp; Assumptions'!$B$28+X266*'Weights &amp; Assumptions'!$B$27/'Weights &amp; Assumptions'!$B$28,"")</f>
        <v>148.904902018676</v>
      </c>
    </row>
    <row r="267" customFormat="false" ht="15" hidden="false" customHeight="false" outlineLevel="0" collapsed="false">
      <c r="A267" s="20" t="n">
        <v>45930</v>
      </c>
      <c r="B267" s="21" t="n">
        <v>153.27772</v>
      </c>
      <c r="C267" s="22" t="n">
        <v>116.617651593472</v>
      </c>
      <c r="D267" s="22" t="n">
        <v>192.652197812614</v>
      </c>
      <c r="E267" s="22" t="n">
        <v>125.46521746549</v>
      </c>
      <c r="F267" s="22" t="n">
        <v>117.761183535171</v>
      </c>
      <c r="G267" s="22" t="n">
        <v>148.888743244458</v>
      </c>
      <c r="H267" s="22" t="n">
        <v>129.830913773403</v>
      </c>
      <c r="I267" s="22" t="n">
        <v>152.003453256393</v>
      </c>
      <c r="J267" s="22" t="n">
        <v>175.968190066022</v>
      </c>
      <c r="K267" s="22" t="n">
        <v>187.320165541765</v>
      </c>
      <c r="L267" s="22" t="n">
        <v>215.045588125629</v>
      </c>
      <c r="M267" s="22" t="n">
        <v>159.955336203336</v>
      </c>
      <c r="N267" s="22" t="n">
        <v>160.838090562187</v>
      </c>
      <c r="O267" s="22" t="n">
        <v>172.546331001756</v>
      </c>
      <c r="P267" s="22" t="n">
        <v>185.620744702987</v>
      </c>
      <c r="Q267" s="22" t="n">
        <v>128.31268784026</v>
      </c>
      <c r="R267" s="22" t="n">
        <f aca="false">C267*'Weights &amp; Assumptions'!$F$6+D267*'Weights &amp; Assumptions'!$F$7</f>
        <v>117.54926758748</v>
      </c>
      <c r="S267" s="22" t="n">
        <f aca="false">E267*'Weights &amp; Assumptions'!$F$8+F267*'Weights &amp; Assumptions'!$F$9+H267*'Weights &amp; Assumptions'!$F$11</f>
        <v>121.195437415296</v>
      </c>
      <c r="T267" s="22" t="n">
        <f aca="false">G267*'Weights &amp; Assumptions'!$F$10+I267*'Weights &amp; Assumptions'!$F$12+J267*'Weights &amp; Assumptions'!$F$13+K267*'Weights &amp; Assumptions'!$F$14+L267*'Weights &amp; Assumptions'!$F$15+M267*'Weights &amp; Assumptions'!$F$16+N267*'Weights &amp; Assumptions'!$F$17+O267*'Weights &amp; Assumptions'!$F$18+P267*'Weights &amp; Assumptions'!$F$19+Q267*'Weights &amp; Assumptions'!$F$20</f>
        <v>168.104681108495</v>
      </c>
      <c r="U267" s="22" t="n">
        <f aca="false">R267*'Weights &amp; Assumptions'!$B$25/'Weights &amp; Assumptions'!$B$28+S267*'Weights &amp; Assumptions'!$B$26/'Weights &amp; Assumptions'!$B$28+T267*'Weights &amp; Assumptions'!$B$27/'Weights &amp; Assumptions'!$B$28</f>
        <v>151.389052525517</v>
      </c>
      <c r="V267" s="23" t="n">
        <f aca="false">IFERROR(Tabelle1!E268*'Weights &amp; Assumptions'!$F$6+Tabelle1!F268*'Weights &amp; Assumptions'!$F$7,"")</f>
        <v>78.0870369808465</v>
      </c>
      <c r="W267" s="23" t="n">
        <f aca="false">IFERROR(Tabelle1!G268*'Weights &amp; Assumptions'!$F$8+Tabelle1!H268*'Weights &amp; Assumptions'!$F$9+Tabelle1!J268*'Weights &amp; Assumptions'!$F$11,"")</f>
        <v>127.136575486014</v>
      </c>
      <c r="X267" s="23" t="n">
        <f aca="false">IFERROR(Tabelle1!I268*'Weights &amp; Assumptions'!$F$10+Tabelle1!K268*'Weights &amp; Assumptions'!$F$12+Tabelle1!L268*'Weights &amp; Assumptions'!$F$13+Tabelle1!M268*'Weights &amp; Assumptions'!$F$14+Tabelle1!N268*'Weights &amp; Assumptions'!$F$15+Tabelle1!O268*'Weights &amp; Assumptions'!$F$16+Tabelle1!P268*'Weights &amp; Assumptions'!$F$17+Tabelle1!Q268*'Weights &amp; Assumptions'!$F$18+Tabelle1!R268*'Weights &amp; Assumptions'!$F$19+Tabelle1!S268*'Weights &amp; Assumptions'!$F$20,"")</f>
        <v>168.176024946023</v>
      </c>
      <c r="Y267" s="22" t="n">
        <f aca="false">IFERROR(V267*'Weights &amp; Assumptions'!$B$25/'Weights &amp; Assumptions'!$B$28+W267*'Weights &amp; Assumptions'!$B$26/'Weights &amp; Assumptions'!$B$28+X267*'Weights &amp; Assumptions'!$B$27/'Weights &amp; Assumptions'!$B$28,"")</f>
        <v>149.704377388545</v>
      </c>
    </row>
    <row r="268" customFormat="false" ht="15" hidden="false" customHeight="false" outlineLevel="0" collapsed="false">
      <c r="A268" s="20" t="n">
        <v>45961</v>
      </c>
      <c r="B268" s="21" t="n">
        <v>153.09073</v>
      </c>
      <c r="C268" s="22" t="n">
        <v>120.056499319429</v>
      </c>
      <c r="D268" s="22" t="n">
        <v>196.229731116642</v>
      </c>
      <c r="E268" s="22" t="n">
        <v>126.734989680259</v>
      </c>
      <c r="F268" s="22" t="n">
        <v>117.282660701968</v>
      </c>
      <c r="G268" s="22" t="n">
        <v>150.113178119615</v>
      </c>
      <c r="H268" s="22" t="n">
        <v>130.962107292164</v>
      </c>
      <c r="I268" s="22" t="n">
        <v>153.018336995001</v>
      </c>
      <c r="J268" s="22" t="n">
        <v>173.688801661659</v>
      </c>
      <c r="K268" s="22" t="n">
        <v>188.040375009674</v>
      </c>
      <c r="L268" s="22" t="n">
        <v>199.181058160339</v>
      </c>
      <c r="M268" s="22" t="n">
        <v>159.738110580937</v>
      </c>
      <c r="N268" s="22" t="n">
        <v>160.486684992908</v>
      </c>
      <c r="O268" s="22" t="n">
        <v>172.261945607385</v>
      </c>
      <c r="P268" s="22" t="n">
        <v>185.367065931789</v>
      </c>
      <c r="Q268" s="22" t="n">
        <v>127.958026835253</v>
      </c>
      <c r="R268" s="22" t="n">
        <f aca="false">C268*'Weights &amp; Assumptions'!$F$6+D268*'Weights &amp; Assumptions'!$F$7</f>
        <v>120.989814563438</v>
      </c>
      <c r="S268" s="22" t="n">
        <f aca="false">E268*'Weights &amp; Assumptions'!$F$8+F268*'Weights &amp; Assumptions'!$F$9+H268*'Weights &amp; Assumptions'!$F$11</f>
        <v>121.26099894089</v>
      </c>
      <c r="T268" s="22" t="n">
        <f aca="false">G268*'Weights &amp; Assumptions'!$F$10+I268*'Weights &amp; Assumptions'!$F$12+J268*'Weights &amp; Assumptions'!$F$13+K268*'Weights &amp; Assumptions'!$F$14+L268*'Weights &amp; Assumptions'!$F$15+M268*'Weights &amp; Assumptions'!$F$16+N268*'Weights &amp; Assumptions'!$F$17+O268*'Weights &amp; Assumptions'!$F$18+P268*'Weights &amp; Assumptions'!$F$19+Q268*'Weights &amp; Assumptions'!$F$20</f>
        <v>166.999640125627</v>
      </c>
      <c r="U268" s="22" t="n">
        <f aca="false">R268*'Weights &amp; Assumptions'!$B$25/'Weights &amp; Assumptions'!$B$28+S268*'Weights &amp; Assumptions'!$B$26/'Weights &amp; Assumptions'!$B$28+T268*'Weights &amp; Assumptions'!$B$27/'Weights &amp; Assumptions'!$B$28</f>
        <v>150.976673810504</v>
      </c>
      <c r="V268" s="23" t="n">
        <f aca="false">IFERROR(Tabelle1!E269*'Weights &amp; Assumptions'!$F$6+Tabelle1!F269*'Weights &amp; Assumptions'!$F$7,"")</f>
        <v>72.2775019366873</v>
      </c>
      <c r="W268" s="23" t="n">
        <f aca="false">IFERROR(Tabelle1!G269*'Weights &amp; Assumptions'!$F$8+Tabelle1!H269*'Weights &amp; Assumptions'!$F$9+Tabelle1!J269*'Weights &amp; Assumptions'!$F$11,"")</f>
        <v>130.655941951316</v>
      </c>
      <c r="X268" s="23" t="n">
        <f aca="false">IFERROR(Tabelle1!I269*'Weights &amp; Assumptions'!$F$10+Tabelle1!K269*'Weights &amp; Assumptions'!$F$12+Tabelle1!L269*'Weights &amp; Assumptions'!$F$13+Tabelle1!M269*'Weights &amp; Assumptions'!$F$14+Tabelle1!N269*'Weights &amp; Assumptions'!$F$15+Tabelle1!O269*'Weights &amp; Assumptions'!$F$16+Tabelle1!P269*'Weights &amp; Assumptions'!$F$17+Tabelle1!Q269*'Weights &amp; Assumptions'!$F$18+Tabelle1!R269*'Weights &amp; Assumptions'!$F$19+Tabelle1!S269*'Weights &amp; Assumptions'!$F$20,"")</f>
        <v>169.784407128516</v>
      </c>
      <c r="Y268" s="22" t="n">
        <f aca="false">IFERROR(V268*'Weights &amp; Assumptions'!$B$25/'Weights &amp; Assumptions'!$B$28+W268*'Weights &amp; Assumptions'!$B$26/'Weights &amp; Assumptions'!$B$28+X268*'Weights &amp; Assumptions'!$B$27/'Weights &amp; Assumptions'!$B$28,"")</f>
        <v>151.198554244732</v>
      </c>
    </row>
    <row r="269" customFormat="false" ht="15" hidden="false" customHeight="false" outlineLevel="0" collapsed="false">
      <c r="A269" s="20" t="n">
        <v>45991</v>
      </c>
      <c r="B269" s="21" t="n">
        <v>153.01279</v>
      </c>
      <c r="C269" s="22" t="n">
        <v>124.588064160918</v>
      </c>
      <c r="D269" s="22" t="n">
        <v>164.151890290937</v>
      </c>
      <c r="E269" s="22" t="n">
        <v>127.338752030298</v>
      </c>
      <c r="F269" s="22" t="n">
        <v>114.205732919867</v>
      </c>
      <c r="G269" s="22" t="n">
        <v>149.546550252061</v>
      </c>
      <c r="H269" s="22" t="n">
        <v>127.606888103934</v>
      </c>
      <c r="I269" s="22" t="n">
        <v>148.864307525253</v>
      </c>
      <c r="J269" s="22" t="n">
        <v>176.438142206615</v>
      </c>
      <c r="K269" s="22" t="n">
        <v>187.593269831002</v>
      </c>
      <c r="L269" s="22" t="n">
        <v>194.858946403238</v>
      </c>
      <c r="M269" s="22" t="n">
        <v>157.717405878711</v>
      </c>
      <c r="N269" s="22" t="n">
        <v>160.313992822081</v>
      </c>
      <c r="O269" s="22" t="n">
        <v>172.153814949775</v>
      </c>
      <c r="P269" s="22" t="n">
        <v>185.276056726579</v>
      </c>
      <c r="Q269" s="22" t="n">
        <v>127.490741453374</v>
      </c>
      <c r="R269" s="22" t="n">
        <f aca="false">C269*'Weights &amp; Assumptions'!$F$6+D269*'Weights &amp; Assumptions'!$F$7</f>
        <v>125.072821354058</v>
      </c>
      <c r="S269" s="22" t="n">
        <f aca="false">E269*'Weights &amp; Assumptions'!$F$8+F269*'Weights &amp; Assumptions'!$F$9+H269*'Weights &amp; Assumptions'!$F$11</f>
        <v>118.565562455619</v>
      </c>
      <c r="T269" s="22" t="n">
        <f aca="false">G269*'Weights &amp; Assumptions'!$F$10+I269*'Weights &amp; Assumptions'!$F$12+J269*'Weights &amp; Assumptions'!$F$13+K269*'Weights &amp; Assumptions'!$F$14+L269*'Weights &amp; Assumptions'!$F$15+M269*'Weights &amp; Assumptions'!$F$16+N269*'Weights &amp; Assumptions'!$F$17+O269*'Weights &amp; Assumptions'!$F$18+P269*'Weights &amp; Assumptions'!$F$19+Q269*'Weights &amp; Assumptions'!$F$20</f>
        <v>165.403739956172</v>
      </c>
      <c r="U269" s="22" t="n">
        <f aca="false">R269*'Weights &amp; Assumptions'!$B$25/'Weights &amp; Assumptions'!$B$28+S269*'Weights &amp; Assumptions'!$B$26/'Weights &amp; Assumptions'!$B$28+T269*'Weights &amp; Assumptions'!$B$27/'Weights &amp; Assumptions'!$B$28</f>
        <v>149.564852747718</v>
      </c>
      <c r="V269" s="23" t="n">
        <f aca="false">IFERROR(Tabelle1!E270*'Weights &amp; Assumptions'!$F$6+Tabelle1!F270*'Weights &amp; Assumptions'!$F$7,"")</f>
        <v>90.7110586304096</v>
      </c>
      <c r="W269" s="23" t="n">
        <f aca="false">IFERROR(Tabelle1!G270*'Weights &amp; Assumptions'!$F$8+Tabelle1!H270*'Weights &amp; Assumptions'!$F$9+Tabelle1!J270*'Weights &amp; Assumptions'!$F$11,"")</f>
        <v>121.279246814243</v>
      </c>
      <c r="X269" s="23" t="n">
        <f aca="false">IFERROR(Tabelle1!I270*'Weights &amp; Assumptions'!$F$10+Tabelle1!K270*'Weights &amp; Assumptions'!$F$12+Tabelle1!L270*'Weights &amp; Assumptions'!$F$13+Tabelle1!M270*'Weights &amp; Assumptions'!$F$14+Tabelle1!N270*'Weights &amp; Assumptions'!$F$15+Tabelle1!O270*'Weights &amp; Assumptions'!$F$16+Tabelle1!P270*'Weights &amp; Assumptions'!$F$17+Tabelle1!Q270*'Weights &amp; Assumptions'!$F$18+Tabelle1!R270*'Weights &amp; Assumptions'!$F$19+Tabelle1!S270*'Weights &amp; Assumptions'!$F$20,"")</f>
        <v>165.322022743628</v>
      </c>
      <c r="Y269" s="22" t="n">
        <f aca="false">IFERROR(V269*'Weights &amp; Assumptions'!$B$25/'Weights &amp; Assumptions'!$B$28+W269*'Weights &amp; Assumptions'!$B$26/'Weights &amp; Assumptions'!$B$28+X269*'Weights &amp; Assumptions'!$B$27/'Weights &amp; Assumptions'!$B$28,"")</f>
        <v>147.350357297305</v>
      </c>
    </row>
    <row r="270" customFormat="false" ht="15" hidden="false" customHeight="false" outlineLevel="0" collapsed="false">
      <c r="A270" s="20" t="n">
        <v>46022</v>
      </c>
      <c r="B270" s="21" t="n">
        <v>155.94782</v>
      </c>
      <c r="C270" s="22" t="n">
        <v>136.624338027305</v>
      </c>
      <c r="D270" s="22" t="n">
        <v>170.774398173486</v>
      </c>
      <c r="E270" s="22" t="n">
        <v>129.177967555546</v>
      </c>
      <c r="F270" s="22" t="n">
        <v>117.411919566499</v>
      </c>
      <c r="G270" s="22" t="n">
        <v>155.876748077074</v>
      </c>
      <c r="H270" s="22" t="n">
        <v>130.233982098348</v>
      </c>
      <c r="I270" s="22" t="n">
        <v>153.868574292467</v>
      </c>
      <c r="J270" s="22" t="n">
        <v>176.539608330705</v>
      </c>
      <c r="K270" s="22" t="n">
        <v>188.241809984752</v>
      </c>
      <c r="L270" s="22" t="n">
        <v>200.803298341548</v>
      </c>
      <c r="M270" s="22" t="n">
        <v>159.368865752174</v>
      </c>
      <c r="N270" s="22" t="n">
        <v>160.101371468547</v>
      </c>
      <c r="O270" s="22" t="n">
        <v>172.209041587492</v>
      </c>
      <c r="P270" s="22" t="n">
        <v>185.330026174429</v>
      </c>
      <c r="Q270" s="22" t="n">
        <v>128.308471775817</v>
      </c>
      <c r="R270" s="22" t="n">
        <f aca="false">C270*'Weights &amp; Assumptions'!$F$6+D270*'Weights &amp; Assumptions'!$F$7</f>
        <v>137.042762859312</v>
      </c>
      <c r="S270" s="22" t="n">
        <f aca="false">E270*'Weights &amp; Assumptions'!$F$8+F270*'Weights &amp; Assumptions'!$F$9+H270*'Weights &amp; Assumptions'!$F$11</f>
        <v>121.487897205204</v>
      </c>
      <c r="T270" s="22" t="n">
        <f aca="false">G270*'Weights &amp; Assumptions'!$F$10+I270*'Weights &amp; Assumptions'!$F$12+J270*'Weights &amp; Assumptions'!$F$13+K270*'Weights &amp; Assumptions'!$F$14+L270*'Weights &amp; Assumptions'!$F$15+M270*'Weights &amp; Assumptions'!$F$16+N270*'Weights &amp; Assumptions'!$F$17+O270*'Weights &amp; Assumptions'!$F$18+P270*'Weights &amp; Assumptions'!$F$19+Q270*'Weights &amp; Assumptions'!$F$20</f>
        <v>167.523259225952</v>
      </c>
      <c r="U270" s="22" t="n">
        <f aca="false">R270*'Weights &amp; Assumptions'!$B$25/'Weights &amp; Assumptions'!$B$28+S270*'Weights &amp; Assumptions'!$B$26/'Weights &amp; Assumptions'!$B$28+T270*'Weights &amp; Assumptions'!$B$27/'Weights &amp; Assumptions'!$B$28</f>
        <v>152.724313300353</v>
      </c>
      <c r="V270" s="23" t="n">
        <f aca="false">IFERROR(Tabelle1!E271*'Weights &amp; Assumptions'!$F$6+Tabelle1!F271*'Weights &amp; Assumptions'!$F$7,"")</f>
        <v>145.750437088593</v>
      </c>
      <c r="W270" s="23" t="n">
        <f aca="false">IFERROR(Tabelle1!G271*'Weights &amp; Assumptions'!$F$8+Tabelle1!H271*'Weights &amp; Assumptions'!$F$9+Tabelle1!J271*'Weights &amp; Assumptions'!$F$11,"")</f>
        <v>119.833503345129</v>
      </c>
      <c r="X270" s="23" t="n">
        <f aca="false">IFERROR(Tabelle1!I271*'Weights &amp; Assumptions'!$F$10+Tabelle1!K271*'Weights &amp; Assumptions'!$F$12+Tabelle1!L271*'Weights &amp; Assumptions'!$F$13+Tabelle1!M271*'Weights &amp; Assumptions'!$F$14+Tabelle1!N271*'Weights &amp; Assumptions'!$F$15+Tabelle1!O271*'Weights &amp; Assumptions'!$F$16+Tabelle1!P271*'Weights &amp; Assumptions'!$F$17+Tabelle1!Q271*'Weights &amp; Assumptions'!$F$18+Tabelle1!R271*'Weights &amp; Assumptions'!$F$19+Tabelle1!S271*'Weights &amp; Assumptions'!$F$20,"")</f>
        <v>167.23700081737</v>
      </c>
      <c r="Y270" s="22" t="n">
        <f aca="false">IFERROR(V270*'Weights &amp; Assumptions'!$B$25/'Weights &amp; Assumptions'!$B$28+W270*'Weights &amp; Assumptions'!$B$26/'Weights &amp; Assumptions'!$B$28+X270*'Weights &amp; Assumptions'!$B$27/'Weights &amp; Assumptions'!$B$28,"")</f>
        <v>152.828842209456</v>
      </c>
    </row>
    <row r="271" customFormat="false" ht="15" hidden="false" customHeight="false" outlineLevel="0" collapsed="false">
      <c r="A271" s="20" t="n">
        <v>46053</v>
      </c>
      <c r="B271" s="21" t="n">
        <v>156.30087</v>
      </c>
      <c r="C271" s="22" t="n">
        <v>127.290763798784</v>
      </c>
      <c r="D271" s="22" t="n">
        <v>223.741873089631</v>
      </c>
      <c r="E271" s="22" t="n">
        <v>130.975180836995</v>
      </c>
      <c r="F271" s="22" t="n">
        <v>118.474521463446</v>
      </c>
      <c r="G271" s="22" t="n">
        <v>148.080772835404</v>
      </c>
      <c r="H271" s="22" t="n">
        <v>132.05621610393</v>
      </c>
      <c r="I271" s="22" t="n">
        <v>153.710140207464</v>
      </c>
      <c r="J271" s="22" t="n">
        <v>176.140410645385</v>
      </c>
      <c r="K271" s="22" t="n">
        <v>188.625796044058</v>
      </c>
      <c r="L271" s="22" t="n">
        <v>199.888704674393</v>
      </c>
      <c r="M271" s="22" t="n">
        <v>158.658956162627</v>
      </c>
      <c r="N271" s="22" t="n">
        <v>160.069340491583</v>
      </c>
      <c r="O271" s="22" t="n">
        <v>171.868843236345</v>
      </c>
      <c r="P271" s="22" t="n">
        <v>184.112562084716</v>
      </c>
      <c r="Q271" s="22" t="n">
        <v>128.373013335255</v>
      </c>
      <c r="R271" s="22" t="n">
        <f aca="false">C271*'Weights &amp; Assumptions'!$F$6+D271*'Weights &amp; Assumptions'!$F$7</f>
        <v>128.472534461243</v>
      </c>
      <c r="S271" s="22" t="n">
        <f aca="false">E271*'Weights &amp; Assumptions'!$F$8+F271*'Weights &amp; Assumptions'!$F$9+H271*'Weights &amp; Assumptions'!$F$11</f>
        <v>122.79645932816</v>
      </c>
      <c r="T271" s="22" t="n">
        <f aca="false">G271*'Weights &amp; Assumptions'!$F$10+I271*'Weights &amp; Assumptions'!$F$12+J271*'Weights &amp; Assumptions'!$F$13+K271*'Weights &amp; Assumptions'!$F$14+L271*'Weights &amp; Assumptions'!$F$15+M271*'Weights &amp; Assumptions'!$F$16+N271*'Weights &amp; Assumptions'!$F$17+O271*'Weights &amp; Assumptions'!$F$18+P271*'Weights &amp; Assumptions'!$F$19+Q271*'Weights &amp; Assumptions'!$F$20</f>
        <v>166.979350865301</v>
      </c>
      <c r="U271" s="22" t="n">
        <f aca="false">R271*'Weights &amp; Assumptions'!$B$25/'Weights &amp; Assumptions'!$B$28+S271*'Weights &amp; Assumptions'!$B$26/'Weights &amp; Assumptions'!$B$28+T271*'Weights &amp; Assumptions'!$B$27/'Weights &amp; Assumptions'!$B$28</f>
        <v>151.999594269924</v>
      </c>
      <c r="V271" s="23" t="n">
        <f aca="false">IFERROR(Tabelle1!E272*'Weights &amp; Assumptions'!$F$6+Tabelle1!F272*'Weights &amp; Assumptions'!$F$7,"")</f>
        <v>115.026880544451</v>
      </c>
      <c r="W271" s="23" t="n">
        <f aca="false">IFERROR(Tabelle1!G272*'Weights &amp; Assumptions'!$F$8+Tabelle1!H272*'Weights &amp; Assumptions'!$F$9+Tabelle1!J272*'Weights &amp; Assumptions'!$F$11,"")</f>
        <v>114.084743112689</v>
      </c>
      <c r="X271" s="23" t="n">
        <f aca="false">IFERROR(Tabelle1!I272*'Weights &amp; Assumptions'!$F$10+Tabelle1!K272*'Weights &amp; Assumptions'!$F$12+Tabelle1!L272*'Weights &amp; Assumptions'!$F$13+Tabelle1!M272*'Weights &amp; Assumptions'!$F$14+Tabelle1!N272*'Weights &amp; Assumptions'!$F$15+Tabelle1!O272*'Weights &amp; Assumptions'!$F$16+Tabelle1!P272*'Weights &amp; Assumptions'!$F$17+Tabelle1!Q272*'Weights &amp; Assumptions'!$F$18+Tabelle1!R272*'Weights &amp; Assumptions'!$F$19+Tabelle1!S272*'Weights &amp; Assumptions'!$F$20,"")</f>
        <v>166.299133136209</v>
      </c>
      <c r="Y271" s="22" t="n">
        <f aca="false">IFERROR(V271*'Weights &amp; Assumptions'!$B$25/'Weights &amp; Assumptions'!$B$28+W271*'Weights &amp; Assumptions'!$B$26/'Weights &amp; Assumptions'!$B$28+X271*'Weights &amp; Assumptions'!$B$27/'Weights &amp; Assumptions'!$B$28,"")</f>
        <v>148.11263007824</v>
      </c>
    </row>
    <row r="272" customFormat="false" ht="15" hidden="false" customHeight="false" outlineLevel="0" collapsed="false">
      <c r="A272" s="20" t="n">
        <v>46081</v>
      </c>
      <c r="B272" s="21" t="n">
        <v>152.46233</v>
      </c>
      <c r="C272" s="22" t="n">
        <v>120.300732229119</v>
      </c>
      <c r="D272" s="22" t="n">
        <v>165.779376774236</v>
      </c>
      <c r="E272" s="22" t="n">
        <v>131.160129900966</v>
      </c>
      <c r="F272" s="22" t="n">
        <v>114.086332662032</v>
      </c>
      <c r="G272" s="22" t="n">
        <v>143.644721384001</v>
      </c>
      <c r="H272" s="22" t="n">
        <v>132.143685764635</v>
      </c>
      <c r="I272" s="22" t="n">
        <v>151.428494272762</v>
      </c>
      <c r="J272" s="22" t="n">
        <v>178.60373234412</v>
      </c>
      <c r="K272" s="22" t="n">
        <v>186.02009985706</v>
      </c>
      <c r="L272" s="22" t="n">
        <v>198.688053021452</v>
      </c>
      <c r="M272" s="22" t="n">
        <v>158.700985178085</v>
      </c>
      <c r="N272" s="22" t="n">
        <v>159.880866500449</v>
      </c>
      <c r="O272" s="22" t="n">
        <v>172.2368290223</v>
      </c>
      <c r="P272" s="22" t="n">
        <v>184.117489221398</v>
      </c>
      <c r="Q272" s="22" t="n">
        <v>133.00633248731</v>
      </c>
      <c r="R272" s="22" t="n">
        <f aca="false">C272*'Weights &amp; Assumptions'!$F$6+D272*'Weights &amp; Assumptions'!$F$7</f>
        <v>120.857960946207</v>
      </c>
      <c r="S272" s="22" t="n">
        <f aca="false">E272*'Weights &amp; Assumptions'!$F$8+F272*'Weights &amp; Assumptions'!$F$9+H272*'Weights &amp; Assumptions'!$F$11</f>
        <v>119.886678077389</v>
      </c>
      <c r="T272" s="22" t="n">
        <f aca="false">G272*'Weights &amp; Assumptions'!$F$10+I272*'Weights &amp; Assumptions'!$F$12+J272*'Weights &amp; Assumptions'!$F$13+K272*'Weights &amp; Assumptions'!$F$14+L272*'Weights &amp; Assumptions'!$F$15+M272*'Weights &amp; Assumptions'!$F$16+N272*'Weights &amp; Assumptions'!$F$17+O272*'Weights &amp; Assumptions'!$F$18+P272*'Weights &amp; Assumptions'!$F$19+Q272*'Weights &amp; Assumptions'!$F$20</f>
        <v>166.305820856957</v>
      </c>
      <c r="U272" s="22" t="n">
        <f aca="false">R272*'Weights &amp; Assumptions'!$B$25/'Weights &amp; Assumptions'!$B$28+S272*'Weights &amp; Assumptions'!$B$26/'Weights &amp; Assumptions'!$B$28+T272*'Weights &amp; Assumptions'!$B$27/'Weights &amp; Assumptions'!$B$28</f>
        <v>150.149046666477</v>
      </c>
      <c r="V272" s="23" t="n">
        <f aca="false">IFERROR(Tabelle1!E273*'Weights &amp; Assumptions'!$F$6+Tabelle1!F273*'Weights &amp; Assumptions'!$F$7,"")</f>
        <v>82.8265879115863</v>
      </c>
      <c r="W272" s="23" t="n">
        <f aca="false">IFERROR(Tabelle1!G273*'Weights &amp; Assumptions'!$F$8+Tabelle1!H273*'Weights &amp; Assumptions'!$F$9+Tabelle1!J273*'Weights &amp; Assumptions'!$F$11,"")</f>
        <v>108.12092619251</v>
      </c>
      <c r="X272" s="23" t="n">
        <f aca="false">IFERROR(Tabelle1!I273*'Weights &amp; Assumptions'!$F$10+Tabelle1!K273*'Weights &amp; Assumptions'!$F$12+Tabelle1!L273*'Weights &amp; Assumptions'!$F$13+Tabelle1!M273*'Weights &amp; Assumptions'!$F$14+Tabelle1!N273*'Weights &amp; Assumptions'!$F$15+Tabelle1!O273*'Weights &amp; Assumptions'!$F$16+Tabelle1!P273*'Weights &amp; Assumptions'!$F$17+Tabelle1!Q273*'Weights &amp; Assumptions'!$F$18+Tabelle1!R273*'Weights &amp; Assumptions'!$F$19+Tabelle1!S273*'Weights &amp; Assumptions'!$F$20,"")</f>
        <v>161.82816357181</v>
      </c>
      <c r="Y272" s="22" t="n">
        <f aca="false">IFERROR(V272*'Weights &amp; Assumptions'!$B$25/'Weights &amp; Assumptions'!$B$28+W272*'Weights &amp; Assumptions'!$B$26/'Weights &amp; Assumptions'!$B$28+X272*'Weights &amp; Assumptions'!$B$27/'Weights &amp; Assumptions'!$B$28,"")</f>
        <v>140.918173042894</v>
      </c>
    </row>
    <row r="273" customFormat="false" ht="15" hidden="false" customHeight="false" outlineLevel="0" collapsed="false">
      <c r="A273" s="20" t="n">
        <v>46112</v>
      </c>
      <c r="B273" s="21" t="n">
        <v>156.73111</v>
      </c>
      <c r="C273" s="22" t="n">
        <v>132.508317651049</v>
      </c>
      <c r="D273" s="22" t="n">
        <v>161.431201028032</v>
      </c>
      <c r="E273" s="22" t="n">
        <v>135.284088466897</v>
      </c>
      <c r="F273" s="22" t="n">
        <v>120.128678684365</v>
      </c>
      <c r="G273" s="22" t="n">
        <v>149.88613531105</v>
      </c>
      <c r="H273" s="22" t="n">
        <v>136.312527618213</v>
      </c>
      <c r="I273" s="22" t="n">
        <v>156.336567571481</v>
      </c>
      <c r="J273" s="22" t="n">
        <v>178.164455245519</v>
      </c>
      <c r="K273" s="22" t="n">
        <v>190.999364787699</v>
      </c>
      <c r="L273" s="22" t="n">
        <v>206.359268296154</v>
      </c>
      <c r="M273" s="22" t="n">
        <v>160.858546526962</v>
      </c>
      <c r="N273" s="22" t="n">
        <v>159.832404713662</v>
      </c>
      <c r="O273" s="22" t="n">
        <v>172.111959556623</v>
      </c>
      <c r="P273" s="22" t="n">
        <v>184.036183288281</v>
      </c>
      <c r="Q273" s="22" t="n">
        <v>128.663897819908</v>
      </c>
      <c r="R273" s="22" t="n">
        <f aca="false">C273*'Weights &amp; Assumptions'!$F$6+D273*'Weights &amp; Assumptions'!$F$7</f>
        <v>132.862696312943</v>
      </c>
      <c r="S273" s="22" t="n">
        <f aca="false">E273*'Weights &amp; Assumptions'!$F$8+F273*'Weights &amp; Assumptions'!$F$9+H273*'Weights &amp; Assumptions'!$F$11</f>
        <v>125.309677864503</v>
      </c>
      <c r="T273" s="22" t="n">
        <f aca="false">G273*'Weights &amp; Assumptions'!$F$10+I273*'Weights &amp; Assumptions'!$F$12+J273*'Weights &amp; Assumptions'!$F$13+K273*'Weights &amp; Assumptions'!$F$14+L273*'Weights &amp; Assumptions'!$F$15+M273*'Weights &amp; Assumptions'!$F$16+N273*'Weights &amp; Assumptions'!$F$17+O273*'Weights &amp; Assumptions'!$F$18+P273*'Weights &amp; Assumptions'!$F$19+Q273*'Weights &amp; Assumptions'!$F$20</f>
        <v>168.953185542302</v>
      </c>
      <c r="U273" s="22" t="n">
        <f aca="false">R273*'Weights &amp; Assumptions'!$B$25/'Weights &amp; Assumptions'!$B$28+S273*'Weights &amp; Assumptions'!$B$26/'Weights &amp; Assumptions'!$B$28+T273*'Weights &amp; Assumptions'!$B$27/'Weights &amp; Assumptions'!$B$28</f>
        <v>154.319592397991</v>
      </c>
      <c r="V273" s="23" t="n">
        <f aca="false">IFERROR(Tabelle1!E274*'Weights &amp; Assumptions'!$F$6+Tabelle1!F274*'Weights &amp; Assumptions'!$F$7,"")</f>
        <v>177.711267243775</v>
      </c>
      <c r="W273" s="23" t="n">
        <f aca="false">IFERROR(Tabelle1!G274*'Weights &amp; Assumptions'!$F$8+Tabelle1!H274*'Weights &amp; Assumptions'!$F$9+Tabelle1!J274*'Weights &amp; Assumptions'!$F$11,"")</f>
        <v>128.136742597229</v>
      </c>
      <c r="X273" s="23" t="n">
        <f aca="false">IFERROR(Tabelle1!I274*'Weights &amp; Assumptions'!$F$10+Tabelle1!K274*'Weights &amp; Assumptions'!$F$12+Tabelle1!L274*'Weights &amp; Assumptions'!$F$13+Tabelle1!M274*'Weights &amp; Assumptions'!$F$14+Tabelle1!N274*'Weights &amp; Assumptions'!$F$15+Tabelle1!O274*'Weights &amp; Assumptions'!$F$16+Tabelle1!P274*'Weights &amp; Assumptions'!$F$17+Tabelle1!Q274*'Weights &amp; Assumptions'!$F$18+Tabelle1!R274*'Weights &amp; Assumptions'!$F$19+Tabelle1!S274*'Weights &amp; Assumptions'!$F$20,"")</f>
        <v>170.25502593842</v>
      </c>
      <c r="Y273" s="22" t="n">
        <f aca="false">IFERROR(V273*'Weights &amp; Assumptions'!$B$25/'Weights &amp; Assumptions'!$B$28+W273*'Weights &amp; Assumptions'!$B$26/'Weights &amp; Assumptions'!$B$28+X273*'Weights &amp; Assumptions'!$B$27/'Weights &amp; Assumptions'!$B$28,"")</f>
        <v>159.680623519463</v>
      </c>
    </row>
    <row r="274" customFormat="false" ht="15" hidden="false" customHeight="false" outlineLevel="0" collapsed="false">
      <c r="A274" s="20" t="n">
        <v>46142</v>
      </c>
      <c r="B274" s="21" t="n">
        <v>154.3364</v>
      </c>
      <c r="C274" s="22" t="n">
        <v>135.923503844378</v>
      </c>
      <c r="D274" s="22" t="n">
        <v>115.02023271885</v>
      </c>
      <c r="E274" s="22" t="n">
        <v>136.655817689244</v>
      </c>
      <c r="F274" s="22" t="n">
        <v>115.339326385683</v>
      </c>
      <c r="G274" s="22" t="n">
        <v>151.674873146142</v>
      </c>
      <c r="H274" s="22" t="n">
        <v>130.165187683661</v>
      </c>
      <c r="I274" s="22" t="n">
        <v>151.951195601955</v>
      </c>
      <c r="J274" s="22" t="n">
        <v>147.329708599465</v>
      </c>
      <c r="K274" s="22" t="n">
        <v>189.119307586086</v>
      </c>
      <c r="L274" s="22" t="n">
        <v>203.650148372402</v>
      </c>
      <c r="M274" s="22" t="n">
        <v>159.173394089772</v>
      </c>
      <c r="N274" s="22" t="n">
        <v>159.647241231764</v>
      </c>
      <c r="O274" s="22" t="n">
        <v>171.820718414624</v>
      </c>
      <c r="P274" s="22" t="n">
        <v>184.152467735719</v>
      </c>
      <c r="Q274" s="22" t="n">
        <v>128.18107211706</v>
      </c>
      <c r="R274" s="22" t="n">
        <f aca="false">C274*'Weights &amp; Assumptions'!$F$6+D274*'Weights &amp; Assumptions'!$F$7</f>
        <v>135.667385768109</v>
      </c>
      <c r="S274" s="22" t="n">
        <f aca="false">E274*'Weights &amp; Assumptions'!$F$8+F274*'Weights &amp; Assumptions'!$F$9+H274*'Weights &amp; Assumptions'!$F$11</f>
        <v>120.97304368655</v>
      </c>
      <c r="T274" s="22" t="n">
        <f aca="false">G274*'Weights &amp; Assumptions'!$F$10+I274*'Weights &amp; Assumptions'!$F$12+J274*'Weights &amp; Assumptions'!$F$13+K274*'Weights &amp; Assumptions'!$F$14+L274*'Weights &amp; Assumptions'!$F$15+M274*'Weights &amp; Assumptions'!$F$16+N274*'Weights &amp; Assumptions'!$F$17+O274*'Weights &amp; Assumptions'!$F$18+P274*'Weights &amp; Assumptions'!$F$19+Q274*'Weights &amp; Assumptions'!$F$20</f>
        <v>165.788705939412</v>
      </c>
      <c r="U274" s="22" t="n">
        <f aca="false">R274*'Weights &amp; Assumptions'!$B$25/'Weights &amp; Assumptions'!$B$28+S274*'Weights &amp; Assumptions'!$B$26/'Weights &amp; Assumptions'!$B$28+T274*'Weights &amp; Assumptions'!$B$27/'Weights &amp; Assumptions'!$B$28</f>
        <v>151.344234669706</v>
      </c>
      <c r="V274" s="23" t="n">
        <f aca="false">IFERROR(Tabelle1!E275*'Weights &amp; Assumptions'!$F$6+Tabelle1!F275*'Weights &amp; Assumptions'!$F$7,"")</f>
        <v>235.834460550887</v>
      </c>
      <c r="W274" s="23" t="n">
        <f aca="false">IFERROR(Tabelle1!G275*'Weights &amp; Assumptions'!$F$8+Tabelle1!H275*'Weights &amp; Assumptions'!$F$9+Tabelle1!J275*'Weights &amp; Assumptions'!$F$11,"")</f>
        <v>121.284250420618</v>
      </c>
      <c r="X274" s="23" t="n">
        <f aca="false">IFERROR(Tabelle1!I275*'Weights &amp; Assumptions'!$F$10+Tabelle1!K275*'Weights &amp; Assumptions'!$F$12+Tabelle1!L275*'Weights &amp; Assumptions'!$F$13+Tabelle1!M275*'Weights &amp; Assumptions'!$F$14+Tabelle1!N275*'Weights &amp; Assumptions'!$F$15+Tabelle1!O275*'Weights &amp; Assumptions'!$F$16+Tabelle1!P275*'Weights &amp; Assumptions'!$F$17+Tabelle1!Q275*'Weights &amp; Assumptions'!$F$18+Tabelle1!R275*'Weights &amp; Assumptions'!$F$19+Tabelle1!S275*'Weights &amp; Assumptions'!$F$20,"")</f>
        <v>165.914373682333</v>
      </c>
      <c r="Y274" s="22" t="n">
        <f aca="false">IFERROR(V274*'Weights &amp; Assumptions'!$B$25/'Weights &amp; Assumptions'!$B$28+W274*'Weights &amp; Assumptions'!$B$26/'Weights &amp; Assumptions'!$B$28+X274*'Weights &amp; Assumptions'!$B$27/'Weights &amp; Assumptions'!$B$28,"")</f>
        <v>159.912797776334</v>
      </c>
    </row>
    <row r="275" customFormat="false" ht="15" hidden="false" customHeight="false" outlineLevel="0" collapsed="false">
      <c r="A275" s="20" t="n">
        <v>46173</v>
      </c>
      <c r="B275" s="21" t="n">
        <v>153.62027</v>
      </c>
      <c r="C275" s="22" t="n">
        <v>144.426711400562</v>
      </c>
      <c r="D275" s="22" t="n">
        <v>124.725976396493</v>
      </c>
      <c r="E275" s="22" t="n">
        <v>136.603892056399</v>
      </c>
      <c r="F275" s="22" t="n">
        <v>111.151952816861</v>
      </c>
      <c r="G275" s="22" t="n">
        <v>153.22316559341</v>
      </c>
      <c r="H275" s="22" t="n">
        <v>130.811579401365</v>
      </c>
      <c r="I275" s="22" t="n">
        <v>149.125008950911</v>
      </c>
      <c r="J275" s="22" t="n">
        <v>176.684322606312</v>
      </c>
      <c r="K275" s="22" t="n">
        <v>187.907979778355</v>
      </c>
      <c r="L275" s="22" t="n">
        <v>193.834339978572</v>
      </c>
      <c r="M275" s="22" t="n">
        <v>158.840774173195</v>
      </c>
      <c r="N275" s="22" t="n">
        <v>159.42282632206</v>
      </c>
      <c r="O275" s="22" t="n">
        <v>171.448406441195</v>
      </c>
      <c r="P275" s="22" t="n">
        <v>185.391484231493</v>
      </c>
      <c r="Q275" s="22" t="n">
        <v>128.246759560631</v>
      </c>
      <c r="R275" s="22" t="n">
        <f aca="false">C275*'Weights &amp; Assumptions'!$F$6+D275*'Weights &amp; Assumptions'!$F$7</f>
        <v>144.185327441084</v>
      </c>
      <c r="S275" s="22" t="n">
        <f aca="false">E275*'Weights &amp; Assumptions'!$F$8+F275*'Weights &amp; Assumptions'!$F$9+H275*'Weights &amp; Assumptions'!$F$11</f>
        <v>118.28642060301</v>
      </c>
      <c r="T275" s="22" t="n">
        <f aca="false">G275*'Weights &amp; Assumptions'!$F$10+I275*'Weights &amp; Assumptions'!$F$12+J275*'Weights &amp; Assumptions'!$F$13+K275*'Weights &amp; Assumptions'!$F$14+L275*'Weights &amp; Assumptions'!$F$15+M275*'Weights &amp; Assumptions'!$F$16+N275*'Weights &amp; Assumptions'!$F$17+O275*'Weights &amp; Assumptions'!$F$18+P275*'Weights &amp; Assumptions'!$F$19+Q275*'Weights &amp; Assumptions'!$F$20</f>
        <v>165.683622195333</v>
      </c>
      <c r="U275" s="22" t="n">
        <f aca="false">R275*'Weights &amp; Assumptions'!$B$25/'Weights &amp; Assumptions'!$B$28+S275*'Weights &amp; Assumptions'!$B$26/'Weights &amp; Assumptions'!$B$28+T275*'Weights &amp; Assumptions'!$B$27/'Weights &amp; Assumptions'!$B$28</f>
        <v>151.276153529067</v>
      </c>
      <c r="V275" s="23" t="n">
        <f aca="false">IFERROR(Tabelle1!E276*'Weights &amp; Assumptions'!$F$6+Tabelle1!F276*'Weights &amp; Assumptions'!$F$7,"")</f>
        <v>295.276272064099</v>
      </c>
      <c r="W275" s="23" t="n">
        <f aca="false">IFERROR(Tabelle1!G276*'Weights &amp; Assumptions'!$F$8+Tabelle1!H276*'Weights &amp; Assumptions'!$F$9+Tabelle1!J276*'Weights &amp; Assumptions'!$F$11,"")</f>
        <v>120.05250657699</v>
      </c>
      <c r="X275" s="23" t="n">
        <f aca="false">IFERROR(Tabelle1!I276*'Weights &amp; Assumptions'!$F$10+Tabelle1!K276*'Weights &amp; Assumptions'!$F$12+Tabelle1!L276*'Weights &amp; Assumptions'!$F$13+Tabelle1!M276*'Weights &amp; Assumptions'!$F$14+Tabelle1!N276*'Weights &amp; Assumptions'!$F$15+Tabelle1!O276*'Weights &amp; Assumptions'!$F$16+Tabelle1!P276*'Weights &amp; Assumptions'!$F$17+Tabelle1!Q276*'Weights &amp; Assumptions'!$F$18+Tabelle1!R276*'Weights &amp; Assumptions'!$F$19+Tabelle1!S276*'Weights &amp; Assumptions'!$F$20,"")</f>
        <v>166.612626900919</v>
      </c>
      <c r="Y275" s="22" t="n">
        <f aca="false">IFERROR(V275*'Weights &amp; Assumptions'!$B$25/'Weights &amp; Assumptions'!$B$28+W275*'Weights &amp; Assumptions'!$B$26/'Weights &amp; Assumptions'!$B$28+X275*'Weights &amp; Assumptions'!$B$27/'Weights &amp; Assumptions'!$B$28,"")</f>
        <v>165.026464489781</v>
      </c>
    </row>
    <row r="276" customFormat="false" ht="15" hidden="false" customHeight="false" outlineLevel="0" collapsed="false">
      <c r="A276" s="20" t="n">
        <v>46203</v>
      </c>
    </row>
    <row r="277" customFormat="false" ht="15" hidden="false" customHeight="false" outlineLevel="0" collapsed="false">
      <c r="A277" s="20" t="n">
        <v>46234</v>
      </c>
    </row>
    <row r="278" customFormat="false" ht="15" hidden="false" customHeight="false" outlineLevel="0" collapsed="false">
      <c r="A278" s="20" t="n">
        <v>46265</v>
      </c>
    </row>
    <row r="279" customFormat="false" ht="15" hidden="false" customHeight="false" outlineLevel="0" collapsed="false">
      <c r="A279" s="20" t="n">
        <v>46295</v>
      </c>
    </row>
    <row r="280" customFormat="false" ht="15" hidden="false" customHeight="false" outlineLevel="0" collapsed="false">
      <c r="A280" s="20" t="n">
        <v>46326</v>
      </c>
    </row>
    <row r="281" customFormat="false" ht="15" hidden="false" customHeight="false" outlineLevel="0" collapsed="false">
      <c r="A281" s="20" t="n">
        <v>46356</v>
      </c>
    </row>
    <row r="282" customFormat="false" ht="15" hidden="false" customHeight="false" outlineLevel="0" collapsed="false">
      <c r="A282" s="20" t="n">
        <v>46387</v>
      </c>
    </row>
    <row r="283" customFormat="false" ht="15" hidden="false" customHeight="false" outlineLevel="0" collapsed="false">
      <c r="A283" s="20" t="n">
        <v>46418</v>
      </c>
    </row>
    <row r="284" customFormat="false" ht="15" hidden="false" customHeight="false" outlineLevel="0" collapsed="false">
      <c r="A284" s="20" t="n">
        <v>46446</v>
      </c>
    </row>
    <row r="285" customFormat="false" ht="15" hidden="false" customHeight="false" outlineLevel="0" collapsed="false">
      <c r="A285" s="20" t="n">
        <v>46477</v>
      </c>
    </row>
    <row r="286" customFormat="false" ht="15" hidden="false" customHeight="false" outlineLevel="0" collapsed="false">
      <c r="A286" s="20" t="n">
        <v>46507</v>
      </c>
    </row>
    <row r="287" customFormat="false" ht="15" hidden="false" customHeight="false" outlineLevel="0" collapsed="false">
      <c r="A287" s="20" t="n">
        <v>46538</v>
      </c>
    </row>
    <row r="288" customFormat="false" ht="15" hidden="false" customHeight="false" outlineLevel="0" collapsed="false">
      <c r="A288" s="20" t="n">
        <v>46568</v>
      </c>
    </row>
    <row r="289" customFormat="false" ht="15" hidden="false" customHeight="false" outlineLevel="0" collapsed="false">
      <c r="A289" s="20" t="n">
        <v>46599</v>
      </c>
    </row>
    <row r="290" customFormat="false" ht="15" hidden="false" customHeight="false" outlineLevel="0" collapsed="false">
      <c r="A290" s="20" t="n">
        <v>46630</v>
      </c>
    </row>
    <row r="291" customFormat="false" ht="15" hidden="false" customHeight="false" outlineLevel="0" collapsed="false">
      <c r="A291" s="20" t="n">
        <v>46660</v>
      </c>
    </row>
    <row r="292" customFormat="false" ht="15" hidden="false" customHeight="false" outlineLevel="0" collapsed="false">
      <c r="A292" s="20" t="n">
        <v>46691</v>
      </c>
    </row>
    <row r="293" customFormat="false" ht="15" hidden="false" customHeight="false" outlineLevel="0" collapsed="false">
      <c r="A293" s="20" t="n">
        <v>46721</v>
      </c>
    </row>
    <row r="294" customFormat="false" ht="15" hidden="false" customHeight="false" outlineLevel="0" collapsed="false">
      <c r="A294" s="20" t="n">
        <v>46752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13" min="2" style="0" width="11"/>
  </cols>
  <sheetData>
    <row r="1" customFormat="false" ht="17.35" hidden="false" customHeight="false" outlineLevel="0" collapsed="false">
      <c r="A1" s="4" t="s">
        <v>394</v>
      </c>
    </row>
    <row r="2" customFormat="false" ht="15" hidden="false" customHeight="false" outlineLevel="0" collapsed="false">
      <c r="A2" s="5" t="s">
        <v>395</v>
      </c>
    </row>
    <row r="6" customFormat="false" ht="46.25" hidden="false" customHeight="false" outlineLevel="0" collapsed="false">
      <c r="A6" s="7" t="s">
        <v>369</v>
      </c>
      <c r="B6" s="7" t="s">
        <v>396</v>
      </c>
      <c r="C6" s="7" t="s">
        <v>397</v>
      </c>
      <c r="D6" s="7" t="s">
        <v>398</v>
      </c>
      <c r="E6" s="7" t="s">
        <v>399</v>
      </c>
      <c r="F6" s="7" t="s">
        <v>400</v>
      </c>
      <c r="G6" s="7" t="s">
        <v>401</v>
      </c>
      <c r="H6" s="7" t="s">
        <v>402</v>
      </c>
      <c r="I6" s="7" t="s">
        <v>403</v>
      </c>
      <c r="J6" s="7" t="s">
        <v>404</v>
      </c>
      <c r="K6" s="7" t="s">
        <v>405</v>
      </c>
      <c r="L6" s="7" t="s">
        <v>406</v>
      </c>
      <c r="M6" s="7" t="s">
        <v>407</v>
      </c>
    </row>
    <row r="7" customFormat="false" ht="15" hidden="false" customHeight="false" outlineLevel="0" collapsed="false">
      <c r="A7" s="20" t="n">
        <v>38017</v>
      </c>
      <c r="B7" s="23" t="n">
        <f aca="false">'SA Data'!B7</f>
        <v>98.33957</v>
      </c>
      <c r="C7" s="24"/>
      <c r="D7" s="24"/>
      <c r="E7" s="24"/>
      <c r="F7" s="24"/>
      <c r="G7" s="24"/>
      <c r="H7" s="23" t="n">
        <f aca="false">'SA Data'!U7</f>
        <v>98.9592570668574</v>
      </c>
      <c r="I7" s="24"/>
      <c r="J7" s="24"/>
      <c r="K7" s="24"/>
      <c r="L7" s="24"/>
      <c r="M7" s="24"/>
    </row>
    <row r="8" customFormat="false" ht="15" hidden="false" customHeight="false" outlineLevel="0" collapsed="false">
      <c r="A8" s="20" t="n">
        <v>38046</v>
      </c>
      <c r="B8" s="23" t="n">
        <f aca="false">'SA Data'!B8</f>
        <v>98.07072</v>
      </c>
      <c r="C8" s="24" t="n">
        <f aca="false">(B8/B7-1)*100</f>
        <v>-0.2733894402833</v>
      </c>
      <c r="D8" s="24"/>
      <c r="E8" s="24"/>
      <c r="F8" s="24"/>
      <c r="G8" s="24"/>
      <c r="H8" s="23" t="n">
        <f aca="false">'SA Data'!U8</f>
        <v>99.0550582098934</v>
      </c>
      <c r="I8" s="24" t="n">
        <f aca="false">(H8/H7-1)*100</f>
        <v>0.0968086724531858</v>
      </c>
      <c r="J8" s="24"/>
      <c r="K8" s="24"/>
      <c r="L8" s="24"/>
      <c r="M8" s="24"/>
    </row>
    <row r="9" customFormat="false" ht="15" hidden="false" customHeight="false" outlineLevel="0" collapsed="false">
      <c r="A9" s="20" t="n">
        <v>38077</v>
      </c>
      <c r="B9" s="23" t="n">
        <f aca="false">'SA Data'!B9</f>
        <v>97.66795</v>
      </c>
      <c r="C9" s="24" t="n">
        <f aca="false">(B9/B8-1)*100</f>
        <v>-0.410693426131659</v>
      </c>
      <c r="D9" s="24"/>
      <c r="E9" s="24"/>
      <c r="F9" s="24"/>
      <c r="G9" s="24"/>
      <c r="H9" s="23" t="n">
        <f aca="false">'SA Data'!U9</f>
        <v>98.3100002526695</v>
      </c>
      <c r="I9" s="24" t="n">
        <f aca="false">(H9/H8-1)*100</f>
        <v>-0.752165483205425</v>
      </c>
      <c r="J9" s="24"/>
      <c r="K9" s="24"/>
      <c r="L9" s="24"/>
      <c r="M9" s="24"/>
    </row>
    <row r="10" customFormat="false" ht="15" hidden="false" customHeight="false" outlineLevel="0" collapsed="false">
      <c r="A10" s="20" t="n">
        <v>38107</v>
      </c>
      <c r="B10" s="23" t="n">
        <f aca="false">'SA Data'!B10</f>
        <v>95.23678</v>
      </c>
      <c r="C10" s="24" t="n">
        <f aca="false">(B10/B9-1)*100</f>
        <v>-2.48921985154803</v>
      </c>
      <c r="D10" s="24"/>
      <c r="E10" s="24"/>
      <c r="F10" s="24"/>
      <c r="G10" s="24"/>
      <c r="H10" s="23" t="n">
        <f aca="false">'SA Data'!U10</f>
        <v>97.4112396814495</v>
      </c>
      <c r="I10" s="24" t="n">
        <f aca="false">(H10/H9-1)*100</f>
        <v>-0.914210730251297</v>
      </c>
      <c r="J10" s="24"/>
      <c r="K10" s="24"/>
      <c r="L10" s="24"/>
      <c r="M10" s="24"/>
    </row>
    <row r="11" customFormat="false" ht="15" hidden="false" customHeight="false" outlineLevel="0" collapsed="false">
      <c r="A11" s="20" t="n">
        <v>38138</v>
      </c>
      <c r="B11" s="23" t="n">
        <f aca="false">'SA Data'!B11</f>
        <v>96.95127</v>
      </c>
      <c r="C11" s="24" t="n">
        <f aca="false">(B11/B10-1)*100</f>
        <v>1.80023936130558</v>
      </c>
      <c r="D11" s="24"/>
      <c r="E11" s="24"/>
      <c r="F11" s="24"/>
      <c r="G11" s="24"/>
      <c r="H11" s="23" t="n">
        <f aca="false">'SA Data'!U11</f>
        <v>97.3340733041472</v>
      </c>
      <c r="I11" s="24" t="n">
        <f aca="false">(H11/H10-1)*100</f>
        <v>-0.0792171186350665</v>
      </c>
      <c r="J11" s="24"/>
      <c r="K11" s="24"/>
      <c r="L11" s="24"/>
      <c r="M11" s="24"/>
    </row>
    <row r="12" customFormat="false" ht="15" hidden="false" customHeight="false" outlineLevel="0" collapsed="false">
      <c r="A12" s="20" t="n">
        <v>38168</v>
      </c>
      <c r="B12" s="23" t="n">
        <f aca="false">'SA Data'!B12</f>
        <v>98.68356</v>
      </c>
      <c r="C12" s="24" t="n">
        <f aca="false">(B12/B11-1)*100</f>
        <v>1.78676359783632</v>
      </c>
      <c r="D12" s="24" t="n">
        <f aca="false">(AVERAGE(B10:B12)/AVERAGE(B7:B9)-1)*100</f>
        <v>-1.09040029619328</v>
      </c>
      <c r="E12" s="24" t="n">
        <f aca="false">((AVERAGE(B10:B12)/AVERAGE(B7:B9))^4-1)*100</f>
        <v>-4.2907799852804</v>
      </c>
      <c r="F12" s="24"/>
      <c r="G12" s="24"/>
      <c r="H12" s="23" t="n">
        <f aca="false">'SA Data'!U12</f>
        <v>98.3512155735745</v>
      </c>
      <c r="I12" s="24" t="n">
        <f aca="false">(H12/H11-1)*100</f>
        <v>1.04500123635936</v>
      </c>
      <c r="J12" s="24" t="n">
        <f aca="false">(AVERAGE(H10:H12)/AVERAGE(H7:H9)-1)*100</f>
        <v>-1.08927509525579</v>
      </c>
      <c r="K12" s="24" t="n">
        <f aca="false">((AVERAGE(H10:H12)/AVERAGE(H7:H9))^4-1)*100</f>
        <v>-4.28642473798023</v>
      </c>
      <c r="L12" s="24"/>
      <c r="M12" s="24"/>
    </row>
    <row r="13" customFormat="false" ht="15" hidden="false" customHeight="false" outlineLevel="0" collapsed="false">
      <c r="A13" s="20" t="n">
        <v>38199</v>
      </c>
      <c r="B13" s="23" t="n">
        <f aca="false">'SA Data'!B13</f>
        <v>100.8411</v>
      </c>
      <c r="C13" s="24" t="n">
        <f aca="false">(B13/B12-1)*100</f>
        <v>2.18632161223207</v>
      </c>
      <c r="D13" s="24" t="n">
        <f aca="false">(AVERAGE(B11:B13)/AVERAGE(B8:B10)-1)*100</f>
        <v>1.89035879143755</v>
      </c>
      <c r="E13" s="24" t="n">
        <f aca="false">((AVERAGE(B11:B13)/AVERAGE(B8:B10))^4-1)*100</f>
        <v>7.77855736282114</v>
      </c>
      <c r="F13" s="24"/>
      <c r="G13" s="24"/>
      <c r="H13" s="23" t="n">
        <f aca="false">'SA Data'!U13</f>
        <v>100.029214852191</v>
      </c>
      <c r="I13" s="24" t="n">
        <f aca="false">(H13/H12-1)*100</f>
        <v>1.70612967905939</v>
      </c>
      <c r="J13" s="24" t="n">
        <f aca="false">(AVERAGE(H11:H13)/AVERAGE(H8:H10)-1)*100</f>
        <v>0.318277145010382</v>
      </c>
      <c r="K13" s="24" t="n">
        <f aca="false">((AVERAGE(H11:H13)/AVERAGE(H8:H10))^4-1)*100</f>
        <v>1.27919950739879</v>
      </c>
      <c r="L13" s="24"/>
      <c r="M13" s="24"/>
    </row>
    <row r="14" customFormat="false" ht="15" hidden="false" customHeight="false" outlineLevel="0" collapsed="false">
      <c r="A14" s="20" t="n">
        <v>38230</v>
      </c>
      <c r="B14" s="23" t="n">
        <f aca="false">'SA Data'!B14</f>
        <v>102.17769</v>
      </c>
      <c r="C14" s="24" t="n">
        <f aca="false">(B14/B13-1)*100</f>
        <v>1.32544170977904</v>
      </c>
      <c r="D14" s="24" t="n">
        <f aca="false">(AVERAGE(B12:B14)/AVERAGE(B9:B11)-1)*100</f>
        <v>4.08697767167145</v>
      </c>
      <c r="E14" s="24" t="n">
        <f aca="false">((AVERAGE(B12:B14)/AVERAGE(B9:B11))^4-1)*100</f>
        <v>17.3776994261788</v>
      </c>
      <c r="F14" s="24"/>
      <c r="G14" s="24"/>
      <c r="H14" s="23" t="n">
        <f aca="false">'SA Data'!U14</f>
        <v>100.27796927974</v>
      </c>
      <c r="I14" s="24" t="n">
        <f aca="false">(H14/H13-1)*100</f>
        <v>0.248681775535564</v>
      </c>
      <c r="J14" s="24" t="n">
        <f aca="false">(AVERAGE(H12:H14)/AVERAGE(H9:H11)-1)*100</f>
        <v>1.91195525695287</v>
      </c>
      <c r="K14" s="24" t="n">
        <f aca="false">((AVERAGE(H12:H14)/AVERAGE(H9:H11))^4-1)*100</f>
        <v>7.86996448203297</v>
      </c>
      <c r="L14" s="24"/>
      <c r="M14" s="24"/>
    </row>
    <row r="15" customFormat="false" ht="15" hidden="false" customHeight="false" outlineLevel="0" collapsed="false">
      <c r="A15" s="20" t="n">
        <v>38260</v>
      </c>
      <c r="B15" s="23" t="n">
        <f aca="false">'SA Data'!B15</f>
        <v>102.35036</v>
      </c>
      <c r="C15" s="24" t="n">
        <f aca="false">(B15/B14-1)*100</f>
        <v>0.168989923338447</v>
      </c>
      <c r="D15" s="24" t="n">
        <f aca="false">(AVERAGE(B13:B15)/AVERAGE(B10:B12)-1)*100</f>
        <v>4.98417153877617</v>
      </c>
      <c r="E15" s="24" t="n">
        <f aca="false">((AVERAGE(B13:B15)/AVERAGE(B10:B12))^4-1)*100</f>
        <v>21.4773478818708</v>
      </c>
      <c r="F15" s="24"/>
      <c r="G15" s="24"/>
      <c r="H15" s="23" t="n">
        <f aca="false">'SA Data'!U15</f>
        <v>101.290641697256</v>
      </c>
      <c r="I15" s="24" t="n">
        <f aca="false">(H15/H14-1)*100</f>
        <v>1.0098653022091</v>
      </c>
      <c r="J15" s="24" t="n">
        <f aca="false">(AVERAGE(H13:H15)/AVERAGE(H10:H12)-1)*100</f>
        <v>2.9005110745618</v>
      </c>
      <c r="K15" s="24" t="n">
        <f aca="false">((AVERAGE(H13:H15)/AVERAGE(H10:H12))^4-1)*100</f>
        <v>12.1166537045116</v>
      </c>
      <c r="L15" s="24"/>
      <c r="M15" s="24"/>
    </row>
    <row r="16" customFormat="false" ht="15" hidden="false" customHeight="false" outlineLevel="0" collapsed="false">
      <c r="A16" s="20" t="n">
        <v>38291</v>
      </c>
      <c r="B16" s="23" t="n">
        <f aca="false">'SA Data'!B16</f>
        <v>103.12368</v>
      </c>
      <c r="C16" s="24" t="n">
        <f aca="false">(B16/B15-1)*100</f>
        <v>0.755561582782893</v>
      </c>
      <c r="D16" s="24" t="n">
        <f aca="false">(AVERAGE(B14:B16)/AVERAGE(B11:B13)-1)*100</f>
        <v>3.76954716020284</v>
      </c>
      <c r="E16" s="24" t="n">
        <f aca="false">((AVERAGE(B14:B16)/AVERAGE(B11:B13))^4-1)*100</f>
        <v>15.952385028605</v>
      </c>
      <c r="F16" s="24"/>
      <c r="G16" s="24"/>
      <c r="H16" s="23" t="n">
        <f aca="false">'SA Data'!U16</f>
        <v>101.83843678438</v>
      </c>
      <c r="I16" s="24" t="n">
        <f aca="false">(H16/H15-1)*100</f>
        <v>0.54081510191395</v>
      </c>
      <c r="J16" s="24" t="n">
        <f aca="false">(AVERAGE(H14:H16)/AVERAGE(H11:H13)-1)*100</f>
        <v>2.60134147444067</v>
      </c>
      <c r="K16" s="24" t="n">
        <f aca="false">((AVERAGE(H14:H16)/AVERAGE(H11:H13))^4-1)*100</f>
        <v>10.8184716254016</v>
      </c>
      <c r="L16" s="24"/>
      <c r="M16" s="24"/>
    </row>
    <row r="17" customFormat="false" ht="15" hidden="false" customHeight="false" outlineLevel="0" collapsed="false">
      <c r="A17" s="20" t="n">
        <v>38321</v>
      </c>
      <c r="B17" s="23" t="n">
        <f aca="false">'SA Data'!B17</f>
        <v>103.57877</v>
      </c>
      <c r="C17" s="24" t="n">
        <f aca="false">(B17/B16-1)*100</f>
        <v>0.441305042643947</v>
      </c>
      <c r="D17" s="24" t="n">
        <f aca="false">(AVERAGE(B15:B17)/AVERAGE(B12:B14)-1)*100</f>
        <v>2.43632838789623</v>
      </c>
      <c r="E17" s="24" t="n">
        <f aca="false">((AVERAGE(B15:B17)/AVERAGE(B12:B14))^4-1)*100</f>
        <v>10.1072750667722</v>
      </c>
      <c r="F17" s="24"/>
      <c r="G17" s="24"/>
      <c r="H17" s="23" t="n">
        <f aca="false">'SA Data'!U17</f>
        <v>102.264236829058</v>
      </c>
      <c r="I17" s="24" t="n">
        <f aca="false">(H17/H16-1)*100</f>
        <v>0.418113296043665</v>
      </c>
      <c r="J17" s="24" t="n">
        <f aca="false">(AVERAGE(H15:H17)/AVERAGE(H12:H14)-1)*100</f>
        <v>2.2550564832029</v>
      </c>
      <c r="K17" s="24" t="n">
        <f aca="false">((AVERAGE(H15:H17)/AVERAGE(H12:H14))^4-1)*100</f>
        <v>9.32995561464862</v>
      </c>
      <c r="L17" s="24"/>
      <c r="M17" s="24"/>
    </row>
    <row r="18" customFormat="false" ht="15" hidden="false" customHeight="false" outlineLevel="0" collapsed="false">
      <c r="A18" s="20" t="n">
        <v>38352</v>
      </c>
      <c r="B18" s="23" t="n">
        <f aca="false">'SA Data'!B18</f>
        <v>102.97856</v>
      </c>
      <c r="C18" s="24" t="n">
        <f aca="false">(B18/B17-1)*100</f>
        <v>-0.57947202887233</v>
      </c>
      <c r="D18" s="24" t="n">
        <f aca="false">(AVERAGE(B16:B18)/AVERAGE(B13:B15)-1)*100</f>
        <v>1.41201558834612</v>
      </c>
      <c r="E18" s="24" t="n">
        <f aca="false">((AVERAGE(B16:B18)/AVERAGE(B13:B15))^4-1)*100</f>
        <v>5.76881971378571</v>
      </c>
      <c r="F18" s="24"/>
      <c r="G18" s="24"/>
      <c r="H18" s="23" t="n">
        <f aca="false">'SA Data'!U18</f>
        <v>103.013000306418</v>
      </c>
      <c r="I18" s="24" t="n">
        <f aca="false">(H18/H17-1)*100</f>
        <v>0.732185073273262</v>
      </c>
      <c r="J18" s="24" t="n">
        <f aca="false">(AVERAGE(H16:H18)/AVERAGE(H13:H15)-1)*100</f>
        <v>1.82953841775868</v>
      </c>
      <c r="K18" s="24" t="n">
        <f aca="false">((AVERAGE(H16:H18)/AVERAGE(H13:H15))^4-1)*100</f>
        <v>7.52144706449482</v>
      </c>
      <c r="L18" s="24"/>
      <c r="M18" s="24"/>
    </row>
    <row r="19" customFormat="false" ht="15" hidden="false" customHeight="false" outlineLevel="0" collapsed="false">
      <c r="A19" s="20" t="n">
        <v>38383</v>
      </c>
      <c r="B19" s="23" t="n">
        <f aca="false">'SA Data'!B19</f>
        <v>105.74978</v>
      </c>
      <c r="C19" s="24" t="n">
        <f aca="false">(B19/B18-1)*100</f>
        <v>2.69106501392133</v>
      </c>
      <c r="D19" s="24" t="n">
        <f aca="false">(AVERAGE(B17:B19)/AVERAGE(B14:B16)-1)*100</f>
        <v>1.51319805677674</v>
      </c>
      <c r="E19" s="24" t="n">
        <f aca="false">((AVERAGE(B17:B19)/AVERAGE(B14:B16))^4-1)*100</f>
        <v>6.19156952090063</v>
      </c>
      <c r="F19" s="24" t="n">
        <f aca="false">(B19/B7-1)*100</f>
        <v>7.53532886100683</v>
      </c>
      <c r="G19" s="24" t="n">
        <f aca="false">IFERROR((AVERAGE(B19:B19)/AVERAGE(B7:B7)-1)*100,"")</f>
        <v>7.53532886100683</v>
      </c>
      <c r="H19" s="23" t="n">
        <f aca="false">'SA Data'!U19</f>
        <v>103.297796422906</v>
      </c>
      <c r="I19" s="24" t="n">
        <f aca="false">(H19/H18-1)*100</f>
        <v>0.276466189356306</v>
      </c>
      <c r="J19" s="24" t="n">
        <f aca="false">(AVERAGE(H17:H19)/AVERAGE(H14:H16)-1)*100</f>
        <v>1.70331765037701</v>
      </c>
      <c r="K19" s="24" t="n">
        <f aca="false">((AVERAGE(H17:H19)/AVERAGE(H14:H16))^4-1)*100</f>
        <v>6.98933320816277</v>
      </c>
      <c r="L19" s="24" t="n">
        <f aca="false">IFERROR(('SA Data'!Y19/'SA Data'!Y7-1)*100,"")</f>
        <v>6.69041979069318</v>
      </c>
      <c r="M19" s="24" t="n">
        <f aca="false">IFERROR((AVERAGE('SA Data'!Y19:Y19)/AVERAGE('SA Data'!Y7:Y7)-1)*100,"")</f>
        <v>6.69041979069318</v>
      </c>
    </row>
    <row r="20" customFormat="false" ht="15" hidden="false" customHeight="false" outlineLevel="0" collapsed="false">
      <c r="A20" s="20" t="n">
        <v>38411</v>
      </c>
      <c r="B20" s="23" t="n">
        <f aca="false">'SA Data'!B20</f>
        <v>106.05741</v>
      </c>
      <c r="C20" s="24" t="n">
        <f aca="false">(B20/B19-1)*100</f>
        <v>0.290903678475751</v>
      </c>
      <c r="D20" s="24" t="n">
        <f aca="false">(AVERAGE(B18:B20)/AVERAGE(B15:B17)-1)*100</f>
        <v>1.85500335686966</v>
      </c>
      <c r="E20" s="24" t="n">
        <f aca="false">((AVERAGE(B18:B20)/AVERAGE(B15:B17))^4-1)*100</f>
        <v>7.62904076986855</v>
      </c>
      <c r="F20" s="24" t="n">
        <f aca="false">(B20/B8-1)*100</f>
        <v>8.14380683653593</v>
      </c>
      <c r="G20" s="24" t="n">
        <f aca="false">IFERROR((AVERAGE(B19:B20)/AVERAGE(B7:B8)-1)*100,"")</f>
        <v>7.83915140087621</v>
      </c>
      <c r="H20" s="23" t="n">
        <f aca="false">'SA Data'!U20</f>
        <v>104.449377148345</v>
      </c>
      <c r="I20" s="24" t="n">
        <f aca="false">(H20/H19-1)*100</f>
        <v>1.11481635167126</v>
      </c>
      <c r="J20" s="24" t="n">
        <f aca="false">(AVERAGE(H18:H20)/AVERAGE(H15:H17)-1)*100</f>
        <v>1.75735954191236</v>
      </c>
      <c r="K20" s="24" t="n">
        <f aca="false">((AVERAGE(H18:H20)/AVERAGE(H15:H17))^4-1)*100</f>
        <v>7.21691736911492</v>
      </c>
      <c r="L20" s="24" t="n">
        <f aca="false">IFERROR(('SA Data'!Y20/'SA Data'!Y8-1)*100,"")</f>
        <v>7.26061891120322</v>
      </c>
      <c r="M20" s="24" t="n">
        <f aca="false">IFERROR((AVERAGE('SA Data'!Y19:Y20)/AVERAGE('SA Data'!Y7:Y8)-1)*100,"")</f>
        <v>6.97334893069994</v>
      </c>
    </row>
    <row r="21" customFormat="false" ht="15" hidden="false" customHeight="false" outlineLevel="0" collapsed="false">
      <c r="A21" s="20" t="n">
        <v>38442</v>
      </c>
      <c r="B21" s="23" t="n">
        <f aca="false">'SA Data'!B21</f>
        <v>106.85062</v>
      </c>
      <c r="C21" s="24" t="n">
        <f aca="false">(B21/B20-1)*100</f>
        <v>0.747906251906394</v>
      </c>
      <c r="D21" s="24" t="n">
        <f aca="false">(AVERAGE(B19:B21)/AVERAGE(B16:B18)-1)*100</f>
        <v>2.89872472322408</v>
      </c>
      <c r="E21" s="24" t="n">
        <f aca="false">((AVERAGE(B19:B21)/AVERAGE(B16:B18))^4-1)*100</f>
        <v>12.1088685334949</v>
      </c>
      <c r="F21" s="24" t="n">
        <f aca="false">(B21/B9-1)*100</f>
        <v>9.40192765385164</v>
      </c>
      <c r="G21" s="24" t="n">
        <f aca="false">IFERROR((AVERAGE(B19:B21)/AVERAGE(B7:B9)-1)*100,"")</f>
        <v>8.35817366153988</v>
      </c>
      <c r="H21" s="23" t="n">
        <f aca="false">'SA Data'!U21</f>
        <v>105.833948754732</v>
      </c>
      <c r="I21" s="24" t="n">
        <f aca="false">(H21/H20-1)*100</f>
        <v>1.32559106065331</v>
      </c>
      <c r="J21" s="24" t="n">
        <f aca="false">(AVERAGE(H19:H21)/AVERAGE(H16:H18)-1)*100</f>
        <v>2.10521603264513</v>
      </c>
      <c r="K21" s="24" t="n">
        <f aca="false">((AVERAGE(H19:H21)/AVERAGE(H16:H18))^4-1)*100</f>
        <v>8.69053191713385</v>
      </c>
      <c r="L21" s="24" t="n">
        <f aca="false">IFERROR(('SA Data'!Y21/'SA Data'!Y9-1)*100,"")</f>
        <v>9.2340090495064</v>
      </c>
      <c r="M21" s="24" t="n">
        <f aca="false">IFERROR((AVERAGE('SA Data'!Y19:Y21)/AVERAGE('SA Data'!Y7:Y9)-1)*100,"")</f>
        <v>7.77971901323964</v>
      </c>
    </row>
    <row r="22" customFormat="false" ht="15" hidden="false" customHeight="false" outlineLevel="0" collapsed="false">
      <c r="A22" s="20" t="n">
        <v>38472</v>
      </c>
      <c r="B22" s="23" t="n">
        <f aca="false">'SA Data'!B22</f>
        <v>107.96569</v>
      </c>
      <c r="C22" s="24" t="n">
        <f aca="false">(B22/B21-1)*100</f>
        <v>1.04357840881035</v>
      </c>
      <c r="D22" s="24" t="n">
        <f aca="false">(AVERAGE(B20:B22)/AVERAGE(B17:B19)-1)*100</f>
        <v>2.74300831639727</v>
      </c>
      <c r="E22" s="24" t="n">
        <f aca="false">((AVERAGE(B20:B22)/AVERAGE(B17:B19))^4-1)*100</f>
        <v>11.431791016669</v>
      </c>
      <c r="F22" s="24" t="n">
        <f aca="false">(B22/B10-1)*100</f>
        <v>13.3655400781085</v>
      </c>
      <c r="G22" s="24" t="n">
        <f aca="false">IFERROR((AVERAGE(B19:B22)/AVERAGE(B7:B10)-1)*100,"")</f>
        <v>9.58310830134426</v>
      </c>
      <c r="H22" s="23" t="n">
        <f aca="false">'SA Data'!U22</f>
        <v>107.7026137648</v>
      </c>
      <c r="I22" s="24" t="n">
        <f aca="false">(H22/H21-1)*100</f>
        <v>1.76565745874167</v>
      </c>
      <c r="J22" s="24" t="n">
        <f aca="false">(AVERAGE(H20:H22)/AVERAGE(H17:H19)-1)*100</f>
        <v>3.04979505340113</v>
      </c>
      <c r="K22" s="24" t="n">
        <f aca="false">((AVERAGE(H20:H22)/AVERAGE(H17:H19))^4-1)*100</f>
        <v>12.7686884812535</v>
      </c>
      <c r="L22" s="24" t="n">
        <f aca="false">IFERROR(('SA Data'!Y22/'SA Data'!Y10-1)*100,"")</f>
        <v>13.1734637090712</v>
      </c>
      <c r="M22" s="24" t="n">
        <f aca="false">IFERROR((AVERAGE('SA Data'!Y19:Y22)/AVERAGE('SA Data'!Y7:Y10)-1)*100,"")</f>
        <v>9.20535189465079</v>
      </c>
    </row>
    <row r="23" customFormat="false" ht="15" hidden="false" customHeight="false" outlineLevel="0" collapsed="false">
      <c r="A23" s="20" t="n">
        <v>38503</v>
      </c>
      <c r="B23" s="23" t="n">
        <f aca="false">'SA Data'!B23</f>
        <v>109.10032</v>
      </c>
      <c r="C23" s="24" t="n">
        <f aca="false">(B23/B22-1)*100</f>
        <v>1.05091719415678</v>
      </c>
      <c r="D23" s="24" t="n">
        <f aca="false">(AVERAGE(B21:B23)/AVERAGE(B18:B20)-1)*100</f>
        <v>2.90066497609882</v>
      </c>
      <c r="E23" s="24" t="n">
        <f aca="false">((AVERAGE(B21:B23)/AVERAGE(B18:B20))^4-1)*100</f>
        <v>12.1173244480817</v>
      </c>
      <c r="F23" s="24" t="n">
        <f aca="false">(B23/B11-1)*100</f>
        <v>12.5310890718605</v>
      </c>
      <c r="G23" s="24" t="n">
        <f aca="false">IFERROR((AVERAGE(B19:B23)/AVERAGE(B7:B11)-1)*100,"")</f>
        <v>10.1708736585463</v>
      </c>
      <c r="H23" s="23" t="n">
        <f aca="false">'SA Data'!U23</f>
        <v>108.261155673995</v>
      </c>
      <c r="I23" s="24" t="n">
        <f aca="false">(H23/H22-1)*100</f>
        <v>0.51859642925185</v>
      </c>
      <c r="J23" s="24" t="n">
        <f aca="false">(AVERAGE(H21:H23)/AVERAGE(H18:H20)-1)*100</f>
        <v>3.55178856355098</v>
      </c>
      <c r="K23" s="24" t="n">
        <f aca="false">((AVERAGE(H21:H23)/AVERAGE(H18:H20))^4-1)*100</f>
        <v>14.9821481296122</v>
      </c>
      <c r="L23" s="24" t="n">
        <f aca="false">IFERROR(('SA Data'!Y23/'SA Data'!Y11-1)*100,"")</f>
        <v>14.9872270243655</v>
      </c>
      <c r="M23" s="24" t="n">
        <f aca="false">IFERROR((AVERAGE('SA Data'!Y19:Y23)/AVERAGE('SA Data'!Y7:Y11)-1)*100,"")</f>
        <v>10.4770514834835</v>
      </c>
    </row>
    <row r="24" customFormat="false" ht="15" hidden="false" customHeight="false" outlineLevel="0" collapsed="false">
      <c r="A24" s="20" t="n">
        <v>38533</v>
      </c>
      <c r="B24" s="23" t="n">
        <f aca="false">'SA Data'!B24</f>
        <v>108.58363</v>
      </c>
      <c r="C24" s="24" t="n">
        <f aca="false">(B24/B23-1)*100</f>
        <v>-0.473591644827431</v>
      </c>
      <c r="D24" s="24" t="n">
        <f aca="false">(AVERAGE(B22:B24)/AVERAGE(B19:B21)-1)*100</f>
        <v>2.19414989389399</v>
      </c>
      <c r="E24" s="24" t="n">
        <f aca="false">((AVERAGE(B22:B24)/AVERAGE(B19:B21))^4-1)*100</f>
        <v>9.06970569126717</v>
      </c>
      <c r="F24" s="24" t="n">
        <f aca="false">(B24/B12-1)*100</f>
        <v>10.0321370651809</v>
      </c>
      <c r="G24" s="24" t="n">
        <f aca="false">IFERROR((AVERAGE(B19:B24)/AVERAGE(B7:B12)-1)*100,"")</f>
        <v>10.1474681974874</v>
      </c>
      <c r="H24" s="23" t="n">
        <f aca="false">'SA Data'!U24</f>
        <v>108.498306345037</v>
      </c>
      <c r="I24" s="24" t="n">
        <f aca="false">(H24/H23-1)*100</f>
        <v>0.219054257794982</v>
      </c>
      <c r="J24" s="24" t="n">
        <f aca="false">(AVERAGE(H22:H24)/AVERAGE(H19:H21)-1)*100</f>
        <v>3.469900667853</v>
      </c>
      <c r="K24" s="24" t="n">
        <f aca="false">((AVERAGE(H22:H24)/AVERAGE(H19:H21))^4-1)*100</f>
        <v>14.6188716107533</v>
      </c>
      <c r="L24" s="24" t="n">
        <f aca="false">IFERROR(('SA Data'!Y24/'SA Data'!Y12-1)*100,"")</f>
        <v>11.8809520466814</v>
      </c>
      <c r="M24" s="24" t="n">
        <f aca="false">IFERROR((AVERAGE('SA Data'!Y19:Y24)/AVERAGE('SA Data'!Y7:Y12)-1)*100,"")</f>
        <v>10.7213920813788</v>
      </c>
    </row>
    <row r="25" customFormat="false" ht="15" hidden="false" customHeight="false" outlineLevel="0" collapsed="false">
      <c r="A25" s="20" t="n">
        <v>38564</v>
      </c>
      <c r="B25" s="23" t="n">
        <f aca="false">'SA Data'!B25</f>
        <v>109.13426</v>
      </c>
      <c r="C25" s="24" t="n">
        <f aca="false">(B25/B24-1)*100</f>
        <v>0.507102221577971</v>
      </c>
      <c r="D25" s="24" t="n">
        <f aca="false">(AVERAGE(B23:B25)/AVERAGE(B20:B22)-1)*100</f>
        <v>1.85259484634643</v>
      </c>
      <c r="E25" s="24" t="n">
        <f aca="false">((AVERAGE(B23:B25)/AVERAGE(B20:B22))^4-1)*100</f>
        <v>7.61886094662001</v>
      </c>
      <c r="F25" s="24" t="n">
        <f aca="false">(B25/B13-1)*100</f>
        <v>8.22398803662397</v>
      </c>
      <c r="G25" s="24" t="n">
        <f aca="false">IFERROR((AVERAGE(B19:B25)/AVERAGE(B7:B13)-1)*100,"")</f>
        <v>9.86463294681859</v>
      </c>
      <c r="H25" s="23" t="n">
        <f aca="false">'SA Data'!U25</f>
        <v>108.092964760286</v>
      </c>
      <c r="I25" s="24" t="n">
        <f aca="false">(H25/H24-1)*100</f>
        <v>-0.373592545732393</v>
      </c>
      <c r="J25" s="24" t="n">
        <f aca="false">(AVERAGE(H23:H25)/AVERAGE(H20:H22)-1)*100</f>
        <v>2.1593681527599</v>
      </c>
      <c r="K25" s="24" t="n">
        <f aca="false">((AVERAGE(H23:H25)/AVERAGE(H20:H22))^4-1)*100</f>
        <v>8.92129414445202</v>
      </c>
      <c r="L25" s="24" t="n">
        <f aca="false">IFERROR(('SA Data'!Y25/'SA Data'!Y13-1)*100,"")</f>
        <v>8.04224621629948</v>
      </c>
      <c r="M25" s="24" t="n">
        <f aca="false">IFERROR((AVERAGE('SA Data'!Y19:Y25)/AVERAGE('SA Data'!Y7:Y13)-1)*100,"")</f>
        <v>10.3376479160791</v>
      </c>
    </row>
    <row r="26" customFormat="false" ht="15" hidden="false" customHeight="false" outlineLevel="0" collapsed="false">
      <c r="A26" s="20" t="n">
        <v>38595</v>
      </c>
      <c r="B26" s="23" t="n">
        <f aca="false">'SA Data'!B26</f>
        <v>109.37691</v>
      </c>
      <c r="C26" s="24" t="n">
        <f aca="false">(B26/B25-1)*100</f>
        <v>0.222340812133592</v>
      </c>
      <c r="D26" s="24" t="n">
        <f aca="false">(AVERAGE(B24:B26)/AVERAGE(B21:B23)-1)*100</f>
        <v>0.981169136021176</v>
      </c>
      <c r="E26" s="24" t="n">
        <f aca="false">((AVERAGE(B24:B26)/AVERAGE(B21:B23))^4-1)*100</f>
        <v>3.98281686908508</v>
      </c>
      <c r="F26" s="24" t="n">
        <f aca="false">(B26/B14-1)*100</f>
        <v>7.04578465220733</v>
      </c>
      <c r="G26" s="24" t="n">
        <f aca="false">IFERROR((AVERAGE(B19:B26)/AVERAGE(B7:B14)-1)*100,"")</f>
        <v>9.49910646190184</v>
      </c>
      <c r="H26" s="23" t="n">
        <f aca="false">'SA Data'!U26</f>
        <v>108.739911726619</v>
      </c>
      <c r="I26" s="24" t="n">
        <f aca="false">(H26/H25-1)*100</f>
        <v>0.598509780693801</v>
      </c>
      <c r="J26" s="24" t="n">
        <f aca="false">(AVERAGE(H24:H26)/AVERAGE(H21:H23)-1)*100</f>
        <v>1.0980390595219</v>
      </c>
      <c r="K26" s="24" t="n">
        <f aca="false">((AVERAGE(H24:H26)/AVERAGE(H21:H23))^4-1)*100</f>
        <v>4.46502863613678</v>
      </c>
      <c r="L26" s="24" t="n">
        <f aca="false">IFERROR(('SA Data'!Y26/'SA Data'!Y14-1)*100,"")</f>
        <v>8.8615011882532</v>
      </c>
      <c r="M26" s="24" t="n">
        <f aca="false">IFERROR((AVERAGE('SA Data'!Y19:Y26)/AVERAGE('SA Data'!Y7:Y14)-1)*100,"")</f>
        <v>10.1570335398016</v>
      </c>
    </row>
    <row r="27" customFormat="false" ht="15" hidden="false" customHeight="false" outlineLevel="0" collapsed="false">
      <c r="A27" s="20" t="n">
        <v>38625</v>
      </c>
      <c r="B27" s="23" t="n">
        <f aca="false">'SA Data'!B27</f>
        <v>109.26148</v>
      </c>
      <c r="C27" s="24" t="n">
        <f aca="false">(B27/B26-1)*100</f>
        <v>-0.105534157072085</v>
      </c>
      <c r="D27" s="24" t="n">
        <f aca="false">(AVERAGE(B25:B27)/AVERAGE(B22:B24)-1)*100</f>
        <v>0.651930706878723</v>
      </c>
      <c r="E27" s="24" t="n">
        <f aca="false">((AVERAGE(B25:B27)/AVERAGE(B22:B24))^4-1)*100</f>
        <v>2.6333346587246</v>
      </c>
      <c r="F27" s="24" t="n">
        <f aca="false">(B27/B15-1)*100</f>
        <v>6.75241396317512</v>
      </c>
      <c r="G27" s="24" t="n">
        <f aca="false">IFERROR((AVERAGE(B19:B27)/AVERAGE(B7:B15)-1)*100,"")</f>
        <v>9.18334888955532</v>
      </c>
      <c r="H27" s="23" t="n">
        <f aca="false">'SA Data'!U27</f>
        <v>109.288809033875</v>
      </c>
      <c r="I27" s="24" t="n">
        <f aca="false">(H27/H26-1)*100</f>
        <v>0.504779982382408</v>
      </c>
      <c r="J27" s="24" t="n">
        <f aca="false">(AVERAGE(H25:H27)/AVERAGE(H22:H24)-1)*100</f>
        <v>0.51149575275864</v>
      </c>
      <c r="K27" s="24" t="n">
        <f aca="false">((AVERAGE(H25:H27)/AVERAGE(H22:H24))^4-1)*100</f>
        <v>2.06173428241403</v>
      </c>
      <c r="L27" s="24" t="n">
        <f aca="false">IFERROR(('SA Data'!Y27/'SA Data'!Y15-1)*100,"")</f>
        <v>8.01443714844972</v>
      </c>
      <c r="M27" s="24" t="n">
        <f aca="false">IFERROR((AVERAGE('SA Data'!Y19:Y27)/AVERAGE('SA Data'!Y7:Y15)-1)*100,"")</f>
        <v>9.9227903482402</v>
      </c>
    </row>
    <row r="28" customFormat="false" ht="15" hidden="false" customHeight="false" outlineLevel="0" collapsed="false">
      <c r="A28" s="20" t="n">
        <v>38656</v>
      </c>
      <c r="B28" s="23" t="n">
        <f aca="false">'SA Data'!B28</f>
        <v>109.94966</v>
      </c>
      <c r="C28" s="24" t="n">
        <f aca="false">(B28/B27-1)*100</f>
        <v>0.629846859112648</v>
      </c>
      <c r="D28" s="24" t="n">
        <f aca="false">(AVERAGE(B26:B28)/AVERAGE(B23:B25)-1)*100</f>
        <v>0.541536531884179</v>
      </c>
      <c r="E28" s="24" t="n">
        <f aca="false">((AVERAGE(B26:B28)/AVERAGE(B23:B25))^4-1)*100</f>
        <v>2.18380544725569</v>
      </c>
      <c r="F28" s="24" t="n">
        <f aca="false">(B28/B16-1)*100</f>
        <v>6.61921684718776</v>
      </c>
      <c r="G28" s="24" t="n">
        <f aca="false">IFERROR((AVERAGE(B19:B28)/AVERAGE(B7:B16)-1)*100,"")</f>
        <v>8.91718080805628</v>
      </c>
      <c r="H28" s="23" t="n">
        <f aca="false">'SA Data'!U28</f>
        <v>109.425622842944</v>
      </c>
      <c r="I28" s="24" t="n">
        <f aca="false">(H28/H27-1)*100</f>
        <v>0.125185561338514</v>
      </c>
      <c r="J28" s="24" t="n">
        <f aca="false">(AVERAGE(H26:H28)/AVERAGE(H23:H25)-1)*100</f>
        <v>0.800953482144062</v>
      </c>
      <c r="K28" s="24" t="n">
        <f aca="false">((AVERAGE(H26:H28)/AVERAGE(H23:H25))^4-1)*100</f>
        <v>3.24251146211338</v>
      </c>
      <c r="L28" s="24" t="n">
        <f aca="false">IFERROR(('SA Data'!Y28/'SA Data'!Y16-1)*100,"")</f>
        <v>7.9219529993475</v>
      </c>
      <c r="M28" s="24" t="n">
        <f aca="false">IFERROR((AVERAGE('SA Data'!Y19:Y28)/AVERAGE('SA Data'!Y7:Y16)-1)*100,"")</f>
        <v>9.72489201201694</v>
      </c>
    </row>
    <row r="29" customFormat="false" ht="15" hidden="false" customHeight="false" outlineLevel="0" collapsed="false">
      <c r="A29" s="20" t="n">
        <v>38686</v>
      </c>
      <c r="B29" s="23" t="n">
        <f aca="false">'SA Data'!B29</f>
        <v>111.16807</v>
      </c>
      <c r="C29" s="24" t="n">
        <f aca="false">(B29/B28-1)*100</f>
        <v>1.10815258546502</v>
      </c>
      <c r="D29" s="24" t="n">
        <f aca="false">(AVERAGE(B27:B29)/AVERAGE(B24:B26)-1)*100</f>
        <v>1.0041156264178</v>
      </c>
      <c r="E29" s="24" t="n">
        <f aca="false">((AVERAGE(B27:B29)/AVERAGE(B24:B26))^4-1)*100</f>
        <v>4.07736337281424</v>
      </c>
      <c r="F29" s="24" t="n">
        <f aca="false">(B29/B17-1)*100</f>
        <v>7.32708063631187</v>
      </c>
      <c r="G29" s="24" t="n">
        <f aca="false">IFERROR((AVERAGE(B19:B29)/AVERAGE(B7:B17)-1)*100,"")</f>
        <v>8.76704644198161</v>
      </c>
      <c r="H29" s="23" t="n">
        <f aca="false">'SA Data'!U29</f>
        <v>111.207685130577</v>
      </c>
      <c r="I29" s="24" t="n">
        <f aca="false">(H29/H28-1)*100</f>
        <v>1.62856033288561</v>
      </c>
      <c r="J29" s="24" t="n">
        <f aca="false">(AVERAGE(H27:H29)/AVERAGE(H24:H26)-1)*100</f>
        <v>1.41115712778925</v>
      </c>
      <c r="K29" s="24" t="n">
        <f aca="false">((AVERAGE(H27:H29)/AVERAGE(H24:H26))^4-1)*100</f>
        <v>5.76523839429699</v>
      </c>
      <c r="L29" s="24" t="n">
        <f aca="false">IFERROR(('SA Data'!Y29/'SA Data'!Y17-1)*100,"")</f>
        <v>9.01340298048135</v>
      </c>
      <c r="M29" s="24" t="n">
        <f aca="false">IFERROR((AVERAGE('SA Data'!Y19:Y29)/AVERAGE('SA Data'!Y7:Y17)-1)*100,"")</f>
        <v>9.65969789263943</v>
      </c>
    </row>
    <row r="30" customFormat="false" ht="15" hidden="false" customHeight="false" outlineLevel="0" collapsed="false">
      <c r="A30" s="20" t="n">
        <v>38717</v>
      </c>
      <c r="B30" s="23" t="n">
        <f aca="false">'SA Data'!B30</f>
        <v>113.02209</v>
      </c>
      <c r="C30" s="24" t="n">
        <f aca="false">(B30/B29-1)*100</f>
        <v>1.6677630546253</v>
      </c>
      <c r="D30" s="24" t="n">
        <f aca="false">(AVERAGE(B28:B30)/AVERAGE(B25:B27)-1)*100</f>
        <v>1.94255683016871</v>
      </c>
      <c r="E30" s="24" t="n">
        <f aca="false">((AVERAGE(B28:B30)/AVERAGE(B25:B27))^4-1)*100</f>
        <v>7.99958529877618</v>
      </c>
      <c r="F30" s="24" t="n">
        <f aca="false">(B30/B18-1)*100</f>
        <v>9.75303014530404</v>
      </c>
      <c r="G30" s="24" t="n">
        <f aca="false">IFERROR((AVERAGE(B19:B30)/AVERAGE(B7:B18)-1)*100,"")</f>
        <v>8.85165909290284</v>
      </c>
      <c r="H30" s="23" t="n">
        <f aca="false">'SA Data'!U30</f>
        <v>112.720228404765</v>
      </c>
      <c r="I30" s="24" t="n">
        <f aca="false">(H30/H29-1)*100</f>
        <v>1.36010678795442</v>
      </c>
      <c r="J30" s="24" t="n">
        <f aca="false">(AVERAGE(H28:H30)/AVERAGE(H25:H27)-1)*100</f>
        <v>2.21753142418555</v>
      </c>
      <c r="K30" s="24" t="n">
        <f aca="false">((AVERAGE(H28:H30)/AVERAGE(H25:H27))^4-1)*100</f>
        <v>9.16955845112179</v>
      </c>
      <c r="L30" s="24" t="n">
        <f aca="false">IFERROR(('SA Data'!Y30/'SA Data'!Y18-1)*100,"")</f>
        <v>9.25190230620205</v>
      </c>
      <c r="M30" s="24" t="n">
        <f aca="false">IFERROR((AVERAGE('SA Data'!Y19:Y30)/AVERAGE('SA Data'!Y7:Y18)-1)*100,"")</f>
        <v>9.62503177957861</v>
      </c>
    </row>
    <row r="31" customFormat="false" ht="15" hidden="false" customHeight="false" outlineLevel="0" collapsed="false">
      <c r="A31" s="20" t="n">
        <v>38748</v>
      </c>
      <c r="B31" s="23" t="n">
        <f aca="false">'SA Data'!B31</f>
        <v>113.8318</v>
      </c>
      <c r="C31" s="24" t="n">
        <f aca="false">(B31/B30-1)*100</f>
        <v>0.716417472018072</v>
      </c>
      <c r="D31" s="24" t="n">
        <f aca="false">(AVERAGE(B29:B31)/AVERAGE(B26:B28)-1)*100</f>
        <v>2.87104476258342</v>
      </c>
      <c r="E31" s="24" t="n">
        <f aca="false">((AVERAGE(B29:B31)/AVERAGE(B26:B28))^4-1)*100</f>
        <v>11.9882871691126</v>
      </c>
      <c r="F31" s="24" t="n">
        <f aca="false">(B31/B19-1)*100</f>
        <v>7.64258800349278</v>
      </c>
      <c r="G31" s="24" t="n">
        <f aca="false">IFERROR((AVERAGE(B31:B31)/AVERAGE(B19:B19)-1)*100,"")</f>
        <v>7.64258800349278</v>
      </c>
      <c r="H31" s="23" t="n">
        <f aca="false">'SA Data'!U31</f>
        <v>112.690027804208</v>
      </c>
      <c r="I31" s="24" t="n">
        <f aca="false">(H31/H30-1)*100</f>
        <v>-0.026792529597286</v>
      </c>
      <c r="J31" s="24" t="n">
        <f aca="false">(AVERAGE(H29:H31)/AVERAGE(H26:H28)-1)*100</f>
        <v>2.79843523688614</v>
      </c>
      <c r="K31" s="24" t="n">
        <f aca="false">((AVERAGE(H29:H31)/AVERAGE(H26:H28))^4-1)*100</f>
        <v>11.6724427492978</v>
      </c>
      <c r="L31" s="24" t="n">
        <f aca="false">IFERROR(('SA Data'!Y31/'SA Data'!Y19-1)*100,"")</f>
        <v>8.70036061995212</v>
      </c>
      <c r="M31" s="24" t="n">
        <f aca="false">IFERROR((AVERAGE('SA Data'!Y31:Y31)/AVERAGE('SA Data'!Y19:Y19)-1)*100,"")</f>
        <v>8.70036061995212</v>
      </c>
    </row>
    <row r="32" customFormat="false" ht="15" hidden="false" customHeight="false" outlineLevel="0" collapsed="false">
      <c r="A32" s="20" t="n">
        <v>38776</v>
      </c>
      <c r="B32" s="23" t="n">
        <f aca="false">'SA Data'!B32</f>
        <v>114.74988</v>
      </c>
      <c r="C32" s="24" t="n">
        <f aca="false">(B32/B31-1)*100</f>
        <v>0.806523308952345</v>
      </c>
      <c r="D32" s="24" t="n">
        <f aca="false">(AVERAGE(B30:B32)/AVERAGE(B27:B29)-1)*100</f>
        <v>3.39747770448389</v>
      </c>
      <c r="E32" s="24" t="n">
        <f aca="false">((AVERAGE(B30:B32)/AVERAGE(B27:B29))^4-1)*100</f>
        <v>14.2983019772463</v>
      </c>
      <c r="F32" s="24" t="n">
        <f aca="false">(B32/B20-1)*100</f>
        <v>8.19600440931001</v>
      </c>
      <c r="G32" s="24" t="n">
        <f aca="false">IFERROR((AVERAGE(B31:B32)/AVERAGE(B19:B20)-1)*100,"")</f>
        <v>7.91969809901165</v>
      </c>
      <c r="H32" s="23" t="n">
        <f aca="false">'SA Data'!U32</f>
        <v>113.144594027819</v>
      </c>
      <c r="I32" s="24" t="n">
        <f aca="false">(H32/H31-1)*100</f>
        <v>0.403377505949831</v>
      </c>
      <c r="J32" s="24" t="n">
        <f aca="false">(AVERAGE(H30:H32)/AVERAGE(H27:H29)-1)*100</f>
        <v>2.61659730717654</v>
      </c>
      <c r="K32" s="24" t="n">
        <f aca="false">((AVERAGE(H30:H32)/AVERAGE(H27:H29))^4-1)*100</f>
        <v>10.8843968911123</v>
      </c>
      <c r="L32" s="24" t="n">
        <f aca="false">IFERROR(('SA Data'!Y32/'SA Data'!Y20-1)*100,"")</f>
        <v>8.1433357067727</v>
      </c>
      <c r="M32" s="24" t="n">
        <f aca="false">IFERROR((AVERAGE('SA Data'!Y31:Y32)/AVERAGE('SA Data'!Y19:Y20)-1)*100,"")</f>
        <v>8.42322620372173</v>
      </c>
    </row>
    <row r="33" customFormat="false" ht="15" hidden="false" customHeight="false" outlineLevel="0" collapsed="false">
      <c r="A33" s="20" t="n">
        <v>38807</v>
      </c>
      <c r="B33" s="23" t="n">
        <f aca="false">'SA Data'!B33</f>
        <v>114.30687</v>
      </c>
      <c r="C33" s="24" t="n">
        <f aca="false">(B33/B32-1)*100</f>
        <v>-0.386065763206023</v>
      </c>
      <c r="D33" s="24" t="n">
        <f aca="false">(AVERAGE(B31:B33)/AVERAGE(B28:B30)-1)*100</f>
        <v>2.61828416619128</v>
      </c>
      <c r="E33" s="24" t="n">
        <f aca="false">((AVERAGE(B31:B33)/AVERAGE(B28:B30))^4-1)*100</f>
        <v>10.8916881465848</v>
      </c>
      <c r="F33" s="24" t="n">
        <f aca="false">(B33/B21-1)*100</f>
        <v>6.97820003290575</v>
      </c>
      <c r="G33" s="24" t="n">
        <f aca="false">IFERROR((AVERAGE(B31:B33)/AVERAGE(B19:B21)-1)*100,"")</f>
        <v>7.60400004004294</v>
      </c>
      <c r="H33" s="23" t="n">
        <f aca="false">'SA Data'!U33</f>
        <v>114.201078087577</v>
      </c>
      <c r="I33" s="24" t="n">
        <f aca="false">(H33/H32-1)*100</f>
        <v>0.933746829741589</v>
      </c>
      <c r="J33" s="24" t="n">
        <f aca="false">(AVERAGE(H31:H33)/AVERAGE(H28:H30)-1)*100</f>
        <v>2.00452756971332</v>
      </c>
      <c r="K33" s="24" t="n">
        <f aca="false">((AVERAGE(H31:H33)/AVERAGE(H28:H30))^4-1)*100</f>
        <v>8.26243605246175</v>
      </c>
      <c r="L33" s="24" t="n">
        <f aca="false">IFERROR(('SA Data'!Y33/'SA Data'!Y21-1)*100,"")</f>
        <v>7.08014183611241</v>
      </c>
      <c r="M33" s="24" t="n">
        <f aca="false">IFERROR((AVERAGE('SA Data'!Y31:Y33)/AVERAGE('SA Data'!Y19:Y21)-1)*100,"")</f>
        <v>7.93768817124876</v>
      </c>
    </row>
    <row r="34" customFormat="false" ht="15" hidden="false" customHeight="false" outlineLevel="0" collapsed="false">
      <c r="A34" s="20" t="n">
        <v>38837</v>
      </c>
      <c r="B34" s="23" t="n">
        <f aca="false">'SA Data'!B34</f>
        <v>115.84398</v>
      </c>
      <c r="C34" s="24" t="n">
        <f aca="false">(B34/B33-1)*100</f>
        <v>1.3447223250886</v>
      </c>
      <c r="D34" s="24" t="n">
        <f aca="false">(AVERAGE(B32:B34)/AVERAGE(B29:B31)-1)*100</f>
        <v>2.03500683801725</v>
      </c>
      <c r="E34" s="24" t="n">
        <f aca="false">((AVERAGE(B32:B34)/AVERAGE(B29:B31))^4-1)*100</f>
        <v>8.39189066302206</v>
      </c>
      <c r="F34" s="24" t="n">
        <f aca="false">(B34/B22-1)*100</f>
        <v>7.29703112164615</v>
      </c>
      <c r="G34" s="24" t="n">
        <f aca="false">IFERROR((AVERAGE(B31:B34)/AVERAGE(B19:B22)-1)*100,"")</f>
        <v>7.52631535768658</v>
      </c>
      <c r="H34" s="23" t="n">
        <f aca="false">'SA Data'!U34</f>
        <v>114.114935727291</v>
      </c>
      <c r="I34" s="24" t="n">
        <f aca="false">(H34/H33-1)*100</f>
        <v>-0.0754304265153327</v>
      </c>
      <c r="J34" s="24" t="n">
        <f aca="false">(AVERAGE(H32:H34)/AVERAGE(H29:H31)-1)*100</f>
        <v>1.43862400318451</v>
      </c>
      <c r="K34" s="24" t="n">
        <f aca="false">((AVERAGE(H32:H34)/AVERAGE(H29:H31))^4-1)*100</f>
        <v>5.87986961044633</v>
      </c>
      <c r="L34" s="24" t="n">
        <f aca="false">IFERROR(('SA Data'!Y34/'SA Data'!Y22-1)*100,"")</f>
        <v>5.26394129288319</v>
      </c>
      <c r="M34" s="24" t="n">
        <f aca="false">IFERROR((AVERAGE('SA Data'!Y31:Y34)/AVERAGE('SA Data'!Y19:Y22)-1)*100,"")</f>
        <v>7.20530510657185</v>
      </c>
    </row>
    <row r="35" customFormat="false" ht="15" hidden="false" customHeight="false" outlineLevel="0" collapsed="false">
      <c r="A35" s="20" t="n">
        <v>38868</v>
      </c>
      <c r="B35" s="23" t="n">
        <f aca="false">'SA Data'!B35</f>
        <v>115.09969</v>
      </c>
      <c r="C35" s="24" t="n">
        <f aca="false">(B35/B34-1)*100</f>
        <v>-0.642493464053984</v>
      </c>
      <c r="D35" s="24" t="n">
        <f aca="false">(AVERAGE(B33:B35)/AVERAGE(B30:B32)-1)*100</f>
        <v>1.06754383887506</v>
      </c>
      <c r="E35" s="24" t="n">
        <f aca="false">((AVERAGE(B33:B35)/AVERAGE(B30:B32))^4-1)*100</f>
        <v>4.33904229564668</v>
      </c>
      <c r="F35" s="24" t="n">
        <f aca="false">(B35/B23-1)*100</f>
        <v>5.49894812407517</v>
      </c>
      <c r="G35" s="24" t="n">
        <f aca="false">IFERROR((AVERAGE(B31:B35)/AVERAGE(B19:B23)-1)*100,"")</f>
        <v>7.11344139971226</v>
      </c>
      <c r="H35" s="23" t="n">
        <f aca="false">'SA Data'!U35</f>
        <v>115.363300252048</v>
      </c>
      <c r="I35" s="24" t="n">
        <f aca="false">(H35/H34-1)*100</f>
        <v>1.09395366767828</v>
      </c>
      <c r="J35" s="24" t="n">
        <f aca="false">(AVERAGE(H33:H35)/AVERAGE(H30:H32)-1)*100</f>
        <v>1.51362883341961</v>
      </c>
      <c r="K35" s="24" t="n">
        <f aca="false">((AVERAGE(H33:H35)/AVERAGE(H30:H32))^4-1)*100</f>
        <v>6.19337205061603</v>
      </c>
      <c r="L35" s="24" t="n">
        <f aca="false">IFERROR(('SA Data'!Y35/'SA Data'!Y23-1)*100,"")</f>
        <v>5.64284503666128</v>
      </c>
      <c r="M35" s="24" t="n">
        <f aca="false">IFERROR((AVERAGE('SA Data'!Y31:Y35)/AVERAGE('SA Data'!Y19:Y23)-1)*100,"")</f>
        <v>6.84761883131428</v>
      </c>
    </row>
    <row r="36" customFormat="false" ht="15" hidden="false" customHeight="false" outlineLevel="0" collapsed="false">
      <c r="A36" s="20" t="n">
        <v>38898</v>
      </c>
      <c r="B36" s="23" t="n">
        <f aca="false">'SA Data'!B36</f>
        <v>116.25305</v>
      </c>
      <c r="C36" s="24" t="n">
        <f aca="false">(B36/B35-1)*100</f>
        <v>1.00205308980417</v>
      </c>
      <c r="D36" s="24" t="n">
        <f aca="false">(AVERAGE(B34:B36)/AVERAGE(B31:B33)-1)*100</f>
        <v>1.25643448869903</v>
      </c>
      <c r="E36" s="24" t="n">
        <f aca="false">((AVERAGE(B34:B36)/AVERAGE(B31:B33))^4-1)*100</f>
        <v>5.12125148120168</v>
      </c>
      <c r="F36" s="24" t="n">
        <f aca="false">(B36/B24-1)*100</f>
        <v>7.06314570621742</v>
      </c>
      <c r="G36" s="24" t="n">
        <f aca="false">IFERROR((AVERAGE(B31:B36)/AVERAGE(B19:B24)-1)*100,"")</f>
        <v>7.10496518393509</v>
      </c>
      <c r="H36" s="23" t="n">
        <f aca="false">'SA Data'!U36</f>
        <v>116.373286870578</v>
      </c>
      <c r="I36" s="24" t="n">
        <f aca="false">(H36/H35-1)*100</f>
        <v>0.875483465125337</v>
      </c>
      <c r="J36" s="24" t="n">
        <f aca="false">(AVERAGE(H34:H36)/AVERAGE(H31:H33)-1)*100</f>
        <v>1.7103565689391</v>
      </c>
      <c r="K36" s="24" t="n">
        <f aca="false">((AVERAGE(H34:H36)/AVERAGE(H31:H33))^4-1)*100</f>
        <v>7.01895534465868</v>
      </c>
      <c r="L36" s="24" t="n">
        <f aca="false">IFERROR(('SA Data'!Y36/'SA Data'!Y24-1)*100,"")</f>
        <v>6.51263071162369</v>
      </c>
      <c r="M36" s="24" t="n">
        <f aca="false">IFERROR((AVERAGE('SA Data'!Y31:Y36)/AVERAGE('SA Data'!Y19:Y24)-1)*100,"")</f>
        <v>6.78870553745137</v>
      </c>
    </row>
    <row r="37" customFormat="false" ht="15" hidden="false" customHeight="false" outlineLevel="0" collapsed="false">
      <c r="A37" s="20" t="n">
        <v>38929</v>
      </c>
      <c r="B37" s="23" t="n">
        <f aca="false">'SA Data'!B37</f>
        <v>118.14538</v>
      </c>
      <c r="C37" s="24" t="n">
        <f aca="false">(B37/B36-1)*100</f>
        <v>1.62776804565559</v>
      </c>
      <c r="D37" s="24" t="n">
        <f aca="false">(AVERAGE(B35:B37)/AVERAGE(B32:B34)-1)*100</f>
        <v>1.33296035644805</v>
      </c>
      <c r="E37" s="24" t="n">
        <f aca="false">((AVERAGE(B35:B37)/AVERAGE(B32:B34))^4-1)*100</f>
        <v>5.43939893414958</v>
      </c>
      <c r="F37" s="24" t="n">
        <f aca="false">(B37/B25-1)*100</f>
        <v>8.25691217405058</v>
      </c>
      <c r="G37" s="24" t="n">
        <f aca="false">IFERROR((AVERAGE(B31:B37)/AVERAGE(B19:B25)-1)*100,"")</f>
        <v>7.2718219966877</v>
      </c>
      <c r="H37" s="23" t="n">
        <f aca="false">'SA Data'!U37</f>
        <v>117.485935710515</v>
      </c>
      <c r="I37" s="24" t="n">
        <f aca="false">(H37/H36-1)*100</f>
        <v>0.95610330330751</v>
      </c>
      <c r="J37" s="24" t="n">
        <f aca="false">(AVERAGE(H35:H37)/AVERAGE(H32:H34)-1)*100</f>
        <v>2.2731509322534</v>
      </c>
      <c r="K37" s="24" t="n">
        <f aca="false">((AVERAGE(H35:H37)/AVERAGE(H32:H34))^4-1)*100</f>
        <v>9.40736168275835</v>
      </c>
      <c r="L37" s="24" t="n">
        <f aca="false">IFERROR(('SA Data'!Y37/'SA Data'!Y25-1)*100,"")</f>
        <v>8.99127990399269</v>
      </c>
      <c r="M37" s="24" t="n">
        <f aca="false">IFERROR((AVERAGE('SA Data'!Y31:Y37)/AVERAGE('SA Data'!Y19:Y25)-1)*100,"")</f>
        <v>7.09762544021415</v>
      </c>
    </row>
    <row r="38" customFormat="false" ht="15" hidden="false" customHeight="false" outlineLevel="0" collapsed="false">
      <c r="A38" s="20" t="n">
        <v>38960</v>
      </c>
      <c r="B38" s="23" t="n">
        <f aca="false">'SA Data'!B38</f>
        <v>118.75377</v>
      </c>
      <c r="C38" s="24" t="n">
        <f aca="false">(B38/B37-1)*100</f>
        <v>0.514950309525442</v>
      </c>
      <c r="D38" s="24" t="n">
        <f aca="false">(AVERAGE(B36:B38)/AVERAGE(B33:B35)-1)*100</f>
        <v>2.28867419005341</v>
      </c>
      <c r="E38" s="24" t="n">
        <f aca="false">((AVERAGE(B36:B38)/AVERAGE(B33:B35))^4-1)*100</f>
        <v>9.47380122727368</v>
      </c>
      <c r="F38" s="24" t="n">
        <f aca="false">(B38/B26-1)*100</f>
        <v>8.57297943414201</v>
      </c>
      <c r="G38" s="24" t="n">
        <f aca="false">IFERROR((AVERAGE(B31:B38)/AVERAGE(B19:B26)-1)*100,"")</f>
        <v>7.43676579441459</v>
      </c>
      <c r="H38" s="23" t="n">
        <f aca="false">'SA Data'!U38</f>
        <v>118.709138290137</v>
      </c>
      <c r="I38" s="24" t="n">
        <f aca="false">(H38/H37-1)*100</f>
        <v>1.04114809336471</v>
      </c>
      <c r="J38" s="24" t="n">
        <f aca="false">(AVERAGE(H36:H38)/AVERAGE(H33:H35)-1)*100</f>
        <v>2.58643637847293</v>
      </c>
      <c r="K38" s="24" t="n">
        <f aca="false">((AVERAGE(H36:H38)/AVERAGE(H33:H35))^4-1)*100</f>
        <v>10.7540903986403</v>
      </c>
      <c r="L38" s="24" t="n">
        <f aca="false">IFERROR(('SA Data'!Y38/'SA Data'!Y26-1)*100,"")</f>
        <v>9.4978367925022</v>
      </c>
      <c r="M38" s="24" t="n">
        <f aca="false">IFERROR((AVERAGE('SA Data'!Y31:Y38)/AVERAGE('SA Data'!Y19:Y26)-1)*100,"")</f>
        <v>7.38785013276093</v>
      </c>
    </row>
    <row r="39" customFormat="false" ht="15" hidden="false" customHeight="false" outlineLevel="0" collapsed="false">
      <c r="A39" s="20" t="n">
        <v>38990</v>
      </c>
      <c r="B39" s="23" t="n">
        <f aca="false">'SA Data'!B39</f>
        <v>119.80935</v>
      </c>
      <c r="C39" s="24" t="n">
        <f aca="false">(B39/B38-1)*100</f>
        <v>0.888881254043539</v>
      </c>
      <c r="D39" s="24" t="n">
        <f aca="false">(AVERAGE(B37:B39)/AVERAGE(B34:B36)-1)*100</f>
        <v>2.73959385330598</v>
      </c>
      <c r="E39" s="24" t="n">
        <f aca="false">((AVERAGE(B37:B39)/AVERAGE(B34:B36))^4-1)*100</f>
        <v>11.4169788838524</v>
      </c>
      <c r="F39" s="24" t="n">
        <f aca="false">(B39/B27-1)*100</f>
        <v>9.6537864945633</v>
      </c>
      <c r="G39" s="24" t="n">
        <f aca="false">IFERROR((AVERAGE(B31:B39)/AVERAGE(B19:B27)-1)*100,"")</f>
        <v>7.68595818389863</v>
      </c>
      <c r="H39" s="23" t="n">
        <f aca="false">'SA Data'!U39</f>
        <v>118.892103206149</v>
      </c>
      <c r="I39" s="24" t="n">
        <f aca="false">(H39/H38-1)*100</f>
        <v>0.154128754236926</v>
      </c>
      <c r="J39" s="24" t="n">
        <f aca="false">(AVERAGE(H37:H39)/AVERAGE(H34:H36)-1)*100</f>
        <v>2.6704102040028</v>
      </c>
      <c r="K39" s="24" t="n">
        <f aca="false">((AVERAGE(H37:H39)/AVERAGE(H34:H36))^4-1)*100</f>
        <v>11.1171742828269</v>
      </c>
      <c r="L39" s="24" t="n">
        <f aca="false">IFERROR(('SA Data'!Y39/'SA Data'!Y27-1)*100,"")</f>
        <v>8.97744485391256</v>
      </c>
      <c r="M39" s="24" t="n">
        <f aca="false">IFERROR((AVERAGE('SA Data'!Y31:Y39)/AVERAGE('SA Data'!Y19:Y27)-1)*100,"")</f>
        <v>7.55861836475571</v>
      </c>
    </row>
    <row r="40" customFormat="false" ht="15" hidden="false" customHeight="false" outlineLevel="0" collapsed="false">
      <c r="A40" s="20" t="n">
        <v>39021</v>
      </c>
      <c r="B40" s="23" t="n">
        <f aca="false">'SA Data'!B40</f>
        <v>120.53007</v>
      </c>
      <c r="C40" s="24" t="n">
        <f aca="false">(B40/B39-1)*100</f>
        <v>0.601555721652769</v>
      </c>
      <c r="D40" s="24" t="n">
        <f aca="false">(AVERAGE(B38:B40)/AVERAGE(B35:B37)-1)*100</f>
        <v>2.74538529706541</v>
      </c>
      <c r="E40" s="24" t="n">
        <f aca="false">((AVERAGE(B38:B40)/AVERAGE(B35:B37))^4-1)*100</f>
        <v>11.4421033643147</v>
      </c>
      <c r="F40" s="24" t="n">
        <f aca="false">(B40/B28-1)*100</f>
        <v>9.62295836112637</v>
      </c>
      <c r="G40" s="24" t="n">
        <f aca="false">IFERROR((AVERAGE(B31:B40)/AVERAGE(B19:B28)-1)*100,"")</f>
        <v>7.88278503541344</v>
      </c>
      <c r="H40" s="23" t="n">
        <f aca="false">'SA Data'!U40</f>
        <v>119.067022565423</v>
      </c>
      <c r="I40" s="24" t="n">
        <f aca="false">(H40/H39-1)*100</f>
        <v>0.147124455331715</v>
      </c>
      <c r="J40" s="24" t="n">
        <f aca="false">(AVERAGE(H38:H40)/AVERAGE(H35:H37)-1)*100</f>
        <v>2.1320907850279</v>
      </c>
      <c r="K40" s="24" t="n">
        <f aca="false">((AVERAGE(H38:H40)/AVERAGE(H35:H37))^4-1)*100</f>
        <v>8.80500930424235</v>
      </c>
      <c r="L40" s="24" t="n">
        <f aca="false">IFERROR(('SA Data'!Y40/'SA Data'!Y28-1)*100,"")</f>
        <v>9.51872168611525</v>
      </c>
      <c r="M40" s="24" t="n">
        <f aca="false">IFERROR((AVERAGE('SA Data'!Y31:Y40)/AVERAGE('SA Data'!Y19:Y28)-1)*100,"")</f>
        <v>7.74930223399479</v>
      </c>
    </row>
    <row r="41" customFormat="false" ht="15" hidden="false" customHeight="false" outlineLevel="0" collapsed="false">
      <c r="A41" s="20" t="n">
        <v>39051</v>
      </c>
      <c r="B41" s="23" t="n">
        <f aca="false">'SA Data'!B41</f>
        <v>120.65319</v>
      </c>
      <c r="C41" s="24" t="n">
        <f aca="false">(B41/B40-1)*100</f>
        <v>0.102148783287026</v>
      </c>
      <c r="D41" s="24" t="n">
        <f aca="false">(AVERAGE(B39:B41)/AVERAGE(B36:B38)-1)*100</f>
        <v>2.220122089003</v>
      </c>
      <c r="E41" s="24" t="n">
        <f aca="false">((AVERAGE(B39:B41)/AVERAGE(B36:B38))^4-1)*100</f>
        <v>9.18062631717069</v>
      </c>
      <c r="F41" s="24" t="n">
        <f aca="false">(B41/B29-1)*100</f>
        <v>8.53223412082265</v>
      </c>
      <c r="G41" s="24" t="n">
        <f aca="false">IFERROR((AVERAGE(B31:B41)/AVERAGE(B19:B29)-1)*100,"")</f>
        <v>7.94329302459425</v>
      </c>
      <c r="H41" s="23" t="n">
        <f aca="false">'SA Data'!U41</f>
        <v>120.379956191757</v>
      </c>
      <c r="I41" s="24" t="n">
        <f aca="false">(H41/H40-1)*100</f>
        <v>1.10268452006701</v>
      </c>
      <c r="J41" s="24" t="n">
        <f aca="false">(AVERAGE(H39:H41)/AVERAGE(H36:H38)-1)*100</f>
        <v>1.63676657707996</v>
      </c>
      <c r="K41" s="24" t="n">
        <f aca="false">((AVERAGE(H39:H41)/AVERAGE(H36:H38))^4-1)*100</f>
        <v>6.70956773728231</v>
      </c>
      <c r="L41" s="24" t="n">
        <f aca="false">IFERROR(('SA Data'!Y41/'SA Data'!Y29-1)*100,"")</f>
        <v>8.47662642009279</v>
      </c>
      <c r="M41" s="24" t="n">
        <f aca="false">IFERROR((AVERAGE('SA Data'!Y31:Y41)/AVERAGE('SA Data'!Y19:Y29)-1)*100,"")</f>
        <v>7.81555455470511</v>
      </c>
    </row>
    <row r="42" customFormat="false" ht="15" hidden="false" customHeight="false" outlineLevel="0" collapsed="false">
      <c r="A42" s="20" t="n">
        <v>39082</v>
      </c>
      <c r="B42" s="23" t="n">
        <f aca="false">'SA Data'!B42</f>
        <v>123.35638</v>
      </c>
      <c r="C42" s="24" t="n">
        <f aca="false">(B42/B41-1)*100</f>
        <v>2.24046293347073</v>
      </c>
      <c r="D42" s="24" t="n">
        <f aca="false">(AVERAGE(B40:B42)/AVERAGE(B37:B39)-1)*100</f>
        <v>2.19538923238443</v>
      </c>
      <c r="E42" s="24" t="n">
        <f aca="false">((AVERAGE(B40:B42)/AVERAGE(B37:B39))^4-1)*100</f>
        <v>9.07499666901927</v>
      </c>
      <c r="F42" s="24" t="n">
        <f aca="false">(B42/B30-1)*100</f>
        <v>9.14360192772934</v>
      </c>
      <c r="G42" s="24" t="n">
        <f aca="false">IFERROR((AVERAGE(B31:B42)/AVERAGE(B19:B30)-1)*100,"")</f>
        <v>8.047151049419</v>
      </c>
      <c r="H42" s="23" t="n">
        <f aca="false">'SA Data'!U42</f>
        <v>121.327609838697</v>
      </c>
      <c r="I42" s="24" t="n">
        <f aca="false">(H42/H41-1)*100</f>
        <v>0.787218800304523</v>
      </c>
      <c r="J42" s="24" t="n">
        <f aca="false">(AVERAGE(H40:H42)/AVERAGE(H37:H39)-1)*100</f>
        <v>1.60169438778799</v>
      </c>
      <c r="K42" s="24" t="n">
        <f aca="false">((AVERAGE(H40:H42)/AVERAGE(H37:H39))^4-1)*100</f>
        <v>6.56235323794268</v>
      </c>
      <c r="L42" s="24" t="n">
        <f aca="false">IFERROR(('SA Data'!Y42/'SA Data'!Y30-1)*100,"")</f>
        <v>7.25564936097445</v>
      </c>
      <c r="M42" s="24" t="n">
        <f aca="false">IFERROR((AVERAGE('SA Data'!Y31:Y42)/AVERAGE('SA Data'!Y19:Y30)-1)*100,"")</f>
        <v>7.7681198283559</v>
      </c>
    </row>
    <row r="43" customFormat="false" ht="15" hidden="false" customHeight="false" outlineLevel="0" collapsed="false">
      <c r="A43" s="20" t="n">
        <v>39113</v>
      </c>
      <c r="B43" s="23" t="n">
        <f aca="false">'SA Data'!B43</f>
        <v>122.08744</v>
      </c>
      <c r="C43" s="24" t="n">
        <f aca="false">(B43/B42-1)*100</f>
        <v>-1.02867804648612</v>
      </c>
      <c r="D43" s="24" t="n">
        <f aca="false">(AVERAGE(B41:B43)/AVERAGE(B38:B40)-1)*100</f>
        <v>1.95041849721518</v>
      </c>
      <c r="E43" s="24" t="n">
        <f aca="false">((AVERAGE(B41:B43)/AVERAGE(B38:B40))^4-1)*100</f>
        <v>8.03290425915277</v>
      </c>
      <c r="F43" s="24" t="n">
        <f aca="false">(B43/B31-1)*100</f>
        <v>7.25249007746518</v>
      </c>
      <c r="G43" s="24" t="n">
        <f aca="false">IFERROR((AVERAGE(B43:B43)/AVERAGE(B31:B31)-1)*100,"")</f>
        <v>7.25249007746518</v>
      </c>
      <c r="H43" s="23" t="n">
        <f aca="false">'SA Data'!U43</f>
        <v>122.23031697831</v>
      </c>
      <c r="I43" s="24" t="n">
        <f aca="false">(H43/H42-1)*100</f>
        <v>0.744024497650164</v>
      </c>
      <c r="J43" s="24" t="n">
        <f aca="false">(AVERAGE(H41:H43)/AVERAGE(H38:H40)-1)*100</f>
        <v>2.03820179128609</v>
      </c>
      <c r="K43" s="24" t="n">
        <f aca="false">((AVERAGE(H41:H43)/AVERAGE(H38:H40))^4-1)*100</f>
        <v>8.40546730899792</v>
      </c>
      <c r="L43" s="24" t="n">
        <f aca="false">IFERROR(('SA Data'!Y43/'SA Data'!Y31-1)*100,"")</f>
        <v>8.04021986049897</v>
      </c>
      <c r="M43" s="24" t="n">
        <f aca="false">IFERROR((AVERAGE('SA Data'!Y43:Y43)/AVERAGE('SA Data'!Y31:Y31)-1)*100,"")</f>
        <v>8.04021986049897</v>
      </c>
    </row>
    <row r="44" customFormat="false" ht="15" hidden="false" customHeight="false" outlineLevel="0" collapsed="false">
      <c r="A44" s="20" t="n">
        <v>39141</v>
      </c>
      <c r="B44" s="23" t="n">
        <f aca="false">'SA Data'!B44</f>
        <v>124.63366</v>
      </c>
      <c r="C44" s="24" t="n">
        <f aca="false">(B44/B43-1)*100</f>
        <v>2.08557080073102</v>
      </c>
      <c r="D44" s="24" t="n">
        <f aca="false">(AVERAGE(B42:B44)/AVERAGE(B39:B41)-1)*100</f>
        <v>2.5166360053742</v>
      </c>
      <c r="E44" s="24" t="n">
        <f aca="false">((AVERAGE(B42:B44)/AVERAGE(B39:B41))^4-1)*100</f>
        <v>10.4529671433363</v>
      </c>
      <c r="F44" s="24" t="n">
        <f aca="false">(B44/B32-1)*100</f>
        <v>8.61332491153803</v>
      </c>
      <c r="G44" s="24" t="n">
        <f aca="false">IFERROR((AVERAGE(B43:B44)/AVERAGE(B31:B32)-1)*100,"")</f>
        <v>7.93564033653091</v>
      </c>
      <c r="H44" s="23" t="n">
        <f aca="false">'SA Data'!U44</f>
        <v>122.822623184844</v>
      </c>
      <c r="I44" s="24" t="n">
        <f aca="false">(H44/H43-1)*100</f>
        <v>0.484582075197948</v>
      </c>
      <c r="J44" s="24" t="n">
        <f aca="false">(AVERAGE(H42:H44)/AVERAGE(H39:H41)-1)*100</f>
        <v>2.24409461409107</v>
      </c>
      <c r="K44" s="24" t="n">
        <f aca="false">((AVERAGE(H42:H44)/AVERAGE(H39:H41))^4-1)*100</f>
        <v>9.28308192434029</v>
      </c>
      <c r="L44" s="24" t="n">
        <f aca="false">IFERROR(('SA Data'!Y44/'SA Data'!Y32-1)*100,"")</f>
        <v>8.27488071334379</v>
      </c>
      <c r="M44" s="24" t="n">
        <f aca="false">IFERROR((AVERAGE('SA Data'!Y43:Y44)/AVERAGE('SA Data'!Y31:Y32)-1)*100,"")</f>
        <v>8.15666836704456</v>
      </c>
    </row>
    <row r="45" customFormat="false" ht="15" hidden="false" customHeight="false" outlineLevel="0" collapsed="false">
      <c r="A45" s="20" t="n">
        <v>39172</v>
      </c>
      <c r="B45" s="23" t="n">
        <f aca="false">'SA Data'!B45</f>
        <v>126.43758</v>
      </c>
      <c r="C45" s="24" t="n">
        <f aca="false">(B45/B44-1)*100</f>
        <v>1.44737785923963</v>
      </c>
      <c r="D45" s="24" t="n">
        <f aca="false">(AVERAGE(B43:B45)/AVERAGE(B40:B42)-1)*100</f>
        <v>2.36436289891548</v>
      </c>
      <c r="E45" s="24" t="n">
        <f aca="false">((AVERAGE(B43:B45)/AVERAGE(B40:B42))^4-1)*100</f>
        <v>9.79818247705948</v>
      </c>
      <c r="F45" s="24" t="n">
        <f aca="false">(B45/B33-1)*100</f>
        <v>10.6124067608535</v>
      </c>
      <c r="G45" s="24" t="n">
        <f aca="false">IFERROR((AVERAGE(B43:B45)/AVERAGE(B31:B33)-1)*100,"")</f>
        <v>8.82797923698533</v>
      </c>
      <c r="H45" s="23" t="n">
        <f aca="false">'SA Data'!U45</f>
        <v>125.017472399034</v>
      </c>
      <c r="I45" s="24" t="n">
        <f aca="false">(H45/H44-1)*100</f>
        <v>1.78700727706034</v>
      </c>
      <c r="J45" s="24" t="n">
        <f aca="false">(AVERAGE(H43:H45)/AVERAGE(H40:H42)-1)*100</f>
        <v>2.57662935809613</v>
      </c>
      <c r="K45" s="24" t="n">
        <f aca="false">((AVERAGE(H43:H45)/AVERAGE(H40:H42))^4-1)*100</f>
        <v>10.7117451562461</v>
      </c>
      <c r="L45" s="24" t="n">
        <f aca="false">IFERROR(('SA Data'!Y45/'SA Data'!Y33-1)*100,"")</f>
        <v>8.6552600535436</v>
      </c>
      <c r="M45" s="24" t="n">
        <f aca="false">IFERROR((AVERAGE('SA Data'!Y43:Y45)/AVERAGE('SA Data'!Y31:Y33)-1)*100,"")</f>
        <v>8.33548207886221</v>
      </c>
    </row>
    <row r="46" customFormat="false" ht="15" hidden="false" customHeight="false" outlineLevel="0" collapsed="false">
      <c r="A46" s="20" t="n">
        <v>39202</v>
      </c>
      <c r="B46" s="23" t="n">
        <f aca="false">'SA Data'!B46</f>
        <v>125.43197</v>
      </c>
      <c r="C46" s="24" t="n">
        <f aca="false">(B46/B45-1)*100</f>
        <v>-0.795341068691757</v>
      </c>
      <c r="D46" s="24" t="n">
        <f aca="false">(AVERAGE(B44:B46)/AVERAGE(B41:B43)-1)*100</f>
        <v>2.84247063367167</v>
      </c>
      <c r="E46" s="24" t="n">
        <f aca="false">((AVERAGE(B44:B46)/AVERAGE(B41:B43))^4-1)*100</f>
        <v>11.8639126284352</v>
      </c>
      <c r="F46" s="24" t="n">
        <f aca="false">(B46/B34-1)*100</f>
        <v>8.27664070243444</v>
      </c>
      <c r="G46" s="24" t="n">
        <f aca="false">IFERROR((AVERAGE(B43:B46)/AVERAGE(B31:B34)-1)*100,"")</f>
        <v>8.68874941133997</v>
      </c>
      <c r="H46" s="23" t="n">
        <f aca="false">'SA Data'!U46</f>
        <v>124.294764359174</v>
      </c>
      <c r="I46" s="24" t="n">
        <f aca="false">(H46/H45-1)*100</f>
        <v>-0.578085627546099</v>
      </c>
      <c r="J46" s="24" t="n">
        <f aca="false">(AVERAGE(H44:H46)/AVERAGE(H41:H43)-1)*100</f>
        <v>2.25230109779244</v>
      </c>
      <c r="K46" s="24" t="n">
        <f aca="false">((AVERAGE(H44:H46)/AVERAGE(H41:H43))^4-1)*100</f>
        <v>9.31817198265836</v>
      </c>
      <c r="L46" s="24" t="n">
        <f aca="false">IFERROR(('SA Data'!Y46/'SA Data'!Y34-1)*100,"")</f>
        <v>9.4775166652415</v>
      </c>
      <c r="M46" s="24" t="n">
        <f aca="false">IFERROR((AVERAGE('SA Data'!Y43:Y46)/AVERAGE('SA Data'!Y31:Y34)-1)*100,"")</f>
        <v>8.64263921459996</v>
      </c>
    </row>
    <row r="47" customFormat="false" ht="15" hidden="false" customHeight="false" outlineLevel="0" collapsed="false">
      <c r="A47" s="20" t="n">
        <v>39233</v>
      </c>
      <c r="B47" s="23" t="n">
        <f aca="false">'SA Data'!B47</f>
        <v>127.21823</v>
      </c>
      <c r="C47" s="24" t="n">
        <f aca="false">(B47/B46-1)*100</f>
        <v>1.42408669815199</v>
      </c>
      <c r="D47" s="24" t="n">
        <f aca="false">(AVERAGE(B45:B47)/AVERAGE(B42:B44)-1)*100</f>
        <v>2.4347063755406</v>
      </c>
      <c r="E47" s="24" t="n">
        <f aca="false">((AVERAGE(B45:B47)/AVERAGE(B42:B44))^4-1)*100</f>
        <v>10.1003013252668</v>
      </c>
      <c r="F47" s="24" t="n">
        <f aca="false">(B47/B35-1)*100</f>
        <v>10.5287338306472</v>
      </c>
      <c r="G47" s="24" t="n">
        <f aca="false">IFERROR((AVERAGE(B43:B47)/AVERAGE(B31:B35)-1)*100,"")</f>
        <v>9.05781484350947</v>
      </c>
      <c r="H47" s="23" t="n">
        <f aca="false">'SA Data'!U47</f>
        <v>126.365870682466</v>
      </c>
      <c r="I47" s="24" t="n">
        <f aca="false">(H47/H46-1)*100</f>
        <v>1.66628605313339</v>
      </c>
      <c r="J47" s="24" t="n">
        <f aca="false">(AVERAGE(H45:H47)/AVERAGE(H42:H44)-1)*100</f>
        <v>2.53767767933522</v>
      </c>
      <c r="K47" s="24" t="n">
        <f aca="false">((AVERAGE(H45:H47)/AVERAGE(H42:H44))^4-1)*100</f>
        <v>10.5436775315323</v>
      </c>
      <c r="L47" s="24" t="n">
        <f aca="false">IFERROR(('SA Data'!Y47/'SA Data'!Y35-1)*100,"")</f>
        <v>10.4439795380253</v>
      </c>
      <c r="M47" s="24" t="n">
        <f aca="false">IFERROR((AVERAGE('SA Data'!Y43:Y47)/AVERAGE('SA Data'!Y31:Y35)-1)*100,"")</f>
        <v>9.05036141581719</v>
      </c>
    </row>
    <row r="48" customFormat="false" ht="15" hidden="false" customHeight="false" outlineLevel="0" collapsed="false">
      <c r="A48" s="20" t="n">
        <v>39263</v>
      </c>
      <c r="B48" s="23" t="n">
        <f aca="false">'SA Data'!B48</f>
        <v>128.4754</v>
      </c>
      <c r="C48" s="24" t="n">
        <f aca="false">(B48/B47-1)*100</f>
        <v>0.988199568568127</v>
      </c>
      <c r="D48" s="24" t="n">
        <f aca="false">(AVERAGE(B46:B48)/AVERAGE(B43:B45)-1)*100</f>
        <v>2.13499522508762</v>
      </c>
      <c r="E48" s="24" t="n">
        <f aca="false">((AVERAGE(B46:B48)/AVERAGE(B43:B45))^4-1)*100</f>
        <v>8.81738665228049</v>
      </c>
      <c r="F48" s="24" t="n">
        <f aca="false">(B48/B36-1)*100</f>
        <v>10.5135736223695</v>
      </c>
      <c r="G48" s="24" t="n">
        <f aca="false">IFERROR((AVERAGE(B43:B48)/AVERAGE(B31:B36)-1)*100,"")</f>
        <v>9.30305467902539</v>
      </c>
      <c r="H48" s="23" t="n">
        <f aca="false">'SA Data'!U48</f>
        <v>126.951379099898</v>
      </c>
      <c r="I48" s="24" t="n">
        <f aca="false">(H48/H47-1)*100</f>
        <v>0.463343792330906</v>
      </c>
      <c r="J48" s="24" t="n">
        <f aca="false">(AVERAGE(H46:H48)/AVERAGE(H43:H45)-1)*100</f>
        <v>2.03788287940518</v>
      </c>
      <c r="K48" s="24" t="n">
        <f aca="false">((AVERAGE(H46:H48)/AVERAGE(H43:H45))^4-1)*100</f>
        <v>8.40411206640068</v>
      </c>
      <c r="L48" s="24" t="n">
        <f aca="false">IFERROR(('SA Data'!Y48/'SA Data'!Y36-1)*100,"")</f>
        <v>9.31286958659476</v>
      </c>
      <c r="M48" s="24" t="n">
        <f aca="false">IFERROR((AVERAGE('SA Data'!Y43:Y48)/AVERAGE('SA Data'!Y31:Y36)-1)*100,"")</f>
        <v>9.09640854028193</v>
      </c>
    </row>
    <row r="49" customFormat="false" ht="15" hidden="false" customHeight="false" outlineLevel="0" collapsed="false">
      <c r="A49" s="20" t="n">
        <v>39294</v>
      </c>
      <c r="B49" s="23" t="n">
        <f aca="false">'SA Data'!B49</f>
        <v>127.73554</v>
      </c>
      <c r="C49" s="24" t="n">
        <f aca="false">(B49/B48-1)*100</f>
        <v>-0.575876782636997</v>
      </c>
      <c r="D49" s="24" t="n">
        <f aca="false">(AVERAGE(B47:B49)/AVERAGE(B44:B46)-1)*100</f>
        <v>1.83954872522867</v>
      </c>
      <c r="E49" s="24" t="n">
        <f aca="false">((AVERAGE(B47:B49)/AVERAGE(B44:B46))^4-1)*100</f>
        <v>7.56373269135731</v>
      </c>
      <c r="F49" s="24" t="n">
        <f aca="false">(B49/B37-1)*100</f>
        <v>8.11725350580783</v>
      </c>
      <c r="G49" s="24" t="n">
        <f aca="false">IFERROR((AVERAGE(B43:B49)/AVERAGE(B31:B37)-1)*100,"")</f>
        <v>9.1297168698069</v>
      </c>
      <c r="H49" s="23" t="n">
        <f aca="false">'SA Data'!U49</f>
        <v>125.799766524228</v>
      </c>
      <c r="I49" s="24" t="n">
        <f aca="false">(H49/H48-1)*100</f>
        <v>-0.907128842423544</v>
      </c>
      <c r="J49" s="24" t="n">
        <f aca="false">(AVERAGE(H47:H49)/AVERAGE(H44:H46)-1)*100</f>
        <v>1.87624356519782</v>
      </c>
      <c r="K49" s="24" t="n">
        <f aca="false">((AVERAGE(H47:H49)/AVERAGE(H44:H46))^4-1)*100</f>
        <v>7.71884601671011</v>
      </c>
      <c r="L49" s="24" t="n">
        <f aca="false">IFERROR(('SA Data'!Y49/'SA Data'!Y37-1)*100,"")</f>
        <v>7.49953152128164</v>
      </c>
      <c r="M49" s="24" t="n">
        <f aca="false">IFERROR((AVERAGE('SA Data'!Y43:Y49)/AVERAGE('SA Data'!Y31:Y37)-1)*100,"")</f>
        <v>8.86848000975951</v>
      </c>
    </row>
    <row r="50" customFormat="false" ht="15" hidden="false" customHeight="false" outlineLevel="0" collapsed="false">
      <c r="A50" s="20" t="n">
        <v>39325</v>
      </c>
      <c r="B50" s="23" t="n">
        <f aca="false">'SA Data'!B50</f>
        <v>128.75588</v>
      </c>
      <c r="C50" s="24" t="n">
        <f aca="false">(B50/B49-1)*100</f>
        <v>0.798791002096988</v>
      </c>
      <c r="D50" s="24" t="n">
        <f aca="false">(AVERAGE(B48:B50)/AVERAGE(B45:B47)-1)*100</f>
        <v>1.55083870020816</v>
      </c>
      <c r="E50" s="24" t="n">
        <f aca="false">((AVERAGE(B48:B50)/AVERAGE(B45:B47))^4-1)*100</f>
        <v>6.34915859506697</v>
      </c>
      <c r="F50" s="24" t="n">
        <f aca="false">(B50/B38-1)*100</f>
        <v>8.4225620795028</v>
      </c>
      <c r="G50" s="24" t="n">
        <f aca="false">IFERROR((AVERAGE(B43:B50)/AVERAGE(B31:B38)-1)*100,"")</f>
        <v>9.03912495098893</v>
      </c>
      <c r="H50" s="23" t="n">
        <f aca="false">'SA Data'!U50</f>
        <v>127.335732729238</v>
      </c>
      <c r="I50" s="24" t="n">
        <f aca="false">(H50/H49-1)*100</f>
        <v>1.22096109352798</v>
      </c>
      <c r="J50" s="24" t="n">
        <f aca="false">(AVERAGE(H48:H50)/AVERAGE(H45:H47)-1)*100</f>
        <v>1.17355012851974</v>
      </c>
      <c r="K50" s="24" t="n">
        <f aca="false">((AVERAGE(H48:H50)/AVERAGE(H45:H47))^4-1)*100</f>
        <v>4.77748209970075</v>
      </c>
      <c r="L50" s="24" t="n">
        <f aca="false">IFERROR(('SA Data'!Y50/'SA Data'!Y38-1)*100,"")</f>
        <v>7.8671098657314</v>
      </c>
      <c r="M50" s="24" t="n">
        <f aca="false">IFERROR((AVERAGE('SA Data'!Y43:Y50)/AVERAGE('SA Data'!Y31:Y38)-1)*100,"")</f>
        <v>8.74501897731781</v>
      </c>
    </row>
    <row r="51" customFormat="false" ht="15" hidden="false" customHeight="false" outlineLevel="0" collapsed="false">
      <c r="A51" s="20" t="n">
        <v>39355</v>
      </c>
      <c r="B51" s="23" t="n">
        <f aca="false">'SA Data'!B51</f>
        <v>129.61435</v>
      </c>
      <c r="C51" s="24" t="n">
        <f aca="false">(B51/B50-1)*100</f>
        <v>0.666742365474882</v>
      </c>
      <c r="D51" s="24" t="n">
        <f aca="false">(AVERAGE(B49:B51)/AVERAGE(B46:B48)-1)*100</f>
        <v>1.30670046829704</v>
      </c>
      <c r="E51" s="24" t="n">
        <f aca="false">((AVERAGE(B49:B51)/AVERAGE(B46:B48))^4-1)*100</f>
        <v>5.33014521416777</v>
      </c>
      <c r="F51" s="24" t="n">
        <f aca="false">(B51/B39-1)*100</f>
        <v>8.18383540182799</v>
      </c>
      <c r="G51" s="24" t="n">
        <f aca="false">IFERROR((AVERAGE(B43:B51)/AVERAGE(B31:B39)-1)*100,"")</f>
        <v>8.94123395480277</v>
      </c>
      <c r="H51" s="23" t="n">
        <f aca="false">'SA Data'!U51</f>
        <v>126.577718984839</v>
      </c>
      <c r="I51" s="24" t="n">
        <f aca="false">(H51/H50-1)*100</f>
        <v>-0.595287534891131</v>
      </c>
      <c r="J51" s="24" t="n">
        <f aca="false">(AVERAGE(H49:H51)/AVERAGE(H46:H48)-1)*100</f>
        <v>0.556445244875037</v>
      </c>
      <c r="K51" s="24" t="n">
        <f aca="false">((AVERAGE(H49:H51)/AVERAGE(H46:H48))^4-1)*100</f>
        <v>2.24442787115251</v>
      </c>
      <c r="L51" s="24" t="n">
        <f aca="false">IFERROR(('SA Data'!Y51/'SA Data'!Y39-1)*100,"")</f>
        <v>7.50659294706824</v>
      </c>
      <c r="M51" s="24" t="n">
        <f aca="false">IFERROR((AVERAGE('SA Data'!Y43:Y51)/AVERAGE('SA Data'!Y31:Y39)-1)*100,"")</f>
        <v>8.61022138097702</v>
      </c>
    </row>
    <row r="52" customFormat="false" ht="15" hidden="false" customHeight="false" outlineLevel="0" collapsed="false">
      <c r="A52" s="20" t="n">
        <v>39386</v>
      </c>
      <c r="B52" s="23" t="n">
        <f aca="false">'SA Data'!B52</f>
        <v>131.23956</v>
      </c>
      <c r="C52" s="24" t="n">
        <f aca="false">(B52/B51-1)*100</f>
        <v>1.25388122534273</v>
      </c>
      <c r="D52" s="24" t="n">
        <f aca="false">(AVERAGE(B50:B52)/AVERAGE(B47:B49)-1)*100</f>
        <v>1.61193265499333</v>
      </c>
      <c r="E52" s="24" t="n">
        <f aca="false">((AVERAGE(B50:B52)/AVERAGE(B47:B49))^4-1)*100</f>
        <v>6.60531231551118</v>
      </c>
      <c r="F52" s="24" t="n">
        <f aca="false">(B52/B40-1)*100</f>
        <v>8.88532629243475</v>
      </c>
      <c r="G52" s="24" t="n">
        <f aca="false">IFERROR((AVERAGE(B43:B52)/AVERAGE(B31:B40)-1)*100,"")</f>
        <v>8.93546130266645</v>
      </c>
      <c r="H52" s="23" t="n">
        <f aca="false">'SA Data'!U52</f>
        <v>129.254272933665</v>
      </c>
      <c r="I52" s="24" t="n">
        <f aca="false">(H52/H51-1)*100</f>
        <v>2.11455378584222</v>
      </c>
      <c r="J52" s="24" t="n">
        <f aca="false">(AVERAGE(H50:H52)/AVERAGE(H47:H49)-1)*100</f>
        <v>1.06845859376419</v>
      </c>
      <c r="K52" s="24" t="n">
        <f aca="false">((AVERAGE(H50:H52)/AVERAGE(H47:H49))^4-1)*100</f>
        <v>4.34281980685325</v>
      </c>
      <c r="L52" s="24" t="n">
        <f aca="false">IFERROR(('SA Data'!Y52/'SA Data'!Y40-1)*100,"")</f>
        <v>9.67135542596356</v>
      </c>
      <c r="M52" s="24" t="n">
        <f aca="false">IFERROR((AVERAGE('SA Data'!Y43:Y52)/AVERAGE('SA Data'!Y31:Y40)-1)*100,"")</f>
        <v>8.71514641997129</v>
      </c>
    </row>
    <row r="53" customFormat="false" ht="15" hidden="false" customHeight="false" outlineLevel="0" collapsed="false">
      <c r="A53" s="20" t="n">
        <v>39416</v>
      </c>
      <c r="B53" s="23" t="n">
        <f aca="false">'SA Data'!B53</f>
        <v>132.63358</v>
      </c>
      <c r="C53" s="24" t="n">
        <f aca="false">(B53/B52-1)*100</f>
        <v>1.06219496621291</v>
      </c>
      <c r="D53" s="24" t="n">
        <f aca="false">(AVERAGE(B51:B53)/AVERAGE(B48:B50)-1)*100</f>
        <v>2.21335178964255</v>
      </c>
      <c r="E53" s="24" t="n">
        <f aca="false">((AVERAGE(B51:B53)/AVERAGE(B48:B50))^4-1)*100</f>
        <v>9.15170394551028</v>
      </c>
      <c r="F53" s="24" t="n">
        <f aca="false">(B53/B41-1)*100</f>
        <v>9.92960898920286</v>
      </c>
      <c r="G53" s="24" t="n">
        <f aca="false">IFERROR((AVERAGE(B43:B53)/AVERAGE(B31:B41)-1)*100,"")</f>
        <v>9.02858958594939</v>
      </c>
      <c r="H53" s="23" t="n">
        <f aca="false">'SA Data'!U53</f>
        <v>130.487439080622</v>
      </c>
      <c r="I53" s="24" t="n">
        <f aca="false">(H53/H52-1)*100</f>
        <v>0.954062189951799</v>
      </c>
      <c r="J53" s="24" t="n">
        <f aca="false">(AVERAGE(H51:H53)/AVERAGE(H48:H50)-1)*100</f>
        <v>1.6397705368739</v>
      </c>
      <c r="K53" s="24" t="n">
        <f aca="false">((AVERAGE(H51:H53)/AVERAGE(H48:H50))^4-1)*100</f>
        <v>6.72218385931878</v>
      </c>
      <c r="L53" s="24" t="n">
        <f aca="false">IFERROR(('SA Data'!Y53/'SA Data'!Y41-1)*100,"")</f>
        <v>8.6715649145291</v>
      </c>
      <c r="M53" s="24" t="n">
        <f aca="false">IFERROR((AVERAGE('SA Data'!Y43:Y53)/AVERAGE('SA Data'!Y31:Y41)-1)*100,"")</f>
        <v>8.71115221780181</v>
      </c>
    </row>
    <row r="54" customFormat="false" ht="15" hidden="false" customHeight="false" outlineLevel="0" collapsed="false">
      <c r="A54" s="20" t="n">
        <v>39447</v>
      </c>
      <c r="B54" s="23" t="n">
        <f aca="false">'SA Data'!B54</f>
        <v>134.19822</v>
      </c>
      <c r="C54" s="24" t="n">
        <f aca="false">(B54/B53-1)*100</f>
        <v>1.17967109083537</v>
      </c>
      <c r="D54" s="24" t="n">
        <f aca="false">(AVERAGE(B52:B54)/AVERAGE(B49:B51)-1)*100</f>
        <v>3.09904459599246</v>
      </c>
      <c r="E54" s="24" t="n">
        <f aca="false">((AVERAGE(B52:B54)/AVERAGE(B49:B51))^4-1)*100</f>
        <v>12.984420652426</v>
      </c>
      <c r="F54" s="24" t="n">
        <f aca="false">(B54/B42-1)*100</f>
        <v>8.78903871854864</v>
      </c>
      <c r="G54" s="24" t="n">
        <f aca="false">IFERROR((AVERAGE(B43:B54)/AVERAGE(B31:B42)-1)*100,"")</f>
        <v>9.0076518488994</v>
      </c>
      <c r="H54" s="23" t="n">
        <f aca="false">'SA Data'!U54</f>
        <v>130.320840664798</v>
      </c>
      <c r="I54" s="24" t="n">
        <f aca="false">(H54/H53-1)*100</f>
        <v>-0.12767391022307</v>
      </c>
      <c r="J54" s="24" t="n">
        <f aca="false">(AVERAGE(H52:H54)/AVERAGE(H49:H51)-1)*100</f>
        <v>2.72556601763754</v>
      </c>
      <c r="K54" s="24" t="n">
        <f aca="false">((AVERAGE(H52:H54)/AVERAGE(H49:H51))^4-1)*100</f>
        <v>11.3561408392135</v>
      </c>
      <c r="L54" s="24" t="n">
        <f aca="false">IFERROR(('SA Data'!Y54/'SA Data'!Y42-1)*100,"")</f>
        <v>6.88420079286749</v>
      </c>
      <c r="M54" s="24" t="n">
        <f aca="false">IFERROR((AVERAGE('SA Data'!Y43:Y54)/AVERAGE('SA Data'!Y31:Y42)-1)*100,"")</f>
        <v>8.55711035052891</v>
      </c>
    </row>
    <row r="55" customFormat="false" ht="15" hidden="false" customHeight="false" outlineLevel="0" collapsed="false">
      <c r="A55" s="20" t="n">
        <v>39478</v>
      </c>
      <c r="B55" s="23" t="n">
        <f aca="false">'SA Data'!B55</f>
        <v>135.1947</v>
      </c>
      <c r="C55" s="24" t="n">
        <f aca="false">(B55/B54-1)*100</f>
        <v>0.742543380977789</v>
      </c>
      <c r="D55" s="24" t="n">
        <f aca="false">(AVERAGE(B53:B55)/AVERAGE(B50:B52)-1)*100</f>
        <v>3.18696047139886</v>
      </c>
      <c r="E55" s="24" t="n">
        <f aca="false">((AVERAGE(B53:B55)/AVERAGE(B50:B52))^4-1)*100</f>
        <v>13.3702956895704</v>
      </c>
      <c r="F55" s="24" t="n">
        <f aca="false">(B55/B43-1)*100</f>
        <v>10.7359610456244</v>
      </c>
      <c r="G55" s="24" t="n">
        <f aca="false">IFERROR((AVERAGE(B55:B55)/AVERAGE(B43:B43)-1)*100,"")</f>
        <v>10.7359610456244</v>
      </c>
      <c r="H55" s="23" t="n">
        <f aca="false">'SA Data'!U55</f>
        <v>131.999499786012</v>
      </c>
      <c r="I55" s="24" t="n">
        <f aca="false">(H55/H54-1)*100</f>
        <v>1.28809721657019</v>
      </c>
      <c r="J55" s="24" t="n">
        <f aca="false">(AVERAGE(H53:H55)/AVERAGE(H50:H52)-1)*100</f>
        <v>2.51588384500641</v>
      </c>
      <c r="K55" s="24" t="n">
        <f aca="false">((AVERAGE(H53:H55)/AVERAGE(H50:H52))^4-1)*100</f>
        <v>10.4497256233912</v>
      </c>
      <c r="L55" s="24" t="n">
        <f aca="false">IFERROR(('SA Data'!Y55/'SA Data'!Y43-1)*100,"")</f>
        <v>7.61617223683715</v>
      </c>
      <c r="M55" s="24" t="n">
        <f aca="false">IFERROR((AVERAGE('SA Data'!Y55:Y55)/AVERAGE('SA Data'!Y43:Y43)-1)*100,"")</f>
        <v>7.61617223683715</v>
      </c>
    </row>
    <row r="56" customFormat="false" ht="15" hidden="false" customHeight="false" outlineLevel="0" collapsed="false">
      <c r="A56" s="20" t="n">
        <v>39507</v>
      </c>
      <c r="B56" s="23" t="n">
        <f aca="false">'SA Data'!B56</f>
        <v>133.42689</v>
      </c>
      <c r="C56" s="24" t="n">
        <f aca="false">(B56/B55-1)*100</f>
        <v>-1.30760303473437</v>
      </c>
      <c r="D56" s="24" t="n">
        <f aca="false">(AVERAGE(B54:B56)/AVERAGE(B51:B53)-1)*100</f>
        <v>2.3716942055769</v>
      </c>
      <c r="E56" s="24" t="n">
        <f aca="false">((AVERAGE(B54:B56)/AVERAGE(B51:B53))^4-1)*100</f>
        <v>9.82964071525458</v>
      </c>
      <c r="F56" s="24" t="n">
        <f aca="false">(B56/B44-1)*100</f>
        <v>7.0552609945018</v>
      </c>
      <c r="G56" s="24" t="n">
        <f aca="false">IFERROR((AVERAGE(B55:B56)/AVERAGE(B43:B44)-1)*100,"")</f>
        <v>8.87661817331391</v>
      </c>
      <c r="H56" s="23" t="n">
        <f aca="false">'SA Data'!U56</f>
        <v>132.750418798666</v>
      </c>
      <c r="I56" s="24" t="n">
        <f aca="false">(H56/H55-1)*100</f>
        <v>0.568880195660837</v>
      </c>
      <c r="J56" s="24" t="n">
        <f aca="false">(AVERAGE(H54:H56)/AVERAGE(H51:H53)-1)*100</f>
        <v>2.26530884758176</v>
      </c>
      <c r="K56" s="24" t="n">
        <f aca="false">((AVERAGE(H54:H56)/AVERAGE(H51:H53))^4-1)*100</f>
        <v>9.37380905984801</v>
      </c>
      <c r="L56" s="24" t="n">
        <f aca="false">IFERROR(('SA Data'!Y56/'SA Data'!Y44-1)*100,"")</f>
        <v>7.84378940970794</v>
      </c>
      <c r="M56" s="24" t="n">
        <f aca="false">IFERROR((AVERAGE('SA Data'!Y55:Y56)/AVERAGE('SA Data'!Y43:Y44)-1)*100,"")</f>
        <v>7.72924883023793</v>
      </c>
    </row>
    <row r="57" customFormat="false" ht="15" hidden="false" customHeight="false" outlineLevel="0" collapsed="false">
      <c r="A57" s="20" t="n">
        <v>39538</v>
      </c>
      <c r="B57" s="23" t="n">
        <f aca="false">'SA Data'!B57</f>
        <v>133.38365</v>
      </c>
      <c r="C57" s="24" t="n">
        <f aca="false">(B57/B56-1)*100</f>
        <v>-0.032407260635392</v>
      </c>
      <c r="D57" s="24" t="n">
        <f aca="false">(AVERAGE(B55:B57)/AVERAGE(B52:B54)-1)*100</f>
        <v>0.988234873264915</v>
      </c>
      <c r="E57" s="24" t="n">
        <f aca="false">((AVERAGE(B55:B57)/AVERAGE(B52:B54))^4-1)*100</f>
        <v>4.01192298400575</v>
      </c>
      <c r="F57" s="24" t="n">
        <f aca="false">(B57/B45-1)*100</f>
        <v>5.49367521902902</v>
      </c>
      <c r="G57" s="24" t="n">
        <f aca="false">IFERROR((AVERAGE(B55:B57)/AVERAGE(B43:B45)-1)*100,"")</f>
        <v>7.73037357726745</v>
      </c>
      <c r="H57" s="23" t="n">
        <f aca="false">'SA Data'!U57</f>
        <v>130.192544484617</v>
      </c>
      <c r="I57" s="24" t="n">
        <f aca="false">(H57/H56-1)*100</f>
        <v>-1.92682956272144</v>
      </c>
      <c r="J57" s="24" t="n">
        <f aca="false">(AVERAGE(H55:H57)/AVERAGE(H52:H54)-1)*100</f>
        <v>1.25105841529598</v>
      </c>
      <c r="K57" s="24" t="n">
        <f aca="false">((AVERAGE(H55:H57)/AVERAGE(H52:H54))^4-1)*100</f>
        <v>5.09892817658804</v>
      </c>
      <c r="L57" s="24" t="n">
        <f aca="false">IFERROR(('SA Data'!Y57/'SA Data'!Y45-1)*100,"")</f>
        <v>3.20272024192863</v>
      </c>
      <c r="M57" s="24" t="n">
        <f aca="false">IFERROR((AVERAGE('SA Data'!Y55:Y57)/AVERAGE('SA Data'!Y43:Y45)-1)*100,"")</f>
        <v>6.1010738059945</v>
      </c>
    </row>
    <row r="58" customFormat="false" ht="15" hidden="false" customHeight="false" outlineLevel="0" collapsed="false">
      <c r="A58" s="20" t="n">
        <v>39568</v>
      </c>
      <c r="B58" s="23" t="n">
        <f aca="false">'SA Data'!B58</f>
        <v>135.74808</v>
      </c>
      <c r="C58" s="24" t="n">
        <f aca="false">(B58/B57-1)*100</f>
        <v>1.77265354486851</v>
      </c>
      <c r="D58" s="24" t="n">
        <f aca="false">(AVERAGE(B56:B58)/AVERAGE(B53:B55)-1)*100</f>
        <v>0.132359434017393</v>
      </c>
      <c r="E58" s="24" t="n">
        <f aca="false">((AVERAGE(B56:B58)/AVERAGE(B53:B55))^4-1)*100</f>
        <v>0.530489805085899</v>
      </c>
      <c r="F58" s="24" t="n">
        <f aca="false">(B58/B46-1)*100</f>
        <v>8.22446621862032</v>
      </c>
      <c r="G58" s="24" t="n">
        <f aca="false">IFERROR((AVERAGE(B55:B58)/AVERAGE(B43:B46)-1)*100,"")</f>
        <v>7.85467396951789</v>
      </c>
      <c r="H58" s="23" t="n">
        <f aca="false">'SA Data'!U58</f>
        <v>135.108341660698</v>
      </c>
      <c r="I58" s="24" t="n">
        <f aca="false">(H58/H57-1)*100</f>
        <v>3.77579007733597</v>
      </c>
      <c r="J58" s="24" t="n">
        <f aca="false">(AVERAGE(H56:H58)/AVERAGE(H53:H55)-1)*100</f>
        <v>1.33488329044904</v>
      </c>
      <c r="K58" s="24" t="n">
        <f aca="false">((AVERAGE(H56:H58)/AVERAGE(H53:H55))^4-1)*100</f>
        <v>5.44740259952734</v>
      </c>
      <c r="L58" s="24" t="n">
        <f aca="false">IFERROR(('SA Data'!Y58/'SA Data'!Y46-1)*100,"")</f>
        <v>8.16507327707166</v>
      </c>
      <c r="M58" s="24" t="n">
        <f aca="false">IFERROR((AVERAGE('SA Data'!Y55:Y58)/AVERAGE('SA Data'!Y43:Y46)-1)*100,"")</f>
        <v>6.66046492147367</v>
      </c>
    </row>
    <row r="59" customFormat="false" ht="15" hidden="false" customHeight="false" outlineLevel="0" collapsed="false">
      <c r="A59" s="20" t="n">
        <v>39599</v>
      </c>
      <c r="B59" s="23" t="n">
        <f aca="false">'SA Data'!B59</f>
        <v>134.857</v>
      </c>
      <c r="C59" s="24" t="n">
        <f aca="false">(B59/B58-1)*100</f>
        <v>-0.656421807218188</v>
      </c>
      <c r="D59" s="24" t="n">
        <f aca="false">(AVERAGE(B57:B59)/AVERAGE(B54:B56)-1)*100</f>
        <v>0.290184338252875</v>
      </c>
      <c r="E59" s="24" t="n">
        <f aca="false">((AVERAGE(B57:B59)/AVERAGE(B54:B56))^4-1)*100</f>
        <v>1.16579955132758</v>
      </c>
      <c r="F59" s="24" t="n">
        <f aca="false">(B59/B47-1)*100</f>
        <v>6.00446178193173</v>
      </c>
      <c r="G59" s="24" t="n">
        <f aca="false">IFERROR((AVERAGE(B55:B59)/AVERAGE(B43:B47)-1)*100,"")</f>
        <v>7.47855159869255</v>
      </c>
      <c r="H59" s="23" t="n">
        <f aca="false">'SA Data'!U59</f>
        <v>133.988254969568</v>
      </c>
      <c r="I59" s="24" t="n">
        <f aca="false">(H59/H58-1)*100</f>
        <v>-0.829028524340125</v>
      </c>
      <c r="J59" s="24" t="n">
        <f aca="false">(AVERAGE(H57:H59)/AVERAGE(H54:H56)-1)*100</f>
        <v>1.06775350152992</v>
      </c>
      <c r="K59" s="24" t="n">
        <f aca="false">((AVERAGE(H57:H59)/AVERAGE(H54:H56))^4-1)*100</f>
        <v>4.33990809560003</v>
      </c>
      <c r="L59" s="24" t="n">
        <f aca="false">IFERROR(('SA Data'!Y59/'SA Data'!Y47-1)*100,"")</f>
        <v>4.75872452942656</v>
      </c>
      <c r="M59" s="24" t="n">
        <f aca="false">IFERROR((AVERAGE('SA Data'!Y55:Y59)/AVERAGE('SA Data'!Y43:Y47)-1)*100,"")</f>
        <v>6.22451685313012</v>
      </c>
    </row>
    <row r="60" customFormat="false" ht="15" hidden="false" customHeight="false" outlineLevel="0" collapsed="false">
      <c r="A60" s="20" t="n">
        <v>39629</v>
      </c>
      <c r="B60" s="23" t="n">
        <f aca="false">'SA Data'!B60</f>
        <v>133.38336</v>
      </c>
      <c r="C60" s="24" t="n">
        <f aca="false">(B60/B59-1)*100</f>
        <v>-1.09274268299012</v>
      </c>
      <c r="D60" s="24" t="n">
        <f aca="false">(AVERAGE(B58:B60)/AVERAGE(B55:B57)-1)*100</f>
        <v>0.493326902903068</v>
      </c>
      <c r="E60" s="24" t="n">
        <f aca="false">((AVERAGE(B58:B60)/AVERAGE(B55:B57))^4-1)*100</f>
        <v>1.98795798149976</v>
      </c>
      <c r="F60" s="24" t="n">
        <f aca="false">(B60/B48-1)*100</f>
        <v>3.82015545388457</v>
      </c>
      <c r="G60" s="24" t="n">
        <f aca="false">IFERROR((AVERAGE(B55:B60)/AVERAGE(B43:B48)-1)*100,"")</f>
        <v>6.85542591448411</v>
      </c>
      <c r="H60" s="23" t="n">
        <f aca="false">'SA Data'!U60</f>
        <v>131.806808821456</v>
      </c>
      <c r="I60" s="24" t="n">
        <f aca="false">(H60/H59-1)*100</f>
        <v>-1.62808758768294</v>
      </c>
      <c r="J60" s="24" t="n">
        <f aca="false">(AVERAGE(H58:H60)/AVERAGE(H55:H57)-1)*100</f>
        <v>1.509319189459</v>
      </c>
      <c r="K60" s="24" t="n">
        <f aca="false">((AVERAGE(H58:H60)/AVERAGE(H55:H57))^4-1)*100</f>
        <v>6.17533993072292</v>
      </c>
      <c r="L60" s="24" t="n">
        <f aca="false">IFERROR(('SA Data'!Y60/'SA Data'!Y48-1)*100,"")</f>
        <v>3.27253279954305</v>
      </c>
      <c r="M60" s="24" t="n">
        <f aca="false">IFERROR((AVERAGE('SA Data'!Y55:Y60)/AVERAGE('SA Data'!Y43:Y48)-1)*100,"")</f>
        <v>5.70567555475283</v>
      </c>
    </row>
    <row r="61" customFormat="false" ht="15" hidden="false" customHeight="false" outlineLevel="0" collapsed="false">
      <c r="A61" s="20" t="n">
        <v>39660</v>
      </c>
      <c r="B61" s="23" t="n">
        <f aca="false">'SA Data'!B61</f>
        <v>135.2707</v>
      </c>
      <c r="C61" s="24" t="n">
        <f aca="false">(B61/B60-1)*100</f>
        <v>1.41497410171703</v>
      </c>
      <c r="D61" s="24" t="n">
        <f aca="false">(AVERAGE(B59:B61)/AVERAGE(B56:B58)-1)*100</f>
        <v>0.23659659803088</v>
      </c>
      <c r="E61" s="24" t="n">
        <f aca="false">((AVERAGE(B59:B61)/AVERAGE(B56:B58))^4-1)*100</f>
        <v>0.949750369946067</v>
      </c>
      <c r="F61" s="24" t="n">
        <f aca="false">(B61/B49-1)*100</f>
        <v>5.89903170253165</v>
      </c>
      <c r="G61" s="24" t="n">
        <f aca="false">IFERROR((AVERAGE(B55:B61)/AVERAGE(B43:B49)-1)*100,"")</f>
        <v>6.71691935448797</v>
      </c>
      <c r="H61" s="23" t="n">
        <f aca="false">'SA Data'!U61</f>
        <v>133.808577247635</v>
      </c>
      <c r="I61" s="24" t="n">
        <f aca="false">(H61/H60-1)*100</f>
        <v>1.51871397545997</v>
      </c>
      <c r="J61" s="24" t="n">
        <f aca="false">(AVERAGE(H59:H61)/AVERAGE(H56:H58)-1)*100</f>
        <v>0.389983923026183</v>
      </c>
      <c r="K61" s="24" t="n">
        <f aca="false">((AVERAGE(H59:H61)/AVERAGE(H56:H58))^4-1)*100</f>
        <v>1.56908468751422</v>
      </c>
      <c r="L61" s="24" t="n">
        <f aca="false">IFERROR(('SA Data'!Y61/'SA Data'!Y49-1)*100,"")</f>
        <v>6.97536237723986</v>
      </c>
      <c r="M61" s="24" t="n">
        <f aca="false">IFERROR((AVERAGE('SA Data'!Y55:Y61)/AVERAGE('SA Data'!Y43:Y49)-1)*100,"")</f>
        <v>5.88462412962911</v>
      </c>
    </row>
    <row r="62" customFormat="false" ht="15" hidden="false" customHeight="false" outlineLevel="0" collapsed="false">
      <c r="A62" s="20" t="n">
        <v>39691</v>
      </c>
      <c r="B62" s="23" t="n">
        <f aca="false">'SA Data'!B62</f>
        <v>135.69375</v>
      </c>
      <c r="C62" s="24" t="n">
        <f aca="false">(B62/B61-1)*100</f>
        <v>0.312743262214199</v>
      </c>
      <c r="D62" s="24" t="n">
        <f aca="false">(AVERAGE(B60:B62)/AVERAGE(B57:B59)-1)*100</f>
        <v>0.0888836676211424</v>
      </c>
      <c r="E62" s="24" t="n">
        <f aca="false">((AVERAGE(B60:B62)/AVERAGE(B57:B59))^4-1)*100</f>
        <v>0.356008969812449</v>
      </c>
      <c r="F62" s="24" t="n">
        <f aca="false">(B62/B50-1)*100</f>
        <v>5.38839080591893</v>
      </c>
      <c r="G62" s="24" t="n">
        <f aca="false">IFERROR((AVERAGE(B55:B62)/AVERAGE(B43:B50)-1)*100,"")</f>
        <v>6.5476870882432</v>
      </c>
      <c r="H62" s="23" t="n">
        <f aca="false">'SA Data'!U62</f>
        <v>131.793233149538</v>
      </c>
      <c r="I62" s="24" t="n">
        <f aca="false">(H62/H61-1)*100</f>
        <v>-1.50613969563914</v>
      </c>
      <c r="J62" s="24" t="n">
        <f aca="false">(AVERAGE(H60:H62)/AVERAGE(H57:H59)-1)*100</f>
        <v>-0.470967452559223</v>
      </c>
      <c r="K62" s="24" t="n">
        <f aca="false">((AVERAGE(H60:H62)/AVERAGE(H57:H59))^4-1)*100</f>
        <v>-1.87060292673543</v>
      </c>
      <c r="L62" s="24" t="n">
        <f aca="false">IFERROR(('SA Data'!Y62/'SA Data'!Y50-1)*100,"")</f>
        <v>3.94467152244906</v>
      </c>
      <c r="M62" s="24" t="n">
        <f aca="false">IFERROR((AVERAGE('SA Data'!Y55:Y62)/AVERAGE('SA Data'!Y43:Y50)-1)*100,"")</f>
        <v>5.64737422023132</v>
      </c>
    </row>
    <row r="63" customFormat="false" ht="15" hidden="false" customHeight="false" outlineLevel="0" collapsed="false">
      <c r="A63" s="20" t="n">
        <v>39721</v>
      </c>
      <c r="B63" s="23" t="n">
        <f aca="false">'SA Data'!B63</f>
        <v>135.91022</v>
      </c>
      <c r="C63" s="24" t="n">
        <f aca="false">(B63/B62-1)*100</f>
        <v>0.159528349684512</v>
      </c>
      <c r="D63" s="24" t="n">
        <f aca="false">(AVERAGE(B61:B63)/AVERAGE(B58:B60)-1)*100</f>
        <v>0.714433809046633</v>
      </c>
      <c r="E63" s="24" t="n">
        <f aca="false">((AVERAGE(B61:B63)/AVERAGE(B58:B60))^4-1)*100</f>
        <v>2.88850630004502</v>
      </c>
      <c r="F63" s="24" t="n">
        <f aca="false">(B63/B51-1)*100</f>
        <v>4.85738654709143</v>
      </c>
      <c r="G63" s="24" t="n">
        <f aca="false">IFERROR((AVERAGE(B55:B63)/AVERAGE(B43:B51)-1)*100,"")</f>
        <v>6.35557106097164</v>
      </c>
      <c r="H63" s="23" t="n">
        <f aca="false">'SA Data'!U63</f>
        <v>132.903724299742</v>
      </c>
      <c r="I63" s="24" t="n">
        <f aca="false">(H63/H62-1)*100</f>
        <v>0.842601037750645</v>
      </c>
      <c r="J63" s="24" t="n">
        <f aca="false">(AVERAGE(H61:H63)/AVERAGE(H58:H60)-1)*100</f>
        <v>-0.598116833681062</v>
      </c>
      <c r="K63" s="24" t="n">
        <f aca="false">((AVERAGE(H61:H63)/AVERAGE(H58:H60))^4-1)*100</f>
        <v>-2.37108817096252</v>
      </c>
      <c r="L63" s="24" t="n">
        <f aca="false">IFERROR(('SA Data'!Y63/'SA Data'!Y51-1)*100,"")</f>
        <v>6.02762731974738</v>
      </c>
      <c r="M63" s="24" t="n">
        <f aca="false">IFERROR((AVERAGE('SA Data'!Y55:Y63)/AVERAGE('SA Data'!Y43:Y51)-1)*100,"")</f>
        <v>5.68834264245695</v>
      </c>
    </row>
    <row r="64" customFormat="false" ht="15" hidden="false" customHeight="false" outlineLevel="0" collapsed="false">
      <c r="A64" s="20" t="n">
        <v>39752</v>
      </c>
      <c r="B64" s="23" t="n">
        <f aca="false">'SA Data'!B64</f>
        <v>132.51585</v>
      </c>
      <c r="C64" s="24" t="n">
        <f aca="false">(B64/B63-1)*100</f>
        <v>-2.49750901734984</v>
      </c>
      <c r="D64" s="24" t="n">
        <f aca="false">(AVERAGE(B62:B64)/AVERAGE(B59:B61)-1)*100</f>
        <v>0.15086575322123</v>
      </c>
      <c r="E64" s="24" t="n">
        <f aca="false">((AVERAGE(B62:B64)/AVERAGE(B59:B61))^4-1)*100</f>
        <v>0.604830015443181</v>
      </c>
      <c r="F64" s="24" t="n">
        <f aca="false">(B64/B52-1)*100</f>
        <v>0.972488783107761</v>
      </c>
      <c r="G64" s="24" t="n">
        <f aca="false">IFERROR((AVERAGE(B55:B64)/AVERAGE(B43:B52)-1)*100,"")</f>
        <v>5.80000571078241</v>
      </c>
      <c r="H64" s="23" t="n">
        <f aca="false">'SA Data'!U64</f>
        <v>130.804240190945</v>
      </c>
      <c r="I64" s="24" t="n">
        <f aca="false">(H64/H63-1)*100</f>
        <v>-1.57970299166471</v>
      </c>
      <c r="J64" s="24" t="n">
        <f aca="false">(AVERAGE(H62:H64)/AVERAGE(H59:H61)-1)*100</f>
        <v>-1.02662813275953</v>
      </c>
      <c r="K64" s="24" t="n">
        <f aca="false">((AVERAGE(H62:H64)/AVERAGE(H59:H61))^4-1)*100</f>
        <v>-4.04370631299744</v>
      </c>
      <c r="L64" s="24" t="n">
        <f aca="false">IFERROR(('SA Data'!Y64/'SA Data'!Y52-1)*100,"")</f>
        <v>1.73440244442578</v>
      </c>
      <c r="M64" s="24" t="n">
        <f aca="false">IFERROR((AVERAGE('SA Data'!Y55:Y64)/AVERAGE('SA Data'!Y43:Y52)-1)*100,"")</f>
        <v>5.29393788665076</v>
      </c>
    </row>
    <row r="65" customFormat="false" ht="15" hidden="false" customHeight="false" outlineLevel="0" collapsed="false">
      <c r="A65" s="20" t="n">
        <v>39782</v>
      </c>
      <c r="B65" s="23" t="n">
        <f aca="false">'SA Data'!B65</f>
        <v>130.32737</v>
      </c>
      <c r="C65" s="24" t="n">
        <f aca="false">(B65/B64-1)*100</f>
        <v>-1.65148546381433</v>
      </c>
      <c r="D65" s="24" t="n">
        <f aca="false">(AVERAGE(B63:B65)/AVERAGE(B60:B62)-1)*100</f>
        <v>-1.38355392601236</v>
      </c>
      <c r="E65" s="24" t="n">
        <f aca="false">((AVERAGE(B63:B65)/AVERAGE(B60:B62))^4-1)*100</f>
        <v>-5.42041812328449</v>
      </c>
      <c r="F65" s="24" t="n">
        <f aca="false">(B65/B53-1)*100</f>
        <v>-1.73878289344221</v>
      </c>
      <c r="G65" s="24" t="n">
        <f aca="false">IFERROR((AVERAGE(B55:B65)/AVERAGE(B43:B53)-1)*100,"")</f>
        <v>5.08796217894167</v>
      </c>
      <c r="H65" s="23" t="n">
        <f aca="false">'SA Data'!U65</f>
        <v>127.441774621019</v>
      </c>
      <c r="I65" s="24" t="n">
        <f aca="false">(H65/H64-1)*100</f>
        <v>-2.57060899938507</v>
      </c>
      <c r="J65" s="24" t="n">
        <f aca="false">(AVERAGE(H63:H65)/AVERAGE(H60:H62)-1)*100</f>
        <v>-1.57492309030185</v>
      </c>
      <c r="K65" s="24" t="n">
        <f aca="false">((AVERAGE(H63:H65)/AVERAGE(H60:H62))^4-1)*100</f>
        <v>-6.15242580930714</v>
      </c>
      <c r="L65" s="24" t="n">
        <f aca="false">IFERROR(('SA Data'!Y65/'SA Data'!Y53-1)*100,"")</f>
        <v>-2.28108386687369</v>
      </c>
      <c r="M65" s="24" t="n">
        <f aca="false">IFERROR((AVERAGE('SA Data'!Y55:Y65)/AVERAGE('SA Data'!Y43:Y53)-1)*100,"")</f>
        <v>4.59994739245471</v>
      </c>
    </row>
    <row r="66" customFormat="false" ht="15" hidden="false" customHeight="false" outlineLevel="0" collapsed="false">
      <c r="A66" s="20" t="n">
        <v>39813</v>
      </c>
      <c r="B66" s="23" t="n">
        <f aca="false">'SA Data'!B66</f>
        <v>125.16881</v>
      </c>
      <c r="C66" s="24" t="n">
        <f aca="false">(B66/B65-1)*100</f>
        <v>-3.95815552788337</v>
      </c>
      <c r="D66" s="24" t="n">
        <f aca="false">(AVERAGE(B64:B66)/AVERAGE(B61:B63)-1)*100</f>
        <v>-4.63598286912283</v>
      </c>
      <c r="E66" s="24" t="n">
        <f aca="false">((AVERAGE(B64:B66)/AVERAGE(B61:B63))^4-1)*100</f>
        <v>-17.2937845689283</v>
      </c>
      <c r="F66" s="24" t="n">
        <f aca="false">(B66/B54-1)*100</f>
        <v>-6.7284126421349</v>
      </c>
      <c r="G66" s="24" t="n">
        <f aca="false">IFERROR((AVERAGE(B55:B66)/AVERAGE(B43:B54)-1)*100,"")</f>
        <v>4.05723338877899</v>
      </c>
      <c r="H66" s="23" t="n">
        <f aca="false">'SA Data'!U66</f>
        <v>126.842753545889</v>
      </c>
      <c r="I66" s="24" t="n">
        <f aca="false">(H66/H65-1)*100</f>
        <v>-0.470035101842625</v>
      </c>
      <c r="J66" s="24" t="n">
        <f aca="false">(AVERAGE(H64:H66)/AVERAGE(H61:H63)-1)*100</f>
        <v>-3.36677038858855</v>
      </c>
      <c r="K66" s="24" t="n">
        <f aca="false">((AVERAGE(H64:H66)/AVERAGE(H61:H63))^4-1)*100</f>
        <v>-12.8021096272406</v>
      </c>
      <c r="L66" s="24" t="n">
        <f aca="false">IFERROR(('SA Data'!Y66/'SA Data'!Y54-1)*100,"")</f>
        <v>-2.79310367129839</v>
      </c>
      <c r="M66" s="24" t="n">
        <f aca="false">IFERROR((AVERAGE('SA Data'!Y55:Y66)/AVERAGE('SA Data'!Y43:Y54)-1)*100,"")</f>
        <v>3.98619850253392</v>
      </c>
    </row>
    <row r="67" customFormat="false" ht="15" hidden="false" customHeight="false" outlineLevel="0" collapsed="false">
      <c r="A67" s="20" t="n">
        <v>39844</v>
      </c>
      <c r="B67" s="23" t="n">
        <f aca="false">'SA Data'!B67</f>
        <v>124.2895</v>
      </c>
      <c r="C67" s="24" t="n">
        <f aca="false">(B67/B66-1)*100</f>
        <v>-0.702499288760505</v>
      </c>
      <c r="D67" s="24" t="n">
        <f aca="false">(AVERAGE(B65:B67)/AVERAGE(B62:B64)-1)*100</f>
        <v>-6.0215160939149</v>
      </c>
      <c r="E67" s="24" t="n">
        <f aca="false">((AVERAGE(B65:B67)/AVERAGE(B62:B64))^4-1)*100</f>
        <v>-21.996563153789</v>
      </c>
      <c r="F67" s="24" t="n">
        <f aca="false">(B67/B55-1)*100</f>
        <v>-8.06629253957442</v>
      </c>
      <c r="G67" s="24" t="n">
        <f aca="false">IFERROR((AVERAGE(B67:B67)/AVERAGE(B55:B55)-1)*100,"")</f>
        <v>-8.06629253957442</v>
      </c>
      <c r="H67" s="23" t="n">
        <f aca="false">'SA Data'!U67</f>
        <v>125.084566672871</v>
      </c>
      <c r="I67" s="24" t="n">
        <f aca="false">(H67/H66-1)*100</f>
        <v>-1.38611534665367</v>
      </c>
      <c r="J67" s="24" t="n">
        <f aca="false">(AVERAGE(H65:H67)/AVERAGE(H62:H64)-1)*100</f>
        <v>-4.07890112512885</v>
      </c>
      <c r="K67" s="24" t="n">
        <f aca="false">((AVERAGE(H65:H67)/AVERAGE(H62:H64))^4-1)*100</f>
        <v>-15.3442266129165</v>
      </c>
      <c r="L67" s="24" t="n">
        <f aca="false">IFERROR(('SA Data'!Y67/'SA Data'!Y55-1)*100,"")</f>
        <v>-5.58004058151316</v>
      </c>
      <c r="M67" s="24" t="n">
        <f aca="false">IFERROR((AVERAGE('SA Data'!Y67:Y67)/AVERAGE('SA Data'!Y55:Y55)-1)*100,"")</f>
        <v>-5.58004058151316</v>
      </c>
    </row>
    <row r="68" customFormat="false" ht="15" hidden="false" customHeight="false" outlineLevel="0" collapsed="false">
      <c r="A68" s="20" t="n">
        <v>39872</v>
      </c>
      <c r="B68" s="23" t="n">
        <f aca="false">'SA Data'!B68</f>
        <v>126.22969</v>
      </c>
      <c r="C68" s="24" t="n">
        <f aca="false">(B68/B67-1)*100</f>
        <v>1.56102486533456</v>
      </c>
      <c r="D68" s="24" t="n">
        <f aca="false">(AVERAGE(B66:B68)/AVERAGE(B63:B65)-1)*100</f>
        <v>-5.78438646197008</v>
      </c>
      <c r="E68" s="24" t="n">
        <f aca="false">((AVERAGE(B66:B68)/AVERAGE(B63:B65))^4-1)*100</f>
        <v>-21.2062949381336</v>
      </c>
      <c r="F68" s="24" t="n">
        <f aca="false">(B68/B56-1)*100</f>
        <v>-5.39411508429821</v>
      </c>
      <c r="G68" s="24" t="n">
        <f aca="false">IFERROR((AVERAGE(B67:B68)/AVERAGE(B55:B56)-1)*100,"")</f>
        <v>-6.73899666813824</v>
      </c>
      <c r="H68" s="23" t="n">
        <f aca="false">'SA Data'!U68</f>
        <v>125.127614950751</v>
      </c>
      <c r="I68" s="24" t="n">
        <f aca="false">(H68/H67-1)*100</f>
        <v>0.0344153391775626</v>
      </c>
      <c r="J68" s="24" t="n">
        <f aca="false">(AVERAGE(H66:H68)/AVERAGE(H63:H65)-1)*100</f>
        <v>-3.60342920698432</v>
      </c>
      <c r="K68" s="24" t="n">
        <f aca="false">((AVERAGE(H66:H68)/AVERAGE(H63:H65))^4-1)*100</f>
        <v>-13.6531818843091</v>
      </c>
      <c r="L68" s="24" t="n">
        <f aca="false">IFERROR(('SA Data'!Y68/'SA Data'!Y56-1)*100,"")</f>
        <v>-6.05983750441873</v>
      </c>
      <c r="M68" s="24" t="n">
        <f aca="false">IFERROR((AVERAGE('SA Data'!Y67:Y68)/AVERAGE('SA Data'!Y55:Y56)-1)*100,"")</f>
        <v>-5.81864949205576</v>
      </c>
    </row>
    <row r="69" customFormat="false" ht="15" hidden="false" customHeight="false" outlineLevel="0" collapsed="false">
      <c r="A69" s="20" t="n">
        <v>39903</v>
      </c>
      <c r="B69" s="23" t="n">
        <f aca="false">'SA Data'!B69</f>
        <v>123.45784</v>
      </c>
      <c r="C69" s="24" t="n">
        <f aca="false">(B69/B68-1)*100</f>
        <v>-2.19587800619648</v>
      </c>
      <c r="D69" s="24" t="n">
        <f aca="false">(AVERAGE(B67:B69)/AVERAGE(B64:B66)-1)*100</f>
        <v>-3.61715589075936</v>
      </c>
      <c r="E69" s="24" t="n">
        <f aca="false">((AVERAGE(B67:B69)/AVERAGE(B64:B66))^4-1)*100</f>
        <v>-13.7023538544088</v>
      </c>
      <c r="F69" s="24" t="n">
        <f aca="false">(B69/B57-1)*100</f>
        <v>-7.44154924535352</v>
      </c>
      <c r="G69" s="24" t="n">
        <f aca="false">IFERROR((AVERAGE(B67:B69)/AVERAGE(B55:B57)-1)*100,"")</f>
        <v>-6.97210066217047</v>
      </c>
      <c r="H69" s="23" t="n">
        <f aca="false">'SA Data'!U69</f>
        <v>124.429509010661</v>
      </c>
      <c r="I69" s="24" t="n">
        <f aca="false">(H69/H68-1)*100</f>
        <v>-0.557915165540557</v>
      </c>
      <c r="J69" s="24" t="n">
        <f aca="false">(AVERAGE(H67:H69)/AVERAGE(H64:H66)-1)*100</f>
        <v>-2.71290117551839</v>
      </c>
      <c r="K69" s="24" t="n">
        <f aca="false">((AVERAGE(H67:H69)/AVERAGE(H64:H66))^4-1)*100</f>
        <v>-10.4179471672562</v>
      </c>
      <c r="L69" s="24" t="n">
        <f aca="false">IFERROR(('SA Data'!Y69/'SA Data'!Y57-1)*100,"")</f>
        <v>-4.88213070112488</v>
      </c>
      <c r="M69" s="24" t="n">
        <f aca="false">IFERROR((AVERAGE('SA Data'!Y67:Y69)/AVERAGE('SA Data'!Y55:Y57)-1)*100,"")</f>
        <v>-5.49098929952501</v>
      </c>
    </row>
    <row r="70" customFormat="false" ht="15" hidden="false" customHeight="false" outlineLevel="0" collapsed="false">
      <c r="A70" s="20" t="n">
        <v>39933</v>
      </c>
      <c r="B70" s="23" t="n">
        <f aca="false">'SA Data'!B70</f>
        <v>121.77051</v>
      </c>
      <c r="C70" s="24" t="n">
        <f aca="false">(B70/B69-1)*100</f>
        <v>-1.36672567736484</v>
      </c>
      <c r="D70" s="24" t="n">
        <f aca="false">(AVERAGE(B68:B70)/AVERAGE(B65:B67)-1)*100</f>
        <v>-2.19272090511682</v>
      </c>
      <c r="E70" s="24" t="n">
        <f aca="false">((AVERAGE(B68:B70)/AVERAGE(B65:B67))^4-1)*100</f>
        <v>-8.48659606804264</v>
      </c>
      <c r="F70" s="24" t="n">
        <f aca="false">(B70/B58-1)*100</f>
        <v>-10.2966981190452</v>
      </c>
      <c r="G70" s="24" t="n">
        <f aca="false">IFERROR((AVERAGE(B67:B70)/AVERAGE(B55:B58)-1)*100,"")</f>
        <v>-7.81134740367573</v>
      </c>
      <c r="H70" s="23" t="n">
        <f aca="false">'SA Data'!U70</f>
        <v>122.712193904283</v>
      </c>
      <c r="I70" s="24" t="n">
        <f aca="false">(H70/H69-1)*100</f>
        <v>-1.38015099475396</v>
      </c>
      <c r="J70" s="24" t="n">
        <f aca="false">(AVERAGE(H68:H70)/AVERAGE(H65:H67)-1)*100</f>
        <v>-1.87146951890821</v>
      </c>
      <c r="K70" s="24" t="n">
        <f aca="false">((AVERAGE(H68:H70)/AVERAGE(H65:H67))^4-1)*100</f>
        <v>-7.27834377178777</v>
      </c>
      <c r="L70" s="24" t="n">
        <f aca="false">IFERROR(('SA Data'!Y70/'SA Data'!Y58-1)*100,"")</f>
        <v>-11.2581560839911</v>
      </c>
      <c r="M70" s="24" t="n">
        <f aca="false">IFERROR((AVERAGE('SA Data'!Y67:Y70)/AVERAGE('SA Data'!Y55:Y58)-1)*100,"")</f>
        <v>-7.07607252667386</v>
      </c>
    </row>
    <row r="71" customFormat="false" ht="15" hidden="false" customHeight="false" outlineLevel="0" collapsed="false">
      <c r="A71" s="20" t="n">
        <v>39964</v>
      </c>
      <c r="B71" s="23" t="n">
        <f aca="false">'SA Data'!B71</f>
        <v>121.10578</v>
      </c>
      <c r="C71" s="24" t="n">
        <f aca="false">(B71/B70-1)*100</f>
        <v>-0.545887505932274</v>
      </c>
      <c r="D71" s="24" t="n">
        <f aca="false">(AVERAGE(B69:B71)/AVERAGE(B66:B68)-1)*100</f>
        <v>-2.4897973850642</v>
      </c>
      <c r="E71" s="24" t="n">
        <f aca="false">((AVERAGE(B69:B71)/AVERAGE(B66:B68))^4-1)*100</f>
        <v>-9.59337944265021</v>
      </c>
      <c r="F71" s="24" t="n">
        <f aca="false">(B71/B59-1)*100</f>
        <v>-10.1968900390784</v>
      </c>
      <c r="G71" s="24" t="n">
        <f aca="false">IFERROR((AVERAGE(B67:B71)/AVERAGE(B55:B59)-1)*100,"")</f>
        <v>-8.28964384608312</v>
      </c>
      <c r="H71" s="23" t="n">
        <f aca="false">'SA Data'!U71</f>
        <v>122.033557947193</v>
      </c>
      <c r="I71" s="24" t="n">
        <f aca="false">(H71/H70-1)*100</f>
        <v>-0.553030579519842</v>
      </c>
      <c r="J71" s="24" t="n">
        <f aca="false">(AVERAGE(H69:H71)/AVERAGE(H66:H68)-1)*100</f>
        <v>-2.08979476792462</v>
      </c>
      <c r="K71" s="24" t="n">
        <f aca="false">((AVERAGE(H69:H71)/AVERAGE(H66:H68))^4-1)*100</f>
        <v>-8.10077612450816</v>
      </c>
      <c r="L71" s="24" t="n">
        <f aca="false">IFERROR(('SA Data'!Y71/'SA Data'!Y59-1)*100,"")</f>
        <v>-12.7408581540978</v>
      </c>
      <c r="M71" s="24" t="n">
        <f aca="false">IFERROR((AVERAGE('SA Data'!Y67:Y71)/AVERAGE('SA Data'!Y55:Y59)-1)*100,"")</f>
        <v>-8.356728395437</v>
      </c>
    </row>
    <row r="72" customFormat="false" ht="15" hidden="false" customHeight="false" outlineLevel="0" collapsed="false">
      <c r="A72" s="20" t="n">
        <v>39994</v>
      </c>
      <c r="B72" s="23" t="n">
        <f aca="false">'SA Data'!B72</f>
        <v>122.54345</v>
      </c>
      <c r="C72" s="24" t="n">
        <f aca="false">(B72/B71-1)*100</f>
        <v>1.1871192275051</v>
      </c>
      <c r="D72" s="24" t="n">
        <f aca="false">(AVERAGE(B70:B72)/AVERAGE(B67:B69)-1)*100</f>
        <v>-2.28818598832127</v>
      </c>
      <c r="E72" s="24" t="n">
        <f aca="false">((AVERAGE(B70:B72)/AVERAGE(B67:B69))^4-1)*100</f>
        <v>-8.84336102191549</v>
      </c>
      <c r="F72" s="24" t="n">
        <f aca="false">(B72/B60-1)*100</f>
        <v>-8.12688329338832</v>
      </c>
      <c r="G72" s="24" t="n">
        <f aca="false">IFERROR((AVERAGE(B67:B72)/AVERAGE(B55:B60)-1)*100,"")</f>
        <v>-8.26270871007325</v>
      </c>
      <c r="H72" s="23" t="n">
        <f aca="false">'SA Data'!U72</f>
        <v>123.834889632681</v>
      </c>
      <c r="I72" s="24" t="n">
        <f aca="false">(H72/H71-1)*100</f>
        <v>1.47609535916975</v>
      </c>
      <c r="J72" s="24" t="n">
        <f aca="false">(AVERAGE(H70:H72)/AVERAGE(H67:H69)-1)*100</f>
        <v>-1.61782559219846</v>
      </c>
      <c r="K72" s="24" t="n">
        <f aca="false">((AVERAGE(H70:H72)/AVERAGE(H67:H69))^4-1)*100</f>
        <v>-6.3159477119842</v>
      </c>
      <c r="L72" s="24" t="n">
        <f aca="false">IFERROR(('SA Data'!Y72/'SA Data'!Y60-1)*100,"")</f>
        <v>-7.55462180960463</v>
      </c>
      <c r="M72" s="24" t="n">
        <f aca="false">IFERROR((AVERAGE('SA Data'!Y67:Y72)/AVERAGE('SA Data'!Y55:Y60)-1)*100,"")</f>
        <v>-8.21899503777541</v>
      </c>
    </row>
    <row r="73" customFormat="false" ht="15" hidden="false" customHeight="false" outlineLevel="0" collapsed="false">
      <c r="A73" s="20" t="n">
        <v>40025</v>
      </c>
      <c r="B73" s="23" t="n">
        <f aca="false">'SA Data'!B73</f>
        <v>124.75464</v>
      </c>
      <c r="C73" s="24" t="n">
        <f aca="false">(B73/B72-1)*100</f>
        <v>1.80441304696415</v>
      </c>
      <c r="D73" s="24" t="n">
        <f aca="false">(AVERAGE(B71:B73)/AVERAGE(B68:B70)-1)*100</f>
        <v>-0.822211305481502</v>
      </c>
      <c r="E73" s="24" t="n">
        <f aca="false">((AVERAGE(B71:B73)/AVERAGE(B68:B70))^4-1)*100</f>
        <v>-3.24850521532994</v>
      </c>
      <c r="F73" s="24" t="n">
        <f aca="false">(B73/B61-1)*100</f>
        <v>-7.77408559281501</v>
      </c>
      <c r="G73" s="24" t="n">
        <f aca="false">IFERROR((AVERAGE(B67:B73)/AVERAGE(B55:B61)-1)*100,"")</f>
        <v>-8.19248785341266</v>
      </c>
      <c r="H73" s="23" t="n">
        <f aca="false">'SA Data'!U73</f>
        <v>125.902601871771</v>
      </c>
      <c r="I73" s="24" t="n">
        <f aca="false">(H73/H72-1)*100</f>
        <v>1.66973317877004</v>
      </c>
      <c r="J73" s="24" t="n">
        <f aca="false">(AVERAGE(H71:H73)/AVERAGE(H68:H70)-1)*100</f>
        <v>-0.133846221038803</v>
      </c>
      <c r="K73" s="24" t="n">
        <f aca="false">((AVERAGE(H71:H73)/AVERAGE(H68:H70))^4-1)*100</f>
        <v>-0.534310954312978</v>
      </c>
      <c r="L73" s="24" t="n">
        <f aca="false">IFERROR(('SA Data'!Y73/'SA Data'!Y61-1)*100,"")</f>
        <v>-5.94529168514451</v>
      </c>
      <c r="M73" s="24" t="n">
        <f aca="false">IFERROR((AVERAGE('SA Data'!Y67:Y73)/AVERAGE('SA Data'!Y55:Y61)-1)*100,"")</f>
        <v>-7.89524017440739</v>
      </c>
    </row>
    <row r="74" customFormat="false" ht="15" hidden="false" customHeight="false" outlineLevel="0" collapsed="false">
      <c r="A74" s="20" t="n">
        <v>40056</v>
      </c>
      <c r="B74" s="23" t="n">
        <f aca="false">'SA Data'!B74</f>
        <v>126.7923</v>
      </c>
      <c r="C74" s="24" t="n">
        <f aca="false">(B74/B73-1)*100</f>
        <v>1.63333403871793</v>
      </c>
      <c r="D74" s="24" t="n">
        <f aca="false">(AVERAGE(B72:B74)/AVERAGE(B69:B71)-1)*100</f>
        <v>2.11726382141899</v>
      </c>
      <c r="E74" s="24" t="n">
        <f aca="false">((AVERAGE(B72:B74)/AVERAGE(B69:B71))^4-1)*100</f>
        <v>8.74184025985647</v>
      </c>
      <c r="F74" s="24" t="n">
        <f aca="false">(B74/B62-1)*100</f>
        <v>-6.55995578278292</v>
      </c>
      <c r="G74" s="24" t="n">
        <f aca="false">IFERROR((AVERAGE(B67:B74)/AVERAGE(B55:B62)-1)*100,"")</f>
        <v>-7.98679332129653</v>
      </c>
      <c r="H74" s="23" t="n">
        <f aca="false">'SA Data'!U74</f>
        <v>126.252040469386</v>
      </c>
      <c r="I74" s="24" t="n">
        <f aca="false">(H74/H73-1)*100</f>
        <v>0.277546764260195</v>
      </c>
      <c r="J74" s="24" t="n">
        <f aca="false">(AVERAGE(H72:H74)/AVERAGE(H69:H71)-1)*100</f>
        <v>1.8458092494571</v>
      </c>
      <c r="K74" s="24" t="n">
        <f aca="false">((AVERAGE(H72:H74)/AVERAGE(H69:H71))^4-1)*100</f>
        <v>7.59018479022717</v>
      </c>
      <c r="L74" s="24" t="n">
        <f aca="false">IFERROR(('SA Data'!Y74/'SA Data'!Y62-1)*100,"")</f>
        <v>-4.0033997784356</v>
      </c>
      <c r="M74" s="24" t="n">
        <f aca="false">IFERROR((AVERAGE('SA Data'!Y67:Y74)/AVERAGE('SA Data'!Y55:Y62)-1)*100,"")</f>
        <v>-7.42695168789733</v>
      </c>
    </row>
    <row r="75" customFormat="false" ht="15" hidden="false" customHeight="false" outlineLevel="0" collapsed="false">
      <c r="A75" s="20" t="n">
        <v>40086</v>
      </c>
      <c r="B75" s="23" t="n">
        <f aca="false">'SA Data'!B75</f>
        <v>128.17867</v>
      </c>
      <c r="C75" s="24" t="n">
        <f aca="false">(B75/B74-1)*100</f>
        <v>1.09341813343555</v>
      </c>
      <c r="D75" s="24" t="n">
        <f aca="false">(AVERAGE(B73:B75)/AVERAGE(B70:B72)-1)*100</f>
        <v>3.91491439406093</v>
      </c>
      <c r="E75" s="24" t="n">
        <f aca="false">((AVERAGE(B73:B75)/AVERAGE(B70:B72))^4-1)*100</f>
        <v>16.6034866221553</v>
      </c>
      <c r="F75" s="24" t="n">
        <f aca="false">(B75/B63-1)*100</f>
        <v>-5.68871862616366</v>
      </c>
      <c r="G75" s="24" t="n">
        <f aca="false">IFERROR((AVERAGE(B67:B75)/AVERAGE(B55:B63)-1)*100,"")</f>
        <v>-7.72927828481961</v>
      </c>
      <c r="H75" s="23" t="n">
        <f aca="false">'SA Data'!U75</f>
        <v>127.892725481277</v>
      </c>
      <c r="I75" s="24" t="n">
        <f aca="false">(H75/H74-1)*100</f>
        <v>1.2995314814644</v>
      </c>
      <c r="J75" s="24" t="n">
        <f aca="false">(AVERAGE(H73:H75)/AVERAGE(H70:H72)-1)*100</f>
        <v>3.11104953643349</v>
      </c>
      <c r="K75" s="24" t="n">
        <f aca="false">((AVERAGE(H73:H75)/AVERAGE(H70:H72))^4-1)*100</f>
        <v>13.037053852663</v>
      </c>
      <c r="L75" s="24" t="n">
        <f aca="false">IFERROR(('SA Data'!Y75/'SA Data'!Y63-1)*100,"")</f>
        <v>-3.52324507976426</v>
      </c>
      <c r="M75" s="24" t="n">
        <f aca="false">IFERROR((AVERAGE('SA Data'!Y67:Y75)/AVERAGE('SA Data'!Y55:Y63)-1)*100,"")</f>
        <v>-7.00501664022069</v>
      </c>
    </row>
    <row r="76" customFormat="false" ht="15" hidden="false" customHeight="false" outlineLevel="0" collapsed="false">
      <c r="A76" s="20" t="n">
        <v>40117</v>
      </c>
      <c r="B76" s="23" t="n">
        <f aca="false">'SA Data'!B76</f>
        <v>129.20725</v>
      </c>
      <c r="C76" s="24" t="n">
        <f aca="false">(B76/B75-1)*100</f>
        <v>0.802458006468609</v>
      </c>
      <c r="D76" s="24" t="n">
        <f aca="false">(AVERAGE(B74:B76)/AVERAGE(B71:B73)-1)*100</f>
        <v>4.28180898316839</v>
      </c>
      <c r="E76" s="24" t="n">
        <f aca="false">((AVERAGE(B74:B76)/AVERAGE(B71:B73))^4-1)*100</f>
        <v>18.2590062370517</v>
      </c>
      <c r="F76" s="24" t="n">
        <f aca="false">(B76/B64-1)*100</f>
        <v>-2.4967579349942</v>
      </c>
      <c r="G76" s="24" t="n">
        <f aca="false">IFERROR((AVERAGE(B67:B76)/AVERAGE(B55:B64)-1)*100,"")</f>
        <v>-7.21389250743394</v>
      </c>
      <c r="H76" s="23" t="n">
        <f aca="false">'SA Data'!U76</f>
        <v>129.03482874114</v>
      </c>
      <c r="I76" s="24" t="n">
        <f aca="false">(H76/H75-1)*100</f>
        <v>0.893016593058893</v>
      </c>
      <c r="J76" s="24" t="n">
        <f aca="false">(AVERAGE(H74:H76)/AVERAGE(H71:H73)-1)*100</f>
        <v>3.06870189515405</v>
      </c>
      <c r="K76" s="24" t="n">
        <f aca="false">((AVERAGE(H74:H76)/AVERAGE(H71:H73))^4-1)*100</f>
        <v>12.8514712404879</v>
      </c>
      <c r="L76" s="24" t="n">
        <f aca="false">IFERROR(('SA Data'!Y76/'SA Data'!Y64-1)*100,"")</f>
        <v>-1.28821038729597</v>
      </c>
      <c r="M76" s="24" t="n">
        <f aca="false">IFERROR((AVERAGE('SA Data'!Y67:Y76)/AVERAGE('SA Data'!Y55:Y64)-1)*100,"")</f>
        <v>-6.45404405411488</v>
      </c>
    </row>
    <row r="77" customFormat="false" ht="15" hidden="false" customHeight="false" outlineLevel="0" collapsed="false">
      <c r="A77" s="20" t="n">
        <v>40147</v>
      </c>
      <c r="B77" s="23" t="n">
        <f aca="false">'SA Data'!B77</f>
        <v>129.72978</v>
      </c>
      <c r="C77" s="24" t="n">
        <f aca="false">(B77/B76-1)*100</f>
        <v>0.404412291105971</v>
      </c>
      <c r="D77" s="24" t="n">
        <f aca="false">(AVERAGE(B75:B77)/AVERAGE(B72:B74)-1)*100</f>
        <v>3.48186169658087</v>
      </c>
      <c r="E77" s="24" t="n">
        <f aca="false">((AVERAGE(B75:B77)/AVERAGE(B72:B74))^4-1)*100</f>
        <v>14.6718801609939</v>
      </c>
      <c r="F77" s="24" t="n">
        <f aca="false">(B77/B65-1)*100</f>
        <v>-0.458529931203244</v>
      </c>
      <c r="G77" s="24" t="n">
        <f aca="false">IFERROR((AVERAGE(B67:B77)/AVERAGE(B55:B65)-1)*100,"")</f>
        <v>-6.61729310694501</v>
      </c>
      <c r="H77" s="23" t="n">
        <f aca="false">'SA Data'!U77</f>
        <v>129.507582703003</v>
      </c>
      <c r="I77" s="24" t="n">
        <f aca="false">(H77/H76-1)*100</f>
        <v>0.366377021208364</v>
      </c>
      <c r="J77" s="24" t="n">
        <f aca="false">(AVERAGE(H75:H77)/AVERAGE(H72:H74)-1)*100</f>
        <v>2.7781637687476</v>
      </c>
      <c r="K77" s="24" t="n">
        <f aca="false">((AVERAGE(H75:H77)/AVERAGE(H72:H74))^4-1)*100</f>
        <v>11.5843832437569</v>
      </c>
      <c r="L77" s="24" t="n">
        <f aca="false">IFERROR(('SA Data'!Y77/'SA Data'!Y65-1)*100,"")</f>
        <v>1.99670935737797</v>
      </c>
      <c r="M77" s="24" t="n">
        <f aca="false">IFERROR((AVERAGE('SA Data'!Y67:Y77)/AVERAGE('SA Data'!Y55:Y65)-1)*100,"")</f>
        <v>-5.73075441828633</v>
      </c>
    </row>
    <row r="78" customFormat="false" ht="15" hidden="false" customHeight="false" outlineLevel="0" collapsed="false">
      <c r="A78" s="20" t="n">
        <v>40178</v>
      </c>
      <c r="B78" s="23" t="n">
        <f aca="false">'SA Data'!B78</f>
        <v>128.07244</v>
      </c>
      <c r="C78" s="24" t="n">
        <f aca="false">(B78/B77-1)*100</f>
        <v>-1.27753242162286</v>
      </c>
      <c r="D78" s="24" t="n">
        <f aca="false">(AVERAGE(B76:B78)/AVERAGE(B73:B75)-1)*100</f>
        <v>1.91819034802523</v>
      </c>
      <c r="E78" s="24" t="n">
        <f aca="false">((AVERAGE(B76:B78)/AVERAGE(B73:B75))^4-1)*100</f>
        <v>7.89636534058125</v>
      </c>
      <c r="F78" s="24" t="n">
        <f aca="false">(B78/B66-1)*100</f>
        <v>2.31977119539604</v>
      </c>
      <c r="G78" s="24" t="n">
        <f aca="false">IFERROR((AVERAGE(B67:B78)/AVERAGE(B55:B66)-1)*100,"")</f>
        <v>-5.91852652975858</v>
      </c>
      <c r="H78" s="23" t="n">
        <f aca="false">'SA Data'!U78</f>
        <v>130.030705029686</v>
      </c>
      <c r="I78" s="24" t="n">
        <f aca="false">(H78/H77-1)*100</f>
        <v>0.40393181292151</v>
      </c>
      <c r="J78" s="24" t="n">
        <f aca="false">(AVERAGE(H76:H78)/AVERAGE(H73:H75)-1)*100</f>
        <v>2.24333842916602</v>
      </c>
      <c r="K78" s="24" t="n">
        <f aca="false">((AVERAGE(H76:H78)/AVERAGE(H73:H75))^4-1)*100</f>
        <v>9.27984898251972</v>
      </c>
      <c r="L78" s="24" t="n">
        <f aca="false">IFERROR(('SA Data'!Y78/'SA Data'!Y66-1)*100,"")</f>
        <v>2.66866968099346</v>
      </c>
      <c r="M78" s="24" t="n">
        <f aca="false">IFERROR((AVERAGE('SA Data'!Y67:Y78)/AVERAGE('SA Data'!Y55:Y66)-1)*100,"")</f>
        <v>-5.07891908356171</v>
      </c>
    </row>
    <row r="79" customFormat="false" ht="15" hidden="false" customHeight="false" outlineLevel="0" collapsed="false">
      <c r="A79" s="20" t="n">
        <v>40209</v>
      </c>
      <c r="B79" s="23" t="n">
        <f aca="false">'SA Data'!B79</f>
        <v>131.72001</v>
      </c>
      <c r="C79" s="24" t="n">
        <f aca="false">(B79/B78-1)*100</f>
        <v>2.84805224293376</v>
      </c>
      <c r="D79" s="24" t="n">
        <f aca="false">(AVERAGE(B77:B79)/AVERAGE(B74:B76)-1)*100</f>
        <v>1.39102367645934</v>
      </c>
      <c r="E79" s="24" t="n">
        <f aca="false">((AVERAGE(B77:B79)/AVERAGE(B74:B76))^4-1)*100</f>
        <v>5.68127188472765</v>
      </c>
      <c r="F79" s="24" t="n">
        <f aca="false">(B79/B67-1)*100</f>
        <v>5.97838916400821</v>
      </c>
      <c r="G79" s="24" t="n">
        <f aca="false">IFERROR((AVERAGE(B79:B79)/AVERAGE(B67:B67)-1)*100,"")</f>
        <v>5.97838916400821</v>
      </c>
      <c r="H79" s="23" t="n">
        <f aca="false">'SA Data'!U79</f>
        <v>131.075732902441</v>
      </c>
      <c r="I79" s="24" t="n">
        <f aca="false">(H79/H78-1)*100</f>
        <v>0.803677771736155</v>
      </c>
      <c r="J79" s="24" t="n">
        <f aca="false">(AVERAGE(H77:H79)/AVERAGE(H74:H76)-1)*100</f>
        <v>1.94019359233035</v>
      </c>
      <c r="K79" s="24" t="n">
        <f aca="false">((AVERAGE(H77:H79)/AVERAGE(H74:H76))^4-1)*100</f>
        <v>7.98957103821654</v>
      </c>
      <c r="L79" s="24" t="n">
        <f aca="false">IFERROR(('SA Data'!Y79/'SA Data'!Y67-1)*100,"")</f>
        <v>4.72908942121553</v>
      </c>
      <c r="M79" s="24" t="n">
        <f aca="false">IFERROR((AVERAGE('SA Data'!Y79:Y79)/AVERAGE('SA Data'!Y67:Y67)-1)*100,"")</f>
        <v>4.72908942121553</v>
      </c>
    </row>
    <row r="80" customFormat="false" ht="15" hidden="false" customHeight="false" outlineLevel="0" collapsed="false">
      <c r="A80" s="20" t="n">
        <v>40237</v>
      </c>
      <c r="B80" s="23" t="n">
        <f aca="false">'SA Data'!B80</f>
        <v>133.12326</v>
      </c>
      <c r="C80" s="24" t="n">
        <f aca="false">(B80/B79-1)*100</f>
        <v>1.06532788753964</v>
      </c>
      <c r="D80" s="24" t="n">
        <f aca="false">(AVERAGE(B78:B80)/AVERAGE(B75:B77)-1)*100</f>
        <v>1.49826266410791</v>
      </c>
      <c r="E80" s="24" t="n">
        <f aca="false">((AVERAGE(B78:B80)/AVERAGE(B75:B77))^4-1)*100</f>
        <v>6.12908847078189</v>
      </c>
      <c r="F80" s="24" t="n">
        <f aca="false">(B80/B68-1)*100</f>
        <v>5.4611320046813</v>
      </c>
      <c r="G80" s="24" t="n">
        <f aca="false">IFERROR((AVERAGE(B79:B80)/AVERAGE(B67:B68)-1)*100,"")</f>
        <v>5.71775758974789</v>
      </c>
      <c r="H80" s="23" t="n">
        <f aca="false">'SA Data'!U80</f>
        <v>132.27985160589</v>
      </c>
      <c r="I80" s="24" t="n">
        <f aca="false">(H80/H79-1)*100</f>
        <v>0.918643502337235</v>
      </c>
      <c r="J80" s="24" t="n">
        <f aca="false">(AVERAGE(H78:H80)/AVERAGE(H75:H77)-1)*100</f>
        <v>1.79878896828678</v>
      </c>
      <c r="K80" s="24" t="n">
        <f aca="false">((AVERAGE(H78:H80)/AVERAGE(H75:H77))^4-1)*100</f>
        <v>7.39163294234633</v>
      </c>
      <c r="L80" s="24" t="n">
        <f aca="false">IFERROR(('SA Data'!Y80/'SA Data'!Y68-1)*100,"")</f>
        <v>5.3175438481138</v>
      </c>
      <c r="M80" s="24" t="n">
        <f aca="false">IFERROR((AVERAGE('SA Data'!Y79:Y80)/AVERAGE('SA Data'!Y67:Y68)-1)*100,"")</f>
        <v>5.02098561177295</v>
      </c>
    </row>
    <row r="81" customFormat="false" ht="15" hidden="false" customHeight="false" outlineLevel="0" collapsed="false">
      <c r="A81" s="20" t="n">
        <v>40268</v>
      </c>
      <c r="B81" s="23" t="n">
        <f aca="false">'SA Data'!B81</f>
        <v>133.97039</v>
      </c>
      <c r="C81" s="24" t="n">
        <f aca="false">(B81/B80-1)*100</f>
        <v>0.636350101402283</v>
      </c>
      <c r="D81" s="24" t="n">
        <f aca="false">(AVERAGE(B79:B81)/AVERAGE(B76:B78)-1)*100</f>
        <v>3.0501036576702</v>
      </c>
      <c r="E81" s="24" t="n">
        <f aca="false">((AVERAGE(B79:B81)/AVERAGE(B76:B78))^4-1)*100</f>
        <v>12.7700393254737</v>
      </c>
      <c r="F81" s="24" t="n">
        <f aca="false">(B81/B69-1)*100</f>
        <v>8.5150930876484</v>
      </c>
      <c r="G81" s="24" t="n">
        <f aca="false">IFERROR((AVERAGE(B79:B81)/AVERAGE(B67:B69)-1)*100,"")</f>
        <v>6.64121804486229</v>
      </c>
      <c r="H81" s="23" t="n">
        <f aca="false">'SA Data'!U81</f>
        <v>134.638991445796</v>
      </c>
      <c r="I81" s="24" t="n">
        <f aca="false">(H81/H80-1)*100</f>
        <v>1.78344608892882</v>
      </c>
      <c r="J81" s="24" t="n">
        <f aca="false">(AVERAGE(H79:H81)/AVERAGE(H76:H78)-1)*100</f>
        <v>2.42462977516214</v>
      </c>
      <c r="K81" s="24" t="n">
        <f aca="false">((AVERAGE(H79:H81)/AVERAGE(H76:H78))^4-1)*100</f>
        <v>10.0569850281463</v>
      </c>
      <c r="L81" s="24" t="n">
        <f aca="false">IFERROR(('SA Data'!Y81/'SA Data'!Y69-1)*100,"")</f>
        <v>8.70025542431876</v>
      </c>
      <c r="M81" s="24" t="n">
        <f aca="false">IFERROR((AVERAGE('SA Data'!Y79:Y81)/AVERAGE('SA Data'!Y67:Y69)-1)*100,"")</f>
        <v>6.31654617511983</v>
      </c>
    </row>
    <row r="82" customFormat="false" ht="15" hidden="false" customHeight="false" outlineLevel="0" collapsed="false">
      <c r="A82" s="20" t="n">
        <v>40298</v>
      </c>
      <c r="B82" s="23" t="n">
        <f aca="false">'SA Data'!B82</f>
        <v>136.86532</v>
      </c>
      <c r="C82" s="24" t="n">
        <f aca="false">(B82/B81-1)*100</f>
        <v>2.16087301081978</v>
      </c>
      <c r="D82" s="24" t="n">
        <f aca="false">(AVERAGE(B80:B82)/AVERAGE(B77:B79)-1)*100</f>
        <v>3.70626857419667</v>
      </c>
      <c r="E82" s="24" t="n">
        <f aca="false">((AVERAGE(B80:B82)/AVERAGE(B77:B79))^4-1)*100</f>
        <v>15.6698129455564</v>
      </c>
      <c r="F82" s="24" t="n">
        <f aca="false">(B82/B70-1)*100</f>
        <v>12.3961129833488</v>
      </c>
      <c r="G82" s="24" t="n">
        <f aca="false">IFERROR((AVERAGE(B79:B82)/AVERAGE(B67:B70)-1)*100,"")</f>
        <v>8.05479337325608</v>
      </c>
      <c r="H82" s="23" t="n">
        <f aca="false">'SA Data'!U82</f>
        <v>136.679411681866</v>
      </c>
      <c r="I82" s="24" t="n">
        <f aca="false">(H82/H81-1)*100</f>
        <v>1.51547498548443</v>
      </c>
      <c r="J82" s="24" t="n">
        <f aca="false">(AVERAGE(H80:H82)/AVERAGE(H77:H79)-1)*100</f>
        <v>3.32405735905514</v>
      </c>
      <c r="K82" s="24" t="n">
        <f aca="false">((AVERAGE(H80:H82)/AVERAGE(H77:H79))^4-1)*100</f>
        <v>13.9740044431085</v>
      </c>
      <c r="L82" s="24" t="n">
        <f aca="false">IFERROR(('SA Data'!Y82/'SA Data'!Y70-1)*100,"")</f>
        <v>13.7767003958346</v>
      </c>
      <c r="M82" s="24" t="n">
        <f aca="false">IFERROR((AVERAGE('SA Data'!Y79:Y82)/AVERAGE('SA Data'!Y67:Y70)-1)*100,"")</f>
        <v>8.27466145327687</v>
      </c>
    </row>
    <row r="83" customFormat="false" ht="15" hidden="false" customHeight="false" outlineLevel="0" collapsed="false">
      <c r="A83" s="20" t="n">
        <v>40329</v>
      </c>
      <c r="B83" s="23" t="n">
        <f aca="false">'SA Data'!B83</f>
        <v>139.19129</v>
      </c>
      <c r="C83" s="24" t="n">
        <f aca="false">(B83/B82-1)*100</f>
        <v>1.69945900100918</v>
      </c>
      <c r="D83" s="24" t="n">
        <f aca="false">(AVERAGE(B81:B83)/AVERAGE(B78:B80)-1)*100</f>
        <v>4.3549518546866</v>
      </c>
      <c r="E83" s="24" t="n">
        <f aca="false">((AVERAGE(B81:B83)/AVERAGE(B78:B80))^4-1)*100</f>
        <v>18.5911411721545</v>
      </c>
      <c r="F83" s="24" t="n">
        <f aca="false">(B83/B71-1)*100</f>
        <v>14.9336472627483</v>
      </c>
      <c r="G83" s="24" t="n">
        <f aca="false">IFERROR((AVERAGE(B79:B83)/AVERAGE(B67:B71)-1)*100,"")</f>
        <v>9.40530724548909</v>
      </c>
      <c r="H83" s="23" t="n">
        <f aca="false">'SA Data'!U83</f>
        <v>137.139130416856</v>
      </c>
      <c r="I83" s="24" t="n">
        <f aca="false">(H83/H82-1)*100</f>
        <v>0.336348195630154</v>
      </c>
      <c r="J83" s="24" t="n">
        <f aca="false">(AVERAGE(H81:H83)/AVERAGE(H78:H80)-1)*100</f>
        <v>3.83115639952787</v>
      </c>
      <c r="K83" s="24" t="n">
        <f aca="false">((AVERAGE(H81:H83)/AVERAGE(H78:H80))^4-1)*100</f>
        <v>16.2279997128673</v>
      </c>
      <c r="L83" s="24" t="n">
        <f aca="false">IFERROR(('SA Data'!Y83/'SA Data'!Y71-1)*100,"")</f>
        <v>18.0622586376455</v>
      </c>
      <c r="M83" s="24" t="n">
        <f aca="false">IFERROR((AVERAGE('SA Data'!Y79:Y83)/AVERAGE('SA Data'!Y67:Y71)-1)*100,"")</f>
        <v>10.3815201278468</v>
      </c>
    </row>
    <row r="84" customFormat="false" ht="15" hidden="false" customHeight="false" outlineLevel="0" collapsed="false">
      <c r="A84" s="20" t="n">
        <v>40359</v>
      </c>
      <c r="B84" s="23" t="n">
        <f aca="false">'SA Data'!B84</f>
        <v>140.56871</v>
      </c>
      <c r="C84" s="24" t="n">
        <f aca="false">(B84/B83-1)*100</f>
        <v>0.989587782396439</v>
      </c>
      <c r="D84" s="24" t="n">
        <f aca="false">(AVERAGE(B82:B84)/AVERAGE(B79:B81)-1)*100</f>
        <v>4.46616096349355</v>
      </c>
      <c r="E84" s="24" t="n">
        <f aca="false">((AVERAGE(B82:B84)/AVERAGE(B79:B81))^4-1)*100</f>
        <v>19.0974712250342</v>
      </c>
      <c r="F84" s="24" t="n">
        <f aca="false">(B84/B72-1)*100</f>
        <v>14.7092806673878</v>
      </c>
      <c r="G84" s="24" t="n">
        <f aca="false">IFERROR((AVERAGE(B79:B84)/AVERAGE(B67:B72)-1)*100,"")</f>
        <v>10.2843578827103</v>
      </c>
      <c r="H84" s="23" t="n">
        <f aca="false">'SA Data'!U84</f>
        <v>138.201435176664</v>
      </c>
      <c r="I84" s="24" t="n">
        <f aca="false">(H84/H83-1)*100</f>
        <v>0.774618270204464</v>
      </c>
      <c r="J84" s="24" t="n">
        <f aca="false">(AVERAGE(H82:H84)/AVERAGE(H79:H81)-1)*100</f>
        <v>3.52401820744281</v>
      </c>
      <c r="K84" s="24" t="n">
        <f aca="false">((AVERAGE(H82:H84)/AVERAGE(H79:H81))^4-1)*100</f>
        <v>14.8588548096353</v>
      </c>
      <c r="L84" s="24" t="n">
        <f aca="false">IFERROR(('SA Data'!Y84/'SA Data'!Y72-1)*100,"")</f>
        <v>14.5032378004307</v>
      </c>
      <c r="M84" s="24" t="n">
        <f aca="false">IFERROR((AVERAGE('SA Data'!Y79:Y84)/AVERAGE('SA Data'!Y67:Y72)-1)*100,"")</f>
        <v>11.0944021913303</v>
      </c>
    </row>
    <row r="85" customFormat="false" ht="15" hidden="false" customHeight="false" outlineLevel="0" collapsed="false">
      <c r="A85" s="20" t="n">
        <v>40390</v>
      </c>
      <c r="B85" s="23" t="n">
        <f aca="false">'SA Data'!B85</f>
        <v>139.39691</v>
      </c>
      <c r="C85" s="24" t="n">
        <f aca="false">(B85/B84-1)*100</f>
        <v>-0.833613682589829</v>
      </c>
      <c r="D85" s="24" t="n">
        <f aca="false">(AVERAGE(B83:B85)/AVERAGE(B80:B82)-1)*100</f>
        <v>3.76224842834905</v>
      </c>
      <c r="E85" s="24" t="n">
        <f aca="false">((AVERAGE(B83:B85)/AVERAGE(B80:B82))^4-1)*100</f>
        <v>15.9197659759095</v>
      </c>
      <c r="F85" s="24" t="n">
        <f aca="false">(B85/B73-1)*100</f>
        <v>11.7368540360503</v>
      </c>
      <c r="G85" s="24" t="n">
        <f aca="false">IFERROR((AVERAGE(B79:B85)/AVERAGE(B67:B73)-1)*100,"")</f>
        <v>10.4940498795228</v>
      </c>
      <c r="H85" s="23" t="n">
        <f aca="false">'SA Data'!U85</f>
        <v>136.881177670776</v>
      </c>
      <c r="I85" s="24" t="n">
        <f aca="false">(H85/H84-1)*100</f>
        <v>-0.955313889613951</v>
      </c>
      <c r="J85" s="24" t="n">
        <f aca="false">(AVERAGE(H83:H85)/AVERAGE(H80:H82)-1)*100</f>
        <v>2.13665159093324</v>
      </c>
      <c r="K85" s="24" t="n">
        <f aca="false">((AVERAGE(H83:H85)/AVERAGE(H80:H82))^4-1)*100</f>
        <v>8.82444577190487</v>
      </c>
      <c r="L85" s="24" t="n">
        <f aca="false">IFERROR(('SA Data'!Y85/'SA Data'!Y73-1)*100,"")</f>
        <v>8.61045272939058</v>
      </c>
      <c r="M85" s="24" t="n">
        <f aca="false">IFERROR((AVERAGE('SA Data'!Y79:Y85)/AVERAGE('SA Data'!Y67:Y73)-1)*100,"")</f>
        <v>10.7332221687209</v>
      </c>
    </row>
    <row r="86" customFormat="false" ht="15" hidden="false" customHeight="false" outlineLevel="0" collapsed="false">
      <c r="A86" s="20" t="n">
        <v>40421</v>
      </c>
      <c r="B86" s="23" t="n">
        <f aca="false">'SA Data'!B86</f>
        <v>140.00233</v>
      </c>
      <c r="C86" s="24" t="n">
        <f aca="false">(B86/B85-1)*100</f>
        <v>0.434313787873775</v>
      </c>
      <c r="D86" s="24" t="n">
        <f aca="false">(AVERAGE(B84:B86)/AVERAGE(B81:B83)-1)*100</f>
        <v>2.42446229150763</v>
      </c>
      <c r="E86" s="24" t="n">
        <f aca="false">((AVERAGE(B84:B86)/AVERAGE(B81:B83))^4-1)*100</f>
        <v>10.0562651739126</v>
      </c>
      <c r="F86" s="24" t="n">
        <f aca="false">(B86/B74-1)*100</f>
        <v>10.4186374093695</v>
      </c>
      <c r="G86" s="24" t="n">
        <f aca="false">IFERROR((AVERAGE(B79:B86)/AVERAGE(B67:B74)-1)*100,"")</f>
        <v>10.4844007738845</v>
      </c>
      <c r="H86" s="23" t="n">
        <f aca="false">'SA Data'!U86</f>
        <v>137.188739152679</v>
      </c>
      <c r="I86" s="24" t="n">
        <f aca="false">(H86/H85-1)*100</f>
        <v>0.224692311343788</v>
      </c>
      <c r="J86" s="24" t="n">
        <f aca="false">(AVERAGE(H84:H86)/AVERAGE(H81:H83)-1)*100</f>
        <v>0.933712354992045</v>
      </c>
      <c r="K86" s="24" t="n">
        <f aca="false">((AVERAGE(H84:H86)/AVERAGE(H81:H83))^4-1)*100</f>
        <v>3.78748491692773</v>
      </c>
      <c r="L86" s="24" t="n">
        <f aca="false">IFERROR(('SA Data'!Y86/'SA Data'!Y74-1)*100,"")</f>
        <v>8.93468142910188</v>
      </c>
      <c r="M86" s="24" t="n">
        <f aca="false">IFERROR((AVERAGE('SA Data'!Y79:Y86)/AVERAGE('SA Data'!Y67:Y74)-1)*100,"")</f>
        <v>10.5088081277294</v>
      </c>
    </row>
    <row r="87" customFormat="false" ht="15" hidden="false" customHeight="false" outlineLevel="0" collapsed="false">
      <c r="A87" s="20" t="n">
        <v>40451</v>
      </c>
      <c r="B87" s="23" t="n">
        <f aca="false">'SA Data'!B87</f>
        <v>139.38548</v>
      </c>
      <c r="C87" s="24" t="n">
        <f aca="false">(B87/B86-1)*100</f>
        <v>-0.44059981001745</v>
      </c>
      <c r="D87" s="24" t="n">
        <f aca="false">(AVERAGE(B85:B87)/AVERAGE(B82:B84)-1)*100</f>
        <v>0.518307432683174</v>
      </c>
      <c r="E87" s="24" t="n">
        <f aca="false">((AVERAGE(B85:B87)/AVERAGE(B82:B84))^4-1)*100</f>
        <v>2.08940405436946</v>
      </c>
      <c r="F87" s="24" t="n">
        <f aca="false">(B87/B75-1)*100</f>
        <v>8.7431161518527</v>
      </c>
      <c r="G87" s="24" t="n">
        <f aca="false">IFERROR((AVERAGE(B79:B87)/AVERAGE(B67:B75)-1)*100,"")</f>
        <v>10.2849627580497</v>
      </c>
      <c r="H87" s="23" t="n">
        <f aca="false">'SA Data'!U87</f>
        <v>137.059287198674</v>
      </c>
      <c r="I87" s="24" t="n">
        <f aca="false">(H87/H86-1)*100</f>
        <v>-0.0943604809000576</v>
      </c>
      <c r="J87" s="24" t="n">
        <f aca="false">(AVERAGE(H85:H87)/AVERAGE(H82:H84)-1)*100</f>
        <v>-0.216196617248543</v>
      </c>
      <c r="K87" s="24" t="n">
        <f aca="false">((AVERAGE(H85:H87)/AVERAGE(H82:H84))^4-1)*100</f>
        <v>-0.861986050267338</v>
      </c>
      <c r="L87" s="24" t="n">
        <f aca="false">IFERROR(('SA Data'!Y87/'SA Data'!Y75-1)*100,"")</f>
        <v>7.18257790524497</v>
      </c>
      <c r="M87" s="24" t="n">
        <f aca="false">IFERROR((AVERAGE('SA Data'!Y79:Y87)/AVERAGE('SA Data'!Y67:Y75)-1)*100,"")</f>
        <v>10.1358295377957</v>
      </c>
    </row>
    <row r="88" customFormat="false" ht="15" hidden="false" customHeight="false" outlineLevel="0" collapsed="false">
      <c r="A88" s="20" t="n">
        <v>40482</v>
      </c>
      <c r="B88" s="23" t="n">
        <f aca="false">'SA Data'!B88</f>
        <v>140.18864</v>
      </c>
      <c r="C88" s="24" t="n">
        <f aca="false">(B88/B87-1)*100</f>
        <v>0.576214968732747</v>
      </c>
      <c r="D88" s="24" t="n">
        <f aca="false">(AVERAGE(B86:B88)/AVERAGE(B83:B85)-1)*100</f>
        <v>0.100091395367907</v>
      </c>
      <c r="E88" s="24" t="n">
        <f aca="false">((AVERAGE(B86:B88)/AVERAGE(B83:B85))^4-1)*100</f>
        <v>0.400967079915349</v>
      </c>
      <c r="F88" s="24" t="n">
        <f aca="false">(B88/B76-1)*100</f>
        <v>8.49905094334877</v>
      </c>
      <c r="G88" s="24" t="n">
        <f aca="false">IFERROR((AVERAGE(B79:B88)/AVERAGE(B67:B76)-1)*100,"")</f>
        <v>10.1001135413248</v>
      </c>
      <c r="H88" s="23" t="n">
        <f aca="false">'SA Data'!U88</f>
        <v>137.166502742433</v>
      </c>
      <c r="I88" s="24" t="n">
        <f aca="false">(H88/H87-1)*100</f>
        <v>0.0782256685775362</v>
      </c>
      <c r="J88" s="24" t="n">
        <f aca="false">(AVERAGE(H86:H88)/AVERAGE(H83:H85)-1)*100</f>
        <v>-0.195820376702749</v>
      </c>
      <c r="K88" s="24" t="n">
        <f aca="false">((AVERAGE(H86:H88)/AVERAGE(H83:H85))^4-1)*100</f>
        <v>-0.780983771686183</v>
      </c>
      <c r="L88" s="24" t="n">
        <f aca="false">IFERROR(('SA Data'!Y88/'SA Data'!Y76-1)*100,"")</f>
        <v>6.07796833225964</v>
      </c>
      <c r="M88" s="24" t="n">
        <f aca="false">IFERROR((AVERAGE('SA Data'!Y79:Y88)/AVERAGE('SA Data'!Y67:Y76)-1)*100,"")</f>
        <v>9.72314545964867</v>
      </c>
    </row>
    <row r="89" customFormat="false" ht="15" hidden="false" customHeight="false" outlineLevel="0" collapsed="false">
      <c r="A89" s="20" t="n">
        <v>40512</v>
      </c>
      <c r="B89" s="23" t="n">
        <f aca="false">'SA Data'!B89</f>
        <v>142.24157</v>
      </c>
      <c r="C89" s="24" t="n">
        <f aca="false">(B89/B88-1)*100</f>
        <v>1.46440538976624</v>
      </c>
      <c r="D89" s="24" t="n">
        <f aca="false">(AVERAGE(B87:B89)/AVERAGE(B84:B86)-1)*100</f>
        <v>0.439971669266681</v>
      </c>
      <c r="E89" s="24" t="n">
        <f aca="false">((AVERAGE(B87:B89)/AVERAGE(B84:B86))^4-1)*100</f>
        <v>1.7715352857421</v>
      </c>
      <c r="F89" s="24" t="n">
        <f aca="false">(B89/B77-1)*100</f>
        <v>9.6445010544225</v>
      </c>
      <c r="G89" s="24" t="n">
        <f aca="false">IFERROR((AVERAGE(B79:B89)/AVERAGE(B67:B77)-1)*100,"")</f>
        <v>10.0572224241043</v>
      </c>
      <c r="H89" s="23" t="n">
        <f aca="false">'SA Data'!U89</f>
        <v>140.414399370619</v>
      </c>
      <c r="I89" s="24" t="n">
        <f aca="false">(H89/H88-1)*100</f>
        <v>2.36784970327999</v>
      </c>
      <c r="J89" s="24" t="n">
        <f aca="false">(AVERAGE(H87:H89)/AVERAGE(H84:H86)-1)*100</f>
        <v>0.574582080494657</v>
      </c>
      <c r="K89" s="24" t="n">
        <f aca="false">((AVERAGE(H87:H89)/AVERAGE(H84:H86))^4-1)*100</f>
        <v>2.31821298306851</v>
      </c>
      <c r="L89" s="24" t="n">
        <f aca="false">IFERROR(('SA Data'!Y89/'SA Data'!Y77-1)*100,"")</f>
        <v>8.74916676311786</v>
      </c>
      <c r="M89" s="24" t="n">
        <f aca="false">IFERROR((AVERAGE('SA Data'!Y79:Y89)/AVERAGE('SA Data'!Y67:Y77)-1)*100,"")</f>
        <v>9.63295047279291</v>
      </c>
    </row>
    <row r="90" customFormat="false" ht="15" hidden="false" customHeight="false" outlineLevel="0" collapsed="false">
      <c r="A90" s="20" t="n">
        <v>40543</v>
      </c>
      <c r="B90" s="23" t="n">
        <f aca="false">'SA Data'!B90</f>
        <v>141.97979</v>
      </c>
      <c r="C90" s="24" t="n">
        <f aca="false">(B90/B89-1)*100</f>
        <v>-0.184039026003435</v>
      </c>
      <c r="D90" s="24" t="n">
        <f aca="false">(AVERAGE(B88:B90)/AVERAGE(B85:B87)-1)*100</f>
        <v>1.34323907519835</v>
      </c>
      <c r="E90" s="24" t="n">
        <f aca="false">((AVERAGE(B88:B90)/AVERAGE(B85:B87))^4-1)*100</f>
        <v>5.48218646683281</v>
      </c>
      <c r="F90" s="24" t="n">
        <f aca="false">(B90/B78-1)*100</f>
        <v>10.8589716882102</v>
      </c>
      <c r="G90" s="24" t="n">
        <f aca="false">IFERROR((AVERAGE(B79:B90)/AVERAGE(B67:B78)-1)*100,"")</f>
        <v>10.1253983839463</v>
      </c>
      <c r="H90" s="23" t="n">
        <f aca="false">'SA Data'!U90</f>
        <v>141.139132650204</v>
      </c>
      <c r="I90" s="24" t="n">
        <f aca="false">(H90/H89-1)*100</f>
        <v>0.516138859571358</v>
      </c>
      <c r="J90" s="24" t="n">
        <f aca="false">(AVERAGE(H88:H90)/AVERAGE(H85:H87)-1)*100</f>
        <v>1.84633703148909</v>
      </c>
      <c r="K90" s="24" t="n">
        <f aca="false">((AVERAGE(H88:H90)/AVERAGE(H85:H87))^4-1)*100</f>
        <v>7.59241500895362</v>
      </c>
      <c r="L90" s="24" t="n">
        <f aca="false">IFERROR(('SA Data'!Y90/'SA Data'!Y78-1)*100,"")</f>
        <v>8.57827869131178</v>
      </c>
      <c r="M90" s="24" t="n">
        <f aca="false">IFERROR((AVERAGE('SA Data'!Y79:Y90)/AVERAGE('SA Data'!Y67:Y78)-1)*100,"")</f>
        <v>9.54442240713707</v>
      </c>
    </row>
    <row r="91" customFormat="false" ht="15" hidden="false" customHeight="false" outlineLevel="0" collapsed="false">
      <c r="A91" s="20" t="n">
        <v>40574</v>
      </c>
      <c r="B91" s="23" t="n">
        <f aca="false">'SA Data'!B91</f>
        <v>145.85115</v>
      </c>
      <c r="C91" s="24" t="n">
        <f aca="false">(B91/B90-1)*100</f>
        <v>2.726697933558</v>
      </c>
      <c r="D91" s="24" t="n">
        <f aca="false">(AVERAGE(B89:B91)/AVERAGE(B86:B88)-1)*100</f>
        <v>2.50158463374193</v>
      </c>
      <c r="E91" s="24" t="n">
        <f aca="false">((AVERAGE(B89:B91)/AVERAGE(B86:B88))^4-1)*100</f>
        <v>10.3881151296758</v>
      </c>
      <c r="F91" s="24" t="n">
        <f aca="false">(B91/B79-1)*100</f>
        <v>10.7281649917883</v>
      </c>
      <c r="G91" s="24" t="n">
        <f aca="false">IFERROR((AVERAGE(B91:B91)/AVERAGE(B79:B79)-1)*100,"")</f>
        <v>10.7281649917883</v>
      </c>
      <c r="H91" s="23" t="n">
        <f aca="false">'SA Data'!U91</f>
        <v>142.711718699639</v>
      </c>
      <c r="I91" s="24" t="n">
        <f aca="false">(H91/H90-1)*100</f>
        <v>1.11420980128349</v>
      </c>
      <c r="J91" s="24" t="n">
        <f aca="false">(AVERAGE(H89:H91)/AVERAGE(H86:H88)-1)*100</f>
        <v>3.12354589299095</v>
      </c>
      <c r="K91" s="24" t="n">
        <f aca="false">((AVERAGE(H89:H91)/AVERAGE(H86:H88))^4-1)*100</f>
        <v>13.0918610976146</v>
      </c>
      <c r="L91" s="24" t="n">
        <f aca="false">IFERROR(('SA Data'!Y91/'SA Data'!Y79-1)*100,"")</f>
        <v>8.41904908103626</v>
      </c>
      <c r="M91" s="24" t="n">
        <f aca="false">IFERROR((AVERAGE('SA Data'!Y91:Y91)/AVERAGE('SA Data'!Y79:Y79)-1)*100,"")</f>
        <v>8.41904908103626</v>
      </c>
    </row>
    <row r="92" customFormat="false" ht="15" hidden="false" customHeight="false" outlineLevel="0" collapsed="false">
      <c r="A92" s="20" t="n">
        <v>40602</v>
      </c>
      <c r="B92" s="23" t="n">
        <f aca="false">'SA Data'!B92</f>
        <v>143.85332</v>
      </c>
      <c r="C92" s="24" t="n">
        <f aca="false">(B92/B91-1)*100</f>
        <v>-1.36977322427694</v>
      </c>
      <c r="D92" s="24" t="n">
        <f aca="false">(AVERAGE(B90:B92)/AVERAGE(B87:B89)-1)*100</f>
        <v>2.33954550149615</v>
      </c>
      <c r="E92" s="24" t="n">
        <f aca="false">((AVERAGE(B90:B92)/AVERAGE(B87:B89))^4-1)*100</f>
        <v>9.69174252990483</v>
      </c>
      <c r="F92" s="24" t="n">
        <f aca="false">(B92/B80-1)*100</f>
        <v>8.06024431793513</v>
      </c>
      <c r="G92" s="24" t="n">
        <f aca="false">IFERROR((AVERAGE(B91:B92)/AVERAGE(B79:B80)-1)*100,"")</f>
        <v>9.38713677715883</v>
      </c>
      <c r="H92" s="23" t="n">
        <f aca="false">'SA Data'!U92</f>
        <v>142.528537821426</v>
      </c>
      <c r="I92" s="24" t="n">
        <f aca="false">(H92/H91-1)*100</f>
        <v>-0.128357278492741</v>
      </c>
      <c r="J92" s="24" t="n">
        <f aca="false">(AVERAGE(H90:H92)/AVERAGE(H87:H89)-1)*100</f>
        <v>2.831177527444</v>
      </c>
      <c r="K92" s="24" t="n">
        <f aca="false">((AVERAGE(H90:H92)/AVERAGE(H87:H89))^4-1)*100</f>
        <v>11.8147857269405</v>
      </c>
      <c r="L92" s="24" t="n">
        <f aca="false">IFERROR(('SA Data'!Y92/'SA Data'!Y80-1)*100,"")</f>
        <v>7.30076779134863</v>
      </c>
      <c r="M92" s="24" t="n">
        <f aca="false">IFERROR((AVERAGE('SA Data'!Y91:Y92)/AVERAGE('SA Data'!Y79:Y80)-1)*100,"")</f>
        <v>7.86277185041659</v>
      </c>
    </row>
    <row r="93" customFormat="false" ht="15" hidden="false" customHeight="false" outlineLevel="0" collapsed="false">
      <c r="A93" s="20" t="n">
        <v>40633</v>
      </c>
      <c r="B93" s="23" t="n">
        <f aca="false">'SA Data'!B93</f>
        <v>144.86151</v>
      </c>
      <c r="C93" s="24" t="n">
        <f aca="false">(B93/B92-1)*100</f>
        <v>0.700845833797925</v>
      </c>
      <c r="D93" s="24" t="n">
        <f aca="false">(AVERAGE(B91:B93)/AVERAGE(B88:B90)-1)*100</f>
        <v>2.39296435051011</v>
      </c>
      <c r="E93" s="24" t="n">
        <f aca="false">((AVERAGE(B91:B93)/AVERAGE(B88:B90))^4-1)*100</f>
        <v>9.92094800728576</v>
      </c>
      <c r="F93" s="24" t="n">
        <f aca="false">(B93/B81-1)*100</f>
        <v>8.12949786889476</v>
      </c>
      <c r="G93" s="24" t="n">
        <f aca="false">IFERROR((AVERAGE(B91:B93)/AVERAGE(B79:B81)-1)*100,"")</f>
        <v>8.96466786017307</v>
      </c>
      <c r="H93" s="23" t="n">
        <f aca="false">'SA Data'!U93</f>
        <v>143.272544258866</v>
      </c>
      <c r="I93" s="24" t="n">
        <f aca="false">(H93/H92-1)*100</f>
        <v>0.522005241064316</v>
      </c>
      <c r="J93" s="24" t="n">
        <f aca="false">(AVERAGE(H91:H93)/AVERAGE(H88:H90)-1)*100</f>
        <v>2.33873834630658</v>
      </c>
      <c r="K93" s="24" t="n">
        <f aca="false">((AVERAGE(H91:H93)/AVERAGE(H88:H90))^4-1)*100</f>
        <v>9.68828200205698</v>
      </c>
      <c r="L93" s="24" t="n">
        <f aca="false">IFERROR(('SA Data'!Y93/'SA Data'!Y81-1)*100,"")</f>
        <v>6.7639620594637</v>
      </c>
      <c r="M93" s="24" t="n">
        <f aca="false">IFERROR((AVERAGE('SA Data'!Y91:Y93)/AVERAGE('SA Data'!Y79:Y81)-1)*100,"")</f>
        <v>7.4671791146683</v>
      </c>
    </row>
    <row r="94" customFormat="false" ht="15" hidden="false" customHeight="false" outlineLevel="0" collapsed="false">
      <c r="A94" s="20" t="n">
        <v>40663</v>
      </c>
      <c r="B94" s="23" t="n">
        <f aca="false">'SA Data'!B94</f>
        <v>144.92865</v>
      </c>
      <c r="C94" s="24" t="n">
        <f aca="false">(B94/B93-1)*100</f>
        <v>0.0463477151384062</v>
      </c>
      <c r="D94" s="24" t="n">
        <f aca="false">(AVERAGE(B92:B94)/AVERAGE(B89:B91)-1)*100</f>
        <v>0.830318124727403</v>
      </c>
      <c r="E94" s="24" t="n">
        <f aca="false">((AVERAGE(B92:B94)/AVERAGE(B89:B91))^4-1)*100</f>
        <v>3.36286764340406</v>
      </c>
      <c r="F94" s="24" t="n">
        <f aca="false">(B94/B82-1)*100</f>
        <v>5.89143400241932</v>
      </c>
      <c r="G94" s="24" t="n">
        <f aca="false">IFERROR((AVERAGE(B91:B94)/AVERAGE(B79:B82)-1)*100,"")</f>
        <v>8.17946039249105</v>
      </c>
      <c r="H94" s="23" t="n">
        <f aca="false">'SA Data'!U94</f>
        <v>144.038030380529</v>
      </c>
      <c r="I94" s="24" t="n">
        <f aca="false">(H94/H93-1)*100</f>
        <v>0.534286681110086</v>
      </c>
      <c r="J94" s="24" t="n">
        <f aca="false">(AVERAGE(H92:H94)/AVERAGE(H89:H91)-1)*100</f>
        <v>1.31376815114936</v>
      </c>
      <c r="K94" s="24" t="n">
        <f aca="false">((AVERAGE(H92:H94)/AVERAGE(H89:H91))^4-1)*100</f>
        <v>5.3595418074974</v>
      </c>
      <c r="L94" s="24" t="n">
        <f aca="false">IFERROR(('SA Data'!Y94/'SA Data'!Y82-1)*100,"")</f>
        <v>4.14186635790215</v>
      </c>
      <c r="M94" s="24" t="n">
        <f aca="false">IFERROR((AVERAGE('SA Data'!Y91:Y94)/AVERAGE('SA Data'!Y79:Y82)-1)*100,"")</f>
        <v>6.55000994182737</v>
      </c>
    </row>
    <row r="95" customFormat="false" ht="15" hidden="false" customHeight="false" outlineLevel="0" collapsed="false">
      <c r="A95" s="20" t="n">
        <v>40694</v>
      </c>
      <c r="B95" s="23" t="n">
        <f aca="false">'SA Data'!B95</f>
        <v>147.18633</v>
      </c>
      <c r="C95" s="24" t="n">
        <f aca="false">(B95/B94-1)*100</f>
        <v>1.55778722840514</v>
      </c>
      <c r="D95" s="24" t="n">
        <f aca="false">(AVERAGE(B93:B95)/AVERAGE(B90:B92)-1)*100</f>
        <v>1.22594926208335</v>
      </c>
      <c r="E95" s="24" t="n">
        <f aca="false">((AVERAGE(B93:B95)/AVERAGE(B90:B92))^4-1)*100</f>
        <v>4.99471341974771</v>
      </c>
      <c r="F95" s="24" t="n">
        <f aca="false">(B95/B83-1)*100</f>
        <v>5.74392262619305</v>
      </c>
      <c r="G95" s="24" t="n">
        <f aca="false">IFERROR((AVERAGE(B91:B95)/AVERAGE(B79:B83)-1)*100,"")</f>
        <v>7.67713326592385</v>
      </c>
      <c r="H95" s="23" t="n">
        <f aca="false">'SA Data'!U95</f>
        <v>145.930757819611</v>
      </c>
      <c r="I95" s="24" t="n">
        <f aca="false">(H95/H94-1)*100</f>
        <v>1.31404701527917</v>
      </c>
      <c r="J95" s="24" t="n">
        <f aca="false">(AVERAGE(H93:H95)/AVERAGE(H90:H92)-1)*100</f>
        <v>1.60935154512845</v>
      </c>
      <c r="K95" s="24" t="n">
        <f aca="false">((AVERAGE(H93:H95)/AVERAGE(H90:H92))^4-1)*100</f>
        <v>6.59448092860686</v>
      </c>
      <c r="L95" s="24" t="n">
        <f aca="false">IFERROR(('SA Data'!Y95/'SA Data'!Y83-1)*100,"")</f>
        <v>4.50796423429807</v>
      </c>
      <c r="M95" s="24" t="n">
        <f aca="false">IFERROR((AVERAGE('SA Data'!Y91:Y95)/AVERAGE('SA Data'!Y79:Y83)-1)*100,"")</f>
        <v>6.07985663746258</v>
      </c>
    </row>
    <row r="96" customFormat="false" ht="15" hidden="false" customHeight="false" outlineLevel="0" collapsed="false">
      <c r="A96" s="20" t="n">
        <v>40724</v>
      </c>
      <c r="B96" s="23" t="n">
        <f aca="false">'SA Data'!B96</f>
        <v>146.80269</v>
      </c>
      <c r="C96" s="24" t="n">
        <f aca="false">(B96/B95-1)*100</f>
        <v>-0.260649205670105</v>
      </c>
      <c r="D96" s="24" t="n">
        <f aca="false">(AVERAGE(B94:B96)/AVERAGE(B91:B93)-1)*100</f>
        <v>1.0013876373848</v>
      </c>
      <c r="E96" s="24" t="n">
        <f aca="false">((AVERAGE(B94:B96)/AVERAGE(B91:B93))^4-1)*100</f>
        <v>4.06611985459631</v>
      </c>
      <c r="F96" s="24" t="n">
        <f aca="false">(B96/B84-1)*100</f>
        <v>4.43482763696133</v>
      </c>
      <c r="G96" s="24" t="n">
        <f aca="false">IFERROR((AVERAGE(B91:B96)/AVERAGE(B79:B84)-1)*100,"")</f>
        <v>7.11821134672763</v>
      </c>
      <c r="H96" s="23" t="n">
        <f aca="false">'SA Data'!U96</f>
        <v>146.552281432782</v>
      </c>
      <c r="I96" s="24" t="n">
        <f aca="false">(H96/H95-1)*100</f>
        <v>0.425903094356173</v>
      </c>
      <c r="J96" s="24" t="n">
        <f aca="false">(AVERAGE(H94:H96)/AVERAGE(H91:H93)-1)*100</f>
        <v>1.86885172121234</v>
      </c>
      <c r="K96" s="24" t="n">
        <f aca="false">((AVERAGE(H94:H96)/AVERAGE(H91:H93))^4-1)*100</f>
        <v>7.68758635416291</v>
      </c>
      <c r="L96" s="24" t="n">
        <f aca="false">IFERROR(('SA Data'!Y96/'SA Data'!Y84-1)*100,"")</f>
        <v>5.18723031440824</v>
      </c>
      <c r="M96" s="24" t="n">
        <f aca="false">IFERROR((AVERAGE('SA Data'!Y91:Y96)/AVERAGE('SA Data'!Y79:Y84)-1)*100,"")</f>
        <v>5.92073298889644</v>
      </c>
    </row>
    <row r="97" customFormat="false" ht="15" hidden="false" customHeight="false" outlineLevel="0" collapsed="false">
      <c r="A97" s="20" t="n">
        <v>40755</v>
      </c>
      <c r="B97" s="23" t="n">
        <f aca="false">'SA Data'!B97</f>
        <v>147.15673</v>
      </c>
      <c r="C97" s="24" t="n">
        <f aca="false">(B97/B96-1)*100</f>
        <v>0.241167242916318</v>
      </c>
      <c r="D97" s="24" t="n">
        <f aca="false">(AVERAGE(B95:B97)/AVERAGE(B92:B94)-1)*100</f>
        <v>1.73005483675206</v>
      </c>
      <c r="E97" s="24" t="n">
        <f aca="false">((AVERAGE(B95:B97)/AVERAGE(B92:B94))^4-1)*100</f>
        <v>7.10188497363591</v>
      </c>
      <c r="F97" s="24" t="n">
        <f aca="false">(B97/B85-1)*100</f>
        <v>5.56670875990006</v>
      </c>
      <c r="G97" s="24" t="n">
        <f aca="false">IFERROR((AVERAGE(B91:B97)/AVERAGE(B79:B85)-1)*100,"")</f>
        <v>6.89170680419231</v>
      </c>
      <c r="H97" s="23" t="n">
        <f aca="false">'SA Data'!U97</f>
        <v>144.505832110592</v>
      </c>
      <c r="I97" s="24" t="n">
        <f aca="false">(H97/H96-1)*100</f>
        <v>-1.39639540386763</v>
      </c>
      <c r="J97" s="24" t="n">
        <f aca="false">(AVERAGE(H95:H97)/AVERAGE(H92:H94)-1)*100</f>
        <v>1.66335698518263</v>
      </c>
      <c r="K97" s="24" t="n">
        <f aca="false">((AVERAGE(H95:H97)/AVERAGE(H92:H94))^4-1)*100</f>
        <v>6.8212818247549</v>
      </c>
      <c r="L97" s="24" t="n">
        <f aca="false">IFERROR(('SA Data'!Y97/'SA Data'!Y85-1)*100,"")</f>
        <v>5.32831068939241</v>
      </c>
      <c r="M97" s="24" t="n">
        <f aca="false">IFERROR((AVERAGE('SA Data'!Y91:Y97)/AVERAGE('SA Data'!Y79:Y85)-1)*100,"")</f>
        <v>5.83624284505706</v>
      </c>
    </row>
    <row r="98" customFormat="false" ht="15" hidden="false" customHeight="false" outlineLevel="0" collapsed="false">
      <c r="A98" s="20" t="n">
        <v>40786</v>
      </c>
      <c r="B98" s="23" t="n">
        <f aca="false">'SA Data'!B98</f>
        <v>146.95911</v>
      </c>
      <c r="C98" s="24" t="n">
        <f aca="false">(B98/B97-1)*100</f>
        <v>-0.134292193092356</v>
      </c>
      <c r="D98" s="24" t="n">
        <f aca="false">(AVERAGE(B96:B98)/AVERAGE(B93:B95)-1)*100</f>
        <v>0.902117182551421</v>
      </c>
      <c r="E98" s="24" t="n">
        <f aca="false">((AVERAGE(B96:B98)/AVERAGE(B93:B95))^4-1)*100</f>
        <v>3.65759197991078</v>
      </c>
      <c r="F98" s="24" t="n">
        <f aca="false">(B98/B86-1)*100</f>
        <v>4.969045872308</v>
      </c>
      <c r="G98" s="24" t="n">
        <f aca="false">IFERROR((AVERAGE(B91:B98)/AVERAGE(B79:B86)-1)*100,"")</f>
        <v>6.64584672610351</v>
      </c>
      <c r="H98" s="23" t="n">
        <f aca="false">'SA Data'!U98</f>
        <v>145.773776815033</v>
      </c>
      <c r="I98" s="24" t="n">
        <f aca="false">(H98/H97-1)*100</f>
        <v>0.877434969870872</v>
      </c>
      <c r="J98" s="24" t="n">
        <f aca="false">(AVERAGE(H96:H98)/AVERAGE(H93:H95)-1)*100</f>
        <v>0.828766239597067</v>
      </c>
      <c r="K98" s="24" t="n">
        <f aca="false">((AVERAGE(H96:H98)/AVERAGE(H93:H95))^4-1)*100</f>
        <v>3.35650433534001</v>
      </c>
      <c r="L98" s="24" t="n">
        <f aca="false">IFERROR(('SA Data'!Y98/'SA Data'!Y86-1)*100,"")</f>
        <v>6.47632710917885</v>
      </c>
      <c r="M98" s="24" t="n">
        <f aca="false">IFERROR((AVERAGE('SA Data'!Y91:Y98)/AVERAGE('SA Data'!Y79:Y86)-1)*100,"")</f>
        <v>5.91497210512255</v>
      </c>
    </row>
    <row r="99" customFormat="false" ht="15" hidden="false" customHeight="false" outlineLevel="0" collapsed="false">
      <c r="A99" s="20" t="n">
        <v>40816</v>
      </c>
      <c r="B99" s="23" t="n">
        <f aca="false">'SA Data'!B99</f>
        <v>148.26517</v>
      </c>
      <c r="C99" s="24" t="n">
        <f aca="false">(B99/B98-1)*100</f>
        <v>0.88872340067927</v>
      </c>
      <c r="D99" s="24" t="n">
        <f aca="false">(AVERAGE(B97:B99)/AVERAGE(B94:B96)-1)*100</f>
        <v>0.789063698438031</v>
      </c>
      <c r="E99" s="24" t="n">
        <f aca="false">((AVERAGE(B97:B99)/AVERAGE(B94:B96))^4-1)*100</f>
        <v>3.19380898783703</v>
      </c>
      <c r="F99" s="24" t="n">
        <f aca="false">(B99/B87-1)*100</f>
        <v>6.37059900356911</v>
      </c>
      <c r="G99" s="24" t="n">
        <f aca="false">IFERROR((AVERAGE(B91:B99)/AVERAGE(B79:B87)-1)*100,"")</f>
        <v>6.61476197548305</v>
      </c>
      <c r="H99" s="23" t="n">
        <f aca="false">'SA Data'!U99</f>
        <v>146.938835520824</v>
      </c>
      <c r="I99" s="24" t="n">
        <f aca="false">(H99/H98-1)*100</f>
        <v>0.799223791305903</v>
      </c>
      <c r="J99" s="24" t="n">
        <f aca="false">(AVERAGE(H97:H99)/AVERAGE(H94:H96)-1)*100</f>
        <v>0.159757423418916</v>
      </c>
      <c r="K99" s="24" t="n">
        <f aca="false">((AVERAGE(H97:H99)/AVERAGE(H94:H96))^4-1)*100</f>
        <v>0.640562671346645</v>
      </c>
      <c r="L99" s="24" t="n">
        <f aca="false">IFERROR(('SA Data'!Y99/'SA Data'!Y87-1)*100,"")</f>
        <v>7.04180921749402</v>
      </c>
      <c r="M99" s="24" t="n">
        <f aca="false">IFERROR((AVERAGE('SA Data'!Y91:Y99)/AVERAGE('SA Data'!Y79:Y87)-1)*100,"")</f>
        <v>6.03793902945924</v>
      </c>
    </row>
    <row r="100" customFormat="false" ht="15" hidden="false" customHeight="false" outlineLevel="0" collapsed="false">
      <c r="A100" s="20" t="n">
        <v>40847</v>
      </c>
      <c r="B100" s="23" t="n">
        <f aca="false">'SA Data'!B100</f>
        <v>147.29114</v>
      </c>
      <c r="C100" s="24" t="n">
        <f aca="false">(B100/B99-1)*100</f>
        <v>-0.656951325790134</v>
      </c>
      <c r="D100" s="24" t="n">
        <f aca="false">(AVERAGE(B98:B100)/AVERAGE(B95:B97)-1)*100</f>
        <v>0.310480153101334</v>
      </c>
      <c r="E100" s="24" t="n">
        <f aca="false">((AVERAGE(B98:B100)/AVERAGE(B95:B97))^4-1)*100</f>
        <v>1.24771646908315</v>
      </c>
      <c r="F100" s="24" t="n">
        <f aca="false">(B100/B88-1)*100</f>
        <v>5.06638769018661</v>
      </c>
      <c r="G100" s="24" t="n">
        <f aca="false">IFERROR((AVERAGE(B91:B100)/AVERAGE(B79:B88)-1)*100,"")</f>
        <v>6.45682939662779</v>
      </c>
      <c r="H100" s="23" t="n">
        <f aca="false">'SA Data'!U100</f>
        <v>145.41801427501</v>
      </c>
      <c r="I100" s="24" t="n">
        <f aca="false">(H100/H99-1)*100</f>
        <v>-1.03500292514493</v>
      </c>
      <c r="J100" s="24" t="n">
        <f aca="false">(AVERAGE(H98:H100)/AVERAGE(H95:H97)-1)*100</f>
        <v>0.261277877470856</v>
      </c>
      <c r="K100" s="24" t="n">
        <f aca="false">((AVERAGE(H98:H100)/AVERAGE(H95:H97))^4-1)*100</f>
        <v>1.04921461687078</v>
      </c>
      <c r="L100" s="24" t="n">
        <f aca="false">IFERROR(('SA Data'!Y100/'SA Data'!Y88-1)*100,"")</f>
        <v>6.40829127379217</v>
      </c>
      <c r="M100" s="24" t="n">
        <f aca="false">IFERROR((AVERAGE('SA Data'!Y91:Y100)/AVERAGE('SA Data'!Y79:Y88)-1)*100,"")</f>
        <v>6.07435253160567</v>
      </c>
    </row>
    <row r="101" customFormat="false" ht="15" hidden="false" customHeight="false" outlineLevel="0" collapsed="false">
      <c r="A101" s="20" t="n">
        <v>40877</v>
      </c>
      <c r="B101" s="23" t="n">
        <f aca="false">'SA Data'!B101</f>
        <v>147.21589</v>
      </c>
      <c r="C101" s="24" t="n">
        <f aca="false">(B101/B100-1)*100</f>
        <v>-0.0510892915894456</v>
      </c>
      <c r="D101" s="24" t="n">
        <f aca="false">(AVERAGE(B99:B101)/AVERAGE(B96:B98)-1)*100</f>
        <v>0.420410999737286</v>
      </c>
      <c r="E101" s="24" t="n">
        <f aca="false">((AVERAGE(B99:B101)/AVERAGE(B96:B98))^4-1)*100</f>
        <v>1.69227847699569</v>
      </c>
      <c r="F101" s="24" t="n">
        <f aca="false">(B101/B89-1)*100</f>
        <v>3.49709300874561</v>
      </c>
      <c r="G101" s="24" t="n">
        <f aca="false">IFERROR((AVERAGE(B91:B101)/AVERAGE(B79:B89)-1)*100,"")</f>
        <v>6.17924625928665</v>
      </c>
      <c r="H101" s="23" t="n">
        <f aca="false">'SA Data'!U101</f>
        <v>145.439308184952</v>
      </c>
      <c r="I101" s="24" t="n">
        <f aca="false">(H101/H100-1)*100</f>
        <v>0.0146432407626129</v>
      </c>
      <c r="J101" s="24" t="n">
        <f aca="false">(AVERAGE(H99:H101)/AVERAGE(H96:H98)-1)*100</f>
        <v>0.220741123453028</v>
      </c>
      <c r="K101" s="24" t="n">
        <f aca="false">((AVERAGE(H99:H101)/AVERAGE(H96:H98))^4-1)*100</f>
        <v>0.885892397191013</v>
      </c>
      <c r="L101" s="24" t="n">
        <f aca="false">IFERROR(('SA Data'!Y101/'SA Data'!Y89-1)*100,"")</f>
        <v>3.8190467330308</v>
      </c>
      <c r="M101" s="24" t="n">
        <f aca="false">IFERROR((AVERAGE('SA Data'!Y91:Y101)/AVERAGE('SA Data'!Y79:Y89)-1)*100,"")</f>
        <v>5.8671842735996</v>
      </c>
    </row>
    <row r="102" customFormat="false" ht="15" hidden="false" customHeight="false" outlineLevel="0" collapsed="false">
      <c r="A102" s="20" t="n">
        <v>40908</v>
      </c>
      <c r="B102" s="23" t="n">
        <f aca="false">'SA Data'!B102</f>
        <v>147.84559</v>
      </c>
      <c r="C102" s="24" t="n">
        <f aca="false">(B102/B101-1)*100</f>
        <v>0.427739152342843</v>
      </c>
      <c r="D102" s="24" t="n">
        <f aca="false">(AVERAGE(B100:B102)/AVERAGE(B97:B99)-1)*100</f>
        <v>-0.00641754491225166</v>
      </c>
      <c r="E102" s="24" t="n">
        <f aca="false">((AVERAGE(B100:B102)/AVERAGE(B97:B99))^4-1)*100</f>
        <v>-0.0256677086617696</v>
      </c>
      <c r="F102" s="24" t="n">
        <f aca="false">(B102/B90-1)*100</f>
        <v>4.13143307227035</v>
      </c>
      <c r="G102" s="24" t="n">
        <f aca="false">IFERROR((AVERAGE(B91:B102)/AVERAGE(B79:B90)-1)*100,"")</f>
        <v>6.00395253032662</v>
      </c>
      <c r="H102" s="23" t="n">
        <f aca="false">'SA Data'!U102</f>
        <v>145.989978392712</v>
      </c>
      <c r="I102" s="24" t="n">
        <f aca="false">(H102/H101-1)*100</f>
        <v>0.378625431207191</v>
      </c>
      <c r="J102" s="24" t="n">
        <f aca="false">(AVERAGE(H100:H102)/AVERAGE(H97:H99)-1)*100</f>
        <v>-0.084887451224791</v>
      </c>
      <c r="K102" s="24" t="n">
        <f aca="false">((AVERAGE(H100:H102)/AVERAGE(H97:H99))^4-1)*100</f>
        <v>-0.339117696760205</v>
      </c>
      <c r="L102" s="24" t="n">
        <f aca="false">IFERROR(('SA Data'!Y102/'SA Data'!Y90-1)*100,"")</f>
        <v>3.73360708434591</v>
      </c>
      <c r="M102" s="24" t="n">
        <f aca="false">IFERROR((AVERAGE('SA Data'!Y91:Y102)/AVERAGE('SA Data'!Y79:Y90)-1)*100,"")</f>
        <v>5.68967351056871</v>
      </c>
    </row>
    <row r="103" customFormat="false" ht="15" hidden="false" customHeight="false" outlineLevel="0" collapsed="false">
      <c r="A103" s="20" t="n">
        <v>40939</v>
      </c>
      <c r="B103" s="23" t="n">
        <f aca="false">'SA Data'!B103</f>
        <v>147.73334</v>
      </c>
      <c r="C103" s="24" t="n">
        <f aca="false">(B103/B102-1)*100</f>
        <v>-0.075923806722944</v>
      </c>
      <c r="D103" s="24" t="n">
        <f aca="false">(AVERAGE(B101:B103)/AVERAGE(B98:B100)-1)*100</f>
        <v>0.0631390427027201</v>
      </c>
      <c r="E103" s="24" t="n">
        <f aca="false">((AVERAGE(B101:B103)/AVERAGE(B98:B100))^4-1)*100</f>
        <v>0.252795463832078</v>
      </c>
      <c r="F103" s="24" t="n">
        <f aca="false">(B103/B91-1)*100</f>
        <v>1.29048691079914</v>
      </c>
      <c r="G103" s="24" t="n">
        <f aca="false">IFERROR((AVERAGE(B103:B103)/AVERAGE(B91:B91)-1)*100,"")</f>
        <v>1.29048691079914</v>
      </c>
      <c r="H103" s="23" t="n">
        <f aca="false">'SA Data'!U103</f>
        <v>145.177586652032</v>
      </c>
      <c r="I103" s="24" t="n">
        <f aca="false">(H103/H102-1)*100</f>
        <v>-0.556470895895944</v>
      </c>
      <c r="J103" s="24" t="n">
        <f aca="false">(AVERAGE(H101:H103)/AVERAGE(H98:H100)-1)*100</f>
        <v>-0.34778517835139</v>
      </c>
      <c r="K103" s="24" t="n">
        <f aca="false">((AVERAGE(H101:H103)/AVERAGE(H98:H100))^4-1)*100</f>
        <v>-1.38390025343587</v>
      </c>
      <c r="L103" s="24" t="n">
        <f aca="false">IFERROR(('SA Data'!Y103/'SA Data'!Y91-1)*100,"")</f>
        <v>1.97592865769987</v>
      </c>
      <c r="M103" s="24" t="n">
        <f aca="false">IFERROR((AVERAGE('SA Data'!Y103:Y103)/AVERAGE('SA Data'!Y91:Y91)-1)*100,"")</f>
        <v>1.97592865769987</v>
      </c>
    </row>
    <row r="104" customFormat="false" ht="15" hidden="false" customHeight="false" outlineLevel="0" collapsed="false">
      <c r="A104" s="20" t="n">
        <v>40968</v>
      </c>
      <c r="B104" s="23" t="n">
        <f aca="false">'SA Data'!B104</f>
        <v>144.71961</v>
      </c>
      <c r="C104" s="24" t="n">
        <f aca="false">(B104/B103-1)*100</f>
        <v>-2.03997960108396</v>
      </c>
      <c r="D104" s="24" t="n">
        <f aca="false">(AVERAGE(B102:B104)/AVERAGE(B99:B101)-1)*100</f>
        <v>-0.558675544670606</v>
      </c>
      <c r="E104" s="24" t="n">
        <f aca="false">((AVERAGE(B102:B104)/AVERAGE(B99:B101))^4-1)*100</f>
        <v>-2.21604472857062</v>
      </c>
      <c r="F104" s="24" t="n">
        <f aca="false">(B104/B92-1)*100</f>
        <v>0.602203689146696</v>
      </c>
      <c r="G104" s="24" t="n">
        <f aca="false">IFERROR((AVERAGE(B103:B104)/AVERAGE(B91:B92)-1)*100,"")</f>
        <v>0.94871853375269</v>
      </c>
      <c r="H104" s="23" t="n">
        <f aca="false">'SA Data'!U104</f>
        <v>145.186291548586</v>
      </c>
      <c r="I104" s="24" t="n">
        <f aca="false">(H104/H103-1)*100</f>
        <v>0.00599603337845256</v>
      </c>
      <c r="J104" s="24" t="n">
        <f aca="false">(AVERAGE(H102:H104)/AVERAGE(H99:H101)-1)*100</f>
        <v>-0.329445875931933</v>
      </c>
      <c r="K104" s="24" t="n">
        <f aca="false">((AVERAGE(H102:H104)/AVERAGE(H99:H101))^4-1)*100</f>
        <v>-1.31128571934646</v>
      </c>
      <c r="L104" s="24" t="n">
        <f aca="false">IFERROR(('SA Data'!Y104/'SA Data'!Y92-1)*100,"")</f>
        <v>1.95334272943259</v>
      </c>
      <c r="M104" s="24" t="n">
        <f aca="false">IFERROR((AVERAGE('SA Data'!Y103:Y104)/AVERAGE('SA Data'!Y91:Y92)-1)*100,"")</f>
        <v>1.9647520650466</v>
      </c>
    </row>
    <row r="105" customFormat="false" ht="15" hidden="false" customHeight="false" outlineLevel="0" collapsed="false">
      <c r="A105" s="20" t="n">
        <v>40999</v>
      </c>
      <c r="B105" s="23" t="n">
        <f aca="false">'SA Data'!B105</f>
        <v>145.37392</v>
      </c>
      <c r="C105" s="24" t="n">
        <f aca="false">(B105/B104-1)*100</f>
        <v>0.452122556162227</v>
      </c>
      <c r="D105" s="24" t="n">
        <f aca="false">(AVERAGE(B103:B105)/AVERAGE(B100:B102)-1)*100</f>
        <v>-1.02310912050211</v>
      </c>
      <c r="E105" s="24" t="n">
        <f aca="false">((AVERAGE(B103:B105)/AVERAGE(B100:B102))^4-1)*100</f>
        <v>-4.03005862668958</v>
      </c>
      <c r="F105" s="24" t="n">
        <f aca="false">(B105/B93-1)*100</f>
        <v>0.353724049956394</v>
      </c>
      <c r="G105" s="24" t="n">
        <f aca="false">IFERROR((AVERAGE(B103:B105)/AVERAGE(B91:B93)-1)*100,"")</f>
        <v>0.750378573122545</v>
      </c>
      <c r="H105" s="23" t="n">
        <f aca="false">'SA Data'!U105</f>
        <v>145.168779419162</v>
      </c>
      <c r="I105" s="24" t="n">
        <f aca="false">(H105/H104-1)*100</f>
        <v>-0.0120618339630063</v>
      </c>
      <c r="J105" s="24" t="n">
        <f aca="false">(AVERAGE(H103:H105)/AVERAGE(H100:H102)-1)*100</f>
        <v>-0.300938847585486</v>
      </c>
      <c r="K105" s="24" t="n">
        <f aca="false">((AVERAGE(H103:H105)/AVERAGE(H100:H102))^4-1)*100</f>
        <v>-1.1983324324541</v>
      </c>
      <c r="L105" s="24" t="n">
        <f aca="false">IFERROR(('SA Data'!Y105/'SA Data'!Y93-1)*100,"")</f>
        <v>0.892935407212891</v>
      </c>
      <c r="M105" s="24" t="n">
        <f aca="false">IFERROR((AVERAGE('SA Data'!Y103:Y105)/AVERAGE('SA Data'!Y91:Y93)-1)*100,"")</f>
        <v>1.58140236929416</v>
      </c>
    </row>
    <row r="106" customFormat="false" ht="15" hidden="false" customHeight="false" outlineLevel="0" collapsed="false">
      <c r="A106" s="20" t="n">
        <v>41029</v>
      </c>
      <c r="B106" s="23" t="n">
        <f aca="false">'SA Data'!B106</f>
        <v>141.92738</v>
      </c>
      <c r="C106" s="24" t="n">
        <f aca="false">(B106/B105-1)*100</f>
        <v>-2.37081039019929</v>
      </c>
      <c r="D106" s="24" t="n">
        <f aca="false">(AVERAGE(B104:B106)/AVERAGE(B101:B103)-1)*100</f>
        <v>-2.43316080346196</v>
      </c>
      <c r="E106" s="24" t="n">
        <f aca="false">((AVERAGE(B104:B106)/AVERAGE(B101:B103))^4-1)*100</f>
        <v>-9.38315386352254</v>
      </c>
      <c r="F106" s="24" t="n">
        <f aca="false">(B106/B94-1)*100</f>
        <v>-2.07086038543795</v>
      </c>
      <c r="G106" s="24" t="n">
        <f aca="false">IFERROR((AVERAGE(B103:B106)/AVERAGE(B91:B94)-1)*100,"")</f>
        <v>0.0448011054045461</v>
      </c>
      <c r="H106" s="23" t="n">
        <f aca="false">'SA Data'!U106</f>
        <v>141.563134908757</v>
      </c>
      <c r="I106" s="24" t="n">
        <f aca="false">(H106/H105-1)*100</f>
        <v>-2.4837602994473</v>
      </c>
      <c r="J106" s="24" t="n">
        <f aca="false">(AVERAGE(H104:H106)/AVERAGE(H101:H103)-1)*100</f>
        <v>-1.07388766432115</v>
      </c>
      <c r="K106" s="24" t="n">
        <f aca="false">((AVERAGE(H104:H106)/AVERAGE(H101:H103))^4-1)*100</f>
        <v>-4.22685062221347</v>
      </c>
      <c r="L106" s="24" t="n">
        <f aca="false">IFERROR(('SA Data'!Y106/'SA Data'!Y94-1)*100,"")</f>
        <v>-3.07321183328815</v>
      </c>
      <c r="M106" s="24" t="n">
        <f aca="false">IFERROR((AVERAGE('SA Data'!Y103:Y106)/AVERAGE('SA Data'!Y91:Y94)-1)*100,"")</f>
        <v>0.326608168049858</v>
      </c>
    </row>
    <row r="107" customFormat="false" ht="15" hidden="false" customHeight="false" outlineLevel="0" collapsed="false">
      <c r="A107" s="20" t="n">
        <v>41060</v>
      </c>
      <c r="B107" s="23" t="n">
        <f aca="false">'SA Data'!B107</f>
        <v>140.27489</v>
      </c>
      <c r="C107" s="24" t="n">
        <f aca="false">(B107/B106-1)*100</f>
        <v>-1.16432079560688</v>
      </c>
      <c r="D107" s="24" t="n">
        <f aca="false">(AVERAGE(B105:B107)/AVERAGE(B102:B104)-1)*100</f>
        <v>-2.88948266782806</v>
      </c>
      <c r="E107" s="24" t="n">
        <f aca="false">((AVERAGE(B105:B107)/AVERAGE(B102:B104))^4-1)*100</f>
        <v>-11.0665642019683</v>
      </c>
      <c r="F107" s="24" t="n">
        <f aca="false">(B107/B95-1)*100</f>
        <v>-4.6957078147135</v>
      </c>
      <c r="G107" s="24" t="n">
        <f aca="false">IFERROR((AVERAGE(B103:B107)/AVERAGE(B91:B95)-1)*100,"")</f>
        <v>-0.91537006831719</v>
      </c>
      <c r="H107" s="23" t="n">
        <f aca="false">'SA Data'!U107</f>
        <v>142.15445668516</v>
      </c>
      <c r="I107" s="24" t="n">
        <f aca="false">(H107/H106-1)*100</f>
        <v>0.417708873700806</v>
      </c>
      <c r="J107" s="24" t="n">
        <f aca="false">(AVERAGE(H105:H107)/AVERAGE(H102:H104)-1)*100</f>
        <v>-1.71133713325035</v>
      </c>
      <c r="K107" s="24" t="n">
        <f aca="false">((AVERAGE(H105:H107)/AVERAGE(H102:H104))^4-1)*100</f>
        <v>-6.67162424881029</v>
      </c>
      <c r="L107" s="24" t="n">
        <f aca="false">IFERROR(('SA Data'!Y107/'SA Data'!Y95-1)*100,"")</f>
        <v>-4.73571132711995</v>
      </c>
      <c r="M107" s="24" t="n">
        <f aca="false">IFERROR((AVERAGE('SA Data'!Y103:Y107)/AVERAGE('SA Data'!Y91:Y95)-1)*100,"")</f>
        <v>-0.821651336543117</v>
      </c>
    </row>
    <row r="108" customFormat="false" ht="15" hidden="false" customHeight="false" outlineLevel="0" collapsed="false">
      <c r="A108" s="20" t="n">
        <v>41090</v>
      </c>
      <c r="B108" s="23" t="n">
        <f aca="false">'SA Data'!B108</f>
        <v>140.78102</v>
      </c>
      <c r="C108" s="24" t="n">
        <f aca="false">(B108/B107-1)*100</f>
        <v>0.360812972300328</v>
      </c>
      <c r="D108" s="24" t="n">
        <f aca="false">(AVERAGE(B106:B108)/AVERAGE(B103:B105)-1)*100</f>
        <v>-3.39028529701706</v>
      </c>
      <c r="E108" s="24" t="n">
        <f aca="false">((AVERAGE(B106:B108)/AVERAGE(B103:B105))^4-1)*100</f>
        <v>-12.8869542338567</v>
      </c>
      <c r="F108" s="24" t="n">
        <f aca="false">(B108/B96-1)*100</f>
        <v>-4.10187987699681</v>
      </c>
      <c r="G108" s="24" t="n">
        <f aca="false">IFERROR((AVERAGE(B103:B108)/AVERAGE(B91:B96)-1)*100,"")</f>
        <v>-1.4509132483476</v>
      </c>
      <c r="H108" s="23" t="n">
        <f aca="false">'SA Data'!U108</f>
        <v>142.143100624466</v>
      </c>
      <c r="I108" s="24" t="n">
        <f aca="false">(H108/H107-1)*100</f>
        <v>-0.00798853652465015</v>
      </c>
      <c r="J108" s="24" t="n">
        <f aca="false">(AVERAGE(H106:H108)/AVERAGE(H103:H105)-1)*100</f>
        <v>-2.22072104862484</v>
      </c>
      <c r="K108" s="24" t="n">
        <f aca="false">((AVERAGE(H106:H108)/AVERAGE(H103:H105))^4-1)*100</f>
        <v>-8.59134444017744</v>
      </c>
      <c r="L108" s="24" t="n">
        <f aca="false">IFERROR(('SA Data'!Y108/'SA Data'!Y96-1)*100,"")</f>
        <v>-4.28164188857572</v>
      </c>
      <c r="M108" s="24" t="n">
        <f aca="false">IFERROR((AVERAGE('SA Data'!Y103:Y108)/AVERAGE('SA Data'!Y91:Y96)-1)*100,"")</f>
        <v>-1.43417376215715</v>
      </c>
    </row>
    <row r="109" customFormat="false" ht="15" hidden="false" customHeight="false" outlineLevel="0" collapsed="false">
      <c r="A109" s="20" t="n">
        <v>41121</v>
      </c>
      <c r="B109" s="23" t="n">
        <f aca="false">'SA Data'!B109</f>
        <v>144.76788</v>
      </c>
      <c r="C109" s="24" t="n">
        <f aca="false">(B109/B108-1)*100</f>
        <v>2.83195845576341</v>
      </c>
      <c r="D109" s="24" t="n">
        <f aca="false">(AVERAGE(B107:B109)/AVERAGE(B104:B106)-1)*100</f>
        <v>-1.4344490871981</v>
      </c>
      <c r="E109" s="24" t="n">
        <f aca="false">((AVERAGE(B107:B109)/AVERAGE(B104:B106))^4-1)*100</f>
        <v>-5.61551409819546</v>
      </c>
      <c r="F109" s="24" t="n">
        <f aca="false">(B109/B97-1)*100</f>
        <v>-1.62333724050543</v>
      </c>
      <c r="G109" s="24" t="n">
        <f aca="false">IFERROR((AVERAGE(B103:B109)/AVERAGE(B91:B97)-1)*100,"")</f>
        <v>-1.47577347468851</v>
      </c>
      <c r="H109" s="23" t="n">
        <f aca="false">'SA Data'!U109</f>
        <v>144.883367738705</v>
      </c>
      <c r="I109" s="24" t="n">
        <f aca="false">(H109/H108-1)*100</f>
        <v>1.92782280828325</v>
      </c>
      <c r="J109" s="24" t="n">
        <f aca="false">(AVERAGE(H107:H109)/AVERAGE(H104:H106)-1)*100</f>
        <v>-0.633749814416529</v>
      </c>
      <c r="K109" s="24" t="n">
        <f aca="false">((AVERAGE(H107:H109)/AVERAGE(H104:H106))^4-1)*100</f>
        <v>-2.51100258212889</v>
      </c>
      <c r="L109" s="24" t="n">
        <f aca="false">IFERROR(('SA Data'!Y109/'SA Data'!Y97-1)*100,"")</f>
        <v>0.450487537111699</v>
      </c>
      <c r="M109" s="24" t="n">
        <f aca="false">IFERROR((AVERAGE('SA Data'!Y103:Y109)/AVERAGE('SA Data'!Y91:Y97)-1)*100,"")</f>
        <v>-1.16667691400897</v>
      </c>
    </row>
    <row r="110" customFormat="false" ht="15" hidden="false" customHeight="false" outlineLevel="0" collapsed="false">
      <c r="A110" s="20" t="n">
        <v>41152</v>
      </c>
      <c r="B110" s="23" t="n">
        <f aca="false">'SA Data'!B110</f>
        <v>145.04736</v>
      </c>
      <c r="C110" s="24" t="n">
        <f aca="false">(B110/B109-1)*100</f>
        <v>0.193053873552618</v>
      </c>
      <c r="D110" s="24" t="n">
        <f aca="false">(AVERAGE(B108:B110)/AVERAGE(B105:B107)-1)*100</f>
        <v>0.706323240309548</v>
      </c>
      <c r="E110" s="24" t="n">
        <f aca="false">((AVERAGE(B108:B110)/AVERAGE(B105:B107))^4-1)*100</f>
        <v>2.85536771307249</v>
      </c>
      <c r="F110" s="24" t="n">
        <f aca="false">(B110/B98-1)*100</f>
        <v>-1.30087205890129</v>
      </c>
      <c r="G110" s="24" t="n">
        <f aca="false">IFERROR((AVERAGE(B103:B110)/AVERAGE(B91:B98)-1)*100,"")</f>
        <v>-1.45375962779841</v>
      </c>
      <c r="H110" s="23" t="n">
        <f aca="false">'SA Data'!U110</f>
        <v>145.29744885672</v>
      </c>
      <c r="I110" s="24" t="n">
        <f aca="false">(H110/H109-1)*100</f>
        <v>0.285803073518975</v>
      </c>
      <c r="J110" s="24" t="n">
        <f aca="false">(AVERAGE(H108:H110)/AVERAGE(H105:H107)-1)*100</f>
        <v>0.801505116307011</v>
      </c>
      <c r="K110" s="24" t="n">
        <f aca="false">((AVERAGE(H108:H110)/AVERAGE(H105:H107))^4-1)*100</f>
        <v>3.24477146311266</v>
      </c>
      <c r="L110" s="24" t="n">
        <f aca="false">IFERROR(('SA Data'!Y110/'SA Data'!Y98-1)*100,"")</f>
        <v>-0.438269118713441</v>
      </c>
      <c r="M110" s="24" t="n">
        <f aca="false">IFERROR((AVERAGE('SA Data'!Y103:Y110)/AVERAGE('SA Data'!Y91:Y98)-1)*100,"")</f>
        <v>-1.07660916484382</v>
      </c>
    </row>
    <row r="111" customFormat="false" ht="15" hidden="false" customHeight="false" outlineLevel="0" collapsed="false">
      <c r="A111" s="20" t="n">
        <v>41182</v>
      </c>
      <c r="B111" s="23" t="n">
        <f aca="false">'SA Data'!B111</f>
        <v>146.2317</v>
      </c>
      <c r="C111" s="24" t="n">
        <f aca="false">(B111/B110-1)*100</f>
        <v>0.816519514729519</v>
      </c>
      <c r="D111" s="24" t="n">
        <f aca="false">(AVERAGE(B109:B111)/AVERAGE(B106:B108)-1)*100</f>
        <v>3.08845533827116</v>
      </c>
      <c r="E111" s="24" t="n">
        <f aca="false">((AVERAGE(B109:B111)/AVERAGE(B106:B108))^4-1)*100</f>
        <v>12.9380094818763</v>
      </c>
      <c r="F111" s="24" t="n">
        <f aca="false">(B111/B99-1)*100</f>
        <v>-1.37150889854982</v>
      </c>
      <c r="G111" s="24" t="n">
        <f aca="false">IFERROR((AVERAGE(B103:B111)/AVERAGE(B91:B99)-1)*100,"")</f>
        <v>-1.44449201941481</v>
      </c>
      <c r="H111" s="23" t="n">
        <f aca="false">'SA Data'!U111</f>
        <v>143.540465621788</v>
      </c>
      <c r="I111" s="24" t="n">
        <f aca="false">(H111/H110-1)*100</f>
        <v>-1.20923199186025</v>
      </c>
      <c r="J111" s="24" t="n">
        <f aca="false">(AVERAGE(H109:H111)/AVERAGE(H106:H108)-1)*100</f>
        <v>1.84581252566056</v>
      </c>
      <c r="K111" s="24" t="n">
        <f aca="false">((AVERAGE(H109:H111)/AVERAGE(H106:H108))^4-1)*100</f>
        <v>7.59019863418817</v>
      </c>
      <c r="L111" s="24" t="n">
        <f aca="false">IFERROR(('SA Data'!Y111/'SA Data'!Y99-1)*100,"")</f>
        <v>-2.6786007668554</v>
      </c>
      <c r="M111" s="24" t="n">
        <f aca="false">IFERROR((AVERAGE('SA Data'!Y103:Y111)/AVERAGE('SA Data'!Y91:Y99)-1)*100,"")</f>
        <v>-1.25308269217141</v>
      </c>
    </row>
    <row r="112" customFormat="false" ht="15" hidden="false" customHeight="false" outlineLevel="0" collapsed="false">
      <c r="A112" s="20" t="n">
        <v>41213</v>
      </c>
      <c r="B112" s="23" t="n">
        <f aca="false">'SA Data'!B112</f>
        <v>147.08919</v>
      </c>
      <c r="C112" s="24" t="n">
        <f aca="false">(B112/B111-1)*100</f>
        <v>0.586391322811686</v>
      </c>
      <c r="D112" s="24" t="n">
        <f aca="false">(AVERAGE(B110:B112)/AVERAGE(B107:B109)-1)*100</f>
        <v>2.94592746920033</v>
      </c>
      <c r="E112" s="24" t="n">
        <f aca="false">((AVERAGE(B110:B112)/AVERAGE(B107:B109))^4-1)*100</f>
        <v>12.3147209914405</v>
      </c>
      <c r="F112" s="24" t="n">
        <f aca="false">(B112/B100-1)*100</f>
        <v>-0.137109401149327</v>
      </c>
      <c r="G112" s="24" t="n">
        <f aca="false">IFERROR((AVERAGE(B103:B112)/AVERAGE(B91:B100)-1)*100,"")</f>
        <v>-1.31288205944987</v>
      </c>
      <c r="H112" s="23" t="n">
        <f aca="false">'SA Data'!U112</f>
        <v>146.01195191979</v>
      </c>
      <c r="I112" s="24" t="n">
        <f aca="false">(H112/H111-1)*100</f>
        <v>1.72180457078526</v>
      </c>
      <c r="J112" s="24" t="n">
        <f aca="false">(AVERAGE(H110:H112)/AVERAGE(H107:H109)-1)*100</f>
        <v>1.32087448884868</v>
      </c>
      <c r="K112" s="24" t="n">
        <f aca="false">((AVERAGE(H110:H112)/AVERAGE(H107:H109))^4-1)*100</f>
        <v>5.38910538118598</v>
      </c>
      <c r="L112" s="24" t="n">
        <f aca="false">IFERROR(('SA Data'!Y112/'SA Data'!Y100-1)*100,"")</f>
        <v>0.846869227391633</v>
      </c>
      <c r="M112" s="24" t="n">
        <f aca="false">IFERROR((AVERAGE('SA Data'!Y103:Y112)/AVERAGE('SA Data'!Y91:Y100)-1)*100,"")</f>
        <v>-1.04596275757621</v>
      </c>
    </row>
    <row r="113" customFormat="false" ht="15" hidden="false" customHeight="false" outlineLevel="0" collapsed="false">
      <c r="A113" s="20" t="n">
        <v>41243</v>
      </c>
      <c r="B113" s="23" t="n">
        <f aca="false">'SA Data'!B113</f>
        <v>146.95144</v>
      </c>
      <c r="C113" s="24" t="n">
        <f aca="false">(B113/B112-1)*100</f>
        <v>-0.0936506618875344</v>
      </c>
      <c r="D113" s="24" t="n">
        <f aca="false">(AVERAGE(B111:B113)/AVERAGE(B108:B110)-1)*100</f>
        <v>2.24713284783289</v>
      </c>
      <c r="E113" s="24" t="n">
        <f aca="false">((AVERAGE(B111:B113)/AVERAGE(B108:B110))^4-1)*100</f>
        <v>9.29607210623793</v>
      </c>
      <c r="F113" s="24" t="n">
        <f aca="false">(B113/B101-1)*100</f>
        <v>-0.179634141396023</v>
      </c>
      <c r="G113" s="24" t="n">
        <f aca="false">IFERROR((AVERAGE(B103:B113)/AVERAGE(B91:B101)-1)*100,"")</f>
        <v>-1.20928355366208</v>
      </c>
      <c r="H113" s="23" t="n">
        <f aca="false">'SA Data'!U113</f>
        <v>145.967998337621</v>
      </c>
      <c r="I113" s="24" t="n">
        <f aca="false">(H113/H112-1)*100</f>
        <v>-0.030102728983461</v>
      </c>
      <c r="J113" s="24" t="n">
        <f aca="false">(AVERAGE(H111:H113)/AVERAGE(H108:H110)-1)*100</f>
        <v>0.739375854998525</v>
      </c>
      <c r="K113" s="24" t="n">
        <f aca="false">((AVERAGE(H111:H113)/AVERAGE(H108:H110))^4-1)*100</f>
        <v>2.99046599795443</v>
      </c>
      <c r="L113" s="24" t="n">
        <f aca="false">IFERROR(('SA Data'!Y113/'SA Data'!Y101-1)*100,"")</f>
        <v>0.304667801494918</v>
      </c>
      <c r="M113" s="24" t="n">
        <f aca="false">IFERROR((AVERAGE('SA Data'!Y103:Y113)/AVERAGE('SA Data'!Y91:Y101)-1)*100,"")</f>
        <v>-0.924296535161895</v>
      </c>
    </row>
    <row r="114" customFormat="false" ht="15" hidden="false" customHeight="false" outlineLevel="0" collapsed="false">
      <c r="A114" s="20" t="n">
        <v>41274</v>
      </c>
      <c r="B114" s="23" t="n">
        <f aca="false">'SA Data'!B114</f>
        <v>149.27282</v>
      </c>
      <c r="C114" s="24" t="n">
        <f aca="false">(B114/B113-1)*100</f>
        <v>1.5796919036656</v>
      </c>
      <c r="D114" s="24" t="n">
        <f aca="false">(AVERAGE(B112:B114)/AVERAGE(B109:B111)-1)*100</f>
        <v>1.66645132287824</v>
      </c>
      <c r="E114" s="24" t="n">
        <f aca="false">((AVERAGE(B112:B114)/AVERAGE(B109:B111))^4-1)*100</f>
        <v>6.83428773839858</v>
      </c>
      <c r="F114" s="24" t="n">
        <f aca="false">(B114/B102-1)*100</f>
        <v>0.965351756518418</v>
      </c>
      <c r="G114" s="24" t="n">
        <f aca="false">IFERROR((AVERAGE(B103:B114)/AVERAGE(B91:B102)-1)*100,"")</f>
        <v>-1.0264220585979</v>
      </c>
      <c r="H114" s="23" t="n">
        <f aca="false">'SA Data'!U114</f>
        <v>145.408392909287</v>
      </c>
      <c r="I114" s="24" t="n">
        <f aca="false">(H114/H113-1)*100</f>
        <v>-0.383375421124133</v>
      </c>
      <c r="J114" s="24" t="n">
        <f aca="false">(AVERAGE(H112:H114)/AVERAGE(H109:H111)-1)*100</f>
        <v>0.845487897374619</v>
      </c>
      <c r="K114" s="24" t="n">
        <f aca="false">((AVERAGE(H112:H114)/AVERAGE(H109:H111))^4-1)*100</f>
        <v>3.42508484632165</v>
      </c>
      <c r="L114" s="24" t="n">
        <f aca="false">IFERROR(('SA Data'!Y114/'SA Data'!Y102-1)*100,"")</f>
        <v>-0.328976911845846</v>
      </c>
      <c r="M114" s="24" t="n">
        <f aca="false">IFERROR((AVERAGE('SA Data'!Y103:Y114)/AVERAGE('SA Data'!Y91:Y102)-1)*100,"")</f>
        <v>-0.875683419876128</v>
      </c>
    </row>
    <row r="115" customFormat="false" ht="15" hidden="false" customHeight="false" outlineLevel="0" collapsed="false">
      <c r="A115" s="20" t="n">
        <v>41305</v>
      </c>
      <c r="B115" s="23" t="n">
        <f aca="false">'SA Data'!B115</f>
        <v>145.88006</v>
      </c>
      <c r="C115" s="24" t="n">
        <f aca="false">(B115/B114-1)*100</f>
        <v>-2.27285851503308</v>
      </c>
      <c r="D115" s="24" t="n">
        <f aca="false">(AVERAGE(B113:B115)/AVERAGE(B110:B112)-1)*100</f>
        <v>0.85226747146947</v>
      </c>
      <c r="E115" s="24" t="n">
        <f aca="false">((AVERAGE(B113:B115)/AVERAGE(B110:B112))^4-1)*100</f>
        <v>3.45289962519868</v>
      </c>
      <c r="F115" s="24" t="n">
        <f aca="false">(B115/B103-1)*100</f>
        <v>-1.25447647768608</v>
      </c>
      <c r="G115" s="24" t="n">
        <f aca="false">IFERROR((AVERAGE(B115:B115)/AVERAGE(B103:B103)-1)*100,"")</f>
        <v>-1.25447647768608</v>
      </c>
      <c r="H115" s="23" t="n">
        <f aca="false">'SA Data'!U115</f>
        <v>145.291282192299</v>
      </c>
      <c r="I115" s="24" t="n">
        <f aca="false">(H115/H114-1)*100</f>
        <v>-0.0805391729081562</v>
      </c>
      <c r="J115" s="24" t="n">
        <f aca="false">(AVERAGE(H113:H115)/AVERAGE(H110:H112)-1)*100</f>
        <v>0.41803095306534</v>
      </c>
      <c r="K115" s="24" t="n">
        <f aca="false">((AVERAGE(H113:H115)/AVERAGE(H110:H112))^4-1)*100</f>
        <v>1.68263805580531</v>
      </c>
      <c r="L115" s="24" t="n">
        <f aca="false">IFERROR(('SA Data'!Y115/'SA Data'!Y103-1)*100,"")</f>
        <v>-0.0600624300798436</v>
      </c>
      <c r="M115" s="24" t="n">
        <f aca="false">IFERROR((AVERAGE('SA Data'!Y115:Y115)/AVERAGE('SA Data'!Y103:Y103)-1)*100,"")</f>
        <v>-0.0600624300798436</v>
      </c>
    </row>
    <row r="116" customFormat="false" ht="15" hidden="false" customHeight="false" outlineLevel="0" collapsed="false">
      <c r="A116" s="20" t="n">
        <v>41333</v>
      </c>
      <c r="B116" s="23" t="n">
        <f aca="false">'SA Data'!B116</f>
        <v>148.73547</v>
      </c>
      <c r="C116" s="24" t="n">
        <f aca="false">(B116/B115-1)*100</f>
        <v>1.95736826540927</v>
      </c>
      <c r="D116" s="24" t="n">
        <f aca="false">(AVERAGE(B114:B116)/AVERAGE(B111:B113)-1)*100</f>
        <v>0.821314389664218</v>
      </c>
      <c r="E116" s="24" t="n">
        <f aca="false">((AVERAGE(B114:B116)/AVERAGE(B111:B113))^4-1)*100</f>
        <v>3.32595306274024</v>
      </c>
      <c r="F116" s="24" t="n">
        <f aca="false">(B116/B104-1)*100</f>
        <v>2.77492455929089</v>
      </c>
      <c r="G116" s="24" t="n">
        <f aca="false">IFERROR((AVERAGE(B115:B116)/AVERAGE(B103:B104)-1)*100,"")</f>
        <v>0.739462535768576</v>
      </c>
      <c r="H116" s="23" t="n">
        <f aca="false">'SA Data'!U116</f>
        <v>145.53563345492</v>
      </c>
      <c r="I116" s="24" t="n">
        <f aca="false">(H116/H115-1)*100</f>
        <v>0.168180264454909</v>
      </c>
      <c r="J116" s="24" t="n">
        <f aca="false">(AVERAGE(H114:H116)/AVERAGE(H111:H113)-1)*100</f>
        <v>0.164146765855744</v>
      </c>
      <c r="K116" s="24" t="n">
        <f aca="false">((AVERAGE(H114:H116)/AVERAGE(H111:H113))^4-1)*100</f>
        <v>0.658205482912155</v>
      </c>
      <c r="L116" s="24" t="n">
        <f aca="false">IFERROR(('SA Data'!Y116/'SA Data'!Y104-1)*100,"")</f>
        <v>0.0186672634843843</v>
      </c>
      <c r="M116" s="24" t="n">
        <f aca="false">IFERROR((AVERAGE('SA Data'!Y115:Y116)/AVERAGE('SA Data'!Y103:Y104)-1)*100,"")</f>
        <v>-0.0211075886128231</v>
      </c>
    </row>
    <row r="117" customFormat="false" ht="15" hidden="false" customHeight="false" outlineLevel="0" collapsed="false">
      <c r="A117" s="20" t="n">
        <v>41364</v>
      </c>
      <c r="B117" s="23" t="n">
        <f aca="false">'SA Data'!B117</f>
        <v>148.7589</v>
      </c>
      <c r="C117" s="24" t="n">
        <f aca="false">(B117/B116-1)*100</f>
        <v>0.0157527992482365</v>
      </c>
      <c r="D117" s="24" t="n">
        <f aca="false">(AVERAGE(B115:B117)/AVERAGE(B112:B114)-1)*100</f>
        <v>0.013755504147217</v>
      </c>
      <c r="E117" s="24" t="n">
        <f aca="false">((AVERAGE(B115:B117)/AVERAGE(B112:B114))^4-1)*100</f>
        <v>0.0550333704636641</v>
      </c>
      <c r="F117" s="24" t="n">
        <f aca="false">(B117/B105-1)*100</f>
        <v>2.32846441782681</v>
      </c>
      <c r="G117" s="24" t="n">
        <f aca="false">IFERROR((AVERAGE(B115:B117)/AVERAGE(B103:B105)-1)*100,"")</f>
        <v>1.26706704867154</v>
      </c>
      <c r="H117" s="23" t="n">
        <f aca="false">'SA Data'!U117</f>
        <v>146.859469120691</v>
      </c>
      <c r="I117" s="24" t="n">
        <f aca="false">(H117/H116-1)*100</f>
        <v>0.909629919727406</v>
      </c>
      <c r="J117" s="24" t="n">
        <f aca="false">(AVERAGE(H115:H117)/AVERAGE(H112:H114)-1)*100</f>
        <v>0.0681411852574421</v>
      </c>
      <c r="K117" s="24" t="n">
        <f aca="false">((AVERAGE(H115:H117)/AVERAGE(H112:H114))^4-1)*100</f>
        <v>0.272843460876859</v>
      </c>
      <c r="L117" s="24" t="n">
        <f aca="false">IFERROR(('SA Data'!Y117/'SA Data'!Y105-1)*100,"")</f>
        <v>0.900367236931854</v>
      </c>
      <c r="M117" s="24" t="n">
        <f aca="false">IFERROR((AVERAGE('SA Data'!Y115:Y117)/AVERAGE('SA Data'!Y103:Y105)-1)*100,"")</f>
        <v>0.306236610344501</v>
      </c>
    </row>
    <row r="118" customFormat="false" ht="15" hidden="false" customHeight="false" outlineLevel="0" collapsed="false">
      <c r="A118" s="20" t="n">
        <v>41394</v>
      </c>
      <c r="B118" s="23" t="n">
        <f aca="false">'SA Data'!B118</f>
        <v>148.5213</v>
      </c>
      <c r="C118" s="24" t="n">
        <f aca="false">(B118/B117-1)*100</f>
        <v>-0.159721535988777</v>
      </c>
      <c r="D118" s="24" t="n">
        <f aca="false">(AVERAGE(B116:B118)/AVERAGE(B113:B115)-1)*100</f>
        <v>0.88471200643323</v>
      </c>
      <c r="E118" s="24" t="n">
        <f aca="false">((AVERAGE(B116:B118)/AVERAGE(B113:B115))^4-1)*100</f>
        <v>3.5860885494974</v>
      </c>
      <c r="F118" s="24" t="n">
        <f aca="false">(B118/B106-1)*100</f>
        <v>4.64598162806922</v>
      </c>
      <c r="G118" s="24" t="n">
        <f aca="false">IFERROR((AVERAGE(B115:B118)/AVERAGE(B103:B106)-1)*100,"")</f>
        <v>2.09424596714902</v>
      </c>
      <c r="H118" s="23" t="n">
        <f aca="false">'SA Data'!U118</f>
        <v>148.711821339699</v>
      </c>
      <c r="I118" s="24" t="n">
        <f aca="false">(H118/H117-1)*100</f>
        <v>1.26130935247053</v>
      </c>
      <c r="J118" s="24" t="n">
        <f aca="false">(AVERAGE(H116:H118)/AVERAGE(H113:H115)-1)*100</f>
        <v>1.0166199025311</v>
      </c>
      <c r="K118" s="24" t="n">
        <f aca="false">((AVERAGE(H116:H118)/AVERAGE(H113:H115))^4-1)*100</f>
        <v>4.12891191703786</v>
      </c>
      <c r="L118" s="24" t="n">
        <f aca="false">IFERROR(('SA Data'!Y118/'SA Data'!Y106-1)*100,"")</f>
        <v>6.02792717938303</v>
      </c>
      <c r="M118" s="24" t="n">
        <f aca="false">IFERROR((AVERAGE('SA Data'!Y115:Y118)/AVERAGE('SA Data'!Y103:Y106)-1)*100,"")</f>
        <v>1.79642395890744</v>
      </c>
    </row>
    <row r="119" customFormat="false" ht="15" hidden="false" customHeight="false" outlineLevel="0" collapsed="false">
      <c r="A119" s="20" t="n">
        <v>41425</v>
      </c>
      <c r="B119" s="23" t="n">
        <f aca="false">'SA Data'!B119</f>
        <v>148.39639</v>
      </c>
      <c r="C119" s="24" t="n">
        <f aca="false">(B119/B118-1)*100</f>
        <v>-0.0841024149398129</v>
      </c>
      <c r="D119" s="24" t="n">
        <f aca="false">(AVERAGE(B117:B119)/AVERAGE(B114:B116)-1)*100</f>
        <v>0.402858061041722</v>
      </c>
      <c r="E119" s="24" t="n">
        <f aca="false">((AVERAGE(B117:B119)/AVERAGE(B114:B116))^4-1)*100</f>
        <v>1.62119610022515</v>
      </c>
      <c r="F119" s="24" t="n">
        <f aca="false">(B119/B107-1)*100</f>
        <v>5.78970334605145</v>
      </c>
      <c r="G119" s="24" t="n">
        <f aca="false">IFERROR((AVERAGE(B115:B119)/AVERAGE(B103:B107)-1)*100,"")</f>
        <v>2.81418888129998</v>
      </c>
      <c r="H119" s="23" t="n">
        <f aca="false">'SA Data'!U119</f>
        <v>148.063100237879</v>
      </c>
      <c r="I119" s="24" t="n">
        <f aca="false">(H119/H118-1)*100</f>
        <v>-0.436226989875643</v>
      </c>
      <c r="J119" s="24" t="n">
        <f aca="false">(AVERAGE(H117:H119)/AVERAGE(H114:H116)-1)*100</f>
        <v>1.69612179404863</v>
      </c>
      <c r="K119" s="24" t="n">
        <f aca="false">((AVERAGE(H117:H119)/AVERAGE(H114:H116))^4-1)*100</f>
        <v>6.95905698179624</v>
      </c>
      <c r="L119" s="24" t="n">
        <f aca="false">IFERROR(('SA Data'!Y119/'SA Data'!Y107-1)*100,"")</f>
        <v>5.88197789844254</v>
      </c>
      <c r="M119" s="24" t="n">
        <f aca="false">IFERROR((AVERAGE('SA Data'!Y115:Y119)/AVERAGE('SA Data'!Y103:Y107)-1)*100,"")</f>
        <v>2.686556550176</v>
      </c>
    </row>
    <row r="120" customFormat="false" ht="15" hidden="false" customHeight="false" outlineLevel="0" collapsed="false">
      <c r="A120" s="20" t="n">
        <v>41455</v>
      </c>
      <c r="B120" s="23" t="n">
        <f aca="false">'SA Data'!B120</f>
        <v>149.13535</v>
      </c>
      <c r="C120" s="24" t="n">
        <f aca="false">(B120/B119-1)*100</f>
        <v>0.497963596014706</v>
      </c>
      <c r="D120" s="24" t="n">
        <f aca="false">(AVERAGE(B118:B120)/AVERAGE(B115:B117)-1)*100</f>
        <v>0.604141740875774</v>
      </c>
      <c r="E120" s="24" t="n">
        <f aca="false">((AVERAGE(B118:B120)/AVERAGE(B115:B117))^4-1)*100</f>
        <v>2.43855453291426</v>
      </c>
      <c r="F120" s="24" t="n">
        <f aca="false">(B120/B108-1)*100</f>
        <v>5.93427295810187</v>
      </c>
      <c r="G120" s="24" t="n">
        <f aca="false">IFERROR((AVERAGE(B115:B120)/AVERAGE(B103:B108)-1)*100,"")</f>
        <v>3.324462387851</v>
      </c>
      <c r="H120" s="23" t="n">
        <f aca="false">'SA Data'!U120</f>
        <v>146.696643171595</v>
      </c>
      <c r="I120" s="24" t="n">
        <f aca="false">(H120/H119-1)*100</f>
        <v>-0.922888325375226</v>
      </c>
      <c r="J120" s="24" t="n">
        <f aca="false">(AVERAGE(H118:H120)/AVERAGE(H115:H117)-1)*100</f>
        <v>1.32176375199122</v>
      </c>
      <c r="K120" s="24" t="n">
        <f aca="false">((AVERAGE(H118:H120)/AVERAGE(H115:H117))^4-1)*100</f>
        <v>5.39280530506967</v>
      </c>
      <c r="L120" s="24" t="n">
        <f aca="false">IFERROR(('SA Data'!Y120/'SA Data'!Y108-1)*100,"")</f>
        <v>4.27818651863596</v>
      </c>
      <c r="M120" s="24" t="n">
        <f aca="false">IFERROR((AVERAGE('SA Data'!Y115:Y120)/AVERAGE('SA Data'!Y103:Y108)-1)*100,"")</f>
        <v>2.96018299148639</v>
      </c>
    </row>
    <row r="121" customFormat="false" ht="15" hidden="false" customHeight="false" outlineLevel="0" collapsed="false">
      <c r="A121" s="20" t="n">
        <v>41486</v>
      </c>
      <c r="B121" s="23" t="n">
        <f aca="false">'SA Data'!B121</f>
        <v>148.12424</v>
      </c>
      <c r="C121" s="24" t="n">
        <f aca="false">(B121/B120-1)*100</f>
        <v>-0.677981444372511</v>
      </c>
      <c r="D121" s="24" t="n">
        <f aca="false">(AVERAGE(B119:B121)/AVERAGE(B116:B118)-1)*100</f>
        <v>-0.0806451486334403</v>
      </c>
      <c r="E121" s="24" t="n">
        <f aca="false">((AVERAGE(B119:B121)/AVERAGE(B116:B118))^4-1)*100</f>
        <v>-0.322190585886384</v>
      </c>
      <c r="F121" s="24" t="n">
        <f aca="false">(B121/B109-1)*100</f>
        <v>2.31844246113158</v>
      </c>
      <c r="G121" s="24" t="n">
        <f aca="false">IFERROR((AVERAGE(B115:B121)/AVERAGE(B103:B109)-1)*100,"")</f>
        <v>3.17963089170086</v>
      </c>
      <c r="H121" s="23" t="n">
        <f aca="false">'SA Data'!U121</f>
        <v>147.191089272022</v>
      </c>
      <c r="I121" s="24" t="n">
        <f aca="false">(H121/H120-1)*100</f>
        <v>0.337053452442304</v>
      </c>
      <c r="J121" s="24" t="n">
        <f aca="false">(AVERAGE(H119:H121)/AVERAGE(H116:H118)-1)*100</f>
        <v>0.191316145912279</v>
      </c>
      <c r="K121" s="24" t="n">
        <f aca="false">((AVERAGE(H119:H121)/AVERAGE(H116:H118))^4-1)*100</f>
        <v>0.767463498061316</v>
      </c>
      <c r="L121" s="24" t="n">
        <f aca="false">IFERROR(('SA Data'!Y121/'SA Data'!Y109-1)*100,"")</f>
        <v>1.90727360149059</v>
      </c>
      <c r="M121" s="24" t="n">
        <f aca="false">IFERROR((AVERAGE('SA Data'!Y115:Y121)/AVERAGE('SA Data'!Y103:Y109)-1)*100,"")</f>
        <v>2.80829445188977</v>
      </c>
    </row>
    <row r="122" customFormat="false" ht="15" hidden="false" customHeight="false" outlineLevel="0" collapsed="false">
      <c r="A122" s="20" t="n">
        <v>41517</v>
      </c>
      <c r="B122" s="23" t="n">
        <f aca="false">'SA Data'!B122</f>
        <v>150.15944</v>
      </c>
      <c r="C122" s="24" t="n">
        <f aca="false">(B122/B121-1)*100</f>
        <v>1.37398173317209</v>
      </c>
      <c r="D122" s="24" t="n">
        <f aca="false">(AVERAGE(B120:B122)/AVERAGE(B117:B119)-1)*100</f>
        <v>0.390965116655551</v>
      </c>
      <c r="E122" s="24" t="n">
        <f aca="false">((AVERAGE(B120:B122)/AVERAGE(B117:B119))^4-1)*100</f>
        <v>1.57305561752232</v>
      </c>
      <c r="F122" s="24" t="n">
        <f aca="false">(B122/B110-1)*100</f>
        <v>3.52442126488892</v>
      </c>
      <c r="G122" s="24" t="n">
        <f aca="false">IFERROR((AVERAGE(B115:B122)/AVERAGE(B103:B110)-1)*100,"")</f>
        <v>3.22309502293274</v>
      </c>
      <c r="H122" s="23" t="n">
        <f aca="false">'SA Data'!U122</f>
        <v>147.575077824061</v>
      </c>
      <c r="I122" s="24" t="n">
        <f aca="false">(H122/H121-1)*100</f>
        <v>0.260877580251728</v>
      </c>
      <c r="J122" s="24" t="n">
        <f aca="false">(AVERAGE(H120:H122)/AVERAGE(H117:H119)-1)*100</f>
        <v>-0.489497765755342</v>
      </c>
      <c r="K122" s="24" t="n">
        <f aca="false">((AVERAGE(H120:H122)/AVERAGE(H117:H119))^4-1)*100</f>
        <v>-1.94366143689311</v>
      </c>
      <c r="L122" s="24" t="n">
        <f aca="false">IFERROR(('SA Data'!Y122/'SA Data'!Y110-1)*100,"")</f>
        <v>1.53390587028346</v>
      </c>
      <c r="M122" s="24" t="n">
        <f aca="false">IFERROR((AVERAGE('SA Data'!Y115:Y122)/AVERAGE('SA Data'!Y103:Y110)-1)*100,"")</f>
        <v>2.64969925145424</v>
      </c>
    </row>
    <row r="123" customFormat="false" ht="15" hidden="false" customHeight="false" outlineLevel="0" collapsed="false">
      <c r="A123" s="20" t="n">
        <v>41547</v>
      </c>
      <c r="B123" s="23" t="n">
        <f aca="false">'SA Data'!B123</f>
        <v>150.20497</v>
      </c>
      <c r="C123" s="24" t="n">
        <f aca="false">(B123/B122-1)*100</f>
        <v>0.0303211040211693</v>
      </c>
      <c r="D123" s="24" t="n">
        <f aca="false">(AVERAGE(B121:B123)/AVERAGE(B118:B120)-1)*100</f>
        <v>0.546035960207791</v>
      </c>
      <c r="E123" s="24" t="n">
        <f aca="false">((AVERAGE(B121:B123)/AVERAGE(B118:B120))^4-1)*100</f>
        <v>2.20209836731775</v>
      </c>
      <c r="F123" s="24" t="n">
        <f aca="false">(B123/B111-1)*100</f>
        <v>2.71710579853754</v>
      </c>
      <c r="G123" s="24" t="n">
        <f aca="false">IFERROR((AVERAGE(B115:B123)/AVERAGE(B103:B111)-1)*100,"")</f>
        <v>3.16604042187838</v>
      </c>
      <c r="H123" s="23" t="n">
        <f aca="false">'SA Data'!U123</f>
        <v>147.545104457073</v>
      </c>
      <c r="I123" s="24" t="n">
        <f aca="false">(H123/H122-1)*100</f>
        <v>-0.0203105886371735</v>
      </c>
      <c r="J123" s="24" t="n">
        <f aca="false">(AVERAGE(H121:H123)/AVERAGE(H118:H120)-1)*100</f>
        <v>-0.261638690785737</v>
      </c>
      <c r="K123" s="24" t="n">
        <f aca="false">((AVERAGE(H121:H123)/AVERAGE(H118:H120))^4-1)*100</f>
        <v>-1.04245463435609</v>
      </c>
      <c r="L123" s="24" t="n">
        <f aca="false">IFERROR(('SA Data'!Y123/'SA Data'!Y111-1)*100,"")</f>
        <v>3.08763992860788</v>
      </c>
      <c r="M123" s="24" t="n">
        <f aca="false">IFERROR((AVERAGE('SA Data'!Y115:Y123)/AVERAGE('SA Data'!Y103:Y111)-1)*100,"")</f>
        <v>2.69724584576547</v>
      </c>
    </row>
    <row r="124" customFormat="false" ht="15" hidden="false" customHeight="false" outlineLevel="0" collapsed="false">
      <c r="A124" s="20" t="n">
        <v>41578</v>
      </c>
      <c r="B124" s="23" t="n">
        <f aca="false">'SA Data'!B124</f>
        <v>148.86711</v>
      </c>
      <c r="C124" s="24" t="n">
        <f aca="false">(B124/B123-1)*100</f>
        <v>-0.890689569060199</v>
      </c>
      <c r="D124" s="24" t="n">
        <f aca="false">(AVERAGE(B122:B124)/AVERAGE(B119:B121)-1)*100</f>
        <v>0.802309440568938</v>
      </c>
      <c r="E124" s="24" t="n">
        <f aca="false">((AVERAGE(B122:B124)/AVERAGE(B119:B121))^4-1)*100</f>
        <v>3.24806678170704</v>
      </c>
      <c r="F124" s="24" t="n">
        <f aca="false">(B124/B112-1)*100</f>
        <v>1.20873600568472</v>
      </c>
      <c r="G124" s="24" t="n">
        <f aca="false">IFERROR((AVERAGE(B115:B124)/AVERAGE(B103:B112)-1)*100,"")</f>
        <v>2.96665743709901</v>
      </c>
      <c r="H124" s="23" t="n">
        <f aca="false">'SA Data'!U124</f>
        <v>147.052840651945</v>
      </c>
      <c r="I124" s="24" t="n">
        <f aca="false">(H124/H123-1)*100</f>
        <v>-0.33363614939288</v>
      </c>
      <c r="J124" s="24" t="n">
        <f aca="false">(AVERAGE(H122:H124)/AVERAGE(H119:H121)-1)*100</f>
        <v>0.050274880179435</v>
      </c>
      <c r="K124" s="24" t="n">
        <f aca="false">((AVERAGE(H122:H124)/AVERAGE(H119:H121))^4-1)*100</f>
        <v>0.201251225367938</v>
      </c>
      <c r="L124" s="24" t="n">
        <f aca="false">IFERROR(('SA Data'!Y124/'SA Data'!Y112-1)*100,"")</f>
        <v>1.09410931523808</v>
      </c>
      <c r="M124" s="24" t="n">
        <f aca="false">IFERROR((AVERAGE('SA Data'!Y115:Y124)/AVERAGE('SA Data'!Y103:Y112)-1)*100,"")</f>
        <v>2.53610265384221</v>
      </c>
    </row>
    <row r="125" customFormat="false" ht="15" hidden="false" customHeight="false" outlineLevel="0" collapsed="false">
      <c r="A125" s="20" t="n">
        <v>41608</v>
      </c>
      <c r="B125" s="23" t="n">
        <f aca="false">'SA Data'!B125</f>
        <v>148.05058</v>
      </c>
      <c r="C125" s="24" t="n">
        <f aca="false">(B125/B124-1)*100</f>
        <v>-0.548495903494062</v>
      </c>
      <c r="D125" s="24" t="n">
        <f aca="false">(AVERAGE(B123:B125)/AVERAGE(B120:B122)-1)*100</f>
        <v>-0.0662399183154805</v>
      </c>
      <c r="E125" s="24" t="n">
        <f aca="false">((AVERAGE(B123:B125)/AVERAGE(B120:B122))^4-1)*100</f>
        <v>-0.264696525893027</v>
      </c>
      <c r="F125" s="24" t="n">
        <f aca="false">(B125/B113-1)*100</f>
        <v>0.747961367374161</v>
      </c>
      <c r="G125" s="24" t="n">
        <f aca="false">IFERROR((AVERAGE(B115:B125)/AVERAGE(B103:B113)-1)*100,"")</f>
        <v>2.76171617895262</v>
      </c>
      <c r="H125" s="23" t="n">
        <f aca="false">'SA Data'!U125</f>
        <v>146.377152120594</v>
      </c>
      <c r="I125" s="24" t="n">
        <f aca="false">(H125/H124-1)*100</f>
        <v>-0.459486894884376</v>
      </c>
      <c r="J125" s="24" t="n">
        <f aca="false">(AVERAGE(H123:H125)/AVERAGE(H120:H122)-1)*100</f>
        <v>-0.110476585280295</v>
      </c>
      <c r="K125" s="24" t="n">
        <f aca="false">((AVERAGE(H123:H125)/AVERAGE(H120:H122))^4-1)*100</f>
        <v>-0.441174575768544</v>
      </c>
      <c r="L125" s="24" t="n">
        <f aca="false">IFERROR(('SA Data'!Y125/'SA Data'!Y113-1)*100,"")</f>
        <v>0.0978026384885311</v>
      </c>
      <c r="M125" s="24" t="n">
        <f aca="false">IFERROR((AVERAGE('SA Data'!Y115:Y125)/AVERAGE('SA Data'!Y103:Y113)-1)*100,"")</f>
        <v>2.31373348494717</v>
      </c>
    </row>
    <row r="126" customFormat="false" ht="15" hidden="false" customHeight="false" outlineLevel="0" collapsed="false">
      <c r="A126" s="20" t="n">
        <v>41639</v>
      </c>
      <c r="B126" s="23" t="n">
        <f aca="false">'SA Data'!B126</f>
        <v>147.19351</v>
      </c>
      <c r="C126" s="24" t="n">
        <f aca="false">(B126/B125-1)*100</f>
        <v>-0.578903507166262</v>
      </c>
      <c r="D126" s="24" t="n">
        <f aca="false">(AVERAGE(B124:B126)/AVERAGE(B121:B123)-1)*100</f>
        <v>-0.976044767242157</v>
      </c>
      <c r="E126" s="24" t="n">
        <f aca="false">((AVERAGE(B124:B126)/AVERAGE(B121:B123))^4-1)*100</f>
        <v>-3.84739029498724</v>
      </c>
      <c r="F126" s="24" t="n">
        <f aca="false">(B126/B114-1)*100</f>
        <v>-1.39295954883145</v>
      </c>
      <c r="G126" s="24" t="n">
        <f aca="false">IFERROR((AVERAGE(B115:B126)/AVERAGE(B103:B114)-1)*100,"")</f>
        <v>2.4053257308601</v>
      </c>
      <c r="H126" s="23" t="n">
        <f aca="false">'SA Data'!U126</f>
        <v>146.246918713098</v>
      </c>
      <c r="I126" s="24" t="n">
        <f aca="false">(H126/H125-1)*100</f>
        <v>-0.0889711308149299</v>
      </c>
      <c r="J126" s="24" t="n">
        <f aca="false">(AVERAGE(H124:H126)/AVERAGE(H121:H123)-1)*100</f>
        <v>-0.595589630413262</v>
      </c>
      <c r="K126" s="24" t="n">
        <f aca="false">((AVERAGE(H124:H126)/AVERAGE(H121:H123))^4-1)*100</f>
        <v>-2.36115928404146</v>
      </c>
      <c r="L126" s="24" t="n">
        <f aca="false">IFERROR(('SA Data'!Y126/'SA Data'!Y114-1)*100,"")</f>
        <v>0.318247243003955</v>
      </c>
      <c r="M126" s="24" t="n">
        <f aca="false">IFERROR((AVERAGE('SA Data'!Y115:Y126)/AVERAGE('SA Data'!Y103:Y114)-1)*100,"")</f>
        <v>2.149885651678</v>
      </c>
    </row>
    <row r="127" customFormat="false" ht="15" hidden="false" customHeight="false" outlineLevel="0" collapsed="false">
      <c r="A127" s="20" t="n">
        <v>41670</v>
      </c>
      <c r="B127" s="23" t="n">
        <f aca="false">'SA Data'!B127</f>
        <v>145.47985</v>
      </c>
      <c r="C127" s="24" t="n">
        <f aca="false">(B127/B126-1)*100</f>
        <v>-1.16422252584371</v>
      </c>
      <c r="D127" s="24" t="n">
        <f aca="false">(AVERAGE(B125:B127)/AVERAGE(B122:B124)-1)*100</f>
        <v>-1.8938074514451</v>
      </c>
      <c r="E127" s="24" t="n">
        <f aca="false">((AVERAGE(B125:B127)/AVERAGE(B122:B124))^4-1)*100</f>
        <v>-7.36274340417873</v>
      </c>
      <c r="F127" s="24" t="n">
        <f aca="false">(B127/B115-1)*100</f>
        <v>-0.274341812033796</v>
      </c>
      <c r="G127" s="24" t="n">
        <f aca="false">IFERROR((AVERAGE(B127:B127)/AVERAGE(B115:B115)-1)*100,"")</f>
        <v>-0.274341812033796</v>
      </c>
      <c r="H127" s="23" t="n">
        <f aca="false">'SA Data'!U127</f>
        <v>147.440517886595</v>
      </c>
      <c r="I127" s="24" t="n">
        <f aca="false">(H127/H126-1)*100</f>
        <v>0.816153382239104</v>
      </c>
      <c r="J127" s="24" t="n">
        <f aca="false">(AVERAGE(H125:H127)/AVERAGE(H122:H124)-1)*100</f>
        <v>-0.476834655992009</v>
      </c>
      <c r="K127" s="24" t="n">
        <f aca="false">((AVERAGE(H125:H127)/AVERAGE(H122:H124))^4-1)*100</f>
        <v>-1.89373966232521</v>
      </c>
      <c r="L127" s="24" t="n">
        <f aca="false">IFERROR(('SA Data'!Y127/'SA Data'!Y115-1)*100,"")</f>
        <v>1.06953097989015</v>
      </c>
      <c r="M127" s="24" t="n">
        <f aca="false">IFERROR((AVERAGE('SA Data'!Y127:Y127)/AVERAGE('SA Data'!Y115:Y115)-1)*100,"")</f>
        <v>1.06953097989015</v>
      </c>
    </row>
    <row r="128" customFormat="false" ht="15" hidden="false" customHeight="false" outlineLevel="0" collapsed="false">
      <c r="A128" s="20" t="n">
        <v>41698</v>
      </c>
      <c r="B128" s="23" t="n">
        <f aca="false">'SA Data'!B128</f>
        <v>146.61923</v>
      </c>
      <c r="C128" s="24" t="n">
        <f aca="false">(B128/B127-1)*100</f>
        <v>0.783187499849625</v>
      </c>
      <c r="D128" s="24" t="n">
        <f aca="false">(AVERAGE(B126:B128)/AVERAGE(B123:B125)-1)*100</f>
        <v>-1.75121296692946</v>
      </c>
      <c r="E128" s="24" t="n">
        <f aca="false">((AVERAGE(B126:B128)/AVERAGE(B123:B125))^4-1)*100</f>
        <v>-6.82298586219294</v>
      </c>
      <c r="F128" s="24" t="n">
        <f aca="false">(B128/B116-1)*100</f>
        <v>-1.42282133508571</v>
      </c>
      <c r="G128" s="24" t="n">
        <f aca="false">IFERROR((AVERAGE(B127:B128)/AVERAGE(B115:B116)-1)*100,"")</f>
        <v>-0.854147098084079</v>
      </c>
      <c r="H128" s="23" t="n">
        <f aca="false">'SA Data'!U128</f>
        <v>145.594148341165</v>
      </c>
      <c r="I128" s="24" t="n">
        <f aca="false">(H128/H127-1)*100</f>
        <v>-1.25228096855284</v>
      </c>
      <c r="J128" s="24" t="n">
        <f aca="false">(AVERAGE(H126:H128)/AVERAGE(H123:H125)-1)*100</f>
        <v>-0.384038078202897</v>
      </c>
      <c r="K128" s="24" t="n">
        <f aca="false">((AVERAGE(H126:H128)/AVERAGE(H123:H125))^4-1)*100</f>
        <v>-1.5273258323092</v>
      </c>
      <c r="L128" s="24" t="n">
        <f aca="false">IFERROR(('SA Data'!Y128/'SA Data'!Y116-1)*100,"")</f>
        <v>0.298484818223743</v>
      </c>
      <c r="M128" s="24" t="n">
        <f aca="false">IFERROR((AVERAGE('SA Data'!Y127:Y128)/AVERAGE('SA Data'!Y115:Y116)-1)*100,"")</f>
        <v>0.687871545941277</v>
      </c>
    </row>
    <row r="129" customFormat="false" ht="15" hidden="false" customHeight="false" outlineLevel="0" collapsed="false">
      <c r="A129" s="20" t="n">
        <v>41729</v>
      </c>
      <c r="B129" s="23" t="n">
        <f aca="false">'SA Data'!B129</f>
        <v>145.49059</v>
      </c>
      <c r="C129" s="24" t="n">
        <f aca="false">(B129/B128-1)*100</f>
        <v>-0.76977624285709</v>
      </c>
      <c r="D129" s="24" t="n">
        <f aca="false">(AVERAGE(B127:B129)/AVERAGE(B124:B126)-1)*100</f>
        <v>-1.46844529027867</v>
      </c>
      <c r="E129" s="24" t="n">
        <f aca="false">((AVERAGE(B127:B129)/AVERAGE(B124:B126))^4-1)*100</f>
        <v>-5.74566319909198</v>
      </c>
      <c r="F129" s="24" t="n">
        <f aca="false">(B129/B117-1)*100</f>
        <v>-2.19705173942535</v>
      </c>
      <c r="G129" s="24" t="n">
        <f aca="false">IFERROR((AVERAGE(B127:B129)/AVERAGE(B115:B117)-1)*100,"")</f>
        <v>-1.30471213687268</v>
      </c>
      <c r="H129" s="23" t="n">
        <f aca="false">'SA Data'!U129</f>
        <v>143.159739276258</v>
      </c>
      <c r="I129" s="24" t="n">
        <f aca="false">(H129/H128-1)*100</f>
        <v>-1.67205144756404</v>
      </c>
      <c r="J129" s="24" t="n">
        <f aca="false">(AVERAGE(H127:H129)/AVERAGE(H124:H126)-1)*100</f>
        <v>-0.792060235742298</v>
      </c>
      <c r="K129" s="24" t="n">
        <f aca="false">((AVERAGE(H127:H129)/AVERAGE(H124:H126))^4-1)*100</f>
        <v>-3.13079774694581</v>
      </c>
      <c r="L129" s="24" t="n">
        <f aca="false">IFERROR(('SA Data'!Y129/'SA Data'!Y117-1)*100,"")</f>
        <v>-2.80666188377605</v>
      </c>
      <c r="M129" s="24" t="n">
        <f aca="false">IFERROR((AVERAGE('SA Data'!Y127:Y129)/AVERAGE('SA Data'!Y115:Y117)-1)*100,"")</f>
        <v>-0.560877541749105</v>
      </c>
    </row>
    <row r="130" customFormat="false" ht="15" hidden="false" customHeight="false" outlineLevel="0" collapsed="false">
      <c r="A130" s="20" t="n">
        <v>41759</v>
      </c>
      <c r="B130" s="23" t="n">
        <f aca="false">'SA Data'!B130</f>
        <v>144.97986</v>
      </c>
      <c r="C130" s="24" t="n">
        <f aca="false">(B130/B129-1)*100</f>
        <v>-0.351039885122462</v>
      </c>
      <c r="D130" s="24" t="n">
        <f aca="false">(AVERAGE(B128:B130)/AVERAGE(B125:B127)-1)*100</f>
        <v>-0.824611433633471</v>
      </c>
      <c r="E130" s="24" t="n">
        <f aca="false">((AVERAGE(B128:B130)/AVERAGE(B125:B127))^4-1)*100</f>
        <v>-3.25787052020475</v>
      </c>
      <c r="F130" s="24" t="n">
        <f aca="false">(B130/B118-1)*100</f>
        <v>-2.38446606648339</v>
      </c>
      <c r="G130" s="24" t="n">
        <f aca="false">IFERROR((AVERAGE(B127:B130)/AVERAGE(B115:B118)-1)*100,"")</f>
        <v>-1.57564914347329</v>
      </c>
      <c r="H130" s="23" t="n">
        <f aca="false">'SA Data'!U130</f>
        <v>144.488211088531</v>
      </c>
      <c r="I130" s="24" t="n">
        <f aca="false">(H130/H129-1)*100</f>
        <v>0.927964677072235</v>
      </c>
      <c r="J130" s="24" t="n">
        <f aca="false">(AVERAGE(H128:H130)/AVERAGE(H125:H127)-1)*100</f>
        <v>-1.55033833423676</v>
      </c>
      <c r="K130" s="24" t="n">
        <f aca="false">((AVERAGE(H128:H130)/AVERAGE(H125:H127))^4-1)*100</f>
        <v>-6.05862514849376</v>
      </c>
      <c r="L130" s="24" t="n">
        <f aca="false">IFERROR(('SA Data'!Y130/'SA Data'!Y118-1)*100,"")</f>
        <v>-2.16334779667844</v>
      </c>
      <c r="M130" s="24" t="n">
        <f aca="false">IFERROR((AVERAGE('SA Data'!Y127:Y130)/AVERAGE('SA Data'!Y115:Y118)-1)*100,"")</f>
        <v>-0.995582136781292</v>
      </c>
    </row>
    <row r="131" customFormat="false" ht="15" hidden="false" customHeight="false" outlineLevel="0" collapsed="false">
      <c r="A131" s="20" t="n">
        <v>41790</v>
      </c>
      <c r="B131" s="23" t="n">
        <f aca="false">'SA Data'!B131</f>
        <v>145.33265</v>
      </c>
      <c r="C131" s="24" t="n">
        <f aca="false">(B131/B130-1)*100</f>
        <v>0.24333724698038</v>
      </c>
      <c r="D131" s="24" t="n">
        <f aca="false">(AVERAGE(B129:B131)/AVERAGE(B126:B128)-1)*100</f>
        <v>-0.794343014071797</v>
      </c>
      <c r="E131" s="24" t="n">
        <f aca="false">((AVERAGE(B129:B131)/AVERAGE(B126:B128))^4-1)*100</f>
        <v>-3.13971329479393</v>
      </c>
      <c r="F131" s="24" t="n">
        <f aca="false">(B131/B119-1)*100</f>
        <v>-2.06456504770769</v>
      </c>
      <c r="G131" s="24" t="n">
        <f aca="false">IFERROR((AVERAGE(B127:B131)/AVERAGE(B115:B119)-1)*100,"")</f>
        <v>-1.6736555293875</v>
      </c>
      <c r="H131" s="23" t="n">
        <f aca="false">'SA Data'!U131</f>
        <v>145.050301044106</v>
      </c>
      <c r="I131" s="24" t="n">
        <f aca="false">(H131/H130-1)*100</f>
        <v>0.389021326612182</v>
      </c>
      <c r="J131" s="24" t="n">
        <f aca="false">(AVERAGE(H129:H131)/AVERAGE(H126:H128)-1)*100</f>
        <v>-1.4986591192639</v>
      </c>
      <c r="K131" s="24" t="n">
        <f aca="false">((AVERAGE(H129:H131)/AVERAGE(H126:H128))^4-1)*100</f>
        <v>-5.86121906614544</v>
      </c>
      <c r="L131" s="24" t="n">
        <f aca="false">IFERROR(('SA Data'!Y131/'SA Data'!Y119-1)*100,"")</f>
        <v>-0.901979221121652</v>
      </c>
      <c r="M131" s="24" t="n">
        <f aca="false">IFERROR((AVERAGE('SA Data'!Y127:Y131)/AVERAGE('SA Data'!Y115:Y119)-1)*100,"")</f>
        <v>-0.974553961638403</v>
      </c>
    </row>
    <row r="132" customFormat="false" ht="15" hidden="false" customHeight="false" outlineLevel="0" collapsed="false">
      <c r="A132" s="20" t="n">
        <v>41820</v>
      </c>
      <c r="B132" s="23" t="n">
        <f aca="false">'SA Data'!B132</f>
        <v>144.60801</v>
      </c>
      <c r="C132" s="24" t="n">
        <f aca="false">(B132/B131-1)*100</f>
        <v>-0.498607848958921</v>
      </c>
      <c r="D132" s="24" t="n">
        <f aca="false">(AVERAGE(B130:B132)/AVERAGE(B127:B129)-1)*100</f>
        <v>-0.609966409856044</v>
      </c>
      <c r="E132" s="24" t="n">
        <f aca="false">((AVERAGE(B130:B132)/AVERAGE(B127:B129))^4-1)*100</f>
        <v>-2.41763273712926</v>
      </c>
      <c r="F132" s="24" t="n">
        <f aca="false">(B132/B120-1)*100</f>
        <v>-3.035725600939</v>
      </c>
      <c r="G132" s="24" t="n">
        <f aca="false">IFERROR((AVERAGE(B127:B132)/AVERAGE(B115:B120)-1)*100,"")</f>
        <v>-1.90204154589468</v>
      </c>
      <c r="H132" s="23" t="n">
        <f aca="false">'SA Data'!U132</f>
        <v>144.299300306853</v>
      </c>
      <c r="I132" s="24" t="n">
        <f aca="false">(H132/H131-1)*100</f>
        <v>-0.517751932844512</v>
      </c>
      <c r="J132" s="24" t="n">
        <f aca="false">(AVERAGE(H130:H132)/AVERAGE(H127:H129)-1)*100</f>
        <v>-0.540262102125422</v>
      </c>
      <c r="K132" s="24" t="n">
        <f aca="false">((AVERAGE(H130:H132)/AVERAGE(H127:H129))^4-1)*100</f>
        <v>-2.14359841232564</v>
      </c>
      <c r="L132" s="24" t="n">
        <f aca="false">IFERROR(('SA Data'!Y132/'SA Data'!Y120-1)*100,"")</f>
        <v>-0.649387342551222</v>
      </c>
      <c r="M132" s="24" t="n">
        <f aca="false">IFERROR((AVERAGE('SA Data'!Y127:Y132)/AVERAGE('SA Data'!Y115:Y120)-1)*100,"")</f>
        <v>-0.917937063254326</v>
      </c>
    </row>
    <row r="133" customFormat="false" ht="15" hidden="false" customHeight="false" outlineLevel="0" collapsed="false">
      <c r="A133" s="20" t="n">
        <v>41851</v>
      </c>
      <c r="B133" s="23" t="n">
        <f aca="false">'SA Data'!B133</f>
        <v>144.0137</v>
      </c>
      <c r="C133" s="24" t="n">
        <f aca="false">(B133/B132-1)*100</f>
        <v>-0.41098000034715</v>
      </c>
      <c r="D133" s="24" t="n">
        <f aca="false">(AVERAGE(B131:B133)/AVERAGE(B128:B130)-1)*100</f>
        <v>-0.7173173249023</v>
      </c>
      <c r="E133" s="24" t="n">
        <f aca="false">((AVERAGE(B131:B133)/AVERAGE(B128:B130))^4-1)*100</f>
        <v>-2.83854402274897</v>
      </c>
      <c r="F133" s="24" t="n">
        <f aca="false">(B133/B121-1)*100</f>
        <v>-2.77506233956035</v>
      </c>
      <c r="G133" s="24" t="n">
        <f aca="false">IFERROR((AVERAGE(B127:B133)/AVERAGE(B115:B121)-1)*100,"")</f>
        <v>-2.02667681979918</v>
      </c>
      <c r="H133" s="23" t="n">
        <f aca="false">'SA Data'!U133</f>
        <v>143.792594130401</v>
      </c>
      <c r="I133" s="24" t="n">
        <f aca="false">(H133/H132-1)*100</f>
        <v>-0.351149434109754</v>
      </c>
      <c r="J133" s="24" t="n">
        <f aca="false">(AVERAGE(H131:H133)/AVERAGE(H128:H130)-1)*100</f>
        <v>-0.0230594452601207</v>
      </c>
      <c r="K133" s="24" t="n">
        <f aca="false">((AVERAGE(H131:H133)/AVERAGE(H128:H130))^4-1)*100</f>
        <v>-0.0922058816638871</v>
      </c>
      <c r="L133" s="24" t="n">
        <f aca="false">IFERROR(('SA Data'!Y133/'SA Data'!Y121-1)*100,"")</f>
        <v>-2.24918927487433</v>
      </c>
      <c r="M133" s="24" t="n">
        <f aca="false">IFERROR((AVERAGE('SA Data'!Y127:Y133)/AVERAGE('SA Data'!Y115:Y121)-1)*100,"")</f>
        <v>-1.10829517062512</v>
      </c>
    </row>
    <row r="134" customFormat="false" ht="15" hidden="false" customHeight="false" outlineLevel="0" collapsed="false">
      <c r="A134" s="20" t="n">
        <v>41882</v>
      </c>
      <c r="B134" s="23" t="n">
        <f aca="false">'SA Data'!B134</f>
        <v>143.6319</v>
      </c>
      <c r="C134" s="24" t="n">
        <f aca="false">(B134/B133-1)*100</f>
        <v>-0.265113666269246</v>
      </c>
      <c r="D134" s="24" t="n">
        <f aca="false">(AVERAGE(B132:B134)/AVERAGE(B129:B131)-1)*100</f>
        <v>-0.814471030609931</v>
      </c>
      <c r="E134" s="24" t="n">
        <f aca="false">((AVERAGE(B132:B134)/AVERAGE(B129:B131))^4-1)*100</f>
        <v>-3.21829801480497</v>
      </c>
      <c r="F134" s="24" t="n">
        <f aca="false">(B134/B122-1)*100</f>
        <v>-4.34707268487415</v>
      </c>
      <c r="G134" s="24" t="n">
        <f aca="false">IFERROR((AVERAGE(B127:B134)/AVERAGE(B115:B122)-1)*100,"")</f>
        <v>-2.32003884109363</v>
      </c>
      <c r="H134" s="23" t="n">
        <f aca="false">'SA Data'!U134</f>
        <v>142.535668259234</v>
      </c>
      <c r="I134" s="24" t="n">
        <f aca="false">(H134/H133-1)*100</f>
        <v>-0.874124205608995</v>
      </c>
      <c r="J134" s="24" t="n">
        <f aca="false">(AVERAGE(H132:H134)/AVERAGE(H129:H131)-1)*100</f>
        <v>-0.478552595408965</v>
      </c>
      <c r="K134" s="24" t="n">
        <f aca="false">((AVERAGE(H132:H134)/AVERAGE(H129:H131))^4-1)*100</f>
        <v>-1.90051341182181</v>
      </c>
      <c r="L134" s="24" t="n">
        <f aca="false">IFERROR(('SA Data'!Y134/'SA Data'!Y122-1)*100,"")</f>
        <v>-3.74114780925096</v>
      </c>
      <c r="M134" s="24" t="n">
        <f aca="false">IFERROR((AVERAGE('SA Data'!Y127:Y134)/AVERAGE('SA Data'!Y115:Y122)-1)*100,"")</f>
        <v>-1.43238703765972</v>
      </c>
    </row>
    <row r="135" customFormat="false" ht="15" hidden="false" customHeight="false" outlineLevel="0" collapsed="false">
      <c r="A135" s="20" t="n">
        <v>41912</v>
      </c>
      <c r="B135" s="23" t="n">
        <f aca="false">'SA Data'!B135</f>
        <v>143.52595</v>
      </c>
      <c r="C135" s="24" t="n">
        <f aca="false">(B135/B134-1)*100</f>
        <v>-0.0737649505437199</v>
      </c>
      <c r="D135" s="24" t="n">
        <f aca="false">(AVERAGE(B133:B135)/AVERAGE(B130:B132)-1)*100</f>
        <v>-0.861989680321373</v>
      </c>
      <c r="E135" s="24" t="n">
        <f aca="false">((AVERAGE(B133:B135)/AVERAGE(B130:B132))^4-1)*100</f>
        <v>-3.40363278902845</v>
      </c>
      <c r="F135" s="24" t="n">
        <f aca="false">(B135/B123-1)*100</f>
        <v>-4.44660386403992</v>
      </c>
      <c r="G135" s="24" t="n">
        <f aca="false">IFERROR((AVERAGE(B127:B135)/AVERAGE(B115:B123)-1)*100,"")</f>
        <v>-2.55878373002936</v>
      </c>
      <c r="H135" s="23" t="n">
        <f aca="false">'SA Data'!U135</f>
        <v>144.548208953966</v>
      </c>
      <c r="I135" s="24" t="n">
        <f aca="false">(H135/H134-1)*100</f>
        <v>1.41195584186831</v>
      </c>
      <c r="J135" s="24" t="n">
        <f aca="false">(AVERAGE(H133:H135)/AVERAGE(H130:H132)-1)*100</f>
        <v>-0.682591745342775</v>
      </c>
      <c r="K135" s="24" t="n">
        <f aca="false">((AVERAGE(H133:H135)/AVERAGE(H130:H132))^4-1)*100</f>
        <v>-2.70253809122615</v>
      </c>
      <c r="L135" s="24" t="n">
        <f aca="false">IFERROR(('SA Data'!Y135/'SA Data'!Y123-1)*100,"")</f>
        <v>-2.28788439940965</v>
      </c>
      <c r="M135" s="24" t="n">
        <f aca="false">IFERROR((AVERAGE('SA Data'!Y127:Y135)/AVERAGE('SA Data'!Y115:Y123)-1)*100,"")</f>
        <v>-1.52562024051714</v>
      </c>
    </row>
    <row r="136" customFormat="false" ht="15" hidden="false" customHeight="false" outlineLevel="0" collapsed="false">
      <c r="A136" s="20" t="n">
        <v>41943</v>
      </c>
      <c r="B136" s="23" t="n">
        <f aca="false">'SA Data'!B136</f>
        <v>143.84982</v>
      </c>
      <c r="C136" s="24" t="n">
        <f aca="false">(B136/B135-1)*100</f>
        <v>0.225652573628676</v>
      </c>
      <c r="D136" s="24" t="n">
        <f aca="false">(AVERAGE(B134:B136)/AVERAGE(B131:B133)-1)*100</f>
        <v>-0.679032237399357</v>
      </c>
      <c r="E136" s="24" t="n">
        <f aca="false">((AVERAGE(B134:B136)/AVERAGE(B131:B133))^4-1)*100</f>
        <v>-2.68858888680437</v>
      </c>
      <c r="F136" s="24" t="n">
        <f aca="false">(B136/B124-1)*100</f>
        <v>-3.37031463833751</v>
      </c>
      <c r="G136" s="24" t="n">
        <f aca="false">IFERROR((AVERAGE(B127:B136)/AVERAGE(B115:B124)-1)*100,"")</f>
        <v>-2.64003986647066</v>
      </c>
      <c r="H136" s="23" t="n">
        <f aca="false">'SA Data'!U136</f>
        <v>144.64228812344</v>
      </c>
      <c r="I136" s="24" t="n">
        <f aca="false">(H136/H135-1)*100</f>
        <v>0.0650849776377527</v>
      </c>
      <c r="J136" s="24" t="n">
        <f aca="false">(AVERAGE(H134:H136)/AVERAGE(H131:H133)-1)*100</f>
        <v>-0.326920387690566</v>
      </c>
      <c r="K136" s="24" t="n">
        <f aca="false">((AVERAGE(H134:H136)/AVERAGE(H131:H133))^4-1)*100</f>
        <v>-1.30128289904656</v>
      </c>
      <c r="L136" s="24" t="n">
        <f aca="false">IFERROR(('SA Data'!Y136/'SA Data'!Y124-1)*100,"")</f>
        <v>-1.99270303657767</v>
      </c>
      <c r="M136" s="24" t="n">
        <f aca="false">IFERROR((AVERAGE('SA Data'!Y127:Y136)/AVERAGE('SA Data'!Y115:Y124)-1)*100,"")</f>
        <v>-1.57190994060087</v>
      </c>
    </row>
    <row r="137" customFormat="false" ht="15" hidden="false" customHeight="false" outlineLevel="0" collapsed="false">
      <c r="A137" s="20" t="n">
        <v>41973</v>
      </c>
      <c r="B137" s="23" t="n">
        <f aca="false">'SA Data'!B137</f>
        <v>144.81113</v>
      </c>
      <c r="C137" s="24" t="n">
        <f aca="false">(B137/B136-1)*100</f>
        <v>0.668273342295467</v>
      </c>
      <c r="D137" s="24" t="n">
        <f aca="false">(AVERAGE(B135:B137)/AVERAGE(B132:B134)-1)*100</f>
        <v>-0.0154330694889904</v>
      </c>
      <c r="E137" s="24" t="n">
        <f aca="false">((AVERAGE(B135:B137)/AVERAGE(B132:B134))^4-1)*100</f>
        <v>-0.0617179886482133</v>
      </c>
      <c r="F137" s="24" t="n">
        <f aca="false">(B137/B125-1)*100</f>
        <v>-2.18806977993602</v>
      </c>
      <c r="G137" s="24" t="n">
        <f aca="false">IFERROR((AVERAGE(B127:B137)/AVERAGE(B115:B125)-1)*100,"")</f>
        <v>-2.59910944709419</v>
      </c>
      <c r="H137" s="23" t="n">
        <f aca="false">'SA Data'!U137</f>
        <v>143.648938570471</v>
      </c>
      <c r="I137" s="24" t="n">
        <f aca="false">(H137/H136-1)*100</f>
        <v>-0.686762886467007</v>
      </c>
      <c r="J137" s="24" t="n">
        <f aca="false">(AVERAGE(H135:H137)/AVERAGE(H132:H134)-1)*100</f>
        <v>0.513639428358759</v>
      </c>
      <c r="K137" s="24" t="n">
        <f aca="false">((AVERAGE(H135:H137)/AVERAGE(H132:H134))^4-1)*100</f>
        <v>2.07044151524467</v>
      </c>
      <c r="L137" s="24" t="n">
        <f aca="false">IFERROR(('SA Data'!Y137/'SA Data'!Y125-1)*100,"")</f>
        <v>-1.93188173681887</v>
      </c>
      <c r="M137" s="24" t="n">
        <f aca="false">IFERROR((AVERAGE('SA Data'!Y127:Y137)/AVERAGE('SA Data'!Y115:Y125)-1)*100,"")</f>
        <v>-1.60402779447896</v>
      </c>
    </row>
    <row r="138" customFormat="false" ht="15" hidden="false" customHeight="false" outlineLevel="0" collapsed="false">
      <c r="A138" s="20" t="n">
        <v>42004</v>
      </c>
      <c r="B138" s="23" t="n">
        <f aca="false">'SA Data'!B138</f>
        <v>144.90914</v>
      </c>
      <c r="C138" s="24" t="n">
        <f aca="false">(B138/B137-1)*100</f>
        <v>0.0676812617925293</v>
      </c>
      <c r="D138" s="24" t="n">
        <f aca="false">(AVERAGE(B136:B138)/AVERAGE(B133:B135)-1)*100</f>
        <v>0.556284383791095</v>
      </c>
      <c r="E138" s="24" t="n">
        <f aca="false">((AVERAGE(B136:B138)/AVERAGE(B133:B135))^4-1)*100</f>
        <v>2.2437736272604</v>
      </c>
      <c r="F138" s="24" t="n">
        <f aca="false">(B138/B126-1)*100</f>
        <v>-1.55195021845732</v>
      </c>
      <c r="G138" s="24" t="n">
        <f aca="false">IFERROR((AVERAGE(B127:B138)/AVERAGE(B115:B126)-1)*100,"")</f>
        <v>-2.51261523869343</v>
      </c>
      <c r="H138" s="23" t="n">
        <f aca="false">'SA Data'!U138</f>
        <v>145.116154792914</v>
      </c>
      <c r="I138" s="24" t="n">
        <f aca="false">(H138/H137-1)*100</f>
        <v>1.02139022887555</v>
      </c>
      <c r="J138" s="24" t="n">
        <f aca="false">(AVERAGE(H136:H138)/AVERAGE(H133:H135)-1)*100</f>
        <v>0.587386481172025</v>
      </c>
      <c r="K138" s="24" t="n">
        <f aca="false">((AVERAGE(H136:H138)/AVERAGE(H133:H135))^4-1)*100</f>
        <v>2.37032848113445</v>
      </c>
      <c r="L138" s="24" t="n">
        <f aca="false">IFERROR(('SA Data'!Y138/'SA Data'!Y126-1)*100,"")</f>
        <v>-0.949440203036611</v>
      </c>
      <c r="M138" s="24" t="n">
        <f aca="false">IFERROR((AVERAGE('SA Data'!Y127:Y138)/AVERAGE('SA Data'!Y115:Y126)-1)*100,"")</f>
        <v>-1.55124385697775</v>
      </c>
    </row>
    <row r="139" customFormat="false" ht="15" hidden="false" customHeight="false" outlineLevel="0" collapsed="false">
      <c r="A139" s="20" t="n">
        <v>42035</v>
      </c>
      <c r="B139" s="23" t="n">
        <f aca="false">'SA Data'!B139</f>
        <v>144.24479</v>
      </c>
      <c r="C139" s="24" t="n">
        <f aca="false">(B139/B138-1)*100</f>
        <v>-0.458459694122826</v>
      </c>
      <c r="D139" s="24" t="n">
        <f aca="false">(AVERAGE(B137:B139)/AVERAGE(B134:B136)-1)*100</f>
        <v>0.686157162818013</v>
      </c>
      <c r="E139" s="24" t="n">
        <f aca="false">((AVERAGE(B137:B139)/AVERAGE(B134:B136))^4-1)*100</f>
        <v>2.77300679237582</v>
      </c>
      <c r="F139" s="24" t="n">
        <f aca="false">(B139/B127-1)*100</f>
        <v>-0.848956058175754</v>
      </c>
      <c r="G139" s="24" t="n">
        <f aca="false">IFERROR((AVERAGE(B139:B139)/AVERAGE(B127:B127)-1)*100,"")</f>
        <v>-0.848956058175754</v>
      </c>
      <c r="H139" s="23" t="n">
        <f aca="false">'SA Data'!U139</f>
        <v>144.912519982486</v>
      </c>
      <c r="I139" s="24" t="n">
        <f aca="false">(H139/H138-1)*100</f>
        <v>-0.140325390180029</v>
      </c>
      <c r="J139" s="24" t="n">
        <f aca="false">(AVERAGE(H137:H139)/AVERAGE(H134:H136)-1)*100</f>
        <v>0.4520105951209</v>
      </c>
      <c r="K139" s="24" t="n">
        <f aca="false">((AVERAGE(H137:H139)/AVERAGE(H134:H136))^4-1)*100</f>
        <v>1.82033817767455</v>
      </c>
      <c r="L139" s="24" t="n">
        <f aca="false">IFERROR(('SA Data'!Y139/'SA Data'!Y127-1)*100,"")</f>
        <v>-1.97885019104987</v>
      </c>
      <c r="M139" s="24" t="n">
        <f aca="false">IFERROR((AVERAGE('SA Data'!Y139:Y139)/AVERAGE('SA Data'!Y127:Y127)-1)*100,"")</f>
        <v>-1.97885019104987</v>
      </c>
    </row>
    <row r="140" customFormat="false" ht="15" hidden="false" customHeight="false" outlineLevel="0" collapsed="false">
      <c r="A140" s="20" t="n">
        <v>42063</v>
      </c>
      <c r="B140" s="23" t="n">
        <f aca="false">'SA Data'!B140</f>
        <v>148.08726</v>
      </c>
      <c r="C140" s="24" t="n">
        <f aca="false">(B140/B139-1)*100</f>
        <v>2.66385357835108</v>
      </c>
      <c r="D140" s="24" t="n">
        <f aca="false">(AVERAGE(B138:B140)/AVERAGE(B135:B137)-1)*100</f>
        <v>1.16946857945024</v>
      </c>
      <c r="E140" s="24" t="n">
        <f aca="false">((AVERAGE(B138:B140)/AVERAGE(B135:B137))^4-1)*100</f>
        <v>4.76057536642778</v>
      </c>
      <c r="F140" s="24" t="n">
        <f aca="false">(B140/B128-1)*100</f>
        <v>1.00125338265655</v>
      </c>
      <c r="G140" s="24" t="n">
        <f aca="false">IFERROR((AVERAGE(B139:B140)/AVERAGE(B127:B128)-1)*100,"")</f>
        <v>0.0797571837610756</v>
      </c>
      <c r="H140" s="23" t="n">
        <f aca="false">'SA Data'!U140</f>
        <v>146.509850363154</v>
      </c>
      <c r="I140" s="24" t="n">
        <f aca="false">(H140/H139-1)*100</f>
        <v>1.10227217141823</v>
      </c>
      <c r="J140" s="24" t="n">
        <f aca="false">(AVERAGE(H138:H140)/AVERAGE(H135:H137)-1)*100</f>
        <v>0.854610090030117</v>
      </c>
      <c r="K140" s="24" t="n">
        <f aca="false">((AVERAGE(H138:H140)/AVERAGE(H135:H137))^4-1)*100</f>
        <v>3.46251206656798</v>
      </c>
      <c r="L140" s="24" t="n">
        <f aca="false">IFERROR(('SA Data'!Y140/'SA Data'!Y128-1)*100,"")</f>
        <v>0.75098000918441</v>
      </c>
      <c r="M140" s="24" t="n">
        <f aca="false">IFERROR((AVERAGE('SA Data'!Y139:Y140)/AVERAGE('SA Data'!Y127:Y128)-1)*100,"")</f>
        <v>-0.63283962730919</v>
      </c>
    </row>
    <row r="141" customFormat="false" ht="15" hidden="false" customHeight="false" outlineLevel="0" collapsed="false">
      <c r="A141" s="20" t="n">
        <v>42094</v>
      </c>
      <c r="B141" s="23" t="n">
        <f aca="false">'SA Data'!B141</f>
        <v>147.60559</v>
      </c>
      <c r="C141" s="24" t="n">
        <f aca="false">(B141/B140-1)*100</f>
        <v>-0.325260930616167</v>
      </c>
      <c r="D141" s="24" t="n">
        <f aca="false">(AVERAGE(B139:B141)/AVERAGE(B136:B138)-1)*100</f>
        <v>1.46863221123026</v>
      </c>
      <c r="E141" s="24" t="n">
        <f aca="false">((AVERAGE(B139:B141)/AVERAGE(B136:B138))^4-1)*100</f>
        <v>6.00521339708007</v>
      </c>
      <c r="F141" s="24" t="n">
        <f aca="false">(B141/B129-1)*100</f>
        <v>1.45370226349348</v>
      </c>
      <c r="G141" s="24" t="n">
        <f aca="false">IFERROR((AVERAGE(B139:B141)/AVERAGE(B127:B129)-1)*100,"")</f>
        <v>0.536568881984834</v>
      </c>
      <c r="H141" s="23" t="n">
        <f aca="false">'SA Data'!U141</f>
        <v>147.094242864435</v>
      </c>
      <c r="I141" s="24" t="n">
        <f aca="false">(H141/H140-1)*100</f>
        <v>0.398875911641494</v>
      </c>
      <c r="J141" s="24" t="n">
        <f aca="false">(AVERAGE(H139:H141)/AVERAGE(H136:H138)-1)*100</f>
        <v>1.17885203194337</v>
      </c>
      <c r="K141" s="24" t="n">
        <f aca="false">((AVERAGE(H139:H141)/AVERAGE(H136:H138))^4-1)*100</f>
        <v>4.79944688235923</v>
      </c>
      <c r="L141" s="24" t="n">
        <f aca="false">IFERROR(('SA Data'!Y141/'SA Data'!Y129-1)*100,"")</f>
        <v>3.35746520856115</v>
      </c>
      <c r="M141" s="24" t="n">
        <f aca="false">IFERROR((AVERAGE('SA Data'!Y139:Y141)/AVERAGE('SA Data'!Y127:Y129)-1)*100,"")</f>
        <v>0.760866708230457</v>
      </c>
    </row>
    <row r="142" customFormat="false" ht="15" hidden="false" customHeight="false" outlineLevel="0" collapsed="false">
      <c r="A142" s="20" t="n">
        <v>42124</v>
      </c>
      <c r="B142" s="23" t="n">
        <f aca="false">'SA Data'!B142</f>
        <v>149.56613</v>
      </c>
      <c r="C142" s="24" t="n">
        <f aca="false">(B142/B141-1)*100</f>
        <v>1.32822882927399</v>
      </c>
      <c r="D142" s="24" t="n">
        <f aca="false">(AVERAGE(B140:B142)/AVERAGE(B137:B139)-1)*100</f>
        <v>2.60249523314158</v>
      </c>
      <c r="E142" s="24" t="n">
        <f aca="false">((AVERAGE(B140:B142)/AVERAGE(B137:B139))^4-1)*100</f>
        <v>10.8234563529185</v>
      </c>
      <c r="F142" s="24" t="n">
        <f aca="false">(B142/B130-1)*100</f>
        <v>3.16338421074485</v>
      </c>
      <c r="G142" s="24" t="n">
        <f aca="false">IFERROR((AVERAGE(B139:B142)/AVERAGE(B127:B130)-1)*100,"")</f>
        <v>1.19028538962551</v>
      </c>
      <c r="H142" s="23" t="n">
        <f aca="false">'SA Data'!U142</f>
        <v>148.563926650033</v>
      </c>
      <c r="I142" s="24" t="n">
        <f aca="false">(H142/H141-1)*100</f>
        <v>0.999144328818313</v>
      </c>
      <c r="J142" s="24" t="n">
        <f aca="false">(AVERAGE(H140:H142)/AVERAGE(H137:H139)-1)*100</f>
        <v>1.95776915166219</v>
      </c>
      <c r="K142" s="24" t="n">
        <f aca="false">((AVERAGE(H140:H142)/AVERAGE(H137:H139))^4-1)*100</f>
        <v>8.0640644426053</v>
      </c>
      <c r="L142" s="24" t="n">
        <f aca="false">IFERROR(('SA Data'!Y142/'SA Data'!Y130-1)*100,"")</f>
        <v>3.40105952288285</v>
      </c>
      <c r="M142" s="24" t="n">
        <f aca="false">IFERROR((AVERAGE('SA Data'!Y139:Y142)/AVERAGE('SA Data'!Y127:Y130)-1)*100,"")</f>
        <v>1.46862816440227</v>
      </c>
    </row>
    <row r="143" customFormat="false" ht="15" hidden="false" customHeight="false" outlineLevel="0" collapsed="false">
      <c r="A143" s="20" t="n">
        <v>42155</v>
      </c>
      <c r="B143" s="23" t="n">
        <f aca="false">'SA Data'!B143</f>
        <v>149.8329</v>
      </c>
      <c r="C143" s="24" t="n">
        <f aca="false">(B143/B142-1)*100</f>
        <v>0.178362574467905</v>
      </c>
      <c r="D143" s="24" t="n">
        <f aca="false">(AVERAGE(B141:B143)/AVERAGE(B138:B140)-1)*100</f>
        <v>2.23296208666892</v>
      </c>
      <c r="E143" s="24" t="n">
        <f aca="false">((AVERAGE(B141:B143)/AVERAGE(B138:B140))^4-1)*100</f>
        <v>9.23549391537766</v>
      </c>
      <c r="F143" s="24" t="n">
        <f aca="false">(B143/B131-1)*100</f>
        <v>3.09651685288888</v>
      </c>
      <c r="G143" s="24" t="n">
        <f aca="false">IFERROR((AVERAGE(B139:B143)/AVERAGE(B127:B131)-1)*100,"")</f>
        <v>1.57088277988118</v>
      </c>
      <c r="H143" s="23" t="n">
        <f aca="false">'SA Data'!U143</f>
        <v>147.550176821796</v>
      </c>
      <c r="I143" s="24" t="n">
        <f aca="false">(H143/H142-1)*100</f>
        <v>-0.682366070348306</v>
      </c>
      <c r="J143" s="24" t="n">
        <f aca="false">(AVERAGE(H141:H143)/AVERAGE(H138:H140)-1)*100</f>
        <v>1.52788833370265</v>
      </c>
      <c r="K143" s="24" t="n">
        <f aca="false">((AVERAGE(H141:H143)/AVERAGE(H138:H140))^4-1)*100</f>
        <v>6.25305205719313</v>
      </c>
      <c r="L143" s="24" t="n">
        <f aca="false">IFERROR(('SA Data'!Y143/'SA Data'!Y131-1)*100,"")</f>
        <v>2.98943895826671</v>
      </c>
      <c r="M143" s="24" t="n">
        <f aca="false">IFERROR((AVERAGE('SA Data'!Y139:Y143)/AVERAGE('SA Data'!Y127:Y131)-1)*100,"")</f>
        <v>1.81053325605653</v>
      </c>
    </row>
    <row r="144" customFormat="false" ht="15" hidden="false" customHeight="false" outlineLevel="0" collapsed="false">
      <c r="A144" s="20" t="n">
        <v>42185</v>
      </c>
      <c r="B144" s="23" t="n">
        <f aca="false">'SA Data'!B144</f>
        <v>150.65951</v>
      </c>
      <c r="C144" s="24" t="n">
        <f aca="false">(B144/B143-1)*100</f>
        <v>0.551687913669174</v>
      </c>
      <c r="D144" s="24" t="n">
        <f aca="false">(AVERAGE(B142:B144)/AVERAGE(B139:B141)-1)*100</f>
        <v>2.30053059338136</v>
      </c>
      <c r="E144" s="24" t="n">
        <f aca="false">((AVERAGE(B142:B144)/AVERAGE(B139:B141))^4-1)*100</f>
        <v>9.52456701310616</v>
      </c>
      <c r="F144" s="24" t="n">
        <f aca="false">(B144/B132-1)*100</f>
        <v>4.18476127290597</v>
      </c>
      <c r="G144" s="24" t="n">
        <f aca="false">IFERROR((AVERAGE(B139:B144)/AVERAGE(B127:B132)-1)*100,"")</f>
        <v>2.00410152229855</v>
      </c>
      <c r="H144" s="23" t="n">
        <f aca="false">'SA Data'!U144</f>
        <v>150.678347639068</v>
      </c>
      <c r="I144" s="24" t="n">
        <f aca="false">(H144/H143-1)*100</f>
        <v>2.12007256423028</v>
      </c>
      <c r="J144" s="24" t="n">
        <f aca="false">(AVERAGE(H142:H144)/AVERAGE(H139:H141)-1)*100</f>
        <v>1.88723474812966</v>
      </c>
      <c r="K144" s="24" t="n">
        <f aca="false">((AVERAGE(H142:H144)/AVERAGE(H139:H141))^4-1)*100</f>
        <v>7.76533964920445</v>
      </c>
      <c r="L144" s="24" t="n">
        <f aca="false">IFERROR(('SA Data'!Y144/'SA Data'!Y132-1)*100,"")</f>
        <v>5.59398970346925</v>
      </c>
      <c r="M144" s="24" t="n">
        <f aca="false">IFERROR((AVERAGE('SA Data'!Y139:Y144)/AVERAGE('SA Data'!Y127:Y132)-1)*100,"")</f>
        <v>2.47108123310309</v>
      </c>
    </row>
    <row r="145" customFormat="false" ht="15" hidden="false" customHeight="false" outlineLevel="0" collapsed="false">
      <c r="A145" s="20" t="n">
        <v>42216</v>
      </c>
      <c r="B145" s="23" t="n">
        <f aca="false">'SA Data'!B145</f>
        <v>150.53913</v>
      </c>
      <c r="C145" s="24" t="n">
        <f aca="false">(B145/B144-1)*100</f>
        <v>-0.0799020254347083</v>
      </c>
      <c r="D145" s="24" t="n">
        <f aca="false">(AVERAGE(B143:B145)/AVERAGE(B140:B142)-1)*100</f>
        <v>1.29644998962177</v>
      </c>
      <c r="E145" s="24" t="n">
        <f aca="false">((AVERAGE(B143:B145)/AVERAGE(B140:B142))^4-1)*100</f>
        <v>5.28752135827364</v>
      </c>
      <c r="F145" s="24" t="n">
        <f aca="false">(B145/B133-1)*100</f>
        <v>4.5311175256243</v>
      </c>
      <c r="G145" s="24" t="n">
        <f aca="false">IFERROR((AVERAGE(B139:B145)/AVERAGE(B127:B133)-1)*100,"")</f>
        <v>2.36211074193249</v>
      </c>
      <c r="H145" s="23" t="n">
        <f aca="false">'SA Data'!U145</f>
        <v>150.257762721905</v>
      </c>
      <c r="I145" s="24" t="n">
        <f aca="false">(H145/H144-1)*100</f>
        <v>-0.279127640933707</v>
      </c>
      <c r="J145" s="24" t="n">
        <f aca="false">(AVERAGE(H143:H145)/AVERAGE(H140:H142)-1)*100</f>
        <v>1.42892905436633</v>
      </c>
      <c r="K145" s="24" t="n">
        <f aca="false">((AVERAGE(H143:H145)/AVERAGE(H140:H142))^4-1)*100</f>
        <v>5.83939773790905</v>
      </c>
      <c r="L145" s="24" t="n">
        <f aca="false">IFERROR(('SA Data'!Y145/'SA Data'!Y133-1)*100,"")</f>
        <v>4.37578294827263</v>
      </c>
      <c r="M145" s="24" t="n">
        <f aca="false">IFERROR((AVERAGE('SA Data'!Y139:Y145)/AVERAGE('SA Data'!Y127:Y133)-1)*100,"")</f>
        <v>2.74029577367205</v>
      </c>
    </row>
    <row r="146" customFormat="false" ht="15" hidden="false" customHeight="false" outlineLevel="0" collapsed="false">
      <c r="A146" s="20" t="n">
        <v>42247</v>
      </c>
      <c r="B146" s="23" t="n">
        <f aca="false">'SA Data'!B146</f>
        <v>150.34522</v>
      </c>
      <c r="C146" s="24" t="n">
        <f aca="false">(B146/B145-1)*100</f>
        <v>-0.128810363126175</v>
      </c>
      <c r="D146" s="24" t="n">
        <f aca="false">(AVERAGE(B144:B146)/AVERAGE(B141:B143)-1)*100</f>
        <v>1.01547943732663</v>
      </c>
      <c r="E146" s="24" t="n">
        <f aca="false">((AVERAGE(B144:B146)/AVERAGE(B141:B143))^4-1)*100</f>
        <v>4.12420958627882</v>
      </c>
      <c r="F146" s="24" t="n">
        <f aca="false">(B146/B134-1)*100</f>
        <v>4.6739756279768</v>
      </c>
      <c r="G146" s="24" t="n">
        <f aca="false">IFERROR((AVERAGE(B139:B146)/AVERAGE(B127:B134)-1)*100,"")</f>
        <v>2.64832880763366</v>
      </c>
      <c r="H146" s="23" t="n">
        <f aca="false">'SA Data'!U146</f>
        <v>148.408624673221</v>
      </c>
      <c r="I146" s="24" t="n">
        <f aca="false">(H146/H145-1)*100</f>
        <v>-1.23064393824798</v>
      </c>
      <c r="J146" s="24" t="n">
        <f aca="false">(AVERAGE(H144:H146)/AVERAGE(H141:H143)-1)*100</f>
        <v>1.38453816329425</v>
      </c>
      <c r="K146" s="24" t="n">
        <f aca="false">((AVERAGE(H144:H146)/AVERAGE(H141:H143))^4-1)*100</f>
        <v>5.65423471731215</v>
      </c>
      <c r="L146" s="24" t="n">
        <f aca="false">IFERROR(('SA Data'!Y146/'SA Data'!Y134-1)*100,"")</f>
        <v>4.25386029225152</v>
      </c>
      <c r="M146" s="24" t="n">
        <f aca="false">IFERROR((AVERAGE('SA Data'!Y139:Y146)/AVERAGE('SA Data'!Y127:Y134)-1)*100,"")</f>
        <v>2.92224447423859</v>
      </c>
    </row>
    <row r="147" customFormat="false" ht="15" hidden="false" customHeight="false" outlineLevel="0" collapsed="false">
      <c r="A147" s="20" t="n">
        <v>42277</v>
      </c>
      <c r="B147" s="23" t="n">
        <f aca="false">'SA Data'!B147</f>
        <v>149.00537</v>
      </c>
      <c r="C147" s="24" t="n">
        <f aca="false">(B147/B146-1)*100</f>
        <v>-0.891182306959948</v>
      </c>
      <c r="D147" s="24" t="n">
        <f aca="false">(AVERAGE(B145:B147)/AVERAGE(B142:B144)-1)*100</f>
        <v>-0.0375106758333965</v>
      </c>
      <c r="E147" s="24" t="n">
        <f aca="false">((AVERAGE(B145:B147)/AVERAGE(B142:B144))^4-1)*100</f>
        <v>-0.149958301395292</v>
      </c>
      <c r="F147" s="24" t="n">
        <f aca="false">(B147/B135-1)*100</f>
        <v>3.81772076756852</v>
      </c>
      <c r="G147" s="24" t="n">
        <f aca="false">IFERROR((AVERAGE(B139:B147)/AVERAGE(B127:B135)-1)*100,"")</f>
        <v>2.77707042211084</v>
      </c>
      <c r="H147" s="23" t="n">
        <f aca="false">'SA Data'!U147</f>
        <v>148.301406363225</v>
      </c>
      <c r="I147" s="24" t="n">
        <f aca="false">(H147/H146-1)*100</f>
        <v>-0.0722453363020237</v>
      </c>
      <c r="J147" s="24" t="n">
        <f aca="false">(AVERAGE(H145:H147)/AVERAGE(H142:H144)-1)*100</f>
        <v>0.0392447649950611</v>
      </c>
      <c r="K147" s="24" t="n">
        <f aca="false">((AVERAGE(H145:H147)/AVERAGE(H142:H144))^4-1)*100</f>
        <v>0.157071493254546</v>
      </c>
      <c r="L147" s="24" t="n">
        <f aca="false">IFERROR(('SA Data'!Y147/'SA Data'!Y135-1)*100,"")</f>
        <v>2.33615491188754</v>
      </c>
      <c r="M147" s="24" t="n">
        <f aca="false">IFERROR((AVERAGE('SA Data'!Y139:Y147)/AVERAGE('SA Data'!Y127:Y135)-1)*100,"")</f>
        <v>2.85886610230968</v>
      </c>
    </row>
    <row r="148" customFormat="false" ht="15" hidden="false" customHeight="false" outlineLevel="0" collapsed="false">
      <c r="A148" s="20" t="n">
        <v>42308</v>
      </c>
      <c r="B148" s="23" t="n">
        <f aca="false">'SA Data'!B148</f>
        <v>149.30047</v>
      </c>
      <c r="C148" s="24" t="n">
        <f aca="false">(B148/B147-1)*100</f>
        <v>0.198046553624209</v>
      </c>
      <c r="D148" s="24" t="n">
        <f aca="false">(AVERAGE(B146:B148)/AVERAGE(B143:B145)-1)*100</f>
        <v>-0.527785706516226</v>
      </c>
      <c r="E148" s="24" t="n">
        <f aca="false">((AVERAGE(B146:B148)/AVERAGE(B143:B145))^4-1)*100</f>
        <v>-2.09448809087029</v>
      </c>
      <c r="F148" s="24" t="n">
        <f aca="false">(B148/B136-1)*100</f>
        <v>3.78912535309395</v>
      </c>
      <c r="G148" s="24" t="n">
        <f aca="false">IFERROR((AVERAGE(B139:B148)/AVERAGE(B127:B136)-1)*100,"")</f>
        <v>2.8776443395818</v>
      </c>
      <c r="H148" s="23" t="n">
        <f aca="false">'SA Data'!U148</f>
        <v>148.564433869113</v>
      </c>
      <c r="I148" s="24" t="n">
        <f aca="false">(H148/H147-1)*100</f>
        <v>0.177360088712786</v>
      </c>
      <c r="J148" s="24" t="n">
        <f aca="false">(AVERAGE(H146:H148)/AVERAGE(H143:H145)-1)*100</f>
        <v>-0.716147264476263</v>
      </c>
      <c r="K148" s="24" t="n">
        <f aca="false">((AVERAGE(H146:H148)/AVERAGE(H143:H145))^4-1)*100</f>
        <v>-2.83396369589983</v>
      </c>
      <c r="L148" s="24" t="n">
        <f aca="false">IFERROR(('SA Data'!Y148/'SA Data'!Y136-1)*100,"")</f>
        <v>2.2574895370699</v>
      </c>
      <c r="M148" s="24" t="n">
        <f aca="false">IFERROR((AVERAGE('SA Data'!Y139:Y148)/AVERAGE('SA Data'!Y127:Y136)-1)*100,"")</f>
        <v>2.79952216605419</v>
      </c>
    </row>
    <row r="149" customFormat="false" ht="15" hidden="false" customHeight="false" outlineLevel="0" collapsed="false">
      <c r="A149" s="20" t="n">
        <v>42338</v>
      </c>
      <c r="B149" s="23" t="n">
        <f aca="false">'SA Data'!B149</f>
        <v>148.58071</v>
      </c>
      <c r="C149" s="24" t="n">
        <f aca="false">(B149/B148-1)*100</f>
        <v>-0.482088234551425</v>
      </c>
      <c r="D149" s="24" t="n">
        <f aca="false">(AVERAGE(B147:B149)/AVERAGE(B144:B146)-1)*100</f>
        <v>-1.03141918483843</v>
      </c>
      <c r="E149" s="24" t="n">
        <f aca="false">((AVERAGE(B147:B149)/AVERAGE(B144:B146))^4-1)*100</f>
        <v>-4.06228497556419</v>
      </c>
      <c r="F149" s="24" t="n">
        <f aca="false">(B149/B137-1)*100</f>
        <v>2.60310101854742</v>
      </c>
      <c r="G149" s="24" t="n">
        <f aca="false">IFERROR((AVERAGE(B139:B149)/AVERAGE(B127:B137)-1)*100,"")</f>
        <v>2.85267676896863</v>
      </c>
      <c r="H149" s="23" t="n">
        <f aca="false">'SA Data'!U149</f>
        <v>147.950480544002</v>
      </c>
      <c r="I149" s="24" t="n">
        <f aca="false">(H149/H148-1)*100</f>
        <v>-0.413257271017786</v>
      </c>
      <c r="J149" s="24" t="n">
        <f aca="false">(AVERAGE(H147:H149)/AVERAGE(H144:H146)-1)*100</f>
        <v>-1.00778175525077</v>
      </c>
      <c r="K149" s="24" t="n">
        <f aca="false">((AVERAGE(H147:H149)/AVERAGE(H144:H146))^4-1)*100</f>
        <v>-3.97059795649951</v>
      </c>
      <c r="L149" s="24" t="n">
        <f aca="false">IFERROR(('SA Data'!Y149/'SA Data'!Y137-1)*100,"")</f>
        <v>3.37859114309749</v>
      </c>
      <c r="M149" s="24" t="n">
        <f aca="false">IFERROR((AVERAGE('SA Data'!Y139:Y149)/AVERAGE('SA Data'!Y127:Y137)-1)*100,"")</f>
        <v>2.85101643091519</v>
      </c>
    </row>
    <row r="150" customFormat="false" ht="15" hidden="false" customHeight="false" outlineLevel="0" collapsed="false">
      <c r="A150" s="20" t="n">
        <v>42369</v>
      </c>
      <c r="B150" s="23" t="n">
        <f aca="false">'SA Data'!B150</f>
        <v>146.93186</v>
      </c>
      <c r="C150" s="24" t="n">
        <f aca="false">(B150/B149-1)*100</f>
        <v>-1.10973355827955</v>
      </c>
      <c r="D150" s="24" t="n">
        <f aca="false">(AVERAGE(B148:B150)/AVERAGE(B145:B147)-1)*100</f>
        <v>-1.12842765111415</v>
      </c>
      <c r="E150" s="24" t="n">
        <f aca="false">((AVERAGE(B148:B150)/AVERAGE(B145:B147))^4-1)*100</f>
        <v>-4.43788279808318</v>
      </c>
      <c r="F150" s="24" t="n">
        <f aca="false">(B150/B138-1)*100</f>
        <v>1.39585398132926</v>
      </c>
      <c r="G150" s="24" t="n">
        <f aca="false">IFERROR((AVERAGE(B139:B150)/AVERAGE(B127:B138)-1)*100,"")</f>
        <v>2.73115901682486</v>
      </c>
      <c r="H150" s="23" t="n">
        <f aca="false">'SA Data'!U150</f>
        <v>146.834671517692</v>
      </c>
      <c r="I150" s="24" t="n">
        <f aca="false">(H150/H149-1)*100</f>
        <v>-0.754177358672759</v>
      </c>
      <c r="J150" s="24" t="n">
        <f aca="false">(AVERAGE(H148:H150)/AVERAGE(H145:H147)-1)*100</f>
        <v>-0.809500791347873</v>
      </c>
      <c r="K150" s="24" t="n">
        <f aca="false">((AVERAGE(H148:H150)/AVERAGE(H145:H147))^4-1)*100</f>
        <v>-3.19889742771815</v>
      </c>
      <c r="L150" s="24" t="n">
        <f aca="false">IFERROR(('SA Data'!Y150/'SA Data'!Y138-1)*100,"")</f>
        <v>1.18442992955896</v>
      </c>
      <c r="M150" s="24" t="n">
        <f aca="false">IFERROR((AVERAGE('SA Data'!Y139:Y150)/AVERAGE('SA Data'!Y127:Y138)-1)*100,"")</f>
        <v>2.71580650450856</v>
      </c>
    </row>
    <row r="151" customFormat="false" ht="15" hidden="false" customHeight="false" outlineLevel="0" collapsed="false">
      <c r="A151" s="20" t="n">
        <v>42400</v>
      </c>
      <c r="B151" s="23" t="n">
        <f aca="false">'SA Data'!B151</f>
        <v>147.90289</v>
      </c>
      <c r="C151" s="24" t="n">
        <f aca="false">(B151/B150-1)*100</f>
        <v>0.660870964268745</v>
      </c>
      <c r="D151" s="24" t="n">
        <f aca="false">(AVERAGE(B149:B151)/AVERAGE(B146:B148)-1)*100</f>
        <v>-1.16696481225297</v>
      </c>
      <c r="E151" s="24" t="n">
        <f aca="false">((AVERAGE(B149:B151)/AVERAGE(B146:B148))^4-1)*100</f>
        <v>-4.58678465439248</v>
      </c>
      <c r="F151" s="24" t="n">
        <f aca="false">(B151/B139-1)*100</f>
        <v>2.53603613690312</v>
      </c>
      <c r="G151" s="24" t="n">
        <f aca="false">IFERROR((AVERAGE(B151:B151)/AVERAGE(B139:B139)-1)*100,"")</f>
        <v>2.53603613690312</v>
      </c>
      <c r="H151" s="23" t="n">
        <f aca="false">'SA Data'!U151</f>
        <v>145.566138563924</v>
      </c>
      <c r="I151" s="24" t="n">
        <f aca="false">(H151/H150-1)*100</f>
        <v>-0.86391922333865</v>
      </c>
      <c r="J151" s="24" t="n">
        <f aca="false">(AVERAGE(H149:H151)/AVERAGE(H146:H148)-1)*100</f>
        <v>-1.10564936190182</v>
      </c>
      <c r="K151" s="24" t="n">
        <f aca="false">((AVERAGE(H149:H151)/AVERAGE(H146:H148))^4-1)*100</f>
        <v>-4.34978896758291</v>
      </c>
      <c r="L151" s="24" t="n">
        <f aca="false">IFERROR(('SA Data'!Y151/'SA Data'!Y139-1)*100,"")</f>
        <v>0.53290290261987</v>
      </c>
      <c r="M151" s="24" t="n">
        <f aca="false">IFERROR((AVERAGE('SA Data'!Y151:Y151)/AVERAGE('SA Data'!Y139:Y139)-1)*100,"")</f>
        <v>0.53290290261987</v>
      </c>
    </row>
    <row r="152" customFormat="false" ht="15" hidden="false" customHeight="false" outlineLevel="0" collapsed="false">
      <c r="A152" s="20" t="n">
        <v>42429</v>
      </c>
      <c r="B152" s="23" t="n">
        <f aca="false">'SA Data'!B152</f>
        <v>146.87869</v>
      </c>
      <c r="C152" s="24" t="n">
        <f aca="false">(B152/B151-1)*100</f>
        <v>-0.692481397760392</v>
      </c>
      <c r="D152" s="24" t="n">
        <f aca="false">(AVERAGE(B150:B152)/AVERAGE(B147:B149)-1)*100</f>
        <v>-1.15758910175302</v>
      </c>
      <c r="E152" s="24" t="n">
        <f aca="false">((AVERAGE(B150:B152)/AVERAGE(B147:B149))^4-1)*100</f>
        <v>-4.55057433322834</v>
      </c>
      <c r="F152" s="24" t="n">
        <f aca="false">(B152/B140-1)*100</f>
        <v>-0.816120171309798</v>
      </c>
      <c r="G152" s="24" t="n">
        <f aca="false">IFERROR((AVERAGE(B151:B152)/AVERAGE(B139:B140)-1)*100,"")</f>
        <v>0.83792728166483</v>
      </c>
      <c r="H152" s="23" t="n">
        <f aca="false">'SA Data'!U152</f>
        <v>147.031535251567</v>
      </c>
      <c r="I152" s="24" t="n">
        <f aca="false">(H152/H151-1)*100</f>
        <v>1.0066878891609</v>
      </c>
      <c r="J152" s="24" t="n">
        <f aca="false">(AVERAGE(H150:H152)/AVERAGE(H147:H149)-1)*100</f>
        <v>-1.21038172200163</v>
      </c>
      <c r="K152" s="24" t="n">
        <f aca="false">((AVERAGE(H150:H152)/AVERAGE(H147:H149))^4-1)*100</f>
        <v>-4.75433260220073</v>
      </c>
      <c r="L152" s="24" t="n">
        <f aca="false">IFERROR(('SA Data'!Y152/'SA Data'!Y140-1)*100,"")</f>
        <v>0.782029589733768</v>
      </c>
      <c r="M152" s="24" t="n">
        <f aca="false">IFERROR((AVERAGE('SA Data'!Y151:Y152)/AVERAGE('SA Data'!Y139:Y140)-1)*100,"")</f>
        <v>0.657451685303934</v>
      </c>
    </row>
    <row r="153" customFormat="false" ht="15" hidden="false" customHeight="false" outlineLevel="0" collapsed="false">
      <c r="A153" s="20" t="n">
        <v>42460</v>
      </c>
      <c r="B153" s="23" t="n">
        <f aca="false">'SA Data'!B153</f>
        <v>145.96567</v>
      </c>
      <c r="C153" s="24" t="n">
        <f aca="false">(B153/B152-1)*100</f>
        <v>-0.621615021212418</v>
      </c>
      <c r="D153" s="24" t="n">
        <f aca="false">(AVERAGE(B151:B153)/AVERAGE(B148:B150)-1)*100</f>
        <v>-0.914044696171679</v>
      </c>
      <c r="E153" s="24" t="n">
        <f aca="false">((AVERAGE(B151:B153)/AVERAGE(B148:B150))^4-1)*100</f>
        <v>-3.60635488985434</v>
      </c>
      <c r="F153" s="24" t="n">
        <f aca="false">(B153/B141-1)*100</f>
        <v>-1.11101483351682</v>
      </c>
      <c r="G153" s="24" t="n">
        <f aca="false">IFERROR((AVERAGE(B151:B153)/AVERAGE(B139:B141)-1)*100,"")</f>
        <v>0.184028354564059</v>
      </c>
      <c r="H153" s="23" t="n">
        <f aca="false">'SA Data'!U153</f>
        <v>146.526198668525</v>
      </c>
      <c r="I153" s="24" t="n">
        <f aca="false">(H153/H152-1)*100</f>
        <v>-0.343692652176653</v>
      </c>
      <c r="J153" s="24" t="n">
        <f aca="false">(AVERAGE(H151:H153)/AVERAGE(H148:H150)-1)*100</f>
        <v>-0.953133504775883</v>
      </c>
      <c r="K153" s="24" t="n">
        <f aca="false">((AVERAGE(H151:H153)/AVERAGE(H148:H150))^4-1)*100</f>
        <v>-3.75837173991352</v>
      </c>
      <c r="L153" s="24" t="n">
        <f aca="false">IFERROR(('SA Data'!Y153/'SA Data'!Y141-1)*100,"")</f>
        <v>0.273198760343707</v>
      </c>
      <c r="M153" s="24" t="n">
        <f aca="false">IFERROR((AVERAGE('SA Data'!Y151:Y153)/AVERAGE('SA Data'!Y139:Y141)-1)*100,"")</f>
        <v>0.519783896385784</v>
      </c>
    </row>
    <row r="154" customFormat="false" ht="15" hidden="false" customHeight="false" outlineLevel="0" collapsed="false">
      <c r="A154" s="20" t="n">
        <v>42490</v>
      </c>
      <c r="B154" s="23" t="n">
        <f aca="false">'SA Data'!B154</f>
        <v>144.71514</v>
      </c>
      <c r="C154" s="24" t="n">
        <f aca="false">(B154/B153-1)*100</f>
        <v>-0.85672884589918</v>
      </c>
      <c r="D154" s="24" t="n">
        <f aca="false">(AVERAGE(B152:B154)/AVERAGE(B149:B151)-1)*100</f>
        <v>-1.32064858541471</v>
      </c>
      <c r="E154" s="24" t="n">
        <f aca="false">((AVERAGE(B152:B154)/AVERAGE(B149:B151))^4-1)*100</f>
        <v>-5.17886588254101</v>
      </c>
      <c r="F154" s="24" t="n">
        <f aca="false">(B154/B142-1)*100</f>
        <v>-3.24337468650154</v>
      </c>
      <c r="G154" s="24" t="n">
        <f aca="false">IFERROR((AVERAGE(B151:B154)/AVERAGE(B139:B142)-1)*100,"")</f>
        <v>-0.685556260310261</v>
      </c>
      <c r="H154" s="23" t="n">
        <f aca="false">'SA Data'!U154</f>
        <v>146.294259356912</v>
      </c>
      <c r="I154" s="24" t="n">
        <f aca="false">(H154/H153-1)*100</f>
        <v>-0.158292041778574</v>
      </c>
      <c r="J154" s="24" t="n">
        <f aca="false">(AVERAGE(H152:H154)/AVERAGE(H149:H151)-1)*100</f>
        <v>-0.113386144027583</v>
      </c>
      <c r="K154" s="24" t="n">
        <f aca="false">((AVERAGE(H152:H154)/AVERAGE(H149:H151))^4-1)*100</f>
        <v>-0.452773773981452</v>
      </c>
      <c r="L154" s="24" t="n">
        <f aca="false">IFERROR(('SA Data'!Y154/'SA Data'!Y142-1)*100,"")</f>
        <v>-2.45334526519064</v>
      </c>
      <c r="M154" s="24" t="n">
        <f aca="false">IFERROR((AVERAGE('SA Data'!Y151:Y154)/AVERAGE('SA Data'!Y139:Y142)-1)*100,"")</f>
        <v>-0.292407228935832</v>
      </c>
    </row>
    <row r="155" customFormat="false" ht="15" hidden="false" customHeight="false" outlineLevel="0" collapsed="false">
      <c r="A155" s="20" t="n">
        <v>42521</v>
      </c>
      <c r="B155" s="23" t="n">
        <f aca="false">'SA Data'!B155</f>
        <v>144.57675</v>
      </c>
      <c r="C155" s="24" t="n">
        <f aca="false">(B155/B154-1)*100</f>
        <v>-0.0956292479142085</v>
      </c>
      <c r="D155" s="24" t="n">
        <f aca="false">(AVERAGE(B153:B155)/AVERAGE(B150:B152)-1)*100</f>
        <v>-1.46155389792982</v>
      </c>
      <c r="E155" s="24" t="n">
        <f aca="false">((AVERAGE(B153:B155)/AVERAGE(B150:B152))^4-1)*100</f>
        <v>-5.71929147421131</v>
      </c>
      <c r="F155" s="24" t="n">
        <f aca="false">(B155/B143-1)*100</f>
        <v>-3.5080079208238</v>
      </c>
      <c r="G155" s="24" t="n">
        <f aca="false">IFERROR((AVERAGE(B151:B155)/AVERAGE(B139:B143)-1)*100,"")</f>
        <v>-1.25755023080349</v>
      </c>
      <c r="H155" s="23" t="n">
        <f aca="false">'SA Data'!U155</f>
        <v>145.42633437828</v>
      </c>
      <c r="I155" s="24" t="n">
        <f aca="false">(H155/H154-1)*100</f>
        <v>-0.593273435640274</v>
      </c>
      <c r="J155" s="24" t="n">
        <f aca="false">(AVERAGE(H153:H155)/AVERAGE(H150:H152)-1)*100</f>
        <v>-0.269791912693118</v>
      </c>
      <c r="K155" s="24" t="n">
        <f aca="false">((AVERAGE(H153:H155)/AVERAGE(H150:H152))^4-1)*100</f>
        <v>-1.0748082399157</v>
      </c>
      <c r="L155" s="24" t="n">
        <f aca="false">IFERROR(('SA Data'!Y155/'SA Data'!Y143-1)*100,"")</f>
        <v>-2.64904028978684</v>
      </c>
      <c r="M155" s="24" t="n">
        <f aca="false">IFERROR((AVERAGE('SA Data'!Y151:Y155)/AVERAGE('SA Data'!Y139:Y143)-1)*100,"")</f>
        <v>-0.828354826245614</v>
      </c>
    </row>
    <row r="156" customFormat="false" ht="15" hidden="false" customHeight="false" outlineLevel="0" collapsed="false">
      <c r="A156" s="20" t="n">
        <v>42551</v>
      </c>
      <c r="B156" s="23" t="n">
        <f aca="false">'SA Data'!B156</f>
        <v>144.37905</v>
      </c>
      <c r="C156" s="24" t="n">
        <f aca="false">(B156/B155-1)*100</f>
        <v>-0.136743978544263</v>
      </c>
      <c r="D156" s="24" t="n">
        <f aca="false">(AVERAGE(B154:B156)/AVERAGE(B151:B153)-1)*100</f>
        <v>-1.60552561587169</v>
      </c>
      <c r="E156" s="24" t="n">
        <f aca="false">((AVERAGE(B154:B156)/AVERAGE(B151:B153))^4-1)*100</f>
        <v>-6.26908850207353</v>
      </c>
      <c r="F156" s="24" t="n">
        <f aca="false">(B156/B144-1)*100</f>
        <v>-4.16864491328826</v>
      </c>
      <c r="G156" s="24" t="n">
        <f aca="false">IFERROR((AVERAGE(B151:B156)/AVERAGE(B139:B144)-1)*100,"")</f>
        <v>-1.75034346776634</v>
      </c>
      <c r="H156" s="23" t="n">
        <f aca="false">'SA Data'!U156</f>
        <v>143.795879051385</v>
      </c>
      <c r="I156" s="24" t="n">
        <f aca="false">(H156/H155-1)*100</f>
        <v>-1.12115548663593</v>
      </c>
      <c r="J156" s="24" t="n">
        <f aca="false">(AVERAGE(H154:H156)/AVERAGE(H151:H153)-1)*100</f>
        <v>-0.82149933617427</v>
      </c>
      <c r="K156" s="24" t="n">
        <f aca="false">((AVERAGE(H154:H156)/AVERAGE(H151:H153))^4-1)*100</f>
        <v>-3.24572697889717</v>
      </c>
      <c r="L156" s="24" t="n">
        <f aca="false">IFERROR(('SA Data'!Y156/'SA Data'!Y144-1)*100,"")</f>
        <v>-5.10803432454787</v>
      </c>
      <c r="M156" s="24" t="n">
        <f aca="false">IFERROR((AVERAGE('SA Data'!Y151:Y156)/AVERAGE('SA Data'!Y139:Y144)-1)*100,"")</f>
        <v>-1.59830878221378</v>
      </c>
    </row>
    <row r="157" customFormat="false" ht="15" hidden="false" customHeight="false" outlineLevel="0" collapsed="false">
      <c r="A157" s="20" t="n">
        <v>42582</v>
      </c>
      <c r="B157" s="23" t="n">
        <f aca="false">'SA Data'!B157</f>
        <v>144.58279</v>
      </c>
      <c r="C157" s="24" t="n">
        <f aca="false">(B157/B156-1)*100</f>
        <v>0.141114656177588</v>
      </c>
      <c r="D157" s="24" t="n">
        <f aca="false">(AVERAGE(B155:B157)/AVERAGE(B152:B154)-1)*100</f>
        <v>-0.91894016699442</v>
      </c>
      <c r="E157" s="24" t="n">
        <f aca="false">((AVERAGE(B155:B157)/AVERAGE(B152:B154))^4-1)*100</f>
        <v>-3.62540329303759</v>
      </c>
      <c r="F157" s="24" t="n">
        <f aca="false">(B157/B145-1)*100</f>
        <v>-3.95667226188966</v>
      </c>
      <c r="G157" s="24" t="n">
        <f aca="false">IFERROR((AVERAGE(B151:B157)/AVERAGE(B139:B145)-1)*100,"")</f>
        <v>-2.0695434160711</v>
      </c>
      <c r="H157" s="23" t="n">
        <f aca="false">'SA Data'!U157</f>
        <v>143.82476856855</v>
      </c>
      <c r="I157" s="24" t="n">
        <f aca="false">(H157/H156-1)*100</f>
        <v>0.02009064331705</v>
      </c>
      <c r="J157" s="24" t="n">
        <f aca="false">(AVERAGE(H155:H157)/AVERAGE(H152:H154)-1)*100</f>
        <v>-1.54711388894457</v>
      </c>
      <c r="K157" s="24" t="n">
        <f aca="false">((AVERAGE(H155:H157)/AVERAGE(H152:H154))^4-1)*100</f>
        <v>-6.04631738834561</v>
      </c>
      <c r="L157" s="24" t="n">
        <f aca="false">IFERROR(('SA Data'!Y157/'SA Data'!Y145-1)*100,"")</f>
        <v>-4.61265597113757</v>
      </c>
      <c r="M157" s="24" t="n">
        <f aca="false">IFERROR((AVERAGE('SA Data'!Y151:Y157)/AVERAGE('SA Data'!Y139:Y145)-1)*100,"")</f>
        <v>-2.03114515306249</v>
      </c>
    </row>
    <row r="158" customFormat="false" ht="15" hidden="false" customHeight="false" outlineLevel="0" collapsed="false">
      <c r="A158" s="20" t="n">
        <v>42613</v>
      </c>
      <c r="B158" s="23" t="n">
        <f aca="false">'SA Data'!B158</f>
        <v>145.6509</v>
      </c>
      <c r="C158" s="24" t="n">
        <f aca="false">(B158/B157-1)*100</f>
        <v>0.738753208455867</v>
      </c>
      <c r="D158" s="24" t="n">
        <f aca="false">(AVERAGE(B156:B158)/AVERAGE(B153:B155)-1)*100</f>
        <v>-0.148146766250323</v>
      </c>
      <c r="E158" s="24" t="n">
        <f aca="false">((AVERAGE(B156:B158)/AVERAGE(B153:B155))^4-1)*100</f>
        <v>-0.591271517236924</v>
      </c>
      <c r="F158" s="24" t="n">
        <f aca="false">(B158/B146-1)*100</f>
        <v>-3.12236065769168</v>
      </c>
      <c r="G158" s="24" t="n">
        <f aca="false">IFERROR((AVERAGE(B151:B158)/AVERAGE(B139:B146)-1)*100,"")</f>
        <v>-2.20245854552682</v>
      </c>
      <c r="H158" s="23" t="n">
        <f aca="false">'SA Data'!U158</f>
        <v>145.462507344594</v>
      </c>
      <c r="I158" s="24" t="n">
        <f aca="false">(H158/H157-1)*100</f>
        <v>1.13870426654896</v>
      </c>
      <c r="J158" s="24" t="n">
        <f aca="false">(AVERAGE(H156:H158)/AVERAGE(H153:H155)-1)*100</f>
        <v>-1.17824876957263</v>
      </c>
      <c r="K158" s="24" t="n">
        <f aca="false">((AVERAGE(H156:H158)/AVERAGE(H153:H155))^4-1)*100</f>
        <v>-4.63035123226108</v>
      </c>
      <c r="L158" s="24" t="n">
        <f aca="false">IFERROR(('SA Data'!Y158/'SA Data'!Y146-1)*100,"")</f>
        <v>-1.69250990184793</v>
      </c>
      <c r="M158" s="24" t="n">
        <f aca="false">IFERROR((AVERAGE('SA Data'!Y151:Y158)/AVERAGE('SA Data'!Y139:Y146)-1)*100,"")</f>
        <v>-1.98991043004466</v>
      </c>
    </row>
    <row r="159" customFormat="false" ht="15" hidden="false" customHeight="false" outlineLevel="0" collapsed="false">
      <c r="A159" s="20" t="n">
        <v>42643</v>
      </c>
      <c r="B159" s="23" t="n">
        <f aca="false">'SA Data'!B159</f>
        <v>145.0188</v>
      </c>
      <c r="C159" s="24" t="n">
        <f aca="false">(B159/B158-1)*100</f>
        <v>-0.433982900208652</v>
      </c>
      <c r="D159" s="24" t="n">
        <f aca="false">(AVERAGE(B157:B159)/AVERAGE(B154:B156)-1)*100</f>
        <v>0.364688950567005</v>
      </c>
      <c r="E159" s="24" t="n">
        <f aca="false">((AVERAGE(B157:B159)/AVERAGE(B154:B156))^4-1)*100</f>
        <v>1.46675510296133</v>
      </c>
      <c r="F159" s="24" t="n">
        <f aca="false">(B159/B147-1)*100</f>
        <v>-2.67545391149325</v>
      </c>
      <c r="G159" s="24" t="n">
        <f aca="false">IFERROR((AVERAGE(B151:B159)/AVERAGE(B139:B147)-1)*100,"")</f>
        <v>-2.25505918078547</v>
      </c>
      <c r="H159" s="23" t="n">
        <f aca="false">'SA Data'!U159</f>
        <v>145.91737795907</v>
      </c>
      <c r="I159" s="24" t="n">
        <f aca="false">(H159/H158-1)*100</f>
        <v>0.312706430529919</v>
      </c>
      <c r="J159" s="24" t="n">
        <f aca="false">(AVERAGE(H157:H159)/AVERAGE(H154:H156)-1)*100</f>
        <v>-0.0715975017816728</v>
      </c>
      <c r="K159" s="24" t="n">
        <f aca="false">((AVERAGE(H157:H159)/AVERAGE(H154:H156))^4-1)*100</f>
        <v>-0.286082581774039</v>
      </c>
      <c r="L159" s="24" t="n">
        <f aca="false">IFERROR(('SA Data'!Y159/'SA Data'!Y147-1)*100,"")</f>
        <v>-2.14357531836286</v>
      </c>
      <c r="M159" s="24" t="n">
        <f aca="false">IFERROR((AVERAGE('SA Data'!Y151:Y159)/AVERAGE('SA Data'!Y139:Y147)-1)*100,"")</f>
        <v>-2.00644295165444</v>
      </c>
    </row>
    <row r="160" customFormat="false" ht="15" hidden="false" customHeight="false" outlineLevel="0" collapsed="false">
      <c r="A160" s="20" t="n">
        <v>42674</v>
      </c>
      <c r="B160" s="23" t="n">
        <f aca="false">'SA Data'!B160</f>
        <v>145.15354</v>
      </c>
      <c r="C160" s="24" t="n">
        <f aca="false">(B160/B159-1)*100</f>
        <v>0.0929120913977899</v>
      </c>
      <c r="D160" s="24" t="n">
        <f aca="false">(AVERAGE(B158:B160)/AVERAGE(B155:B157)-1)*100</f>
        <v>0.526977310139798</v>
      </c>
      <c r="E160" s="24" t="n">
        <f aca="false">((AVERAGE(B158:B160)/AVERAGE(B155:B157))^4-1)*100</f>
        <v>2.12463016051501</v>
      </c>
      <c r="F160" s="24" t="n">
        <f aca="false">(B160/B148-1)*100</f>
        <v>-2.77757330569689</v>
      </c>
      <c r="G160" s="24" t="n">
        <f aca="false">IFERROR((AVERAGE(B151:B160)/AVERAGE(B139:B148)-1)*100,"")</f>
        <v>-2.3074445678683</v>
      </c>
      <c r="H160" s="23" t="n">
        <f aca="false">'SA Data'!U160</f>
        <v>144.215490514876</v>
      </c>
      <c r="I160" s="24" t="n">
        <f aca="false">(H160/H159-1)*100</f>
        <v>-1.16633636650982</v>
      </c>
      <c r="J160" s="24" t="n">
        <f aca="false">(AVERAGE(H158:H160)/AVERAGE(H155:H157)-1)*100</f>
        <v>0.588479755375881</v>
      </c>
      <c r="K160" s="24" t="n">
        <f aca="false">((AVERAGE(H158:H160)/AVERAGE(H155:H157))^4-1)*100</f>
        <v>2.37477916498059</v>
      </c>
      <c r="L160" s="24" t="n">
        <f aca="false">IFERROR(('SA Data'!Y160/'SA Data'!Y148-1)*100,"")</f>
        <v>-3.20087558937886</v>
      </c>
      <c r="M160" s="24" t="n">
        <f aca="false">IFERROR((AVERAGE('SA Data'!Y151:Y160)/AVERAGE('SA Data'!Y139:Y148)-1)*100,"")</f>
        <v>-2.12368827847739</v>
      </c>
    </row>
    <row r="161" customFormat="false" ht="15" hidden="false" customHeight="false" outlineLevel="0" collapsed="false">
      <c r="A161" s="20" t="n">
        <v>42704</v>
      </c>
      <c r="B161" s="23" t="n">
        <f aca="false">'SA Data'!B161</f>
        <v>145.78825</v>
      </c>
      <c r="C161" s="24" t="n">
        <f aca="false">(B161/B160-1)*100</f>
        <v>0.437268012891745</v>
      </c>
      <c r="D161" s="24" t="n">
        <f aca="false">(AVERAGE(B159:B161)/AVERAGE(B156:B158)-1)*100</f>
        <v>0.310126665868116</v>
      </c>
      <c r="E161" s="24" t="n">
        <f aca="false">((AVERAGE(B159:B161)/AVERAGE(B156:B158))^4-1)*100</f>
        <v>1.24628931666879</v>
      </c>
      <c r="F161" s="24" t="n">
        <f aca="false">(B161/B149-1)*100</f>
        <v>-1.87942297489359</v>
      </c>
      <c r="G161" s="24" t="n">
        <f aca="false">IFERROR((AVERAGE(B151:B161)/AVERAGE(B139:B149)-1)*100,"")</f>
        <v>-2.26861380068771</v>
      </c>
      <c r="H161" s="23" t="n">
        <f aca="false">'SA Data'!U161</f>
        <v>146.45507665774</v>
      </c>
      <c r="I161" s="24" t="n">
        <f aca="false">(H161/H160-1)*100</f>
        <v>1.5529442328756</v>
      </c>
      <c r="J161" s="24" t="n">
        <f aca="false">(AVERAGE(H159:H161)/AVERAGE(H156:H158)-1)*100</f>
        <v>0.809264947616306</v>
      </c>
      <c r="K161" s="24" t="n">
        <f aca="false">((AVERAGE(H159:H161)/AVERAGE(H156:H158))^4-1)*100</f>
        <v>3.276566802902</v>
      </c>
      <c r="L161" s="24" t="n">
        <f aca="false">IFERROR(('SA Data'!Y161/'SA Data'!Y149-1)*100,"")</f>
        <v>-0.665960299114932</v>
      </c>
      <c r="M161" s="24" t="n">
        <f aca="false">IFERROR((AVERAGE('SA Data'!Y151:Y161)/AVERAGE('SA Data'!Y139:Y149)-1)*100,"")</f>
        <v>-1.99339348116016</v>
      </c>
    </row>
    <row r="162" customFormat="false" ht="15" hidden="false" customHeight="false" outlineLevel="0" collapsed="false">
      <c r="A162" s="20" t="n">
        <v>42735</v>
      </c>
      <c r="B162" s="23" t="n">
        <f aca="false">'SA Data'!B162</f>
        <v>146.95888</v>
      </c>
      <c r="C162" s="24" t="n">
        <f aca="false">(B162/B161-1)*100</f>
        <v>0.802965945472267</v>
      </c>
      <c r="D162" s="24" t="n">
        <f aca="false">(AVERAGE(B160:B162)/AVERAGE(B157:B159)-1)*100</f>
        <v>0.608423859907159</v>
      </c>
      <c r="E162" s="24" t="n">
        <f aca="false">((AVERAGE(B160:B162)/AVERAGE(B157:B159))^4-1)*100</f>
        <v>2.45599644269863</v>
      </c>
      <c r="F162" s="24" t="n">
        <f aca="false">(B162/B150-1)*100</f>
        <v>0.018389476591385</v>
      </c>
      <c r="G162" s="24" t="n">
        <f aca="false">IFERROR((AVERAGE(B151:B162)/AVERAGE(B139:B150)-1)*100,"")</f>
        <v>-2.08032790113049</v>
      </c>
      <c r="H162" s="23" t="n">
        <f aca="false">'SA Data'!U162</f>
        <v>147.605503707965</v>
      </c>
      <c r="I162" s="24" t="n">
        <f aca="false">(H162/H161-1)*100</f>
        <v>0.785515310550178</v>
      </c>
      <c r="J162" s="24" t="n">
        <f aca="false">(AVERAGE(H160:H162)/AVERAGE(H157:H159)-1)*100</f>
        <v>0.70574084652808</v>
      </c>
      <c r="K162" s="24" t="n">
        <f aca="false">((AVERAGE(H160:H162)/AVERAGE(H157:H159))^4-1)*100</f>
        <v>2.85298844611126</v>
      </c>
      <c r="L162" s="24" t="n">
        <f aca="false">IFERROR(('SA Data'!Y162/'SA Data'!Y150-1)*100,"")</f>
        <v>0.466624287294448</v>
      </c>
      <c r="M162" s="24" t="n">
        <f aca="false">IFERROR((AVERAGE('SA Data'!Y151:Y162)/AVERAGE('SA Data'!Y139:Y150)-1)*100,"")</f>
        <v>-1.79678811414338</v>
      </c>
    </row>
    <row r="163" customFormat="false" ht="15" hidden="false" customHeight="false" outlineLevel="0" collapsed="false">
      <c r="A163" s="20" t="n">
        <v>42766</v>
      </c>
      <c r="B163" s="23" t="n">
        <f aca="false">'SA Data'!B163</f>
        <v>147.08627</v>
      </c>
      <c r="C163" s="24" t="n">
        <f aca="false">(B163/B162-1)*100</f>
        <v>0.0866841119094186</v>
      </c>
      <c r="D163" s="24" t="n">
        <f aca="false">(AVERAGE(B161:B163)/AVERAGE(B158:B160)-1)*100</f>
        <v>0.920134502235337</v>
      </c>
      <c r="E163" s="24" t="n">
        <f aca="false">((AVERAGE(B161:B163)/AVERAGE(B158:B160))^4-1)*100</f>
        <v>3.73164918771678</v>
      </c>
      <c r="F163" s="24" t="n">
        <f aca="false">(B163/B151-1)*100</f>
        <v>-0.552132551297679</v>
      </c>
      <c r="G163" s="24" t="n">
        <f aca="false">IFERROR((AVERAGE(B163:B163)/AVERAGE(B151:B151)-1)*100,"")</f>
        <v>-0.552132551297679</v>
      </c>
      <c r="H163" s="23" t="n">
        <f aca="false">'SA Data'!U163</f>
        <v>146.994730463505</v>
      </c>
      <c r="I163" s="24" t="n">
        <f aca="false">(H163/H162-1)*100</f>
        <v>-0.413787581842429</v>
      </c>
      <c r="J163" s="24" t="n">
        <f aca="false">(AVERAGE(H161:H163)/AVERAGE(H158:H160)-1)*100</f>
        <v>1.25344191278658</v>
      </c>
      <c r="K163" s="24" t="n">
        <f aca="false">((AVERAGE(H161:H163)/AVERAGE(H158:H160))^4-1)*100</f>
        <v>5.10882483865052</v>
      </c>
      <c r="L163" s="24" t="n">
        <f aca="false">IFERROR(('SA Data'!Y163/'SA Data'!Y151-1)*100,"")</f>
        <v>1.36440750355795</v>
      </c>
      <c r="M163" s="24" t="n">
        <f aca="false">IFERROR((AVERAGE('SA Data'!Y163:Y163)/AVERAGE('SA Data'!Y151:Y151)-1)*100,"")</f>
        <v>1.36440750355795</v>
      </c>
    </row>
    <row r="164" customFormat="false" ht="15" hidden="false" customHeight="false" outlineLevel="0" collapsed="false">
      <c r="A164" s="20" t="n">
        <v>42794</v>
      </c>
      <c r="B164" s="23" t="n">
        <f aca="false">'SA Data'!B164</f>
        <v>146.81395</v>
      </c>
      <c r="C164" s="24" t="n">
        <f aca="false">(B164/B163-1)*100</f>
        <v>-0.185143045642544</v>
      </c>
      <c r="D164" s="24" t="n">
        <f aca="false">(AVERAGE(B162:B164)/AVERAGE(B159:B161)-1)*100</f>
        <v>1.1236130311687</v>
      </c>
      <c r="E164" s="24" t="n">
        <f aca="false">((AVERAGE(B162:B164)/AVERAGE(B159:B161))^4-1)*100</f>
        <v>4.57077152061254</v>
      </c>
      <c r="F164" s="24" t="n">
        <f aca="false">(B164/B152-1)*100</f>
        <v>-0.0440771905032666</v>
      </c>
      <c r="G164" s="24" t="n">
        <f aca="false">IFERROR((AVERAGE(B163:B164)/AVERAGE(B151:B152)-1)*100,"")</f>
        <v>-0.298987474047741</v>
      </c>
      <c r="H164" s="23" t="n">
        <f aca="false">'SA Data'!U164</f>
        <v>145.961313708212</v>
      </c>
      <c r="I164" s="24" t="n">
        <f aca="false">(H164/H163-1)*100</f>
        <v>-0.703029797078192</v>
      </c>
      <c r="J164" s="24" t="n">
        <f aca="false">(AVERAGE(H162:H164)/AVERAGE(H159:H161)-1)*100</f>
        <v>0.910149442352704</v>
      </c>
      <c r="K164" s="24" t="n">
        <f aca="false">((AVERAGE(H162:H164)/AVERAGE(H159:H161))^4-1)*100</f>
        <v>3.69060235298413</v>
      </c>
      <c r="L164" s="24" t="n">
        <f aca="false">IFERROR(('SA Data'!Y164/'SA Data'!Y152-1)*100,"")</f>
        <v>-0.590648232969548</v>
      </c>
      <c r="M164" s="24" t="n">
        <f aca="false">IFERROR((AVERAGE('SA Data'!Y163:Y164)/AVERAGE('SA Data'!Y151:Y152)-1)*100,"")</f>
        <v>0.385784215470464</v>
      </c>
    </row>
    <row r="165" customFormat="false" ht="15" hidden="false" customHeight="false" outlineLevel="0" collapsed="false">
      <c r="A165" s="20" t="n">
        <v>42825</v>
      </c>
      <c r="B165" s="23" t="n">
        <f aca="false">'SA Data'!B165</f>
        <v>147.64481</v>
      </c>
      <c r="C165" s="24" t="n">
        <f aca="false">(B165/B164-1)*100</f>
        <v>0.565927147931111</v>
      </c>
      <c r="D165" s="24" t="n">
        <f aca="false">(AVERAGE(B163:B165)/AVERAGE(B160:B162)-1)*100</f>
        <v>0.83223439690101</v>
      </c>
      <c r="E165" s="24" t="n">
        <f aca="false">((AVERAGE(B163:B165)/AVERAGE(B160:B162))^4-1)*100</f>
        <v>3.37072547970969</v>
      </c>
      <c r="F165" s="24" t="n">
        <f aca="false">(B165/B153-1)*100</f>
        <v>1.15036638409567</v>
      </c>
      <c r="G165" s="24" t="n">
        <f aca="false">IFERROR((AVERAGE(B163:B165)/AVERAGE(B151:B153)-1)*100,"")</f>
        <v>0.181006234298686</v>
      </c>
      <c r="H165" s="23" t="n">
        <f aca="false">'SA Data'!U165</f>
        <v>148.588043378326</v>
      </c>
      <c r="I165" s="24" t="n">
        <f aca="false">(H165/H164-1)*100</f>
        <v>1.79960676112108</v>
      </c>
      <c r="J165" s="24" t="n">
        <f aca="false">(AVERAGE(H163:H165)/AVERAGE(H160:H162)-1)*100</f>
        <v>0.745652543360653</v>
      </c>
      <c r="K165" s="24" t="n">
        <f aca="false">((AVERAGE(H163:H165)/AVERAGE(H160:H162))^4-1)*100</f>
        <v>3.01613617794552</v>
      </c>
      <c r="L165" s="24" t="n">
        <f aca="false">IFERROR(('SA Data'!Y165/'SA Data'!Y153-1)*100,"")</f>
        <v>1.88001046545148</v>
      </c>
      <c r="M165" s="24" t="n">
        <f aca="false">IFERROR((AVERAGE('SA Data'!Y163:Y165)/AVERAGE('SA Data'!Y151:Y153)-1)*100,"")</f>
        <v>0.919813213372933</v>
      </c>
    </row>
    <row r="166" customFormat="false" ht="15" hidden="false" customHeight="false" outlineLevel="0" collapsed="false">
      <c r="A166" s="20" t="n">
        <v>42855</v>
      </c>
      <c r="B166" s="23" t="n">
        <f aca="false">'SA Data'!B166</f>
        <v>147.67329</v>
      </c>
      <c r="C166" s="24" t="n">
        <f aca="false">(B166/B165-1)*100</f>
        <v>0.0192895368282819</v>
      </c>
      <c r="D166" s="24" t="n">
        <f aca="false">(AVERAGE(B164:B166)/AVERAGE(B161:B163)-1)*100</f>
        <v>0.522618336852099</v>
      </c>
      <c r="E166" s="24" t="n">
        <f aca="false">((AVERAGE(B164:B166)/AVERAGE(B161:B163))^4-1)*100</f>
        <v>2.10691831465226</v>
      </c>
      <c r="F166" s="24" t="n">
        <f aca="false">(B166/B154-1)*100</f>
        <v>2.04411922622609</v>
      </c>
      <c r="G166" s="24" t="n">
        <f aca="false">IFERROR((AVERAGE(B163:B166)/AVERAGE(B151:B154)-1)*100,"")</f>
        <v>0.641532242574971</v>
      </c>
      <c r="H166" s="23" t="n">
        <f aca="false">'SA Data'!U166</f>
        <v>146.952423089668</v>
      </c>
      <c r="I166" s="24" t="n">
        <f aca="false">(H166/H165-1)*100</f>
        <v>-1.10077517105056</v>
      </c>
      <c r="J166" s="24" t="n">
        <f aca="false">(AVERAGE(H164:H166)/AVERAGE(H161:H163)-1)*100</f>
        <v>0.10122751864301</v>
      </c>
      <c r="K166" s="24" t="n">
        <f aca="false">((AVERAGE(H164:H166)/AVERAGE(H161:H163))^4-1)*100</f>
        <v>0.405525310220667</v>
      </c>
      <c r="L166" s="24" t="n">
        <f aca="false">IFERROR(('SA Data'!Y166/'SA Data'!Y154-1)*100,"")</f>
        <v>0.175718334472585</v>
      </c>
      <c r="M166" s="24" t="n">
        <f aca="false">IFERROR((AVERAGE('SA Data'!Y163:Y166)/AVERAGE('SA Data'!Y151:Y154)-1)*100,"")</f>
        <v>0.720948866738613</v>
      </c>
    </row>
    <row r="167" customFormat="false" ht="15" hidden="false" customHeight="false" outlineLevel="0" collapsed="false">
      <c r="A167" s="20" t="n">
        <v>42886</v>
      </c>
      <c r="B167" s="23" t="n">
        <f aca="false">'SA Data'!B167</f>
        <v>148.67448</v>
      </c>
      <c r="C167" s="24" t="n">
        <f aca="false">(B167/B166-1)*100</f>
        <v>0.677976362550048</v>
      </c>
      <c r="D167" s="24" t="n">
        <f aca="false">(AVERAGE(B165:B167)/AVERAGE(B162:B164)-1)*100</f>
        <v>0.710766773329619</v>
      </c>
      <c r="E167" s="24" t="n">
        <f aca="false">((AVERAGE(B165:B167)/AVERAGE(B162:B164))^4-1)*100</f>
        <v>2.8735223416366</v>
      </c>
      <c r="F167" s="24" t="n">
        <f aca="false">(B167/B155-1)*100</f>
        <v>2.83429389580274</v>
      </c>
      <c r="G167" s="24" t="n">
        <f aca="false">IFERROR((AVERAGE(B163:B167)/AVERAGE(B151:B155)-1)*100,"")</f>
        <v>1.07578615579436</v>
      </c>
      <c r="H167" s="23" t="n">
        <f aca="false">'SA Data'!U167</f>
        <v>149.465871502242</v>
      </c>
      <c r="I167" s="24" t="n">
        <f aca="false">(H167/H166-1)*100</f>
        <v>1.71038242155452</v>
      </c>
      <c r="J167" s="24" t="n">
        <f aca="false">(AVERAGE(H165:H167)/AVERAGE(H162:H164)-1)*100</f>
        <v>1.00889197251675</v>
      </c>
      <c r="K167" s="24" t="n">
        <f aca="false">((AVERAGE(H165:H167)/AVERAGE(H162:H164))^4-1)*100</f>
        <v>4.09705147237347</v>
      </c>
      <c r="L167" s="24" t="n">
        <f aca="false">IFERROR(('SA Data'!Y167/'SA Data'!Y155-1)*100,"")</f>
        <v>2.36037499680959</v>
      </c>
      <c r="M167" s="24" t="n">
        <f aca="false">IFERROR((AVERAGE('SA Data'!Y163:Y167)/AVERAGE('SA Data'!Y151:Y155)-1)*100,"")</f>
        <v>1.08694368310658</v>
      </c>
    </row>
    <row r="168" customFormat="false" ht="15" hidden="false" customHeight="false" outlineLevel="0" collapsed="false">
      <c r="A168" s="20" t="n">
        <v>42916</v>
      </c>
      <c r="B168" s="23" t="n">
        <f aca="false">'SA Data'!B168</f>
        <v>150.27199</v>
      </c>
      <c r="C168" s="24" t="n">
        <f aca="false">(B168/B167-1)*100</f>
        <v>1.07450182438842</v>
      </c>
      <c r="D168" s="24" t="n">
        <f aca="false">(AVERAGE(B166:B168)/AVERAGE(B163:B165)-1)*100</f>
        <v>1.14931199655899</v>
      </c>
      <c r="E168" s="24" t="n">
        <f aca="false">((AVERAGE(B166:B168)/AVERAGE(B163:B165))^4-1)*100</f>
        <v>4.67711207377819</v>
      </c>
      <c r="F168" s="24" t="n">
        <f aca="false">(B168/B156-1)*100</f>
        <v>4.08157554714481</v>
      </c>
      <c r="G168" s="24" t="n">
        <f aca="false">IFERROR((AVERAGE(B163:B168)/AVERAGE(B151:B156)-1)*100,"")</f>
        <v>1.5720853199543</v>
      </c>
      <c r="H168" s="23" t="n">
        <f aca="false">'SA Data'!U168</f>
        <v>151.790141127288</v>
      </c>
      <c r="I168" s="24" t="n">
        <f aca="false">(H168/H167-1)*100</f>
        <v>1.55505039490635</v>
      </c>
      <c r="J168" s="24" t="n">
        <f aca="false">(AVERAGE(H166:H168)/AVERAGE(H163:H165)-1)*100</f>
        <v>1.50932791471212</v>
      </c>
      <c r="K168" s="24" t="n">
        <f aca="false">((AVERAGE(H166:H168)/AVERAGE(H163:H165))^4-1)*100</f>
        <v>6.17537643601496</v>
      </c>
      <c r="L168" s="24" t="n">
        <f aca="false">IFERROR(('SA Data'!Y168/'SA Data'!Y156-1)*100,"")</f>
        <v>5.01496906338526</v>
      </c>
      <c r="M168" s="24" t="n">
        <f aca="false">IFERROR((AVERAGE('SA Data'!Y163:Y168)/AVERAGE('SA Data'!Y151:Y156)-1)*100,"")</f>
        <v>1.76842613000809</v>
      </c>
    </row>
    <row r="169" customFormat="false" ht="15" hidden="false" customHeight="false" outlineLevel="0" collapsed="false">
      <c r="A169" s="20" t="n">
        <v>42947</v>
      </c>
      <c r="B169" s="23" t="n">
        <f aca="false">'SA Data'!B169</f>
        <v>150.46352</v>
      </c>
      <c r="C169" s="24" t="n">
        <f aca="false">(B169/B168-1)*100</f>
        <v>0.127455555755929</v>
      </c>
      <c r="D169" s="24" t="n">
        <f aca="false">(AVERAGE(B167:B169)/AVERAGE(B164:B166)-1)*100</f>
        <v>1.64610097820321</v>
      </c>
      <c r="E169" s="24" t="n">
        <f aca="false">((AVERAGE(B167:B169)/AVERAGE(B164:B166))^4-1)*100</f>
        <v>6.74877430280674</v>
      </c>
      <c r="F169" s="24" t="n">
        <f aca="false">(B169/B157-1)*100</f>
        <v>4.06737897366623</v>
      </c>
      <c r="G169" s="24" t="n">
        <f aca="false">IFERROR((AVERAGE(B163:B169)/AVERAGE(B151:B157)-1)*100,"")</f>
        <v>1.92613455582742</v>
      </c>
      <c r="H169" s="23" t="n">
        <f aca="false">'SA Data'!U169</f>
        <v>149.681674837422</v>
      </c>
      <c r="I169" s="24" t="n">
        <f aca="false">(H169/H168-1)*100</f>
        <v>-1.38906669050231</v>
      </c>
      <c r="J169" s="24" t="n">
        <f aca="false">(AVERAGE(H167:H169)/AVERAGE(H164:H166)-1)*100</f>
        <v>2.13722972690615</v>
      </c>
      <c r="K169" s="24" t="n">
        <f aca="false">((AVERAGE(H167:H169)/AVERAGE(H164:H166))^4-1)*100</f>
        <v>8.82690975951543</v>
      </c>
      <c r="L169" s="24" t="n">
        <f aca="false">IFERROR(('SA Data'!Y169/'SA Data'!Y157-1)*100,"")</f>
        <v>4.0847900454114</v>
      </c>
      <c r="M169" s="24" t="n">
        <f aca="false">IFERROR((AVERAGE('SA Data'!Y163:Y169)/AVERAGE('SA Data'!Y151:Y157)-1)*100,"")</f>
        <v>2.092273213512</v>
      </c>
    </row>
    <row r="170" customFormat="false" ht="15" hidden="false" customHeight="false" outlineLevel="0" collapsed="false">
      <c r="A170" s="20" t="n">
        <v>42978</v>
      </c>
      <c r="B170" s="23" t="n">
        <f aca="false">'SA Data'!B170</f>
        <v>150.39058</v>
      </c>
      <c r="C170" s="24" t="n">
        <f aca="false">(B170/B169-1)*100</f>
        <v>-0.0484768666850211</v>
      </c>
      <c r="D170" s="24" t="n">
        <f aca="false">(AVERAGE(B168:B170)/AVERAGE(B165:B167)-1)*100</f>
        <v>1.60667324665651</v>
      </c>
      <c r="E170" s="24" t="n">
        <f aca="false">((AVERAGE(B168:B170)/AVERAGE(B165:B167))^4-1)*100</f>
        <v>6.58324257137219</v>
      </c>
      <c r="F170" s="24" t="n">
        <f aca="false">(B170/B158-1)*100</f>
        <v>3.25413711827389</v>
      </c>
      <c r="G170" s="24" t="n">
        <f aca="false">IFERROR((AVERAGE(B163:B170)/AVERAGE(B151:B158)-1)*100,"")</f>
        <v>2.09221402707909</v>
      </c>
      <c r="H170" s="23" t="n">
        <f aca="false">'SA Data'!U170</f>
        <v>150.384765051448</v>
      </c>
      <c r="I170" s="24" t="n">
        <f aca="false">(H170/H169-1)*100</f>
        <v>0.469723641715003</v>
      </c>
      <c r="J170" s="24" t="n">
        <f aca="false">(AVERAGE(H168:H170)/AVERAGE(H165:H167)-1)*100</f>
        <v>1.53935853524421</v>
      </c>
      <c r="K170" s="24" t="n">
        <f aca="false">((AVERAGE(H168:H170)/AVERAGE(H165:H167))^4-1)*100</f>
        <v>6.30107631890273</v>
      </c>
      <c r="L170" s="24" t="n">
        <f aca="false">IFERROR(('SA Data'!Y170/'SA Data'!Y158-1)*100,"")</f>
        <v>3.77606456626893</v>
      </c>
      <c r="M170" s="24" t="n">
        <f aca="false">IFERROR((AVERAGE('SA Data'!Y163:Y170)/AVERAGE('SA Data'!Y151:Y158)-1)*100,"")</f>
        <v>2.29792619651963</v>
      </c>
    </row>
    <row r="171" customFormat="false" ht="15" hidden="false" customHeight="false" outlineLevel="0" collapsed="false">
      <c r="A171" s="20" t="n">
        <v>43008</v>
      </c>
      <c r="B171" s="23" t="n">
        <f aca="false">'SA Data'!B171</f>
        <v>151.21749</v>
      </c>
      <c r="C171" s="24" t="n">
        <f aca="false">(B171/B170-1)*100</f>
        <v>0.54984161906948</v>
      </c>
      <c r="D171" s="24" t="n">
        <f aca="false">(AVERAGE(B169:B171)/AVERAGE(B166:B168)-1)*100</f>
        <v>1.22068714559338</v>
      </c>
      <c r="E171" s="24" t="n">
        <f aca="false">((AVERAGE(B169:B171)/AVERAGE(B166:B168))^4-1)*100</f>
        <v>4.97288299633671</v>
      </c>
      <c r="F171" s="24" t="n">
        <f aca="false">(B171/B159-1)*100</f>
        <v>4.27440442204734</v>
      </c>
      <c r="G171" s="24" t="n">
        <f aca="false">IFERROR((AVERAGE(B163:B171)/AVERAGE(B151:B159)-1)*100,"")</f>
        <v>2.33384624598911</v>
      </c>
      <c r="H171" s="23" t="n">
        <f aca="false">'SA Data'!U171</f>
        <v>151.309693273315</v>
      </c>
      <c r="I171" s="24" t="n">
        <f aca="false">(H171/H170-1)*100</f>
        <v>0.615041172255881</v>
      </c>
      <c r="J171" s="24" t="n">
        <f aca="false">(AVERAGE(H169:H171)/AVERAGE(H166:H168)-1)*100</f>
        <v>0.70674650241811</v>
      </c>
      <c r="K171" s="24" t="n">
        <f aca="false">((AVERAGE(H169:H171)/AVERAGE(H166:H168))^4-1)*100</f>
        <v>2.85709690158322</v>
      </c>
      <c r="L171" s="24" t="n">
        <f aca="false">IFERROR(('SA Data'!Y171/'SA Data'!Y159-1)*100,"")</f>
        <v>2.77105612018251</v>
      </c>
      <c r="M171" s="24" t="n">
        <f aca="false">IFERROR((AVERAGE('SA Data'!Y163:Y171)/AVERAGE('SA Data'!Y151:Y159)-1)*100,"")</f>
        <v>2.34875813742905</v>
      </c>
    </row>
    <row r="172" customFormat="false" ht="15" hidden="false" customHeight="false" outlineLevel="0" collapsed="false">
      <c r="A172" s="20" t="n">
        <v>43039</v>
      </c>
      <c r="B172" s="23" t="n">
        <f aca="false">'SA Data'!B172</f>
        <v>151.71276</v>
      </c>
      <c r="C172" s="24" t="n">
        <f aca="false">(B172/B171-1)*100</f>
        <v>0.32752163787404</v>
      </c>
      <c r="D172" s="24" t="n">
        <f aca="false">(AVERAGE(B170:B172)/AVERAGE(B167:B169)-1)*100</f>
        <v>0.870216525449297</v>
      </c>
      <c r="E172" s="24" t="n">
        <f aca="false">((AVERAGE(B170:B172)/AVERAGE(B167:B169))^4-1)*100</f>
        <v>3.52656688124993</v>
      </c>
      <c r="F172" s="24" t="n">
        <f aca="false">(B172/B160-1)*100</f>
        <v>4.5188150423338</v>
      </c>
      <c r="G172" s="24" t="n">
        <f aca="false">IFERROR((AVERAGE(B163:B172)/AVERAGE(B151:B160)-1)*100,"")</f>
        <v>2.55184918491389</v>
      </c>
      <c r="H172" s="23" t="n">
        <f aca="false">'SA Data'!U172</f>
        <v>151.565876935898</v>
      </c>
      <c r="I172" s="24" t="n">
        <f aca="false">(H172/H171-1)*100</f>
        <v>0.169310806889156</v>
      </c>
      <c r="J172" s="24" t="n">
        <f aca="false">(AVERAGE(H170:H172)/AVERAGE(H167:H169)-1)*100</f>
        <v>0.515070675675067</v>
      </c>
      <c r="K172" s="24" t="n">
        <f aca="false">((AVERAGE(H170:H172)/AVERAGE(H167:H169))^4-1)*100</f>
        <v>2.07625529998665</v>
      </c>
      <c r="L172" s="24" t="n">
        <f aca="false">IFERROR(('SA Data'!Y172/'SA Data'!Y160-1)*100,"")</f>
        <v>5.39886330762172</v>
      </c>
      <c r="M172" s="24" t="n">
        <f aca="false">IFERROR((AVERAGE('SA Data'!Y163:Y172)/AVERAGE('SA Data'!Y151:Y160)-1)*100,"")</f>
        <v>2.64486094658272</v>
      </c>
    </row>
    <row r="173" customFormat="false" ht="15" hidden="false" customHeight="false" outlineLevel="0" collapsed="false">
      <c r="A173" s="20" t="n">
        <v>43069</v>
      </c>
      <c r="B173" s="23" t="n">
        <f aca="false">'SA Data'!B173</f>
        <v>152.63221</v>
      </c>
      <c r="C173" s="24" t="n">
        <f aca="false">(B173/B172-1)*100</f>
        <v>0.60604658434793</v>
      </c>
      <c r="D173" s="24" t="n">
        <f aca="false">(AVERAGE(B171:B173)/AVERAGE(B168:B170)-1)*100</f>
        <v>0.983399120188322</v>
      </c>
      <c r="E173" s="24" t="n">
        <f aca="false">((AVERAGE(B171:B173)/AVERAGE(B168:B170))^4-1)*100</f>
        <v>3.99200225358158</v>
      </c>
      <c r="F173" s="24" t="n">
        <f aca="false">(B173/B161-1)*100</f>
        <v>4.69445239928457</v>
      </c>
      <c r="G173" s="24" t="n">
        <f aca="false">IFERROR((AVERAGE(B163:B173)/AVERAGE(B151:B161)-1)*100,"")</f>
        <v>2.74700346424266</v>
      </c>
      <c r="H173" s="23" t="n">
        <f aca="false">'SA Data'!U173</f>
        <v>152.874639025098</v>
      </c>
      <c r="I173" s="24" t="n">
        <f aca="false">(H173/H172-1)*100</f>
        <v>0.863493891672151</v>
      </c>
      <c r="J173" s="24" t="n">
        <f aca="false">(AVERAGE(H171:H173)/AVERAGE(H168:H170)-1)*100</f>
        <v>0.86169558699285</v>
      </c>
      <c r="K173" s="24" t="n">
        <f aca="false">((AVERAGE(H171:H173)/AVERAGE(H168:H170))^4-1)*100</f>
        <v>3.4915899866212</v>
      </c>
      <c r="L173" s="24" t="n">
        <f aca="false">IFERROR(('SA Data'!Y173/'SA Data'!Y161-1)*100,"")</f>
        <v>4.65010598487292</v>
      </c>
      <c r="M173" s="24" t="n">
        <f aca="false">IFERROR((AVERAGE('SA Data'!Y163:Y173)/AVERAGE('SA Data'!Y151:Y161)-1)*100,"")</f>
        <v>2.82652156197671</v>
      </c>
    </row>
    <row r="174" customFormat="false" ht="15" hidden="false" customHeight="false" outlineLevel="0" collapsed="false">
      <c r="A174" s="20" t="n">
        <v>43100</v>
      </c>
      <c r="B174" s="23" t="n">
        <f aca="false">'SA Data'!B174</f>
        <v>152.24534</v>
      </c>
      <c r="C174" s="24" t="n">
        <f aca="false">(B174/B173-1)*100</f>
        <v>-0.253465503775374</v>
      </c>
      <c r="D174" s="24" t="n">
        <f aca="false">(AVERAGE(B172:B174)/AVERAGE(B169:B171)-1)*100</f>
        <v>0.999558499130626</v>
      </c>
      <c r="E174" s="24" t="n">
        <f aca="false">((AVERAGE(B172:B174)/AVERAGE(B169:B171))^4-1)*100</f>
        <v>4.05858149678156</v>
      </c>
      <c r="F174" s="24" t="n">
        <f aca="false">(B174/B162-1)*100</f>
        <v>3.59723754018813</v>
      </c>
      <c r="G174" s="24" t="n">
        <f aca="false">IFERROR((AVERAGE(B163:B174)/AVERAGE(B151:B162)-1)*100,"")</f>
        <v>2.81850237473853</v>
      </c>
      <c r="H174" s="23" t="n">
        <f aca="false">'SA Data'!U174</f>
        <v>150.838244825119</v>
      </c>
      <c r="I174" s="24" t="n">
        <f aca="false">(H174/H173-1)*100</f>
        <v>-1.33206803493727</v>
      </c>
      <c r="J174" s="24" t="n">
        <f aca="false">(AVERAGE(H172:H174)/AVERAGE(H169:H171)-1)*100</f>
        <v>0.864606552541747</v>
      </c>
      <c r="K174" s="24" t="n">
        <f aca="false">((AVERAGE(H172:H174)/AVERAGE(H169:H171))^4-1)*100</f>
        <v>3.50353797117764</v>
      </c>
      <c r="L174" s="24" t="n">
        <f aca="false">IFERROR(('SA Data'!Y174/'SA Data'!Y162-1)*100,"")</f>
        <v>2.30266053761261</v>
      </c>
      <c r="M174" s="24" t="n">
        <f aca="false">IFERROR((AVERAGE('SA Data'!Y163:Y174)/AVERAGE('SA Data'!Y151:Y162)-1)*100,"")</f>
        <v>2.78368946562062</v>
      </c>
    </row>
    <row r="175" customFormat="false" ht="15" hidden="false" customHeight="false" outlineLevel="0" collapsed="false">
      <c r="A175" s="20" t="n">
        <v>43131</v>
      </c>
      <c r="B175" s="23" t="n">
        <f aca="false">'SA Data'!B175</f>
        <v>150.9775</v>
      </c>
      <c r="C175" s="24" t="n">
        <f aca="false">(B175/B174-1)*100</f>
        <v>-0.832761120964365</v>
      </c>
      <c r="D175" s="24" t="n">
        <f aca="false">(AVERAGE(B173:B175)/AVERAGE(B170:B172)-1)*100</f>
        <v>0.55903453631283</v>
      </c>
      <c r="E175" s="24" t="n">
        <f aca="false">((AVERAGE(B173:B175)/AVERAGE(B170:B172))^4-1)*100</f>
        <v>2.25495930338999</v>
      </c>
      <c r="F175" s="24" t="n">
        <f aca="false">(B175/B163-1)*100</f>
        <v>2.64554264650261</v>
      </c>
      <c r="G175" s="24" t="n">
        <f aca="false">IFERROR((AVERAGE(B175:B175)/AVERAGE(B163:B163)-1)*100,"")</f>
        <v>2.64554264650261</v>
      </c>
      <c r="H175" s="23" t="n">
        <f aca="false">'SA Data'!U175</f>
        <v>151.237648920059</v>
      </c>
      <c r="I175" s="24" t="n">
        <f aca="false">(H175/H174-1)*100</f>
        <v>0.264789672806831</v>
      </c>
      <c r="J175" s="24" t="n">
        <f aca="false">(AVERAGE(H173:H175)/AVERAGE(H170:H172)-1)*100</f>
        <v>0.372897731861777</v>
      </c>
      <c r="K175" s="24" t="n">
        <f aca="false">((AVERAGE(H173:H175)/AVERAGE(H170:H172))^4-1)*100</f>
        <v>1.49995485086576</v>
      </c>
      <c r="L175" s="24" t="n">
        <f aca="false">IFERROR(('SA Data'!Y175/'SA Data'!Y163-1)*100,"")</f>
        <v>4.09897206372145</v>
      </c>
      <c r="M175" s="24" t="n">
        <f aca="false">IFERROR((AVERAGE('SA Data'!Y175:Y175)/AVERAGE('SA Data'!Y163:Y163)-1)*100,"")</f>
        <v>4.09897206372145</v>
      </c>
    </row>
    <row r="176" customFormat="false" ht="15" hidden="false" customHeight="false" outlineLevel="0" collapsed="false">
      <c r="A176" s="20" t="n">
        <v>43159</v>
      </c>
      <c r="B176" s="23" t="n">
        <f aca="false">'SA Data'!B176</f>
        <v>152.19147</v>
      </c>
      <c r="C176" s="24" t="n">
        <f aca="false">(B176/B175-1)*100</f>
        <v>0.804073454653853</v>
      </c>
      <c r="D176" s="24" t="n">
        <f aca="false">(AVERAGE(B174:B176)/AVERAGE(B171:B173)-1)*100</f>
        <v>-0.0325202388274048</v>
      </c>
      <c r="E176" s="24" t="n">
        <f aca="false">((AVERAGE(B174:B176)/AVERAGE(B171:B173))^4-1)*100</f>
        <v>-0.130017515109415</v>
      </c>
      <c r="F176" s="24" t="n">
        <f aca="false">(B176/B164-1)*100</f>
        <v>3.66281269593252</v>
      </c>
      <c r="G176" s="24" t="n">
        <f aca="false">IFERROR((AVERAGE(B175:B176)/AVERAGE(B163:B164)-1)*100,"")</f>
        <v>3.15370638375161</v>
      </c>
      <c r="H176" s="23" t="n">
        <f aca="false">'SA Data'!U176</f>
        <v>150.895977756282</v>
      </c>
      <c r="I176" s="24" t="n">
        <f aca="false">(H176/H175-1)*100</f>
        <v>-0.225916738468757</v>
      </c>
      <c r="J176" s="24" t="n">
        <f aca="false">(AVERAGE(H174:H176)/AVERAGE(H171:H173)-1)*100</f>
        <v>-0.609618531501688</v>
      </c>
      <c r="K176" s="24" t="n">
        <f aca="false">((AVERAGE(H174:H176)/AVERAGE(H171:H173))^4-1)*100</f>
        <v>-2.41626652483052</v>
      </c>
      <c r="L176" s="24" t="n">
        <f aca="false">IFERROR(('SA Data'!Y176/'SA Data'!Y164-1)*100,"")</f>
        <v>4.26567564947915</v>
      </c>
      <c r="M176" s="24" t="n">
        <f aca="false">IFERROR((AVERAGE('SA Data'!Y175:Y176)/AVERAGE('SA Data'!Y163:Y164)-1)*100,"")</f>
        <v>4.18160560605299</v>
      </c>
    </row>
    <row r="177" customFormat="false" ht="15" hidden="false" customHeight="false" outlineLevel="0" collapsed="false">
      <c r="A177" s="20" t="n">
        <v>43190</v>
      </c>
      <c r="B177" s="23" t="n">
        <f aca="false">'SA Data'!B177</f>
        <v>151.52876</v>
      </c>
      <c r="C177" s="24" t="n">
        <f aca="false">(B177/B176-1)*100</f>
        <v>-0.435444903712412</v>
      </c>
      <c r="D177" s="24" t="n">
        <f aca="false">(AVERAGE(B175:B177)/AVERAGE(B172:B174)-1)*100</f>
        <v>-0.414502883339762</v>
      </c>
      <c r="E177" s="24" t="n">
        <f aca="false">((AVERAGE(B175:B177)/AVERAGE(B172:B174))^4-1)*100</f>
        <v>-1.64773123215557</v>
      </c>
      <c r="F177" s="24" t="n">
        <f aca="false">(B177/B165-1)*100</f>
        <v>2.63060381194571</v>
      </c>
      <c r="G177" s="24" t="n">
        <f aca="false">IFERROR((AVERAGE(B175:B177)/AVERAGE(B163:B165)-1)*100,"")</f>
        <v>2.97879018137741</v>
      </c>
      <c r="H177" s="23" t="n">
        <f aca="false">'SA Data'!U177</f>
        <v>152.055833291639</v>
      </c>
      <c r="I177" s="24" t="n">
        <f aca="false">(H177/H176-1)*100</f>
        <v>0.768645760213471</v>
      </c>
      <c r="J177" s="24" t="n">
        <f aca="false">(AVERAGE(H175:H177)/AVERAGE(H172:H174)-1)*100</f>
        <v>-0.239260187814205</v>
      </c>
      <c r="K177" s="24" t="n">
        <f aca="false">((AVERAGE(H175:H177)/AVERAGE(H172:H174))^4-1)*100</f>
        <v>-0.953611500353058</v>
      </c>
      <c r="L177" s="24" t="n">
        <f aca="false">IFERROR(('SA Data'!Y177/'SA Data'!Y165-1)*100,"")</f>
        <v>1.97987458551943</v>
      </c>
      <c r="M177" s="24" t="n">
        <f aca="false">IFERROR((AVERAGE('SA Data'!Y175:Y177)/AVERAGE('SA Data'!Y163:Y165)-1)*100,"")</f>
        <v>3.38723112811337</v>
      </c>
    </row>
    <row r="178" customFormat="false" ht="15" hidden="false" customHeight="false" outlineLevel="0" collapsed="false">
      <c r="A178" s="20" t="n">
        <v>43220</v>
      </c>
      <c r="B178" s="23" t="n">
        <f aca="false">'SA Data'!B178</f>
        <v>146.79266</v>
      </c>
      <c r="C178" s="24" t="n">
        <f aca="false">(B178/B177-1)*100</f>
        <v>-3.12554527602549</v>
      </c>
      <c r="D178" s="24" t="n">
        <f aca="false">(AVERAGE(B176:B178)/AVERAGE(B173:B175)-1)*100</f>
        <v>-1.17189883056028</v>
      </c>
      <c r="E178" s="24" t="n">
        <f aca="false">((AVERAGE(B176:B178)/AVERAGE(B173:B175))^4-1)*100</f>
        <v>-4.60583639345131</v>
      </c>
      <c r="F178" s="24" t="n">
        <f aca="false">(B178/B166-1)*100</f>
        <v>-0.596336683499088</v>
      </c>
      <c r="G178" s="24" t="n">
        <f aca="false">IFERROR((AVERAGE(B175:B178)/AVERAGE(B163:B166)-1)*100,"")</f>
        <v>2.08277128925658</v>
      </c>
      <c r="H178" s="23" t="n">
        <f aca="false">'SA Data'!U178</f>
        <v>149.785769391327</v>
      </c>
      <c r="I178" s="24" t="n">
        <f aca="false">(H178/H177-1)*100</f>
        <v>-1.49291470847945</v>
      </c>
      <c r="J178" s="24" t="n">
        <f aca="false">(AVERAGE(H176:H178)/AVERAGE(H173:H175)-1)*100</f>
        <v>-0.486416032432002</v>
      </c>
      <c r="K178" s="24" t="n">
        <f aca="false">((AVERAGE(H176:H178)/AVERAGE(H173:H175))^4-1)*100</f>
        <v>-1.93151407487338</v>
      </c>
      <c r="L178" s="24" t="n">
        <f aca="false">IFERROR(('SA Data'!Y178/'SA Data'!Y166-1)*100,"")</f>
        <v>-0.587812037307911</v>
      </c>
      <c r="M178" s="24" t="n">
        <f aca="false">IFERROR((AVERAGE('SA Data'!Y175:Y178)/AVERAGE('SA Data'!Y163:Y166)-1)*100,"")</f>
        <v>2.33062501750776</v>
      </c>
    </row>
    <row r="179" customFormat="false" ht="15" hidden="false" customHeight="false" outlineLevel="0" collapsed="false">
      <c r="A179" s="20" t="n">
        <v>43251</v>
      </c>
      <c r="B179" s="23" t="n">
        <f aca="false">'SA Data'!B179</f>
        <v>144.56309</v>
      </c>
      <c r="C179" s="24" t="n">
        <f aca="false">(B179/B178-1)*100</f>
        <v>-1.5188565967808</v>
      </c>
      <c r="D179" s="24" t="n">
        <f aca="false">(AVERAGE(B177:B179)/AVERAGE(B174:B176)-1)*100</f>
        <v>-2.7512969454122</v>
      </c>
      <c r="E179" s="24" t="n">
        <f aca="false">((AVERAGE(B177:B179)/AVERAGE(B174:B176))^4-1)*100</f>
        <v>-10.5592829146978</v>
      </c>
      <c r="F179" s="24" t="n">
        <f aca="false">(B179/B167-1)*100</f>
        <v>-2.76536363201001</v>
      </c>
      <c r="G179" s="24" t="n">
        <f aca="false">IFERROR((AVERAGE(B175:B179)/AVERAGE(B163:B167)-1)*100,"")</f>
        <v>1.10594384441751</v>
      </c>
      <c r="H179" s="23" t="n">
        <f aca="false">'SA Data'!U179</f>
        <v>148.67671387583</v>
      </c>
      <c r="I179" s="24" t="n">
        <f aca="false">(H179/H178-1)*100</f>
        <v>-0.740427825689527</v>
      </c>
      <c r="J179" s="24" t="n">
        <f aca="false">(AVERAGE(H177:H179)/AVERAGE(H174:H176)-1)*100</f>
        <v>-0.541657241217342</v>
      </c>
      <c r="K179" s="24" t="n">
        <f aca="false">((AVERAGE(H177:H179)/AVERAGE(H174:H176))^4-1)*100</f>
        <v>-2.14908889205574</v>
      </c>
      <c r="L179" s="24" t="n">
        <f aca="false">IFERROR(('SA Data'!Y179/'SA Data'!Y167-1)*100,"")</f>
        <v>-4.34700121127709</v>
      </c>
      <c r="M179" s="24" t="n">
        <f aca="false">IFERROR((AVERAGE('SA Data'!Y175:Y179)/AVERAGE('SA Data'!Y163:Y167)-1)*100,"")</f>
        <v>0.821094177437032</v>
      </c>
    </row>
    <row r="180" customFormat="false" ht="15" hidden="false" customHeight="false" outlineLevel="0" collapsed="false">
      <c r="A180" s="20" t="n">
        <v>43281</v>
      </c>
      <c r="B180" s="23" t="n">
        <f aca="false">'SA Data'!B180</f>
        <v>143.25908</v>
      </c>
      <c r="C180" s="24" t="n">
        <f aca="false">(B180/B179-1)*100</f>
        <v>-0.902035229047726</v>
      </c>
      <c r="D180" s="24" t="n">
        <f aca="false">(AVERAGE(B178:B180)/AVERAGE(B175:B177)-1)*100</f>
        <v>-4.41675835944904</v>
      </c>
      <c r="E180" s="24" t="n">
        <f aca="false">((AVERAGE(B178:B180)/AVERAGE(B175:B177))^4-1)*100</f>
        <v>-16.5306520359067</v>
      </c>
      <c r="F180" s="24" t="n">
        <f aca="false">(B180/B168-1)*100</f>
        <v>-4.66681116021687</v>
      </c>
      <c r="G180" s="24" t="n">
        <f aca="false">IFERROR((AVERAGE(B175:B180)/AVERAGE(B163:B168)-1)*100,"")</f>
        <v>0.129229396720398</v>
      </c>
      <c r="H180" s="23" t="n">
        <f aca="false">'SA Data'!U180</f>
        <v>146.645711779024</v>
      </c>
      <c r="I180" s="24" t="n">
        <f aca="false">(H180/H179-1)*100</f>
        <v>-1.36605258742996</v>
      </c>
      <c r="J180" s="24" t="n">
        <f aca="false">(AVERAGE(H178:H180)/AVERAGE(H175:H177)-1)*100</f>
        <v>-1.99944422365943</v>
      </c>
      <c r="K180" s="24" t="n">
        <f aca="false">((AVERAGE(H178:H180)/AVERAGE(H175:H177))^4-1)*100</f>
        <v>-7.76109161321847</v>
      </c>
      <c r="L180" s="24" t="n">
        <f aca="false">IFERROR(('SA Data'!Y180/'SA Data'!Y168-1)*100,"")</f>
        <v>-5.85236954978263</v>
      </c>
      <c r="M180" s="24" t="n">
        <f aca="false">IFERROR((AVERAGE('SA Data'!Y175:Y180)/AVERAGE('SA Data'!Y163:Y168)-1)*100,"")</f>
        <v>-0.373636027987978</v>
      </c>
    </row>
    <row r="181" customFormat="false" ht="15" hidden="false" customHeight="false" outlineLevel="0" collapsed="false">
      <c r="A181" s="20" t="n">
        <v>43312</v>
      </c>
      <c r="B181" s="23" t="n">
        <f aca="false">'SA Data'!B181</f>
        <v>143.57921</v>
      </c>
      <c r="C181" s="24" t="n">
        <f aca="false">(B181/B180-1)*100</f>
        <v>0.22346227548018</v>
      </c>
      <c r="D181" s="24" t="n">
        <f aca="false">(AVERAGE(B179:B181)/AVERAGE(B176:B178)-1)*100</f>
        <v>-4.24216718860141</v>
      </c>
      <c r="E181" s="24" t="n">
        <f aca="false">((AVERAGE(B179:B181)/AVERAGE(B176:B178))^4-1)*100</f>
        <v>-15.919122738179</v>
      </c>
      <c r="F181" s="24" t="n">
        <f aca="false">(B181/B169-1)*100</f>
        <v>-4.57540139962165</v>
      </c>
      <c r="G181" s="24" t="n">
        <f aca="false">IFERROR((AVERAGE(B175:B181)/AVERAGE(B163:B169)-1)*100,"")</f>
        <v>-0.552318856011158</v>
      </c>
      <c r="H181" s="23" t="n">
        <f aca="false">'SA Data'!U181</f>
        <v>146.852126433464</v>
      </c>
      <c r="I181" s="24" t="n">
        <f aca="false">(H181/H180-1)*100</f>
        <v>0.140757374993417</v>
      </c>
      <c r="J181" s="24" t="n">
        <f aca="false">(AVERAGE(H179:H181)/AVERAGE(H176:H178)-1)*100</f>
        <v>-2.33314591218191</v>
      </c>
      <c r="K181" s="24" t="n">
        <f aca="false">((AVERAGE(H179:H181)/AVERAGE(H176:H178))^4-1)*100</f>
        <v>-9.01102008251806</v>
      </c>
      <c r="L181" s="24" t="n">
        <f aca="false">IFERROR(('SA Data'!Y181/'SA Data'!Y169-1)*100,"")</f>
        <v>-1.83135883127949</v>
      </c>
      <c r="M181" s="24" t="n">
        <f aca="false">IFERROR((AVERAGE('SA Data'!Y175:Y181)/AVERAGE('SA Data'!Y163:Y169)-1)*100,"")</f>
        <v>-0.581415454592116</v>
      </c>
    </row>
    <row r="182" customFormat="false" ht="15" hidden="false" customHeight="false" outlineLevel="0" collapsed="false">
      <c r="A182" s="20" t="n">
        <v>43343</v>
      </c>
      <c r="B182" s="23" t="n">
        <f aca="false">'SA Data'!B182</f>
        <v>146.53723</v>
      </c>
      <c r="C182" s="24" t="n">
        <f aca="false">(B182/B181-1)*100</f>
        <v>2.06020077697879</v>
      </c>
      <c r="D182" s="24" t="n">
        <f aca="false">(AVERAGE(B180:B182)/AVERAGE(B177:B179)-1)*100</f>
        <v>-2.14705860902653</v>
      </c>
      <c r="E182" s="24" t="n">
        <f aca="false">((AVERAGE(B180:B182)/AVERAGE(B177:B179))^4-1)*100</f>
        <v>-8.31558060147071</v>
      </c>
      <c r="F182" s="24" t="n">
        <f aca="false">(B182/B170-1)*100</f>
        <v>-2.56222829913948</v>
      </c>
      <c r="G182" s="24" t="n">
        <f aca="false">IFERROR((AVERAGE(B175:B182)/AVERAGE(B163:B170)-1)*100,"")</f>
        <v>-0.806538069382567</v>
      </c>
      <c r="H182" s="23" t="n">
        <f aca="false">'SA Data'!U182</f>
        <v>148.313186693618</v>
      </c>
      <c r="I182" s="24" t="n">
        <f aca="false">(H182/H181-1)*100</f>
        <v>0.994919376135672</v>
      </c>
      <c r="J182" s="24" t="n">
        <f aca="false">(AVERAGE(H180:H182)/AVERAGE(H177:H179)-1)*100</f>
        <v>-1.93272755682806</v>
      </c>
      <c r="K182" s="24" t="n">
        <f aca="false">((AVERAGE(H180:H182)/AVERAGE(H177:H179))^4-1)*100</f>
        <v>-7.50965795718608</v>
      </c>
      <c r="L182" s="24" t="n">
        <f aca="false">IFERROR(('SA Data'!Y182/'SA Data'!Y170-1)*100,"")</f>
        <v>-1.34933724790696</v>
      </c>
      <c r="M182" s="24" t="n">
        <f aca="false">IFERROR((AVERAGE('SA Data'!Y175:Y182)/AVERAGE('SA Data'!Y163:Y170)-1)*100,"")</f>
        <v>-0.676562235381706</v>
      </c>
    </row>
    <row r="183" customFormat="false" ht="15" hidden="false" customHeight="false" outlineLevel="0" collapsed="false">
      <c r="A183" s="20" t="n">
        <v>43373</v>
      </c>
      <c r="B183" s="23" t="n">
        <f aca="false">'SA Data'!B183</f>
        <v>143.13224</v>
      </c>
      <c r="C183" s="24" t="n">
        <f aca="false">(B183/B182-1)*100</f>
        <v>-2.32363475138707</v>
      </c>
      <c r="D183" s="24" t="n">
        <f aca="false">(AVERAGE(B181:B183)/AVERAGE(B178:B180)-1)*100</f>
        <v>-0.314335799355958</v>
      </c>
      <c r="E183" s="24" t="n">
        <f aca="false">((AVERAGE(B181:B183)/AVERAGE(B178:B180))^4-1)*100</f>
        <v>-1.25142719140587</v>
      </c>
      <c r="F183" s="24" t="n">
        <f aca="false">(B183/B171-1)*100</f>
        <v>-5.34676908074588</v>
      </c>
      <c r="G183" s="24" t="n">
        <f aca="false">IFERROR((AVERAGE(B175:B183)/AVERAGE(B163:B171)-1)*100,"")</f>
        <v>-1.31880765690005</v>
      </c>
      <c r="H183" s="23" t="n">
        <f aca="false">'SA Data'!U183</f>
        <v>144.753912358037</v>
      </c>
      <c r="I183" s="24" t="n">
        <f aca="false">(H183/H182-1)*100</f>
        <v>-2.39983673396063</v>
      </c>
      <c r="J183" s="24" t="n">
        <f aca="false">(AVERAGE(H181:H183)/AVERAGE(H178:H180)-1)*100</f>
        <v>-1.16577713437134</v>
      </c>
      <c r="K183" s="24" t="n">
        <f aca="false">((AVERAGE(H181:H183)/AVERAGE(H178:H180))^4-1)*100</f>
        <v>-4.58219824427416</v>
      </c>
      <c r="L183" s="24" t="n">
        <f aca="false">IFERROR(('SA Data'!Y183/'SA Data'!Y171-1)*100,"")</f>
        <v>-4.72476548356682</v>
      </c>
      <c r="M183" s="24" t="n">
        <f aca="false">IFERROR((AVERAGE('SA Data'!Y175:Y183)/AVERAGE('SA Data'!Y163:Y171)-1)*100,"")</f>
        <v>-1.11328600236201</v>
      </c>
    </row>
    <row r="184" customFormat="false" ht="15" hidden="false" customHeight="false" outlineLevel="0" collapsed="false">
      <c r="A184" s="20" t="n">
        <v>43404</v>
      </c>
      <c r="B184" s="23" t="n">
        <f aca="false">'SA Data'!B184</f>
        <v>143.59559</v>
      </c>
      <c r="C184" s="24" t="n">
        <f aca="false">(B184/B183-1)*100</f>
        <v>0.323721615758954</v>
      </c>
      <c r="D184" s="24" t="n">
        <f aca="false">(AVERAGE(B182:B184)/AVERAGE(B179:B181)-1)*100</f>
        <v>0.432006035771115</v>
      </c>
      <c r="E184" s="24" t="n">
        <f aca="false">((AVERAGE(B182:B184)/AVERAGE(B179:B181))^4-1)*100</f>
        <v>1.73925418079042</v>
      </c>
      <c r="F184" s="24" t="n">
        <f aca="false">(B184/B172-1)*100</f>
        <v>-5.35035418246956</v>
      </c>
      <c r="G184" s="24" t="n">
        <f aca="false">IFERROR((AVERAGE(B175:B184)/AVERAGE(B163:B172)-1)*100,"")</f>
        <v>-1.72876603554998</v>
      </c>
      <c r="H184" s="23" t="n">
        <f aca="false">'SA Data'!U184</f>
        <v>145.05254649061</v>
      </c>
      <c r="I184" s="24" t="n">
        <f aca="false">(H184/H183-1)*100</f>
        <v>0.206304705488369</v>
      </c>
      <c r="J184" s="24" t="n">
        <f aca="false">(AVERAGE(H182:H184)/AVERAGE(H179:H181)-1)*100</f>
        <v>-0.917037519889474</v>
      </c>
      <c r="K184" s="24" t="n">
        <f aca="false">((AVERAGE(H182:H184)/AVERAGE(H179:H181))^4-1)*100</f>
        <v>-3.61800037952158</v>
      </c>
      <c r="L184" s="24" t="n">
        <f aca="false">IFERROR(('SA Data'!Y184/'SA Data'!Y172-1)*100,"")</f>
        <v>-3.90859326705918</v>
      </c>
      <c r="M184" s="24" t="n">
        <f aca="false">IFERROR((AVERAGE('SA Data'!Y175:Y184)/AVERAGE('SA Data'!Y163:Y172)-1)*100,"")</f>
        <v>-1.39193403609184</v>
      </c>
    </row>
    <row r="185" customFormat="false" ht="15" hidden="false" customHeight="false" outlineLevel="0" collapsed="false">
      <c r="A185" s="20" t="n">
        <v>43434</v>
      </c>
      <c r="B185" s="23" t="n">
        <f aca="false">'SA Data'!B185</f>
        <v>141.66615</v>
      </c>
      <c r="C185" s="24" t="n">
        <f aca="false">(B185/B184-1)*100</f>
        <v>-1.3436624342015</v>
      </c>
      <c r="D185" s="24" t="n">
        <f aca="false">(AVERAGE(B183:B185)/AVERAGE(B180:B182)-1)*100</f>
        <v>-1.14947424810705</v>
      </c>
      <c r="E185" s="24" t="n">
        <f aca="false">((AVERAGE(B183:B185)/AVERAGE(B180:B182))^4-1)*100</f>
        <v>-4.51922529980764</v>
      </c>
      <c r="F185" s="24" t="n">
        <f aca="false">(B185/B173-1)*100</f>
        <v>-7.18463029526991</v>
      </c>
      <c r="G185" s="24" t="n">
        <f aca="false">IFERROR((AVERAGE(B175:B185)/AVERAGE(B163:B173)-1)*100,"")</f>
        <v>-2.23512020247584</v>
      </c>
      <c r="H185" s="23" t="n">
        <f aca="false">'SA Data'!U185</f>
        <v>143.275262912581</v>
      </c>
      <c r="I185" s="24" t="n">
        <f aca="false">(H185/H184-1)*100</f>
        <v>-1.22526878777951</v>
      </c>
      <c r="J185" s="24" t="n">
        <f aca="false">(AVERAGE(H183:H185)/AVERAGE(H180:H182)-1)*100</f>
        <v>-1.97580020705294</v>
      </c>
      <c r="K185" s="24" t="n">
        <f aca="false">((AVERAGE(H183:H185)/AVERAGE(H180:H182))^4-1)*100</f>
        <v>-7.67204364200856</v>
      </c>
      <c r="L185" s="24" t="n">
        <f aca="false">IFERROR(('SA Data'!Y185/'SA Data'!Y173-1)*100,"")</f>
        <v>-6.79199415559191</v>
      </c>
      <c r="M185" s="24" t="n">
        <f aca="false">IFERROR((AVERAGE('SA Data'!Y175:Y185)/AVERAGE('SA Data'!Y163:Y173)-1)*100,"")</f>
        <v>-1.88981606816773</v>
      </c>
    </row>
    <row r="186" customFormat="false" ht="15" hidden="false" customHeight="false" outlineLevel="0" collapsed="false">
      <c r="A186" s="20" t="n">
        <v>43465</v>
      </c>
      <c r="B186" s="23" t="n">
        <f aca="false">'SA Data'!B186</f>
        <v>141.97365</v>
      </c>
      <c r="C186" s="24" t="n">
        <f aca="false">(B186/B185-1)*100</f>
        <v>0.21705961515861</v>
      </c>
      <c r="D186" s="24" t="n">
        <f aca="false">(AVERAGE(B184:B186)/AVERAGE(B181:B183)-1)*100</f>
        <v>-1.387953449737</v>
      </c>
      <c r="E186" s="24" t="n">
        <f aca="false">((AVERAGE(B184:B186)/AVERAGE(B181:B183))^4-1)*100</f>
        <v>-5.43729471077095</v>
      </c>
      <c r="F186" s="24" t="n">
        <f aca="false">(B186/B174-1)*100</f>
        <v>-6.74680092014639</v>
      </c>
      <c r="G186" s="24" t="n">
        <f aca="false">IFERROR((AVERAGE(B175:B186)/AVERAGE(B163:B174)-1)*100,"")</f>
        <v>-2.6173954484169</v>
      </c>
      <c r="H186" s="23" t="n">
        <f aca="false">'SA Data'!U186</f>
        <v>141.442750487326</v>
      </c>
      <c r="I186" s="24" t="n">
        <f aca="false">(H186/H185-1)*100</f>
        <v>-1.27901522426355</v>
      </c>
      <c r="J186" s="24" t="n">
        <f aca="false">(AVERAGE(H184:H186)/AVERAGE(H181:H183)-1)*100</f>
        <v>-2.30693841202568</v>
      </c>
      <c r="K186" s="24" t="n">
        <f aca="false">((AVERAGE(H184:H186)/AVERAGE(H181:H183))^4-1)*100</f>
        <v>-8.91331841262409</v>
      </c>
      <c r="L186" s="24" t="n">
        <f aca="false">IFERROR(('SA Data'!Y186/'SA Data'!Y174-1)*100,"")</f>
        <v>-5.84482075833693</v>
      </c>
      <c r="M186" s="24" t="n">
        <f aca="false">IFERROR((AVERAGE('SA Data'!Y175:Y186)/AVERAGE('SA Data'!Y163:Y174)-1)*100,"")</f>
        <v>-2.21167307739923</v>
      </c>
    </row>
    <row r="187" customFormat="false" ht="15" hidden="false" customHeight="false" outlineLevel="0" collapsed="false">
      <c r="A187" s="20" t="n">
        <v>43496</v>
      </c>
      <c r="B187" s="23" t="n">
        <f aca="false">'SA Data'!B187</f>
        <v>141.39773</v>
      </c>
      <c r="C187" s="24" t="n">
        <f aca="false">(B187/B186-1)*100</f>
        <v>-0.405652739082218</v>
      </c>
      <c r="D187" s="24" t="n">
        <f aca="false">(AVERAGE(B185:B187)/AVERAGE(B182:B184)-1)*100</f>
        <v>-1.89895995767581</v>
      </c>
      <c r="E187" s="24" t="n">
        <f aca="false">((AVERAGE(B185:B187)/AVERAGE(B182:B184))^4-1)*100</f>
        <v>-7.38220298886548</v>
      </c>
      <c r="F187" s="24" t="n">
        <f aca="false">(B187/B175-1)*100</f>
        <v>-6.34516401450547</v>
      </c>
      <c r="G187" s="24" t="n">
        <f aca="false">IFERROR((AVERAGE(B187:B187)/AVERAGE(B175:B175)-1)*100,"")</f>
        <v>-6.34516401450547</v>
      </c>
      <c r="H187" s="23" t="n">
        <f aca="false">'SA Data'!U187</f>
        <v>142.09756655166</v>
      </c>
      <c r="I187" s="24" t="n">
        <f aca="false">(H187/H186-1)*100</f>
        <v>0.462954843622576</v>
      </c>
      <c r="J187" s="24" t="n">
        <f aca="false">(AVERAGE(H185:H187)/AVERAGE(H182:H184)-1)*100</f>
        <v>-2.58013209535651</v>
      </c>
      <c r="K187" s="24" t="n">
        <f aca="false">((AVERAGE(H185:H187)/AVERAGE(H182:H184))^4-1)*100</f>
        <v>-9.92792962691037</v>
      </c>
      <c r="L187" s="24" t="n">
        <f aca="false">IFERROR(('SA Data'!Y187/'SA Data'!Y175-1)*100,"")</f>
        <v>-5.04198577611221</v>
      </c>
      <c r="M187" s="24" t="n">
        <f aca="false">IFERROR((AVERAGE('SA Data'!Y187:Y187)/AVERAGE('SA Data'!Y175:Y175)-1)*100,"")</f>
        <v>-5.04198577611221</v>
      </c>
    </row>
    <row r="188" customFormat="false" ht="15" hidden="false" customHeight="false" outlineLevel="0" collapsed="false">
      <c r="A188" s="20" t="n">
        <v>43524</v>
      </c>
      <c r="B188" s="23" t="n">
        <f aca="false">'SA Data'!B188</f>
        <v>143.6589</v>
      </c>
      <c r="C188" s="24" t="n">
        <f aca="false">(B188/B187-1)*100</f>
        <v>1.59915579974304</v>
      </c>
      <c r="D188" s="24" t="n">
        <f aca="false">(AVERAGE(B186:B188)/AVERAGE(B183:B185)-1)*100</f>
        <v>-0.318328469508367</v>
      </c>
      <c r="E188" s="24" t="n">
        <f aca="false">((AVERAGE(B186:B188)/AVERAGE(B183:B185))^4-1)*100</f>
        <v>-1.26724678976848</v>
      </c>
      <c r="F188" s="24" t="n">
        <f aca="false">(B188/B176-1)*100</f>
        <v>-5.6064705860322</v>
      </c>
      <c r="G188" s="24" t="n">
        <f aca="false">IFERROR((AVERAGE(B187:B188)/AVERAGE(B175:B176)-1)*100,"")</f>
        <v>-5.97433833680274</v>
      </c>
      <c r="H188" s="23" t="n">
        <f aca="false">'SA Data'!U188</f>
        <v>144.001824089856</v>
      </c>
      <c r="I188" s="24" t="n">
        <f aca="false">(H188/H187-1)*100</f>
        <v>1.34010566430349</v>
      </c>
      <c r="J188" s="24" t="n">
        <f aca="false">(AVERAGE(H186:H188)/AVERAGE(H183:H185)-1)*100</f>
        <v>-1.27910746495113</v>
      </c>
      <c r="K188" s="24" t="n">
        <f aca="false">((AVERAGE(H186:H188)/AVERAGE(H183:H185))^4-1)*100</f>
        <v>-5.01909733574367</v>
      </c>
      <c r="L188" s="24" t="n">
        <f aca="false">IFERROR(('SA Data'!Y188/'SA Data'!Y176-1)*100,"")</f>
        <v>-4.1043251837868</v>
      </c>
      <c r="M188" s="24" t="n">
        <f aca="false">IFERROR((AVERAGE('SA Data'!Y187:Y188)/AVERAGE('SA Data'!Y175:Y176)-1)*100,"")</f>
        <v>-4.57682037076909</v>
      </c>
    </row>
    <row r="189" customFormat="false" ht="15" hidden="false" customHeight="false" outlineLevel="0" collapsed="false">
      <c r="A189" s="20" t="n">
        <v>43555</v>
      </c>
      <c r="B189" s="23" t="n">
        <f aca="false">'SA Data'!B189</f>
        <v>142.25994</v>
      </c>
      <c r="C189" s="24" t="n">
        <f aca="false">(B189/B188-1)*100</f>
        <v>-0.973806704631586</v>
      </c>
      <c r="D189" s="24" t="n">
        <f aca="false">(AVERAGE(B187:B189)/AVERAGE(B184:B186)-1)*100</f>
        <v>0.0190012348930235</v>
      </c>
      <c r="E189" s="24" t="n">
        <f aca="false">((AVERAGE(B187:B189)/AVERAGE(B184:B186))^4-1)*100</f>
        <v>0.076026605132018</v>
      </c>
      <c r="F189" s="24" t="n">
        <f aca="false">(B189/B177-1)*100</f>
        <v>-6.11687180704178</v>
      </c>
      <c r="G189" s="24" t="n">
        <f aca="false">IFERROR((AVERAGE(B187:B189)/AVERAGE(B175:B177)-1)*100,"")</f>
        <v>-6.02183784818984</v>
      </c>
      <c r="H189" s="23" t="n">
        <f aca="false">'SA Data'!U189</f>
        <v>143.744220762635</v>
      </c>
      <c r="I189" s="24" t="n">
        <f aca="false">(H189/H188-1)*100</f>
        <v>-0.178888933420851</v>
      </c>
      <c r="J189" s="24" t="n">
        <f aca="false">(AVERAGE(H187:H189)/AVERAGE(H184:H186)-1)*100</f>
        <v>0.0169977938117682</v>
      </c>
      <c r="K189" s="24" t="n">
        <f aca="false">((AVERAGE(H187:H189)/AVERAGE(H184:H186))^4-1)*100</f>
        <v>0.0680085127112484</v>
      </c>
      <c r="L189" s="24" t="n">
        <f aca="false">IFERROR(('SA Data'!Y189/'SA Data'!Y177-1)*100,"")</f>
        <v>-5.71719540337402</v>
      </c>
      <c r="M189" s="24" t="n">
        <f aca="false">IFERROR((AVERAGE('SA Data'!Y187:Y189)/AVERAGE('SA Data'!Y175:Y177)-1)*100,"")</f>
        <v>-4.98266171763661</v>
      </c>
    </row>
    <row r="190" customFormat="false" ht="15" hidden="false" customHeight="false" outlineLevel="0" collapsed="false">
      <c r="A190" s="20" t="n">
        <v>43585</v>
      </c>
      <c r="B190" s="23" t="n">
        <f aca="false">'SA Data'!B190</f>
        <v>142.60579</v>
      </c>
      <c r="C190" s="24" t="n">
        <f aca="false">(B190/B189-1)*100</f>
        <v>0.24311130737158</v>
      </c>
      <c r="D190" s="24" t="n">
        <f aca="false">(AVERAGE(B188:B190)/AVERAGE(B185:B187)-1)*100</f>
        <v>0.820421669587645</v>
      </c>
      <c r="E190" s="24" t="n">
        <f aca="false">((AVERAGE(B188:B190)/AVERAGE(B185:B187))^4-1)*100</f>
        <v>3.32229352197053</v>
      </c>
      <c r="F190" s="24" t="n">
        <f aca="false">(B190/B178-1)*100</f>
        <v>-2.85223389234857</v>
      </c>
      <c r="G190" s="24" t="n">
        <f aca="false">IFERROR((AVERAGE(B187:B190)/AVERAGE(B175:B178)-1)*100,"")</f>
        <v>-5.24830163953243</v>
      </c>
      <c r="H190" s="23" t="n">
        <f aca="false">'SA Data'!U190</f>
        <v>146.562741232505</v>
      </c>
      <c r="I190" s="24" t="n">
        <f aca="false">(H190/H189-1)*100</f>
        <v>1.96078872243795</v>
      </c>
      <c r="J190" s="24" t="n">
        <f aca="false">(AVERAGE(H188:H190)/AVERAGE(H185:H187)-1)*100</f>
        <v>1.75560745328927</v>
      </c>
      <c r="K190" s="24" t="n">
        <f aca="false">((AVERAGE(H188:H190)/AVERAGE(H185:H187))^4-1)*100</f>
        <v>7.20953318814757</v>
      </c>
      <c r="L190" s="24" t="n">
        <f aca="false">IFERROR(('SA Data'!Y190/'SA Data'!Y178-1)*100,"")</f>
        <v>-0.516527258629018</v>
      </c>
      <c r="M190" s="24" t="n">
        <f aca="false">IFERROR((AVERAGE('SA Data'!Y187:Y190)/AVERAGE('SA Data'!Y175:Y178)-1)*100,"")</f>
        <v>-3.8293755891858</v>
      </c>
    </row>
    <row r="191" customFormat="false" ht="15" hidden="false" customHeight="false" outlineLevel="0" collapsed="false">
      <c r="A191" s="20" t="n">
        <v>43616</v>
      </c>
      <c r="B191" s="23" t="n">
        <f aca="false">'SA Data'!B191</f>
        <v>144.83825</v>
      </c>
      <c r="C191" s="24" t="n">
        <f aca="false">(B191/B190-1)*100</f>
        <v>1.56547640877693</v>
      </c>
      <c r="D191" s="24" t="n">
        <f aca="false">(AVERAGE(B189:B191)/AVERAGE(B186:B188)-1)*100</f>
        <v>0.6261148506846</v>
      </c>
      <c r="E191" s="24" t="n">
        <f aca="false">((AVERAGE(B189:B191)/AVERAGE(B186:B188))^4-1)*100</f>
        <v>2.52807892456177</v>
      </c>
      <c r="F191" s="24" t="n">
        <f aca="false">(B191/B179-1)*100</f>
        <v>0.190339041590759</v>
      </c>
      <c r="G191" s="24" t="n">
        <f aca="false">IFERROR((AVERAGE(B187:B191)/AVERAGE(B175:B179)-1)*100,"")</f>
        <v>-4.1944539954428</v>
      </c>
      <c r="H191" s="23" t="n">
        <f aca="false">'SA Data'!U191</f>
        <v>148.29725985146</v>
      </c>
      <c r="I191" s="24" t="n">
        <f aca="false">(H191/H190-1)*100</f>
        <v>1.18346491363963</v>
      </c>
      <c r="J191" s="24" t="n">
        <f aca="false">(AVERAGE(H189:H191)/AVERAGE(H186:H188)-1)*100</f>
        <v>2.58736616899373</v>
      </c>
      <c r="K191" s="24" t="n">
        <f aca="false">((AVERAGE(H189:H191)/AVERAGE(H186:H188))^4-1)*100</f>
        <v>10.7581057249172</v>
      </c>
      <c r="L191" s="24" t="n">
        <f aca="false">IFERROR(('SA Data'!Y191/'SA Data'!Y179-1)*100,"")</f>
        <v>2.69133566911002</v>
      </c>
      <c r="M191" s="24" t="n">
        <f aca="false">IFERROR((AVERAGE('SA Data'!Y187:Y191)/AVERAGE('SA Data'!Y175:Y179)-1)*100,"")</f>
        <v>-2.43087698500809</v>
      </c>
    </row>
    <row r="192" customFormat="false" ht="15" hidden="false" customHeight="false" outlineLevel="0" collapsed="false">
      <c r="A192" s="20" t="n">
        <v>43646</v>
      </c>
      <c r="B192" s="23" t="n">
        <f aca="false">'SA Data'!B192</f>
        <v>144.03378</v>
      </c>
      <c r="C192" s="24" t="n">
        <f aca="false">(B192/B191-1)*100</f>
        <v>-0.555426484371346</v>
      </c>
      <c r="D192" s="24" t="n">
        <f aca="false">(AVERAGE(B190:B192)/AVERAGE(B187:B189)-1)*100</f>
        <v>0.973809651238211</v>
      </c>
      <c r="E192" s="24" t="n">
        <f aca="false">((AVERAGE(B190:B192)/AVERAGE(B187:B189))^4-1)*100</f>
        <v>3.95250720596314</v>
      </c>
      <c r="F192" s="24" t="n">
        <f aca="false">(B192/B180-1)*100</f>
        <v>0.540768515335999</v>
      </c>
      <c r="G192" s="24" t="n">
        <f aca="false">IFERROR((AVERAGE(B187:B192)/AVERAGE(B175:B180)-1)*100,"")</f>
        <v>-3.4316584936122</v>
      </c>
      <c r="H192" s="23" t="n">
        <f aca="false">'SA Data'!U192</f>
        <v>145.29955055564</v>
      </c>
      <c r="I192" s="24" t="n">
        <f aca="false">(H192/H191-1)*100</f>
        <v>-2.0214192081651</v>
      </c>
      <c r="J192" s="24" t="n">
        <f aca="false">(AVERAGE(H190:H192)/AVERAGE(H187:H189)-1)*100</f>
        <v>2.39992870936394</v>
      </c>
      <c r="K192" s="24" t="n">
        <f aca="false">((AVERAGE(H190:H192)/AVERAGE(H187:H189))^4-1)*100</f>
        <v>9.95085658696937</v>
      </c>
      <c r="L192" s="24" t="n">
        <f aca="false">IFERROR(('SA Data'!Y192/'SA Data'!Y180-1)*100,"")</f>
        <v>0.339582659243543</v>
      </c>
      <c r="M192" s="24" t="n">
        <f aca="false">IFERROR((AVERAGE('SA Data'!Y187:Y192)/AVERAGE('SA Data'!Y175:Y180)-1)*100,"")</f>
        <v>-1.96216562276855</v>
      </c>
    </row>
    <row r="193" customFormat="false" ht="15" hidden="false" customHeight="false" outlineLevel="0" collapsed="false">
      <c r="A193" s="20" t="n">
        <v>43677</v>
      </c>
      <c r="B193" s="23" t="n">
        <f aca="false">'SA Data'!B193</f>
        <v>145.83568</v>
      </c>
      <c r="C193" s="24" t="n">
        <f aca="false">(B193/B192-1)*100</f>
        <v>1.25102597460123</v>
      </c>
      <c r="D193" s="24" t="n">
        <f aca="false">(AVERAGE(B191:B193)/AVERAGE(B188:B190)-1)*100</f>
        <v>1.44287622394073</v>
      </c>
      <c r="E193" s="24" t="n">
        <f aca="false">((AVERAGE(B191:B193)/AVERAGE(B188:B190))^4-1)*100</f>
        <v>5.89762430276339</v>
      </c>
      <c r="F193" s="24" t="n">
        <f aca="false">(B193/B181-1)*100</f>
        <v>1.57158546839755</v>
      </c>
      <c r="G193" s="24" t="n">
        <f aca="false">IFERROR((AVERAGE(B187:B193)/AVERAGE(B175:B181)-1)*100,"")</f>
        <v>-2.73617244525047</v>
      </c>
      <c r="H193" s="23" t="n">
        <f aca="false">'SA Data'!U193</f>
        <v>146.878801070812</v>
      </c>
      <c r="I193" s="24" t="n">
        <f aca="false">(H193/H192-1)*100</f>
        <v>1.08689291132142</v>
      </c>
      <c r="J193" s="24" t="n">
        <f aca="false">(AVERAGE(H191:H193)/AVERAGE(H188:H190)-1)*100</f>
        <v>1.41991725484207</v>
      </c>
      <c r="K193" s="24" t="n">
        <f aca="false">((AVERAGE(H191:H193)/AVERAGE(H188:H190))^4-1)*100</f>
        <v>5.8017880999204</v>
      </c>
      <c r="L193" s="24" t="n">
        <f aca="false">IFERROR(('SA Data'!Y193/'SA Data'!Y181-1)*100,"")</f>
        <v>0.0568554870364446</v>
      </c>
      <c r="M193" s="24" t="n">
        <f aca="false">IFERROR((AVERAGE('SA Data'!Y187:Y193)/AVERAGE('SA Data'!Y175:Y181)-1)*100,"")</f>
        <v>-1.67799861151879</v>
      </c>
    </row>
    <row r="194" customFormat="false" ht="15" hidden="false" customHeight="false" outlineLevel="0" collapsed="false">
      <c r="A194" s="20" t="n">
        <v>43708</v>
      </c>
      <c r="B194" s="23" t="n">
        <f aca="false">'SA Data'!B194</f>
        <v>144.79059</v>
      </c>
      <c r="C194" s="24" t="n">
        <f aca="false">(B194/B193-1)*100</f>
        <v>-0.716621611391666</v>
      </c>
      <c r="D194" s="24" t="n">
        <f aca="false">(AVERAGE(B192:B194)/AVERAGE(B189:B191)-1)*100</f>
        <v>1.15336841888223</v>
      </c>
      <c r="E194" s="24" t="n">
        <f aca="false">((AVERAGE(B192:B194)/AVERAGE(B189:B191))^4-1)*100</f>
        <v>4.69390467905151</v>
      </c>
      <c r="F194" s="24" t="n">
        <f aca="false">(B194/B182-1)*100</f>
        <v>-1.19194282572421</v>
      </c>
      <c r="G194" s="24" t="n">
        <f aca="false">IFERROR((AVERAGE(B187:B194)/AVERAGE(B175:B182)-1)*100,"")</f>
        <v>-2.54431084872426</v>
      </c>
      <c r="H194" s="23" t="n">
        <f aca="false">'SA Data'!U194</f>
        <v>144.239774721573</v>
      </c>
      <c r="I194" s="24" t="n">
        <f aca="false">(H194/H193-1)*100</f>
        <v>-1.79673739845289</v>
      </c>
      <c r="J194" s="24" t="n">
        <f aca="false">(AVERAGE(H192:H194)/AVERAGE(H189:H191)-1)*100</f>
        <v>-0.498420988601467</v>
      </c>
      <c r="K194" s="24" t="n">
        <f aca="false">((AVERAGE(H192:H194)/AVERAGE(H189:H191))^4-1)*100</f>
        <v>-1.9788280115699</v>
      </c>
      <c r="L194" s="24" t="n">
        <f aca="false">IFERROR(('SA Data'!Y194/'SA Data'!Y182-1)*100,"")</f>
        <v>-3.46069016932802</v>
      </c>
      <c r="M194" s="24" t="n">
        <f aca="false">IFERROR((AVERAGE('SA Data'!Y187:Y194)/AVERAGE('SA Data'!Y175:Y182)-1)*100,"")</f>
        <v>-1.897380907951</v>
      </c>
    </row>
    <row r="195" customFormat="false" ht="15" hidden="false" customHeight="false" outlineLevel="0" collapsed="false">
      <c r="A195" s="20" t="n">
        <v>43738</v>
      </c>
      <c r="B195" s="23" t="n">
        <f aca="false">'SA Data'!B195</f>
        <v>140.55731</v>
      </c>
      <c r="C195" s="24" t="n">
        <f aca="false">(B195/B194-1)*100</f>
        <v>-2.92372591340363</v>
      </c>
      <c r="D195" s="24" t="n">
        <f aca="false">(AVERAGE(B193:B195)/AVERAGE(B190:B192)-1)*100</f>
        <v>-0.0681935400526523</v>
      </c>
      <c r="E195" s="24" t="n">
        <f aca="false">((AVERAGE(B193:B195)/AVERAGE(B190:B192))^4-1)*100</f>
        <v>-0.272495265504458</v>
      </c>
      <c r="F195" s="24" t="n">
        <f aca="false">(B195/B183-1)*100</f>
        <v>-1.79898672723908</v>
      </c>
      <c r="G195" s="24" t="n">
        <f aca="false">IFERROR((AVERAGE(B187:B195)/AVERAGE(B175:B183)-1)*100,"")</f>
        <v>-2.46364924470343</v>
      </c>
      <c r="H195" s="23" t="n">
        <f aca="false">'SA Data'!U195</f>
        <v>142.041166938673</v>
      </c>
      <c r="I195" s="24" t="n">
        <f aca="false">(H195/H194-1)*100</f>
        <v>-1.52427289015411</v>
      </c>
      <c r="J195" s="24" t="n">
        <f aca="false">(AVERAGE(H193:H195)/AVERAGE(H190:H192)-1)*100</f>
        <v>-1.59028899463253</v>
      </c>
      <c r="K195" s="24" t="n">
        <f aca="false">((AVERAGE(H193:H195)/AVERAGE(H190:H192))^4-1)*100</f>
        <v>-6.21101718589376</v>
      </c>
      <c r="L195" s="24" t="n">
        <f aca="false">IFERROR(('SA Data'!Y195/'SA Data'!Y183-1)*100,"")</f>
        <v>-2.00818278676419</v>
      </c>
      <c r="M195" s="24" t="n">
        <f aca="false">IFERROR((AVERAGE('SA Data'!Y187:Y195)/AVERAGE('SA Data'!Y175:Y183)-1)*100,"")</f>
        <v>-1.90889775830535</v>
      </c>
    </row>
    <row r="196" customFormat="false" ht="15" hidden="false" customHeight="false" outlineLevel="0" collapsed="false">
      <c r="A196" s="20" t="n">
        <v>43769</v>
      </c>
      <c r="B196" s="23" t="n">
        <f aca="false">'SA Data'!B196</f>
        <v>143.79727</v>
      </c>
      <c r="C196" s="24" t="n">
        <f aca="false">(B196/B195-1)*100</f>
        <v>2.30508110890852</v>
      </c>
      <c r="D196" s="24" t="n">
        <f aca="false">(AVERAGE(B194:B196)/AVERAGE(B191:B193)-1)*100</f>
        <v>-1.27960463365141</v>
      </c>
      <c r="E196" s="24" t="n">
        <f aca="false">((AVERAGE(B194:B196)/AVERAGE(B191:B193))^4-1)*100</f>
        <v>-5.02101065617659</v>
      </c>
      <c r="F196" s="24" t="n">
        <f aca="false">(B196/B184-1)*100</f>
        <v>0.140449995713654</v>
      </c>
      <c r="G196" s="24" t="n">
        <f aca="false">IFERROR((AVERAGE(B187:B196)/AVERAGE(B175:B184)-1)*100,"")</f>
        <v>-2.20860342750645</v>
      </c>
      <c r="H196" s="23" t="n">
        <f aca="false">'SA Data'!U196</f>
        <v>143.201515903551</v>
      </c>
      <c r="I196" s="24" t="n">
        <f aca="false">(H196/H195-1)*100</f>
        <v>0.816910329509946</v>
      </c>
      <c r="J196" s="24" t="n">
        <f aca="false">(AVERAGE(H194:H196)/AVERAGE(H191:H193)-1)*100</f>
        <v>-2.49574633138719</v>
      </c>
      <c r="K196" s="24" t="n">
        <f aca="false">((AVERAGE(H194:H196)/AVERAGE(H191:H193))^4-1)*100</f>
        <v>-9.61543969492307</v>
      </c>
      <c r="L196" s="24" t="n">
        <f aca="false">IFERROR(('SA Data'!Y196/'SA Data'!Y184-1)*100,"")</f>
        <v>-1.32275826205519</v>
      </c>
      <c r="M196" s="24" t="n">
        <f aca="false">IFERROR((AVERAGE('SA Data'!Y187:Y196)/AVERAGE('SA Data'!Y175:Y184)-1)*100,"")</f>
        <v>-1.85196010983963</v>
      </c>
    </row>
    <row r="197" customFormat="false" ht="15" hidden="false" customHeight="false" outlineLevel="0" collapsed="false">
      <c r="A197" s="20" t="n">
        <v>43799</v>
      </c>
      <c r="B197" s="23" t="n">
        <f aca="false">'SA Data'!B197</f>
        <v>140.88369</v>
      </c>
      <c r="C197" s="24" t="n">
        <f aca="false">(B197/B196-1)*100</f>
        <v>-2.02617198504533</v>
      </c>
      <c r="D197" s="24" t="n">
        <f aca="false">(AVERAGE(B195:B197)/AVERAGE(B192:B194)-1)*100</f>
        <v>-2.167620419682</v>
      </c>
      <c r="E197" s="24" t="n">
        <f aca="false">((AVERAGE(B195:B197)/AVERAGE(B192:B194))^4-1)*100</f>
        <v>-8.39261879875338</v>
      </c>
      <c r="F197" s="24" t="n">
        <f aca="false">(B197/B185-1)*100</f>
        <v>-0.552326720250385</v>
      </c>
      <c r="G197" s="24" t="n">
        <f aca="false">IFERROR((AVERAGE(B187:B197)/AVERAGE(B175:B185)-1)*100,"")</f>
        <v>-2.0626679934628</v>
      </c>
      <c r="H197" s="23" t="n">
        <f aca="false">'SA Data'!U197</f>
        <v>140.66322733339</v>
      </c>
      <c r="I197" s="24" t="n">
        <f aca="false">(H197/H196-1)*100</f>
        <v>-1.77252912034153</v>
      </c>
      <c r="J197" s="24" t="n">
        <f aca="false">(AVERAGE(H195:H197)/AVERAGE(H192:H194)-1)*100</f>
        <v>-2.40874875211478</v>
      </c>
      <c r="K197" s="24" t="n">
        <f aca="false">((AVERAGE(H195:H197)/AVERAGE(H192:H194))^4-1)*100</f>
        <v>-9.29242740346714</v>
      </c>
      <c r="L197" s="24" t="n">
        <f aca="false">IFERROR(('SA Data'!Y197/'SA Data'!Y185-1)*100,"")</f>
        <v>-2.05048789486673</v>
      </c>
      <c r="M197" s="24" t="n">
        <f aca="false">IFERROR((AVERAGE('SA Data'!Y187:Y197)/AVERAGE('SA Data'!Y175:Y185)-1)*100,"")</f>
        <v>-1.86934965738312</v>
      </c>
    </row>
    <row r="198" customFormat="false" ht="15" hidden="false" customHeight="false" outlineLevel="0" collapsed="false">
      <c r="A198" s="20" t="n">
        <v>43830</v>
      </c>
      <c r="B198" s="23" t="n">
        <f aca="false">'SA Data'!B198</f>
        <v>140.12669</v>
      </c>
      <c r="C198" s="24" t="n">
        <f aca="false">(B198/B197-1)*100</f>
        <v>-0.537322666662132</v>
      </c>
      <c r="D198" s="24" t="n">
        <f aca="false">(AVERAGE(B196:B198)/AVERAGE(B193:B195)-1)*100</f>
        <v>-1.47870426791299</v>
      </c>
      <c r="E198" s="24" t="n">
        <f aca="false">((AVERAGE(B196:B198)/AVERAGE(B193:B195))^4-1)*100</f>
        <v>-5.7849116258381</v>
      </c>
      <c r="F198" s="24" t="n">
        <f aca="false">(B198/B186-1)*100</f>
        <v>-1.30091745897918</v>
      </c>
      <c r="G198" s="24" t="n">
        <f aca="false">IFERROR((AVERAGE(B187:B198)/AVERAGE(B175:B186)-1)*100,"")</f>
        <v>-2.00086166584968</v>
      </c>
      <c r="H198" s="23" t="n">
        <f aca="false">'SA Data'!U198</f>
        <v>139.629975812592</v>
      </c>
      <c r="I198" s="24" t="n">
        <f aca="false">(H198/H197-1)*100</f>
        <v>-0.734556955919175</v>
      </c>
      <c r="J198" s="24" t="n">
        <f aca="false">(AVERAGE(H196:H198)/AVERAGE(H193:H195)-1)*100</f>
        <v>-2.2312839186268</v>
      </c>
      <c r="K198" s="24" t="n">
        <f aca="false">((AVERAGE(H196:H198)/AVERAGE(H193:H195))^4-1)*100</f>
        <v>-8.63083670521066</v>
      </c>
      <c r="L198" s="24" t="n">
        <f aca="false">IFERROR(('SA Data'!Y198/'SA Data'!Y186-1)*100,"")</f>
        <v>-0.362063539187218</v>
      </c>
      <c r="M198" s="24" t="n">
        <f aca="false">IFERROR((AVERAGE('SA Data'!Y187:Y198)/AVERAGE('SA Data'!Y175:Y186)-1)*100,"")</f>
        <v>-1.75124449892201</v>
      </c>
    </row>
    <row r="199" customFormat="false" ht="15" hidden="false" customHeight="false" outlineLevel="0" collapsed="false">
      <c r="A199" s="20" t="n">
        <v>43861</v>
      </c>
      <c r="B199" s="23" t="n">
        <f aca="false">'SA Data'!B199</f>
        <v>140.93018</v>
      </c>
      <c r="C199" s="24" t="n">
        <f aca="false">(B199/B198-1)*100</f>
        <v>0.573402540229862</v>
      </c>
      <c r="D199" s="24" t="n">
        <f aca="false">(AVERAGE(B197:B199)/AVERAGE(B194:B196)-1)*100</f>
        <v>-1.67882816903195</v>
      </c>
      <c r="E199" s="24" t="n">
        <f aca="false">((AVERAGE(B197:B199)/AVERAGE(B194:B196))^4-1)*100</f>
        <v>-6.5480895778371</v>
      </c>
      <c r="F199" s="24" t="n">
        <f aca="false">(B199/B187-1)*100</f>
        <v>-0.330663017008825</v>
      </c>
      <c r="G199" s="24" t="n">
        <f aca="false">IFERROR((AVERAGE(B199:B199)/AVERAGE(B187:B187)-1)*100,"")</f>
        <v>-0.330663017008825</v>
      </c>
      <c r="H199" s="23" t="n">
        <f aca="false">'SA Data'!U199</f>
        <v>140.202888980073</v>
      </c>
      <c r="I199" s="24" t="n">
        <f aca="false">(H199/H198-1)*100</f>
        <v>0.410308147764282</v>
      </c>
      <c r="J199" s="24" t="n">
        <f aca="false">(AVERAGE(H197:H199)/AVERAGE(H194:H196)-1)*100</f>
        <v>-2.09237077777654</v>
      </c>
      <c r="K199" s="24" t="n">
        <f aca="false">((AVERAGE(H197:H199)/AVERAGE(H194:H196))^4-1)*100</f>
        <v>-8.11044718844015</v>
      </c>
      <c r="L199" s="24" t="n">
        <f aca="false">IFERROR(('SA Data'!Y199/'SA Data'!Y187-1)*100,"")</f>
        <v>-0.506699680729117</v>
      </c>
      <c r="M199" s="24" t="n">
        <f aca="false">IFERROR((AVERAGE('SA Data'!Y199:Y199)/AVERAGE('SA Data'!Y187:Y187)-1)*100,"")</f>
        <v>-0.506699680729117</v>
      </c>
    </row>
    <row r="200" customFormat="false" ht="15" hidden="false" customHeight="false" outlineLevel="0" collapsed="false">
      <c r="A200" s="20" t="n">
        <v>43890</v>
      </c>
      <c r="B200" s="23" t="n">
        <f aca="false">'SA Data'!B200</f>
        <v>139.54976</v>
      </c>
      <c r="C200" s="24" t="n">
        <f aca="false">(B200/B199-1)*100</f>
        <v>-0.9795063058885</v>
      </c>
      <c r="D200" s="24" t="n">
        <f aca="false">(AVERAGE(B198:B200)/AVERAGE(B195:B197)-1)*100</f>
        <v>-1.08918701037891</v>
      </c>
      <c r="E200" s="24" t="n">
        <f aca="false">((AVERAGE(B198:B200)/AVERAGE(B195:B197))^4-1)*100</f>
        <v>-4.28608378689477</v>
      </c>
      <c r="F200" s="24" t="n">
        <f aca="false">(B200/B188-1)*100</f>
        <v>-2.86034488639408</v>
      </c>
      <c r="G200" s="24" t="n">
        <f aca="false">IFERROR((AVERAGE(B199:B200)/AVERAGE(B187:B188)-1)*100,"")</f>
        <v>-1.60553711730893</v>
      </c>
      <c r="H200" s="23" t="n">
        <f aca="false">'SA Data'!U200</f>
        <v>139.317527774066</v>
      </c>
      <c r="I200" s="24" t="n">
        <f aca="false">(H200/H199-1)*100</f>
        <v>-0.631485707924506</v>
      </c>
      <c r="J200" s="24" t="n">
        <f aca="false">(AVERAGE(H198:H200)/AVERAGE(H195:H197)-1)*100</f>
        <v>-1.58615258616557</v>
      </c>
      <c r="K200" s="24" t="n">
        <f aca="false">((AVERAGE(H198:H200)/AVERAGE(H195:H197))^4-1)*100</f>
        <v>-6.19524744125824</v>
      </c>
      <c r="L200" s="24" t="n">
        <f aca="false">IFERROR(('SA Data'!Y200/'SA Data'!Y188-1)*100,"")</f>
        <v>-2.52318937667233</v>
      </c>
      <c r="M200" s="24" t="n">
        <f aca="false">IFERROR((AVERAGE('SA Data'!Y199:Y200)/AVERAGE('SA Data'!Y187:Y188)-1)*100,"")</f>
        <v>-1.51201635880978</v>
      </c>
    </row>
    <row r="201" customFormat="false" ht="15" hidden="false" customHeight="false" outlineLevel="0" collapsed="false">
      <c r="A201" s="20" t="n">
        <v>43921</v>
      </c>
      <c r="B201" s="23" t="n">
        <f aca="false">'SA Data'!B201</f>
        <v>125.96025</v>
      </c>
      <c r="C201" s="24" t="n">
        <f aca="false">(B201/B200-1)*100</f>
        <v>-9.73811062089967</v>
      </c>
      <c r="D201" s="24" t="n">
        <f aca="false">(AVERAGE(B199:B201)/AVERAGE(B196:B198)-1)*100</f>
        <v>-4.32371215537195</v>
      </c>
      <c r="E201" s="24" t="n">
        <f aca="false">((AVERAGE(B199:B201)/AVERAGE(B196:B198))^4-1)*100</f>
        <v>-16.2051617614309</v>
      </c>
      <c r="F201" s="24" t="n">
        <f aca="false">(B201/B189-1)*100</f>
        <v>-11.4576809184652</v>
      </c>
      <c r="G201" s="24" t="n">
        <f aca="false">IFERROR((AVERAGE(B199:B201)/AVERAGE(B187:B189)-1)*100,"")</f>
        <v>-4.88545997642917</v>
      </c>
      <c r="H201" s="23" t="n">
        <f aca="false">'SA Data'!U201</f>
        <v>127.021856224876</v>
      </c>
      <c r="I201" s="24" t="n">
        <f aca="false">(H201/H200-1)*100</f>
        <v>-8.82564580756154</v>
      </c>
      <c r="J201" s="24" t="n">
        <f aca="false">(AVERAGE(H199:H201)/AVERAGE(H196:H198)-1)*100</f>
        <v>-4.00298877600309</v>
      </c>
      <c r="K201" s="24" t="n">
        <f aca="false">((AVERAGE(H199:H201)/AVERAGE(H196:H198))^4-1)*100</f>
        <v>-15.0759206169666</v>
      </c>
      <c r="L201" s="24" t="n">
        <f aca="false">IFERROR(('SA Data'!Y201/'SA Data'!Y189-1)*100,"")</f>
        <v>-11.8900895695363</v>
      </c>
      <c r="M201" s="24" t="n">
        <f aca="false">IFERROR((AVERAGE('SA Data'!Y199:Y201)/AVERAGE('SA Data'!Y187:Y189)-1)*100,"")</f>
        <v>-5.17685580115438</v>
      </c>
    </row>
    <row r="202" customFormat="false" ht="15" hidden="false" customHeight="false" outlineLevel="0" collapsed="false">
      <c r="A202" s="20" t="n">
        <v>43951</v>
      </c>
      <c r="B202" s="23" t="n">
        <f aca="false">'SA Data'!B202</f>
        <v>105.99228</v>
      </c>
      <c r="C202" s="24" t="n">
        <f aca="false">(B202/B201-1)*100</f>
        <v>-15.8525963548024</v>
      </c>
      <c r="D202" s="24" t="n">
        <f aca="false">(AVERAGE(B200:B202)/AVERAGE(B197:B199)-1)*100</f>
        <v>-11.9538804233468</v>
      </c>
      <c r="E202" s="24" t="n">
        <f aca="false">((AVERAGE(B200:B202)/AVERAGE(B197:B199))^4-1)*100</f>
        <v>-39.9046483352601</v>
      </c>
      <c r="F202" s="24" t="n">
        <f aca="false">(B202/B190-1)*100</f>
        <v>-25.6746307425526</v>
      </c>
      <c r="G202" s="24" t="n">
        <f aca="false">IFERROR((AVERAGE(B199:B202)/AVERAGE(B187:B190)-1)*100,"")</f>
        <v>-10.0873196131487</v>
      </c>
      <c r="H202" s="23" t="n">
        <f aca="false">'SA Data'!U202</f>
        <v>106.498669158658</v>
      </c>
      <c r="I202" s="24" t="n">
        <f aca="false">(H202/H201-1)*100</f>
        <v>-16.1572092206592</v>
      </c>
      <c r="J202" s="24" t="n">
        <f aca="false">(AVERAGE(H200:H202)/AVERAGE(H197:H199)-1)*100</f>
        <v>-11.3337650125339</v>
      </c>
      <c r="K202" s="24" t="n">
        <f aca="false">((AVERAGE(H200:H202)/AVERAGE(H197:H199))^4-1)*100</f>
        <v>-38.1936538197049</v>
      </c>
      <c r="L202" s="24" t="n">
        <f aca="false">IFERROR(('SA Data'!Y202/'SA Data'!Y190-1)*100,"")</f>
        <v>-26.070828092909</v>
      </c>
      <c r="M202" s="24" t="n">
        <f aca="false">IFERROR((AVERAGE('SA Data'!Y199:Y202)/AVERAGE('SA Data'!Y187:Y190)-1)*100,"")</f>
        <v>-10.758148390008</v>
      </c>
    </row>
    <row r="203" customFormat="false" ht="15" hidden="false" customHeight="false" outlineLevel="0" collapsed="false">
      <c r="A203" s="20" t="n">
        <v>43982</v>
      </c>
      <c r="B203" s="23" t="n">
        <f aca="false">'SA Data'!B203</f>
        <v>117.20962</v>
      </c>
      <c r="C203" s="24" t="n">
        <f aca="false">(B203/B202-1)*100</f>
        <v>10.5831670004646</v>
      </c>
      <c r="D203" s="24" t="n">
        <f aca="false">(AVERAGE(B201:B203)/AVERAGE(B198:B200)-1)*100</f>
        <v>-16.986056544092</v>
      </c>
      <c r="E203" s="24" t="n">
        <f aca="false">((AVERAGE(B201:B203)/AVERAGE(B198:B200))^4-1)*100</f>
        <v>-52.5097802156523</v>
      </c>
      <c r="F203" s="24" t="n">
        <f aca="false">(B203/B191-1)*100</f>
        <v>-19.0755066427549</v>
      </c>
      <c r="G203" s="24" t="n">
        <f aca="false">IFERROR((AVERAGE(B199:B203)/AVERAGE(B187:B191)-1)*100,"")</f>
        <v>-11.9086752696123</v>
      </c>
      <c r="H203" s="23" t="n">
        <f aca="false">'SA Data'!U203</f>
        <v>116.001374469998</v>
      </c>
      <c r="I203" s="24" t="n">
        <f aca="false">(H203/H202-1)*100</f>
        <v>8.9228394931234</v>
      </c>
      <c r="J203" s="24" t="n">
        <f aca="false">(AVERAGE(H201:H203)/AVERAGE(H198:H200)-1)*100</f>
        <v>-16.6118161757691</v>
      </c>
      <c r="K203" s="24" t="n">
        <f aca="false">((AVERAGE(H201:H203)/AVERAGE(H198:H200))^4-1)*100</f>
        <v>-51.6475972167309</v>
      </c>
      <c r="L203" s="24" t="n">
        <f aca="false">IFERROR(('SA Data'!Y203/'SA Data'!Y191-1)*100,"")</f>
        <v>-21.5106035942226</v>
      </c>
      <c r="M203" s="24" t="n">
        <f aca="false">IFERROR((AVERAGE('SA Data'!Y199:Y203)/AVERAGE('SA Data'!Y187:Y191)-1)*100,"")</f>
        <v>-13.1852955601055</v>
      </c>
    </row>
    <row r="204" customFormat="false" ht="15" hidden="false" customHeight="false" outlineLevel="0" collapsed="false">
      <c r="A204" s="20" t="n">
        <v>44012</v>
      </c>
      <c r="B204" s="23" t="n">
        <f aca="false">'SA Data'!B204</f>
        <v>124.34497</v>
      </c>
      <c r="C204" s="24" t="n">
        <f aca="false">(B204/B203-1)*100</f>
        <v>6.08768290520865</v>
      </c>
      <c r="D204" s="24" t="n">
        <f aca="false">(AVERAGE(B202:B204)/AVERAGE(B199:B201)-1)*100</f>
        <v>-14.49003357665</v>
      </c>
      <c r="E204" s="24" t="n">
        <f aca="false">((AVERAGE(B202:B204)/AVERAGE(B199:B201))^4-1)*100</f>
        <v>-46.5353234705837</v>
      </c>
      <c r="F204" s="24" t="n">
        <f aca="false">(B204/B192-1)*100</f>
        <v>-13.669578067034</v>
      </c>
      <c r="G204" s="24" t="n">
        <f aca="false">IFERROR((AVERAGE(B199:B204)/AVERAGE(B187:B192)-1)*100,"")</f>
        <v>-12.2040072944585</v>
      </c>
      <c r="H204" s="23" t="n">
        <f aca="false">'SA Data'!U204</f>
        <v>123.899066899889</v>
      </c>
      <c r="I204" s="24" t="n">
        <f aca="false">(H204/H203-1)*100</f>
        <v>6.80827487258267</v>
      </c>
      <c r="J204" s="24" t="n">
        <f aca="false">(AVERAGE(H202:H204)/AVERAGE(H199:H201)-1)*100</f>
        <v>-14.7938274683616</v>
      </c>
      <c r="K204" s="24" t="n">
        <f aca="false">((AVERAGE(H202:H204)/AVERAGE(H199:H201))^4-1)*100</f>
        <v>-47.2910665111917</v>
      </c>
      <c r="L204" s="24" t="n">
        <f aca="false">IFERROR(('SA Data'!Y204/'SA Data'!Y192-1)*100,"")</f>
        <v>-14.3191388264955</v>
      </c>
      <c r="M204" s="24" t="n">
        <f aca="false">IFERROR((AVERAGE('SA Data'!Y199:Y204)/AVERAGE('SA Data'!Y187:Y192)-1)*100,"")</f>
        <v>-13.3816249239978</v>
      </c>
    </row>
    <row r="205" customFormat="false" ht="15" hidden="false" customHeight="false" outlineLevel="0" collapsed="false">
      <c r="A205" s="20" t="n">
        <v>44043</v>
      </c>
      <c r="B205" s="23" t="n">
        <f aca="false">'SA Data'!B205</f>
        <v>126.15819</v>
      </c>
      <c r="C205" s="24" t="n">
        <f aca="false">(B205/B204-1)*100</f>
        <v>1.45821740919636</v>
      </c>
      <c r="D205" s="24" t="n">
        <f aca="false">(AVERAGE(B203:B205)/AVERAGE(B200:B202)-1)*100</f>
        <v>-1.02005023979799</v>
      </c>
      <c r="E205" s="24" t="n">
        <f aca="false">((AVERAGE(B203:B205)/AVERAGE(B200:B202))^4-1)*100</f>
        <v>-4.01819427297027</v>
      </c>
      <c r="F205" s="24" t="n">
        <f aca="false">(B205/B193-1)*100</f>
        <v>-13.4929188796596</v>
      </c>
      <c r="G205" s="24" t="n">
        <f aca="false">IFERROR((AVERAGE(B199:B205)/AVERAGE(B187:B193)-1)*100,"")</f>
        <v>-12.3911102919705</v>
      </c>
      <c r="H205" s="23" t="n">
        <f aca="false">'SA Data'!U205</f>
        <v>126.018476048511</v>
      </c>
      <c r="I205" s="24" t="n">
        <f aca="false">(H205/H204-1)*100</f>
        <v>1.71059330925754</v>
      </c>
      <c r="J205" s="24" t="n">
        <f aca="false">(AVERAGE(H203:H205)/AVERAGE(H200:H202)-1)*100</f>
        <v>-1.85580191737523</v>
      </c>
      <c r="K205" s="24" t="n">
        <f aca="false">((AVERAGE(H203:H205)/AVERAGE(H200:H202))^4-1)*100</f>
        <v>-7.21911231625068</v>
      </c>
      <c r="L205" s="24" t="n">
        <f aca="false">IFERROR(('SA Data'!Y205/'SA Data'!Y193-1)*100,"")</f>
        <v>-14.5114517825738</v>
      </c>
      <c r="M205" s="24" t="n">
        <f aca="false">IFERROR((AVERAGE('SA Data'!Y199:Y205)/AVERAGE('SA Data'!Y187:Y193)-1)*100,"")</f>
        <v>-13.5434481424244</v>
      </c>
    </row>
    <row r="206" customFormat="false" ht="15" hidden="false" customHeight="false" outlineLevel="0" collapsed="false">
      <c r="A206" s="20" t="n">
        <v>44074</v>
      </c>
      <c r="B206" s="23" t="n">
        <f aca="false">'SA Data'!B206</f>
        <v>128.84416</v>
      </c>
      <c r="C206" s="24" t="n">
        <f aca="false">(B206/B205-1)*100</f>
        <v>2.12904925157851</v>
      </c>
      <c r="D206" s="24" t="n">
        <f aca="false">(AVERAGE(B204:B206)/AVERAGE(B201:B203)-1)*100</f>
        <v>8.64502925073636</v>
      </c>
      <c r="E206" s="24" t="n">
        <f aca="false">((AVERAGE(B204:B206)/AVERAGE(B201:B203))^4-1)*100</f>
        <v>39.328334194498</v>
      </c>
      <c r="F206" s="24" t="n">
        <f aca="false">(B206/B194-1)*100</f>
        <v>-11.0134436222686</v>
      </c>
      <c r="G206" s="24" t="n">
        <f aca="false">IFERROR((AVERAGE(B199:B206)/AVERAGE(B187:B194)-1)*100,"")</f>
        <v>-12.217567935485</v>
      </c>
      <c r="H206" s="23" t="n">
        <f aca="false">'SA Data'!U206</f>
        <v>126.249241920293</v>
      </c>
      <c r="I206" s="24" t="n">
        <f aca="false">(H206/H205-1)*100</f>
        <v>0.183120665332592</v>
      </c>
      <c r="J206" s="24" t="n">
        <f aca="false">(AVERAGE(H204:H206)/AVERAGE(H201:H203)-1)*100</f>
        <v>7.62323763584678</v>
      </c>
      <c r="K206" s="24" t="n">
        <f aca="false">((AVERAGE(H204:H206)/AVERAGE(H201:H203))^4-1)*100</f>
        <v>34.1603588514432</v>
      </c>
      <c r="L206" s="24" t="n">
        <f aca="false">IFERROR(('SA Data'!Y206/'SA Data'!Y194-1)*100,"")</f>
        <v>-12.8124435557266</v>
      </c>
      <c r="M206" s="24" t="n">
        <f aca="false">IFERROR((AVERAGE('SA Data'!Y199:Y206)/AVERAGE('SA Data'!Y187:Y194)-1)*100,"")</f>
        <v>-13.4549225055316</v>
      </c>
    </row>
    <row r="207" customFormat="false" ht="15" hidden="false" customHeight="false" outlineLevel="0" collapsed="false">
      <c r="A207" s="20" t="n">
        <v>44104</v>
      </c>
      <c r="B207" s="23" t="n">
        <f aca="false">'SA Data'!B207</f>
        <v>130.79655</v>
      </c>
      <c r="C207" s="24" t="n">
        <f aca="false">(B207/B206-1)*100</f>
        <v>1.5153112100696</v>
      </c>
      <c r="D207" s="24" t="n">
        <f aca="false">(AVERAGE(B205:B207)/AVERAGE(B202:B204)-1)*100</f>
        <v>11.0062939136814</v>
      </c>
      <c r="E207" s="24" t="n">
        <f aca="false">((AVERAGE(B205:B207)/AVERAGE(B202:B204))^4-1)*100</f>
        <v>51.8414749344149</v>
      </c>
      <c r="F207" s="24" t="n">
        <f aca="false">(B207/B195-1)*100</f>
        <v>-6.94432754867036</v>
      </c>
      <c r="G207" s="24" t="n">
        <f aca="false">IFERROR((AVERAGE(B199:B207)/AVERAGE(B187:B195)-1)*100,"")</f>
        <v>-11.6429903062608</v>
      </c>
      <c r="H207" s="23" t="n">
        <f aca="false">'SA Data'!U207</f>
        <v>129.986735128345</v>
      </c>
      <c r="I207" s="24" t="n">
        <f aca="false">(H207/H206-1)*100</f>
        <v>2.96040843588712</v>
      </c>
      <c r="J207" s="24" t="n">
        <f aca="false">(AVERAGE(H205:H207)/AVERAGE(H202:H204)-1)*100</f>
        <v>10.3508760498534</v>
      </c>
      <c r="K207" s="24" t="n">
        <f aca="false">((AVERAGE(H205:H207)/AVERAGE(H202:H204))^4-1)*100</f>
        <v>48.2870211881601</v>
      </c>
      <c r="L207" s="24" t="n">
        <f aca="false">IFERROR(('SA Data'!Y207/'SA Data'!Y195-1)*100,"")</f>
        <v>-7.72241051614031</v>
      </c>
      <c r="M207" s="24" t="n">
        <f aca="false">IFERROR((AVERAGE('SA Data'!Y199:Y207)/AVERAGE('SA Data'!Y187:Y195)-1)*100,"")</f>
        <v>-12.8596829718281</v>
      </c>
    </row>
    <row r="208" customFormat="false" ht="15" hidden="false" customHeight="false" outlineLevel="0" collapsed="false">
      <c r="A208" s="20" t="n">
        <v>44135</v>
      </c>
      <c r="B208" s="23" t="n">
        <f aca="false">'SA Data'!B208</f>
        <v>133.39866</v>
      </c>
      <c r="C208" s="24" t="n">
        <f aca="false">(B208/B207-1)*100</f>
        <v>1.98943320752727</v>
      </c>
      <c r="D208" s="24" t="n">
        <f aca="false">(AVERAGE(B206:B208)/AVERAGE(B203:B205)-1)*100</f>
        <v>6.8876012413819</v>
      </c>
      <c r="E208" s="24" t="n">
        <f aca="false">((AVERAGE(B206:B208)/AVERAGE(B203:B205))^4-1)*100</f>
        <v>30.5296949869294</v>
      </c>
      <c r="F208" s="24" t="n">
        <f aca="false">(B208/B196-1)*100</f>
        <v>-7.23143770392859</v>
      </c>
      <c r="G208" s="24" t="n">
        <f aca="false">IFERROR((AVERAGE(B199:B208)/AVERAGE(B187:B196)-1)*100,"")</f>
        <v>-11.2005435384698</v>
      </c>
      <c r="H208" s="23" t="n">
        <f aca="false">'SA Data'!U208</f>
        <v>132.72759265748</v>
      </c>
      <c r="I208" s="24" t="n">
        <f aca="false">(H208/H207-1)*100</f>
        <v>2.10856709834972</v>
      </c>
      <c r="J208" s="24" t="n">
        <f aca="false">(AVERAGE(H206:H208)/AVERAGE(H203:H205)-1)*100</f>
        <v>6.29774826901639</v>
      </c>
      <c r="K208" s="24" t="n">
        <f aca="false">((AVERAGE(H206:H208)/AVERAGE(H203:H205))^4-1)*100</f>
        <v>27.6721757096959</v>
      </c>
      <c r="L208" s="24" t="n">
        <f aca="false">IFERROR(('SA Data'!Y208/'SA Data'!Y196-1)*100,"")</f>
        <v>-7.83236870960923</v>
      </c>
      <c r="M208" s="24" t="n">
        <f aca="false">IFERROR((AVERAGE('SA Data'!Y199:Y208)/AVERAGE('SA Data'!Y187:Y196)-1)*100,"")</f>
        <v>-12.3686960265549</v>
      </c>
    </row>
    <row r="209" customFormat="false" ht="15" hidden="false" customHeight="false" outlineLevel="0" collapsed="false">
      <c r="A209" s="20" t="n">
        <v>44165</v>
      </c>
      <c r="B209" s="23" t="n">
        <f aca="false">'SA Data'!B209</f>
        <v>134.87132</v>
      </c>
      <c r="C209" s="24" t="n">
        <f aca="false">(B209/B208-1)*100</f>
        <v>1.10395411768003</v>
      </c>
      <c r="D209" s="24" t="n">
        <f aca="false">(AVERAGE(B207:B209)/AVERAGE(B204:B206)-1)*100</f>
        <v>5.19819409822113</v>
      </c>
      <c r="E209" s="24" t="n">
        <f aca="false">((AVERAGE(B207:B209)/AVERAGE(B204:B206))^4-1)*100</f>
        <v>22.4709644747305</v>
      </c>
      <c r="F209" s="24" t="n">
        <f aca="false">(B209/B197-1)*100</f>
        <v>-4.26761252491329</v>
      </c>
      <c r="G209" s="24" t="n">
        <f aca="false">IFERROR((AVERAGE(B199:B209)/AVERAGE(B187:B197)-1)*100,"")</f>
        <v>-10.5802587992817</v>
      </c>
      <c r="H209" s="23" t="n">
        <f aca="false">'SA Data'!U209</f>
        <v>133.584063177891</v>
      </c>
      <c r="I209" s="24" t="n">
        <f aca="false">(H209/H208-1)*100</f>
        <v>0.645284453113493</v>
      </c>
      <c r="J209" s="24" t="n">
        <f aca="false">(AVERAGE(H207:H209)/AVERAGE(H204:H206)-1)*100</f>
        <v>5.351776633349</v>
      </c>
      <c r="K209" s="24" t="n">
        <f aca="false">((AVERAGE(H207:H209)/AVERAGE(H204:H206))^4-1)*100</f>
        <v>23.1877308499583</v>
      </c>
      <c r="L209" s="24" t="n">
        <f aca="false">IFERROR(('SA Data'!Y209/'SA Data'!Y197-1)*100,"")</f>
        <v>-5.26151202788229</v>
      </c>
      <c r="M209" s="24" t="n">
        <f aca="false">IFERROR((AVERAGE('SA Data'!Y199:Y209)/AVERAGE('SA Data'!Y187:Y197)-1)*100,"")</f>
        <v>-11.7473090536819</v>
      </c>
    </row>
    <row r="210" customFormat="false" ht="15" hidden="false" customHeight="false" outlineLevel="0" collapsed="false">
      <c r="A210" s="20" t="n">
        <v>44196</v>
      </c>
      <c r="B210" s="23" t="n">
        <f aca="false">'SA Data'!B210</f>
        <v>136.95759</v>
      </c>
      <c r="C210" s="24" t="n">
        <f aca="false">(B210/B209-1)*100</f>
        <v>1.54685962886698</v>
      </c>
      <c r="D210" s="24" t="n">
        <f aca="false">(AVERAGE(B208:B210)/AVERAGE(B205:B207)-1)*100</f>
        <v>5.03595785265329</v>
      </c>
      <c r="E210" s="24" t="n">
        <f aca="false">((AVERAGE(B208:B210)/AVERAGE(B205:B207))^4-1)*100</f>
        <v>21.7172133860177</v>
      </c>
      <c r="F210" s="24" t="n">
        <f aca="false">(B210/B198-1)*100</f>
        <v>-2.26159627405742</v>
      </c>
      <c r="G210" s="24" t="n">
        <f aca="false">IFERROR((AVERAGE(B199:B210)/AVERAGE(B187:B198)-1)*100,"")</f>
        <v>-9.90048481978758</v>
      </c>
      <c r="H210" s="23" t="n">
        <f aca="false">'SA Data'!U210</f>
        <v>135.880861115506</v>
      </c>
      <c r="I210" s="24" t="n">
        <f aca="false">(H210/H209-1)*100</f>
        <v>1.71936523188176</v>
      </c>
      <c r="J210" s="24" t="n">
        <f aca="false">(AVERAGE(H208:H210)/AVERAGE(H205:H207)-1)*100</f>
        <v>5.21591408345505</v>
      </c>
      <c r="K210" s="24" t="n">
        <f aca="false">((AVERAGE(H208:H210)/AVERAGE(H205:H207))^4-1)*100</f>
        <v>22.5535032328639</v>
      </c>
      <c r="L210" s="24" t="n">
        <f aca="false">IFERROR(('SA Data'!Y210/'SA Data'!Y198-1)*100,"")</f>
        <v>-2.45977380341712</v>
      </c>
      <c r="M210" s="24" t="n">
        <f aca="false">IFERROR((AVERAGE('SA Data'!Y199:Y210)/AVERAGE('SA Data'!Y187:Y198)-1)*100,"")</f>
        <v>-11.009283653472</v>
      </c>
    </row>
    <row r="211" customFormat="false" ht="15" hidden="false" customHeight="false" outlineLevel="0" collapsed="false">
      <c r="A211" s="20" t="n">
        <v>44227</v>
      </c>
      <c r="B211" s="23" t="n">
        <f aca="false">'SA Data'!B211</f>
        <v>139.84977</v>
      </c>
      <c r="C211" s="24" t="n">
        <f aca="false">(B211/B210-1)*100</f>
        <v>2.11173400466524</v>
      </c>
      <c r="D211" s="24" t="n">
        <f aca="false">(AVERAGE(B209:B211)/AVERAGE(B206:B208)-1)*100</f>
        <v>4.74235189212726</v>
      </c>
      <c r="E211" s="24" t="n">
        <f aca="false">((AVERAGE(B209:B211)/AVERAGE(B206:B208))^4-1)*100</f>
        <v>20.3619694630166</v>
      </c>
      <c r="F211" s="24" t="n">
        <f aca="false">(B211/B199-1)*100</f>
        <v>-0.766627843659884</v>
      </c>
      <c r="G211" s="24" t="n">
        <f aca="false">IFERROR((AVERAGE(B211:B211)/AVERAGE(B199:B199)-1)*100,"")</f>
        <v>-0.766627843659884</v>
      </c>
      <c r="H211" s="23" t="n">
        <f aca="false">'SA Data'!U211</f>
        <v>137.245659009163</v>
      </c>
      <c r="I211" s="24" t="n">
        <f aca="false">(H211/H210-1)*100</f>
        <v>1.00440774547064</v>
      </c>
      <c r="J211" s="24" t="n">
        <f aca="false">(AVERAGE(H209:H211)/AVERAGE(H206:H208)-1)*100</f>
        <v>4.56264158873549</v>
      </c>
      <c r="K211" s="24" t="n">
        <f aca="false">((AVERAGE(H209:H211)/AVERAGE(H206:H208))^4-1)*100</f>
        <v>19.538055105897</v>
      </c>
      <c r="L211" s="24" t="n">
        <f aca="false">IFERROR(('SA Data'!Y211/'SA Data'!Y199-1)*100,"")</f>
        <v>-2.47954227950681</v>
      </c>
      <c r="M211" s="24" t="n">
        <f aca="false">IFERROR((AVERAGE('SA Data'!Y211:Y211)/AVERAGE('SA Data'!Y199:Y199)-1)*100,"")</f>
        <v>-2.47954227950681</v>
      </c>
    </row>
    <row r="212" customFormat="false" ht="15" hidden="false" customHeight="false" outlineLevel="0" collapsed="false">
      <c r="A212" s="20" t="n">
        <v>44255</v>
      </c>
      <c r="B212" s="23" t="n">
        <f aca="false">'SA Data'!B212</f>
        <v>138.24268</v>
      </c>
      <c r="C212" s="24" t="n">
        <f aca="false">(B212/B211-1)*100</f>
        <v>-1.1491545534898</v>
      </c>
      <c r="D212" s="24" t="n">
        <f aca="false">(AVERAGE(B210:B212)/AVERAGE(B207:B209)-1)*100</f>
        <v>4.00522439203308</v>
      </c>
      <c r="E212" s="24" t="n">
        <f aca="false">((AVERAGE(B210:B212)/AVERAGE(B207:B209))^4-1)*100</f>
        <v>17.009364693428</v>
      </c>
      <c r="F212" s="24" t="n">
        <f aca="false">(B212/B200-1)*100</f>
        <v>-0.936640808267952</v>
      </c>
      <c r="G212" s="24" t="n">
        <f aca="false">IFERROR((AVERAGE(B211:B212)/AVERAGE(B199:B200)-1)*100,"")</f>
        <v>-0.851215955051909</v>
      </c>
      <c r="H212" s="23" t="n">
        <f aca="false">'SA Data'!U212</f>
        <v>136.673542212141</v>
      </c>
      <c r="I212" s="24" t="n">
        <f aca="false">(H212/H211-1)*100</f>
        <v>-0.416856023827616</v>
      </c>
      <c r="J212" s="24" t="n">
        <f aca="false">(AVERAGE(H210:H212)/AVERAGE(H207:H209)-1)*100</f>
        <v>3.406945796641</v>
      </c>
      <c r="K212" s="24" t="n">
        <f aca="false">((AVERAGE(H210:H212)/AVERAGE(H207:H209))^4-1)*100</f>
        <v>14.3401728442411</v>
      </c>
      <c r="L212" s="24" t="n">
        <f aca="false">IFERROR(('SA Data'!Y212/'SA Data'!Y200-1)*100,"")</f>
        <v>-2.62815675837987</v>
      </c>
      <c r="M212" s="24" t="n">
        <f aca="false">IFERROR((AVERAGE('SA Data'!Y211:Y212)/AVERAGE('SA Data'!Y199:Y200)-1)*100,"")</f>
        <v>-2.5528730195829</v>
      </c>
    </row>
    <row r="213" customFormat="false" ht="15" hidden="false" customHeight="false" outlineLevel="0" collapsed="false">
      <c r="A213" s="20" t="n">
        <v>44286</v>
      </c>
      <c r="B213" s="23" t="n">
        <f aca="false">'SA Data'!B213</f>
        <v>140.89139</v>
      </c>
      <c r="C213" s="24" t="n">
        <f aca="false">(B213/B212-1)*100</f>
        <v>1.91598571439731</v>
      </c>
      <c r="D213" s="24" t="n">
        <f aca="false">(AVERAGE(B211:B213)/AVERAGE(B208:B210)-1)*100</f>
        <v>3.3947023890798</v>
      </c>
      <c r="E213" s="24" t="n">
        <f aca="false">((AVERAGE(B211:B213)/AVERAGE(B208:B210))^4-1)*100</f>
        <v>14.2860308436057</v>
      </c>
      <c r="F213" s="24" t="n">
        <f aca="false">(B213/B201-1)*100</f>
        <v>11.8538507187783</v>
      </c>
      <c r="G213" s="24" t="n">
        <f aca="false">IFERROR((AVERAGE(B211:B213)/AVERAGE(B199:B201)-1)*100,"")</f>
        <v>3.08622284622</v>
      </c>
      <c r="H213" s="23" t="n">
        <f aca="false">'SA Data'!U213</f>
        <v>141.673341720211</v>
      </c>
      <c r="I213" s="24" t="n">
        <f aca="false">(H213/H212-1)*100</f>
        <v>3.65820584375358</v>
      </c>
      <c r="J213" s="24" t="n">
        <f aca="false">(AVERAGE(H211:H213)/AVERAGE(H208:H210)-1)*100</f>
        <v>3.33174423339007</v>
      </c>
      <c r="K213" s="24" t="n">
        <f aca="false">((AVERAGE(H211:H213)/AVERAGE(H208:H210))^4-1)*100</f>
        <v>14.0079249702151</v>
      </c>
      <c r="L213" s="24" t="n">
        <f aca="false">IFERROR(('SA Data'!Y213/'SA Data'!Y201-1)*100,"")</f>
        <v>12.2016746374214</v>
      </c>
      <c r="M213" s="24" t="n">
        <f aca="false">IFERROR((AVERAGE('SA Data'!Y211:Y213)/AVERAGE('SA Data'!Y199:Y201)-1)*100,"")</f>
        <v>2.28856671541919</v>
      </c>
    </row>
    <row r="214" customFormat="false" ht="15" hidden="false" customHeight="false" outlineLevel="0" collapsed="false">
      <c r="A214" s="20" t="n">
        <v>44316</v>
      </c>
      <c r="B214" s="23" t="n">
        <f aca="false">'SA Data'!B214</f>
        <v>139.31159</v>
      </c>
      <c r="C214" s="24" t="n">
        <f aca="false">(B214/B213-1)*100</f>
        <v>-1.12128924272804</v>
      </c>
      <c r="D214" s="24" t="n">
        <f aca="false">(AVERAGE(B212:B214)/AVERAGE(B209:B211)-1)*100</f>
        <v>1.64375284141507</v>
      </c>
      <c r="E214" s="24" t="n">
        <f aca="false">((AVERAGE(B212:B214)/AVERAGE(B209:B211))^4-1)*100</f>
        <v>6.73891058797878</v>
      </c>
      <c r="F214" s="24" t="n">
        <f aca="false">(B214/B202-1)*100</f>
        <v>31.4356007814909</v>
      </c>
      <c r="G214" s="24" t="n">
        <f aca="false">IFERROR((AVERAGE(B211:B214)/AVERAGE(B199:B202)-1)*100,"")</f>
        <v>8.95004955482233</v>
      </c>
      <c r="H214" s="23" t="n">
        <f aca="false">'SA Data'!U214</f>
        <v>142.097156215625</v>
      </c>
      <c r="I214" s="24" t="n">
        <f aca="false">(H214/H213-1)*100</f>
        <v>0.299149077920058</v>
      </c>
      <c r="J214" s="24" t="n">
        <f aca="false">(AVERAGE(H212:H214)/AVERAGE(H209:H211)-1)*100</f>
        <v>3.37671489487663</v>
      </c>
      <c r="K214" s="24" t="n">
        <f aca="false">((AVERAGE(H212:H214)/AVERAGE(H209:H211))^4-1)*100</f>
        <v>14.2065225947595</v>
      </c>
      <c r="L214" s="24" t="n">
        <f aca="false">IFERROR(('SA Data'!Y214/'SA Data'!Y202-1)*100,"")</f>
        <v>30.9759076490301</v>
      </c>
      <c r="M214" s="24" t="n">
        <f aca="false">IFERROR((AVERAGE('SA Data'!Y211:Y214)/AVERAGE('SA Data'!Y199:Y202)-1)*100,"")</f>
        <v>8.6367775159387</v>
      </c>
    </row>
    <row r="215" customFormat="false" ht="15" hidden="false" customHeight="false" outlineLevel="0" collapsed="false">
      <c r="A215" s="20" t="n">
        <v>44347</v>
      </c>
      <c r="B215" s="23" t="n">
        <f aca="false">'SA Data'!B215</f>
        <v>138.85916</v>
      </c>
      <c r="C215" s="24" t="n">
        <f aca="false">(B215/B214-1)*100</f>
        <v>-0.324761206156643</v>
      </c>
      <c r="D215" s="24" t="n">
        <f aca="false">(AVERAGE(B213:B215)/AVERAGE(B210:B212)-1)*100</f>
        <v>0.966654526764987</v>
      </c>
      <c r="E215" s="24" t="n">
        <f aca="false">((AVERAGE(B213:B215)/AVERAGE(B210:B212))^4-1)*100</f>
        <v>3.92304554355523</v>
      </c>
      <c r="F215" s="24" t="n">
        <f aca="false">(B215/B203-1)*100</f>
        <v>18.4707876367145</v>
      </c>
      <c r="G215" s="24" t="n">
        <f aca="false">IFERROR((AVERAGE(B211:B215)/AVERAGE(B199:B203)-1)*100,"")</f>
        <v>10.722361333881</v>
      </c>
      <c r="H215" s="23" t="n">
        <f aca="false">'SA Data'!U215</f>
        <v>139.683443918023</v>
      </c>
      <c r="I215" s="24" t="n">
        <f aca="false">(H215/H214-1)*100</f>
        <v>-1.69863518868669</v>
      </c>
      <c r="J215" s="24" t="n">
        <f aca="false">(AVERAGE(H213:H215)/AVERAGE(H210:H212)-1)*100</f>
        <v>3.33183929723937</v>
      </c>
      <c r="K215" s="24" t="n">
        <f aca="false">((AVERAGE(H213:H215)/AVERAGE(H210:H212))^4-1)*100</f>
        <v>14.0083445139762</v>
      </c>
      <c r="L215" s="24" t="n">
        <f aca="false">IFERROR(('SA Data'!Y215/'SA Data'!Y203-1)*100,"")</f>
        <v>16.9026874630012</v>
      </c>
      <c r="M215" s="24" t="n">
        <f aca="false">IFERROR((AVERAGE('SA Data'!Y211:Y215)/AVERAGE('SA Data'!Y199:Y203)-1)*100,"")</f>
        <v>10.3237066411908</v>
      </c>
    </row>
    <row r="216" customFormat="false" ht="15" hidden="false" customHeight="false" outlineLevel="0" collapsed="false">
      <c r="A216" s="20" t="n">
        <v>44377</v>
      </c>
      <c r="B216" s="23" t="n">
        <f aca="false">'SA Data'!B216</f>
        <v>141.52411</v>
      </c>
      <c r="C216" s="24" t="n">
        <f aca="false">(B216/B215-1)*100</f>
        <v>1.91917479552663</v>
      </c>
      <c r="D216" s="24" t="n">
        <f aca="false">(AVERAGE(B214:B216)/AVERAGE(B211:B213)-1)*100</f>
        <v>0.16970105577343</v>
      </c>
      <c r="E216" s="24" t="n">
        <f aca="false">((AVERAGE(B214:B216)/AVERAGE(B211:B213))^4-1)*100</f>
        <v>0.680534085673745</v>
      </c>
      <c r="F216" s="24" t="n">
        <f aca="false">(B216/B204-1)*100</f>
        <v>13.8157096342538</v>
      </c>
      <c r="G216" s="24" t="n">
        <f aca="false">IFERROR((AVERAGE(B211:B216)/AVERAGE(B199:B204)-1)*100,"")</f>
        <v>11.2325057674067</v>
      </c>
      <c r="H216" s="23" t="n">
        <f aca="false">'SA Data'!U216</f>
        <v>141.82544938746</v>
      </c>
      <c r="I216" s="24" t="n">
        <f aca="false">(H216/H215-1)*100</f>
        <v>1.53347126141457</v>
      </c>
      <c r="J216" s="24" t="n">
        <f aca="false">(AVERAGE(H214:H216)/AVERAGE(H211:H213)-1)*100</f>
        <v>1.92821231172149</v>
      </c>
      <c r="K216" s="24" t="n">
        <f aca="false">((AVERAGE(H214:H216)/AVERAGE(H211:H213))^4-1)*100</f>
        <v>7.93881087302182</v>
      </c>
      <c r="L216" s="24" t="n">
        <f aca="false">IFERROR(('SA Data'!Y216/'SA Data'!Y204-1)*100,"")</f>
        <v>13.5890200748618</v>
      </c>
      <c r="M216" s="24" t="n">
        <f aca="false">IFERROR((AVERAGE('SA Data'!Y211:Y216)/AVERAGE('SA Data'!Y199:Y204)-1)*100,"")</f>
        <v>10.8829887155338</v>
      </c>
    </row>
    <row r="217" customFormat="false" ht="15" hidden="false" customHeight="false" outlineLevel="0" collapsed="false">
      <c r="A217" s="20" t="n">
        <v>44408</v>
      </c>
      <c r="B217" s="23" t="n">
        <f aca="false">'SA Data'!B217</f>
        <v>141.37917</v>
      </c>
      <c r="C217" s="24" t="n">
        <f aca="false">(B217/B216-1)*100</f>
        <v>-0.102413645279253</v>
      </c>
      <c r="D217" s="24" t="n">
        <f aca="false">(AVERAGE(B215:B217)/AVERAGE(B212:B214)-1)*100</f>
        <v>0.792642944367006</v>
      </c>
      <c r="E217" s="24" t="n">
        <f aca="false">((AVERAGE(B215:B217)/AVERAGE(B212:B214))^4-1)*100</f>
        <v>3.20846834402584</v>
      </c>
      <c r="F217" s="24" t="n">
        <f aca="false">(B217/B205-1)*100</f>
        <v>12.064995542501</v>
      </c>
      <c r="G217" s="24" t="n">
        <f aca="false">IFERROR((AVERAGE(B211:B217)/AVERAGE(B199:B205)-1)*100,"")</f>
        <v>11.3518331207264</v>
      </c>
      <c r="H217" s="23" t="n">
        <f aca="false">'SA Data'!U217</f>
        <v>141.498009709063</v>
      </c>
      <c r="I217" s="24" t="n">
        <f aca="false">(H217/H216-1)*100</f>
        <v>-0.23087512136325</v>
      </c>
      <c r="J217" s="24" t="n">
        <f aca="false">(AVERAGE(H215:H217)/AVERAGE(H212:H214)-1)*100</f>
        <v>0.609560993103453</v>
      </c>
      <c r="K217" s="24" t="n">
        <f aca="false">((AVERAGE(H215:H217)/AVERAGE(H212:H214))^4-1)*100</f>
        <v>2.46062858324854</v>
      </c>
      <c r="L217" s="24" t="n">
        <f aca="false">IFERROR(('SA Data'!Y217/'SA Data'!Y205-1)*100,"")</f>
        <v>11.9378486503033</v>
      </c>
      <c r="M217" s="24" t="n">
        <f aca="false">IFERROR((AVERAGE('SA Data'!Y211:Y217)/AVERAGE('SA Data'!Y199:Y205)-1)*100,"")</f>
        <v>11.0323829263512</v>
      </c>
    </row>
    <row r="218" customFormat="false" ht="15" hidden="false" customHeight="false" outlineLevel="0" collapsed="false">
      <c r="A218" s="20" t="n">
        <v>44439</v>
      </c>
      <c r="B218" s="23" t="n">
        <f aca="false">'SA Data'!B218</f>
        <v>143.3159</v>
      </c>
      <c r="C218" s="24" t="n">
        <f aca="false">(B218/B217-1)*100</f>
        <v>1.36988355498198</v>
      </c>
      <c r="D218" s="24" t="n">
        <f aca="false">(AVERAGE(B216:B218)/AVERAGE(B213:B215)-1)*100</f>
        <v>1.70787081839463</v>
      </c>
      <c r="E218" s="24" t="n">
        <f aca="false">((AVERAGE(B216:B218)/AVERAGE(B213:B215))^4-1)*100</f>
        <v>7.00849376794359</v>
      </c>
      <c r="F218" s="24" t="n">
        <f aca="false">(B218/B206-1)*100</f>
        <v>11.2319720195312</v>
      </c>
      <c r="G218" s="24" t="n">
        <f aca="false">IFERROR((AVERAGE(B211:B218)/AVERAGE(B199:B206)-1)*100,"")</f>
        <v>11.3365273080517</v>
      </c>
      <c r="H218" s="23" t="n">
        <f aca="false">'SA Data'!U218</f>
        <v>142.198031760711</v>
      </c>
      <c r="I218" s="24" t="n">
        <f aca="false">(H218/H217-1)*100</f>
        <v>0.494722189440888</v>
      </c>
      <c r="J218" s="24" t="n">
        <f aca="false">(AVERAGE(H216:H218)/AVERAGE(H213:H215)-1)*100</f>
        <v>0.488258296598687</v>
      </c>
      <c r="K218" s="24" t="n">
        <f aca="false">((AVERAGE(H216:H218)/AVERAGE(H213:H215))^4-1)*100</f>
        <v>1.96738357264135</v>
      </c>
      <c r="L218" s="24" t="n">
        <f aca="false">IFERROR(('SA Data'!Y218/'SA Data'!Y206-1)*100,"")</f>
        <v>12.9998972735177</v>
      </c>
      <c r="M218" s="24" t="n">
        <f aca="false">IFERROR((AVERAGE('SA Data'!Y211:Y218)/AVERAGE('SA Data'!Y199:Y206)-1)*100,"")</f>
        <v>11.2724203743825</v>
      </c>
    </row>
    <row r="219" customFormat="false" ht="15" hidden="false" customHeight="false" outlineLevel="0" collapsed="false">
      <c r="A219" s="20" t="n">
        <v>44469</v>
      </c>
      <c r="B219" s="23" t="n">
        <f aca="false">'SA Data'!B219</f>
        <v>144.17735</v>
      </c>
      <c r="C219" s="24" t="n">
        <f aca="false">(B219/B218-1)*100</f>
        <v>0.6010847365854</v>
      </c>
      <c r="D219" s="24" t="n">
        <f aca="false">(AVERAGE(B217:B219)/AVERAGE(B214:B216)-1)*100</f>
        <v>2.18672203895944</v>
      </c>
      <c r="E219" s="24" t="n">
        <f aca="false">((AVERAGE(B217:B219)/AVERAGE(B214:B216))^4-1)*100</f>
        <v>9.03799876365152</v>
      </c>
      <c r="F219" s="24" t="n">
        <f aca="false">(B219/B207-1)*100</f>
        <v>10.2302392532525</v>
      </c>
      <c r="G219" s="24" t="n">
        <f aca="false">IFERROR((AVERAGE(B211:B219)/AVERAGE(B199:B207)-1)*100,"")</f>
        <v>11.2095748222763</v>
      </c>
      <c r="H219" s="23" t="n">
        <f aca="false">'SA Data'!U219</f>
        <v>143.616303336373</v>
      </c>
      <c r="I219" s="24" t="n">
        <f aca="false">(H219/H218-1)*100</f>
        <v>0.997391847201246</v>
      </c>
      <c r="J219" s="24" t="n">
        <f aca="false">(AVERAGE(H217:H219)/AVERAGE(H214:H216)-1)*100</f>
        <v>0.874939177386258</v>
      </c>
      <c r="K219" s="24" t="n">
        <f aca="false">((AVERAGE(H217:H219)/AVERAGE(H214:H216))^4-1)*100</f>
        <v>3.54595632228434</v>
      </c>
      <c r="L219" s="24" t="n">
        <f aca="false">IFERROR(('SA Data'!Y219/'SA Data'!Y207-1)*100,"")</f>
        <v>11.4272790246724</v>
      </c>
      <c r="M219" s="24" t="n">
        <f aca="false">IFERROR((AVERAGE('SA Data'!Y211:Y219)/AVERAGE('SA Data'!Y199:Y207)-1)*100,"")</f>
        <v>11.2894482069577</v>
      </c>
    </row>
    <row r="220" customFormat="false" ht="15" hidden="false" customHeight="false" outlineLevel="0" collapsed="false">
      <c r="A220" s="20" t="n">
        <v>44500</v>
      </c>
      <c r="B220" s="23" t="n">
        <f aca="false">'SA Data'!B220</f>
        <v>143.35586</v>
      </c>
      <c r="C220" s="24" t="n">
        <f aca="false">(B220/B219-1)*100</f>
        <v>-0.569777430366136</v>
      </c>
      <c r="D220" s="24" t="n">
        <f aca="false">(AVERAGE(B218:B220)/AVERAGE(B215:B217)-1)*100</f>
        <v>2.15445216032038</v>
      </c>
      <c r="E220" s="24" t="n">
        <f aca="false">((AVERAGE(B218:B220)/AVERAGE(B215:B217))^4-1)*100</f>
        <v>8.90033013030243</v>
      </c>
      <c r="F220" s="24" t="n">
        <f aca="false">(B220/B208-1)*100</f>
        <v>7.46424289419398</v>
      </c>
      <c r="G220" s="24" t="n">
        <f aca="false">IFERROR((AVERAGE(B211:B220)/AVERAGE(B199:B208)-1)*100,"")</f>
        <v>10.8171554884161</v>
      </c>
      <c r="H220" s="23" t="n">
        <f aca="false">'SA Data'!U220</f>
        <v>142.866143153196</v>
      </c>
      <c r="I220" s="24" t="n">
        <f aca="false">(H220/H219-1)*100</f>
        <v>-0.522336368329801</v>
      </c>
      <c r="J220" s="24" t="n">
        <f aca="false">(AVERAGE(H218:H220)/AVERAGE(H215:H217)-1)*100</f>
        <v>1.34124885322224</v>
      </c>
      <c r="K220" s="24" t="n">
        <f aca="false">((AVERAGE(H218:H220)/AVERAGE(H215:H217))^4-1)*100</f>
        <v>5.47390069331852</v>
      </c>
      <c r="L220" s="24" t="n">
        <f aca="false">IFERROR(('SA Data'!Y220/'SA Data'!Y208-1)*100,"")</f>
        <v>6.87412936774543</v>
      </c>
      <c r="M220" s="24" t="n">
        <f aca="false">IFERROR((AVERAGE('SA Data'!Y211:Y220)/AVERAGE('SA Data'!Y199:Y208)-1)*100,"")</f>
        <v>10.8359086900328</v>
      </c>
    </row>
    <row r="221" customFormat="false" ht="15" hidden="false" customHeight="false" outlineLevel="0" collapsed="false">
      <c r="A221" s="20" t="n">
        <v>44530</v>
      </c>
      <c r="B221" s="23" t="n">
        <f aca="false">'SA Data'!B221</f>
        <v>145.71357</v>
      </c>
      <c r="C221" s="24" t="n">
        <f aca="false">(B221/B220-1)*100</f>
        <v>1.6446554748442</v>
      </c>
      <c r="D221" s="24" t="n">
        <f aca="false">(AVERAGE(B219:B221)/AVERAGE(B216:B218)-1)*100</f>
        <v>1.64882303044176</v>
      </c>
      <c r="E221" s="24" t="n">
        <f aca="false">((AVERAGE(B219:B221)/AVERAGE(B216:B218))^4-1)*100</f>
        <v>6.76020956337304</v>
      </c>
      <c r="F221" s="24" t="n">
        <f aca="false">(B221/B209-1)*100</f>
        <v>8.03895891283633</v>
      </c>
      <c r="G221" s="24" t="n">
        <f aca="false">IFERROR((AVERAGE(B211:B221)/AVERAGE(B199:B209)-1)*100,"")</f>
        <v>10.5510445842088</v>
      </c>
      <c r="H221" s="23" t="n">
        <f aca="false">'SA Data'!U221</f>
        <v>145.982973274251</v>
      </c>
      <c r="I221" s="24" t="n">
        <f aca="false">(H221/H220-1)*100</f>
        <v>2.18164363666789</v>
      </c>
      <c r="J221" s="24" t="n">
        <f aca="false">(AVERAGE(H219:H221)/AVERAGE(H216:H218)-1)*100</f>
        <v>1.6318632679625</v>
      </c>
      <c r="K221" s="24" t="n">
        <f aca="false">((AVERAGE(H219:H221)/AVERAGE(H216:H218))^4-1)*100</f>
        <v>6.68897707303322</v>
      </c>
      <c r="L221" s="24" t="n">
        <f aca="false">IFERROR(('SA Data'!Y221/'SA Data'!Y209-1)*100,"")</f>
        <v>9.36377082660818</v>
      </c>
      <c r="M221" s="24" t="n">
        <f aca="false">IFERROR((AVERAGE('SA Data'!Y211:Y221)/AVERAGE('SA Data'!Y199:Y209)-1)*100,"")</f>
        <v>10.6977393889902</v>
      </c>
    </row>
    <row r="222" customFormat="false" ht="15" hidden="false" customHeight="false" outlineLevel="0" collapsed="false">
      <c r="A222" s="20" t="n">
        <v>44561</v>
      </c>
      <c r="B222" s="23" t="n">
        <f aca="false">'SA Data'!B222</f>
        <v>149.7204</v>
      </c>
      <c r="C222" s="24" t="n">
        <f aca="false">(B222/B221-1)*100</f>
        <v>2.74979880048234</v>
      </c>
      <c r="D222" s="24" t="n">
        <f aca="false">(AVERAGE(B220:B222)/AVERAGE(B217:B219)-1)*100</f>
        <v>2.31243827709884</v>
      </c>
      <c r="E222" s="24" t="n">
        <f aca="false">((AVERAGE(B220:B222)/AVERAGE(B217:B219))^4-1)*100</f>
        <v>9.57557013584758</v>
      </c>
      <c r="F222" s="24" t="n">
        <f aca="false">(B222/B210-1)*100</f>
        <v>9.31880445618238</v>
      </c>
      <c r="G222" s="24" t="n">
        <f aca="false">IFERROR((AVERAGE(B211:B222)/AVERAGE(B199:B210)-1)*100,"")</f>
        <v>10.4418127652254</v>
      </c>
      <c r="H222" s="23" t="n">
        <f aca="false">'SA Data'!U222</f>
        <v>148.602856322909</v>
      </c>
      <c r="I222" s="24" t="n">
        <f aca="false">(H222/H221-1)*100</f>
        <v>1.79464973886827</v>
      </c>
      <c r="J222" s="24" t="n">
        <f aca="false">(AVERAGE(H220:H222)/AVERAGE(H217:H219)-1)*100</f>
        <v>2.37288439415648</v>
      </c>
      <c r="K222" s="24" t="n">
        <f aca="false">((AVERAGE(H220:H222)/AVERAGE(H217:H219))^4-1)*100</f>
        <v>9.83474838743803</v>
      </c>
      <c r="L222" s="24" t="n">
        <f aca="false">IFERROR(('SA Data'!Y222/'SA Data'!Y210-1)*100,"")</f>
        <v>9.31109209192649</v>
      </c>
      <c r="M222" s="24" t="n">
        <f aca="false">IFERROR((AVERAGE('SA Data'!Y211:Y222)/AVERAGE('SA Data'!Y199:Y210)-1)*100,"")</f>
        <v>10.5769647080211</v>
      </c>
    </row>
    <row r="223" customFormat="false" ht="15" hidden="false" customHeight="false" outlineLevel="0" collapsed="false">
      <c r="A223" s="20" t="n">
        <v>44592</v>
      </c>
      <c r="B223" s="23" t="n">
        <f aca="false">'SA Data'!B223</f>
        <v>148.52455</v>
      </c>
      <c r="C223" s="24" t="n">
        <f aca="false">(B223/B222-1)*100</f>
        <v>-0.798722151423592</v>
      </c>
      <c r="D223" s="24" t="n">
        <f aca="false">(AVERAGE(B221:B223)/AVERAGE(B218:B220)-1)*100</f>
        <v>3.04269167458651</v>
      </c>
      <c r="E223" s="24" t="n">
        <f aca="false">((AVERAGE(B221:B223)/AVERAGE(B218:B220))^4-1)*100</f>
        <v>12.7375984284929</v>
      </c>
      <c r="F223" s="24" t="n">
        <f aca="false">(B223/B211-1)*100</f>
        <v>6.20292761296639</v>
      </c>
      <c r="G223" s="24" t="n">
        <f aca="false">IFERROR((AVERAGE(B223:B223)/AVERAGE(B211:B211)-1)*100,"")</f>
        <v>6.20292761296639</v>
      </c>
      <c r="H223" s="23" t="n">
        <f aca="false">'SA Data'!U223</f>
        <v>145.668253454603</v>
      </c>
      <c r="I223" s="24" t="n">
        <f aca="false">(H223/H222-1)*100</f>
        <v>-1.97479573469929</v>
      </c>
      <c r="J223" s="24" t="n">
        <f aca="false">(AVERAGE(H221:H223)/AVERAGE(H218:H220)-1)*100</f>
        <v>2.69982081962825</v>
      </c>
      <c r="K223" s="24" t="n">
        <f aca="false">((AVERAGE(H221:H223)/AVERAGE(H218:H220))^4-1)*100</f>
        <v>11.2445499886272</v>
      </c>
      <c r="L223" s="24" t="n">
        <f aca="false">IFERROR(('SA Data'!Y223/'SA Data'!Y211-1)*100,"")</f>
        <v>6.20453650633588</v>
      </c>
      <c r="M223" s="24" t="n">
        <f aca="false">IFERROR((AVERAGE('SA Data'!Y223:Y223)/AVERAGE('SA Data'!Y211:Y211)-1)*100,"")</f>
        <v>6.20453650633588</v>
      </c>
    </row>
    <row r="224" customFormat="false" ht="15" hidden="false" customHeight="false" outlineLevel="0" collapsed="false">
      <c r="A224" s="20" t="n">
        <v>44620</v>
      </c>
      <c r="B224" s="23" t="n">
        <f aca="false">'SA Data'!B224</f>
        <v>150.70923</v>
      </c>
      <c r="C224" s="24" t="n">
        <f aca="false">(B224/B223-1)*100</f>
        <v>1.47092181056936</v>
      </c>
      <c r="D224" s="24" t="n">
        <f aca="false">(AVERAGE(B222:B224)/AVERAGE(B219:B221)-1)*100</f>
        <v>3.62550876892842</v>
      </c>
      <c r="E224" s="24" t="n">
        <f aca="false">((AVERAGE(B222:B224)/AVERAGE(B219:B221))^4-1)*100</f>
        <v>15.3099286087405</v>
      </c>
      <c r="F224" s="24" t="n">
        <f aca="false">(B224/B212-1)*100</f>
        <v>9.01787349608672</v>
      </c>
      <c r="G224" s="24" t="n">
        <f aca="false">IFERROR((AVERAGE(B223:B224)/AVERAGE(B211:B212)-1)*100,"")</f>
        <v>7.6022668001235</v>
      </c>
      <c r="H224" s="23" t="n">
        <f aca="false">'SA Data'!U224</f>
        <v>148.57113015852</v>
      </c>
      <c r="I224" s="24" t="n">
        <f aca="false">(H224/H223-1)*100</f>
        <v>1.99279982774094</v>
      </c>
      <c r="J224" s="24" t="n">
        <f aca="false">(AVERAGE(H222:H224)/AVERAGE(H219:H221)-1)*100</f>
        <v>2.39945662658514</v>
      </c>
      <c r="K224" s="24" t="n">
        <f aca="false">((AVERAGE(H222:H224)/AVERAGE(H219:H221))^4-1)*100</f>
        <v>9.94882902512941</v>
      </c>
      <c r="L224" s="24" t="n">
        <f aca="false">IFERROR(('SA Data'!Y224/'SA Data'!Y212-1)*100,"")</f>
        <v>8.63831122311267</v>
      </c>
      <c r="M224" s="24" t="n">
        <f aca="false">IFERROR((AVERAGE('SA Data'!Y223:Y224)/AVERAGE('SA Data'!Y211:Y212)-1)*100,"")</f>
        <v>7.40450452672361</v>
      </c>
    </row>
    <row r="225" customFormat="false" ht="15" hidden="false" customHeight="false" outlineLevel="0" collapsed="false">
      <c r="A225" s="20" t="n">
        <v>44651</v>
      </c>
      <c r="B225" s="23" t="n">
        <f aca="false">'SA Data'!B225</f>
        <v>150.34672</v>
      </c>
      <c r="C225" s="24" t="n">
        <f aca="false">(B225/B224-1)*100</f>
        <v>-0.240536030872152</v>
      </c>
      <c r="D225" s="24" t="n">
        <f aca="false">(AVERAGE(B223:B225)/AVERAGE(B220:B222)-1)*100</f>
        <v>2.45918871911868</v>
      </c>
      <c r="E225" s="24" t="n">
        <f aca="false">((AVERAGE(B223:B225)/AVERAGE(B220:B222))^4-1)*100</f>
        <v>10.2055968843115</v>
      </c>
      <c r="F225" s="24" t="n">
        <f aca="false">(B225/B213-1)*100</f>
        <v>6.71107723474089</v>
      </c>
      <c r="G225" s="24" t="n">
        <f aca="false">IFERROR((AVERAGE(B223:B225)/AVERAGE(B211:B213)-1)*100,"")</f>
        <v>7.30258713558023</v>
      </c>
      <c r="H225" s="23" t="n">
        <f aca="false">'SA Data'!U225</f>
        <v>149.302110863641</v>
      </c>
      <c r="I225" s="24" t="n">
        <f aca="false">(H225/H224-1)*100</f>
        <v>0.492007232051672</v>
      </c>
      <c r="J225" s="24" t="n">
        <f aca="false">(AVERAGE(H223:H225)/AVERAGE(H220:H222)-1)*100</f>
        <v>1.39204349408255</v>
      </c>
      <c r="K225" s="24" t="n">
        <f aca="false">((AVERAGE(H223:H225)/AVERAGE(H220:H222))^4-1)*100</f>
        <v>5.68552382915697</v>
      </c>
      <c r="L225" s="24" t="n">
        <f aca="false">IFERROR(('SA Data'!Y225/'SA Data'!Y213-1)*100,"")</f>
        <v>5.44850163804851</v>
      </c>
      <c r="M225" s="24" t="n">
        <f aca="false">IFERROR((AVERAGE('SA Data'!Y223:Y225)/AVERAGE('SA Data'!Y211:Y213)-1)*100,"")</f>
        <v>6.70047581932942</v>
      </c>
    </row>
    <row r="226" customFormat="false" ht="15" hidden="false" customHeight="false" outlineLevel="0" collapsed="false">
      <c r="A226" s="20" t="n">
        <v>44681</v>
      </c>
      <c r="B226" s="23" t="n">
        <f aca="false">'SA Data'!B226</f>
        <v>152.0977</v>
      </c>
      <c r="C226" s="24" t="n">
        <f aca="false">(B226/B225-1)*100</f>
        <v>1.16462800119617</v>
      </c>
      <c r="D226" s="24" t="n">
        <f aca="false">(AVERAGE(B224:B226)/AVERAGE(B221:B223)-1)*100</f>
        <v>2.07116872089761</v>
      </c>
      <c r="E226" s="24" t="n">
        <f aca="false">((AVERAGE(B224:B226)/AVERAGE(B221:B223))^4-1)*100</f>
        <v>8.54563158770023</v>
      </c>
      <c r="F226" s="24" t="n">
        <f aca="false">(B226/B214-1)*100</f>
        <v>9.17806623268029</v>
      </c>
      <c r="G226" s="24" t="n">
        <f aca="false">IFERROR((AVERAGE(B223:B226)/AVERAGE(B211:B214)-1)*100,"")</f>
        <v>7.77057587593006</v>
      </c>
      <c r="H226" s="23" t="n">
        <f aca="false">'SA Data'!U226</f>
        <v>151.181974239412</v>
      </c>
      <c r="I226" s="24" t="n">
        <f aca="false">(H226/H225-1)*100</f>
        <v>1.25910033347634</v>
      </c>
      <c r="J226" s="24" t="n">
        <f aca="false">(AVERAGE(H224:H226)/AVERAGE(H221:H223)-1)*100</f>
        <v>1.99910291548033</v>
      </c>
      <c r="K226" s="24" t="n">
        <f aca="false">((AVERAGE(H224:H226)/AVERAGE(H221:H223))^4-1)*100</f>
        <v>8.2394080771603</v>
      </c>
      <c r="L226" s="24" t="n">
        <f aca="false">IFERROR(('SA Data'!Y226/'SA Data'!Y214-1)*100,"")</f>
        <v>5.92864103457744</v>
      </c>
      <c r="M226" s="24" t="n">
        <f aca="false">IFERROR((AVERAGE('SA Data'!Y223:Y226)/AVERAGE('SA Data'!Y211:Y214)-1)*100,"")</f>
        <v>6.49455515332895</v>
      </c>
    </row>
    <row r="227" customFormat="false" ht="15" hidden="false" customHeight="false" outlineLevel="0" collapsed="false">
      <c r="A227" s="20" t="n">
        <v>44712</v>
      </c>
      <c r="B227" s="23" t="n">
        <f aca="false">'SA Data'!B227</f>
        <v>152.12668</v>
      </c>
      <c r="C227" s="24" t="n">
        <f aca="false">(B227/B226-1)*100</f>
        <v>0.0190535425584892</v>
      </c>
      <c r="D227" s="24" t="n">
        <f aca="false">(AVERAGE(B225:B227)/AVERAGE(B222:B224)-1)*100</f>
        <v>1.25111208453388</v>
      </c>
      <c r="E227" s="24" t="n">
        <f aca="false">((AVERAGE(B225:B227)/AVERAGE(B222:B224))^4-1)*100</f>
        <v>5.09915101213967</v>
      </c>
      <c r="F227" s="24" t="n">
        <f aca="false">(B227/B215-1)*100</f>
        <v>9.5546595557686</v>
      </c>
      <c r="G227" s="24" t="n">
        <f aca="false">IFERROR((AVERAGE(B223:B227)/AVERAGE(B211:B215)-1)*100,"")</f>
        <v>8.12592942979835</v>
      </c>
      <c r="H227" s="23" t="n">
        <f aca="false">'SA Data'!U227</f>
        <v>152.687366428908</v>
      </c>
      <c r="I227" s="24" t="n">
        <f aca="false">(H227/H226-1)*100</f>
        <v>0.995748466091673</v>
      </c>
      <c r="J227" s="24" t="n">
        <f aca="false">(AVERAGE(H225:H227)/AVERAGE(H222:H224)-1)*100</f>
        <v>2.33248111052373</v>
      </c>
      <c r="K227" s="24" t="n">
        <f aca="false">((AVERAGE(H225:H227)/AVERAGE(H222:H224))^4-1)*100</f>
        <v>9.66145804430456</v>
      </c>
      <c r="L227" s="24" t="n">
        <f aca="false">IFERROR(('SA Data'!Y227/'SA Data'!Y215-1)*100,"")</f>
        <v>8.08325066952966</v>
      </c>
      <c r="M227" s="24" t="n">
        <f aca="false">IFERROR((AVERAGE('SA Data'!Y223:Y227)/AVERAGE('SA Data'!Y211:Y215)-1)*100,"")</f>
        <v>6.83811506880092</v>
      </c>
    </row>
    <row r="228" customFormat="false" ht="15" hidden="false" customHeight="false" outlineLevel="0" collapsed="false">
      <c r="A228" s="20" t="n">
        <v>44742</v>
      </c>
      <c r="B228" s="23" t="n">
        <f aca="false">'SA Data'!B228</f>
        <v>154.30297</v>
      </c>
      <c r="C228" s="24" t="n">
        <f aca="false">(B228/B227-1)*100</f>
        <v>1.43057746346662</v>
      </c>
      <c r="D228" s="24" t="n">
        <f aca="false">(AVERAGE(B226:B228)/AVERAGE(B223:B225)-1)*100</f>
        <v>1.99004405217751</v>
      </c>
      <c r="E228" s="24" t="n">
        <f aca="false">((AVERAGE(B226:B228)/AVERAGE(B223:B225))^4-1)*100</f>
        <v>8.20096086121303</v>
      </c>
      <c r="F228" s="24" t="n">
        <f aca="false">(B228/B216-1)*100</f>
        <v>9.02945794889647</v>
      </c>
      <c r="G228" s="24" t="n">
        <f aca="false">IFERROR((AVERAGE(B223:B228)/AVERAGE(B211:B216)-1)*100,"")</f>
        <v>8.27839672093733</v>
      </c>
      <c r="H228" s="23" t="n">
        <f aca="false">'SA Data'!U228</f>
        <v>153.614105376717</v>
      </c>
      <c r="I228" s="24" t="n">
        <f aca="false">(H228/H227-1)*100</f>
        <v>0.606951949911716</v>
      </c>
      <c r="J228" s="24" t="n">
        <f aca="false">(AVERAGE(H226:H228)/AVERAGE(H223:H225)-1)*100</f>
        <v>3.14332519998393</v>
      </c>
      <c r="K228" s="24" t="n">
        <f aca="false">((AVERAGE(H226:H228)/AVERAGE(H223:H225))^4-1)*100</f>
        <v>13.1786510643025</v>
      </c>
      <c r="L228" s="24" t="n">
        <f aca="false">IFERROR(('SA Data'!Y228/'SA Data'!Y216-1)*100,"")</f>
        <v>7.57191761943832</v>
      </c>
      <c r="M228" s="24" t="n">
        <f aca="false">IFERROR((AVERAGE('SA Data'!Y223:Y228)/AVERAGE('SA Data'!Y211:Y216)-1)*100,"")</f>
        <v>6.96686786554495</v>
      </c>
    </row>
    <row r="229" customFormat="false" ht="15" hidden="false" customHeight="false" outlineLevel="0" collapsed="false">
      <c r="A229" s="20" t="n">
        <v>44773</v>
      </c>
      <c r="B229" s="23" t="n">
        <f aca="false">'SA Data'!B229</f>
        <v>152.5582</v>
      </c>
      <c r="C229" s="24" t="n">
        <f aca="false">(B229/B228-1)*100</f>
        <v>-1.13074297921808</v>
      </c>
      <c r="D229" s="24" t="n">
        <f aca="false">(AVERAGE(B227:B229)/AVERAGE(B224:B226)-1)*100</f>
        <v>1.28746618282785</v>
      </c>
      <c r="E229" s="24" t="n">
        <f aca="false">((AVERAGE(B227:B229)/AVERAGE(B224:B226))^4-1)*100</f>
        <v>5.25017525486429</v>
      </c>
      <c r="F229" s="24" t="n">
        <f aca="false">(B229/B217-1)*100</f>
        <v>7.90712662975741</v>
      </c>
      <c r="G229" s="24" t="n">
        <f aca="false">IFERROR((AVERAGE(B223:B229)/AVERAGE(B211:B217)-1)*100,"")</f>
        <v>8.22483880467182</v>
      </c>
      <c r="H229" s="23" t="n">
        <f aca="false">'SA Data'!U229</f>
        <v>149.793982313425</v>
      </c>
      <c r="I229" s="24" t="n">
        <f aca="false">(H229/H228-1)*100</f>
        <v>-2.48683091563984</v>
      </c>
      <c r="J229" s="24" t="n">
        <f aca="false">(AVERAGE(H227:H229)/AVERAGE(H224:H226)-1)*100</f>
        <v>1.56778913109319</v>
      </c>
      <c r="K229" s="24" t="n">
        <f aca="false">((AVERAGE(H227:H229)/AVERAGE(H224:H226))^4-1)*100</f>
        <v>6.42018175844776</v>
      </c>
      <c r="L229" s="24" t="n">
        <f aca="false">IFERROR(('SA Data'!Y229/'SA Data'!Y217-1)*100,"")</f>
        <v>5.96844442264861</v>
      </c>
      <c r="M229" s="24" t="n">
        <f aca="false">IFERROR((AVERAGE('SA Data'!Y223:Y229)/AVERAGE('SA Data'!Y211:Y217)-1)*100,"")</f>
        <v>6.82431333114784</v>
      </c>
    </row>
    <row r="230" customFormat="false" ht="15" hidden="false" customHeight="false" outlineLevel="0" collapsed="false">
      <c r="A230" s="20" t="n">
        <v>44804</v>
      </c>
      <c r="B230" s="23" t="n">
        <f aca="false">'SA Data'!B230</f>
        <v>151.72301</v>
      </c>
      <c r="C230" s="24" t="n">
        <f aca="false">(B230/B229-1)*100</f>
        <v>-0.547456642776334</v>
      </c>
      <c r="D230" s="24" t="n">
        <f aca="false">(AVERAGE(B228:B230)/AVERAGE(B225:B227)-1)*100</f>
        <v>0.882827790856045</v>
      </c>
      <c r="E230" s="24" t="n">
        <f aca="false">((AVERAGE(B228:B230)/AVERAGE(B225:B227))^4-1)*100</f>
        <v>3.57835009042622</v>
      </c>
      <c r="F230" s="24" t="n">
        <f aca="false">(B230/B218-1)*100</f>
        <v>5.86613906761218</v>
      </c>
      <c r="G230" s="24" t="n">
        <f aca="false">IFERROR((AVERAGE(B223:B230)/AVERAGE(B211:B218)-1)*100,"")</f>
        <v>7.92392455451403</v>
      </c>
      <c r="H230" s="23" t="n">
        <f aca="false">'SA Data'!U230</f>
        <v>150.01044277442</v>
      </c>
      <c r="I230" s="24" t="n">
        <f aca="false">(H230/H229-1)*100</f>
        <v>0.144505445179566</v>
      </c>
      <c r="J230" s="24" t="n">
        <f aca="false">(AVERAGE(H228:H230)/AVERAGE(H225:H227)-1)*100</f>
        <v>0.0545221751648839</v>
      </c>
      <c r="K230" s="24" t="n">
        <f aca="false">((AVERAGE(H228:H230)/AVERAGE(H225:H227))^4-1)*100</f>
        <v>0.218267125553973</v>
      </c>
      <c r="L230" s="24" t="n">
        <f aca="false">IFERROR(('SA Data'!Y230/'SA Data'!Y218-1)*100,"")</f>
        <v>6.44254806119098</v>
      </c>
      <c r="M230" s="24" t="n">
        <f aca="false">IFERROR((AVERAGE('SA Data'!Y223:Y230)/AVERAGE('SA Data'!Y211:Y218)-1)*100,"")</f>
        <v>6.77701475970887</v>
      </c>
    </row>
    <row r="231" customFormat="false" ht="15" hidden="false" customHeight="false" outlineLevel="0" collapsed="false">
      <c r="A231" s="20" t="n">
        <v>44834</v>
      </c>
      <c r="B231" s="23" t="n">
        <f aca="false">'SA Data'!B231</f>
        <v>150.78775</v>
      </c>
      <c r="C231" s="24" t="n">
        <f aca="false">(B231/B230-1)*100</f>
        <v>-0.616425946202881</v>
      </c>
      <c r="D231" s="24" t="n">
        <f aca="false">(AVERAGE(B229:B231)/AVERAGE(B226:B228)-1)*100</f>
        <v>-0.75423854215021</v>
      </c>
      <c r="E231" s="24" t="n">
        <f aca="false">((AVERAGE(B229:B231)/AVERAGE(B226:B228))^4-1)*100</f>
        <v>-2.98299292548841</v>
      </c>
      <c r="F231" s="24" t="n">
        <f aca="false">(B231/B219-1)*100</f>
        <v>4.58490879461997</v>
      </c>
      <c r="G231" s="24" t="n">
        <f aca="false">IFERROR((AVERAGE(B223:B231)/AVERAGE(B211:B219)-1)*100,"")</f>
        <v>7.54412887111013</v>
      </c>
      <c r="H231" s="23" t="n">
        <f aca="false">'SA Data'!U231</f>
        <v>149.005817006576</v>
      </c>
      <c r="I231" s="24" t="n">
        <f aca="false">(H231/H230-1)*100</f>
        <v>-0.669703888118134</v>
      </c>
      <c r="J231" s="24" t="n">
        <f aca="false">(AVERAGE(H229:H231)/AVERAGE(H226:H228)-1)*100</f>
        <v>-1.89585088282348</v>
      </c>
      <c r="K231" s="24" t="n">
        <f aca="false">((AVERAGE(H229:H231)/AVERAGE(H226:H228))^4-1)*100</f>
        <v>-7.37046124370903</v>
      </c>
      <c r="L231" s="24" t="n">
        <f aca="false">IFERROR(('SA Data'!Y231/'SA Data'!Y219-1)*100,"")</f>
        <v>4.43994988375278</v>
      </c>
      <c r="M231" s="24" t="n">
        <f aca="false">IFERROR((AVERAGE('SA Data'!Y223:Y231)/AVERAGE('SA Data'!Y211:Y219)-1)*100,"")</f>
        <v>6.51971925037242</v>
      </c>
    </row>
    <row r="232" customFormat="false" ht="15" hidden="false" customHeight="false" outlineLevel="0" collapsed="false">
      <c r="A232" s="20" t="n">
        <v>44865</v>
      </c>
      <c r="B232" s="23" t="n">
        <f aca="false">'SA Data'!B232</f>
        <v>149.08576</v>
      </c>
      <c r="C232" s="24" t="n">
        <f aca="false">(B232/B231-1)*100</f>
        <v>-1.12873227433926</v>
      </c>
      <c r="D232" s="24" t="n">
        <f aca="false">(AVERAGE(B230:B232)/AVERAGE(B227:B229)-1)*100</f>
        <v>-1.61035417386323</v>
      </c>
      <c r="E232" s="24" t="n">
        <f aca="false">((AVERAGE(B230:B232)/AVERAGE(B227:B229))^4-1)*100</f>
        <v>-6.2874859509468</v>
      </c>
      <c r="F232" s="24" t="n">
        <f aca="false">(B232/B220-1)*100</f>
        <v>3.9969764751856</v>
      </c>
      <c r="G232" s="24" t="n">
        <f aca="false">IFERROR((AVERAGE(B223:B232)/AVERAGE(B211:B220)-1)*100,"")</f>
        <v>7.18371880192978</v>
      </c>
      <c r="H232" s="23" t="n">
        <f aca="false">'SA Data'!U232</f>
        <v>147.506739549451</v>
      </c>
      <c r="I232" s="24" t="n">
        <f aca="false">(H232/H231-1)*100</f>
        <v>-1.00605297648108</v>
      </c>
      <c r="J232" s="24" t="n">
        <f aca="false">(AVERAGE(H230:H232)/AVERAGE(H227:H229)-1)*100</f>
        <v>-2.09878320473347</v>
      </c>
      <c r="K232" s="24" t="n">
        <f aca="false">((AVERAGE(H230:H232)/AVERAGE(H227:H229))^4-1)*100</f>
        <v>-8.13451792389122</v>
      </c>
      <c r="L232" s="24" t="n">
        <f aca="false">IFERROR(('SA Data'!Y232/'SA Data'!Y220-1)*100,"")</f>
        <v>3.54484305977956</v>
      </c>
      <c r="M232" s="24" t="n">
        <f aca="false">IFERROR((AVERAGE('SA Data'!Y223:Y232)/AVERAGE('SA Data'!Y211:Y220)-1)*100,"")</f>
        <v>6.22506408262626</v>
      </c>
    </row>
    <row r="233" customFormat="false" ht="15" hidden="false" customHeight="false" outlineLevel="0" collapsed="false">
      <c r="A233" s="20" t="n">
        <v>44895</v>
      </c>
      <c r="B233" s="23" t="n">
        <f aca="false">'SA Data'!B233</f>
        <v>148.32757</v>
      </c>
      <c r="C233" s="24" t="n">
        <f aca="false">(B233/B232-1)*100</f>
        <v>-0.508559637084038</v>
      </c>
      <c r="D233" s="24" t="n">
        <f aca="false">(AVERAGE(B231:B233)/AVERAGE(B228:B230)-1)*100</f>
        <v>-2.26416445504072</v>
      </c>
      <c r="E233" s="24" t="n">
        <f aca="false">((AVERAGE(B231:B233)/AVERAGE(B228:B230))^4-1)*100</f>
        <v>-8.75368794090757</v>
      </c>
      <c r="F233" s="24" t="n">
        <f aca="false">(B233/B221-1)*100</f>
        <v>1.79393037999138</v>
      </c>
      <c r="G233" s="24" t="n">
        <f aca="false">IFERROR((AVERAGE(B223:B233)/AVERAGE(B211:B221)-1)*100,"")</f>
        <v>6.67918652365214</v>
      </c>
      <c r="H233" s="23" t="n">
        <f aca="false">'SA Data'!U233</f>
        <v>147.983886658169</v>
      </c>
      <c r="I233" s="24" t="n">
        <f aca="false">(H233/H232-1)*100</f>
        <v>0.323474785067157</v>
      </c>
      <c r="J233" s="24" t="n">
        <f aca="false">(AVERAGE(H231:H233)/AVERAGE(H228:H230)-1)*100</f>
        <v>-1.96773767521689</v>
      </c>
      <c r="K233" s="24" t="n">
        <f aca="false">((AVERAGE(H231:H233)/AVERAGE(H228:H230))^4-1)*100</f>
        <v>-7.64166384050792</v>
      </c>
      <c r="L233" s="24" t="n">
        <f aca="false">IFERROR(('SA Data'!Y233/'SA Data'!Y221-1)*100,"")</f>
        <v>1.59733036419478</v>
      </c>
      <c r="M233" s="24" t="n">
        <f aca="false">IFERROR((AVERAGE('SA Data'!Y223:Y233)/AVERAGE('SA Data'!Y211:Y221)-1)*100,"")</f>
        <v>5.79595652521765</v>
      </c>
    </row>
    <row r="234" customFormat="false" ht="15" hidden="false" customHeight="false" outlineLevel="0" collapsed="false">
      <c r="A234" s="20" t="n">
        <v>44926</v>
      </c>
      <c r="B234" s="23" t="n">
        <f aca="false">'SA Data'!B234</f>
        <v>148.48524</v>
      </c>
      <c r="C234" s="24" t="n">
        <f aca="false">(B234/B233-1)*100</f>
        <v>0.106298512137704</v>
      </c>
      <c r="D234" s="24" t="n">
        <f aca="false">(AVERAGE(B232:B234)/AVERAGE(B229:B231)-1)*100</f>
        <v>-2.01516491039072</v>
      </c>
      <c r="E234" s="24" t="n">
        <f aca="false">((AVERAGE(B232:B234)/AVERAGE(B229:B231))^4-1)*100</f>
        <v>-7.82026311867792</v>
      </c>
      <c r="F234" s="24" t="n">
        <f aca="false">(B234/B222-1)*100</f>
        <v>-0.824977758541923</v>
      </c>
      <c r="G234" s="24" t="n">
        <f aca="false">IFERROR((AVERAGE(B223:B234)/AVERAGE(B211:B222)-1)*100,"")</f>
        <v>6.02074456456081</v>
      </c>
      <c r="H234" s="23" t="n">
        <f aca="false">'SA Data'!U234</f>
        <v>147.897353124833</v>
      </c>
      <c r="I234" s="24" t="n">
        <f aca="false">(H234/H233-1)*100</f>
        <v>-0.0584749700048626</v>
      </c>
      <c r="J234" s="24" t="n">
        <f aca="false">(AVERAGE(H232:H234)/AVERAGE(H229:H231)-1)*100</f>
        <v>-1.20814149353281</v>
      </c>
      <c r="K234" s="24" t="n">
        <f aca="false">((AVERAGE(H232:H234)/AVERAGE(H229:H231))^4-1)*100</f>
        <v>-4.74569285574373</v>
      </c>
      <c r="L234" s="24" t="n">
        <f aca="false">IFERROR(('SA Data'!Y234/'SA Data'!Y222-1)*100,"")</f>
        <v>-1.16524282766373</v>
      </c>
      <c r="M234" s="24" t="n">
        <f aca="false">IFERROR((AVERAGE('SA Data'!Y223:Y234)/AVERAGE('SA Data'!Y211:Y222)-1)*100,"")</f>
        <v>5.19658855711858</v>
      </c>
    </row>
    <row r="235" customFormat="false" ht="15" hidden="false" customHeight="false" outlineLevel="0" collapsed="false">
      <c r="A235" s="20" t="n">
        <v>44957</v>
      </c>
      <c r="B235" s="23" t="n">
        <f aca="false">'SA Data'!B235</f>
        <v>149.95773</v>
      </c>
      <c r="C235" s="24" t="n">
        <f aca="false">(B235/B234-1)*100</f>
        <v>0.991674323993408</v>
      </c>
      <c r="D235" s="24" t="n">
        <f aca="false">(AVERAGE(B233:B235)/AVERAGE(B230:B232)-1)*100</f>
        <v>-1.06864862466167</v>
      </c>
      <c r="E235" s="24" t="n">
        <f aca="false">((AVERAGE(B233:B235)/AVERAGE(B230:B232))^4-1)*100</f>
        <v>-4.20656076439696</v>
      </c>
      <c r="F235" s="24" t="n">
        <f aca="false">(B235/B223-1)*100</f>
        <v>0.964944852551297</v>
      </c>
      <c r="G235" s="24" t="n">
        <f aca="false">IFERROR((AVERAGE(B235:B235)/AVERAGE(B223:B223)-1)*100,"")</f>
        <v>0.964944852551297</v>
      </c>
      <c r="H235" s="23" t="n">
        <f aca="false">'SA Data'!U235</f>
        <v>149.508195619577</v>
      </c>
      <c r="I235" s="24" t="n">
        <f aca="false">(H235/H234-1)*100</f>
        <v>1.08916249054436</v>
      </c>
      <c r="J235" s="24" t="n">
        <f aca="false">(AVERAGE(H233:H235)/AVERAGE(H230:H232)-1)*100</f>
        <v>-0.253864622778255</v>
      </c>
      <c r="K235" s="24" t="n">
        <f aca="false">((AVERAGE(H233:H235)/AVERAGE(H230:H232))^4-1)*100</f>
        <v>-1.01159819650806</v>
      </c>
      <c r="L235" s="24" t="n">
        <f aca="false">IFERROR(('SA Data'!Y235/'SA Data'!Y223-1)*100,"")</f>
        <v>2.67174719946384</v>
      </c>
      <c r="M235" s="24" t="n">
        <f aca="false">IFERROR((AVERAGE('SA Data'!Y235:Y235)/AVERAGE('SA Data'!Y223:Y223)-1)*100,"")</f>
        <v>2.67174719946384</v>
      </c>
    </row>
    <row r="236" customFormat="false" ht="15" hidden="false" customHeight="false" outlineLevel="0" collapsed="false">
      <c r="A236" s="20" t="n">
        <v>44985</v>
      </c>
      <c r="B236" s="23" t="n">
        <f aca="false">'SA Data'!B236</f>
        <v>150.15642</v>
      </c>
      <c r="C236" s="24" t="n">
        <f aca="false">(B236/B235-1)*100</f>
        <v>0.132497337749782</v>
      </c>
      <c r="D236" s="24" t="n">
        <f aca="false">(AVERAGE(B234:B236)/AVERAGE(B231:B233)-1)*100</f>
        <v>0.0888685944264056</v>
      </c>
      <c r="E236" s="24" t="n">
        <f aca="false">((AVERAGE(B234:B236)/AVERAGE(B231:B233))^4-1)*100</f>
        <v>0.35594851613292</v>
      </c>
      <c r="F236" s="24" t="n">
        <f aca="false">(B236/B224-1)*100</f>
        <v>-0.366805669433778</v>
      </c>
      <c r="G236" s="24" t="n">
        <f aca="false">IFERROR((AVERAGE(B235:B236)/AVERAGE(B223:B224)-1)*100,"")</f>
        <v>0.29420809375198</v>
      </c>
      <c r="H236" s="23" t="n">
        <f aca="false">'SA Data'!U236</f>
        <v>148.761780081396</v>
      </c>
      <c r="I236" s="24" t="n">
        <f aca="false">(H236/H235-1)*100</f>
        <v>-0.49924723864615</v>
      </c>
      <c r="J236" s="24" t="n">
        <f aca="false">(AVERAGE(H234:H236)/AVERAGE(H231:H233)-1)*100</f>
        <v>0.375905282734768</v>
      </c>
      <c r="K236" s="24" t="n">
        <f aca="false">((AVERAGE(H234:H236)/AVERAGE(H231:H233))^4-1)*100</f>
        <v>1.51212068468694</v>
      </c>
      <c r="L236" s="24" t="n">
        <f aca="false">IFERROR(('SA Data'!Y236/'SA Data'!Y224-1)*100,"")</f>
        <v>0.278525008475961</v>
      </c>
      <c r="M236" s="24" t="n">
        <f aca="false">IFERROR((AVERAGE('SA Data'!Y235:Y236)/AVERAGE('SA Data'!Y223:Y224)-1)*100,"")</f>
        <v>1.47821860563229</v>
      </c>
    </row>
    <row r="237" customFormat="false" ht="15" hidden="false" customHeight="false" outlineLevel="0" collapsed="false">
      <c r="A237" s="20" t="n">
        <v>45016</v>
      </c>
      <c r="B237" s="23" t="n">
        <f aca="false">'SA Data'!B237</f>
        <v>150.75596</v>
      </c>
      <c r="C237" s="24" t="n">
        <f aca="false">(B237/B236-1)*100</f>
        <v>0.399276967311812</v>
      </c>
      <c r="D237" s="24" t="n">
        <f aca="false">(AVERAGE(B235:B237)/AVERAGE(B232:B234)-1)*100</f>
        <v>1.11494863058206</v>
      </c>
      <c r="E237" s="24" t="n">
        <f aca="false">((AVERAGE(B235:B237)/AVERAGE(B232:B234))^4-1)*100</f>
        <v>4.53493709629906</v>
      </c>
      <c r="F237" s="24" t="n">
        <f aca="false">(B237/B225-1)*100</f>
        <v>0.272197491238901</v>
      </c>
      <c r="G237" s="24" t="n">
        <f aca="false">IFERROR((AVERAGE(B235:B237)/AVERAGE(B223:B225)-1)*100,"")</f>
        <v>0.286847405525803</v>
      </c>
      <c r="H237" s="23" t="n">
        <f aca="false">'SA Data'!U237</f>
        <v>151.655983046001</v>
      </c>
      <c r="I237" s="24" t="n">
        <f aca="false">(H237/H236-1)*100</f>
        <v>1.94552859143045</v>
      </c>
      <c r="J237" s="24" t="n">
        <f aca="false">(AVERAGE(H235:H237)/AVERAGE(H232:H234)-1)*100</f>
        <v>1.4745504432403</v>
      </c>
      <c r="K237" s="24" t="n">
        <f aca="false">((AVERAGE(H235:H237)/AVERAGE(H232:H234))^4-1)*100</f>
        <v>6.02994688654435</v>
      </c>
      <c r="L237" s="24" t="n">
        <f aca="false">IFERROR(('SA Data'!Y237/'SA Data'!Y225-1)*100,"")</f>
        <v>0.990121319385695</v>
      </c>
      <c r="M237" s="24" t="n">
        <f aca="false">IFERROR((AVERAGE('SA Data'!Y235:Y237)/AVERAGE('SA Data'!Y223:Y225)-1)*100,"")</f>
        <v>1.30459797618341</v>
      </c>
    </row>
    <row r="238" customFormat="false" ht="15" hidden="false" customHeight="false" outlineLevel="0" collapsed="false">
      <c r="A238" s="20" t="n">
        <v>45046</v>
      </c>
      <c r="B238" s="23" t="n">
        <f aca="false">'SA Data'!B238</f>
        <v>147.35749</v>
      </c>
      <c r="C238" s="24" t="n">
        <f aca="false">(B238/B237-1)*100</f>
        <v>-2.25428566804256</v>
      </c>
      <c r="D238" s="24" t="n">
        <f aca="false">(AVERAGE(B236:B238)/AVERAGE(B233:B235)-1)*100</f>
        <v>0.335592852653166</v>
      </c>
      <c r="E238" s="24" t="n">
        <f aca="false">((AVERAGE(B236:B238)/AVERAGE(B233:B235))^4-1)*100</f>
        <v>1.34914389519245</v>
      </c>
      <c r="F238" s="24" t="n">
        <f aca="false">(B238/B226-1)*100</f>
        <v>-3.11655600314797</v>
      </c>
      <c r="G238" s="24" t="n">
        <f aca="false">IFERROR((AVERAGE(B235:B238)/AVERAGE(B223:B226)-1)*100,"")</f>
        <v>-0.573495931878554</v>
      </c>
      <c r="H238" s="23" t="n">
        <f aca="false">'SA Data'!U238</f>
        <v>147.382929392478</v>
      </c>
      <c r="I238" s="24" t="n">
        <f aca="false">(H238/H237-1)*100</f>
        <v>-2.8175964889081</v>
      </c>
      <c r="J238" s="24" t="n">
        <f aca="false">(AVERAGE(H236:H238)/AVERAGE(H233:H235)-1)*100</f>
        <v>0.541381749460834</v>
      </c>
      <c r="K238" s="24" t="n">
        <f aca="false">((AVERAGE(H236:H238)/AVERAGE(H233:H235))^4-1)*100</f>
        <v>2.18317620600652</v>
      </c>
      <c r="L238" s="24" t="n">
        <f aca="false">IFERROR(('SA Data'!Y238/'SA Data'!Y226-1)*100,"")</f>
        <v>-3.9837664305407</v>
      </c>
      <c r="M238" s="24" t="n">
        <f aca="false">IFERROR((AVERAGE('SA Data'!Y235:Y238)/AVERAGE('SA Data'!Y223:Y226)-1)*100,"")</f>
        <v>-0.0988068232192885</v>
      </c>
    </row>
    <row r="239" customFormat="false" ht="15" hidden="false" customHeight="false" outlineLevel="0" collapsed="false">
      <c r="A239" s="20" t="n">
        <v>45077</v>
      </c>
      <c r="B239" s="23" t="n">
        <f aca="false">'SA Data'!B239</f>
        <v>145.55273</v>
      </c>
      <c r="C239" s="24" t="n">
        <f aca="false">(B239/B238-1)*100</f>
        <v>-1.22474941721661</v>
      </c>
      <c r="D239" s="24" t="n">
        <f aca="false">(AVERAGE(B237:B239)/AVERAGE(B234:B236)-1)*100</f>
        <v>-1.09969164246969</v>
      </c>
      <c r="E239" s="24" t="n">
        <f aca="false">((AVERAGE(B237:B239)/AVERAGE(B234:B236))^4-1)*100</f>
        <v>-4.32673775729907</v>
      </c>
      <c r="F239" s="24" t="n">
        <f aca="false">(B239/B227-1)*100</f>
        <v>-4.32136558820583</v>
      </c>
      <c r="G239" s="24" t="n">
        <f aca="false">IFERROR((AVERAGE(B235:B239)/AVERAGE(B223:B227)-1)*100,"")</f>
        <v>-1.32986005609302</v>
      </c>
      <c r="H239" s="23" t="n">
        <f aca="false">'SA Data'!U239</f>
        <v>147.798367925607</v>
      </c>
      <c r="I239" s="24" t="n">
        <f aca="false">(H239/H238-1)*100</f>
        <v>0.281876968277084</v>
      </c>
      <c r="J239" s="24" t="n">
        <f aca="false">(AVERAGE(H237:H239)/AVERAGE(H234:H236)-1)*100</f>
        <v>0.150157013971053</v>
      </c>
      <c r="K239" s="24" t="n">
        <f aca="false">((AVERAGE(H237:H239)/AVERAGE(H234:H236))^4-1)*100</f>
        <v>0.601982238367094</v>
      </c>
      <c r="L239" s="24" t="n">
        <f aca="false">IFERROR(('SA Data'!Y239/'SA Data'!Y227-1)*100,"")</f>
        <v>-6.36308451683697</v>
      </c>
      <c r="M239" s="24" t="n">
        <f aca="false">IFERROR((AVERAGE('SA Data'!Y235:Y239)/AVERAGE('SA Data'!Y223:Y227)-1)*100,"")</f>
        <v>-1.4692625173916</v>
      </c>
    </row>
    <row r="240" customFormat="false" ht="15" hidden="false" customHeight="false" outlineLevel="0" collapsed="false">
      <c r="A240" s="20" t="n">
        <v>45107</v>
      </c>
      <c r="B240" s="23" t="n">
        <f aca="false">'SA Data'!B240</f>
        <v>146.06327</v>
      </c>
      <c r="C240" s="24" t="n">
        <f aca="false">(B240/B239-1)*100</f>
        <v>0.350759480773721</v>
      </c>
      <c r="D240" s="24" t="n">
        <f aca="false">(AVERAGE(B238:B240)/AVERAGE(B235:B237)-1)*100</f>
        <v>-2.6385914116152</v>
      </c>
      <c r="E240" s="24" t="n">
        <f aca="false">((AVERAGE(B238:B240)/AVERAGE(B235:B237))^4-1)*100</f>
        <v>-10.1439354196048</v>
      </c>
      <c r="F240" s="24" t="n">
        <f aca="false">(B240/B228-1)*100</f>
        <v>-5.33994906254883</v>
      </c>
      <c r="G240" s="24" t="n">
        <f aca="false">IFERROR((AVERAGE(B235:B240)/AVERAGE(B223:B228)-1)*100,"")</f>
        <v>-2.01124238712395</v>
      </c>
      <c r="H240" s="23" t="n">
        <f aca="false">'SA Data'!U240</f>
        <v>149.293187212001</v>
      </c>
      <c r="I240" s="24" t="n">
        <f aca="false">(H240/H239-1)*100</f>
        <v>1.01139092898934</v>
      </c>
      <c r="J240" s="24" t="n">
        <f aca="false">(AVERAGE(H238:H240)/AVERAGE(H235:H237)-1)*100</f>
        <v>-1.21163807308882</v>
      </c>
      <c r="K240" s="24" t="n">
        <f aca="false">((AVERAGE(H238:H240)/AVERAGE(H235:H237))^4-1)*100</f>
        <v>-4.75917763418683</v>
      </c>
      <c r="L240" s="24" t="n">
        <f aca="false">IFERROR(('SA Data'!Y240/'SA Data'!Y228-1)*100,"")</f>
        <v>-4.79185521712886</v>
      </c>
      <c r="M240" s="24" t="n">
        <f aca="false">IFERROR((AVERAGE('SA Data'!Y235:Y240)/AVERAGE('SA Data'!Y223:Y228)-1)*100,"")</f>
        <v>-2.05554132020068</v>
      </c>
    </row>
    <row r="241" customFormat="false" ht="15" hidden="false" customHeight="false" outlineLevel="0" collapsed="false">
      <c r="A241" s="20" t="n">
        <v>45138</v>
      </c>
      <c r="B241" s="23" t="n">
        <f aca="false">'SA Data'!B241</f>
        <v>148.72466</v>
      </c>
      <c r="C241" s="24" t="n">
        <f aca="false">(B241/B240-1)*100</f>
        <v>1.82208025330393</v>
      </c>
      <c r="D241" s="24" t="n">
        <f aca="false">(AVERAGE(B239:B241)/AVERAGE(B236:B238)-1)*100</f>
        <v>-1.76884741327807</v>
      </c>
      <c r="E241" s="24" t="n">
        <f aca="false">((AVERAGE(B239:B241)/AVERAGE(B236:B238))^4-1)*100</f>
        <v>-6.88986435619704</v>
      </c>
      <c r="F241" s="24" t="n">
        <f aca="false">(B241/B229-1)*100</f>
        <v>-2.51283772357042</v>
      </c>
      <c r="G241" s="24" t="n">
        <f aca="false">IFERROR((AVERAGE(B235:B241)/AVERAGE(B223:B229)-1)*100,"")</f>
        <v>-2.08338807487993</v>
      </c>
      <c r="H241" s="23" t="n">
        <f aca="false">'SA Data'!U241</f>
        <v>148.186821982598</v>
      </c>
      <c r="I241" s="24" t="n">
        <f aca="false">(H241/H240-1)*100</f>
        <v>-0.74106879896142</v>
      </c>
      <c r="J241" s="24" t="n">
        <f aca="false">(AVERAGE(H239:H241)/AVERAGE(H236:H238)-1)*100</f>
        <v>-0.563267418251467</v>
      </c>
      <c r="K241" s="24" t="n">
        <f aca="false">((AVERAGE(H239:H241)/AVERAGE(H236:H238))^4-1)*100</f>
        <v>-2.23410484446076</v>
      </c>
      <c r="L241" s="24" t="n">
        <f aca="false">IFERROR(('SA Data'!Y241/'SA Data'!Y229-1)*100,"")</f>
        <v>-0.732765509062383</v>
      </c>
      <c r="M241" s="24" t="n">
        <f aca="false">IFERROR((AVERAGE('SA Data'!Y235:Y241)/AVERAGE('SA Data'!Y223:Y229)-1)*100,"")</f>
        <v>-1.86818904988939</v>
      </c>
    </row>
    <row r="242" customFormat="false" ht="15" hidden="false" customHeight="false" outlineLevel="0" collapsed="false">
      <c r="A242" s="20" t="n">
        <v>45169</v>
      </c>
      <c r="B242" s="23" t="n">
        <f aca="false">'SA Data'!B242</f>
        <v>150.05695</v>
      </c>
      <c r="C242" s="24" t="n">
        <f aca="false">(B242/B241-1)*100</f>
        <v>0.895809746682219</v>
      </c>
      <c r="D242" s="24" t="n">
        <f aca="false">(AVERAGE(B240:B242)/AVERAGE(B237:B239)-1)*100</f>
        <v>0.265672718168419</v>
      </c>
      <c r="E242" s="24" t="n">
        <f aca="false">((AVERAGE(B240:B242)/AVERAGE(B237:B239))^4-1)*100</f>
        <v>1.06693329793022</v>
      </c>
      <c r="F242" s="24" t="n">
        <f aca="false">(B242/B230-1)*100</f>
        <v>-1.0980931633244</v>
      </c>
      <c r="G242" s="24" t="n">
        <f aca="false">IFERROR((AVERAGE(B235:B242)/AVERAGE(B223:B230)-1)*100,"")</f>
        <v>-1.96008449630848</v>
      </c>
      <c r="H242" s="23" t="n">
        <f aca="false">'SA Data'!U242</f>
        <v>150.369105203338</v>
      </c>
      <c r="I242" s="24" t="n">
        <f aca="false">(H242/H241-1)*100</f>
        <v>1.47265673933983</v>
      </c>
      <c r="J242" s="24" t="n">
        <f aca="false">(AVERAGE(H240:H242)/AVERAGE(H237:H239)-1)*100</f>
        <v>0.226443512731711</v>
      </c>
      <c r="K242" s="24" t="n">
        <f aca="false">((AVERAGE(H240:H242)/AVERAGE(H237:H239))^4-1)*100</f>
        <v>0.908855297930855</v>
      </c>
      <c r="L242" s="24" t="n">
        <f aca="false">IFERROR(('SA Data'!Y242/'SA Data'!Y230-1)*100,"")</f>
        <v>0.644514954305353</v>
      </c>
      <c r="M242" s="24" t="n">
        <f aca="false">IFERROR((AVERAGE('SA Data'!Y235:Y242)/AVERAGE('SA Data'!Y223:Y230)-1)*100,"")</f>
        <v>-1.55785428750151</v>
      </c>
    </row>
    <row r="243" customFormat="false" ht="15" hidden="false" customHeight="false" outlineLevel="0" collapsed="false">
      <c r="A243" s="20" t="n">
        <v>45199</v>
      </c>
      <c r="B243" s="23" t="n">
        <f aca="false">'SA Data'!B243</f>
        <v>149.69825</v>
      </c>
      <c r="C243" s="24" t="n">
        <f aca="false">(B243/B242-1)*100</f>
        <v>-0.239042576834991</v>
      </c>
      <c r="D243" s="24" t="n">
        <f aca="false">(AVERAGE(B241:B243)/AVERAGE(B238:B240)-1)*100</f>
        <v>2.16559091074044</v>
      </c>
      <c r="E243" s="24" t="n">
        <f aca="false">((AVERAGE(B241:B243)/AVERAGE(B238:B240))^4-1)*100</f>
        <v>8.94783513803172</v>
      </c>
      <c r="F243" s="24" t="n">
        <f aca="false">(B243/B231-1)*100</f>
        <v>-0.722538800399897</v>
      </c>
      <c r="G243" s="24" t="n">
        <f aca="false">IFERROR((AVERAGE(B235:B243)/AVERAGE(B223:B231)-1)*100,"")</f>
        <v>-1.8231934271241</v>
      </c>
      <c r="H243" s="23" t="n">
        <f aca="false">'SA Data'!U243</f>
        <v>149.30732459447</v>
      </c>
      <c r="I243" s="24" t="n">
        <f aca="false">(H243/H242-1)*100</f>
        <v>-0.706116198159679</v>
      </c>
      <c r="J243" s="24" t="n">
        <f aca="false">(AVERAGE(H241:H243)/AVERAGE(H238:H240)-1)*100</f>
        <v>0.762421099132893</v>
      </c>
      <c r="K243" s="24" t="n">
        <f aca="false">((AVERAGE(H241:H243)/AVERAGE(H238:H240))^4-1)*100</f>
        <v>3.08473916423289</v>
      </c>
      <c r="L243" s="24" t="n">
        <f aca="false">IFERROR(('SA Data'!Y243/'SA Data'!Y231-1)*100,"")</f>
        <v>0.365926156333973</v>
      </c>
      <c r="M243" s="24" t="n">
        <f aca="false">IFERROR((AVERAGE('SA Data'!Y235:Y243)/AVERAGE('SA Data'!Y223:Y231)-1)*100,"")</f>
        <v>-1.35019393578957</v>
      </c>
    </row>
    <row r="244" customFormat="false" ht="15" hidden="false" customHeight="false" outlineLevel="0" collapsed="false">
      <c r="A244" s="20" t="n">
        <v>45230</v>
      </c>
      <c r="B244" s="23" t="n">
        <f aca="false">'SA Data'!B244</f>
        <v>148.01321</v>
      </c>
      <c r="C244" s="24" t="n">
        <f aca="false">(B244/B243-1)*100</f>
        <v>-1.12562438104655</v>
      </c>
      <c r="D244" s="24" t="n">
        <f aca="false">(AVERAGE(B242:B244)/AVERAGE(B239:B241)-1)*100</f>
        <v>1.68681901871157</v>
      </c>
      <c r="E244" s="24" t="n">
        <f aca="false">((AVERAGE(B242:B244)/AVERAGE(B239:B241))^4-1)*100</f>
        <v>6.91992551689089</v>
      </c>
      <c r="F244" s="24" t="n">
        <f aca="false">(B244/B232-1)*100</f>
        <v>-0.719418138928896</v>
      </c>
      <c r="G244" s="24" t="n">
        <f aca="false">IFERROR((AVERAGE(B235:B244)/AVERAGE(B223:B232)-1)*100,"")</f>
        <v>-1.7143782114504</v>
      </c>
      <c r="H244" s="23" t="n">
        <f aca="false">'SA Data'!U244</f>
        <v>148.565339047262</v>
      </c>
      <c r="I244" s="24" t="n">
        <f aca="false">(H244/H243-1)*100</f>
        <v>-0.496951873742535</v>
      </c>
      <c r="J244" s="24" t="n">
        <f aca="false">(AVERAGE(H242:H244)/AVERAGE(H239:H241)-1)*100</f>
        <v>0.665514401132517</v>
      </c>
      <c r="K244" s="24" t="n">
        <f aca="false">((AVERAGE(H242:H244)/AVERAGE(H239:H241))^4-1)*100</f>
        <v>2.68875027082416</v>
      </c>
      <c r="L244" s="24" t="n">
        <f aca="false">IFERROR(('SA Data'!Y244/'SA Data'!Y232-1)*100,"")</f>
        <v>1.31551970707302</v>
      </c>
      <c r="M244" s="24" t="n">
        <f aca="false">IFERROR((AVERAGE('SA Data'!Y235:Y244)/AVERAGE('SA Data'!Y223:Y232)-1)*100,"")</f>
        <v>-1.09282262550761</v>
      </c>
    </row>
    <row r="245" customFormat="false" ht="15" hidden="false" customHeight="false" outlineLevel="0" collapsed="false">
      <c r="A245" s="20" t="n">
        <v>45260</v>
      </c>
      <c r="B245" s="23" t="n">
        <f aca="false">'SA Data'!B245</f>
        <v>146.3883</v>
      </c>
      <c r="C245" s="24" t="n">
        <f aca="false">(B245/B244-1)*100</f>
        <v>-1.09781417482939</v>
      </c>
      <c r="D245" s="24" t="n">
        <f aca="false">(AVERAGE(B243:B245)/AVERAGE(B240:B242)-1)*100</f>
        <v>-0.167501084872557</v>
      </c>
      <c r="E245" s="24" t="n">
        <f aca="false">((AVERAGE(B243:B245)/AVERAGE(B240:B242))^4-1)*100</f>
        <v>-0.668322821702316</v>
      </c>
      <c r="F245" s="24" t="n">
        <f aca="false">(B245/B233-1)*100</f>
        <v>-1.30742383226532</v>
      </c>
      <c r="G245" s="24" t="n">
        <f aca="false">IFERROR((AVERAGE(B235:B245)/AVERAGE(B223:B233)-1)*100,"")</f>
        <v>-1.67802814967937</v>
      </c>
      <c r="H245" s="23" t="n">
        <f aca="false">'SA Data'!U245</f>
        <v>147.787154009507</v>
      </c>
      <c r="I245" s="24" t="n">
        <f aca="false">(H245/H244-1)*100</f>
        <v>-0.523799859877094</v>
      </c>
      <c r="J245" s="24" t="n">
        <f aca="false">(AVERAGE(H243:H245)/AVERAGE(H240:H242)-1)*100</f>
        <v>-0.488846952313649</v>
      </c>
      <c r="K245" s="24" t="n">
        <f aca="false">((AVERAGE(H243:H245)/AVERAGE(H240:H242))^4-1)*100</f>
        <v>-1.94109619974515</v>
      </c>
      <c r="L245" s="24" t="n">
        <f aca="false">IFERROR(('SA Data'!Y245/'SA Data'!Y233-1)*100,"")</f>
        <v>-0.254681555355285</v>
      </c>
      <c r="M245" s="24" t="n">
        <f aca="false">IFERROR((AVERAGE('SA Data'!Y235:Y245)/AVERAGE('SA Data'!Y223:Y233)-1)*100,"")</f>
        <v>-1.01819009779225</v>
      </c>
    </row>
    <row r="246" customFormat="false" ht="15" hidden="false" customHeight="false" outlineLevel="0" collapsed="false">
      <c r="A246" s="20" t="n">
        <v>45291</v>
      </c>
      <c r="B246" s="23" t="n">
        <f aca="false">'SA Data'!B246</f>
        <v>142.86747</v>
      </c>
      <c r="C246" s="24" t="n">
        <f aca="false">(B246/B245-1)*100</f>
        <v>-2.40513073790732</v>
      </c>
      <c r="D246" s="24" t="n">
        <f aca="false">(AVERAGE(B244:B246)/AVERAGE(B241:B243)-1)*100</f>
        <v>-2.49975104790662</v>
      </c>
      <c r="E246" s="24" t="n">
        <f aca="false">((AVERAGE(B244:B246)/AVERAGE(B241:B243))^4-1)*100</f>
        <v>-9.63028795963826</v>
      </c>
      <c r="F246" s="24" t="n">
        <f aca="false">(B246/B234-1)*100</f>
        <v>-3.78338614666347</v>
      </c>
      <c r="G246" s="24" t="n">
        <f aca="false">IFERROR((AVERAGE(B235:B246)/AVERAGE(B223:B234)-1)*100,"")</f>
        <v>-1.85083166628468</v>
      </c>
      <c r="H246" s="23" t="n">
        <f aca="false">'SA Data'!U246</f>
        <v>143.293857182812</v>
      </c>
      <c r="I246" s="24" t="n">
        <f aca="false">(H246/H245-1)*100</f>
        <v>-3.04038389318078</v>
      </c>
      <c r="J246" s="24" t="n">
        <f aca="false">(AVERAGE(H244:H246)/AVERAGE(H241:H243)-1)*100</f>
        <v>-1.83468983180901</v>
      </c>
      <c r="K246" s="24" t="n">
        <f aca="false">((AVERAGE(H244:H246)/AVERAGE(H241:H243))^4-1)*100</f>
        <v>-7.13925308003376</v>
      </c>
      <c r="L246" s="24" t="n">
        <f aca="false">IFERROR(('SA Data'!Y246/'SA Data'!Y234-1)*100,"")</f>
        <v>-3.18133667292747</v>
      </c>
      <c r="M246" s="24" t="n">
        <f aca="false">IFERROR((AVERAGE('SA Data'!Y235:Y246)/AVERAGE('SA Data'!Y223:Y234)-1)*100,"")</f>
        <v>-1.19317615665875</v>
      </c>
    </row>
    <row r="247" customFormat="false" ht="15" hidden="false" customHeight="false" outlineLevel="0" collapsed="false">
      <c r="A247" s="20" t="n">
        <v>45322</v>
      </c>
      <c r="B247" s="23" t="n">
        <f aca="false">'SA Data'!B247</f>
        <v>143.55367</v>
      </c>
      <c r="C247" s="24" t="n">
        <f aca="false">(B247/B246-1)*100</f>
        <v>0.480305278731419</v>
      </c>
      <c r="D247" s="24" t="n">
        <f aca="false">(AVERAGE(B245:B247)/AVERAGE(B242:B244)-1)*100</f>
        <v>-3.34078279439142</v>
      </c>
      <c r="E247" s="24" t="n">
        <f aca="false">((AVERAGE(B245:B247)/AVERAGE(B242:B244))^4-1)*100</f>
        <v>-12.7082711957939</v>
      </c>
      <c r="F247" s="24" t="n">
        <f aca="false">(B247/B235-1)*100</f>
        <v>-4.27057678187046</v>
      </c>
      <c r="G247" s="24" t="n">
        <f aca="false">IFERROR((AVERAGE(B247:B247)/AVERAGE(B235:B235)-1)*100,"")</f>
        <v>-4.27057678187046</v>
      </c>
      <c r="H247" s="23" t="n">
        <f aca="false">'SA Data'!U247</f>
        <v>143.591524576811</v>
      </c>
      <c r="I247" s="24" t="n">
        <f aca="false">(H247/H246-1)*100</f>
        <v>0.207732138593419</v>
      </c>
      <c r="J247" s="24" t="n">
        <f aca="false">(AVERAGE(H245:H247)/AVERAGE(H242:H244)-1)*100</f>
        <v>-3.02721299509928</v>
      </c>
      <c r="K247" s="24" t="n">
        <f aca="false">((AVERAGE(H245:H247)/AVERAGE(H242:H244))^4-1)*100</f>
        <v>-11.5700234644775</v>
      </c>
      <c r="L247" s="24" t="n">
        <f aca="false">IFERROR(('SA Data'!Y247/'SA Data'!Y235-1)*100,"")</f>
        <v>-3.66294198959189</v>
      </c>
      <c r="M247" s="24" t="n">
        <f aca="false">IFERROR((AVERAGE('SA Data'!Y247:Y247)/AVERAGE('SA Data'!Y235:Y235)-1)*100,"")</f>
        <v>-3.66294198959189</v>
      </c>
    </row>
    <row r="248" customFormat="false" ht="15" hidden="false" customHeight="false" outlineLevel="0" collapsed="false">
      <c r="A248" s="20" t="n">
        <v>45351</v>
      </c>
      <c r="B248" s="23" t="n">
        <f aca="false">'SA Data'!B248</f>
        <v>143.80882</v>
      </c>
      <c r="C248" s="24" t="n">
        <f aca="false">(B248/B247-1)*100</f>
        <v>0.177738402647587</v>
      </c>
      <c r="D248" s="24" t="n">
        <f aca="false">(AVERAGE(B246:B248)/AVERAGE(B243:B245)-1)*100</f>
        <v>-3.12312710999887</v>
      </c>
      <c r="E248" s="24" t="n">
        <f aca="false">((AVERAGE(B246:B248)/AVERAGE(B243:B245))^4-1)*100</f>
        <v>-11.9193630207417</v>
      </c>
      <c r="F248" s="24" t="n">
        <f aca="false">(B248/B236-1)*100</f>
        <v>-4.22732507874122</v>
      </c>
      <c r="G248" s="24" t="n">
        <f aca="false">IFERROR((AVERAGE(B247:B248)/AVERAGE(B235:B236)-1)*100,"")</f>
        <v>-4.24893661295211</v>
      </c>
      <c r="H248" s="23" t="n">
        <f aca="false">'SA Data'!U248</f>
        <v>144.202373292039</v>
      </c>
      <c r="I248" s="24" t="n">
        <f aca="false">(H248/H247-1)*100</f>
        <v>0.425407221651097</v>
      </c>
      <c r="J248" s="24" t="n">
        <f aca="false">(AVERAGE(H246:H248)/AVERAGE(H243:H245)-1)*100</f>
        <v>-3.26977259838609</v>
      </c>
      <c r="K248" s="24" t="n">
        <f aca="false">((AVERAGE(H246:H248)/AVERAGE(H243:H245))^4-1)*100</f>
        <v>-12.45147471203</v>
      </c>
      <c r="L248" s="24" t="n">
        <f aca="false">IFERROR(('SA Data'!Y248/'SA Data'!Y236-1)*100,"")</f>
        <v>-3.0589728753693</v>
      </c>
      <c r="M248" s="24" t="n">
        <f aca="false">IFERROR((AVERAGE('SA Data'!Y247:Y248)/AVERAGE('SA Data'!Y235:Y236)-1)*100,"")</f>
        <v>-3.36529627122103</v>
      </c>
    </row>
    <row r="249" customFormat="false" ht="15" hidden="false" customHeight="false" outlineLevel="0" collapsed="false">
      <c r="A249" s="20" t="n">
        <v>45382</v>
      </c>
      <c r="B249" s="23" t="n">
        <f aca="false">'SA Data'!B249</f>
        <v>142.11453</v>
      </c>
      <c r="C249" s="24" t="n">
        <f aca="false">(B249/B248-1)*100</f>
        <v>-1.17815444143133</v>
      </c>
      <c r="D249" s="24" t="n">
        <f aca="false">(AVERAGE(B247:B249)/AVERAGE(B244:B246)-1)*100</f>
        <v>-1.7819603851158</v>
      </c>
      <c r="E249" s="24" t="n">
        <f aca="false">((AVERAGE(B247:B249)/AVERAGE(B244:B246))^4-1)*100</f>
        <v>-6.93957185111279</v>
      </c>
      <c r="F249" s="24" t="n">
        <f aca="false">(B249/B237-1)*100</f>
        <v>-5.73206525300889</v>
      </c>
      <c r="G249" s="24" t="n">
        <f aca="false">IFERROR((AVERAGE(B247:B249)/AVERAGE(B235:B237)-1)*100,"")</f>
        <v>-4.74484547223588</v>
      </c>
      <c r="H249" s="23" t="n">
        <f aca="false">'SA Data'!U249</f>
        <v>140.886335751352</v>
      </c>
      <c r="I249" s="24" t="n">
        <f aca="false">(H249/H248-1)*100</f>
        <v>-2.29957209786775</v>
      </c>
      <c r="J249" s="24" t="n">
        <f aca="false">(AVERAGE(H247:H249)/AVERAGE(H244:H246)-1)*100</f>
        <v>-2.49430402718074</v>
      </c>
      <c r="K249" s="24" t="n">
        <f aca="false">((AVERAGE(H247:H249)/AVERAGE(H244:H246))^4-1)*100</f>
        <v>-9.61009162366809</v>
      </c>
      <c r="L249" s="24" t="n">
        <f aca="false">IFERROR(('SA Data'!Y249/'SA Data'!Y237-1)*100,"")</f>
        <v>-7.63847248778427</v>
      </c>
      <c r="M249" s="24" t="n">
        <f aca="false">IFERROR((AVERAGE('SA Data'!Y247:Y249)/AVERAGE('SA Data'!Y235:Y237)-1)*100,"")</f>
        <v>-4.88058527770189</v>
      </c>
    </row>
    <row r="250" customFormat="false" ht="15" hidden="false" customHeight="false" outlineLevel="0" collapsed="false">
      <c r="A250" s="20" t="n">
        <v>45412</v>
      </c>
      <c r="B250" s="23" t="n">
        <f aca="false">'SA Data'!B250</f>
        <v>141.05612</v>
      </c>
      <c r="C250" s="24" t="n">
        <f aca="false">(B250/B249-1)*100</f>
        <v>-0.744758470509677</v>
      </c>
      <c r="D250" s="24" t="n">
        <f aca="false">(AVERAGE(B248:B250)/AVERAGE(B245:B247)-1)*100</f>
        <v>-1.34700620208283</v>
      </c>
      <c r="E250" s="24" t="n">
        <f aca="false">((AVERAGE(B248:B250)/AVERAGE(B245:B247))^4-1)*100</f>
        <v>-5.28013359075671</v>
      </c>
      <c r="F250" s="24" t="n">
        <f aca="false">(B250/B238-1)*100</f>
        <v>-4.27624683346602</v>
      </c>
      <c r="G250" s="24" t="n">
        <f aca="false">IFERROR((AVERAGE(B247:B250)/AVERAGE(B235:B238)-1)*100,"")</f>
        <v>-4.62941863598402</v>
      </c>
      <c r="H250" s="23" t="n">
        <f aca="false">'SA Data'!U250</f>
        <v>141.431483542976</v>
      </c>
      <c r="I250" s="24" t="n">
        <f aca="false">(H250/H249-1)*100</f>
        <v>0.386941564429488</v>
      </c>
      <c r="J250" s="24" t="n">
        <f aca="false">(AVERAGE(H248:H250)/AVERAGE(H245:H247)-1)*100</f>
        <v>-1.87551375159615</v>
      </c>
      <c r="K250" s="24" t="n">
        <f aca="false">((AVERAGE(H248:H250)/AVERAGE(H245:H247))^4-1)*100</f>
        <v>-7.29362841000159</v>
      </c>
      <c r="L250" s="24" t="n">
        <f aca="false">IFERROR(('SA Data'!Y250/'SA Data'!Y238-1)*100,"")</f>
        <v>-2.13351062147587</v>
      </c>
      <c r="M250" s="24" t="n">
        <f aca="false">IFERROR((AVERAGE('SA Data'!Y247:Y250)/AVERAGE('SA Data'!Y235:Y238)-1)*100,"")</f>
        <v>-4.17992735574575</v>
      </c>
    </row>
    <row r="251" customFormat="false" ht="15" hidden="false" customHeight="false" outlineLevel="0" collapsed="false">
      <c r="A251" s="20" t="n">
        <v>45443</v>
      </c>
      <c r="B251" s="23" t="n">
        <f aca="false">'SA Data'!B251</f>
        <v>142.8362</v>
      </c>
      <c r="C251" s="24" t="n">
        <f aca="false">(B251/B250-1)*100</f>
        <v>1.26196580481583</v>
      </c>
      <c r="D251" s="24" t="n">
        <f aca="false">(AVERAGE(B249:B251)/AVERAGE(B246:B248)-1)*100</f>
        <v>-0.98159365749424</v>
      </c>
      <c r="E251" s="24" t="n">
        <f aca="false">((AVERAGE(B249:B251)/AVERAGE(B246:B248))^4-1)*100</f>
        <v>-3.86894045153517</v>
      </c>
      <c r="F251" s="24" t="n">
        <f aca="false">(B251/B239-1)*100</f>
        <v>-1.86635455068415</v>
      </c>
      <c r="G251" s="24" t="n">
        <f aca="false">IFERROR((AVERAGE(B247:B251)/AVERAGE(B235:B239)-1)*100,"")</f>
        <v>-4.08870586830389</v>
      </c>
      <c r="H251" s="23" t="n">
        <f aca="false">'SA Data'!U251</f>
        <v>144.195986880944</v>
      </c>
      <c r="I251" s="24" t="n">
        <f aca="false">(H251/H250-1)*100</f>
        <v>1.95465908206178</v>
      </c>
      <c r="J251" s="24" t="n">
        <f aca="false">(AVERAGE(H249:H251)/AVERAGE(H246:H248)-1)*100</f>
        <v>-1.06102500541713</v>
      </c>
      <c r="K251" s="24" t="n">
        <f aca="false">((AVERAGE(H249:H251)/AVERAGE(H246:H248))^4-1)*100</f>
        <v>-4.17703010034619</v>
      </c>
      <c r="L251" s="24" t="n">
        <f aca="false">IFERROR(('SA Data'!Y251/'SA Data'!Y239-1)*100,"")</f>
        <v>1.65673726343218</v>
      </c>
      <c r="M251" s="24" t="n">
        <f aca="false">IFERROR((AVERAGE('SA Data'!Y247:Y251)/AVERAGE('SA Data'!Y235:Y239)-1)*100,"")</f>
        <v>-2.96644322089263</v>
      </c>
    </row>
    <row r="252" customFormat="false" ht="15" hidden="false" customHeight="false" outlineLevel="0" collapsed="false">
      <c r="A252" s="20" t="n">
        <v>45473</v>
      </c>
      <c r="B252" s="23" t="n">
        <f aca="false">'SA Data'!B252</f>
        <v>143.71875</v>
      </c>
      <c r="C252" s="24" t="n">
        <f aca="false">(B252/B251-1)*100</f>
        <v>0.617875580560123</v>
      </c>
      <c r="D252" s="24" t="n">
        <f aca="false">(AVERAGE(B250:B252)/AVERAGE(B247:B249)-1)*100</f>
        <v>-0.434470277361987</v>
      </c>
      <c r="E252" s="24" t="n">
        <f aca="false">((AVERAGE(B250:B252)/AVERAGE(B247:B249))^4-1)*100</f>
        <v>-1.72658801351357</v>
      </c>
      <c r="F252" s="24" t="n">
        <f aca="false">(B252/B240-1)*100</f>
        <v>-1.60514001911637</v>
      </c>
      <c r="G252" s="24" t="n">
        <f aca="false">IFERROR((AVERAGE(B247:B252)/AVERAGE(B235:B240)-1)*100,"")</f>
        <v>-3.68104125264259</v>
      </c>
      <c r="H252" s="23" t="n">
        <f aca="false">'SA Data'!U252</f>
        <v>142.217399746015</v>
      </c>
      <c r="I252" s="24" t="n">
        <f aca="false">(H252/H251-1)*100</f>
        <v>-1.37215131830429</v>
      </c>
      <c r="J252" s="24" t="n">
        <f aca="false">(AVERAGE(H250:H252)/AVERAGE(H247:H249)-1)*100</f>
        <v>-0.194868665441639</v>
      </c>
      <c r="K252" s="24" t="n">
        <f aca="false">((AVERAGE(H250:H252)/AVERAGE(H247:H249))^4-1)*100</f>
        <v>-0.777199192479527</v>
      </c>
      <c r="L252" s="24" t="n">
        <f aca="false">IFERROR(('SA Data'!Y252/'SA Data'!Y240-1)*100,"")</f>
        <v>-3.61776683687592</v>
      </c>
      <c r="M252" s="24" t="n">
        <f aca="false">IFERROR((AVERAGE('SA Data'!Y247:Y252)/AVERAGE('SA Data'!Y235:Y240)-1)*100,"")</f>
        <v>-3.07815993242551</v>
      </c>
    </row>
    <row r="253" customFormat="false" ht="15" hidden="false" customHeight="false" outlineLevel="0" collapsed="false">
      <c r="A253" s="20" t="n">
        <v>45504</v>
      </c>
      <c r="B253" s="23" t="n">
        <f aca="false">'SA Data'!B253</f>
        <v>147.28294</v>
      </c>
      <c r="C253" s="24" t="n">
        <f aca="false">(B253/B252-1)*100</f>
        <v>2.47997564687976</v>
      </c>
      <c r="D253" s="24" t="n">
        <f aca="false">(AVERAGE(B251:B253)/AVERAGE(B248:B250)-1)*100</f>
        <v>1.60626458222921</v>
      </c>
      <c r="E253" s="24" t="n">
        <f aca="false">((AVERAGE(B251:B253)/AVERAGE(B248:B250))^4-1)*100</f>
        <v>6.58152786049291</v>
      </c>
      <c r="F253" s="24" t="n">
        <f aca="false">(B253/B241-1)*100</f>
        <v>-0.96938866762244</v>
      </c>
      <c r="G253" s="24" t="n">
        <f aca="false">IFERROR((AVERAGE(B247:B253)/AVERAGE(B235:B241)-1)*100,"")</f>
        <v>-3.2927282025738</v>
      </c>
      <c r="H253" s="23" t="n">
        <f aca="false">'SA Data'!U253</f>
        <v>146.56303562386</v>
      </c>
      <c r="I253" s="24" t="n">
        <f aca="false">(H253/H252-1)*100</f>
        <v>3.05562883698216</v>
      </c>
      <c r="J253" s="24" t="n">
        <f aca="false">(AVERAGE(H251:H253)/AVERAGE(H248:H250)-1)*100</f>
        <v>1.51369847821299</v>
      </c>
      <c r="K253" s="24" t="n">
        <f aca="false">((AVERAGE(H251:H253)/AVERAGE(H248:H250))^4-1)*100</f>
        <v>6.19366347249311</v>
      </c>
      <c r="L253" s="24" t="n">
        <f aca="false">IFERROR(('SA Data'!Y253/'SA Data'!Y241-1)*100,"")</f>
        <v>-0.76885561473089</v>
      </c>
      <c r="M253" s="24" t="n">
        <f aca="false">IFERROR((AVERAGE('SA Data'!Y247:Y253)/AVERAGE('SA Data'!Y235:Y241)-1)*100,"")</f>
        <v>-2.74729556925754</v>
      </c>
    </row>
    <row r="254" customFormat="false" ht="15" hidden="false" customHeight="false" outlineLevel="0" collapsed="false">
      <c r="A254" s="20" t="n">
        <v>45535</v>
      </c>
      <c r="B254" s="23" t="n">
        <f aca="false">'SA Data'!B254</f>
        <v>147.7746</v>
      </c>
      <c r="C254" s="24" t="n">
        <f aca="false">(B254/B253-1)*100</f>
        <v>0.333820060897749</v>
      </c>
      <c r="D254" s="24" t="n">
        <f aca="false">(AVERAGE(B252:B254)/AVERAGE(B249:B251)-1)*100</f>
        <v>2.9974729279588</v>
      </c>
      <c r="E254" s="24" t="n">
        <f aca="false">((AVERAGE(B252:B254)/AVERAGE(B249:B251))^4-1)*100</f>
        <v>12.5398358070923</v>
      </c>
      <c r="F254" s="24" t="n">
        <f aca="false">(B254/B242-1)*100</f>
        <v>-1.52098919776792</v>
      </c>
      <c r="G254" s="24" t="n">
        <f aca="false">IFERROR((AVERAGE(B247:B254)/AVERAGE(B235:B242)-1)*100,"")</f>
        <v>-3.06905656157166</v>
      </c>
      <c r="H254" s="23" t="n">
        <f aca="false">'SA Data'!U254</f>
        <v>146.517621040708</v>
      </c>
      <c r="I254" s="24" t="n">
        <f aca="false">(H254/H253-1)*100</f>
        <v>-0.0309863827252177</v>
      </c>
      <c r="J254" s="24" t="n">
        <f aca="false">(AVERAGE(H252:H254)/AVERAGE(H249:H251)-1)*100</f>
        <v>2.05954651599281</v>
      </c>
      <c r="K254" s="24" t="n">
        <f aca="false">((AVERAGE(H252:H254)/AVERAGE(H249:H251))^4-1)*100</f>
        <v>8.49620238497526</v>
      </c>
      <c r="L254" s="24" t="n">
        <f aca="false">IFERROR(('SA Data'!Y254/'SA Data'!Y242-1)*100,"")</f>
        <v>-3.02111457262678</v>
      </c>
      <c r="M254" s="24" t="n">
        <f aca="false">IFERROR((AVERAGE('SA Data'!Y247:Y254)/AVERAGE('SA Data'!Y235:Y242)-1)*100,"")</f>
        <v>-2.78187053190174</v>
      </c>
    </row>
    <row r="255" customFormat="false" ht="15" hidden="false" customHeight="false" outlineLevel="0" collapsed="false">
      <c r="A255" s="20" t="n">
        <v>45565</v>
      </c>
      <c r="B255" s="23" t="n">
        <f aca="false">'SA Data'!B255</f>
        <v>147.82665</v>
      </c>
      <c r="C255" s="24" t="n">
        <f aca="false">(B255/B254-1)*100</f>
        <v>0.0352225619287827</v>
      </c>
      <c r="D255" s="24" t="n">
        <f aca="false">(AVERAGE(B253:B255)/AVERAGE(B250:B252)-1)*100</f>
        <v>3.57173166728353</v>
      </c>
      <c r="E255" s="24" t="n">
        <f aca="false">((AVERAGE(B253:B255)/AVERAGE(B250:B252))^4-1)*100</f>
        <v>15.0707516571426</v>
      </c>
      <c r="F255" s="24" t="n">
        <f aca="false">(B255/B243-1)*100</f>
        <v>-1.25024841639766</v>
      </c>
      <c r="G255" s="24" t="n">
        <f aca="false">IFERROR((AVERAGE(B247:B255)/AVERAGE(B235:B243)-1)*100,"")</f>
        <v>-2.86561366861192</v>
      </c>
      <c r="H255" s="23" t="n">
        <f aca="false">'SA Data'!U255</f>
        <v>145.596169919716</v>
      </c>
      <c r="I255" s="24" t="n">
        <f aca="false">(H255/H254-1)*100</f>
        <v>-0.628901230068812</v>
      </c>
      <c r="J255" s="24" t="n">
        <f aca="false">(AVERAGE(H253:H255)/AVERAGE(H250:H252)-1)*100</f>
        <v>2.5317485774802</v>
      </c>
      <c r="K255" s="24" t="n">
        <f aca="false">((AVERAGE(H253:H255)/AVERAGE(H250:H252))^4-1)*100</f>
        <v>10.5181115974495</v>
      </c>
      <c r="L255" s="24" t="n">
        <f aca="false">IFERROR(('SA Data'!Y255/'SA Data'!Y243-1)*100,"")</f>
        <v>-2.75791053660046</v>
      </c>
      <c r="M255" s="24" t="n">
        <f aca="false">IFERROR((AVERAGE('SA Data'!Y247:Y255)/AVERAGE('SA Data'!Y235:Y243)-1)*100,"")</f>
        <v>-2.77923920461779</v>
      </c>
    </row>
    <row r="256" customFormat="false" ht="15" hidden="false" customHeight="false" outlineLevel="0" collapsed="false">
      <c r="A256" s="20" t="n">
        <v>45596</v>
      </c>
      <c r="B256" s="23" t="n">
        <f aca="false">'SA Data'!B256</f>
        <v>149.04702</v>
      </c>
      <c r="C256" s="24" t="n">
        <f aca="false">(B256/B255-1)*100</f>
        <v>0.825541267423713</v>
      </c>
      <c r="D256" s="24" t="n">
        <f aca="false">(AVERAGE(B254:B256)/AVERAGE(B251:B253)-1)*100</f>
        <v>2.4918017188402</v>
      </c>
      <c r="E256" s="24" t="n">
        <f aca="false">((AVERAGE(B254:B256)/AVERAGE(B251:B253))^4-1)*100</f>
        <v>10.3459786906504</v>
      </c>
      <c r="F256" s="24" t="n">
        <f aca="false">(B256/B244-1)*100</f>
        <v>0.698457928180885</v>
      </c>
      <c r="G256" s="24" t="n">
        <f aca="false">IFERROR((AVERAGE(B247:B256)/AVERAGE(B235:B244)-1)*100,"")</f>
        <v>-2.51069429646784</v>
      </c>
      <c r="H256" s="23" t="n">
        <f aca="false">'SA Data'!U256</f>
        <v>147.476839275566</v>
      </c>
      <c r="I256" s="24" t="n">
        <f aca="false">(H256/H255-1)*100</f>
        <v>1.29170249250878</v>
      </c>
      <c r="J256" s="24" t="n">
        <f aca="false">(AVERAGE(H254:H256)/AVERAGE(H251:H253)-1)*100</f>
        <v>1.52761389425942</v>
      </c>
      <c r="K256" s="24" t="n">
        <f aca="false">((AVERAGE(H254:H256)/AVERAGE(H251:H253))^4-1)*100</f>
        <v>6.25190321382827</v>
      </c>
      <c r="L256" s="24" t="n">
        <f aca="false">IFERROR(('SA Data'!Y256/'SA Data'!Y244-1)*100,"")</f>
        <v>-0.305355812387265</v>
      </c>
      <c r="M256" s="24" t="n">
        <f aca="false">IFERROR((AVERAGE('SA Data'!Y247:Y256)/AVERAGE('SA Data'!Y235:Y244)-1)*100,"")</f>
        <v>-2.53457297331496</v>
      </c>
    </row>
    <row r="257" customFormat="false" ht="15" hidden="false" customHeight="false" outlineLevel="0" collapsed="false">
      <c r="A257" s="20" t="n">
        <v>45626</v>
      </c>
      <c r="B257" s="23" t="n">
        <f aca="false">'SA Data'!B257</f>
        <v>150.80206</v>
      </c>
      <c r="C257" s="24" t="n">
        <f aca="false">(B257/B256-1)*100</f>
        <v>1.17750760800184</v>
      </c>
      <c r="D257" s="24" t="n">
        <f aca="false">(AVERAGE(B255:B257)/AVERAGE(B252:B254)-1)*100</f>
        <v>2.02824086050775</v>
      </c>
      <c r="E257" s="24" t="n">
        <f aca="false">((AVERAGE(B255:B257)/AVERAGE(B252:B254))^4-1)*100</f>
        <v>8.36314350360512</v>
      </c>
      <c r="F257" s="24" t="n">
        <f aca="false">(B257/B245-1)*100</f>
        <v>3.01510434918639</v>
      </c>
      <c r="G257" s="24" t="n">
        <f aca="false">IFERROR((AVERAGE(B247:B257)/AVERAGE(B235:B245)-1)*100,"")</f>
        <v>-2.01525735225326</v>
      </c>
      <c r="H257" s="23" t="n">
        <f aca="false">'SA Data'!U257</f>
        <v>149.046318370025</v>
      </c>
      <c r="I257" s="24" t="n">
        <f aca="false">(H257/H256-1)*100</f>
        <v>1.06422072928118</v>
      </c>
      <c r="J257" s="24" t="n">
        <f aca="false">(AVERAGE(H255:H257)/AVERAGE(H252:H254)-1)*100</f>
        <v>1.56703459945831</v>
      </c>
      <c r="K257" s="24" t="n">
        <f aca="false">((AVERAGE(H255:H257)/AVERAGE(H252:H254))^4-1)*100</f>
        <v>6.41701947640372</v>
      </c>
      <c r="L257" s="24" t="n">
        <f aca="false">IFERROR(('SA Data'!Y257/'SA Data'!Y245-1)*100,"")</f>
        <v>0.251350430876363</v>
      </c>
      <c r="M257" s="24" t="n">
        <f aca="false">IFERROR((AVERAGE('SA Data'!Y247:Y257)/AVERAGE('SA Data'!Y235:Y245)-1)*100,"")</f>
        <v>-2.28458602731716</v>
      </c>
    </row>
    <row r="258" customFormat="false" ht="15" hidden="false" customHeight="false" outlineLevel="0" collapsed="false">
      <c r="A258" s="20" t="n">
        <v>45657</v>
      </c>
      <c r="B258" s="23" t="n">
        <f aca="false">'SA Data'!B258</f>
        <v>151.48527</v>
      </c>
      <c r="C258" s="24" t="n">
        <f aca="false">(B258/B257-1)*100</f>
        <v>0.453050840286928</v>
      </c>
      <c r="D258" s="24" t="n">
        <f aca="false">(AVERAGE(B256:B258)/AVERAGE(B253:B255)-1)*100</f>
        <v>1.90798411657007</v>
      </c>
      <c r="E258" s="24" t="n">
        <f aca="false">((AVERAGE(B256:B258)/AVERAGE(B253:B255))^4-1)*100</f>
        <v>7.85315225489986</v>
      </c>
      <c r="F258" s="24" t="n">
        <f aca="false">(B258/B246-1)*100</f>
        <v>6.03202394498903</v>
      </c>
      <c r="G258" s="24" t="n">
        <f aca="false">IFERROR((AVERAGE(B247:B258)/AVERAGE(B235:B246)-1)*100,"")</f>
        <v>-1.3677581326039</v>
      </c>
      <c r="H258" s="23" t="n">
        <f aca="false">'SA Data'!U258</f>
        <v>149.450896840373</v>
      </c>
      <c r="I258" s="24" t="n">
        <f aca="false">(H258/H257-1)*100</f>
        <v>0.271444792983067</v>
      </c>
      <c r="J258" s="24" t="n">
        <f aca="false">(AVERAGE(H256:H258)/AVERAGE(H253:H255)-1)*100</f>
        <v>1.66346327397775</v>
      </c>
      <c r="K258" s="24" t="n">
        <f aca="false">((AVERAGE(H256:H258)/AVERAGE(H253:H255))^4-1)*100</f>
        <v>6.82172855102798</v>
      </c>
      <c r="L258" s="24" t="n">
        <f aca="false">IFERROR(('SA Data'!Y258/'SA Data'!Y246-1)*100,"")</f>
        <v>4.85796022923246</v>
      </c>
      <c r="M258" s="24" t="n">
        <f aca="false">IFERROR((AVERAGE('SA Data'!Y247:Y258)/AVERAGE('SA Data'!Y235:Y246)-1)*100,"")</f>
        <v>-1.71842143328157</v>
      </c>
    </row>
    <row r="259" customFormat="false" ht="15" hidden="false" customHeight="false" outlineLevel="0" collapsed="false">
      <c r="A259" s="20" t="n">
        <v>45688</v>
      </c>
      <c r="B259" s="23" t="n">
        <f aca="false">'SA Data'!B259</f>
        <v>151.93093</v>
      </c>
      <c r="C259" s="24" t="n">
        <f aca="false">(B259/B258-1)*100</f>
        <v>0.294193620277383</v>
      </c>
      <c r="D259" s="24" t="n">
        <f aca="false">(AVERAGE(B257:B259)/AVERAGE(B254:B256)-1)*100</f>
        <v>2.15226070709775</v>
      </c>
      <c r="E259" s="24" t="n">
        <f aca="false">((AVERAGE(B257:B259)/AVERAGE(B254:B256))^4-1)*100</f>
        <v>8.8909857583219</v>
      </c>
      <c r="F259" s="24" t="n">
        <f aca="false">(B259/B247-1)*100</f>
        <v>5.83562928067249</v>
      </c>
      <c r="G259" s="24" t="n">
        <f aca="false">IFERROR((AVERAGE(B259:B259)/AVERAGE(B247:B247)-1)*100,"")</f>
        <v>5.83562928067249</v>
      </c>
      <c r="H259" s="23" t="n">
        <f aca="false">'SA Data'!U259</f>
        <v>150.08240368202</v>
      </c>
      <c r="I259" s="24" t="n">
        <f aca="false">(H259/H258-1)*100</f>
        <v>0.422551389786019</v>
      </c>
      <c r="J259" s="24" t="n">
        <f aca="false">(AVERAGE(H257:H259)/AVERAGE(H254:H256)-1)*100</f>
        <v>2.04485447098901</v>
      </c>
      <c r="K259" s="24" t="n">
        <f aca="false">((AVERAGE(H257:H259)/AVERAGE(H254:H256))^4-1)*100</f>
        <v>8.43374132293753</v>
      </c>
      <c r="L259" s="24" t="n">
        <f aca="false">IFERROR(('SA Data'!Y259/'SA Data'!Y247-1)*100,"")</f>
        <v>5.05038981758514</v>
      </c>
      <c r="M259" s="24" t="n">
        <f aca="false">IFERROR((AVERAGE('SA Data'!Y259:Y259)/AVERAGE('SA Data'!Y247:Y247)-1)*100,"")</f>
        <v>5.05038981758514</v>
      </c>
    </row>
    <row r="260" customFormat="false" ht="15" hidden="false" customHeight="false" outlineLevel="0" collapsed="false">
      <c r="A260" s="20" t="n">
        <v>45716</v>
      </c>
      <c r="B260" s="23" t="n">
        <f aca="false">'SA Data'!B260</f>
        <v>153.54265</v>
      </c>
      <c r="C260" s="24" t="n">
        <f aca="false">(B260/B259-1)*100</f>
        <v>1.06082415213282</v>
      </c>
      <c r="D260" s="24" t="n">
        <f aca="false">(AVERAGE(B258:B260)/AVERAGE(B255:B257)-1)*100</f>
        <v>2.07362592562255</v>
      </c>
      <c r="E260" s="24" t="n">
        <f aca="false">((AVERAGE(B258:B260)/AVERAGE(B255:B257))^4-1)*100</f>
        <v>8.55608423455705</v>
      </c>
      <c r="F260" s="24" t="n">
        <f aca="false">(B260/B248-1)*100</f>
        <v>6.76859041051865</v>
      </c>
      <c r="G260" s="24" t="n">
        <f aca="false">IFERROR((AVERAGE(B259:B260)/AVERAGE(B247:B248)-1)*100,"")</f>
        <v>6.30252403506109</v>
      </c>
      <c r="H260" s="23" t="n">
        <f aca="false">'SA Data'!U260</f>
        <v>151.563347409555</v>
      </c>
      <c r="I260" s="24" t="n">
        <f aca="false">(H260/H259-1)*100</f>
        <v>0.986753737414992</v>
      </c>
      <c r="J260" s="24" t="n">
        <f aca="false">(AVERAGE(H258:H260)/AVERAGE(H255:H257)-1)*100</f>
        <v>2.03051977303932</v>
      </c>
      <c r="K260" s="24" t="n">
        <f aca="false">((AVERAGE(H258:H260)/AVERAGE(H255:H257))^4-1)*100</f>
        <v>8.37282546607292</v>
      </c>
      <c r="L260" s="24" t="n">
        <f aca="false">IFERROR(('SA Data'!Y260/'SA Data'!Y248-1)*100,"")</f>
        <v>4.85361511910476</v>
      </c>
      <c r="M260" s="24" t="n">
        <f aca="false">IFERROR((AVERAGE('SA Data'!Y259:Y260)/AVERAGE('SA Data'!Y247:Y248)-1)*100,"")</f>
        <v>4.95310867509664</v>
      </c>
    </row>
    <row r="261" customFormat="false" ht="15" hidden="false" customHeight="false" outlineLevel="0" collapsed="false">
      <c r="A261" s="20" t="n">
        <v>45747</v>
      </c>
      <c r="B261" s="23" t="n">
        <f aca="false">'SA Data'!B261</f>
        <v>149.34718</v>
      </c>
      <c r="C261" s="24" t="n">
        <f aca="false">(B261/B260-1)*100</f>
        <v>-2.73244600115994</v>
      </c>
      <c r="D261" s="24" t="n">
        <f aca="false">(AVERAGE(B259:B261)/AVERAGE(B256:B258)-1)*100</f>
        <v>0.772467240749575</v>
      </c>
      <c r="E261" s="24" t="n">
        <f aca="false">((AVERAGE(B259:B261)/AVERAGE(B256:B258))^4-1)*100</f>
        <v>3.1258560315609</v>
      </c>
      <c r="F261" s="24" t="n">
        <f aca="false">(B261/B249-1)*100</f>
        <v>5.08931071298622</v>
      </c>
      <c r="G261" s="24" t="n">
        <f aca="false">IFERROR((AVERAGE(B259:B261)/AVERAGE(B247:B249)-1)*100,"")</f>
        <v>5.90107009683545</v>
      </c>
      <c r="H261" s="23" t="n">
        <f aca="false">'SA Data'!U261</f>
        <v>147.960972271337</v>
      </c>
      <c r="I261" s="24" t="n">
        <f aca="false">(H261/H260-1)*100</f>
        <v>-2.37681154433981</v>
      </c>
      <c r="J261" s="24" t="n">
        <f aca="false">(AVERAGE(H259:H261)/AVERAGE(H256:H258)-1)*100</f>
        <v>0.814547133495047</v>
      </c>
      <c r="K261" s="24" t="n">
        <f aca="false">((AVERAGE(H259:H261)/AVERAGE(H256:H258))^4-1)*100</f>
        <v>3.29821437274056</v>
      </c>
      <c r="L261" s="24" t="n">
        <f aca="false">IFERROR(('SA Data'!Y261/'SA Data'!Y249-1)*100,"")</f>
        <v>5.23960993318251</v>
      </c>
      <c r="M261" s="24" t="n">
        <f aca="false">IFERROR((AVERAGE('SA Data'!Y259:Y261)/AVERAGE('SA Data'!Y247:Y249)-1)*100,"")</f>
        <v>5.0517577781136</v>
      </c>
    </row>
    <row r="262" customFormat="false" ht="15" hidden="false" customHeight="false" outlineLevel="0" collapsed="false">
      <c r="A262" s="20" t="n">
        <v>45777</v>
      </c>
      <c r="B262" s="23" t="n">
        <f aca="false">'SA Data'!B262</f>
        <v>152.3841</v>
      </c>
      <c r="C262" s="24" t="n">
        <f aca="false">(B262/B261-1)*100</f>
        <v>2.03346323646685</v>
      </c>
      <c r="D262" s="24" t="n">
        <f aca="false">(AVERAGE(B260:B262)/AVERAGE(B257:B259)-1)*100</f>
        <v>0.232414698607686</v>
      </c>
      <c r="E262" s="24" t="n">
        <f aca="false">((AVERAGE(B260:B262)/AVERAGE(B257:B259))^4-1)*100</f>
        <v>0.932904814576263</v>
      </c>
      <c r="F262" s="24" t="n">
        <f aca="false">(B262/B250-1)*100</f>
        <v>8.03083198375227</v>
      </c>
      <c r="G262" s="24" t="n">
        <f aca="false">IFERROR((AVERAGE(B259:B262)/AVERAGE(B247:B250)-1)*100,"")</f>
        <v>6.42762311756335</v>
      </c>
      <c r="H262" s="23" t="n">
        <f aca="false">'SA Data'!U262</f>
        <v>151.129720240886</v>
      </c>
      <c r="I262" s="24" t="n">
        <f aca="false">(H262/H261-1)*100</f>
        <v>2.14161066996699</v>
      </c>
      <c r="J262" s="24" t="n">
        <f aca="false">(AVERAGE(H260:H262)/AVERAGE(H257:H259)-1)*100</f>
        <v>0.46244210436508</v>
      </c>
      <c r="K262" s="24" t="n">
        <f aca="false">((AVERAGE(H260:H262)/AVERAGE(H257:H259))^4-1)*100</f>
        <v>1.86263918298371</v>
      </c>
      <c r="L262" s="24" t="n">
        <f aca="false">IFERROR(('SA Data'!Y262/'SA Data'!Y250-1)*100,"")</f>
        <v>7.32168217375291</v>
      </c>
      <c r="M262" s="24" t="n">
        <f aca="false">IFERROR((AVERAGE('SA Data'!Y259:Y262)/AVERAGE('SA Data'!Y247:Y250)-1)*100,"")</f>
        <v>5.64308038229218</v>
      </c>
    </row>
    <row r="263" customFormat="false" ht="15" hidden="false" customHeight="false" outlineLevel="0" collapsed="false">
      <c r="A263" s="20" t="n">
        <v>45808</v>
      </c>
      <c r="B263" s="23" t="n">
        <f aca="false">'SA Data'!B263</f>
        <v>152.27052</v>
      </c>
      <c r="C263" s="24" t="n">
        <f aca="false">(B263/B262-1)*100</f>
        <v>-0.0745353353794664</v>
      </c>
      <c r="D263" s="24" t="n">
        <f aca="false">(AVERAGE(B261:B263)/AVERAGE(B258:B260)-1)*100</f>
        <v>-0.647115161463663</v>
      </c>
      <c r="E263" s="24" t="n">
        <f aca="false">((AVERAGE(B261:B263)/AVERAGE(B258:B260))^4-1)*100</f>
        <v>-2.56344338243324</v>
      </c>
      <c r="F263" s="24" t="n">
        <f aca="false">(B263/B251-1)*100</f>
        <v>6.60499229186999</v>
      </c>
      <c r="G263" s="24" t="n">
        <f aca="false">IFERROR((AVERAGE(B259:B263)/AVERAGE(B247:B251)-1)*100,"")</f>
        <v>6.46313731397539</v>
      </c>
      <c r="H263" s="23" t="n">
        <f aca="false">'SA Data'!U263</f>
        <v>151.722514838374</v>
      </c>
      <c r="I263" s="24" t="n">
        <f aca="false">(H263/H262-1)*100</f>
        <v>0.39224223835157</v>
      </c>
      <c r="J263" s="24" t="n">
        <f aca="false">(AVERAGE(H261:H263)/AVERAGE(H258:H260)-1)*100</f>
        <v>-0.0628336704897037</v>
      </c>
      <c r="K263" s="24" t="n">
        <f aca="false">((AVERAGE(H261:H263)/AVERAGE(H258:H260))^4-1)*100</f>
        <v>-0.251097896963093</v>
      </c>
      <c r="L263" s="24" t="n">
        <f aca="false">IFERROR(('SA Data'!Y263/'SA Data'!Y251-1)*100,"")</f>
        <v>4.85857525498441</v>
      </c>
      <c r="M263" s="24" t="n">
        <f aca="false">IFERROR((AVERAGE('SA Data'!Y259:Y263)/AVERAGE('SA Data'!Y247:Y251)-1)*100,"")</f>
        <v>5.47220505244852</v>
      </c>
    </row>
    <row r="264" customFormat="false" ht="15" hidden="false" customHeight="false" outlineLevel="0" collapsed="false">
      <c r="A264" s="20" t="n">
        <v>45838</v>
      </c>
      <c r="B264" s="23" t="n">
        <f aca="false">'SA Data'!B264</f>
        <v>151.5483</v>
      </c>
      <c r="C264" s="24" t="n">
        <f aca="false">(B264/B263-1)*100</f>
        <v>-0.474300606578337</v>
      </c>
      <c r="D264" s="24" t="n">
        <f aca="false">(AVERAGE(B262:B264)/AVERAGE(B259:B261)-1)*100</f>
        <v>0.303891141644463</v>
      </c>
      <c r="E264" s="24" t="n">
        <f aca="false">((AVERAGE(B262:B264)/AVERAGE(B259:B261))^4-1)*100</f>
        <v>1.22111679038217</v>
      </c>
      <c r="F264" s="24" t="n">
        <f aca="false">(B264/B252-1)*100</f>
        <v>5.44782778864972</v>
      </c>
      <c r="G264" s="24" t="n">
        <f aca="false">IFERROR((AVERAGE(B259:B264)/AVERAGE(B247:B252)-1)*100,"")</f>
        <v>6.29288758405218</v>
      </c>
      <c r="H264" s="23" t="n">
        <f aca="false">'SA Data'!U264</f>
        <v>151.886685856634</v>
      </c>
      <c r="I264" s="24" t="n">
        <f aca="false">(H264/H263-1)*100</f>
        <v>0.108204783208921</v>
      </c>
      <c r="J264" s="24" t="n">
        <f aca="false">(AVERAGE(H262:H264)/AVERAGE(H259:H261)-1)*100</f>
        <v>1.14148594900787</v>
      </c>
      <c r="K264" s="24" t="n">
        <f aca="false">((AVERAGE(H262:H264)/AVERAGE(H259:H261))^4-1)*100</f>
        <v>4.64471984211092</v>
      </c>
      <c r="L264" s="24" t="n">
        <f aca="false">IFERROR(('SA Data'!Y264/'SA Data'!Y252-1)*100,"")</f>
        <v>6.26392708621328</v>
      </c>
      <c r="M264" s="24" t="n">
        <f aca="false">IFERROR((AVERAGE('SA Data'!Y259:Y264)/AVERAGE('SA Data'!Y247:Y252)-1)*100,"")</f>
        <v>5.60724721487869</v>
      </c>
    </row>
    <row r="265" customFormat="false" ht="15" hidden="false" customHeight="false" outlineLevel="0" collapsed="false">
      <c r="A265" s="20" t="n">
        <v>45869</v>
      </c>
      <c r="B265" s="23" t="n">
        <f aca="false">'SA Data'!B265</f>
        <v>151.2933</v>
      </c>
      <c r="C265" s="24" t="n">
        <f aca="false">(B265/B264-1)*100</f>
        <v>-0.16826318737988</v>
      </c>
      <c r="D265" s="24" t="n">
        <f aca="false">(AVERAGE(B263:B265)/AVERAGE(B260:B262)-1)*100</f>
        <v>-0.0355412399739352</v>
      </c>
      <c r="E265" s="24" t="n">
        <f aca="false">((AVERAGE(B263:B265)/AVERAGE(B260:B262))^4-1)*100</f>
        <v>-0.142089187067807</v>
      </c>
      <c r="F265" s="24" t="n">
        <f aca="false">(B265/B253-1)*100</f>
        <v>2.72289512960564</v>
      </c>
      <c r="G265" s="24" t="n">
        <f aca="false">IFERROR((AVERAGE(B259:B265)/AVERAGE(B247:B253)-1)*100,"")</f>
        <v>5.76937688057371</v>
      </c>
      <c r="H265" s="23" t="n">
        <f aca="false">'SA Data'!U265</f>
        <v>149.86569391196</v>
      </c>
      <c r="I265" s="24" t="n">
        <f aca="false">(H265/H264-1)*100</f>
        <v>-1.33059190361273</v>
      </c>
      <c r="J265" s="24" t="n">
        <f aca="false">(AVERAGE(H263:H265)/AVERAGE(H260:H262)-1)*100</f>
        <v>0.62594683178232</v>
      </c>
      <c r="K265" s="24" t="n">
        <f aca="false">((AVERAGE(H263:H265)/AVERAGE(H260:H262))^4-1)*100</f>
        <v>2.52739414756713</v>
      </c>
      <c r="L265" s="24" t="n">
        <f aca="false">IFERROR(('SA Data'!Y265/'SA Data'!Y253-1)*100,"")</f>
        <v>2.16905551203734</v>
      </c>
      <c r="M265" s="24" t="n">
        <f aca="false">IFERROR((AVERAGE('SA Data'!Y259:Y265)/AVERAGE('SA Data'!Y247:Y253)-1)*100,"")</f>
        <v>5.10462089600683</v>
      </c>
    </row>
    <row r="266" customFormat="false" ht="15" hidden="false" customHeight="false" outlineLevel="0" collapsed="false">
      <c r="A266" s="20" t="n">
        <v>45900</v>
      </c>
      <c r="B266" s="23" t="n">
        <f aca="false">'SA Data'!B266</f>
        <v>152.17594</v>
      </c>
      <c r="C266" s="24" t="n">
        <f aca="false">(B266/B265-1)*100</f>
        <v>0.583396621000398</v>
      </c>
      <c r="D266" s="24" t="n">
        <f aca="false">(AVERAGE(B264:B266)/AVERAGE(B261:B263)-1)*100</f>
        <v>0.223730390496257</v>
      </c>
      <c r="E266" s="24" t="n">
        <f aca="false">((AVERAGE(B264:B266)/AVERAGE(B261:B263))^4-1)*100</f>
        <v>0.897929361304084</v>
      </c>
      <c r="F266" s="24" t="n">
        <f aca="false">(B266/B254-1)*100</f>
        <v>2.978414423047</v>
      </c>
      <c r="G266" s="24" t="n">
        <f aca="false">IFERROR((AVERAGE(B259:B266)/AVERAGE(B247:B254)-1)*100,"")</f>
        <v>5.41140706318524</v>
      </c>
      <c r="H266" s="23" t="n">
        <f aca="false">'SA Data'!U266</f>
        <v>149.139636711952</v>
      </c>
      <c r="I266" s="24" t="n">
        <f aca="false">(H266/H265-1)*100</f>
        <v>-0.484471916857554</v>
      </c>
      <c r="J266" s="24" t="n">
        <f aca="false">(AVERAGE(H264:H266)/AVERAGE(H261:H263)-1)*100</f>
        <v>0.017481548602416</v>
      </c>
      <c r="K266" s="24" t="n">
        <f aca="false">((AVERAGE(H264:H266)/AVERAGE(H261:H263))^4-1)*100</f>
        <v>0.0699445328192327</v>
      </c>
      <c r="L266" s="24" t="n">
        <f aca="false">IFERROR(('SA Data'!Y266/'SA Data'!Y254-1)*100,"")</f>
        <v>1.26329914393197</v>
      </c>
      <c r="M266" s="24" t="n">
        <f aca="false">IFERROR((AVERAGE('SA Data'!Y259:Y266)/AVERAGE('SA Data'!Y247:Y254)-1)*100,"")</f>
        <v>4.62077312194473</v>
      </c>
    </row>
    <row r="267" customFormat="false" ht="15" hidden="false" customHeight="false" outlineLevel="0" collapsed="false">
      <c r="A267" s="20" t="n">
        <v>45930</v>
      </c>
      <c r="B267" s="23" t="n">
        <f aca="false">'SA Data'!B267</f>
        <v>153.27772</v>
      </c>
      <c r="C267" s="24" t="n">
        <f aca="false">(B267/B266-1)*100</f>
        <v>0.724017213233563</v>
      </c>
      <c r="D267" s="24" t="n">
        <f aca="false">(AVERAGE(B265:B267)/AVERAGE(B262:B264)-1)*100</f>
        <v>0.119253949536291</v>
      </c>
      <c r="E267" s="24" t="n">
        <f aca="false">((AVERAGE(B265:B267)/AVERAGE(B262:B264))^4-1)*100</f>
        <v>0.477869767004457</v>
      </c>
      <c r="F267" s="24" t="n">
        <f aca="false">(B267/B255-1)*100</f>
        <v>3.68747448447218</v>
      </c>
      <c r="G267" s="24" t="n">
        <f aca="false">IFERROR((AVERAGE(B259:B267)/AVERAGE(B247:B255)-1)*100,"")</f>
        <v>5.2153696692671</v>
      </c>
      <c r="H267" s="23" t="n">
        <f aca="false">'SA Data'!U267</f>
        <v>151.389052525517</v>
      </c>
      <c r="I267" s="24" t="n">
        <f aca="false">(H267/H266-1)*100</f>
        <v>1.5082615615519</v>
      </c>
      <c r="J267" s="24" t="n">
        <f aca="false">(AVERAGE(H265:H267)/AVERAGE(H262:H264)-1)*100</f>
        <v>-0.955391673429495</v>
      </c>
      <c r="K267" s="24" t="n">
        <f aca="false">((AVERAGE(H265:H267)/AVERAGE(H262:H264))^4-1)*100</f>
        <v>-3.76714828796846</v>
      </c>
      <c r="L267" s="24" t="n">
        <f aca="false">IFERROR(('SA Data'!Y267/'SA Data'!Y255-1)*100,"")</f>
        <v>3.91721113414592</v>
      </c>
      <c r="M267" s="24" t="n">
        <f aca="false">IFERROR((AVERAGE('SA Data'!Y259:Y267)/AVERAGE('SA Data'!Y247:Y255)-1)*100,"")</f>
        <v>4.5434898012696</v>
      </c>
    </row>
    <row r="268" customFormat="false" ht="15" hidden="false" customHeight="false" outlineLevel="0" collapsed="false">
      <c r="A268" s="20" t="n">
        <v>45961</v>
      </c>
      <c r="B268" s="23" t="n">
        <f aca="false">'SA Data'!B268</f>
        <v>153.09073</v>
      </c>
      <c r="C268" s="24" t="n">
        <f aca="false">(B268/B267-1)*100</f>
        <v>-0.121994246782886</v>
      </c>
      <c r="D268" s="24" t="n">
        <f aca="false">(AVERAGE(B266:B268)/AVERAGE(B263:B265)-1)*100</f>
        <v>0.754159216854089</v>
      </c>
      <c r="E268" s="24" t="n">
        <f aca="false">((AVERAGE(B266:B268)/AVERAGE(B263:B265))^4-1)*100</f>
        <v>3.05093413143118</v>
      </c>
      <c r="F268" s="24" t="n">
        <f aca="false">(B268/B256-1)*100</f>
        <v>2.71304317255052</v>
      </c>
      <c r="G268" s="24" t="n">
        <f aca="false">IFERROR((AVERAGE(B259:B268)/AVERAGE(B247:B256)-1)*100,"")</f>
        <v>4.95797882057196</v>
      </c>
      <c r="H268" s="23" t="n">
        <f aca="false">'SA Data'!U268</f>
        <v>150.976673810504</v>
      </c>
      <c r="I268" s="24" t="n">
        <f aca="false">(H268/H267-1)*100</f>
        <v>-0.27239665493235</v>
      </c>
      <c r="J268" s="24" t="n">
        <f aca="false">(AVERAGE(H266:H268)/AVERAGE(H263:H265)-1)*100</f>
        <v>-0.434319866968791</v>
      </c>
      <c r="K268" s="24" t="n">
        <f aca="false">((AVERAGE(H266:H268)/AVERAGE(H263:H265))^4-1)*100</f>
        <v>-1.72599417843538</v>
      </c>
      <c r="L268" s="24" t="n">
        <f aca="false">IFERROR(('SA Data'!Y268/'SA Data'!Y256-1)*100,"")</f>
        <v>2.43528072557269</v>
      </c>
      <c r="M268" s="24" t="n">
        <f aca="false">IFERROR((AVERAGE('SA Data'!Y259:Y268)/AVERAGE('SA Data'!Y247:Y256)-1)*100,"")</f>
        <v>4.33021982348061</v>
      </c>
    </row>
    <row r="269" customFormat="false" ht="15" hidden="false" customHeight="false" outlineLevel="0" collapsed="false">
      <c r="A269" s="20" t="n">
        <v>45991</v>
      </c>
      <c r="B269" s="23" t="n">
        <f aca="false">'SA Data'!B269</f>
        <v>153.01279</v>
      </c>
      <c r="C269" s="24" t="n">
        <f aca="false">(B269/B268-1)*100</f>
        <v>-0.0509109859231915</v>
      </c>
      <c r="D269" s="24" t="n">
        <f aca="false">(AVERAGE(B267:B269)/AVERAGE(B264:B266)-1)*100</f>
        <v>0.959017975438914</v>
      </c>
      <c r="E269" s="24" t="n">
        <f aca="false">((AVERAGE(B267:B269)/AVERAGE(B264:B266))^4-1)*100</f>
        <v>3.89160848573509</v>
      </c>
      <c r="F269" s="24" t="n">
        <f aca="false">(B269/B257-1)*100</f>
        <v>1.46598130025544</v>
      </c>
      <c r="G269" s="24" t="n">
        <f aca="false">IFERROR((AVERAGE(B259:B269)/AVERAGE(B247:B257)-1)*100,"")</f>
        <v>4.62881680739655</v>
      </c>
      <c r="H269" s="23" t="n">
        <f aca="false">'SA Data'!U269</f>
        <v>149.564852747718</v>
      </c>
      <c r="I269" s="24" t="n">
        <f aca="false">(H269/H268-1)*100</f>
        <v>-0.935125292638062</v>
      </c>
      <c r="J269" s="24" t="n">
        <f aca="false">(AVERAGE(H267:H269)/AVERAGE(H264:H266)-1)*100</f>
        <v>0.230335105797486</v>
      </c>
      <c r="K269" s="24" t="n">
        <f aca="false">((AVERAGE(H267:H269)/AVERAGE(H264:H266))^4-1)*100</f>
        <v>0.924528569765992</v>
      </c>
      <c r="L269" s="24" t="n">
        <f aca="false">IFERROR(('SA Data'!Y269/'SA Data'!Y257-1)*100,"")</f>
        <v>-0.402013939687196</v>
      </c>
      <c r="M269" s="24" t="n">
        <f aca="false">IFERROR((AVERAGE('SA Data'!Y259:Y269)/AVERAGE('SA Data'!Y247:Y257)-1)*100,"")</f>
        <v>3.89456602587488</v>
      </c>
    </row>
    <row r="270" customFormat="false" ht="15" hidden="false" customHeight="false" outlineLevel="0" collapsed="false">
      <c r="A270" s="20" t="n">
        <v>46022</v>
      </c>
      <c r="B270" s="23" t="n">
        <f aca="false">'SA Data'!B270</f>
        <v>155.94782</v>
      </c>
      <c r="C270" s="24" t="n">
        <f aca="false">(B270/B269-1)*100</f>
        <v>1.91815991329876</v>
      </c>
      <c r="D270" s="24" t="n">
        <f aca="false">(AVERAGE(B268:B270)/AVERAGE(B265:B267)-1)*100</f>
        <v>1.16133887349794</v>
      </c>
      <c r="E270" s="24" t="n">
        <f aca="false">((AVERAGE(B268:B270)/AVERAGE(B265:B267))^4-1)*100</f>
        <v>4.72690631455288</v>
      </c>
      <c r="F270" s="24" t="n">
        <f aca="false">(B270/B258-1)*100</f>
        <v>2.94586397740189</v>
      </c>
      <c r="G270" s="24" t="n">
        <f aca="false">IFERROR((AVERAGE(B259:B270)/AVERAGE(B247:B258)-1)*100,"")</f>
        <v>4.48324403362763</v>
      </c>
      <c r="H270" s="23" t="n">
        <f aca="false">'SA Data'!U270</f>
        <v>152.724313300353</v>
      </c>
      <c r="I270" s="24" t="n">
        <f aca="false">(H270/H269-1)*100</f>
        <v>2.11243517082496</v>
      </c>
      <c r="J270" s="24" t="n">
        <f aca="false">(AVERAGE(H268:H270)/AVERAGE(H265:H267)-1)*100</f>
        <v>0.637542743998498</v>
      </c>
      <c r="K270" s="24" t="n">
        <f aca="false">((AVERAGE(H268:H270)/AVERAGE(H265:H267))^4-1)*100</f>
        <v>2.57466244067071</v>
      </c>
      <c r="L270" s="24" t="n">
        <f aca="false">IFERROR(('SA Data'!Y270/'SA Data'!Y258-1)*100,"")</f>
        <v>2.94042927086722</v>
      </c>
      <c r="M270" s="24" t="n">
        <f aca="false">IFERROR((AVERAGE('SA Data'!Y259:Y270)/AVERAGE('SA Data'!Y247:Y258)-1)*100,"")</f>
        <v>3.81387419811758</v>
      </c>
    </row>
    <row r="271" customFormat="false" ht="15" hidden="false" customHeight="false" outlineLevel="0" collapsed="false">
      <c r="A271" s="20" t="n">
        <v>46053</v>
      </c>
      <c r="B271" s="23" t="n">
        <f aca="false">'SA Data'!B271</f>
        <v>156.30087</v>
      </c>
      <c r="C271" s="24" t="n">
        <f aca="false">(B271/B270-1)*100</f>
        <v>0.226389827058826</v>
      </c>
      <c r="D271" s="24" t="n">
        <f aca="false">(AVERAGE(B269:B271)/AVERAGE(B266:B268)-1)*100</f>
        <v>1.46487235401573</v>
      </c>
      <c r="E271" s="24" t="n">
        <f aca="false">((AVERAGE(B269:B271)/AVERAGE(B266:B268))^4-1)*100</f>
        <v>5.98950244068333</v>
      </c>
      <c r="F271" s="24" t="n">
        <f aca="false">(B271/B259-1)*100</f>
        <v>2.87626752498653</v>
      </c>
      <c r="G271" s="24" t="n">
        <f aca="false">IFERROR((AVERAGE(B271:B271)/AVERAGE(B259:B259)-1)*100,"")</f>
        <v>2.87626752498653</v>
      </c>
      <c r="H271" s="23" t="n">
        <f aca="false">'SA Data'!U271</f>
        <v>151.999594269924</v>
      </c>
      <c r="I271" s="24" t="n">
        <f aca="false">(H271/H270-1)*100</f>
        <v>-0.474527607797648</v>
      </c>
      <c r="J271" s="24" t="n">
        <f aca="false">(AVERAGE(H269:H271)/AVERAGE(H266:H268)-1)*100</f>
        <v>0.616470478054154</v>
      </c>
      <c r="K271" s="24" t="n">
        <f aca="false">((AVERAGE(H269:H271)/AVERAGE(H266:H268))^4-1)*100</f>
        <v>2.48877792001554</v>
      </c>
      <c r="L271" s="24" t="n">
        <f aca="false">IFERROR(('SA Data'!Y271/'SA Data'!Y259-1)*100,"")</f>
        <v>1.74865152652788</v>
      </c>
      <c r="M271" s="24" t="n">
        <f aca="false">IFERROR((AVERAGE('SA Data'!Y271:Y271)/AVERAGE('SA Data'!Y259:Y259)-1)*100,"")</f>
        <v>1.74865152652788</v>
      </c>
    </row>
    <row r="272" customFormat="false" ht="15" hidden="false" customHeight="false" outlineLevel="0" collapsed="false">
      <c r="A272" s="20" t="n">
        <v>46081</v>
      </c>
      <c r="B272" s="23" t="n">
        <f aca="false">'SA Data'!B272</f>
        <v>152.46233</v>
      </c>
      <c r="C272" s="24" t="n">
        <f aca="false">(B272/B271-1)*100</f>
        <v>-2.45586604860228</v>
      </c>
      <c r="D272" s="24" t="n">
        <f aca="false">(AVERAGE(B270:B272)/AVERAGE(B267:B269)-1)*100</f>
        <v>1.16020845779423</v>
      </c>
      <c r="E272" s="24" t="n">
        <f aca="false">((AVERAGE(B270:B272)/AVERAGE(B267:B269))^4-1)*100</f>
        <v>4.72222535811186</v>
      </c>
      <c r="F272" s="24" t="n">
        <f aca="false">(B272/B260-1)*100</f>
        <v>-0.703596036671239</v>
      </c>
      <c r="G272" s="24" t="n">
        <f aca="false">IFERROR((AVERAGE(B271:B272)/AVERAGE(B259:B260)-1)*100,"")</f>
        <v>1.07689182154478</v>
      </c>
      <c r="H272" s="23" t="n">
        <f aca="false">'SA Data'!U272</f>
        <v>150.149046666477</v>
      </c>
      <c r="I272" s="24" t="n">
        <f aca="false">(H272/H271-1)*100</f>
        <v>-1.21746877834493</v>
      </c>
      <c r="J272" s="24" t="n">
        <f aca="false">(AVERAGE(H270:H272)/AVERAGE(H267:H269)-1)*100</f>
        <v>0.651067949192652</v>
      </c>
      <c r="K272" s="24" t="n">
        <f aca="false">((AVERAGE(H270:H272)/AVERAGE(H267:H269))^4-1)*100</f>
        <v>2.62981573726118</v>
      </c>
      <c r="L272" s="24" t="n">
        <f aca="false">IFERROR(('SA Data'!Y272/'SA Data'!Y260-1)*100,"")</f>
        <v>-0.806292484960891</v>
      </c>
      <c r="M272" s="24" t="n">
        <f aca="false">IFERROR((AVERAGE('SA Data'!Y271:Y272)/AVERAGE('SA Data'!Y259:Y260)-1)*100,"")</f>
        <v>0.486740032410893</v>
      </c>
    </row>
    <row r="273" customFormat="false" ht="15" hidden="false" customHeight="false" outlineLevel="0" collapsed="false">
      <c r="A273" s="20" t="n">
        <v>46112</v>
      </c>
      <c r="B273" s="23" t="n">
        <f aca="false">'SA Data'!B273</f>
        <v>156.73111</v>
      </c>
      <c r="C273" s="24" t="n">
        <f aca="false">(B273/B272-1)*100</f>
        <v>2.79989161912979</v>
      </c>
      <c r="D273" s="24" t="n">
        <f aca="false">(AVERAGE(B271:B273)/AVERAGE(B268:B270)-1)*100</f>
        <v>0.74514879666836</v>
      </c>
      <c r="E273" s="24" t="n">
        <f aca="false">((AVERAGE(B271:B273)/AVERAGE(B268:B270))^4-1)*100</f>
        <v>3.01407579529578</v>
      </c>
      <c r="F273" s="24" t="n">
        <f aca="false">(B273/B261-1)*100</f>
        <v>4.94413754581773</v>
      </c>
      <c r="G273" s="24" t="n">
        <f aca="false">IFERROR((AVERAGE(B271:B273)/AVERAGE(B259:B261)-1)*100,"")</f>
        <v>2.34675963339932</v>
      </c>
      <c r="H273" s="23" t="n">
        <f aca="false">'SA Data'!U273</f>
        <v>154.319592397991</v>
      </c>
      <c r="I273" s="24" t="n">
        <f aca="false">(H273/H272-1)*100</f>
        <v>2.77760387035846</v>
      </c>
      <c r="J273" s="24" t="n">
        <f aca="false">(AVERAGE(H271:H273)/AVERAGE(H268:H270)-1)*100</f>
        <v>0.706515513460126</v>
      </c>
      <c r="K273" s="24" t="n">
        <f aca="false">((AVERAGE(H271:H273)/AVERAGE(H268:H270))^4-1)*100</f>
        <v>2.85615322014312</v>
      </c>
      <c r="L273" s="24" t="n">
        <f aca="false">IFERROR(('SA Data'!Y273/'SA Data'!Y261-1)*100,"")</f>
        <v>5.42799937983425</v>
      </c>
      <c r="M273" s="24" t="n">
        <f aca="false">IFERROR((AVERAGE('SA Data'!Y271:Y273)/AVERAGE('SA Data'!Y259:Y261)-1)*100,"")</f>
        <v>2.19117392808388</v>
      </c>
    </row>
    <row r="274" customFormat="false" ht="15" hidden="false" customHeight="false" outlineLevel="0" collapsed="false">
      <c r="A274" s="20" t="n">
        <v>46142</v>
      </c>
      <c r="B274" s="23" t="n">
        <f aca="false">'SA Data'!B274</f>
        <v>154.3364</v>
      </c>
      <c r="C274" s="24" t="n">
        <f aca="false">(B274/B273-1)*100</f>
        <v>-1.52790980680224</v>
      </c>
      <c r="D274" s="24" t="n">
        <f aca="false">(AVERAGE(B272:B274)/AVERAGE(B269:B271)-1)*100</f>
        <v>-0.372186410102127</v>
      </c>
      <c r="E274" s="24" t="n">
        <f aca="false">((AVERAGE(B272:B274)/AVERAGE(B269:B271))^4-1)*100</f>
        <v>-1.4804548802982</v>
      </c>
      <c r="F274" s="24" t="n">
        <f aca="false">(B274/B262-1)*100</f>
        <v>1.28117041082372</v>
      </c>
      <c r="G274" s="24" t="n">
        <f aca="false">IFERROR((AVERAGE(B271:B274)/AVERAGE(B259:B262)-1)*100,"")</f>
        <v>2.07933941767198</v>
      </c>
      <c r="H274" s="23" t="n">
        <f aca="false">'SA Data'!U274</f>
        <v>151.344234669706</v>
      </c>
      <c r="I274" s="24" t="n">
        <f aca="false">(H274/H273-1)*100</f>
        <v>-1.92804923992539</v>
      </c>
      <c r="J274" s="24" t="n">
        <f aca="false">(AVERAGE(H272:H274)/AVERAGE(H269:H271)-1)*100</f>
        <v>0.33549441441405</v>
      </c>
      <c r="K274" s="24" t="n">
        <f aca="false">((AVERAGE(H272:H274)/AVERAGE(H269:H271))^4-1)*100</f>
        <v>1.34874616528244</v>
      </c>
      <c r="L274" s="24" t="n">
        <f aca="false">IFERROR(('SA Data'!Y274/'SA Data'!Y262-1)*100,"")</f>
        <v>1.19720887932422</v>
      </c>
      <c r="M274" s="24" t="n">
        <f aca="false">IFERROR((AVERAGE('SA Data'!Y271:Y274)/AVERAGE('SA Data'!Y259:Y262)-1)*100,"")</f>
        <v>1.9281285852883</v>
      </c>
    </row>
    <row r="275" customFormat="false" ht="15" hidden="false" customHeight="false" outlineLevel="0" collapsed="false">
      <c r="A275" s="20" t="n">
        <v>46173</v>
      </c>
      <c r="B275" s="23" t="n">
        <f aca="false">'SA Data'!B275</f>
        <v>153.62027</v>
      </c>
      <c r="C275" s="24" t="n">
        <f aca="false">(B275/B274-1)*100</f>
        <v>-0.464005898802866</v>
      </c>
      <c r="D275" s="24" t="n">
        <f aca="false">(AVERAGE(B273:B275)/AVERAGE(B270:B272)-1)*100</f>
        <v>-0.00500095736916117</v>
      </c>
      <c r="E275" s="24" t="n">
        <f aca="false">((AVERAGE(B273:B275)/AVERAGE(B270:B272))^4-1)*100</f>
        <v>-0.0200023289521956</v>
      </c>
      <c r="F275" s="24" t="n">
        <f aca="false">(B275/B263-1)*100</f>
        <v>0.886415834135201</v>
      </c>
      <c r="G275" s="24" t="n">
        <f aca="false">IFERROR((AVERAGE(B271:B275)/AVERAGE(B259:B263)-1)*100,"")</f>
        <v>1.84016498335997</v>
      </c>
      <c r="H275" s="23" t="n">
        <f aca="false">'SA Data'!U275</f>
        <v>151.276153529067</v>
      </c>
      <c r="I275" s="24" t="n">
        <f aca="false">(H275/H274-1)*100</f>
        <v>-0.0449842974114212</v>
      </c>
      <c r="J275" s="24" t="n">
        <f aca="false">(AVERAGE(H273:H275)/AVERAGE(H270:H272)-1)*100</f>
        <v>0.454418391059908</v>
      </c>
      <c r="K275" s="24" t="n">
        <f aca="false">((AVERAGE(H273:H275)/AVERAGE(H270:H272))^4-1)*100</f>
        <v>1.83010090557378</v>
      </c>
      <c r="L275" s="24" t="n">
        <f aca="false">IFERROR(('SA Data'!Y275/'SA Data'!Y263-1)*100,"")</f>
        <v>-0.00861358364081521</v>
      </c>
      <c r="M275" s="24" t="n">
        <f aca="false">IFERROR((AVERAGE('SA Data'!Y271:Y275)/AVERAGE('SA Data'!Y259:Y263)-1)*100,"")</f>
        <v>1.50873545247763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19" min="2" style="0" width="11"/>
  </cols>
  <sheetData>
    <row r="1" customFormat="false" ht="17.35" hidden="false" customHeight="false" outlineLevel="0" collapsed="false">
      <c r="A1" s="4" t="s">
        <v>408</v>
      </c>
    </row>
    <row r="2" customFormat="false" ht="15" hidden="false" customHeight="false" outlineLevel="0" collapsed="false">
      <c r="A2" s="5" t="s">
        <v>409</v>
      </c>
    </row>
    <row r="6" customFormat="false" ht="35.05" hidden="false" customHeight="false" outlineLevel="0" collapsed="false">
      <c r="A6" s="7" t="s">
        <v>369</v>
      </c>
      <c r="B6" s="7" t="s">
        <v>410</v>
      </c>
      <c r="C6" s="7" t="s">
        <v>411</v>
      </c>
      <c r="D6" s="7" t="s">
        <v>412</v>
      </c>
      <c r="E6" s="7" t="s">
        <v>413</v>
      </c>
      <c r="F6" s="7" t="s">
        <v>414</v>
      </c>
      <c r="G6" s="7" t="s">
        <v>415</v>
      </c>
      <c r="H6" s="7" t="s">
        <v>416</v>
      </c>
      <c r="I6" s="7" t="s">
        <v>417</v>
      </c>
      <c r="J6" s="7" t="s">
        <v>418</v>
      </c>
      <c r="K6" s="7" t="s">
        <v>419</v>
      </c>
      <c r="L6" s="7" t="s">
        <v>420</v>
      </c>
      <c r="M6" s="7" t="s">
        <v>421</v>
      </c>
      <c r="N6" s="7" t="s">
        <v>422</v>
      </c>
      <c r="O6" s="7" t="s">
        <v>423</v>
      </c>
      <c r="P6" s="7" t="s">
        <v>424</v>
      </c>
      <c r="Q6" s="7" t="s">
        <v>425</v>
      </c>
      <c r="R6" s="7" t="s">
        <v>426</v>
      </c>
      <c r="S6" s="7" t="s">
        <v>427</v>
      </c>
    </row>
    <row r="7" customFormat="false" ht="15" hidden="false" customHeight="false" outlineLevel="0" collapsed="false">
      <c r="A7" s="20" t="n">
        <v>38017</v>
      </c>
      <c r="B7" s="23" t="n">
        <f aca="false">'SA Data'!R7</f>
        <v>122.271003647106</v>
      </c>
      <c r="C7" s="24"/>
      <c r="D7" s="24"/>
      <c r="E7" s="24"/>
      <c r="F7" s="24"/>
      <c r="G7" s="24"/>
      <c r="H7" s="23" t="n">
        <f aca="false">'SA Data'!S7</f>
        <v>96.4182886250338</v>
      </c>
      <c r="I7" s="24"/>
      <c r="J7" s="24"/>
      <c r="K7" s="24"/>
      <c r="L7" s="24"/>
      <c r="M7" s="24"/>
      <c r="N7" s="23" t="n">
        <f aca="false">'SA Data'!T7</f>
        <v>96.9902889398585</v>
      </c>
      <c r="O7" s="24"/>
      <c r="P7" s="24"/>
      <c r="Q7" s="24"/>
      <c r="R7" s="24"/>
      <c r="S7" s="24"/>
    </row>
    <row r="8" customFormat="false" ht="15" hidden="false" customHeight="false" outlineLevel="0" collapsed="false">
      <c r="A8" s="20" t="n">
        <v>38046</v>
      </c>
      <c r="B8" s="23" t="n">
        <f aca="false">'SA Data'!R8</f>
        <v>115.464796860099</v>
      </c>
      <c r="C8" s="24" t="n">
        <f aca="false">(B8/B7-1)*100</f>
        <v>-5.56649294108196</v>
      </c>
      <c r="D8" s="24"/>
      <c r="E8" s="24"/>
      <c r="F8" s="24"/>
      <c r="G8" s="24"/>
      <c r="H8" s="23" t="n">
        <f aca="false">'SA Data'!S8</f>
        <v>97.5102687739221</v>
      </c>
      <c r="I8" s="24" t="n">
        <f aca="false">(H8/H7-1)*100</f>
        <v>1.13254462868027</v>
      </c>
      <c r="J8" s="24"/>
      <c r="K8" s="24"/>
      <c r="L8" s="24"/>
      <c r="M8" s="24"/>
      <c r="N8" s="23" t="n">
        <f aca="false">'SA Data'!T8</f>
        <v>97.5693131731017</v>
      </c>
      <c r="O8" s="24" t="n">
        <f aca="false">(N8/N7-1)*100</f>
        <v>0.596991966486726</v>
      </c>
      <c r="P8" s="24"/>
      <c r="Q8" s="24"/>
      <c r="R8" s="24"/>
      <c r="S8" s="24"/>
    </row>
    <row r="9" customFormat="false" ht="15" hidden="false" customHeight="false" outlineLevel="0" collapsed="false">
      <c r="A9" s="20" t="n">
        <v>38077</v>
      </c>
      <c r="B9" s="23" t="n">
        <f aca="false">'SA Data'!R9</f>
        <v>100.885593988849</v>
      </c>
      <c r="C9" s="24" t="n">
        <f aca="false">(B9/B8-1)*100</f>
        <v>-12.6265348986972</v>
      </c>
      <c r="D9" s="24"/>
      <c r="E9" s="24"/>
      <c r="F9" s="24"/>
      <c r="G9" s="24"/>
      <c r="H9" s="23" t="n">
        <f aca="false">'SA Data'!S9</f>
        <v>97.8632230118885</v>
      </c>
      <c r="I9" s="24" t="n">
        <f aca="false">(H9/H8-1)*100</f>
        <v>0.361966224075072</v>
      </c>
      <c r="J9" s="24"/>
      <c r="K9" s="24"/>
      <c r="L9" s="24"/>
      <c r="M9" s="24"/>
      <c r="N9" s="23" t="n">
        <f aca="false">'SA Data'!T9</f>
        <v>98.1603673343293</v>
      </c>
      <c r="O9" s="24" t="n">
        <f aca="false">(N9/N8-1)*100</f>
        <v>0.605778745392005</v>
      </c>
      <c r="P9" s="24"/>
      <c r="Q9" s="24"/>
      <c r="R9" s="24"/>
      <c r="S9" s="24"/>
    </row>
    <row r="10" customFormat="false" ht="15" hidden="false" customHeight="false" outlineLevel="0" collapsed="false">
      <c r="A10" s="20" t="n">
        <v>38107</v>
      </c>
      <c r="B10" s="23" t="n">
        <f aca="false">'SA Data'!R10</f>
        <v>90.4107011787294</v>
      </c>
      <c r="C10" s="24" t="n">
        <f aca="false">(B10/B9-1)*100</f>
        <v>-10.3829420990251</v>
      </c>
      <c r="D10" s="24"/>
      <c r="E10" s="24"/>
      <c r="F10" s="24"/>
      <c r="G10" s="24"/>
      <c r="H10" s="23" t="n">
        <f aca="false">'SA Data'!S10</f>
        <v>97.5890937267519</v>
      </c>
      <c r="I10" s="24" t="n">
        <f aca="false">(H10/H9-1)*100</f>
        <v>-0.280114711839552</v>
      </c>
      <c r="J10" s="24"/>
      <c r="K10" s="24"/>
      <c r="L10" s="24"/>
      <c r="M10" s="24"/>
      <c r="N10" s="23" t="n">
        <f aca="false">'SA Data'!T10</f>
        <v>98.241863657927</v>
      </c>
      <c r="O10" s="24" t="n">
        <f aca="false">(N10/N9-1)*100</f>
        <v>0.0830236538541973</v>
      </c>
      <c r="P10" s="24"/>
      <c r="Q10" s="24"/>
      <c r="R10" s="24"/>
      <c r="S10" s="24"/>
    </row>
    <row r="11" customFormat="false" ht="15" hidden="false" customHeight="false" outlineLevel="0" collapsed="false">
      <c r="A11" s="20" t="n">
        <v>38138</v>
      </c>
      <c r="B11" s="23" t="n">
        <f aca="false">'SA Data'!R11</f>
        <v>85.0619589326564</v>
      </c>
      <c r="C11" s="24" t="n">
        <f aca="false">(B11/B10-1)*100</f>
        <v>-5.91604995463906</v>
      </c>
      <c r="D11" s="24"/>
      <c r="E11" s="24"/>
      <c r="F11" s="24"/>
      <c r="G11" s="24"/>
      <c r="H11" s="23" t="n">
        <f aca="false">'SA Data'!S11</f>
        <v>98.5573594361852</v>
      </c>
      <c r="I11" s="24" t="n">
        <f aca="false">(H11/H10-1)*100</f>
        <v>0.992186393434968</v>
      </c>
      <c r="J11" s="24"/>
      <c r="K11" s="24"/>
      <c r="L11" s="24"/>
      <c r="M11" s="24"/>
      <c r="N11" s="23" t="n">
        <f aca="false">'SA Data'!T11</f>
        <v>98.4173819514406</v>
      </c>
      <c r="O11" s="24" t="n">
        <f aca="false">(N11/N10-1)*100</f>
        <v>0.178659368805123</v>
      </c>
      <c r="P11" s="24"/>
      <c r="Q11" s="24"/>
      <c r="R11" s="24"/>
      <c r="S11" s="24"/>
    </row>
    <row r="12" customFormat="false" ht="15" hidden="false" customHeight="false" outlineLevel="0" collapsed="false">
      <c r="A12" s="20" t="n">
        <v>38168</v>
      </c>
      <c r="B12" s="23" t="n">
        <f aca="false">'SA Data'!R12</f>
        <v>85.021263338882</v>
      </c>
      <c r="C12" s="24" t="n">
        <f aca="false">(B12/B11-1)*100</f>
        <v>-0.0478422955278779</v>
      </c>
      <c r="D12" s="24" t="n">
        <f aca="false">(AVERAGE(B10:B12)/AVERAGE(B7:B9)-1)*100</f>
        <v>-23.0722193918249</v>
      </c>
      <c r="E12" s="24" t="n">
        <f aca="false">((AVERAGE(B10:B12)/AVERAGE(B7:B9))^4-1)*100</f>
        <v>-64.9786557172222</v>
      </c>
      <c r="F12" s="24"/>
      <c r="G12" s="24"/>
      <c r="H12" s="23" t="n">
        <f aca="false">'SA Data'!S12</f>
        <v>99.8230427258324</v>
      </c>
      <c r="I12" s="24" t="n">
        <f aca="false">(H12/H11-1)*100</f>
        <v>1.28420982145601</v>
      </c>
      <c r="J12" s="24" t="n">
        <f aca="false">(AVERAGE(H10:H12)/AVERAGE(H7:H9)-1)*100</f>
        <v>1.43174542889546</v>
      </c>
      <c r="K12" s="24" t="n">
        <f aca="false">((AVERAGE(H10:H12)/AVERAGE(H7:H9))^4-1)*100</f>
        <v>5.85115358714403</v>
      </c>
      <c r="L12" s="24"/>
      <c r="M12" s="24"/>
      <c r="N12" s="23" t="n">
        <f aca="false">'SA Data'!T12</f>
        <v>99.4693792133017</v>
      </c>
      <c r="O12" s="24" t="n">
        <f aca="false">(N12/N11-1)*100</f>
        <v>1.06891408915977</v>
      </c>
      <c r="P12" s="24" t="n">
        <f aca="false">(AVERAGE(N10:N12)/AVERAGE(N7:N9)-1)*100</f>
        <v>1.16447654111744</v>
      </c>
      <c r="Q12" s="24" t="n">
        <f aca="false">((AVERAGE(N10:N12)/AVERAGE(N7:N9))^4-1)*100</f>
        <v>4.739899954801</v>
      </c>
      <c r="R12" s="24"/>
      <c r="S12" s="24"/>
    </row>
    <row r="13" customFormat="false" ht="15" hidden="false" customHeight="false" outlineLevel="0" collapsed="false">
      <c r="A13" s="20" t="n">
        <v>38199</v>
      </c>
      <c r="B13" s="23" t="n">
        <f aca="false">'SA Data'!R13</f>
        <v>95.6231073086497</v>
      </c>
      <c r="C13" s="24" t="n">
        <f aca="false">(B13/B12-1)*100</f>
        <v>12.4696382450945</v>
      </c>
      <c r="D13" s="24" t="n">
        <f aca="false">(AVERAGE(B11:B13)/AVERAGE(B8:B10)-1)*100</f>
        <v>-13.3833017010468</v>
      </c>
      <c r="E13" s="24" t="n">
        <f aca="false">((AVERAGE(B11:B13)/AVERAGE(B8:B10))^4-1)*100</f>
        <v>-43.7132076224373</v>
      </c>
      <c r="F13" s="24"/>
      <c r="G13" s="24"/>
      <c r="H13" s="23" t="n">
        <f aca="false">'SA Data'!S13</f>
        <v>100.482995571248</v>
      </c>
      <c r="I13" s="24" t="n">
        <f aca="false">(H13/H12-1)*100</f>
        <v>0.661122750213106</v>
      </c>
      <c r="J13" s="24" t="n">
        <f aca="false">(AVERAGE(H11:H13)/AVERAGE(H8:H10)-1)*100</f>
        <v>2.01418628606753</v>
      </c>
      <c r="K13" s="24" t="n">
        <f aca="false">((AVERAGE(H11:H13)/AVERAGE(H8:H10))^4-1)*100</f>
        <v>8.30344696509997</v>
      </c>
      <c r="L13" s="24"/>
      <c r="M13" s="24"/>
      <c r="N13" s="23" t="n">
        <f aca="false">'SA Data'!T13</f>
        <v>100.41219682459</v>
      </c>
      <c r="O13" s="24" t="n">
        <f aca="false">(N13/N12-1)*100</f>
        <v>0.94784708494724</v>
      </c>
      <c r="P13" s="24" t="n">
        <f aca="false">(AVERAGE(N11:N13)/AVERAGE(N8:N10)-1)*100</f>
        <v>1.4720519417146</v>
      </c>
      <c r="Q13" s="24" t="n">
        <f aca="false">((AVERAGE(N11:N13)/AVERAGE(N8:N10))^4-1)*100</f>
        <v>6.0195046151001</v>
      </c>
      <c r="R13" s="24"/>
      <c r="S13" s="24"/>
    </row>
    <row r="14" customFormat="false" ht="15" hidden="false" customHeight="false" outlineLevel="0" collapsed="false">
      <c r="A14" s="20" t="n">
        <v>38230</v>
      </c>
      <c r="B14" s="23" t="n">
        <f aca="false">'SA Data'!R14</f>
        <v>96.5352215493299</v>
      </c>
      <c r="C14" s="24" t="n">
        <f aca="false">(B14/B13-1)*100</f>
        <v>0.953863837258639</v>
      </c>
      <c r="D14" s="24" t="n">
        <f aca="false">(AVERAGE(B12:B14)/AVERAGE(B9:B11)-1)*100</f>
        <v>0.297200494083572</v>
      </c>
      <c r="E14" s="24" t="n">
        <f aca="false">((AVERAGE(B12:B14)/AVERAGE(B9:B11))^4-1)*100</f>
        <v>1.19411217262315</v>
      </c>
      <c r="F14" s="24"/>
      <c r="G14" s="24"/>
      <c r="H14" s="23" t="n">
        <f aca="false">'SA Data'!S14</f>
        <v>100.452155470503</v>
      </c>
      <c r="I14" s="24" t="n">
        <f aca="false">(H14/H13-1)*100</f>
        <v>-0.030691860418719</v>
      </c>
      <c r="J14" s="24" t="n">
        <f aca="false">(AVERAGE(H12:H14)/AVERAGE(H9:H11)-1)*100</f>
        <v>2.29533860264664</v>
      </c>
      <c r="K14" s="24" t="n">
        <f aca="false">((AVERAGE(H12:H14)/AVERAGE(H9:H11))^4-1)*100</f>
        <v>9.50233419594246</v>
      </c>
      <c r="L14" s="24"/>
      <c r="M14" s="24"/>
      <c r="N14" s="23" t="n">
        <f aca="false">'SA Data'!T14</f>
        <v>100.689701105785</v>
      </c>
      <c r="O14" s="24" t="n">
        <f aca="false">(N14/N13-1)*100</f>
        <v>0.276365112975086</v>
      </c>
      <c r="P14" s="24" t="n">
        <f aca="false">(AVERAGE(N12:N14)/AVERAGE(N9:N11)-1)*100</f>
        <v>1.95090962319344</v>
      </c>
      <c r="Q14" s="24" t="n">
        <f aca="false">((AVERAGE(N12:N14)/AVERAGE(N9:N11))^4-1)*100</f>
        <v>8.03498598279708</v>
      </c>
      <c r="R14" s="24"/>
      <c r="S14" s="24"/>
    </row>
    <row r="15" customFormat="false" ht="15" hidden="false" customHeight="false" outlineLevel="0" collapsed="false">
      <c r="A15" s="20" t="n">
        <v>38260</v>
      </c>
      <c r="B15" s="23" t="n">
        <f aca="false">'SA Data'!R15</f>
        <v>96.4359450740561</v>
      </c>
      <c r="C15" s="24" t="n">
        <f aca="false">(B15/B14-1)*100</f>
        <v>-0.102839640993735</v>
      </c>
      <c r="D15" s="24" t="n">
        <f aca="false">(AVERAGE(B13:B15)/AVERAGE(B10:B12)-1)*100</f>
        <v>10.787334349138</v>
      </c>
      <c r="E15" s="24" t="n">
        <f aca="false">((AVERAGE(B13:B15)/AVERAGE(B10:B12))^4-1)*100</f>
        <v>50.6469876120417</v>
      </c>
      <c r="F15" s="24"/>
      <c r="G15" s="24"/>
      <c r="H15" s="23" t="n">
        <f aca="false">'SA Data'!S15</f>
        <v>101.999172130323</v>
      </c>
      <c r="I15" s="24" t="n">
        <f aca="false">(H15/H14-1)*100</f>
        <v>1.54005322491528</v>
      </c>
      <c r="J15" s="24" t="n">
        <f aca="false">(AVERAGE(H13:H15)/AVERAGE(H10:H12)-1)*100</f>
        <v>2.35322470053512</v>
      </c>
      <c r="K15" s="24" t="n">
        <f aca="false">((AVERAGE(H13:H15)/AVERAGE(H10:H12))^4-1)*100</f>
        <v>9.75040200679134</v>
      </c>
      <c r="L15" s="24"/>
      <c r="M15" s="24"/>
      <c r="N15" s="23" t="n">
        <f aca="false">'SA Data'!T15</f>
        <v>101.627320610243</v>
      </c>
      <c r="O15" s="24" t="n">
        <f aca="false">(N15/N14-1)*100</f>
        <v>0.93119702825657</v>
      </c>
      <c r="P15" s="24" t="n">
        <f aca="false">(AVERAGE(N13:N15)/AVERAGE(N10:N12)-1)*100</f>
        <v>2.22896172968803</v>
      </c>
      <c r="Q15" s="24" t="n">
        <f aca="false">((AVERAGE(N13:N15)/AVERAGE(N10:N12))^4-1)*100</f>
        <v>9.21839745983462</v>
      </c>
      <c r="R15" s="24"/>
      <c r="S15" s="24"/>
    </row>
    <row r="16" customFormat="false" ht="15" hidden="false" customHeight="false" outlineLevel="0" collapsed="false">
      <c r="A16" s="20" t="n">
        <v>38291</v>
      </c>
      <c r="B16" s="23" t="n">
        <f aca="false">'SA Data'!R16</f>
        <v>98.3839937010436</v>
      </c>
      <c r="C16" s="24" t="n">
        <f aca="false">(B16/B15-1)*100</f>
        <v>2.02004410854435</v>
      </c>
      <c r="D16" s="24" t="n">
        <f aca="false">(AVERAGE(B14:B16)/AVERAGE(B11:B13)-1)*100</f>
        <v>9.65307480057642</v>
      </c>
      <c r="E16" s="24" t="n">
        <f aca="false">((AVERAGE(B14:B16)/AVERAGE(B11:B13))^4-1)*100</f>
        <v>44.5716898056189</v>
      </c>
      <c r="F16" s="24"/>
      <c r="G16" s="24"/>
      <c r="H16" s="23" t="n">
        <f aca="false">'SA Data'!S16</f>
        <v>101.636564393941</v>
      </c>
      <c r="I16" s="24" t="n">
        <f aca="false">(H16/H15-1)*100</f>
        <v>-0.355500666141773</v>
      </c>
      <c r="J16" s="24" t="n">
        <f aca="false">(AVERAGE(H14:H16)/AVERAGE(H11:H13)-1)*100</f>
        <v>1.74812114870067</v>
      </c>
      <c r="K16" s="24" t="n">
        <f aca="false">((AVERAGE(H14:H16)/AVERAGE(H11:H13))^4-1)*100</f>
        <v>7.17798643915992</v>
      </c>
      <c r="L16" s="24"/>
      <c r="M16" s="24"/>
      <c r="N16" s="23" t="n">
        <f aca="false">'SA Data'!T16</f>
        <v>102.366769163811</v>
      </c>
      <c r="O16" s="24" t="n">
        <f aca="false">(N16/N15-1)*100</f>
        <v>0.727608038004446</v>
      </c>
      <c r="P16" s="24" t="n">
        <f aca="false">(AVERAGE(N14:N16)/AVERAGE(N11:N13)-1)*100</f>
        <v>2.14041407772367</v>
      </c>
      <c r="Q16" s="24" t="n">
        <f aca="false">((AVERAGE(N14:N16)/AVERAGE(N11:N13))^4-1)*100</f>
        <v>8.8404820589278</v>
      </c>
      <c r="R16" s="24"/>
      <c r="S16" s="24"/>
    </row>
    <row r="17" customFormat="false" ht="15" hidden="false" customHeight="false" outlineLevel="0" collapsed="false">
      <c r="A17" s="20" t="n">
        <v>38321</v>
      </c>
      <c r="B17" s="23" t="n">
        <f aca="false">'SA Data'!R17</f>
        <v>98.0098797412493</v>
      </c>
      <c r="C17" s="24" t="n">
        <f aca="false">(B17/B16-1)*100</f>
        <v>-0.380258968680558</v>
      </c>
      <c r="D17" s="24" t="n">
        <f aca="false">(AVERAGE(B15:B17)/AVERAGE(B12:B14)-1)*100</f>
        <v>5.64624047371141</v>
      </c>
      <c r="E17" s="24" t="n">
        <f aca="false">((AVERAGE(B15:B17)/AVERAGE(B12:B14))^4-1)*100</f>
        <v>24.5707810501058</v>
      </c>
      <c r="F17" s="24"/>
      <c r="G17" s="24"/>
      <c r="H17" s="23" t="n">
        <f aca="false">'SA Data'!S17</f>
        <v>102.203591507175</v>
      </c>
      <c r="I17" s="24" t="n">
        <f aca="false">(H17/H16-1)*100</f>
        <v>0.557896773288147</v>
      </c>
      <c r="J17" s="24" t="n">
        <f aca="false">(AVERAGE(H15:H17)/AVERAGE(H12:H14)-1)*100</f>
        <v>1.68944167412526</v>
      </c>
      <c r="K17" s="24" t="n">
        <f aca="false">((AVERAGE(H15:H17)/AVERAGE(H12:H14))^4-1)*100</f>
        <v>6.93095644392081</v>
      </c>
      <c r="L17" s="24"/>
      <c r="M17" s="24"/>
      <c r="N17" s="23" t="n">
        <f aca="false">'SA Data'!T17</f>
        <v>102.838031432622</v>
      </c>
      <c r="O17" s="24" t="n">
        <f aca="false">(N17/N16-1)*100</f>
        <v>0.46036645745513</v>
      </c>
      <c r="P17" s="24" t="n">
        <f aca="false">(AVERAGE(N15:N17)/AVERAGE(N12:N14)-1)*100</f>
        <v>2.08298148861583</v>
      </c>
      <c r="Q17" s="24" t="n">
        <f aca="false">((AVERAGE(N15:N17)/AVERAGE(N12:N14))^4-1)*100</f>
        <v>8.5958885585999</v>
      </c>
      <c r="R17" s="24"/>
      <c r="S17" s="24"/>
    </row>
    <row r="18" customFormat="false" ht="15" hidden="false" customHeight="false" outlineLevel="0" collapsed="false">
      <c r="A18" s="20" t="n">
        <v>38352</v>
      </c>
      <c r="B18" s="23" t="n">
        <f aca="false">'SA Data'!R18</f>
        <v>96.7747695515707</v>
      </c>
      <c r="C18" s="24" t="n">
        <f aca="false">(B18/B17-1)*100</f>
        <v>-1.26018947573386</v>
      </c>
      <c r="D18" s="24" t="n">
        <f aca="false">(AVERAGE(B16:B18)/AVERAGE(B13:B15)-1)*100</f>
        <v>1.58505191371368</v>
      </c>
      <c r="E18" s="24" t="n">
        <f aca="false">((AVERAGE(B16:B18)/AVERAGE(B13:B15))^4-1)*100</f>
        <v>6.49255024826394</v>
      </c>
      <c r="F18" s="24"/>
      <c r="G18" s="24"/>
      <c r="H18" s="23" t="n">
        <f aca="false">'SA Data'!S18</f>
        <v>103.212512925594</v>
      </c>
      <c r="I18" s="24" t="n">
        <f aca="false">(H18/H17-1)*100</f>
        <v>0.987168262426574</v>
      </c>
      <c r="J18" s="24" t="n">
        <f aca="false">(AVERAGE(H16:H18)/AVERAGE(H13:H15)-1)*100</f>
        <v>1.35948466040852</v>
      </c>
      <c r="K18" s="24" t="n">
        <f aca="false">((AVERAGE(H16:H18)/AVERAGE(H13:H15))^4-1)*100</f>
        <v>5.54983900901191</v>
      </c>
      <c r="L18" s="24"/>
      <c r="M18" s="24"/>
      <c r="N18" s="23" t="n">
        <f aca="false">'SA Data'!T18</f>
        <v>103.736396337837</v>
      </c>
      <c r="O18" s="24" t="n">
        <f aca="false">(N18/N17-1)*100</f>
        <v>0.873572639129461</v>
      </c>
      <c r="P18" s="24" t="n">
        <f aca="false">(AVERAGE(N16:N18)/AVERAGE(N13:N15)-1)*100</f>
        <v>2.05199168537433</v>
      </c>
      <c r="Q18" s="24" t="n">
        <f aca="false">((AVERAGE(N16:N18)/AVERAGE(N13:N15))^4-1)*100</f>
        <v>8.46408076767973</v>
      </c>
      <c r="R18" s="24"/>
      <c r="S18" s="24"/>
    </row>
    <row r="19" customFormat="false" ht="15" hidden="false" customHeight="false" outlineLevel="0" collapsed="false">
      <c r="A19" s="20" t="n">
        <v>38383</v>
      </c>
      <c r="B19" s="23" t="n">
        <f aca="false">'SA Data'!R19</f>
        <v>96.0059667499202</v>
      </c>
      <c r="C19" s="24" t="n">
        <f aca="false">(B19/B18-1)*100</f>
        <v>-0.794424833262741</v>
      </c>
      <c r="D19" s="24" t="n">
        <f aca="false">(AVERAGE(B17:B19)/AVERAGE(B14:B16)-1)*100</f>
        <v>-0.193764984653411</v>
      </c>
      <c r="E19" s="24" t="n">
        <f aca="false">((AVERAGE(B17:B19)/AVERAGE(B14:B16))^4-1)*100</f>
        <v>-0.77281015499977</v>
      </c>
      <c r="F19" s="24" t="n">
        <f aca="false">IFERROR(('SA Data'!V19/'SA Data'!V7-1)*100,"")</f>
        <v>-0.575878428886933</v>
      </c>
      <c r="G19" s="24" t="n">
        <f aca="false">IFERROR((AVERAGE('SA Data'!V19:V19)/AVERAGE('SA Data'!V7:V7)-1)*100,"")</f>
        <v>-0.575878428886933</v>
      </c>
      <c r="H19" s="23" t="n">
        <f aca="false">'SA Data'!S19</f>
        <v>103.62723141018</v>
      </c>
      <c r="I19" s="24" t="n">
        <f aca="false">(H19/H18-1)*100</f>
        <v>0.401810277485182</v>
      </c>
      <c r="J19" s="24" t="n">
        <f aca="false">(AVERAGE(H17:H19)/AVERAGE(H14:H16)-1)*100</f>
        <v>1.62960906324698</v>
      </c>
      <c r="K19" s="24" t="n">
        <f aca="false">((AVERAGE(H17:H19)/AVERAGE(H14:H16))^4-1)*100</f>
        <v>6.67951189995988</v>
      </c>
      <c r="L19" s="24" t="n">
        <f aca="false">IFERROR(('SA Data'!W19/'SA Data'!W7-1)*100,"")</f>
        <v>6.35485092658104</v>
      </c>
      <c r="M19" s="24" t="n">
        <f aca="false">IFERROR((AVERAGE('SA Data'!W19:W19)/AVERAGE('SA Data'!W7:W7)-1)*100,"")</f>
        <v>6.35485092658104</v>
      </c>
      <c r="N19" s="23" t="n">
        <f aca="false">'SA Data'!T19</f>
        <v>104.104014223814</v>
      </c>
      <c r="O19" s="24" t="n">
        <f aca="false">(N19/N18-1)*100</f>
        <v>0.354376958285507</v>
      </c>
      <c r="P19" s="24" t="n">
        <f aca="false">(AVERAGE(N17:N19)/AVERAGE(N14:N16)-1)*100</f>
        <v>1.96749918895345</v>
      </c>
      <c r="Q19" s="24" t="n">
        <f aca="false">((AVERAGE(N17:N19)/AVERAGE(N14:N16))^4-1)*100</f>
        <v>8.10532144187874</v>
      </c>
      <c r="R19" s="24" t="n">
        <f aca="false">IFERROR(('SA Data'!X19/'SA Data'!X7-1)*100,"")</f>
        <v>7.46993258334765</v>
      </c>
      <c r="S19" s="24" t="n">
        <f aca="false">IFERROR((AVERAGE('SA Data'!X19:X19)/AVERAGE('SA Data'!X7:X7)-1)*100,"")</f>
        <v>7.46993258334765</v>
      </c>
    </row>
    <row r="20" customFormat="false" ht="15" hidden="false" customHeight="false" outlineLevel="0" collapsed="false">
      <c r="A20" s="20" t="n">
        <v>38411</v>
      </c>
      <c r="B20" s="23" t="n">
        <f aca="false">'SA Data'!R20</f>
        <v>101.412423173975</v>
      </c>
      <c r="C20" s="24" t="n">
        <f aca="false">(B20/B19-1)*100</f>
        <v>5.63137543121433</v>
      </c>
      <c r="D20" s="24" t="n">
        <f aca="false">(AVERAGE(B18:B20)/AVERAGE(B15:B17)-1)*100</f>
        <v>0.465574498534438</v>
      </c>
      <c r="E20" s="24" t="n">
        <f aca="false">((AVERAGE(B18:B20)/AVERAGE(B15:B17))^4-1)*100</f>
        <v>1.87534398504299</v>
      </c>
      <c r="F20" s="24" t="n">
        <f aca="false">IFERROR(('SA Data'!V20/'SA Data'!V8-1)*100,"")</f>
        <v>7.01983734813878</v>
      </c>
      <c r="G20" s="24" t="n">
        <f aca="false">IFERROR((AVERAGE('SA Data'!V19:V20)/AVERAGE('SA Data'!V7:V8)-1)*100,"")</f>
        <v>3.19836962191062</v>
      </c>
      <c r="H20" s="23" t="n">
        <f aca="false">'SA Data'!S20</f>
        <v>103.926598690131</v>
      </c>
      <c r="I20" s="24" t="n">
        <f aca="false">(H20/H19-1)*100</f>
        <v>0.288888621144268</v>
      </c>
      <c r="J20" s="24" t="n">
        <f aca="false">(AVERAGE(H18:H20)/AVERAGE(H15:H17)-1)*100</f>
        <v>1.61098150005083</v>
      </c>
      <c r="K20" s="24" t="n">
        <f aca="false">((AVERAGE(H18:H20)/AVERAGE(H15:H17))^4-1)*100</f>
        <v>6.6013207864325</v>
      </c>
      <c r="L20" s="24" t="n">
        <f aca="false">IFERROR(('SA Data'!W20/'SA Data'!W8-1)*100,"")</f>
        <v>5.87043345709168</v>
      </c>
      <c r="M20" s="24" t="n">
        <f aca="false">IFERROR((AVERAGE('SA Data'!W19:W20)/AVERAGE('SA Data'!W7:W8)-1)*100,"")</f>
        <v>6.11445471464487</v>
      </c>
      <c r="N20" s="23" t="n">
        <f aca="false">'SA Data'!T20</f>
        <v>105.055083045692</v>
      </c>
      <c r="O20" s="24" t="n">
        <f aca="false">(N20/N19-1)*100</f>
        <v>0.913575551307666</v>
      </c>
      <c r="P20" s="24" t="n">
        <f aca="false">(AVERAGE(N18:N20)/AVERAGE(N15:N17)-1)*100</f>
        <v>1.97612048465512</v>
      </c>
      <c r="Q20" s="24" t="n">
        <f aca="false">((AVERAGE(N18:N20)/AVERAGE(N15:N17))^4-1)*100</f>
        <v>8.14188705967995</v>
      </c>
      <c r="R20" s="24" t="n">
        <f aca="false">IFERROR(('SA Data'!X20/'SA Data'!X8-1)*100,"")</f>
        <v>7.83903009246116</v>
      </c>
      <c r="S20" s="24" t="n">
        <f aca="false">IFERROR((AVERAGE('SA Data'!X19:X20)/AVERAGE('SA Data'!X7:X8)-1)*100,"")</f>
        <v>7.65304390712545</v>
      </c>
    </row>
    <row r="21" customFormat="false" ht="15" hidden="false" customHeight="false" outlineLevel="0" collapsed="false">
      <c r="A21" s="20" t="n">
        <v>38442</v>
      </c>
      <c r="B21" s="23" t="n">
        <f aca="false">'SA Data'!R21</f>
        <v>108.683955444092</v>
      </c>
      <c r="C21" s="24" t="n">
        <f aca="false">(B21/B20-1)*100</f>
        <v>7.1702578861004</v>
      </c>
      <c r="D21" s="24" t="n">
        <f aca="false">(AVERAGE(B19:B21)/AVERAGE(B16:B18)-1)*100</f>
        <v>4.41169363887077</v>
      </c>
      <c r="E21" s="24" t="n">
        <f aca="false">((AVERAGE(B19:B21)/AVERAGE(B16:B18))^4-1)*100</f>
        <v>18.8492818004854</v>
      </c>
      <c r="F21" s="24" t="n">
        <f aca="false">IFERROR(('SA Data'!V21/'SA Data'!V9-1)*100,"")</f>
        <v>24.4244817003938</v>
      </c>
      <c r="G21" s="24" t="n">
        <f aca="false">IFERROR((AVERAGE('SA Data'!V19:V21)/AVERAGE('SA Data'!V7:V9)-1)*100,"")</f>
        <v>12.9712915219776</v>
      </c>
      <c r="H21" s="23" t="n">
        <f aca="false">'SA Data'!S21</f>
        <v>104.430963169115</v>
      </c>
      <c r="I21" s="24" t="n">
        <f aca="false">(H21/H20-1)*100</f>
        <v>0.485308367002824</v>
      </c>
      <c r="J21" s="24" t="n">
        <f aca="false">(AVERAGE(H19:H21)/AVERAGE(H16:H18)-1)*100</f>
        <v>1.60627962022366</v>
      </c>
      <c r="K21" s="24" t="n">
        <f aca="false">((AVERAGE(H19:H21)/AVERAGE(H16:H18))^4-1)*100</f>
        <v>6.58159095789292</v>
      </c>
      <c r="L21" s="24" t="n">
        <f aca="false">IFERROR(('SA Data'!W21/'SA Data'!W9-1)*100,"")</f>
        <v>6.49724413374153</v>
      </c>
      <c r="M21" s="24" t="n">
        <f aca="false">IFERROR((AVERAGE('SA Data'!W19:W21)/AVERAGE('SA Data'!W7:W9)-1)*100,"")</f>
        <v>6.24990611374829</v>
      </c>
      <c r="N21" s="23" t="n">
        <f aca="false">'SA Data'!T21</f>
        <v>106.039984147401</v>
      </c>
      <c r="O21" s="24" t="n">
        <f aca="false">(N21/N20-1)*100</f>
        <v>0.937509231495093</v>
      </c>
      <c r="P21" s="24" t="n">
        <f aca="false">(AVERAGE(N19:N21)/AVERAGE(N16:N18)-1)*100</f>
        <v>2.02559080651459</v>
      </c>
      <c r="Q21" s="24" t="n">
        <f aca="false">((AVERAGE(N19:N21)/AVERAGE(N16:N18))^4-1)*100</f>
        <v>8.35188556205162</v>
      </c>
      <c r="R21" s="24" t="n">
        <f aca="false">IFERROR(('SA Data'!X21/'SA Data'!X9-1)*100,"")</f>
        <v>8.19306714185228</v>
      </c>
      <c r="S21" s="24" t="n">
        <f aca="false">IFERROR((AVERAGE('SA Data'!X19:X21)/AVERAGE('SA Data'!X7:X9)-1)*100,"")</f>
        <v>7.8402592716212</v>
      </c>
    </row>
    <row r="22" customFormat="false" ht="15" hidden="false" customHeight="false" outlineLevel="0" collapsed="false">
      <c r="A22" s="20" t="n">
        <v>38472</v>
      </c>
      <c r="B22" s="23" t="n">
        <f aca="false">'SA Data'!R22</f>
        <v>111.81223063323</v>
      </c>
      <c r="C22" s="24" t="n">
        <f aca="false">(B22/B21-1)*100</f>
        <v>2.87832291008832</v>
      </c>
      <c r="D22" s="24" t="n">
        <f aca="false">(AVERAGE(B20:B22)/AVERAGE(B17:B19)-1)*100</f>
        <v>10.7011682949162</v>
      </c>
      <c r="E22" s="24" t="n">
        <f aca="false">((AVERAGE(B20:B22)/AVERAGE(B17:B19))^4-1)*100</f>
        <v>50.1788647653437</v>
      </c>
      <c r="F22" s="24" t="n">
        <f aca="false">IFERROR(('SA Data'!V22/'SA Data'!V10-1)*100,"")</f>
        <v>38.4567537861792</v>
      </c>
      <c r="G22" s="24" t="n">
        <f aca="false">IFERROR((AVERAGE('SA Data'!V19:V22)/AVERAGE('SA Data'!V7:V10)-1)*100,"")</f>
        <v>22.7267115759935</v>
      </c>
      <c r="H22" s="23" t="n">
        <f aca="false">'SA Data'!S22</f>
        <v>106.492604190122</v>
      </c>
      <c r="I22" s="24" t="n">
        <f aca="false">(H22/H21-1)*100</f>
        <v>1.97416643344341</v>
      </c>
      <c r="J22" s="24" t="n">
        <f aca="false">(AVERAGE(H20:H22)/AVERAGE(H17:H19)-1)*100</f>
        <v>1.87896955958615</v>
      </c>
      <c r="K22" s="24" t="n">
        <f aca="false">((AVERAGE(H20:H22)/AVERAGE(H17:H19))^4-1)*100</f>
        <v>7.73037580012248</v>
      </c>
      <c r="L22" s="24" t="n">
        <f aca="false">IFERROR(('SA Data'!W22/'SA Data'!W10-1)*100,"")</f>
        <v>9.33586959753237</v>
      </c>
      <c r="M22" s="24" t="n">
        <f aca="false">IFERROR((AVERAGE('SA Data'!W19:W22)/AVERAGE('SA Data'!W7:W10)-1)*100,"")</f>
        <v>7.03304824406534</v>
      </c>
      <c r="N22" s="23" t="n">
        <f aca="false">'SA Data'!T22</f>
        <v>107.667181219196</v>
      </c>
      <c r="O22" s="24" t="n">
        <f aca="false">(N22/N21-1)*100</f>
        <v>1.53451274524266</v>
      </c>
      <c r="P22" s="24" t="n">
        <f aca="false">(AVERAGE(N20:N22)/AVERAGE(N17:N19)-1)*100</f>
        <v>2.60198498683255</v>
      </c>
      <c r="Q22" s="24" t="n">
        <f aca="false">((AVERAGE(N20:N22)/AVERAGE(N17:N19))^4-1)*100</f>
        <v>10.8212518514544</v>
      </c>
      <c r="R22" s="24" t="n">
        <f aca="false">IFERROR(('SA Data'!X22/'SA Data'!X10-1)*100,"")</f>
        <v>9.75182584306589</v>
      </c>
      <c r="S22" s="24" t="n">
        <f aca="false">IFERROR((AVERAGE('SA Data'!X19:X22)/AVERAGE('SA Data'!X7:X10)-1)*100,"")</f>
        <v>8.32416814119577</v>
      </c>
    </row>
    <row r="23" customFormat="false" ht="15" hidden="false" customHeight="false" outlineLevel="0" collapsed="false">
      <c r="A23" s="20" t="n">
        <v>38503</v>
      </c>
      <c r="B23" s="23" t="n">
        <f aca="false">'SA Data'!R23</f>
        <v>111.221203010982</v>
      </c>
      <c r="C23" s="24" t="n">
        <f aca="false">(B23/B22-1)*100</f>
        <v>-0.528589420764014</v>
      </c>
      <c r="D23" s="24" t="n">
        <f aca="false">(AVERAGE(B21:B23)/AVERAGE(B18:B20)-1)*100</f>
        <v>12.7549633308072</v>
      </c>
      <c r="E23" s="24" t="n">
        <f aca="false">((AVERAGE(B21:B23)/AVERAGE(B18:B20))^4-1)*100</f>
        <v>61.6377037860247</v>
      </c>
      <c r="F23" s="24" t="n">
        <f aca="false">IFERROR(('SA Data'!V23/'SA Data'!V11-1)*100,"")</f>
        <v>40.8623174136724</v>
      </c>
      <c r="G23" s="24" t="n">
        <f aca="false">IFERROR((AVERAGE('SA Data'!V19:V23)/AVERAGE('SA Data'!V7:V11)-1)*100,"")</f>
        <v>29.0208066908824</v>
      </c>
      <c r="H23" s="23" t="n">
        <f aca="false">'SA Data'!S23</f>
        <v>106.935086289398</v>
      </c>
      <c r="I23" s="24" t="n">
        <f aca="false">(H23/H22-1)*100</f>
        <v>0.415505003977823</v>
      </c>
      <c r="J23" s="24" t="n">
        <f aca="false">(AVERAGE(H21:H23)/AVERAGE(H18:H20)-1)*100</f>
        <v>2.28220036754081</v>
      </c>
      <c r="K23" s="24" t="n">
        <f aca="false">((AVERAGE(H21:H23)/AVERAGE(H18:H20))^4-1)*100</f>
        <v>9.4460895891709</v>
      </c>
      <c r="L23" s="24" t="n">
        <f aca="false">IFERROR(('SA Data'!W23/'SA Data'!W11-1)*100,"")</f>
        <v>8.82421700951293</v>
      </c>
      <c r="M23" s="24" t="n">
        <f aca="false">IFERROR((AVERAGE('SA Data'!W19:W23)/AVERAGE('SA Data'!W7:W11)-1)*100,"")</f>
        <v>7.40332806518902</v>
      </c>
      <c r="N23" s="23" t="n">
        <f aca="false">'SA Data'!T23</f>
        <v>108.421533270753</v>
      </c>
      <c r="O23" s="24" t="n">
        <f aca="false">(N23/N22-1)*100</f>
        <v>0.70063323197973</v>
      </c>
      <c r="P23" s="24" t="n">
        <f aca="false">(AVERAGE(N21:N23)/AVERAGE(N18:N20)-1)*100</f>
        <v>2.95089102228925</v>
      </c>
      <c r="Q23" s="24" t="n">
        <f aca="false">((AVERAGE(N21:N23)/AVERAGE(N18:N20))^4-1)*100</f>
        <v>12.3363836414855</v>
      </c>
      <c r="R23" s="24" t="n">
        <f aca="false">IFERROR(('SA Data'!X23/'SA Data'!X11-1)*100,"")</f>
        <v>10.566941846393</v>
      </c>
      <c r="S23" s="24" t="n">
        <f aca="false">IFERROR((AVERAGE('SA Data'!X19:X23)/AVERAGE('SA Data'!X7:X11)-1)*100,"")</f>
        <v>8.7842845250024</v>
      </c>
    </row>
    <row r="24" customFormat="false" ht="15" hidden="false" customHeight="false" outlineLevel="0" collapsed="false">
      <c r="A24" s="20" t="n">
        <v>38533</v>
      </c>
      <c r="B24" s="23" t="n">
        <f aca="false">'SA Data'!R24</f>
        <v>110.040658308453</v>
      </c>
      <c r="C24" s="24" t="n">
        <f aca="false">(B24/B23-1)*100</f>
        <v>-1.06143853021726</v>
      </c>
      <c r="D24" s="24" t="n">
        <f aca="false">(AVERAGE(B22:B24)/AVERAGE(B19:B21)-1)*100</f>
        <v>8.81134920813913</v>
      </c>
      <c r="E24" s="24" t="n">
        <f aca="false">((AVERAGE(B22:B24)/AVERAGE(B19:B21))^4-1)*100</f>
        <v>40.1834620947669</v>
      </c>
      <c r="F24" s="24" t="n">
        <f aca="false">IFERROR(('SA Data'!V24/'SA Data'!V12-1)*100,"")</f>
        <v>35.6652235263753</v>
      </c>
      <c r="G24" s="24" t="n">
        <f aca="false">IFERROR((AVERAGE('SA Data'!V19:V24)/AVERAGE('SA Data'!V7:V12)-1)*100,"")</f>
        <v>30.3117927242025</v>
      </c>
      <c r="H24" s="23" t="n">
        <f aca="false">'SA Data'!S24</f>
        <v>107.42571718436</v>
      </c>
      <c r="I24" s="24" t="n">
        <f aca="false">(H24/H23-1)*100</f>
        <v>0.458811894193523</v>
      </c>
      <c r="J24" s="24" t="n">
        <f aca="false">(AVERAGE(H22:H24)/AVERAGE(H19:H21)-1)*100</f>
        <v>2.8426431626732</v>
      </c>
      <c r="K24" s="24" t="n">
        <f aca="false">((AVERAGE(H22:H24)/AVERAGE(H19:H21))^4-1)*100</f>
        <v>11.8646632839805</v>
      </c>
      <c r="L24" s="24" t="n">
        <f aca="false">IFERROR(('SA Data'!W24/'SA Data'!W12-1)*100,"")</f>
        <v>7.41072548577442</v>
      </c>
      <c r="M24" s="24" t="n">
        <f aca="false">IFERROR((AVERAGE('SA Data'!W19:W24)/AVERAGE('SA Data'!W7:W12)-1)*100,"")</f>
        <v>7.40459578927699</v>
      </c>
      <c r="N24" s="23" t="n">
        <f aca="false">'SA Data'!T24</f>
        <v>108.737955632002</v>
      </c>
      <c r="O24" s="24" t="n">
        <f aca="false">(N24/N23-1)*100</f>
        <v>0.291844573400835</v>
      </c>
      <c r="P24" s="24" t="n">
        <f aca="false">(AVERAGE(N22:N24)/AVERAGE(N19:N21)-1)*100</f>
        <v>3.05444694247379</v>
      </c>
      <c r="Q24" s="24" t="n">
        <f aca="false">((AVERAGE(N22:N24)/AVERAGE(N19:N21))^4-1)*100</f>
        <v>12.7890523432868</v>
      </c>
      <c r="R24" s="24" t="n">
        <f aca="false">IFERROR(('SA Data'!X24/'SA Data'!X12-1)*100,"")</f>
        <v>9.30615104608976</v>
      </c>
      <c r="S24" s="24" t="n">
        <f aca="false">IFERROR((AVERAGE('SA Data'!X19:X24)/AVERAGE('SA Data'!X7:X12)-1)*100,"")</f>
        <v>8.87395494270806</v>
      </c>
    </row>
    <row r="25" customFormat="false" ht="15" hidden="false" customHeight="false" outlineLevel="0" collapsed="false">
      <c r="A25" s="20" t="n">
        <v>38564</v>
      </c>
      <c r="B25" s="23" t="n">
        <f aca="false">'SA Data'!R25</f>
        <v>99.1775235635913</v>
      </c>
      <c r="C25" s="24" t="n">
        <f aca="false">(B25/B24-1)*100</f>
        <v>-9.87192816896023</v>
      </c>
      <c r="D25" s="24" t="n">
        <f aca="false">(AVERAGE(B23:B25)/AVERAGE(B20:B22)-1)*100</f>
        <v>-0.456410399115481</v>
      </c>
      <c r="E25" s="24" t="n">
        <f aca="false">((AVERAGE(B23:B25)/AVERAGE(B20:B22))^4-1)*100</f>
        <v>-1.81318095594613</v>
      </c>
      <c r="F25" s="24" t="n">
        <f aca="false">IFERROR(('SA Data'!V25/'SA Data'!V13-1)*100,"")</f>
        <v>3.66837128347735</v>
      </c>
      <c r="G25" s="24" t="n">
        <f aca="false">IFERROR((AVERAGE('SA Data'!V19:V25)/AVERAGE('SA Data'!V7:V13)-1)*100,"")</f>
        <v>27.3100169866212</v>
      </c>
      <c r="H25" s="23" t="n">
        <f aca="false">'SA Data'!S25</f>
        <v>107.309774396988</v>
      </c>
      <c r="I25" s="24" t="n">
        <f aca="false">(H25/H24-1)*100</f>
        <v>-0.107928334490814</v>
      </c>
      <c r="J25" s="24" t="n">
        <f aca="false">(AVERAGE(H23:H25)/AVERAGE(H20:H22)-1)*100</f>
        <v>2.16624050320762</v>
      </c>
      <c r="K25" s="24" t="n">
        <f aca="false">((AVERAGE(H23:H25)/AVERAGE(H20:H22))^4-1)*100</f>
        <v>8.9506060266398</v>
      </c>
      <c r="L25" s="24" t="n">
        <f aca="false">IFERROR(('SA Data'!W25/'SA Data'!W13-1)*100,"")</f>
        <v>6.48426433162697</v>
      </c>
      <c r="M25" s="24" t="n">
        <f aca="false">IFERROR((AVERAGE('SA Data'!W19:W25)/AVERAGE('SA Data'!W7:W13)-1)*100,"")</f>
        <v>7.26857706393438</v>
      </c>
      <c r="N25" s="23" t="n">
        <f aca="false">'SA Data'!T25</f>
        <v>109.563748903938</v>
      </c>
      <c r="O25" s="24" t="n">
        <f aca="false">(N25/N24-1)*100</f>
        <v>0.759434244589108</v>
      </c>
      <c r="P25" s="24" t="n">
        <f aca="false">(AVERAGE(N23:N25)/AVERAGE(N20:N22)-1)*100</f>
        <v>2.49746933147088</v>
      </c>
      <c r="Q25" s="24" t="n">
        <f aca="false">((AVERAGE(N23:N25)/AVERAGE(N20:N22))^4-1)*100</f>
        <v>10.3703884533474</v>
      </c>
      <c r="R25" s="24" t="n">
        <f aca="false">IFERROR(('SA Data'!X25/'SA Data'!X13-1)*100,"")</f>
        <v>9.21164684297637</v>
      </c>
      <c r="S25" s="24" t="n">
        <f aca="false">IFERROR((AVERAGE('SA Data'!X19:X25)/AVERAGE('SA Data'!X7:X13)-1)*100,"")</f>
        <v>8.92331701762517</v>
      </c>
    </row>
    <row r="26" customFormat="false" ht="15" hidden="false" customHeight="false" outlineLevel="0" collapsed="false">
      <c r="A26" s="20" t="n">
        <v>38595</v>
      </c>
      <c r="B26" s="23" t="n">
        <f aca="false">'SA Data'!R26</f>
        <v>95.6039984365283</v>
      </c>
      <c r="C26" s="24" t="n">
        <f aca="false">(B26/B25-1)*100</f>
        <v>-3.60316027126013</v>
      </c>
      <c r="D26" s="24" t="n">
        <f aca="false">(AVERAGE(B24:B26)/AVERAGE(B21:B23)-1)*100</f>
        <v>-8.1078682229025</v>
      </c>
      <c r="E26" s="24" t="n">
        <f aca="false">((AVERAGE(B24:B26)/AVERAGE(B21:B23))^4-1)*100</f>
        <v>-28.6960963248163</v>
      </c>
      <c r="F26" s="24" t="n">
        <f aca="false">IFERROR(('SA Data'!V26/'SA Data'!V14-1)*100,"")</f>
        <v>-2.33025997652182</v>
      </c>
      <c r="G26" s="24" t="n">
        <f aca="false">IFERROR((AVERAGE('SA Data'!V19:V26)/AVERAGE('SA Data'!V7:V14)-1)*100,"")</f>
        <v>25.1727655126834</v>
      </c>
      <c r="H26" s="23" t="n">
        <f aca="false">'SA Data'!S26</f>
        <v>108.520596004306</v>
      </c>
      <c r="I26" s="24" t="n">
        <f aca="false">(H26/H25-1)*100</f>
        <v>1.12834232866721</v>
      </c>
      <c r="J26" s="24" t="n">
        <f aca="false">(AVERAGE(H24:H26)/AVERAGE(H21:H23)-1)*100</f>
        <v>1.6980610328091</v>
      </c>
      <c r="K26" s="24" t="n">
        <f aca="false">((AVERAGE(H24:H26)/AVERAGE(H21:H23))^4-1)*100</f>
        <v>6.96721560489406</v>
      </c>
      <c r="L26" s="24" t="n">
        <f aca="false">IFERROR(('SA Data'!W26/'SA Data'!W14-1)*100,"")</f>
        <v>8.23006414697856</v>
      </c>
      <c r="M26" s="24" t="n">
        <f aca="false">IFERROR((AVERAGE('SA Data'!W19:W26)/AVERAGE('SA Data'!W7:W14)-1)*100,"")</f>
        <v>7.3921900518926</v>
      </c>
      <c r="N26" s="23" t="n">
        <f aca="false">'SA Data'!T26</f>
        <v>110.52469579387</v>
      </c>
      <c r="O26" s="24" t="n">
        <f aca="false">(N26/N25-1)*100</f>
        <v>0.877066456328524</v>
      </c>
      <c r="P26" s="24" t="n">
        <f aca="false">(AVERAGE(N24:N26)/AVERAGE(N21:N23)-1)*100</f>
        <v>2.0792005558002</v>
      </c>
      <c r="Q26" s="24" t="n">
        <f aca="false">((AVERAGE(N24:N26)/AVERAGE(N21:N23))^4-1)*100</f>
        <v>8.57980082518877</v>
      </c>
      <c r="R26" s="24" t="n">
        <f aca="false">IFERROR(('SA Data'!X26/'SA Data'!X14-1)*100,"")</f>
        <v>10.057120181088</v>
      </c>
      <c r="S26" s="24" t="n">
        <f aca="false">IFERROR((AVERAGE('SA Data'!X19:X26)/AVERAGE('SA Data'!X7:X14)-1)*100,"")</f>
        <v>9.06758270085799</v>
      </c>
    </row>
    <row r="27" customFormat="false" ht="15" hidden="false" customHeight="false" outlineLevel="0" collapsed="false">
      <c r="A27" s="20" t="n">
        <v>38625</v>
      </c>
      <c r="B27" s="23" t="n">
        <f aca="false">'SA Data'!R27</f>
        <v>95.1372384721311</v>
      </c>
      <c r="C27" s="24" t="n">
        <f aca="false">(B27/B26-1)*100</f>
        <v>-0.48822222085938</v>
      </c>
      <c r="D27" s="24" t="n">
        <f aca="false">(AVERAGE(B25:B27)/AVERAGE(B22:B24)-1)*100</f>
        <v>-12.9566761639772</v>
      </c>
      <c r="E27" s="24" t="n">
        <f aca="false">((AVERAGE(B25:B27)/AVERAGE(B22:B24))^4-1)*100</f>
        <v>-42.5960382277042</v>
      </c>
      <c r="F27" s="24" t="n">
        <f aca="false">IFERROR(('SA Data'!V27/'SA Data'!V15-1)*100,"")</f>
        <v>-2.75311612551508</v>
      </c>
      <c r="G27" s="24" t="n">
        <f aca="false">IFERROR((AVERAGE('SA Data'!V19:V27)/AVERAGE('SA Data'!V7:V15)-1)*100,"")</f>
        <v>23.4143246176516</v>
      </c>
      <c r="H27" s="23" t="n">
        <f aca="false">'SA Data'!S27</f>
        <v>108.125915651811</v>
      </c>
      <c r="I27" s="24" t="n">
        <f aca="false">(H27/H26-1)*100</f>
        <v>-0.363691655802934</v>
      </c>
      <c r="J27" s="24" t="n">
        <f aca="false">(AVERAGE(H25:H27)/AVERAGE(H22:H24)-1)*100</f>
        <v>0.967070417552352</v>
      </c>
      <c r="K27" s="24" t="n">
        <f aca="false">((AVERAGE(H25:H27)/AVERAGE(H22:H24))^4-1)*100</f>
        <v>3.92475782785282</v>
      </c>
      <c r="L27" s="24" t="n">
        <f aca="false">IFERROR(('SA Data'!W27/'SA Data'!W15-1)*100,"")</f>
        <v>5.94914105390485</v>
      </c>
      <c r="M27" s="24" t="n">
        <f aca="false">IFERROR((AVERAGE('SA Data'!W19:W27)/AVERAGE('SA Data'!W7:W15)-1)*100,"")</f>
        <v>7.2251648229116</v>
      </c>
      <c r="N27" s="23" t="n">
        <f aca="false">'SA Data'!T27</f>
        <v>111.590569006179</v>
      </c>
      <c r="O27" s="24" t="n">
        <f aca="false">(N27/N26-1)*100</f>
        <v>0.964375612756019</v>
      </c>
      <c r="P27" s="24" t="n">
        <f aca="false">(AVERAGE(N25:N27)/AVERAGE(N22:N24)-1)*100</f>
        <v>2.10953847461557</v>
      </c>
      <c r="Q27" s="24" t="n">
        <f aca="false">((AVERAGE(N25:N27)/AVERAGE(N22:N24))^4-1)*100</f>
        <v>8.70893796410392</v>
      </c>
      <c r="R27" s="24" t="n">
        <f aca="false">IFERROR(('SA Data'!X27/'SA Data'!X15-1)*100,"")</f>
        <v>9.71366979605333</v>
      </c>
      <c r="S27" s="24" t="n">
        <f aca="false">IFERROR((AVERAGE('SA Data'!X19:X27)/AVERAGE('SA Data'!X7:X15)-1)*100,"")</f>
        <v>9.14070609638999</v>
      </c>
    </row>
    <row r="28" customFormat="false" ht="15" hidden="false" customHeight="false" outlineLevel="0" collapsed="false">
      <c r="A28" s="20" t="n">
        <v>38656</v>
      </c>
      <c r="B28" s="23" t="n">
        <f aca="false">'SA Data'!R28</f>
        <v>96.9887172302538</v>
      </c>
      <c r="C28" s="24" t="n">
        <f aca="false">(B28/B27-1)*100</f>
        <v>1.94611362265371</v>
      </c>
      <c r="D28" s="24" t="n">
        <f aca="false">(AVERAGE(B26:B28)/AVERAGE(B23:B25)-1)*100</f>
        <v>-10.2076811675486</v>
      </c>
      <c r="E28" s="24" t="n">
        <f aca="false">((AVERAGE(B26:B28)/AVERAGE(B23:B25))^4-1)*100</f>
        <v>-34.9935053181316</v>
      </c>
      <c r="F28" s="24" t="n">
        <f aca="false">IFERROR(('SA Data'!V28/'SA Data'!V16-1)*100,"")</f>
        <v>-3.60545346996231</v>
      </c>
      <c r="G28" s="24" t="n">
        <f aca="false">IFERROR((AVERAGE('SA Data'!V19:V28)/AVERAGE('SA Data'!V7:V16)-1)*100,"")</f>
        <v>21.7619710006013</v>
      </c>
      <c r="H28" s="23" t="n">
        <f aca="false">'SA Data'!S28</f>
        <v>109.373998044871</v>
      </c>
      <c r="I28" s="24" t="n">
        <f aca="false">(H28/H27-1)*100</f>
        <v>1.1542860798321</v>
      </c>
      <c r="J28" s="24" t="n">
        <f aca="false">(AVERAGE(H26:H28)/AVERAGE(H23:H25)-1)*100</f>
        <v>1.35229397075625</v>
      </c>
      <c r="K28" s="24" t="n">
        <f aca="false">((AVERAGE(H26:H28)/AVERAGE(H23:H25))^4-1)*100</f>
        <v>5.51989034160938</v>
      </c>
      <c r="L28" s="24" t="n">
        <f aca="false">IFERROR(('SA Data'!W28/'SA Data'!W16-1)*100,"")</f>
        <v>8.08928915359553</v>
      </c>
      <c r="M28" s="24" t="n">
        <f aca="false">IFERROR((AVERAGE('SA Data'!W19:W28)/AVERAGE('SA Data'!W7:W16)-1)*100,"")</f>
        <v>7.31517631850505</v>
      </c>
      <c r="N28" s="23" t="n">
        <f aca="false">'SA Data'!T28</f>
        <v>111.051621647687</v>
      </c>
      <c r="O28" s="24" t="n">
        <f aca="false">(N28/N27-1)*100</f>
        <v>-0.482968554862062</v>
      </c>
      <c r="P28" s="24" t="n">
        <f aca="false">(AVERAGE(N26:N28)/AVERAGE(N23:N25)-1)*100</f>
        <v>1.972203962075</v>
      </c>
      <c r="Q28" s="24" t="n">
        <f aca="false">((AVERAGE(N26:N28)/AVERAGE(N23:N25))^4-1)*100</f>
        <v>8.12527470999491</v>
      </c>
      <c r="R28" s="24" t="n">
        <f aca="false">IFERROR(('SA Data'!X28/'SA Data'!X16-1)*100,"")</f>
        <v>8.77694894207126</v>
      </c>
      <c r="S28" s="24" t="n">
        <f aca="false">IFERROR((AVERAGE('SA Data'!X19:X28)/AVERAGE('SA Data'!X7:X16)-1)*100,"")</f>
        <v>9.10367617257775</v>
      </c>
    </row>
    <row r="29" customFormat="false" ht="15" hidden="false" customHeight="false" outlineLevel="0" collapsed="false">
      <c r="A29" s="20" t="n">
        <v>38686</v>
      </c>
      <c r="B29" s="23" t="n">
        <f aca="false">'SA Data'!R29</f>
        <v>100.74580168644</v>
      </c>
      <c r="C29" s="24" t="n">
        <f aca="false">(B29/B28-1)*100</f>
        <v>3.87373352641254</v>
      </c>
      <c r="D29" s="24" t="n">
        <f aca="false">(AVERAGE(B27:B29)/AVERAGE(B24:B26)-1)*100</f>
        <v>-3.92045713591128</v>
      </c>
      <c r="E29" s="24" t="n">
        <f aca="false">((AVERAGE(B27:B29)/AVERAGE(B24:B26))^4-1)*100</f>
        <v>-14.7834962035841</v>
      </c>
      <c r="F29" s="24" t="n">
        <f aca="false">IFERROR(('SA Data'!V29/'SA Data'!V17-1)*100,"")</f>
        <v>1.10374770900405</v>
      </c>
      <c r="G29" s="24" t="n">
        <f aca="false">IFERROR((AVERAGE('SA Data'!V19:V29)/AVERAGE('SA Data'!V7:V17)-1)*100,"")</f>
        <v>20.3010698102737</v>
      </c>
      <c r="H29" s="23" t="n">
        <f aca="false">'SA Data'!S29</f>
        <v>111.090139300936</v>
      </c>
      <c r="I29" s="24" t="n">
        <f aca="false">(H29/H28-1)*100</f>
        <v>1.56905780783512</v>
      </c>
      <c r="J29" s="24" t="n">
        <f aca="false">(AVERAGE(H27:H29)/AVERAGE(H24:H26)-1)*100</f>
        <v>1.65007423427102</v>
      </c>
      <c r="K29" s="24" t="n">
        <f aca="false">((AVERAGE(H27:H29)/AVERAGE(H24:H26))^4-1)*100</f>
        <v>6.76546614167486</v>
      </c>
      <c r="L29" s="24" t="n">
        <f aca="false">IFERROR(('SA Data'!W29/'SA Data'!W17-1)*100,"")</f>
        <v>9.14649878219673</v>
      </c>
      <c r="M29" s="24" t="n">
        <f aca="false">IFERROR((AVERAGE('SA Data'!W19:W29)/AVERAGE('SA Data'!W7:W17)-1)*100,"")</f>
        <v>7.48668264278689</v>
      </c>
      <c r="N29" s="23" t="n">
        <f aca="false">'SA Data'!T29</f>
        <v>112.605783873198</v>
      </c>
      <c r="O29" s="24" t="n">
        <f aca="false">(N29/N28-1)*100</f>
        <v>1.39949529997969</v>
      </c>
      <c r="P29" s="24" t="n">
        <f aca="false">(AVERAGE(N27:N29)/AVERAGE(N24:N26)-1)*100</f>
        <v>1.95287671270126</v>
      </c>
      <c r="Q29" s="24" t="n">
        <f aca="false">((AVERAGE(N27:N29)/AVERAGE(N24:N26))^4-1)*100</f>
        <v>8.04332413843698</v>
      </c>
      <c r="R29" s="24" t="n">
        <f aca="false">IFERROR(('SA Data'!X29/'SA Data'!X17-1)*100,"")</f>
        <v>9.73817364834644</v>
      </c>
      <c r="S29" s="24" t="n">
        <f aca="false">IFERROR((AVERAGE('SA Data'!X19:X29)/AVERAGE('SA Data'!X7:X17)-1)*100,"")</f>
        <v>9.16301942972546</v>
      </c>
    </row>
    <row r="30" customFormat="false" ht="15" hidden="false" customHeight="false" outlineLevel="0" collapsed="false">
      <c r="A30" s="20" t="n">
        <v>38717</v>
      </c>
      <c r="B30" s="23" t="n">
        <f aca="false">'SA Data'!R30</f>
        <v>106.91859011196</v>
      </c>
      <c r="C30" s="24" t="n">
        <f aca="false">(B30/B29-1)*100</f>
        <v>6.12709246657461</v>
      </c>
      <c r="D30" s="24" t="n">
        <f aca="false">(AVERAGE(B28:B30)/AVERAGE(B25:B27)-1)*100</f>
        <v>5.08223356515509</v>
      </c>
      <c r="E30" s="24" t="n">
        <f aca="false">((AVERAGE(B28:B30)/AVERAGE(B25:B27))^4-1)*100</f>
        <v>21.931855087119</v>
      </c>
      <c r="F30" s="24" t="n">
        <f aca="false">IFERROR(('SA Data'!V30/'SA Data'!V18-1)*100,"")</f>
        <v>8.98174300368826</v>
      </c>
      <c r="G30" s="24" t="n">
        <f aca="false">IFERROR((AVERAGE('SA Data'!V19:V30)/AVERAGE('SA Data'!V7:V18)-1)*100,"")</f>
        <v>19.4282278228805</v>
      </c>
      <c r="H30" s="23" t="n">
        <f aca="false">'SA Data'!S30</f>
        <v>111.588765297084</v>
      </c>
      <c r="I30" s="24" t="n">
        <f aca="false">(H30/H29-1)*100</f>
        <v>0.448848114950651</v>
      </c>
      <c r="J30" s="24" t="n">
        <f aca="false">(AVERAGE(H28:H30)/AVERAGE(H25:H27)-1)*100</f>
        <v>2.49929294116475</v>
      </c>
      <c r="K30" s="24" t="n">
        <f aca="false">((AVERAGE(H28:H30)/AVERAGE(H25:H27))^4-1)*100</f>
        <v>10.3782433938903</v>
      </c>
      <c r="L30" s="24" t="n">
        <f aca="false">IFERROR(('SA Data'!W30/'SA Data'!W18-1)*100,"")</f>
        <v>8.24588228187089</v>
      </c>
      <c r="M30" s="24" t="n">
        <f aca="false">IFERROR((AVERAGE('SA Data'!W19:W30)/AVERAGE('SA Data'!W7:W18)-1)*100,"")</f>
        <v>7.55104641269424</v>
      </c>
      <c r="N30" s="23" t="n">
        <f aca="false">'SA Data'!T30</f>
        <v>113.931640670348</v>
      </c>
      <c r="O30" s="24" t="n">
        <f aca="false">(N30/N29-1)*100</f>
        <v>1.17743223442479</v>
      </c>
      <c r="P30" s="24" t="n">
        <f aca="false">(AVERAGE(N28:N30)/AVERAGE(N25:N27)-1)*100</f>
        <v>1.78185300940421</v>
      </c>
      <c r="Q30" s="24" t="n">
        <f aca="false">((AVERAGE(N28:N30)/AVERAGE(N25:N27))^4-1)*100</f>
        <v>7.32018508049694</v>
      </c>
      <c r="R30" s="24" t="n">
        <f aca="false">IFERROR(('SA Data'!X30/'SA Data'!X18-1)*100,"")</f>
        <v>9.68815021464689</v>
      </c>
      <c r="S30" s="24" t="n">
        <f aca="false">IFERROR((AVERAGE('SA Data'!X19:X30)/AVERAGE('SA Data'!X7:X18)-1)*100,"")</f>
        <v>9.20824464354544</v>
      </c>
    </row>
    <row r="31" customFormat="false" ht="15" hidden="false" customHeight="false" outlineLevel="0" collapsed="false">
      <c r="A31" s="20" t="n">
        <v>38748</v>
      </c>
      <c r="B31" s="23" t="n">
        <f aca="false">'SA Data'!R31</f>
        <v>104.331700328236</v>
      </c>
      <c r="C31" s="24" t="n">
        <f aca="false">(B31/B30-1)*100</f>
        <v>-2.41949485212473</v>
      </c>
      <c r="D31" s="24" t="n">
        <f aca="false">(AVERAGE(B29:B31)/AVERAGE(B26:B28)-1)*100</f>
        <v>8.43365024692806</v>
      </c>
      <c r="E31" s="24" t="n">
        <f aca="false">((AVERAGE(B29:B31)/AVERAGE(B26:B28))^4-1)*100</f>
        <v>38.2471896127029</v>
      </c>
      <c r="F31" s="24" t="n">
        <f aca="false">IFERROR(('SA Data'!V31/'SA Data'!V19-1)*100,"")</f>
        <v>5.49952260282673</v>
      </c>
      <c r="G31" s="24" t="n">
        <f aca="false">IFERROR((AVERAGE('SA Data'!V31:V31)/AVERAGE('SA Data'!V19:V19)-1)*100,"")</f>
        <v>5.49952260282673</v>
      </c>
      <c r="H31" s="23" t="n">
        <f aca="false">'SA Data'!S31</f>
        <v>113.357870563521</v>
      </c>
      <c r="I31" s="24" t="n">
        <f aca="false">(H31/H30-1)*100</f>
        <v>1.58537937195349</v>
      </c>
      <c r="J31" s="24" t="n">
        <f aca="false">(AVERAGE(H29:H31)/AVERAGE(H26:H28)-1)*100</f>
        <v>3.07228078065964</v>
      </c>
      <c r="K31" s="24" t="n">
        <f aca="false">((AVERAGE(H29:H31)/AVERAGE(H26:H28))^4-1)*100</f>
        <v>12.8671463590823</v>
      </c>
      <c r="L31" s="24" t="n">
        <f aca="false">IFERROR(('SA Data'!W31/'SA Data'!W19-1)*100,"")</f>
        <v>8.96348030828205</v>
      </c>
      <c r="M31" s="24" t="n">
        <f aca="false">IFERROR((AVERAGE('SA Data'!W31:W31)/AVERAGE('SA Data'!W19:W19)-1)*100,"")</f>
        <v>8.96348030828205</v>
      </c>
      <c r="N31" s="23" t="n">
        <f aca="false">'SA Data'!T31</f>
        <v>113.495463539517</v>
      </c>
      <c r="O31" s="24" t="n">
        <f aca="false">(N31/N30-1)*100</f>
        <v>-0.382841086343178</v>
      </c>
      <c r="P31" s="24" t="n">
        <f aca="false">(AVERAGE(N29:N31)/AVERAGE(N26:N28)-1)*100</f>
        <v>2.06082954657718</v>
      </c>
      <c r="Q31" s="24" t="n">
        <f aca="false">((AVERAGE(N29:N31)/AVERAGE(N26:N28))^4-1)*100</f>
        <v>8.50165828109486</v>
      </c>
      <c r="R31" s="24" t="n">
        <f aca="false">IFERROR(('SA Data'!X31/'SA Data'!X19-1)*100,"")</f>
        <v>8.85901781702063</v>
      </c>
      <c r="S31" s="24" t="n">
        <f aca="false">IFERROR((AVERAGE('SA Data'!X31:X31)/AVERAGE('SA Data'!X19:X19)-1)*100,"")</f>
        <v>8.85901781702063</v>
      </c>
    </row>
    <row r="32" customFormat="false" ht="15" hidden="false" customHeight="false" outlineLevel="0" collapsed="false">
      <c r="A32" s="20" t="n">
        <v>38776</v>
      </c>
      <c r="B32" s="23" t="n">
        <f aca="false">'SA Data'!R32</f>
        <v>101.929108664951</v>
      </c>
      <c r="C32" s="24" t="n">
        <f aca="false">(B32/B31-1)*100</f>
        <v>-2.30283955473466</v>
      </c>
      <c r="D32" s="24" t="n">
        <f aca="false">(AVERAGE(B30:B32)/AVERAGE(B27:B29)-1)*100</f>
        <v>6.93397065575059</v>
      </c>
      <c r="E32" s="24" t="n">
        <f aca="false">((AVERAGE(B30:B32)/AVERAGE(B27:B29))^4-1)*100</f>
        <v>30.7563452301425</v>
      </c>
      <c r="F32" s="24" t="n">
        <f aca="false">IFERROR(('SA Data'!V32/'SA Data'!V20-1)*100,"")</f>
        <v>-2.30070129664275</v>
      </c>
      <c r="G32" s="24" t="n">
        <f aca="false">IFERROR((AVERAGE('SA Data'!V31:V32)/AVERAGE('SA Data'!V19:V20)-1)*100,"")</f>
        <v>1.48013162566778</v>
      </c>
      <c r="H32" s="23" t="n">
        <f aca="false">'SA Data'!S32</f>
        <v>113.507257811259</v>
      </c>
      <c r="I32" s="24" t="n">
        <f aca="false">(H32/H31-1)*100</f>
        <v>0.13178374557945</v>
      </c>
      <c r="J32" s="24" t="n">
        <f aca="false">(AVERAGE(H30:H32)/AVERAGE(H27:H29)-1)*100</f>
        <v>3.00186831106481</v>
      </c>
      <c r="K32" s="24" t="n">
        <f aca="false">((AVERAGE(H30:H32)/AVERAGE(H27:H29))^4-1)*100</f>
        <v>12.5590474379722</v>
      </c>
      <c r="L32" s="24" t="n">
        <f aca="false">IFERROR(('SA Data'!W32/'SA Data'!W20-1)*100,"")</f>
        <v>8.89779108292752</v>
      </c>
      <c r="M32" s="24" t="n">
        <f aca="false">IFERROR((AVERAGE('SA Data'!W31:W32)/AVERAGE('SA Data'!W19:W20)-1)*100,"")</f>
        <v>8.93095644639244</v>
      </c>
      <c r="N32" s="23" t="n">
        <f aca="false">'SA Data'!T32</f>
        <v>114.4435384934</v>
      </c>
      <c r="O32" s="24" t="n">
        <f aca="false">(N32/N31-1)*100</f>
        <v>0.835341717030969</v>
      </c>
      <c r="P32" s="24" t="n">
        <f aca="false">(AVERAGE(N30:N32)/AVERAGE(N27:N29)-1)*100</f>
        <v>1.97545359835294</v>
      </c>
      <c r="Q32" s="24" t="n">
        <f aca="false">((AVERAGE(N30:N32)/AVERAGE(N27:N29))^4-1)*100</f>
        <v>8.13905825484247</v>
      </c>
      <c r="R32" s="24" t="n">
        <f aca="false">IFERROR(('SA Data'!X32/'SA Data'!X20-1)*100,"")</f>
        <v>8.76973582534848</v>
      </c>
      <c r="S32" s="24" t="n">
        <f aca="false">IFERROR((AVERAGE('SA Data'!X31:X32)/AVERAGE('SA Data'!X19:X20)-1)*100,"")</f>
        <v>8.81464800213099</v>
      </c>
    </row>
    <row r="33" customFormat="false" ht="15" hidden="false" customHeight="false" outlineLevel="0" collapsed="false">
      <c r="A33" s="20" t="n">
        <v>38807</v>
      </c>
      <c r="B33" s="23" t="n">
        <f aca="false">'SA Data'!R33</f>
        <v>100.991423606809</v>
      </c>
      <c r="C33" s="24" t="n">
        <f aca="false">(B33/B32-1)*100</f>
        <v>-0.919938445869706</v>
      </c>
      <c r="D33" s="24" t="n">
        <f aca="false">(AVERAGE(B31:B33)/AVERAGE(B28:B30)-1)*100</f>
        <v>0.853141981590255</v>
      </c>
      <c r="E33" s="24" t="n">
        <f aca="false">((AVERAGE(B31:B33)/AVERAGE(B28:B30))^4-1)*100</f>
        <v>3.45648791475348</v>
      </c>
      <c r="F33" s="24" t="n">
        <f aca="false">IFERROR(('SA Data'!V33/'SA Data'!V21-1)*100,"")</f>
        <v>-7.49883609890265</v>
      </c>
      <c r="G33" s="24" t="n">
        <f aca="false">IFERROR((AVERAGE('SA Data'!V31:V33)/AVERAGE('SA Data'!V19:V21)-1)*100,"")</f>
        <v>-3.0730831037027</v>
      </c>
      <c r="H33" s="23" t="n">
        <f aca="false">'SA Data'!S33</f>
        <v>115.358830604447</v>
      </c>
      <c r="I33" s="24" t="n">
        <f aca="false">(H33/H32-1)*100</f>
        <v>1.63123735776141</v>
      </c>
      <c r="J33" s="24" t="n">
        <f aca="false">(AVERAGE(H31:H33)/AVERAGE(H28:H30)-1)*100</f>
        <v>3.06308309771814</v>
      </c>
      <c r="K33" s="24" t="n">
        <f aca="false">((AVERAGE(H31:H33)/AVERAGE(H28:H30))^4-1)*100</f>
        <v>12.8268648295672</v>
      </c>
      <c r="L33" s="24" t="n">
        <f aca="false">IFERROR(('SA Data'!W33/'SA Data'!W21-1)*100,"")</f>
        <v>9.96016005507419</v>
      </c>
      <c r="M33" s="24" t="n">
        <f aca="false">IFERROR((AVERAGE('SA Data'!W31:W33)/AVERAGE('SA Data'!W19:W21)-1)*100,"")</f>
        <v>9.29599159629877</v>
      </c>
      <c r="N33" s="23" t="n">
        <f aca="false">'SA Data'!T33</f>
        <v>115.432171467149</v>
      </c>
      <c r="O33" s="24" t="n">
        <f aca="false">(N33/N32-1)*100</f>
        <v>0.863860893121582</v>
      </c>
      <c r="P33" s="24" t="n">
        <f aca="false">(AVERAGE(N31:N33)/AVERAGE(N28:N30)-1)*100</f>
        <v>1.71277100784761</v>
      </c>
      <c r="Q33" s="24" t="n">
        <f aca="false">((AVERAGE(N31:N33)/AVERAGE(N28:N30))^4-1)*100</f>
        <v>7.02911753223763</v>
      </c>
      <c r="R33" s="24" t="n">
        <f aca="false">IFERROR(('SA Data'!X33/'SA Data'!X21-1)*100,"")</f>
        <v>8.30584510453141</v>
      </c>
      <c r="S33" s="24" t="n">
        <f aca="false">IFERROR((AVERAGE('SA Data'!X31:X33)/AVERAGE('SA Data'!X19:X21)-1)*100,"")</f>
        <v>8.63767903052508</v>
      </c>
    </row>
    <row r="34" customFormat="false" ht="15" hidden="false" customHeight="false" outlineLevel="0" collapsed="false">
      <c r="A34" s="20" t="n">
        <v>38837</v>
      </c>
      <c r="B34" s="23" t="n">
        <f aca="false">'SA Data'!R34</f>
        <v>99.4785236871123</v>
      </c>
      <c r="C34" s="24" t="n">
        <f aca="false">(B34/B33-1)*100</f>
        <v>-1.49804791898697</v>
      </c>
      <c r="D34" s="24" t="n">
        <f aca="false">(AVERAGE(B32:B34)/AVERAGE(B29:B31)-1)*100</f>
        <v>-3.07601165846273</v>
      </c>
      <c r="E34" s="24" t="n">
        <f aca="false">((AVERAGE(B32:B34)/AVERAGE(B29:B31))^4-1)*100</f>
        <v>-11.7478881454713</v>
      </c>
      <c r="F34" s="24" t="n">
        <f aca="false">IFERROR(('SA Data'!V34/'SA Data'!V22-1)*100,"")</f>
        <v>-8.02415158087403</v>
      </c>
      <c r="G34" s="24" t="n">
        <f aca="false">IFERROR((AVERAGE('SA Data'!V31:V34)/AVERAGE('SA Data'!V19:V22)-1)*100,"")</f>
        <v>-5.21118027681233</v>
      </c>
      <c r="H34" s="23" t="n">
        <f aca="false">'SA Data'!S34</f>
        <v>115.192388993552</v>
      </c>
      <c r="I34" s="24" t="n">
        <f aca="false">(H34/H33-1)*100</f>
        <v>-0.144281638451438</v>
      </c>
      <c r="J34" s="24" t="n">
        <f aca="false">(AVERAGE(H32:H34)/AVERAGE(H29:H31)-1)*100</f>
        <v>2.38715010994299</v>
      </c>
      <c r="K34" s="24" t="n">
        <f aca="false">((AVERAGE(H32:H34)/AVERAGE(H29:H31))^4-1)*100</f>
        <v>9.89598330761057</v>
      </c>
      <c r="L34" s="24" t="n">
        <f aca="false">IFERROR(('SA Data'!W34/'SA Data'!W22-1)*100,"")</f>
        <v>8.43833363405262</v>
      </c>
      <c r="M34" s="24" t="n">
        <f aca="false">IFERROR((AVERAGE('SA Data'!W31:W34)/AVERAGE('SA Data'!W19:W22)-1)*100,"")</f>
        <v>9.07365615407805</v>
      </c>
      <c r="N34" s="23" t="n">
        <f aca="false">'SA Data'!T34</f>
        <v>115.562982490933</v>
      </c>
      <c r="O34" s="24" t="n">
        <f aca="false">(N34/N33-1)*100</f>
        <v>0.113322847626929</v>
      </c>
      <c r="P34" s="24" t="n">
        <f aca="false">(AVERAGE(N32:N34)/AVERAGE(N29:N31)-1)*100</f>
        <v>1.58978868158755</v>
      </c>
      <c r="Q34" s="24" t="n">
        <f aca="false">((AVERAGE(N32:N34)/AVERAGE(N29:N31))^4-1)*100</f>
        <v>6.51241402797327</v>
      </c>
      <c r="R34" s="24" t="n">
        <f aca="false">IFERROR(('SA Data'!X34/'SA Data'!X22-1)*100,"")</f>
        <v>7.28150903791891</v>
      </c>
      <c r="S34" s="24" t="n">
        <f aca="false">IFERROR((AVERAGE('SA Data'!X31:X34)/AVERAGE('SA Data'!X19:X22)-1)*100,"")</f>
        <v>8.28984291117099</v>
      </c>
    </row>
    <row r="35" customFormat="false" ht="15" hidden="false" customHeight="false" outlineLevel="0" collapsed="false">
      <c r="A35" s="20" t="n">
        <v>38868</v>
      </c>
      <c r="B35" s="23" t="n">
        <f aca="false">'SA Data'!R35</f>
        <v>100.824326523288</v>
      </c>
      <c r="C35" s="24" t="n">
        <f aca="false">(B35/B34-1)*100</f>
        <v>1.35285766846431</v>
      </c>
      <c r="D35" s="24" t="n">
        <f aca="false">(AVERAGE(B33:B35)/AVERAGE(B30:B32)-1)*100</f>
        <v>-3.79498949225146</v>
      </c>
      <c r="E35" s="24" t="n">
        <f aca="false">((AVERAGE(B33:B35)/AVERAGE(B30:B32))^4-1)*100</f>
        <v>-14.3374959305521</v>
      </c>
      <c r="F35" s="24" t="n">
        <f aca="false">IFERROR(('SA Data'!V35/'SA Data'!V23-1)*100,"")</f>
        <v>-4.75331610131687</v>
      </c>
      <c r="G35" s="24" t="n">
        <f aca="false">IFERROR((AVERAGE('SA Data'!V31:V35)/AVERAGE('SA Data'!V19:V23)-1)*100,"")</f>
        <v>-5.03769086528397</v>
      </c>
      <c r="H35" s="23" t="n">
        <f aca="false">'SA Data'!S35</f>
        <v>116.226828522063</v>
      </c>
      <c r="I35" s="24" t="n">
        <f aca="false">(H35/H34-1)*100</f>
        <v>0.89801030914296</v>
      </c>
      <c r="J35" s="24" t="n">
        <f aca="false">(AVERAGE(H33:H35)/AVERAGE(H30:H32)-1)*100</f>
        <v>2.45946482041892</v>
      </c>
      <c r="K35" s="24" t="n">
        <f aca="false">((AVERAGE(H33:H35)/AVERAGE(H30:H32))^4-1)*100</f>
        <v>10.2067847926667</v>
      </c>
      <c r="L35" s="24" t="n">
        <f aca="false">IFERROR(('SA Data'!W35/'SA Data'!W23-1)*100,"")</f>
        <v>8.73705160593103</v>
      </c>
      <c r="M35" s="24" t="n">
        <f aca="false">IFERROR((AVERAGE('SA Data'!W31:W35)/AVERAGE('SA Data'!W19:W23)-1)*100,"")</f>
        <v>9.00315092469259</v>
      </c>
      <c r="N35" s="23" t="n">
        <f aca="false">'SA Data'!T35</f>
        <v>116.886266438969</v>
      </c>
      <c r="O35" s="24" t="n">
        <f aca="false">(N35/N34-1)*100</f>
        <v>1.14507597460123</v>
      </c>
      <c r="P35" s="24" t="n">
        <f aca="false">(AVERAGE(N33:N35)/AVERAGE(N30:N32)-1)*100</f>
        <v>1.75820235579702</v>
      </c>
      <c r="Q35" s="24" t="n">
        <f aca="false">((AVERAGE(N33:N35)/AVERAGE(N30:N32))^4-1)*100</f>
        <v>7.22046954577171</v>
      </c>
      <c r="R35" s="24" t="n">
        <f aca="false">IFERROR(('SA Data'!X35/'SA Data'!X23-1)*100,"")</f>
        <v>7.95016033281757</v>
      </c>
      <c r="S35" s="24" t="n">
        <f aca="false">IFERROR((AVERAGE('SA Data'!X31:X35)/AVERAGE('SA Data'!X19:X23)-1)*100,"")</f>
        <v>8.21901333330384</v>
      </c>
    </row>
    <row r="36" customFormat="false" ht="15" hidden="false" customHeight="false" outlineLevel="0" collapsed="false">
      <c r="A36" s="20" t="n">
        <v>38898</v>
      </c>
      <c r="B36" s="23" t="n">
        <f aca="false">'SA Data'!R36</f>
        <v>101.249190367772</v>
      </c>
      <c r="C36" s="24" t="n">
        <f aca="false">(B36/B35-1)*100</f>
        <v>0.421390213189921</v>
      </c>
      <c r="D36" s="24" t="n">
        <f aca="false">(AVERAGE(B34:B36)/AVERAGE(B31:B33)-1)*100</f>
        <v>-1.8552158184785</v>
      </c>
      <c r="E36" s="24" t="n">
        <f aca="false">((AVERAGE(B34:B36)/AVERAGE(B31:B33))^4-1)*100</f>
        <v>-7.21689601557945</v>
      </c>
      <c r="F36" s="24" t="n">
        <f aca="false">IFERROR(('SA Data'!V36/'SA Data'!V24-1)*100,"")</f>
        <v>-4.01715404874159</v>
      </c>
      <c r="G36" s="24" t="n">
        <f aca="false">IFERROR((AVERAGE('SA Data'!V31:V36)/AVERAGE('SA Data'!V19:V24)-1)*100,"")</f>
        <v>-4.83125832071931</v>
      </c>
      <c r="H36" s="23" t="n">
        <f aca="false">'SA Data'!S36</f>
        <v>117.635287469428</v>
      </c>
      <c r="I36" s="24" t="n">
        <f aca="false">(H36/H35-1)*100</f>
        <v>1.21181913442436</v>
      </c>
      <c r="J36" s="24" t="n">
        <f aca="false">(AVERAGE(H34:H36)/AVERAGE(H31:H33)-1)*100</f>
        <v>1.99592863871629</v>
      </c>
      <c r="K36" s="24" t="n">
        <f aca="false">((AVERAGE(H34:H36)/AVERAGE(H31:H33))^4-1)*100</f>
        <v>8.22593479005098</v>
      </c>
      <c r="L36" s="24" t="n">
        <f aca="false">IFERROR(('SA Data'!W36/'SA Data'!W24-1)*100,"")</f>
        <v>8.70490407634974</v>
      </c>
      <c r="M36" s="24" t="n">
        <f aca="false">IFERROR((AVERAGE('SA Data'!W31:W36)/AVERAGE('SA Data'!W19:W24)-1)*100,"")</f>
        <v>8.95203631146742</v>
      </c>
      <c r="N36" s="23" t="n">
        <f aca="false">'SA Data'!T36</f>
        <v>117.808787561056</v>
      </c>
      <c r="O36" s="24" t="n">
        <f aca="false">(N36/N35-1)*100</f>
        <v>0.789246803915944</v>
      </c>
      <c r="P36" s="24" t="n">
        <f aca="false">(AVERAGE(N34:N36)/AVERAGE(N31:N33)-1)*100</f>
        <v>2.00566137241316</v>
      </c>
      <c r="Q36" s="24" t="n">
        <f aca="false">((AVERAGE(N34:N36)/AVERAGE(N31:N33))^4-1)*100</f>
        <v>8.26724957561755</v>
      </c>
      <c r="R36" s="24" t="n">
        <f aca="false">IFERROR(('SA Data'!X36/'SA Data'!X24-1)*100,"")</f>
        <v>8.04971323364196</v>
      </c>
      <c r="S36" s="24" t="n">
        <f aca="false">IFERROR((AVERAGE('SA Data'!X31:X36)/AVERAGE('SA Data'!X19:X24)-1)*100,"")</f>
        <v>8.18980763649469</v>
      </c>
    </row>
    <row r="37" customFormat="false" ht="15" hidden="false" customHeight="false" outlineLevel="0" collapsed="false">
      <c r="A37" s="20" t="n">
        <v>38929</v>
      </c>
      <c r="B37" s="23" t="n">
        <f aca="false">'SA Data'!R37</f>
        <v>104.531586297755</v>
      </c>
      <c r="C37" s="24" t="n">
        <f aca="false">(B37/B36-1)*100</f>
        <v>3.24189844685134</v>
      </c>
      <c r="D37" s="24" t="n">
        <f aca="false">(AVERAGE(B35:B37)/AVERAGE(B32:B34)-1)*100</f>
        <v>1.39089297637065</v>
      </c>
      <c r="E37" s="24" t="n">
        <f aca="false">((AVERAGE(B35:B37)/AVERAGE(B32:B34))^4-1)*100</f>
        <v>5.680726963712</v>
      </c>
      <c r="F37" s="24" t="n">
        <f aca="false">IFERROR(('SA Data'!V37/'SA Data'!V25-1)*100,"")</f>
        <v>6.4118912993324</v>
      </c>
      <c r="G37" s="24" t="n">
        <f aca="false">IFERROR((AVERAGE('SA Data'!V31:V37)/AVERAGE('SA Data'!V19:V25)-1)*100,"")</f>
        <v>-3.79978039529112</v>
      </c>
      <c r="H37" s="23" t="n">
        <f aca="false">'SA Data'!S37</f>
        <v>118.927463573122</v>
      </c>
      <c r="I37" s="24" t="n">
        <f aca="false">(H37/H36-1)*100</f>
        <v>1.09845959617383</v>
      </c>
      <c r="J37" s="24" t="n">
        <f aca="false">(AVERAGE(H35:H37)/AVERAGE(H32:H34)-1)*100</f>
        <v>2.53767970523455</v>
      </c>
      <c r="K37" s="24" t="n">
        <f aca="false">((AVERAGE(H35:H37)/AVERAGE(H32:H34))^4-1)*100</f>
        <v>10.5436862678476</v>
      </c>
      <c r="L37" s="24" t="n">
        <f aca="false">IFERROR(('SA Data'!W37/'SA Data'!W25-1)*100,"")</f>
        <v>10.9262018140531</v>
      </c>
      <c r="M37" s="24" t="n">
        <f aca="false">IFERROR((AVERAGE('SA Data'!W31:W37)/AVERAGE('SA Data'!W19:W25)-1)*100,"")</f>
        <v>9.24167122211108</v>
      </c>
      <c r="N37" s="23" t="n">
        <f aca="false">'SA Data'!T37</f>
        <v>118.568022851998</v>
      </c>
      <c r="O37" s="24" t="n">
        <f aca="false">(N37/N36-1)*100</f>
        <v>0.644464056256711</v>
      </c>
      <c r="P37" s="24" t="n">
        <f aca="false">(AVERAGE(N35:N37)/AVERAGE(N32:N34)-1)*100</f>
        <v>2.26505732320084</v>
      </c>
      <c r="Q37" s="24" t="n">
        <f aca="false">((AVERAGE(N35:N37)/AVERAGE(N32:N34))^4-1)*100</f>
        <v>9.37273303207555</v>
      </c>
      <c r="R37" s="24" t="n">
        <f aca="false">IFERROR(('SA Data'!X37/'SA Data'!X25-1)*100,"")</f>
        <v>8.51162027168364</v>
      </c>
      <c r="S37" s="24" t="n">
        <f aca="false">IFERROR((AVERAGE('SA Data'!X31:X37)/AVERAGE('SA Data'!X19:X25)-1)*100,"")</f>
        <v>8.23697308321765</v>
      </c>
    </row>
    <row r="38" customFormat="false" ht="15" hidden="false" customHeight="false" outlineLevel="0" collapsed="false">
      <c r="A38" s="20" t="n">
        <v>38960</v>
      </c>
      <c r="B38" s="23" t="n">
        <f aca="false">'SA Data'!R38</f>
        <v>108.085467770028</v>
      </c>
      <c r="C38" s="24" t="n">
        <f aca="false">(B38/B37-1)*100</f>
        <v>3.39981588163236</v>
      </c>
      <c r="D38" s="24" t="n">
        <f aca="false">(AVERAGE(B36:B38)/AVERAGE(B33:B35)-1)*100</f>
        <v>4.17265501234576</v>
      </c>
      <c r="E38" s="24" t="n">
        <f aca="false">((AVERAGE(B36:B38)/AVERAGE(B33:B35))^4-1)*100</f>
        <v>17.7646463069374</v>
      </c>
      <c r="F38" s="24" t="n">
        <f aca="false">IFERROR(('SA Data'!V38/'SA Data'!V26-1)*100,"")</f>
        <v>13.5031976166105</v>
      </c>
      <c r="G38" s="24" t="n">
        <f aca="false">IFERROR((AVERAGE('SA Data'!V31:V38)/AVERAGE('SA Data'!V19:V26)-1)*100,"")</f>
        <v>-2.82626144909935</v>
      </c>
      <c r="H38" s="23" t="n">
        <f aca="false">'SA Data'!S38</f>
        <v>118.818218035893</v>
      </c>
      <c r="I38" s="24" t="n">
        <f aca="false">(H38/H37-1)*100</f>
        <v>-0.0918589650757307</v>
      </c>
      <c r="J38" s="24" t="n">
        <f aca="false">(AVERAGE(H36:H38)/AVERAGE(H33:H35)-1)*100</f>
        <v>2.48081474736321</v>
      </c>
      <c r="K38" s="24" t="n">
        <f aca="false">((AVERAGE(H36:H38)/AVERAGE(H33:H35))^4-1)*100</f>
        <v>10.2986705872533</v>
      </c>
      <c r="L38" s="24" t="n">
        <f aca="false">IFERROR(('SA Data'!W38/'SA Data'!W26-1)*100,"")</f>
        <v>10.0176612282783</v>
      </c>
      <c r="M38" s="24" t="n">
        <f aca="false">IFERROR((AVERAGE('SA Data'!W31:W38)/AVERAGE('SA Data'!W19:W26)-1)*100,"")</f>
        <v>9.34221425810113</v>
      </c>
      <c r="N38" s="23" t="n">
        <f aca="false">'SA Data'!T38</f>
        <v>120.035426908073</v>
      </c>
      <c r="O38" s="24" t="n">
        <f aca="false">(N38/N37-1)*100</f>
        <v>1.23760523350041</v>
      </c>
      <c r="P38" s="24" t="n">
        <f aca="false">(AVERAGE(N36:N38)/AVERAGE(N33:N35)-1)*100</f>
        <v>2.45221975762282</v>
      </c>
      <c r="Q38" s="24" t="n">
        <f aca="false">((AVERAGE(N36:N38)/AVERAGE(N33:N35))^4-1)*100</f>
        <v>10.1756165490366</v>
      </c>
      <c r="R38" s="24" t="n">
        <f aca="false">IFERROR(('SA Data'!X38/'SA Data'!X26-1)*100,"")</f>
        <v>8.99026882368104</v>
      </c>
      <c r="S38" s="24" t="n">
        <f aca="false">IFERROR((AVERAGE('SA Data'!X31:X38)/AVERAGE('SA Data'!X19:X26)-1)*100,"")</f>
        <v>8.33369242693205</v>
      </c>
    </row>
    <row r="39" customFormat="false" ht="15" hidden="false" customHeight="false" outlineLevel="0" collapsed="false">
      <c r="A39" s="20" t="n">
        <v>38990</v>
      </c>
      <c r="B39" s="23" t="n">
        <f aca="false">'SA Data'!R39</f>
        <v>108.573522918957</v>
      </c>
      <c r="C39" s="24" t="n">
        <f aca="false">(B39/B38-1)*100</f>
        <v>0.451545576845791</v>
      </c>
      <c r="D39" s="24" t="n">
        <f aca="false">(AVERAGE(B37:B39)/AVERAGE(B34:B36)-1)*100</f>
        <v>6.51248665766369</v>
      </c>
      <c r="E39" s="24" t="n">
        <f aca="false">((AVERAGE(B37:B39)/AVERAGE(B34:B36))^4-1)*100</f>
        <v>28.7069786877705</v>
      </c>
      <c r="F39" s="24" t="n">
        <f aca="false">IFERROR(('SA Data'!V39/'SA Data'!V27-1)*100,"")</f>
        <v>13.8535181005576</v>
      </c>
      <c r="G39" s="24" t="n">
        <f aca="false">IFERROR((AVERAGE('SA Data'!V31:V39)/AVERAGE('SA Data'!V19:V27)-1)*100,"")</f>
        <v>-1.99865986773182</v>
      </c>
      <c r="H39" s="23" t="n">
        <f aca="false">'SA Data'!S39</f>
        <v>118.409546082489</v>
      </c>
      <c r="I39" s="24" t="n">
        <f aca="false">(H39/H38-1)*100</f>
        <v>-0.34394721630997</v>
      </c>
      <c r="J39" s="24" t="n">
        <f aca="false">(AVERAGE(H37:H39)/AVERAGE(H34:H36)-1)*100</f>
        <v>2.03427333125708</v>
      </c>
      <c r="K39" s="24" t="n">
        <f aca="false">((AVERAGE(H37:H39)/AVERAGE(H34:H36))^4-1)*100</f>
        <v>8.38877387674688</v>
      </c>
      <c r="L39" s="24" t="n">
        <f aca="false">IFERROR(('SA Data'!W39/'SA Data'!W27-1)*100,"")</f>
        <v>10.4036052199095</v>
      </c>
      <c r="M39" s="24" t="n">
        <f aca="false">IFERROR((AVERAGE('SA Data'!W31:W39)/AVERAGE('SA Data'!W19:W27)-1)*100,"")</f>
        <v>9.46360263403914</v>
      </c>
      <c r="N39" s="23" t="n">
        <f aca="false">'SA Data'!T39</f>
        <v>120.42099557935</v>
      </c>
      <c r="O39" s="24" t="n">
        <f aca="false">(N39/N38-1)*100</f>
        <v>0.321212396380277</v>
      </c>
      <c r="P39" s="24" t="n">
        <f aca="false">(AVERAGE(N37:N39)/AVERAGE(N34:N36)-1)*100</f>
        <v>2.50284302861066</v>
      </c>
      <c r="Q39" s="24" t="n">
        <f aca="false">((AVERAGE(N37:N39)/AVERAGE(N34:N36))^4-1)*100</f>
        <v>10.3935360954594</v>
      </c>
      <c r="R39" s="24" t="n">
        <f aca="false">IFERROR(('SA Data'!X39/'SA Data'!X27-1)*100,"")</f>
        <v>8.06638173012162</v>
      </c>
      <c r="S39" s="24" t="n">
        <f aca="false">IFERROR((AVERAGE('SA Data'!X31:X39)/AVERAGE('SA Data'!X19:X27)-1)*100,"")</f>
        <v>8.30327968308417</v>
      </c>
    </row>
    <row r="40" customFormat="false" ht="15" hidden="false" customHeight="false" outlineLevel="0" collapsed="false">
      <c r="A40" s="20" t="n">
        <v>39021</v>
      </c>
      <c r="B40" s="23" t="n">
        <f aca="false">'SA Data'!R40</f>
        <v>102.666139473435</v>
      </c>
      <c r="C40" s="24" t="n">
        <f aca="false">(B40/B39-1)*100</f>
        <v>-5.44090611293028</v>
      </c>
      <c r="D40" s="24" t="n">
        <f aca="false">(AVERAGE(B38:B40)/AVERAGE(B35:B37)-1)*100</f>
        <v>4.14866772969891</v>
      </c>
      <c r="E40" s="24" t="n">
        <f aca="false">((AVERAGE(B38:B40)/AVERAGE(B35:B37))^4-1)*100</f>
        <v>17.6562156132925</v>
      </c>
      <c r="F40" s="24" t="n">
        <f aca="false">IFERROR(('SA Data'!V40/'SA Data'!V28-1)*100,"")</f>
        <v>4.7171065474332</v>
      </c>
      <c r="G40" s="24" t="n">
        <f aca="false">IFERROR((AVERAGE('SA Data'!V31:V40)/AVERAGE('SA Data'!V19:V28)-1)*100,"")</f>
        <v>-1.67352945528306</v>
      </c>
      <c r="H40" s="23" t="n">
        <f aca="false">'SA Data'!S40</f>
        <v>119.12083758259</v>
      </c>
      <c r="I40" s="24" t="n">
        <f aca="false">(H40/H39-1)*100</f>
        <v>0.600704523944851</v>
      </c>
      <c r="J40" s="24" t="n">
        <f aca="false">(AVERAGE(H38:H40)/AVERAGE(H35:H37)-1)*100</f>
        <v>1.00882291952957</v>
      </c>
      <c r="K40" s="24" t="n">
        <f aca="false">((AVERAGE(H38:H40)/AVERAGE(H35:H37))^4-1)*100</f>
        <v>4.09676681604874</v>
      </c>
      <c r="L40" s="24" t="n">
        <f aca="false">IFERROR(('SA Data'!W40/'SA Data'!W28-1)*100,"")</f>
        <v>9.89980150108734</v>
      </c>
      <c r="M40" s="24" t="n">
        <f aca="false">IFERROR((AVERAGE('SA Data'!W31:W40)/AVERAGE('SA Data'!W19:W28)-1)*100,"")</f>
        <v>9.50936703635372</v>
      </c>
      <c r="N40" s="23" t="n">
        <f aca="false">'SA Data'!T40</f>
        <v>121.161417698126</v>
      </c>
      <c r="O40" s="24" t="n">
        <f aca="false">(N40/N39-1)*100</f>
        <v>0.614861316512072</v>
      </c>
      <c r="P40" s="24" t="n">
        <f aca="false">(AVERAGE(N38:N40)/AVERAGE(N35:N37)-1)*100</f>
        <v>2.36502592005221</v>
      </c>
      <c r="Q40" s="24" t="n">
        <f aca="false">((AVERAGE(N38:N40)/AVERAGE(N35:N37))^4-1)*100</f>
        <v>9.80102718672131</v>
      </c>
      <c r="R40" s="24" t="n">
        <f aca="false">IFERROR(('SA Data'!X40/'SA Data'!X28-1)*100,"")</f>
        <v>9.70152062612772</v>
      </c>
      <c r="S40" s="24" t="n">
        <f aca="false">IFERROR((AVERAGE('SA Data'!X31:X40)/AVERAGE('SA Data'!X19:X28)-1)*100,"")</f>
        <v>8.44519222490594</v>
      </c>
    </row>
    <row r="41" customFormat="false" ht="15" hidden="false" customHeight="false" outlineLevel="0" collapsed="false">
      <c r="A41" s="20" t="n">
        <v>39051</v>
      </c>
      <c r="B41" s="23" t="n">
        <f aca="false">'SA Data'!R41</f>
        <v>102.672933649458</v>
      </c>
      <c r="C41" s="24" t="n">
        <f aca="false">(B41/B40-1)*100</f>
        <v>0.00661773790058273</v>
      </c>
      <c r="D41" s="24" t="n">
        <f aca="false">(AVERAGE(B39:B41)/AVERAGE(B36:B38)-1)*100</f>
        <v>0.0147679488053054</v>
      </c>
      <c r="E41" s="24" t="n">
        <f aca="false">((AVERAGE(B39:B41)/AVERAGE(B36:B38))^4-1)*100</f>
        <v>0.0590848820482881</v>
      </c>
      <c r="F41" s="24" t="n">
        <f aca="false">IFERROR(('SA Data'!V41/'SA Data'!V29-1)*100,"")</f>
        <v>0.871347635534692</v>
      </c>
      <c r="G41" s="24" t="n">
        <f aca="false">IFERROR((AVERAGE('SA Data'!V31:V41)/AVERAGE('SA Data'!V19:V29)-1)*100,"")</f>
        <v>-1.52228047593561</v>
      </c>
      <c r="H41" s="23" t="n">
        <f aca="false">'SA Data'!S41</f>
        <v>120.462928856224</v>
      </c>
      <c r="I41" s="24" t="n">
        <f aca="false">(H41/H40-1)*100</f>
        <v>1.12666373144283</v>
      </c>
      <c r="J41" s="24" t="n">
        <f aca="false">(AVERAGE(H39:H41)/AVERAGE(H36:H38)-1)*100</f>
        <v>0.735082536815068</v>
      </c>
      <c r="K41" s="24" t="n">
        <f aca="false">((AVERAGE(H39:H41)/AVERAGE(H36:H38))^4-1)*100</f>
        <v>2.97291009905241</v>
      </c>
      <c r="L41" s="24" t="n">
        <f aca="false">IFERROR(('SA Data'!W41/'SA Data'!W29-1)*100,"")</f>
        <v>8.91839532388898</v>
      </c>
      <c r="M41" s="24" t="n">
        <f aca="false">IFERROR((AVERAGE('SA Data'!W31:W41)/AVERAGE('SA Data'!W19:W29)-1)*100,"")</f>
        <v>9.45316692715836</v>
      </c>
      <c r="N41" s="23" t="n">
        <f aca="false">'SA Data'!T41</f>
        <v>122.630973172102</v>
      </c>
      <c r="O41" s="24" t="n">
        <f aca="false">(N41/N40-1)*100</f>
        <v>1.21289062301786</v>
      </c>
      <c r="P41" s="24" t="n">
        <f aca="false">(AVERAGE(N39:N41)/AVERAGE(N36:N38)-1)*100</f>
        <v>2.18879946072703</v>
      </c>
      <c r="Q41" s="24" t="n">
        <f aca="false">((AVERAGE(N39:N41)/AVERAGE(N36:N38))^4-1)*100</f>
        <v>9.04686585774162</v>
      </c>
      <c r="R41" s="24" t="n">
        <f aca="false">IFERROR(('SA Data'!X41/'SA Data'!X29-1)*100,"")</f>
        <v>8.98682452750233</v>
      </c>
      <c r="S41" s="24" t="n">
        <f aca="false">IFERROR((AVERAGE('SA Data'!X31:X41)/AVERAGE('SA Data'!X19:X29)-1)*100,"")</f>
        <v>8.4961168953007</v>
      </c>
    </row>
    <row r="42" customFormat="false" ht="15" hidden="false" customHeight="false" outlineLevel="0" collapsed="false">
      <c r="A42" s="20" t="n">
        <v>39082</v>
      </c>
      <c r="B42" s="23" t="n">
        <f aca="false">'SA Data'!R42</f>
        <v>105.996381210025</v>
      </c>
      <c r="C42" s="24" t="n">
        <f aca="false">(B42/B41-1)*100</f>
        <v>3.2369266586983</v>
      </c>
      <c r="D42" s="24" t="n">
        <f aca="false">(AVERAGE(B40:B42)/AVERAGE(B37:B39)-1)*100</f>
        <v>-3.06831001901627</v>
      </c>
      <c r="E42" s="24" t="n">
        <f aca="false">((AVERAGE(B40:B42)/AVERAGE(B37:B39))^4-1)*100</f>
        <v>-11.7198345346281</v>
      </c>
      <c r="F42" s="24" t="n">
        <f aca="false">IFERROR(('SA Data'!V42/'SA Data'!V30-1)*100,"")</f>
        <v>-3.43374338205752</v>
      </c>
      <c r="G42" s="24" t="n">
        <f aca="false">IFERROR((AVERAGE('SA Data'!V31:V42)/AVERAGE('SA Data'!V19:V30)-1)*100,"")</f>
        <v>-1.6567821428645</v>
      </c>
      <c r="H42" s="23" t="n">
        <f aca="false">'SA Data'!S42</f>
        <v>121.526689094341</v>
      </c>
      <c r="I42" s="24" t="n">
        <f aca="false">(H42/H41-1)*100</f>
        <v>0.883060247843726</v>
      </c>
      <c r="J42" s="24" t="n">
        <f aca="false">(AVERAGE(H40:H42)/AVERAGE(H37:H39)-1)*100</f>
        <v>1.39131127563896</v>
      </c>
      <c r="K42" s="24" t="n">
        <f aca="false">((AVERAGE(H40:H42)/AVERAGE(H37:H39))^4-1)*100</f>
        <v>5.68247096430348</v>
      </c>
      <c r="L42" s="24" t="n">
        <f aca="false">IFERROR(('SA Data'!W42/'SA Data'!W30-1)*100,"")</f>
        <v>8.87876227358662</v>
      </c>
      <c r="M42" s="24" t="n">
        <f aca="false">IFERROR((AVERAGE('SA Data'!W31:W42)/AVERAGE('SA Data'!W19:W30)-1)*100,"")</f>
        <v>9.40415518108713</v>
      </c>
      <c r="N42" s="23" t="n">
        <f aca="false">'SA Data'!T42</f>
        <v>123.224562936012</v>
      </c>
      <c r="O42" s="24" t="n">
        <f aca="false">(N42/N41-1)*100</f>
        <v>0.48404554620709</v>
      </c>
      <c r="P42" s="24" t="n">
        <f aca="false">(AVERAGE(N40:N42)/AVERAGE(N37:N39)-1)*100</f>
        <v>2.2261738916586</v>
      </c>
      <c r="Q42" s="24" t="n">
        <f aca="false">((AVERAGE(N40:N42)/AVERAGE(N37:N39))^4-1)*100</f>
        <v>9.20648417256655</v>
      </c>
      <c r="R42" s="24" t="n">
        <f aca="false">IFERROR(('SA Data'!X42/'SA Data'!X30-1)*100,"")</f>
        <v>7.83786199773218</v>
      </c>
      <c r="S42" s="24" t="n">
        <f aca="false">IFERROR((AVERAGE('SA Data'!X31:X42)/AVERAGE('SA Data'!X19:X30)-1)*100,"")</f>
        <v>8.43917767247326</v>
      </c>
    </row>
    <row r="43" customFormat="false" ht="15" hidden="false" customHeight="false" outlineLevel="0" collapsed="false">
      <c r="A43" s="20" t="n">
        <v>39113</v>
      </c>
      <c r="B43" s="23" t="n">
        <f aca="false">'SA Data'!R43</f>
        <v>107.987555687397</v>
      </c>
      <c r="C43" s="24" t="n">
        <f aca="false">(B43/B42-1)*100</f>
        <v>1.87853062023553</v>
      </c>
      <c r="D43" s="24" t="n">
        <f aca="false">(AVERAGE(B41:B43)/AVERAGE(B38:B40)-1)*100</f>
        <v>-0.835593369736321</v>
      </c>
      <c r="E43" s="24" t="n">
        <f aca="false">((AVERAGE(B41:B43)/AVERAGE(B38:B40))^4-1)*100</f>
        <v>-3.300713384624</v>
      </c>
      <c r="F43" s="24" t="n">
        <f aca="false">IFERROR(('SA Data'!V43/'SA Data'!V31-1)*100,"")</f>
        <v>1.09144925479239</v>
      </c>
      <c r="G43" s="24" t="n">
        <f aca="false">IFERROR((AVERAGE('SA Data'!V43:V43)/AVERAGE('SA Data'!V31:V31)-1)*100,"")</f>
        <v>1.09144925479239</v>
      </c>
      <c r="H43" s="23" t="n">
        <f aca="false">'SA Data'!S43</f>
        <v>120.93754686173</v>
      </c>
      <c r="I43" s="24" t="n">
        <f aca="false">(H43/H42-1)*100</f>
        <v>-0.484784237110292</v>
      </c>
      <c r="J43" s="24" t="n">
        <f aca="false">(AVERAGE(H41:H43)/AVERAGE(H38:H40)-1)*100</f>
        <v>1.84610324831376</v>
      </c>
      <c r="K43" s="24" t="n">
        <f aca="false">((AVERAGE(H41:H43)/AVERAGE(H38:H40))^4-1)*100</f>
        <v>7.59142712031478</v>
      </c>
      <c r="L43" s="24" t="n">
        <f aca="false">IFERROR(('SA Data'!W43/'SA Data'!W31-1)*100,"")</f>
        <v>5.57579882818404</v>
      </c>
      <c r="M43" s="24" t="n">
        <f aca="false">IFERROR((AVERAGE('SA Data'!W43:W43)/AVERAGE('SA Data'!W31:W31)-1)*100,"")</f>
        <v>5.57579882818404</v>
      </c>
      <c r="N43" s="23" t="n">
        <f aca="false">'SA Data'!T43</f>
        <v>124.596962613354</v>
      </c>
      <c r="O43" s="24" t="n">
        <f aca="false">(N43/N42-1)*100</f>
        <v>1.11373872598317</v>
      </c>
      <c r="P43" s="24" t="n">
        <f aca="false">(AVERAGE(N41:N43)/AVERAGE(N38:N40)-1)*100</f>
        <v>2.44309255632571</v>
      </c>
      <c r="Q43" s="24" t="n">
        <f aca="false">((AVERAGE(N41:N43)/AVERAGE(N38:N40))^4-1)*100</f>
        <v>10.1363607608507</v>
      </c>
      <c r="R43" s="24" t="n">
        <f aca="false">IFERROR(('SA Data'!X43/'SA Data'!X31-1)*100,"")</f>
        <v>9.57082030587797</v>
      </c>
      <c r="S43" s="24" t="n">
        <f aca="false">IFERROR((AVERAGE('SA Data'!X43:X43)/AVERAGE('SA Data'!X31:X31)-1)*100,"")</f>
        <v>9.57082030587797</v>
      </c>
    </row>
    <row r="44" customFormat="false" ht="15" hidden="false" customHeight="false" outlineLevel="0" collapsed="false">
      <c r="A44" s="20" t="n">
        <v>39141</v>
      </c>
      <c r="B44" s="23" t="n">
        <f aca="false">'SA Data'!R44</f>
        <v>106.290294976754</v>
      </c>
      <c r="C44" s="24" t="n">
        <f aca="false">(B44/B43-1)*100</f>
        <v>-1.57171879652199</v>
      </c>
      <c r="D44" s="24" t="n">
        <f aca="false">(AVERAGE(B42:B44)/AVERAGE(B39:B41)-1)*100</f>
        <v>2.02656277974833</v>
      </c>
      <c r="E44" s="24" t="n">
        <f aca="false">((AVERAGE(B42:B44)/AVERAGE(B39:B41))^4-1)*100</f>
        <v>8.35601459033706</v>
      </c>
      <c r="F44" s="24" t="n">
        <f aca="false">IFERROR(('SA Data'!V44/'SA Data'!V32-1)*100,"")</f>
        <v>2.87191095588468</v>
      </c>
      <c r="G44" s="24" t="n">
        <f aca="false">IFERROR((AVERAGE('SA Data'!V43:V44)/AVERAGE('SA Data'!V31:V32)-1)*100,"")</f>
        <v>1.97472487807948</v>
      </c>
      <c r="H44" s="23" t="n">
        <f aca="false">'SA Data'!S44</f>
        <v>122.550988996317</v>
      </c>
      <c r="I44" s="24" t="n">
        <f aca="false">(H44/H43-1)*100</f>
        <v>1.3341118423978</v>
      </c>
      <c r="J44" s="24" t="n">
        <f aca="false">(AVERAGE(H42:H44)/AVERAGE(H39:H41)-1)*100</f>
        <v>1.96146469374838</v>
      </c>
      <c r="K44" s="24" t="n">
        <f aca="false">((AVERAGE(H42:H44)/AVERAGE(H39:H41))^4-1)*100</f>
        <v>8.07973277330478</v>
      </c>
      <c r="L44" s="24" t="n">
        <f aca="false">IFERROR(('SA Data'!W44/'SA Data'!W32-1)*100,"")</f>
        <v>7.30041178294412</v>
      </c>
      <c r="M44" s="24" t="n">
        <f aca="false">IFERROR((AVERAGE('SA Data'!W43:W44)/AVERAGE('SA Data'!W31:W32)-1)*100,"")</f>
        <v>6.42942429928468</v>
      </c>
      <c r="N44" s="23" t="n">
        <f aca="false">'SA Data'!T44</f>
        <v>125.067085573328</v>
      </c>
      <c r="O44" s="24" t="n">
        <f aca="false">(N44/N43-1)*100</f>
        <v>0.377314944212337</v>
      </c>
      <c r="P44" s="24" t="n">
        <f aca="false">(AVERAGE(N42:N44)/AVERAGE(N39:N41)-1)*100</f>
        <v>2.38190714451341</v>
      </c>
      <c r="Q44" s="24" t="n">
        <f aca="false">((AVERAGE(N42:N44)/AVERAGE(N39:N41))^4-1)*100</f>
        <v>9.87347514773853</v>
      </c>
      <c r="R44" s="24" t="n">
        <f aca="false">IFERROR(('SA Data'!X44/'SA Data'!X32-1)*100,"")</f>
        <v>9.08757952275727</v>
      </c>
      <c r="S44" s="24" t="n">
        <f aca="false">IFERROR((AVERAGE('SA Data'!X43:X44)/AVERAGE('SA Data'!X31:X32)-1)*100,"")</f>
        <v>9.33076680790823</v>
      </c>
    </row>
    <row r="45" customFormat="false" ht="15" hidden="false" customHeight="false" outlineLevel="0" collapsed="false">
      <c r="A45" s="20" t="n">
        <v>39172</v>
      </c>
      <c r="B45" s="23" t="n">
        <f aca="false">'SA Data'!R45</f>
        <v>108.17119906644</v>
      </c>
      <c r="C45" s="24" t="n">
        <f aca="false">(B45/B44-1)*100</f>
        <v>1.76959156063883</v>
      </c>
      <c r="D45" s="24" t="n">
        <f aca="false">(AVERAGE(B43:B45)/AVERAGE(B40:B42)-1)*100</f>
        <v>3.56965300385876</v>
      </c>
      <c r="E45" s="24" t="n">
        <f aca="false">((AVERAGE(B43:B45)/AVERAGE(B40:B42))^4-1)*100</f>
        <v>15.0615141496439</v>
      </c>
      <c r="F45" s="24" t="n">
        <f aca="false">IFERROR(('SA Data'!V45/'SA Data'!V33-1)*100,"")</f>
        <v>6.38142460037112</v>
      </c>
      <c r="G45" s="24" t="n">
        <f aca="false">IFERROR((AVERAGE('SA Data'!V43:V45)/AVERAGE('SA Data'!V31:V33)-1)*100,"")</f>
        <v>4.10731787359155</v>
      </c>
      <c r="H45" s="23" t="n">
        <f aca="false">'SA Data'!S45</f>
        <v>124.843213826163</v>
      </c>
      <c r="I45" s="24" t="n">
        <f aca="false">(H45/H44-1)*100</f>
        <v>1.87042540302502</v>
      </c>
      <c r="J45" s="24" t="n">
        <f aca="false">(AVERAGE(H43:H45)/AVERAGE(H40:H42)-1)*100</f>
        <v>1.99974662611033</v>
      </c>
      <c r="K45" s="24" t="n">
        <f aca="false">((AVERAGE(H43:H45)/AVERAGE(H40:H42))^4-1)*100</f>
        <v>8.24214047441267</v>
      </c>
      <c r="L45" s="24" t="n">
        <f aca="false">IFERROR(('SA Data'!W45/'SA Data'!W33-1)*100,"")</f>
        <v>7.18493160058422</v>
      </c>
      <c r="M45" s="24" t="n">
        <f aca="false">IFERROR((AVERAGE('SA Data'!W43:W45)/AVERAGE('SA Data'!W31:W33)-1)*100,"")</f>
        <v>6.69901392742067</v>
      </c>
      <c r="N45" s="23" t="n">
        <f aca="false">'SA Data'!T45</f>
        <v>127.262621334116</v>
      </c>
      <c r="O45" s="24" t="n">
        <f aca="false">(N45/N44-1)*100</f>
        <v>1.75548646610193</v>
      </c>
      <c r="P45" s="24" t="n">
        <f aca="false">(AVERAGE(N43:N45)/AVERAGE(N40:N42)-1)*100</f>
        <v>2.70007028606936</v>
      </c>
      <c r="Q45" s="24" t="n">
        <f aca="false">((AVERAGE(N43:N45)/AVERAGE(N40:N42))^4-1)*100</f>
        <v>11.2456308817728</v>
      </c>
      <c r="R45" s="24" t="n">
        <f aca="false">IFERROR(('SA Data'!X45/'SA Data'!X33-1)*100,"")</f>
        <v>9.58198414483233</v>
      </c>
      <c r="S45" s="24" t="n">
        <f aca="false">IFERROR((AVERAGE('SA Data'!X43:X45)/AVERAGE('SA Data'!X31:X33)-1)*100,"")</f>
        <v>9.41787692059473</v>
      </c>
    </row>
    <row r="46" customFormat="false" ht="15" hidden="false" customHeight="false" outlineLevel="0" collapsed="false">
      <c r="A46" s="20" t="n">
        <v>39202</v>
      </c>
      <c r="B46" s="23" t="n">
        <f aca="false">'SA Data'!R46</f>
        <v>115.292233689491</v>
      </c>
      <c r="C46" s="24" t="n">
        <f aca="false">(B46/B45-1)*100</f>
        <v>6.58311517715253</v>
      </c>
      <c r="D46" s="24" t="n">
        <f aca="false">(AVERAGE(B44:B46)/AVERAGE(B41:B43)-1)*100</f>
        <v>4.13597758456517</v>
      </c>
      <c r="E46" s="24" t="n">
        <f aca="false">((AVERAGE(B44:B46)/AVERAGE(B41:B43))^4-1)*100</f>
        <v>17.5988821257693</v>
      </c>
      <c r="F46" s="24" t="n">
        <f aca="false">IFERROR(('SA Data'!V46/'SA Data'!V34-1)*100,"")</f>
        <v>16.2666756340109</v>
      </c>
      <c r="G46" s="24" t="n">
        <f aca="false">IFERROR((AVERAGE('SA Data'!V43:V46)/AVERAGE('SA Data'!V31:V34)-1)*100,"")</f>
        <v>9.20245445199017</v>
      </c>
      <c r="H46" s="23" t="n">
        <f aca="false">'SA Data'!S46</f>
        <v>123.272404377157</v>
      </c>
      <c r="I46" s="24" t="n">
        <f aca="false">(H46/H45-1)*100</f>
        <v>-1.25822573839965</v>
      </c>
      <c r="J46" s="24" t="n">
        <f aca="false">(AVERAGE(H44:H46)/AVERAGE(H41:H43)-1)*100</f>
        <v>2.13250567544199</v>
      </c>
      <c r="K46" s="24" t="n">
        <f aca="false">((AVERAGE(H44:H46)/AVERAGE(H41:H43))^4-1)*100</f>
        <v>8.80677730605608</v>
      </c>
      <c r="L46" s="24" t="n">
        <f aca="false">IFERROR(('SA Data'!W46/'SA Data'!W34-1)*100,"")</f>
        <v>7.11983874975228</v>
      </c>
      <c r="M46" s="24" t="n">
        <f aca="false">IFERROR((AVERAGE('SA Data'!W43:W46)/AVERAGE('SA Data'!W31:W34)-1)*100,"")</f>
        <v>6.80747125215775</v>
      </c>
      <c r="N46" s="23" t="n">
        <f aca="false">'SA Data'!T46</f>
        <v>125.874604569415</v>
      </c>
      <c r="O46" s="24" t="n">
        <f aca="false">(N46/N45-1)*100</f>
        <v>-1.09067120427895</v>
      </c>
      <c r="P46" s="24" t="n">
        <f aca="false">(AVERAGE(N44:N46)/AVERAGE(N41:N43)-1)*100</f>
        <v>2.09252543366447</v>
      </c>
      <c r="Q46" s="24" t="n">
        <f aca="false">((AVERAGE(N44:N46)/AVERAGE(N41:N43))^4-1)*100</f>
        <v>8.63650565399496</v>
      </c>
      <c r="R46" s="24" t="n">
        <f aca="false">IFERROR(('SA Data'!X46/'SA Data'!X34-1)*100,"")</f>
        <v>8.99555054150842</v>
      </c>
      <c r="S46" s="24" t="n">
        <f aca="false">IFERROR((AVERAGE('SA Data'!X43:X46)/AVERAGE('SA Data'!X31:X34)-1)*100,"")</f>
        <v>9.31056550955767</v>
      </c>
    </row>
    <row r="47" customFormat="false" ht="15" hidden="false" customHeight="false" outlineLevel="0" collapsed="false">
      <c r="A47" s="20" t="n">
        <v>39233</v>
      </c>
      <c r="B47" s="23" t="n">
        <f aca="false">'SA Data'!R47</f>
        <v>117.285706085309</v>
      </c>
      <c r="C47" s="24" t="n">
        <f aca="false">(B47/B46-1)*100</f>
        <v>1.72906043366852</v>
      </c>
      <c r="D47" s="24" t="n">
        <f aca="false">(AVERAGE(B45:B47)/AVERAGE(B42:B44)-1)*100</f>
        <v>6.39292984866422</v>
      </c>
      <c r="E47" s="24" t="n">
        <f aca="false">((AVERAGE(B45:B47)/AVERAGE(B42:B44))^4-1)*100</f>
        <v>28.1300733096188</v>
      </c>
      <c r="F47" s="24" t="n">
        <f aca="false">IFERROR(('SA Data'!V47/'SA Data'!V35-1)*100,"")</f>
        <v>17.5971746292543</v>
      </c>
      <c r="G47" s="24" t="n">
        <f aca="false">IFERROR((AVERAGE('SA Data'!V43:V47)/AVERAGE('SA Data'!V31:V35)-1)*100,"")</f>
        <v>12.3928250292115</v>
      </c>
      <c r="H47" s="23" t="n">
        <f aca="false">'SA Data'!S47</f>
        <v>125.139429705348</v>
      </c>
      <c r="I47" s="24" t="n">
        <f aca="false">(H47/H46-1)*100</f>
        <v>1.51455253722415</v>
      </c>
      <c r="J47" s="24" t="n">
        <f aca="false">(AVERAGE(H45:H47)/AVERAGE(H42:H44)-1)*100</f>
        <v>2.25739158068121</v>
      </c>
      <c r="K47" s="24" t="n">
        <f aca="false">((AVERAGE(H45:H47)/AVERAGE(H42:H44))^4-1)*100</f>
        <v>9.33994259651494</v>
      </c>
      <c r="L47" s="24" t="n">
        <f aca="false">IFERROR(('SA Data'!W47/'SA Data'!W35-1)*100,"")</f>
        <v>7.51447327119821</v>
      </c>
      <c r="M47" s="24" t="n">
        <f aca="false">IFERROR((AVERAGE('SA Data'!W43:W47)/AVERAGE('SA Data'!W31:W35)-1)*100,"")</f>
        <v>6.95519846528914</v>
      </c>
      <c r="N47" s="23" t="n">
        <f aca="false">'SA Data'!T47</f>
        <v>128.039195918006</v>
      </c>
      <c r="O47" s="24" t="n">
        <f aca="false">(N47/N46-1)*100</f>
        <v>1.71964103164073</v>
      </c>
      <c r="P47" s="24" t="n">
        <f aca="false">(AVERAGE(N45:N47)/AVERAGE(N42:N44)-1)*100</f>
        <v>2.22259689666842</v>
      </c>
      <c r="Q47" s="24" t="n">
        <f aca="false">((AVERAGE(N45:N47)/AVERAGE(N42:N44))^4-1)*100</f>
        <v>9.19120000298301</v>
      </c>
      <c r="R47" s="24" t="n">
        <f aca="false">IFERROR(('SA Data'!X47/'SA Data'!X35-1)*100,"")</f>
        <v>9.47515394484302</v>
      </c>
      <c r="S47" s="24" t="n">
        <f aca="false">IFERROR((AVERAGE('SA Data'!X43:X47)/AVERAGE('SA Data'!X31:X35)-1)*100,"")</f>
        <v>9.34479972806528</v>
      </c>
    </row>
    <row r="48" customFormat="false" ht="15" hidden="false" customHeight="false" outlineLevel="0" collapsed="false">
      <c r="A48" s="20" t="n">
        <v>39263</v>
      </c>
      <c r="B48" s="23" t="n">
        <f aca="false">'SA Data'!R48</f>
        <v>116.682980438266</v>
      </c>
      <c r="C48" s="24" t="n">
        <f aca="false">(B48/B47-1)*100</f>
        <v>-0.51389522829336</v>
      </c>
      <c r="D48" s="24" t="n">
        <f aca="false">(AVERAGE(B46:B48)/AVERAGE(B43:B45)-1)*100</f>
        <v>8.31507194853776</v>
      </c>
      <c r="E48" s="24" t="n">
        <f aca="false">((AVERAGE(B46:B48)/AVERAGE(B43:B45))^4-1)*100</f>
        <v>37.6434565143601</v>
      </c>
      <c r="F48" s="24" t="n">
        <f aca="false">IFERROR(('SA Data'!V48/'SA Data'!V36-1)*100,"")</f>
        <v>16.2350614033626</v>
      </c>
      <c r="G48" s="24" t="n">
        <f aca="false">IFERROR((AVERAGE('SA Data'!V43:V48)/AVERAGE('SA Data'!V31:V36)-1)*100,"")</f>
        <v>13.1766748510679</v>
      </c>
      <c r="H48" s="23" t="n">
        <f aca="false">'SA Data'!S48</f>
        <v>125.005539729227</v>
      </c>
      <c r="I48" s="24" t="n">
        <f aca="false">(H48/H47-1)*100</f>
        <v>-0.106992637281733</v>
      </c>
      <c r="J48" s="24" t="n">
        <f aca="false">(AVERAGE(H46:H48)/AVERAGE(H43:H45)-1)*100</f>
        <v>1.38071836920992</v>
      </c>
      <c r="K48" s="24" t="n">
        <f aca="false">((AVERAGE(H46:H48)/AVERAGE(H43:H45))^4-1)*100</f>
        <v>5.63831297537059</v>
      </c>
      <c r="L48" s="24" t="n">
        <f aca="false">IFERROR(('SA Data'!W48/'SA Data'!W36-1)*100,"")</f>
        <v>5.57263553091409</v>
      </c>
      <c r="M48" s="24" t="n">
        <f aca="false">IFERROR((AVERAGE('SA Data'!W43:W48)/AVERAGE('SA Data'!W31:W36)-1)*100,"")</f>
        <v>6.71878733959233</v>
      </c>
      <c r="N48" s="23" t="n">
        <f aca="false">'SA Data'!T48</f>
        <v>129.072262958564</v>
      </c>
      <c r="O48" s="24" t="n">
        <f aca="false">(N48/N47-1)*100</f>
        <v>0.806836557471291</v>
      </c>
      <c r="P48" s="24" t="n">
        <f aca="false">(AVERAGE(N46:N48)/AVERAGE(N43:N45)-1)*100</f>
        <v>1.60757898423318</v>
      </c>
      <c r="Q48" s="24" t="n">
        <f aca="false">((AVERAGE(N46:N48)/AVERAGE(N43:N45))^4-1)*100</f>
        <v>6.58704302012521</v>
      </c>
      <c r="R48" s="24" t="n">
        <f aca="false">IFERROR(('SA Data'!X48/'SA Data'!X36-1)*100,"")</f>
        <v>9.40285467315343</v>
      </c>
      <c r="S48" s="24" t="n">
        <f aca="false">IFERROR((AVERAGE('SA Data'!X43:X48)/AVERAGE('SA Data'!X31:X36)-1)*100,"")</f>
        <v>9.35480172799641</v>
      </c>
    </row>
    <row r="49" customFormat="false" ht="15" hidden="false" customHeight="false" outlineLevel="0" collapsed="false">
      <c r="A49" s="20" t="n">
        <v>39294</v>
      </c>
      <c r="B49" s="23" t="n">
        <f aca="false">'SA Data'!R49</f>
        <v>108.550985987907</v>
      </c>
      <c r="C49" s="24" t="n">
        <f aca="false">(B49/B48-1)*100</f>
        <v>-6.96930642310937</v>
      </c>
      <c r="D49" s="24" t="n">
        <f aca="false">(AVERAGE(B47:B49)/AVERAGE(B44:B46)-1)*100</f>
        <v>3.8713572297036</v>
      </c>
      <c r="E49" s="24" t="n">
        <f aca="false">((AVERAGE(B47:B49)/AVERAGE(B44:B46))^4-1)*100</f>
        <v>16.4081065914435</v>
      </c>
      <c r="F49" s="24" t="n">
        <f aca="false">IFERROR(('SA Data'!V49/'SA Data'!V37-1)*100,"")</f>
        <v>5.51894287871613</v>
      </c>
      <c r="G49" s="24" t="n">
        <f aca="false">IFERROR((AVERAGE('SA Data'!V43:V49)/AVERAGE('SA Data'!V31:V37)-1)*100,"")</f>
        <v>12.3995582113352</v>
      </c>
      <c r="H49" s="23" t="n">
        <f aca="false">'SA Data'!S49</f>
        <v>123.135949598508</v>
      </c>
      <c r="I49" s="24" t="n">
        <f aca="false">(H49/H48-1)*100</f>
        <v>-1.49560582256532</v>
      </c>
      <c r="J49" s="24" t="n">
        <f aca="false">(AVERAGE(H47:H49)/AVERAGE(H44:H46)-1)*100</f>
        <v>0.705300068219494</v>
      </c>
      <c r="K49" s="24" t="n">
        <f aca="false">((AVERAGE(H47:H49)/AVERAGE(H44:H46))^4-1)*100</f>
        <v>2.85118775160238</v>
      </c>
      <c r="L49" s="24" t="n">
        <f aca="false">IFERROR(('SA Data'!W49/'SA Data'!W37-1)*100,"")</f>
        <v>3.92758096006705</v>
      </c>
      <c r="M49" s="24" t="n">
        <f aca="false">IFERROR((AVERAGE('SA Data'!W43:W49)/AVERAGE('SA Data'!W31:W37)-1)*100,"")</f>
        <v>6.302967596966</v>
      </c>
      <c r="N49" s="23" t="n">
        <f aca="false">'SA Data'!T49</f>
        <v>129.115058995781</v>
      </c>
      <c r="O49" s="24" t="n">
        <f aca="false">(N49/N48-1)*100</f>
        <v>0.0331566490239466</v>
      </c>
      <c r="P49" s="24" t="n">
        <f aca="false">(AVERAGE(N47:N49)/AVERAGE(N44:N46)-1)*100</f>
        <v>2.12113033935699</v>
      </c>
      <c r="Q49" s="24" t="n">
        <f aca="false">((AVERAGE(N47:N49)/AVERAGE(N44:N46))^4-1)*100</f>
        <v>8.75831058585392</v>
      </c>
      <c r="R49" s="24" t="n">
        <f aca="false">IFERROR(('SA Data'!X49/'SA Data'!X37-1)*100,"")</f>
        <v>9.18626578632902</v>
      </c>
      <c r="S49" s="24" t="n">
        <f aca="false">IFERROR((AVERAGE('SA Data'!X43:X49)/AVERAGE('SA Data'!X31:X37)-1)*100,"")</f>
        <v>9.33003811533637</v>
      </c>
    </row>
    <row r="50" customFormat="false" ht="15" hidden="false" customHeight="false" outlineLevel="0" collapsed="false">
      <c r="A50" s="20" t="n">
        <v>39325</v>
      </c>
      <c r="B50" s="23" t="n">
        <f aca="false">'SA Data'!R50</f>
        <v>104.776229537325</v>
      </c>
      <c r="C50" s="24" t="n">
        <f aca="false">(B50/B49-1)*100</f>
        <v>-3.47740411220386</v>
      </c>
      <c r="D50" s="24" t="n">
        <f aca="false">(AVERAGE(B48:B50)/AVERAGE(B45:B47)-1)*100</f>
        <v>-3.15156860388882</v>
      </c>
      <c r="E50" s="24" t="n">
        <f aca="false">((AVERAGE(B48:B50)/AVERAGE(B45:B47))^4-1)*100</f>
        <v>-12.0227537200579</v>
      </c>
      <c r="F50" s="24" t="n">
        <f aca="false">IFERROR(('SA Data'!V50/'SA Data'!V38-1)*100,"")</f>
        <v>-2.12073067036194</v>
      </c>
      <c r="G50" s="24" t="n">
        <f aca="false">IFERROR((AVERAGE('SA Data'!V43:V50)/AVERAGE('SA Data'!V31:V38)-1)*100,"")</f>
        <v>11.4453173841418</v>
      </c>
      <c r="H50" s="23" t="n">
        <f aca="false">'SA Data'!S50</f>
        <v>126.254333191216</v>
      </c>
      <c r="I50" s="24" t="n">
        <f aca="false">(H50/H49-1)*100</f>
        <v>2.5324721195362</v>
      </c>
      <c r="J50" s="24" t="n">
        <f aca="false">(AVERAGE(H48:H50)/AVERAGE(H45:H47)-1)*100</f>
        <v>0.305628715987782</v>
      </c>
      <c r="K50" s="24" t="n">
        <f aca="false">((AVERAGE(H48:H50)/AVERAGE(H45:H47))^4-1)*100</f>
        <v>1.22813082677686</v>
      </c>
      <c r="L50" s="24" t="n">
        <f aca="false">IFERROR(('SA Data'!W50/'SA Data'!W38-1)*100,"")</f>
        <v>6.80924012159769</v>
      </c>
      <c r="M50" s="24" t="n">
        <f aca="false">IFERROR((AVERAGE('SA Data'!W43:W50)/AVERAGE('SA Data'!W31:W38)-1)*100,"")</f>
        <v>6.36896924347787</v>
      </c>
      <c r="N50" s="23" t="n">
        <f aca="false">'SA Data'!T50</f>
        <v>130.689140123243</v>
      </c>
      <c r="O50" s="24" t="n">
        <f aca="false">(N50/N49-1)*100</f>
        <v>1.21913054891107</v>
      </c>
      <c r="P50" s="24" t="n">
        <f aca="false">(AVERAGE(N48:N50)/AVERAGE(N45:N47)-1)*100</f>
        <v>2.020072547839</v>
      </c>
      <c r="Q50" s="24" t="n">
        <f aca="false">((AVERAGE(N48:N50)/AVERAGE(N45:N47))^4-1)*100</f>
        <v>8.32844574776594</v>
      </c>
      <c r="R50" s="24" t="n">
        <f aca="false">IFERROR(('SA Data'!X50/'SA Data'!X38-1)*100,"")</f>
        <v>9.07104808782506</v>
      </c>
      <c r="S50" s="24" t="n">
        <f aca="false">IFERROR((AVERAGE('SA Data'!X43:X50)/AVERAGE('SA Data'!X31:X38)-1)*100,"")</f>
        <v>9.29658357639362</v>
      </c>
    </row>
    <row r="51" customFormat="false" ht="15" hidden="false" customHeight="false" outlineLevel="0" collapsed="false">
      <c r="A51" s="20" t="n">
        <v>39355</v>
      </c>
      <c r="B51" s="23" t="n">
        <f aca="false">'SA Data'!R51</f>
        <v>102.351617157073</v>
      </c>
      <c r="C51" s="24" t="n">
        <f aca="false">(B51/B50-1)*100</f>
        <v>-2.31408630655923</v>
      </c>
      <c r="D51" s="24" t="n">
        <f aca="false">(AVERAGE(B49:B51)/AVERAGE(B46:B48)-1)*100</f>
        <v>-9.61518612224762</v>
      </c>
      <c r="E51" s="24" t="n">
        <f aca="false">((AVERAGE(B49:B51)/AVERAGE(B46:B48))^4-1)*100</f>
        <v>-33.2606654247246</v>
      </c>
      <c r="F51" s="24" t="n">
        <f aca="false">IFERROR(('SA Data'!V51/'SA Data'!V39-1)*100,"")</f>
        <v>-4.15683428974341</v>
      </c>
      <c r="G51" s="24" t="n">
        <f aca="false">IFERROR((AVERAGE('SA Data'!V43:V51)/AVERAGE('SA Data'!V31:V39)-1)*100,"")</f>
        <v>10.5459648943137</v>
      </c>
      <c r="H51" s="23" t="n">
        <f aca="false">'SA Data'!S51</f>
        <v>126.661310904959</v>
      </c>
      <c r="I51" s="24" t="n">
        <f aca="false">(H51/H50-1)*100</f>
        <v>0.322347521432054</v>
      </c>
      <c r="J51" s="24" t="n">
        <f aca="false">(AVERAGE(H49:H51)/AVERAGE(H46:H48)-1)*100</f>
        <v>0.705435811960387</v>
      </c>
      <c r="K51" s="24" t="n">
        <f aca="false">((AVERAGE(H49:H51)/AVERAGE(H46:H48))^4-1)*100</f>
        <v>2.85174229771661</v>
      </c>
      <c r="L51" s="24" t="n">
        <f aca="false">IFERROR(('SA Data'!W51/'SA Data'!W39-1)*100,"")</f>
        <v>8.16180352988651</v>
      </c>
      <c r="M51" s="24" t="n">
        <f aca="false">IFERROR((AVERAGE('SA Data'!W43:W51)/AVERAGE('SA Data'!W31:W39)-1)*100,"")</f>
        <v>6.5757715522947</v>
      </c>
      <c r="N51" s="23" t="n">
        <f aca="false">'SA Data'!T51</f>
        <v>129.669718580701</v>
      </c>
      <c r="O51" s="24" t="n">
        <f aca="false">(N51/N50-1)*100</f>
        <v>-0.780035389000433</v>
      </c>
      <c r="P51" s="24" t="n">
        <f aca="false">(AVERAGE(N49:N51)/AVERAGE(N46:N48)-1)*100</f>
        <v>1.69401836593348</v>
      </c>
      <c r="Q51" s="24" t="n">
        <f aca="false">((AVERAGE(N49:N51)/AVERAGE(N46:N48))^4-1)*100</f>
        <v>6.95020812094755</v>
      </c>
      <c r="R51" s="24" t="n">
        <f aca="false">IFERROR(('SA Data'!X51/'SA Data'!X39-1)*100,"")</f>
        <v>8.08274957990019</v>
      </c>
      <c r="S51" s="24" t="n">
        <f aca="false">IFERROR((AVERAGE('SA Data'!X43:X51)/AVERAGE('SA Data'!X31:X39)-1)*100,"")</f>
        <v>9.15878410064033</v>
      </c>
    </row>
    <row r="52" customFormat="false" ht="15" hidden="false" customHeight="false" outlineLevel="0" collapsed="false">
      <c r="A52" s="20" t="n">
        <v>39386</v>
      </c>
      <c r="B52" s="23" t="n">
        <f aca="false">'SA Data'!R52</f>
        <v>105.874479663934</v>
      </c>
      <c r="C52" s="24" t="n">
        <f aca="false">(B52/B51-1)*100</f>
        <v>3.44192168596129</v>
      </c>
      <c r="D52" s="24" t="n">
        <f aca="false">(AVERAGE(B50:B52)/AVERAGE(B47:B49)-1)*100</f>
        <v>-8.61770827255458</v>
      </c>
      <c r="E52" s="24" t="n">
        <f aca="false">((AVERAGE(B50:B52)/AVERAGE(B47:B49))^4-1)*100</f>
        <v>-30.2654213462109</v>
      </c>
      <c r="F52" s="24" t="n">
        <f aca="false">IFERROR(('SA Data'!V52/'SA Data'!V40-1)*100,"")</f>
        <v>5.0446474973467</v>
      </c>
      <c r="G52" s="24" t="n">
        <f aca="false">IFERROR((AVERAGE('SA Data'!V43:V52)/AVERAGE('SA Data'!V31:V40)-1)*100,"")</f>
        <v>10.2623193941459</v>
      </c>
      <c r="H52" s="23" t="n">
        <f aca="false">'SA Data'!S52</f>
        <v>129.473571478446</v>
      </c>
      <c r="I52" s="24" t="n">
        <f aca="false">(H52/H51-1)*100</f>
        <v>2.22029959535</v>
      </c>
      <c r="J52" s="24" t="n">
        <f aca="false">(AVERAGE(H50:H52)/AVERAGE(H47:H49)-1)*100</f>
        <v>2.44006486190911</v>
      </c>
      <c r="K52" s="24" t="n">
        <f aca="false">((AVERAGE(H50:H52)/AVERAGE(H47:H49))^4-1)*100</f>
        <v>10.1233410655845</v>
      </c>
      <c r="L52" s="24" t="n">
        <f aca="false">IFERROR(('SA Data'!W52/'SA Data'!W40-1)*100,"")</f>
        <v>10.0174190626842</v>
      </c>
      <c r="M52" s="24" t="n">
        <f aca="false">IFERROR((AVERAGE('SA Data'!W43:W52)/AVERAGE('SA Data'!W31:W40)-1)*100,"")</f>
        <v>6.93814409984497</v>
      </c>
      <c r="N52" s="23" t="n">
        <f aca="false">'SA Data'!T52</f>
        <v>132.181560489157</v>
      </c>
      <c r="O52" s="24" t="n">
        <f aca="false">(N52/N51-1)*100</f>
        <v>1.93710754981913</v>
      </c>
      <c r="P52" s="24" t="n">
        <f aca="false">(AVERAGE(N50:N52)/AVERAGE(N47:N49)-1)*100</f>
        <v>1.63476639448081</v>
      </c>
      <c r="Q52" s="24" t="n">
        <f aca="false">((AVERAGE(N50:N52)/AVERAGE(N47:N49))^4-1)*100</f>
        <v>6.70116792972428</v>
      </c>
      <c r="R52" s="24" t="n">
        <f aca="false">IFERROR(('SA Data'!X52/'SA Data'!X40-1)*100,"")</f>
        <v>9.84108526454062</v>
      </c>
      <c r="S52" s="24" t="n">
        <f aca="false">IFERROR((AVERAGE('SA Data'!X43:X52)/AVERAGE('SA Data'!X31:X40)-1)*100,"")</f>
        <v>9.22883556540406</v>
      </c>
    </row>
    <row r="53" customFormat="false" ht="15" hidden="false" customHeight="false" outlineLevel="0" collapsed="false">
      <c r="A53" s="20" t="n">
        <v>39416</v>
      </c>
      <c r="B53" s="23" t="n">
        <f aca="false">'SA Data'!R53</f>
        <v>106.184395388554</v>
      </c>
      <c r="C53" s="24" t="n">
        <f aca="false">(B53/B52-1)*100</f>
        <v>0.292719950646903</v>
      </c>
      <c r="D53" s="24" t="n">
        <f aca="false">(AVERAGE(B51:B53)/AVERAGE(B48:B50)-1)*100</f>
        <v>-4.72703690514517</v>
      </c>
      <c r="E53" s="24" t="n">
        <f aca="false">((AVERAGE(B51:B53)/AVERAGE(B48:B50))^4-1)*100</f>
        <v>-17.6092056778505</v>
      </c>
      <c r="F53" s="24" t="n">
        <f aca="false">IFERROR(('SA Data'!V53/'SA Data'!V41-1)*100,"")</f>
        <v>4.65191249107413</v>
      </c>
      <c r="G53" s="24" t="n">
        <f aca="false">IFERROR((AVERAGE('SA Data'!V43:V53)/AVERAGE('SA Data'!V31:V41)-1)*100,"")</f>
        <v>9.92077289296216</v>
      </c>
      <c r="H53" s="23" t="n">
        <f aca="false">'SA Data'!S53</f>
        <v>130.711105000073</v>
      </c>
      <c r="I53" s="24" t="n">
        <f aca="false">(H53/H52-1)*100</f>
        <v>0.955819405841329</v>
      </c>
      <c r="J53" s="24" t="n">
        <f aca="false">(AVERAGE(H51:H53)/AVERAGE(H48:H50)-1)*100</f>
        <v>3.32540165132234</v>
      </c>
      <c r="K53" s="24" t="n">
        <f aca="false">((AVERAGE(H51:H53)/AVERAGE(H48:H50))^4-1)*100</f>
        <v>13.9799359702613</v>
      </c>
      <c r="L53" s="24" t="n">
        <f aca="false">IFERROR(('SA Data'!W53/'SA Data'!W41-1)*100,"")</f>
        <v>9.01749403398349</v>
      </c>
      <c r="M53" s="24" t="n">
        <f aca="false">IFERROR((AVERAGE('SA Data'!W43:W53)/AVERAGE('SA Data'!W31:W41)-1)*100,"")</f>
        <v>7.13491956664158</v>
      </c>
      <c r="N53" s="23" t="n">
        <f aca="false">'SA Data'!T53</f>
        <v>133.532078628011</v>
      </c>
      <c r="O53" s="24" t="n">
        <f aca="false">(N53/N52-1)*100</f>
        <v>1.02171447655459</v>
      </c>
      <c r="P53" s="24" t="n">
        <f aca="false">(AVERAGE(N51:N53)/AVERAGE(N48:N50)-1)*100</f>
        <v>1.67325519922643</v>
      </c>
      <c r="Q53" s="24" t="n">
        <f aca="false">((AVERAGE(N51:N53)/AVERAGE(N48:N50))^4-1)*100</f>
        <v>6.86288951395362</v>
      </c>
      <c r="R53" s="24" t="n">
        <f aca="false">IFERROR(('SA Data'!X53/'SA Data'!X41-1)*100,"")</f>
        <v>8.86827288150474</v>
      </c>
      <c r="S53" s="24" t="n">
        <f aca="false">IFERROR((AVERAGE('SA Data'!X43:X53)/AVERAGE('SA Data'!X31:X41)-1)*100,"")</f>
        <v>9.19478186968443</v>
      </c>
    </row>
    <row r="54" customFormat="false" ht="15" hidden="false" customHeight="false" outlineLevel="0" collapsed="false">
      <c r="A54" s="20" t="n">
        <v>39447</v>
      </c>
      <c r="B54" s="23" t="n">
        <f aca="false">'SA Data'!R54</f>
        <v>108.587187153734</v>
      </c>
      <c r="C54" s="24" t="n">
        <f aca="false">(B54/B53-1)*100</f>
        <v>2.26284828047185</v>
      </c>
      <c r="D54" s="24" t="n">
        <f aca="false">(AVERAGE(B52:B54)/AVERAGE(B49:B51)-1)*100</f>
        <v>1.57350731492227</v>
      </c>
      <c r="E54" s="24" t="n">
        <f aca="false">((AVERAGE(B52:B54)/AVERAGE(B49:B51))^4-1)*100</f>
        <v>6.44414926071135</v>
      </c>
      <c r="F54" s="24" t="n">
        <f aca="false">IFERROR(('SA Data'!V54/'SA Data'!V42-1)*100,"")</f>
        <v>-1.87981652425774</v>
      </c>
      <c r="G54" s="24" t="n">
        <f aca="false">IFERROR((AVERAGE('SA Data'!V43:V54)/AVERAGE('SA Data'!V31:V42)-1)*100,"")</f>
        <v>9.10541839000736</v>
      </c>
      <c r="H54" s="23" t="n">
        <f aca="false">'SA Data'!S54</f>
        <v>131.143084111442</v>
      </c>
      <c r="I54" s="24" t="n">
        <f aca="false">(H54/H53-1)*100</f>
        <v>0.330483864679354</v>
      </c>
      <c r="J54" s="24" t="n">
        <f aca="false">(AVERAGE(H52:H54)/AVERAGE(H49:H51)-1)*100</f>
        <v>4.06225293321918</v>
      </c>
      <c r="K54" s="24" t="n">
        <f aca="false">((AVERAGE(H52:H54)/AVERAGE(H49:H51))^4-1)*100</f>
        <v>17.2662119340241</v>
      </c>
      <c r="L54" s="24" t="n">
        <f aca="false">IFERROR(('SA Data'!W54/'SA Data'!W42-1)*100,"")</f>
        <v>7.8097134513458</v>
      </c>
      <c r="M54" s="24" t="n">
        <f aca="false">IFERROR((AVERAGE('SA Data'!W43:W54)/AVERAGE('SA Data'!W31:W42)-1)*100,"")</f>
        <v>7.19222063529599</v>
      </c>
      <c r="N54" s="23" t="n">
        <f aca="false">'SA Data'!T54</f>
        <v>132.789108722233</v>
      </c>
      <c r="O54" s="24" t="n">
        <f aca="false">(N54/N53-1)*100</f>
        <v>-0.556398068098474</v>
      </c>
      <c r="P54" s="24" t="n">
        <f aca="false">(AVERAGE(N52:N54)/AVERAGE(N49:N51)-1)*100</f>
        <v>2.31821175420446</v>
      </c>
      <c r="Q54" s="24" t="n">
        <f aca="false">((AVERAGE(N52:N54)/AVERAGE(N49:N51))^4-1)*100</f>
        <v>9.60030556810565</v>
      </c>
      <c r="R54" s="24" t="n">
        <f aca="false">IFERROR(('SA Data'!X54/'SA Data'!X42-1)*100,"")</f>
        <v>7.41384736707804</v>
      </c>
      <c r="S54" s="24" t="n">
        <f aca="false">IFERROR((AVERAGE('SA Data'!X43:X54)/AVERAGE('SA Data'!X31:X42)-1)*100,"")</f>
        <v>9.04158480745732</v>
      </c>
    </row>
    <row r="55" customFormat="false" ht="15" hidden="false" customHeight="false" outlineLevel="0" collapsed="false">
      <c r="A55" s="20" t="n">
        <v>39478</v>
      </c>
      <c r="B55" s="23" t="n">
        <f aca="false">'SA Data'!R55</f>
        <v>104.999962291975</v>
      </c>
      <c r="C55" s="24" t="n">
        <f aca="false">(B55/B54-1)*100</f>
        <v>-3.30354340671849</v>
      </c>
      <c r="D55" s="24" t="n">
        <f aca="false">(AVERAGE(B53:B55)/AVERAGE(B50:B52)-1)*100</f>
        <v>2.16267353495039</v>
      </c>
      <c r="E55" s="24" t="n">
        <f aca="false">((AVERAGE(B53:B55)/AVERAGE(B50:B52))^4-1)*100</f>
        <v>8.93539149003226</v>
      </c>
      <c r="F55" s="24" t="n">
        <f aca="false">IFERROR(('SA Data'!V55/'SA Data'!V43-1)*100,"")</f>
        <v>-5.15645535655848</v>
      </c>
      <c r="G55" s="24" t="n">
        <f aca="false">IFERROR((AVERAGE('SA Data'!V55:V55)/AVERAGE('SA Data'!V43:V43)-1)*100,"")</f>
        <v>-5.15645535655848</v>
      </c>
      <c r="H55" s="23" t="n">
        <f aca="false">'SA Data'!S55</f>
        <v>133.277239238915</v>
      </c>
      <c r="I55" s="24" t="n">
        <f aca="false">(H55/H54-1)*100</f>
        <v>1.62734858794291</v>
      </c>
      <c r="J55" s="24" t="n">
        <f aca="false">(AVERAGE(H53:H55)/AVERAGE(H50:H52)-1)*100</f>
        <v>3.33226258922124</v>
      </c>
      <c r="K55" s="24" t="n">
        <f aca="false">((AVERAGE(H53:H55)/AVERAGE(H50:H52))^4-1)*100</f>
        <v>14.0102126357463</v>
      </c>
      <c r="L55" s="24" t="n">
        <f aca="false">IFERROR(('SA Data'!W55/'SA Data'!W43-1)*100,"")</f>
        <v>9.14399724795647</v>
      </c>
      <c r="M55" s="24" t="n">
        <f aca="false">IFERROR((AVERAGE('SA Data'!W55:W55)/AVERAGE('SA Data'!W43:W43)-1)*100,"")</f>
        <v>9.14399724795647</v>
      </c>
      <c r="N55" s="23" t="n">
        <f aca="false">'SA Data'!T55</f>
        <v>134.960995665557</v>
      </c>
      <c r="O55" s="24" t="n">
        <f aca="false">(N55/N54-1)*100</f>
        <v>1.63559117477601</v>
      </c>
      <c r="P55" s="24" t="n">
        <f aca="false">(AVERAGE(N53:N55)/AVERAGE(N50:N52)-1)*100</f>
        <v>2.22697164298871</v>
      </c>
      <c r="Q55" s="24" t="n">
        <f aca="false">((AVERAGE(N53:N55)/AVERAGE(N50:N52))^4-1)*100</f>
        <v>9.20989310922096</v>
      </c>
      <c r="R55" s="24" t="n">
        <f aca="false">IFERROR(('SA Data'!X55/'SA Data'!X43-1)*100,"")</f>
        <v>7.97037629973698</v>
      </c>
      <c r="S55" s="24" t="n">
        <f aca="false">IFERROR((AVERAGE('SA Data'!X55:X55)/AVERAGE('SA Data'!X43:X43)-1)*100,"")</f>
        <v>7.97037629973698</v>
      </c>
    </row>
    <row r="56" customFormat="false" ht="15" hidden="false" customHeight="false" outlineLevel="0" collapsed="false">
      <c r="A56" s="20" t="n">
        <v>39507</v>
      </c>
      <c r="B56" s="23" t="n">
        <f aca="false">'SA Data'!R56</f>
        <v>104.46361054939</v>
      </c>
      <c r="C56" s="24" t="n">
        <f aca="false">(B56/B55-1)*100</f>
        <v>-0.510811366858965</v>
      </c>
      <c r="D56" s="24" t="n">
        <f aca="false">(AVERAGE(B54:B56)/AVERAGE(B51:B53)-1)*100</f>
        <v>1.15780734922528</v>
      </c>
      <c r="E56" s="24" t="n">
        <f aca="false">((AVERAGE(B54:B56)/AVERAGE(B51:B53))^4-1)*100</f>
        <v>4.71228308993552</v>
      </c>
      <c r="F56" s="24" t="n">
        <f aca="false">IFERROR(('SA Data'!V56/'SA Data'!V44-1)*100,"")</f>
        <v>-1.77222949851726</v>
      </c>
      <c r="G56" s="24" t="n">
        <f aca="false">IFERROR((AVERAGE('SA Data'!V55:V56)/AVERAGE('SA Data'!V43:V44)-1)*100,"")</f>
        <v>-3.46279152445049</v>
      </c>
      <c r="H56" s="23" t="n">
        <f aca="false">'SA Data'!S56</f>
        <v>133.657883514551</v>
      </c>
      <c r="I56" s="24" t="n">
        <f aca="false">(H56/H55-1)*100</f>
        <v>0.285603361691944</v>
      </c>
      <c r="J56" s="24" t="n">
        <f aca="false">(AVERAGE(H54:H56)/AVERAGE(H51:H53)-1)*100</f>
        <v>2.90353780257679</v>
      </c>
      <c r="K56" s="24" t="n">
        <f aca="false">((AVERAGE(H54:H56)/AVERAGE(H51:H53))^4-1)*100</f>
        <v>12.1298455375098</v>
      </c>
      <c r="L56" s="24" t="n">
        <f aca="false">IFERROR(('SA Data'!W56/'SA Data'!W44-1)*100,"")</f>
        <v>8.02262497163449</v>
      </c>
      <c r="M56" s="24" t="n">
        <f aca="false">IFERROR((AVERAGE('SA Data'!W55:W56)/AVERAGE('SA Data'!W43:W44)-1)*100,"")</f>
        <v>8.58441334651974</v>
      </c>
      <c r="N56" s="23" t="n">
        <f aca="false">'SA Data'!T56</f>
        <v>136.029465308039</v>
      </c>
      <c r="O56" s="24" t="n">
        <f aca="false">(N56/N55-1)*100</f>
        <v>0.791687729638424</v>
      </c>
      <c r="P56" s="24" t="n">
        <f aca="false">(AVERAGE(N54:N56)/AVERAGE(N51:N53)-1)*100</f>
        <v>2.12356231856783</v>
      </c>
      <c r="Q56" s="24" t="n">
        <f aca="false">((AVERAGE(N54:N56)/AVERAGE(N51:N53))^4-1)*100</f>
        <v>8.76867112134787</v>
      </c>
      <c r="R56" s="24" t="n">
        <f aca="false">IFERROR(('SA Data'!X56/'SA Data'!X44-1)*100,"")</f>
        <v>8.49447082781931</v>
      </c>
      <c r="S56" s="24" t="n">
        <f aca="false">IFERROR((AVERAGE('SA Data'!X55:X56)/AVERAGE('SA Data'!X43:X44)-1)*100,"")</f>
        <v>8.23014510450455</v>
      </c>
    </row>
    <row r="57" customFormat="false" ht="15" hidden="false" customHeight="false" outlineLevel="0" collapsed="false">
      <c r="A57" s="20" t="n">
        <v>39538</v>
      </c>
      <c r="B57" s="23" t="n">
        <f aca="false">'SA Data'!R57</f>
        <v>108.13136242974</v>
      </c>
      <c r="C57" s="24" t="n">
        <f aca="false">(B57/B56-1)*100</f>
        <v>3.51103303921854</v>
      </c>
      <c r="D57" s="24" t="n">
        <f aca="false">(AVERAGE(B55:B57)/AVERAGE(B52:B54)-1)*100</f>
        <v>-0.951556028514133</v>
      </c>
      <c r="E57" s="24" t="n">
        <f aca="false">((AVERAGE(B55:B57)/AVERAGE(B52:B54))^4-1)*100</f>
        <v>-3.75224039961725</v>
      </c>
      <c r="F57" s="24" t="n">
        <f aca="false">IFERROR(('SA Data'!V57/'SA Data'!V45-1)*100,"")</f>
        <v>-0.869003286037573</v>
      </c>
      <c r="G57" s="24" t="n">
        <f aca="false">IFERROR((AVERAGE('SA Data'!V55:V57)/AVERAGE('SA Data'!V43:V45)-1)*100,"")</f>
        <v>-2.18012553054239</v>
      </c>
      <c r="H57" s="23" t="n">
        <f aca="false">'SA Data'!S57</f>
        <v>130.025983241168</v>
      </c>
      <c r="I57" s="24" t="n">
        <f aca="false">(H57/H56-1)*100</f>
        <v>-2.7173109268843</v>
      </c>
      <c r="J57" s="24" t="n">
        <f aca="false">(AVERAGE(H55:H57)/AVERAGE(H52:H54)-1)*100</f>
        <v>1.4395465826855</v>
      </c>
      <c r="K57" s="24" t="n">
        <f aca="false">((AVERAGE(H55:H57)/AVERAGE(H52:H54))^4-1)*100</f>
        <v>5.88372155267707</v>
      </c>
      <c r="L57" s="24" t="n">
        <f aca="false">IFERROR(('SA Data'!W57/'SA Data'!W45-1)*100,"")</f>
        <v>2.80412187715748</v>
      </c>
      <c r="M57" s="24" t="n">
        <f aca="false">IFERROR((AVERAGE('SA Data'!W55:W57)/AVERAGE('SA Data'!W43:W45)-1)*100,"")</f>
        <v>6.51242369824983</v>
      </c>
      <c r="N57" s="23" t="n">
        <f aca="false">'SA Data'!T57</f>
        <v>133.107488228642</v>
      </c>
      <c r="O57" s="24" t="n">
        <f aca="false">(N57/N56-1)*100</f>
        <v>-2.14804716961884</v>
      </c>
      <c r="P57" s="24" t="n">
        <f aca="false">(AVERAGE(N55:N57)/AVERAGE(N52:N54)-1)*100</f>
        <v>1.40405590505317</v>
      </c>
      <c r="Q57" s="24" t="n">
        <f aca="false">((AVERAGE(N55:N57)/AVERAGE(N52:N54))^4-1)*100</f>
        <v>5.73561705274699</v>
      </c>
      <c r="R57" s="24" t="n">
        <f aca="false">IFERROR(('SA Data'!X57/'SA Data'!X45-1)*100,"")</f>
        <v>3.9189444875857</v>
      </c>
      <c r="S57" s="24" t="n">
        <f aca="false">IFERROR((AVERAGE('SA Data'!X55:X57)/AVERAGE('SA Data'!X43:X45)-1)*100,"")</f>
        <v>6.73298558249629</v>
      </c>
    </row>
    <row r="58" customFormat="false" ht="15" hidden="false" customHeight="false" outlineLevel="0" collapsed="false">
      <c r="A58" s="20" t="n">
        <v>39568</v>
      </c>
      <c r="B58" s="23" t="n">
        <f aca="false">'SA Data'!R58</f>
        <v>115.71479188178</v>
      </c>
      <c r="C58" s="24" t="n">
        <f aca="false">(B58/B57-1)*100</f>
        <v>7.01316369426823</v>
      </c>
      <c r="D58" s="24" t="n">
        <f aca="false">(AVERAGE(B56:B58)/AVERAGE(B53:B55)-1)*100</f>
        <v>2.6701000025104</v>
      </c>
      <c r="E58" s="24" t="n">
        <f aca="false">((AVERAGE(B56:B58)/AVERAGE(B53:B55))^4-1)*100</f>
        <v>11.115831400997</v>
      </c>
      <c r="F58" s="24" t="n">
        <f aca="false">IFERROR(('SA Data'!V58/'SA Data'!V46-1)*100,"")</f>
        <v>-0.800801526577699</v>
      </c>
      <c r="G58" s="24" t="n">
        <f aca="false">IFERROR((AVERAGE('SA Data'!V55:V58)/AVERAGE('SA Data'!V43:V46)-1)*100,"")</f>
        <v>-1.56475833227132</v>
      </c>
      <c r="H58" s="23" t="n">
        <f aca="false">'SA Data'!S58</f>
        <v>134.462847870124</v>
      </c>
      <c r="I58" s="24" t="n">
        <f aca="false">(H58/H57-1)*100</f>
        <v>3.41229077324194</v>
      </c>
      <c r="J58" s="24" t="n">
        <f aca="false">(AVERAGE(H56:H58)/AVERAGE(H53:H55)-1)*100</f>
        <v>0.763109704535725</v>
      </c>
      <c r="K58" s="24" t="n">
        <f aca="false">((AVERAGE(H56:H58)/AVERAGE(H53:H55))^4-1)*100</f>
        <v>3.08755709715771</v>
      </c>
      <c r="L58" s="24" t="n">
        <f aca="false">IFERROR(('SA Data'!W58/'SA Data'!W46-1)*100,"")</f>
        <v>9.05676624185709</v>
      </c>
      <c r="M58" s="24" t="n">
        <f aca="false">IFERROR((AVERAGE('SA Data'!W55:W58)/AVERAGE('SA Data'!W43:W46)-1)*100,"")</f>
        <v>7.17008364966119</v>
      </c>
      <c r="N58" s="23" t="n">
        <f aca="false">'SA Data'!T58</f>
        <v>137.874926818728</v>
      </c>
      <c r="O58" s="24" t="n">
        <f aca="false">(N58/N57-1)*100</f>
        <v>3.58164567112578</v>
      </c>
      <c r="P58" s="24" t="n">
        <f aca="false">(AVERAGE(N56:N58)/AVERAGE(N53:N55)-1)*100</f>
        <v>1.42784743059055</v>
      </c>
      <c r="Q58" s="24" t="n">
        <f aca="false">((AVERAGE(N56:N58)/AVERAGE(N53:N55))^4-1)*100</f>
        <v>5.83488318455956</v>
      </c>
      <c r="R58" s="24" t="n">
        <f aca="false">IFERROR(('SA Data'!X58/'SA Data'!X46-1)*100,"")</f>
        <v>9.84434000789514</v>
      </c>
      <c r="S58" s="24" t="n">
        <f aca="false">IFERROR((AVERAGE('SA Data'!X55:X58)/AVERAGE('SA Data'!X43:X46)-1)*100,"")</f>
        <v>7.52128972861064</v>
      </c>
    </row>
    <row r="59" customFormat="false" ht="15" hidden="false" customHeight="false" outlineLevel="0" collapsed="false">
      <c r="A59" s="20" t="n">
        <v>39599</v>
      </c>
      <c r="B59" s="23" t="n">
        <f aca="false">'SA Data'!R59</f>
        <v>115.555867190809</v>
      </c>
      <c r="C59" s="24" t="n">
        <f aca="false">(B59/B58-1)*100</f>
        <v>-0.137341724758844</v>
      </c>
      <c r="D59" s="24" t="n">
        <f aca="false">(AVERAGE(B57:B59)/AVERAGE(B54:B56)-1)*100</f>
        <v>6.71316160588908</v>
      </c>
      <c r="E59" s="24" t="n">
        <f aca="false">((AVERAGE(B57:B59)/AVERAGE(B54:B56))^4-1)*100</f>
        <v>29.679685324328</v>
      </c>
      <c r="F59" s="24" t="n">
        <f aca="false">IFERROR(('SA Data'!V59/'SA Data'!V47-1)*100,"")</f>
        <v>-2.34387667599125</v>
      </c>
      <c r="G59" s="24" t="n">
        <f aca="false">IFERROR((AVERAGE('SA Data'!V55:V59)/AVERAGE('SA Data'!V43:V47)-1)*100,"")</f>
        <v>-1.87456919192451</v>
      </c>
      <c r="H59" s="23" t="n">
        <f aca="false">'SA Data'!S59</f>
        <v>132.176014626943</v>
      </c>
      <c r="I59" s="24" t="n">
        <f aca="false">(H59/H58-1)*100</f>
        <v>-1.70071754347301</v>
      </c>
      <c r="J59" s="24" t="n">
        <f aca="false">(AVERAGE(H57:H59)/AVERAGE(H54:H56)-1)*100</f>
        <v>-0.355046094536238</v>
      </c>
      <c r="K59" s="24" t="n">
        <f aca="false">((AVERAGE(H57:H59)/AVERAGE(H54:H56))^4-1)*100</f>
        <v>-1.41263880102146</v>
      </c>
      <c r="L59" s="24" t="n">
        <f aca="false">IFERROR(('SA Data'!W59/'SA Data'!W47-1)*100,"")</f>
        <v>5.27520778671953</v>
      </c>
      <c r="M59" s="24" t="n">
        <f aca="false">IFERROR((AVERAGE('SA Data'!W55:W59)/AVERAGE('SA Data'!W43:W47)-1)*100,"")</f>
        <v>6.77208128871403</v>
      </c>
      <c r="N59" s="23" t="n">
        <f aca="false">'SA Data'!T59</f>
        <v>137.107996787573</v>
      </c>
      <c r="O59" s="24" t="n">
        <f aca="false">(N59/N58-1)*100</f>
        <v>-0.556250544497405</v>
      </c>
      <c r="P59" s="24" t="n">
        <f aca="false">(AVERAGE(N57:N59)/AVERAGE(N54:N56)-1)*100</f>
        <v>1.06762264924929</v>
      </c>
      <c r="Q59" s="24" t="n">
        <f aca="false">((AVERAGE(N57:N59)/AVERAGE(N54:N56))^4-1)*100</f>
        <v>4.3393677417108</v>
      </c>
      <c r="R59" s="24" t="n">
        <f aca="false">IFERROR(('SA Data'!X59/'SA Data'!X47-1)*100,"")</f>
        <v>6.85393269518968</v>
      </c>
      <c r="S59" s="24" t="n">
        <f aca="false">IFERROR((AVERAGE('SA Data'!X55:X59)/AVERAGE('SA Data'!X43:X47)-1)*100,"")</f>
        <v>7.3823146991171</v>
      </c>
    </row>
    <row r="60" customFormat="false" ht="15" hidden="false" customHeight="false" outlineLevel="0" collapsed="false">
      <c r="A60" s="20" t="n">
        <v>39629</v>
      </c>
      <c r="B60" s="23" t="n">
        <f aca="false">'SA Data'!R60</f>
        <v>113.800447954632</v>
      </c>
      <c r="C60" s="24" t="n">
        <f aca="false">(B60/B59-1)*100</f>
        <v>-1.51910870373865</v>
      </c>
      <c r="D60" s="24" t="n">
        <f aca="false">(AVERAGE(B58:B60)/AVERAGE(B55:B57)-1)*100</f>
        <v>8.65132554228585</v>
      </c>
      <c r="E60" s="24" t="n">
        <f aca="false">((AVERAGE(B58:B60)/AVERAGE(B55:B57))^4-1)*100</f>
        <v>39.3606349111008</v>
      </c>
      <c r="F60" s="24" t="n">
        <f aca="false">IFERROR(('SA Data'!V60/'SA Data'!V48-1)*100,"")</f>
        <v>-3.28004521001972</v>
      </c>
      <c r="G60" s="24" t="n">
        <f aca="false">IFERROR((AVERAGE('SA Data'!V55:V60)/AVERAGE('SA Data'!V43:V48)-1)*100,"")</f>
        <v>-2.16904691309553</v>
      </c>
      <c r="H60" s="23" t="n">
        <f aca="false">'SA Data'!S60</f>
        <v>130.220141304419</v>
      </c>
      <c r="I60" s="24" t="n">
        <f aca="false">(H60/H59-1)*100</f>
        <v>-1.47974905132732</v>
      </c>
      <c r="J60" s="24" t="n">
        <f aca="false">(AVERAGE(H58:H60)/AVERAGE(H55:H57)-1)*100</f>
        <v>-0.02572095643808</v>
      </c>
      <c r="K60" s="24" t="n">
        <f aca="false">((AVERAGE(H58:H60)/AVERAGE(H55:H57))^4-1)*100</f>
        <v>-0.102844138502334</v>
      </c>
      <c r="L60" s="24" t="n">
        <f aca="false">IFERROR(('SA Data'!W60/'SA Data'!W48-1)*100,"")</f>
        <v>3.97651219660105</v>
      </c>
      <c r="M60" s="24" t="n">
        <f aca="false">IFERROR((AVERAGE('SA Data'!W55:W60)/AVERAGE('SA Data'!W43:W48)-1)*100,"")</f>
        <v>6.29918738705917</v>
      </c>
      <c r="N60" s="23" t="n">
        <f aca="false">'SA Data'!T60</f>
        <v>134.779318308605</v>
      </c>
      <c r="O60" s="24" t="n">
        <f aca="false">(N60/N59-1)*100</f>
        <v>-1.69842644742058</v>
      </c>
      <c r="P60" s="24" t="n">
        <f aca="false">(AVERAGE(N58:N60)/AVERAGE(N55:N57)-1)*100</f>
        <v>1.40171280845371</v>
      </c>
      <c r="Q60" s="24" t="n">
        <f aca="false">((AVERAGE(N58:N60)/AVERAGE(N55:N57))^4-1)*100</f>
        <v>5.72584465554828</v>
      </c>
      <c r="R60" s="24" t="n">
        <f aca="false">IFERROR(('SA Data'!X60/'SA Data'!X48-1)*100,"")</f>
        <v>4.4155949020257</v>
      </c>
      <c r="S60" s="24" t="n">
        <f aca="false">IFERROR((AVERAGE('SA Data'!X55:X60)/AVERAGE('SA Data'!X43:X48)-1)*100,"")</f>
        <v>6.87096859072844</v>
      </c>
    </row>
    <row r="61" customFormat="false" ht="15" hidden="false" customHeight="false" outlineLevel="0" collapsed="false">
      <c r="A61" s="20" t="n">
        <v>39660</v>
      </c>
      <c r="B61" s="23" t="n">
        <f aca="false">'SA Data'!R61</f>
        <v>108.316329998412</v>
      </c>
      <c r="C61" s="24" t="n">
        <f aca="false">(B61/B60-1)*100</f>
        <v>-4.81906535060986</v>
      </c>
      <c r="D61" s="24" t="n">
        <f aca="false">(AVERAGE(B59:B61)/AVERAGE(B56:B58)-1)*100</f>
        <v>2.85184337630315</v>
      </c>
      <c r="E61" s="24" t="n">
        <f aca="false">((AVERAGE(B59:B61)/AVERAGE(B56:B58))^4-1)*100</f>
        <v>11.9046979186652</v>
      </c>
      <c r="F61" s="24" t="n">
        <f aca="false">IFERROR(('SA Data'!V61/'SA Data'!V49-1)*100,"")</f>
        <v>1.41304789147974</v>
      </c>
      <c r="G61" s="24" t="n">
        <f aca="false">IFERROR((AVERAGE('SA Data'!V55:V61)/AVERAGE('SA Data'!V43:V49)-1)*100,"")</f>
        <v>-1.82778411298794</v>
      </c>
      <c r="H61" s="23" t="n">
        <f aca="false">'SA Data'!S61</f>
        <v>132.868824788376</v>
      </c>
      <c r="I61" s="24" t="n">
        <f aca="false">(H61/H60-1)*100</f>
        <v>2.03400446154156</v>
      </c>
      <c r="J61" s="24" t="n">
        <f aca="false">(AVERAGE(H59:H61)/AVERAGE(H56:H58)-1)*100</f>
        <v>-0.723786935882032</v>
      </c>
      <c r="K61" s="24" t="n">
        <f aca="false">((AVERAGE(H59:H61)/AVERAGE(H56:H58))^4-1)*100</f>
        <v>-2.86386708476705</v>
      </c>
      <c r="L61" s="24" t="n">
        <f aca="false">IFERROR(('SA Data'!W61/'SA Data'!W49-1)*100,"")</f>
        <v>9.099220296489</v>
      </c>
      <c r="M61" s="24" t="n">
        <f aca="false">IFERROR((AVERAGE('SA Data'!W55:W61)/AVERAGE('SA Data'!W43:W49)-1)*100,"")</f>
        <v>6.707001003217</v>
      </c>
      <c r="N61" s="23" t="n">
        <f aca="false">'SA Data'!T61</f>
        <v>137.482500021559</v>
      </c>
      <c r="O61" s="24" t="n">
        <f aca="false">(N61/N60-1)*100</f>
        <v>2.00563539486454</v>
      </c>
      <c r="P61" s="24" t="n">
        <f aca="false">(AVERAGE(N59:N61)/AVERAGE(N56:N58)-1)*100</f>
        <v>0.579328239821453</v>
      </c>
      <c r="Q61" s="24" t="n">
        <f aca="false">((AVERAGE(N59:N61)/AVERAGE(N56:N58))^4-1)*100</f>
        <v>2.33752811843249</v>
      </c>
      <c r="R61" s="24" t="n">
        <f aca="false">IFERROR(('SA Data'!X61/'SA Data'!X49-1)*100,"")</f>
        <v>6.75189941653165</v>
      </c>
      <c r="S61" s="24" t="n">
        <f aca="false">IFERROR((AVERAGE('SA Data'!X55:X61)/AVERAGE('SA Data'!X43:X49)-1)*100,"")</f>
        <v>6.85349632099104</v>
      </c>
    </row>
    <row r="62" customFormat="false" ht="15" hidden="false" customHeight="false" outlineLevel="0" collapsed="false">
      <c r="A62" s="20" t="n">
        <v>39691</v>
      </c>
      <c r="B62" s="23" t="n">
        <f aca="false">'SA Data'!R62</f>
        <v>104.643812380026</v>
      </c>
      <c r="C62" s="24" t="n">
        <f aca="false">(B62/B61-1)*100</f>
        <v>-3.39054842279052</v>
      </c>
      <c r="D62" s="24" t="n">
        <f aca="false">(AVERAGE(B60:B62)/AVERAGE(B57:B59)-1)*100</f>
        <v>-3.72461870241739</v>
      </c>
      <c r="E62" s="24" t="n">
        <f aca="false">((AVERAGE(B60:B62)/AVERAGE(B57:B59))^4-1)*100</f>
        <v>-14.0865836198257</v>
      </c>
      <c r="F62" s="24" t="n">
        <f aca="false">IFERROR(('SA Data'!V62/'SA Data'!V50-1)*100,"")</f>
        <v>1.79403890037433</v>
      </c>
      <c r="G62" s="24" t="n">
        <f aca="false">IFERROR((AVERAGE('SA Data'!V55:V62)/AVERAGE('SA Data'!V43:V50)-1)*100,"")</f>
        <v>-1.61873956065082</v>
      </c>
      <c r="H62" s="23" t="n">
        <f aca="false">'SA Data'!S62</f>
        <v>129.992333930642</v>
      </c>
      <c r="I62" s="24" t="n">
        <f aca="false">(H62/H61-1)*100</f>
        <v>-2.1649102882607</v>
      </c>
      <c r="J62" s="24" t="n">
        <f aca="false">(AVERAGE(H60:H62)/AVERAGE(H57:H59)-1)*100</f>
        <v>-0.903419033297259</v>
      </c>
      <c r="K62" s="24" t="n">
        <f aca="false">((AVERAGE(H60:H62)/AVERAGE(H57:H59))^4-1)*100</f>
        <v>-3.56500044602007</v>
      </c>
      <c r="L62" s="24" t="n">
        <f aca="false">IFERROR(('SA Data'!W62/'SA Data'!W50-1)*100,"")</f>
        <v>3.79971810654831</v>
      </c>
      <c r="M62" s="24" t="n">
        <f aca="false">IFERROR((AVERAGE('SA Data'!W55:W62)/AVERAGE('SA Data'!W43:W50)-1)*100,"")</f>
        <v>6.32641608083473</v>
      </c>
      <c r="N62" s="23" t="n">
        <f aca="false">'SA Data'!T62</f>
        <v>136.033201082372</v>
      </c>
      <c r="O62" s="24" t="n">
        <f aca="false">(N62/N61-1)*100</f>
        <v>-1.05416975903108</v>
      </c>
      <c r="P62" s="24" t="n">
        <f aca="false">(AVERAGE(N60:N62)/AVERAGE(N57:N59)-1)*100</f>
        <v>0.0501378056573465</v>
      </c>
      <c r="Q62" s="24" t="n">
        <f aca="false">((AVERAGE(N60:N62)/AVERAGE(N57:N59))^4-1)*100</f>
        <v>0.200702101023631</v>
      </c>
      <c r="R62" s="24" t="n">
        <f aca="false">IFERROR(('SA Data'!X62/'SA Data'!X50-1)*100,"")</f>
        <v>4.1517924733363</v>
      </c>
      <c r="S62" s="24" t="n">
        <f aca="false">IFERROR((AVERAGE('SA Data'!X55:X62)/AVERAGE('SA Data'!X43:X50)-1)*100,"")</f>
        <v>6.50522906185342</v>
      </c>
    </row>
    <row r="63" customFormat="false" ht="15" hidden="false" customHeight="false" outlineLevel="0" collapsed="false">
      <c r="A63" s="20" t="n">
        <v>39721</v>
      </c>
      <c r="B63" s="23" t="n">
        <f aca="false">'SA Data'!R63</f>
        <v>104.444836027565</v>
      </c>
      <c r="C63" s="24" t="n">
        <f aca="false">(B63/B62-1)*100</f>
        <v>-0.190146314374229</v>
      </c>
      <c r="D63" s="24" t="n">
        <f aca="false">(AVERAGE(B61:B63)/AVERAGE(B58:B60)-1)*100</f>
        <v>-8.01751524767208</v>
      </c>
      <c r="E63" s="24" t="n">
        <f aca="false">((AVERAGE(B61:B63)/AVERAGE(B58:B60))^4-1)*100</f>
        <v>-28.4152440749808</v>
      </c>
      <c r="F63" s="24" t="n">
        <f aca="false">IFERROR(('SA Data'!V63/'SA Data'!V51-1)*100,"")</f>
        <v>4.40018846608041</v>
      </c>
      <c r="G63" s="24" t="n">
        <f aca="false">IFERROR((AVERAGE('SA Data'!V55:V63)/AVERAGE('SA Data'!V43:V51)-1)*100,"")</f>
        <v>-1.31793608413777</v>
      </c>
      <c r="H63" s="23" t="n">
        <f aca="false">'SA Data'!S63</f>
        <v>132.236836972444</v>
      </c>
      <c r="I63" s="24" t="n">
        <f aca="false">(H63/H62-1)*100</f>
        <v>1.72664262109516</v>
      </c>
      <c r="J63" s="24" t="n">
        <f aca="false">(AVERAGE(H61:H63)/AVERAGE(H58:H60)-1)*100</f>
        <v>-0.443736463871214</v>
      </c>
      <c r="K63" s="24" t="n">
        <f aca="false">((AVERAGE(H61:H63)/AVERAGE(H58:H60))^4-1)*100</f>
        <v>-1.76316664279995</v>
      </c>
      <c r="L63" s="24" t="n">
        <f aca="false">IFERROR(('SA Data'!W63/'SA Data'!W51-1)*100,"")</f>
        <v>5.77479644825494</v>
      </c>
      <c r="M63" s="24" t="n">
        <f aca="false">IFERROR((AVERAGE('SA Data'!W55:W63)/AVERAGE('SA Data'!W43:W51)-1)*100,"")</f>
        <v>6.26184019335672</v>
      </c>
      <c r="N63" s="23" t="n">
        <f aca="false">'SA Data'!T63</f>
        <v>136.848869788357</v>
      </c>
      <c r="O63" s="24" t="n">
        <f aca="false">(N63/N62-1)*100</f>
        <v>0.599610021299646</v>
      </c>
      <c r="P63" s="24" t="n">
        <f aca="false">(AVERAGE(N61:N63)/AVERAGE(N58:N60)-1)*100</f>
        <v>0.1469947486052</v>
      </c>
      <c r="Q63" s="24" t="n">
        <f aca="false">((AVERAGE(N61:N63)/AVERAGE(N58:N60))^4-1)*100</f>
        <v>0.589276712727771</v>
      </c>
      <c r="R63" s="24" t="n">
        <f aca="false">IFERROR(('SA Data'!X63/'SA Data'!X51-1)*100,"")</f>
        <v>6.23659597240296</v>
      </c>
      <c r="S63" s="24" t="n">
        <f aca="false">IFERROR((AVERAGE('SA Data'!X55:X63)/AVERAGE('SA Data'!X43:X51)-1)*100,"")</f>
        <v>6.47503333624828</v>
      </c>
    </row>
    <row r="64" customFormat="false" ht="15" hidden="false" customHeight="false" outlineLevel="0" collapsed="false">
      <c r="A64" s="20" t="n">
        <v>39752</v>
      </c>
      <c r="B64" s="23" t="n">
        <f aca="false">'SA Data'!R64</f>
        <v>103.388244473148</v>
      </c>
      <c r="C64" s="24" t="n">
        <f aca="false">(B64/B63-1)*100</f>
        <v>-1.01162641888595</v>
      </c>
      <c r="D64" s="24" t="n">
        <f aca="false">(AVERAGE(B62:B64)/AVERAGE(B59:B61)-1)*100</f>
        <v>-7.46159116690672</v>
      </c>
      <c r="E64" s="24" t="n">
        <f aca="false">((AVERAGE(B62:B64)/AVERAGE(B59:B61))^4-1)*100</f>
        <v>-26.6689150175613</v>
      </c>
      <c r="F64" s="24" t="n">
        <f aca="false">IFERROR(('SA Data'!V64/'SA Data'!V52-1)*100,"")</f>
        <v>0.393604792359459</v>
      </c>
      <c r="G64" s="24" t="n">
        <f aca="false">IFERROR((AVERAGE('SA Data'!V55:V64)/AVERAGE('SA Data'!V43:V52)-1)*100,"")</f>
        <v>-1.2338656527107</v>
      </c>
      <c r="H64" s="23" t="n">
        <f aca="false">'SA Data'!S64</f>
        <v>126.908654879358</v>
      </c>
      <c r="I64" s="24" t="n">
        <f aca="false">(H64/H63-1)*100</f>
        <v>-4.02927218699045</v>
      </c>
      <c r="J64" s="24" t="n">
        <f aca="false">(AVERAGE(H62:H64)/AVERAGE(H59:H61)-1)*100</f>
        <v>-1.55013857441588</v>
      </c>
      <c r="K64" s="24" t="n">
        <f aca="false">((AVERAGE(H62:H64)/AVERAGE(H59:H61))^4-1)*100</f>
        <v>-6.0578626971451</v>
      </c>
      <c r="L64" s="24" t="n">
        <f aca="false">IFERROR(('SA Data'!W64/'SA Data'!W52-1)*100,"")</f>
        <v>-1.44102729262048</v>
      </c>
      <c r="M64" s="24" t="n">
        <f aca="false">IFERROR((AVERAGE('SA Data'!W55:W64)/AVERAGE('SA Data'!W43:W52)-1)*100,"")</f>
        <v>5.42744818223895</v>
      </c>
      <c r="N64" s="23" t="n">
        <f aca="false">'SA Data'!T64</f>
        <v>135.935312076253</v>
      </c>
      <c r="O64" s="24" t="n">
        <f aca="false">(N64/N63-1)*100</f>
        <v>-0.667566866658254</v>
      </c>
      <c r="P64" s="24" t="n">
        <f aca="false">(AVERAGE(N62:N64)/AVERAGE(N59:N61)-1)*100</f>
        <v>-0.134946972237437</v>
      </c>
      <c r="Q64" s="24" t="n">
        <f aca="false">((AVERAGE(N62:N64)/AVERAGE(N59:N61))^4-1)*100</f>
        <v>-0.538696230489899</v>
      </c>
      <c r="R64" s="24" t="n">
        <f aca="false">IFERROR(('SA Data'!X64/'SA Data'!X52-1)*100,"")</f>
        <v>3.14823519400793</v>
      </c>
      <c r="S64" s="24" t="n">
        <f aca="false">IFERROR((AVERAGE('SA Data'!X55:X64)/AVERAGE('SA Data'!X43:X52)-1)*100,"")</f>
        <v>6.1315583852501</v>
      </c>
    </row>
    <row r="65" customFormat="false" ht="15" hidden="false" customHeight="false" outlineLevel="0" collapsed="false">
      <c r="A65" s="20" t="n">
        <v>39782</v>
      </c>
      <c r="B65" s="23" t="n">
        <f aca="false">'SA Data'!R65</f>
        <v>100.043314820948</v>
      </c>
      <c r="C65" s="24" t="n">
        <f aca="false">(B65/B64-1)*100</f>
        <v>-3.23530945829061</v>
      </c>
      <c r="D65" s="24" t="n">
        <f aca="false">(AVERAGE(B63:B65)/AVERAGE(B60:B62)-1)*100</f>
        <v>-5.77921437593232</v>
      </c>
      <c r="E65" s="24" t="n">
        <f aca="false">((AVERAGE(B63:B65)/AVERAGE(B60:B62))^4-1)*100</f>
        <v>-21.1889915904028</v>
      </c>
      <c r="F65" s="24" t="n">
        <f aca="false">IFERROR(('SA Data'!V65/'SA Data'!V53-1)*100,"")</f>
        <v>-4.28643420989865</v>
      </c>
      <c r="G65" s="24" t="n">
        <f aca="false">IFERROR((AVERAGE('SA Data'!V55:V65)/AVERAGE('SA Data'!V43:V53)-1)*100,"")</f>
        <v>-1.4107902855332</v>
      </c>
      <c r="H65" s="23" t="n">
        <f aca="false">'SA Data'!S65</f>
        <v>122.953976383968</v>
      </c>
      <c r="I65" s="24" t="n">
        <f aca="false">(H65/H64-1)*100</f>
        <v>-3.11616138327966</v>
      </c>
      <c r="J65" s="24" t="n">
        <f aca="false">(AVERAGE(H63:H65)/AVERAGE(H60:H62)-1)*100</f>
        <v>-2.79378128316251</v>
      </c>
      <c r="K65" s="24" t="n">
        <f aca="false">((AVERAGE(H63:H65)/AVERAGE(H60:H62))^4-1)*100</f>
        <v>-10.7154738039529</v>
      </c>
      <c r="L65" s="24" t="n">
        <f aca="false">IFERROR(('SA Data'!W65/'SA Data'!W53-1)*100,"")</f>
        <v>-5.91677389575239</v>
      </c>
      <c r="M65" s="24" t="n">
        <f aca="false">IFERROR((AVERAGE('SA Data'!W55:W65)/AVERAGE('SA Data'!W43:W53)-1)*100,"")</f>
        <v>4.33504429968918</v>
      </c>
      <c r="N65" s="23" t="n">
        <f aca="false">'SA Data'!T65</f>
        <v>132.812792484122</v>
      </c>
      <c r="O65" s="24" t="n">
        <f aca="false">(N65/N64-1)*100</f>
        <v>-2.29706287824554</v>
      </c>
      <c r="P65" s="24" t="n">
        <f aca="false">(AVERAGE(N63:N65)/AVERAGE(N60:N62)-1)*100</f>
        <v>-0.660807733507418</v>
      </c>
      <c r="Q65" s="24" t="n">
        <f aca="false">((AVERAGE(N63:N65)/AVERAGE(N60:N62))^4-1)*100</f>
        <v>-2.61714615284733</v>
      </c>
      <c r="R65" s="24" t="n">
        <f aca="false">IFERROR(('SA Data'!X65/'SA Data'!X53-1)*100,"")</f>
        <v>-0.634945497956296</v>
      </c>
      <c r="S65" s="24" t="n">
        <f aca="false">IFERROR((AVERAGE('SA Data'!X55:X65)/AVERAGE('SA Data'!X43:X53)-1)*100,"")</f>
        <v>5.49440021435383</v>
      </c>
    </row>
    <row r="66" customFormat="false" ht="15" hidden="false" customHeight="false" outlineLevel="0" collapsed="false">
      <c r="A66" s="20" t="n">
        <v>39813</v>
      </c>
      <c r="B66" s="23" t="n">
        <f aca="false">'SA Data'!R66</f>
        <v>93.4603425329705</v>
      </c>
      <c r="C66" s="24" t="n">
        <f aca="false">(B66/B65-1)*100</f>
        <v>-6.5801221198627</v>
      </c>
      <c r="D66" s="24" t="n">
        <f aca="false">(AVERAGE(B64:B66)/AVERAGE(B61:B63)-1)*100</f>
        <v>-6.46274569540559</v>
      </c>
      <c r="E66" s="24" t="n">
        <f aca="false">((AVERAGE(B64:B66)/AVERAGE(B61:B63))^4-1)*100</f>
        <v>-23.4511853886452</v>
      </c>
      <c r="F66" s="24" t="n">
        <f aca="false">IFERROR(('SA Data'!V66/'SA Data'!V54-1)*100,"")</f>
        <v>-16.9045622317142</v>
      </c>
      <c r="G66" s="24" t="n">
        <f aca="false">IFERROR((AVERAGE('SA Data'!V55:V66)/AVERAGE('SA Data'!V43:V54)-1)*100,"")</f>
        <v>-2.3735368240676</v>
      </c>
      <c r="H66" s="23" t="n">
        <f aca="false">'SA Data'!S66</f>
        <v>121.298017388775</v>
      </c>
      <c r="I66" s="24" t="n">
        <f aca="false">(H66/H65-1)*100</f>
        <v>-1.34681207057593</v>
      </c>
      <c r="J66" s="24" t="n">
        <f aca="false">(AVERAGE(H64:H66)/AVERAGE(H61:H63)-1)*100</f>
        <v>-6.05858478159799</v>
      </c>
      <c r="K66" s="24" t="n">
        <f aca="false">((AVERAGE(H64:H66)/AVERAGE(H61:H63))^4-1)*100</f>
        <v>-22.1195604442704</v>
      </c>
      <c r="L66" s="24" t="n">
        <f aca="false">IFERROR(('SA Data'!W66/'SA Data'!W54-1)*100,"")</f>
        <v>-7.86312264394368</v>
      </c>
      <c r="M66" s="24" t="n">
        <f aca="false">IFERROR((AVERAGE('SA Data'!W55:W66)/AVERAGE('SA Data'!W43:W54)-1)*100,"")</f>
        <v>3.2932528711648</v>
      </c>
      <c r="N66" s="23" t="n">
        <f aca="false">'SA Data'!T66</f>
        <v>133.418229705405</v>
      </c>
      <c r="O66" s="24" t="n">
        <f aca="false">(N66/N65-1)*100</f>
        <v>0.455857609766541</v>
      </c>
      <c r="P66" s="24" t="n">
        <f aca="false">(AVERAGE(N64:N66)/AVERAGE(N61:N63)-1)*100</f>
        <v>-1.9977934763426</v>
      </c>
      <c r="Q66" s="24" t="n">
        <f aca="false">((AVERAGE(N64:N66)/AVERAGE(N61:N63))^4-1)*100</f>
        <v>-7.75487666978252</v>
      </c>
      <c r="R66" s="24" t="n">
        <f aca="false">IFERROR(('SA Data'!X66/'SA Data'!X54-1)*100,"")</f>
        <v>0.573344679434107</v>
      </c>
      <c r="S66" s="24" t="n">
        <f aca="false">IFERROR((AVERAGE('SA Data'!X55:X66)/AVERAGE('SA Data'!X43:X54)-1)*100,"")</f>
        <v>5.07740711009235</v>
      </c>
    </row>
    <row r="67" customFormat="false" ht="15" hidden="false" customHeight="false" outlineLevel="0" collapsed="false">
      <c r="A67" s="20" t="n">
        <v>39844</v>
      </c>
      <c r="B67" s="23" t="n">
        <f aca="false">'SA Data'!R67</f>
        <v>94.2554039918236</v>
      </c>
      <c r="C67" s="24" t="n">
        <f aca="false">(B67/B66-1)*100</f>
        <v>0.850693927825685</v>
      </c>
      <c r="D67" s="24" t="n">
        <f aca="false">(AVERAGE(B65:B67)/AVERAGE(B62:B64)-1)*100</f>
        <v>-7.91029100011925</v>
      </c>
      <c r="E67" s="24" t="n">
        <f aca="false">((AVERAGE(B65:B67)/AVERAGE(B62:B64))^4-1)*100</f>
        <v>-28.0808737528271</v>
      </c>
      <c r="F67" s="24" t="n">
        <f aca="false">IFERROR(('SA Data'!V67/'SA Data'!V55-1)*100,"")</f>
        <v>-11.8372956917053</v>
      </c>
      <c r="G67" s="24" t="n">
        <f aca="false">IFERROR((AVERAGE('SA Data'!V67:V67)/AVERAGE('SA Data'!V55:V55)-1)*100,"")</f>
        <v>-11.8372956917053</v>
      </c>
      <c r="H67" s="23" t="n">
        <f aca="false">'SA Data'!S67</f>
        <v>118.024631860018</v>
      </c>
      <c r="I67" s="24" t="n">
        <f aca="false">(H67/H66-1)*100</f>
        <v>-2.69863069423899</v>
      </c>
      <c r="J67" s="24" t="n">
        <f aca="false">(AVERAGE(H65:H67)/AVERAGE(H62:H64)-1)*100</f>
        <v>-6.90274714252526</v>
      </c>
      <c r="K67" s="24" t="n">
        <f aca="false">((AVERAGE(H65:H67)/AVERAGE(H62:H64))^4-1)*100</f>
        <v>-24.8814037714245</v>
      </c>
      <c r="L67" s="24" t="n">
        <f aca="false">IFERROR(('SA Data'!W67/'SA Data'!W55-1)*100,"")</f>
        <v>-12.2995550988139</v>
      </c>
      <c r="M67" s="24" t="n">
        <f aca="false">IFERROR((AVERAGE('SA Data'!W67:W67)/AVERAGE('SA Data'!W55:W55)-1)*100,"")</f>
        <v>-12.2995550988139</v>
      </c>
      <c r="N67" s="23" t="n">
        <f aca="false">'SA Data'!T67</f>
        <v>131.95026651994</v>
      </c>
      <c r="O67" s="24" t="n">
        <f aca="false">(N67/N66-1)*100</f>
        <v>-1.10027182095398</v>
      </c>
      <c r="P67" s="24" t="n">
        <f aca="false">(AVERAGE(N65:N67)/AVERAGE(N62:N64)-1)*100</f>
        <v>-2.6016736766043</v>
      </c>
      <c r="Q67" s="24" t="n">
        <f aca="false">((AVERAGE(N65:N67)/AVERAGE(N62:N64))^4-1)*100</f>
        <v>-10.0075705214714</v>
      </c>
      <c r="R67" s="24" t="n">
        <f aca="false">IFERROR(('SA Data'!X67/'SA Data'!X55-1)*100,"")</f>
        <v>-2.58050164586073</v>
      </c>
      <c r="S67" s="24" t="n">
        <f aca="false">IFERROR((AVERAGE('SA Data'!X67:X67)/AVERAGE('SA Data'!X55:X55)-1)*100,"")</f>
        <v>-2.58050164586073</v>
      </c>
    </row>
    <row r="68" customFormat="false" ht="15" hidden="false" customHeight="false" outlineLevel="0" collapsed="false">
      <c r="A68" s="20" t="n">
        <v>39872</v>
      </c>
      <c r="B68" s="23" t="n">
        <f aca="false">'SA Data'!R68</f>
        <v>94.4264333979289</v>
      </c>
      <c r="C68" s="24" t="n">
        <f aca="false">(B68/B67-1)*100</f>
        <v>0.181453156914158</v>
      </c>
      <c r="D68" s="24" t="n">
        <f aca="false">(AVERAGE(B66:B68)/AVERAGE(B63:B65)-1)*100</f>
        <v>-8.35861916989479</v>
      </c>
      <c r="E68" s="24" t="n">
        <f aca="false">((AVERAGE(B66:B68)/AVERAGE(B63:B65))^4-1)*100</f>
        <v>-29.4711995188314</v>
      </c>
      <c r="F68" s="24" t="n">
        <f aca="false">IFERROR(('SA Data'!V68/'SA Data'!V56-1)*100,"")</f>
        <v>-8.7145666186132</v>
      </c>
      <c r="G68" s="24" t="n">
        <f aca="false">IFERROR((AVERAGE('SA Data'!V67:V68)/AVERAGE('SA Data'!V55:V56)-1)*100,"")</f>
        <v>-10.247132373332</v>
      </c>
      <c r="H68" s="23" t="n">
        <f aca="false">'SA Data'!S68</f>
        <v>118.024106449744</v>
      </c>
      <c r="I68" s="24" t="n">
        <f aca="false">(H68/H67-1)*100</f>
        <v>-0.000445170017571162</v>
      </c>
      <c r="J68" s="24" t="n">
        <f aca="false">(AVERAGE(H66:H68)/AVERAGE(H63:H65)-1)*100</f>
        <v>-6.47808086504815</v>
      </c>
      <c r="K68" s="24" t="n">
        <f aca="false">((AVERAGE(H66:H68)/AVERAGE(H63:H65))^4-1)*100</f>
        <v>-23.5013728958397</v>
      </c>
      <c r="L68" s="24" t="n">
        <f aca="false">IFERROR(('SA Data'!W68/'SA Data'!W56-1)*100,"")</f>
        <v>-12.7050939388123</v>
      </c>
      <c r="M68" s="24" t="n">
        <f aca="false">IFERROR((AVERAGE('SA Data'!W67:W68)/AVERAGE('SA Data'!W55:W56)-1)*100,"")</f>
        <v>-12.5008788847542</v>
      </c>
      <c r="N68" s="23" t="n">
        <f aca="false">'SA Data'!T68</f>
        <v>131.994621019864</v>
      </c>
      <c r="O68" s="24" t="n">
        <f aca="false">(N68/N67-1)*100</f>
        <v>0.0336145587977565</v>
      </c>
      <c r="P68" s="24" t="n">
        <f aca="false">(AVERAGE(N66:N68)/AVERAGE(N63:N65)-1)*100</f>
        <v>-2.03005880819116</v>
      </c>
      <c r="Q68" s="24" t="n">
        <f aca="false">((AVERAGE(N66:N68)/AVERAGE(N63:N65))^4-1)*100</f>
        <v>-7.87629638471669</v>
      </c>
      <c r="R68" s="24" t="n">
        <f aca="false">IFERROR(('SA Data'!X68/'SA Data'!X56-1)*100,"")</f>
        <v>-3.31711239437005</v>
      </c>
      <c r="S68" s="24" t="n">
        <f aca="false">IFERROR((AVERAGE('SA Data'!X67:X68)/AVERAGE('SA Data'!X55:X56)-1)*100,"")</f>
        <v>-2.94649633851964</v>
      </c>
    </row>
    <row r="69" customFormat="false" ht="15" hidden="false" customHeight="false" outlineLevel="0" collapsed="false">
      <c r="A69" s="20" t="n">
        <v>39903</v>
      </c>
      <c r="B69" s="23" t="n">
        <f aca="false">'SA Data'!R69</f>
        <v>85.3558243409207</v>
      </c>
      <c r="C69" s="24" t="n">
        <f aca="false">(B69/B68-1)*100</f>
        <v>-9.60600621097605</v>
      </c>
      <c r="D69" s="24" t="n">
        <f aca="false">(AVERAGE(B67:B69)/AVERAGE(B64:B66)-1)*100</f>
        <v>-7.69783209166308</v>
      </c>
      <c r="E69" s="24" t="n">
        <f aca="false">((AVERAGE(B67:B69)/AVERAGE(B64:B66))^4-1)*100</f>
        <v>-27.4148788861612</v>
      </c>
      <c r="F69" s="24" t="n">
        <f aca="false">IFERROR(('SA Data'!V69/'SA Data'!V57-1)*100,"")</f>
        <v>-20.6186160476871</v>
      </c>
      <c r="G69" s="24" t="n">
        <f aca="false">IFERROR((AVERAGE('SA Data'!V67:V69)/AVERAGE('SA Data'!V55:V57)-1)*100,"")</f>
        <v>-15.4447260329788</v>
      </c>
      <c r="H69" s="23" t="n">
        <f aca="false">'SA Data'!S69</f>
        <v>117.669658952396</v>
      </c>
      <c r="I69" s="24" t="n">
        <f aca="false">(H69/H68-1)*100</f>
        <v>-0.300317882516066</v>
      </c>
      <c r="J69" s="24" t="n">
        <f aca="false">(AVERAGE(H67:H69)/AVERAGE(H64:H66)-1)*100</f>
        <v>-4.69938056560829</v>
      </c>
      <c r="K69" s="24" t="n">
        <f aca="false">((AVERAGE(H67:H69)/AVERAGE(H64:H66))^4-1)*100</f>
        <v>-17.5134966717006</v>
      </c>
      <c r="L69" s="24" t="n">
        <f aca="false">IFERROR(('SA Data'!W69/'SA Data'!W57-1)*100,"")</f>
        <v>-9.90672670825477</v>
      </c>
      <c r="M69" s="24" t="n">
        <f aca="false">IFERROR((AVERAGE('SA Data'!W67:W69)/AVERAGE('SA Data'!W55:W57)-1)*100,"")</f>
        <v>-11.6033600883555</v>
      </c>
      <c r="N69" s="23" t="n">
        <f aca="false">'SA Data'!T69</f>
        <v>132.236368041534</v>
      </c>
      <c r="O69" s="24" t="n">
        <f aca="false">(N69/N68-1)*100</f>
        <v>0.183149146383665</v>
      </c>
      <c r="P69" s="24" t="n">
        <f aca="false">(AVERAGE(N67:N69)/AVERAGE(N64:N66)-1)*100</f>
        <v>-1.48820977155363</v>
      </c>
      <c r="Q69" s="24" t="n">
        <f aca="false">((AVERAGE(N67:N69)/AVERAGE(N64:N66))^4-1)*100</f>
        <v>-5.82126649751161</v>
      </c>
      <c r="R69" s="24" t="n">
        <f aca="false">IFERROR(('SA Data'!X69/'SA Data'!X57-1)*100,"")</f>
        <v>-0.826966893916936</v>
      </c>
      <c r="S69" s="24" t="n">
        <f aca="false">IFERROR((AVERAGE('SA Data'!X67:X69)/AVERAGE('SA Data'!X55:X57)-1)*100,"")</f>
        <v>-2.22984920633256</v>
      </c>
    </row>
    <row r="70" customFormat="false" ht="15" hidden="false" customHeight="false" outlineLevel="0" collapsed="false">
      <c r="A70" s="20" t="n">
        <v>39933</v>
      </c>
      <c r="B70" s="23" t="n">
        <f aca="false">'SA Data'!R70</f>
        <v>69.9984739969282</v>
      </c>
      <c r="C70" s="24" t="n">
        <f aca="false">(B70/B69-1)*100</f>
        <v>-17.9921528057108</v>
      </c>
      <c r="D70" s="24" t="n">
        <f aca="false">(AVERAGE(B68:B70)/AVERAGE(B65:B67)-1)*100</f>
        <v>-13.1979613195683</v>
      </c>
      <c r="E70" s="24" t="n">
        <f aca="false">((AVERAGE(B68:B70)/AVERAGE(B65:B67))^4-1)*100</f>
        <v>-43.2298944745753</v>
      </c>
      <c r="F70" s="24" t="n">
        <f aca="false">IFERROR(('SA Data'!V70/'SA Data'!V58-1)*100,"")</f>
        <v>-40.4230648607134</v>
      </c>
      <c r="G70" s="24" t="n">
        <f aca="false">IFERROR((AVERAGE('SA Data'!V67:V70)/AVERAGE('SA Data'!V55:V58)-1)*100,"")</f>
        <v>-26.6749689976127</v>
      </c>
      <c r="H70" s="23" t="n">
        <f aca="false">'SA Data'!S70</f>
        <v>117.479606475771</v>
      </c>
      <c r="I70" s="24" t="n">
        <f aca="false">(H70/H69-1)*100</f>
        <v>-0.161513578195471</v>
      </c>
      <c r="J70" s="24" t="n">
        <f aca="false">(AVERAGE(H68:H70)/AVERAGE(H65:H67)-1)*100</f>
        <v>-2.5127908097715</v>
      </c>
      <c r="K70" s="24" t="n">
        <f aca="false">((AVERAGE(H68:H70)/AVERAGE(H65:H67))^4-1)*100</f>
        <v>-9.67862273450873</v>
      </c>
      <c r="L70" s="24" t="n">
        <f aca="false">IFERROR(('SA Data'!W70/'SA Data'!W58-1)*100,"")</f>
        <v>-12.888720580136</v>
      </c>
      <c r="M70" s="24" t="n">
        <f aca="false">IFERROR((AVERAGE('SA Data'!W67:W70)/AVERAGE('SA Data'!W55:W58)-1)*100,"")</f>
        <v>-11.9414481295555</v>
      </c>
      <c r="N70" s="23" t="n">
        <f aca="false">'SA Data'!T70</f>
        <v>131.654557819922</v>
      </c>
      <c r="O70" s="24" t="n">
        <f aca="false">(N70/N69-1)*100</f>
        <v>-0.439977466281216</v>
      </c>
      <c r="P70" s="24" t="n">
        <f aca="false">(AVERAGE(N68:N70)/AVERAGE(N65:N67)-1)*100</f>
        <v>-0.5765569335486</v>
      </c>
      <c r="Q70" s="24" t="n">
        <f aca="false">((AVERAGE(N68:N70)/AVERAGE(N65:N67))^4-1)*100</f>
        <v>-2.28635921297284</v>
      </c>
      <c r="R70" s="24" t="n">
        <f aca="false">IFERROR(('SA Data'!X70/'SA Data'!X58-1)*100,"")</f>
        <v>-4.62086315003283</v>
      </c>
      <c r="S70" s="24" t="n">
        <f aca="false">IFERROR((AVERAGE('SA Data'!X67:X70)/AVERAGE('SA Data'!X55:X58)-1)*100,"")</f>
        <v>-2.84873377236656</v>
      </c>
    </row>
    <row r="71" customFormat="false" ht="15" hidden="false" customHeight="false" outlineLevel="0" collapsed="false">
      <c r="A71" s="20" t="n">
        <v>39964</v>
      </c>
      <c r="B71" s="23" t="n">
        <f aca="false">'SA Data'!R71</f>
        <v>68.2376285124753</v>
      </c>
      <c r="C71" s="24" t="n">
        <f aca="false">(B71/B70-1)*100</f>
        <v>-2.51554838828368</v>
      </c>
      <c r="D71" s="24" t="n">
        <f aca="false">(AVERAGE(B69:B71)/AVERAGE(B66:B68)-1)*100</f>
        <v>-20.7520382412992</v>
      </c>
      <c r="E71" s="24" t="n">
        <f aca="false">((AVERAGE(B69:B71)/AVERAGE(B66:B68))^4-1)*100</f>
        <v>-60.5585925397364</v>
      </c>
      <c r="F71" s="24" t="n">
        <f aca="false">IFERROR(('SA Data'!V71/'SA Data'!V59-1)*100,"")</f>
        <v>-41.7996059798782</v>
      </c>
      <c r="G71" s="24" t="n">
        <f aca="false">IFERROR((AVERAGE('SA Data'!V67:V71)/AVERAGE('SA Data'!V55:V59)-1)*100,"")</f>
        <v>-32.6604088422506</v>
      </c>
      <c r="H71" s="23" t="n">
        <f aca="false">'SA Data'!S71</f>
        <v>117.033947416046</v>
      </c>
      <c r="I71" s="24" t="n">
        <f aca="false">(H71/H70-1)*100</f>
        <v>-0.379350146884816</v>
      </c>
      <c r="J71" s="24" t="n">
        <f aca="false">(AVERAGE(H69:H71)/AVERAGE(H66:H68)-1)*100</f>
        <v>-1.44496704446958</v>
      </c>
      <c r="K71" s="24" t="n">
        <f aca="false">((AVERAGE(H69:H71)/AVERAGE(H66:H68))^4-1)*100</f>
        <v>-5.65579482872897</v>
      </c>
      <c r="L71" s="24" t="n">
        <f aca="false">IFERROR(('SA Data'!W71/'SA Data'!W59-1)*100,"")</f>
        <v>-11.4762820629221</v>
      </c>
      <c r="M71" s="24" t="n">
        <f aca="false">IFERROR((AVERAGE('SA Data'!W67:W71)/AVERAGE('SA Data'!W55:W59)-1)*100,"")</f>
        <v>-11.8451137489635</v>
      </c>
      <c r="N71" s="23" t="n">
        <f aca="false">'SA Data'!T71</f>
        <v>131.020287389094</v>
      </c>
      <c r="O71" s="24" t="n">
        <f aca="false">(N71/N70-1)*100</f>
        <v>-0.481768684146611</v>
      </c>
      <c r="P71" s="24" t="n">
        <f aca="false">(AVERAGE(N69:N71)/AVERAGE(N66:N68)-1)*100</f>
        <v>-0.617043678249896</v>
      </c>
      <c r="Q71" s="24" t="n">
        <f aca="false">((AVERAGE(N69:N71)/AVERAGE(N66:N68))^4-1)*100</f>
        <v>-2.44542396798234</v>
      </c>
      <c r="R71" s="24" t="n">
        <f aca="false">IFERROR(('SA Data'!X71/'SA Data'!X59-1)*100,"")</f>
        <v>-4.63359464591903</v>
      </c>
      <c r="S71" s="24" t="n">
        <f aca="false">IFERROR((AVERAGE('SA Data'!X67:X71)/AVERAGE('SA Data'!X55:X59)-1)*100,"")</f>
        <v>-3.21859657123202</v>
      </c>
    </row>
    <row r="72" customFormat="false" ht="15" hidden="false" customHeight="false" outlineLevel="0" collapsed="false">
      <c r="A72" s="20" t="n">
        <v>39994</v>
      </c>
      <c r="B72" s="23" t="n">
        <f aca="false">'SA Data'!R72</f>
        <v>70.113670123094</v>
      </c>
      <c r="C72" s="24" t="n">
        <f aca="false">(B72/B71-1)*100</f>
        <v>2.74927727049561</v>
      </c>
      <c r="D72" s="24" t="n">
        <f aca="false">(AVERAGE(B70:B72)/AVERAGE(B67:B69)-1)*100</f>
        <v>-23.9703873851961</v>
      </c>
      <c r="E72" s="24" t="n">
        <f aca="false">((AVERAGE(B70:B72)/AVERAGE(B67:B69))^4-1)*100</f>
        <v>-66.5857966932331</v>
      </c>
      <c r="F72" s="24" t="n">
        <f aca="false">IFERROR(('SA Data'!V72/'SA Data'!V60-1)*100,"")</f>
        <v>-38.9791303094648</v>
      </c>
      <c r="G72" s="24" t="n">
        <f aca="false">IFERROR((AVERAGE('SA Data'!V67:V72)/AVERAGE('SA Data'!V55:V60)-1)*100,"")</f>
        <v>-33.9692833710646</v>
      </c>
      <c r="H72" s="23" t="n">
        <f aca="false">'SA Data'!S72</f>
        <v>118.68437617063</v>
      </c>
      <c r="I72" s="24" t="n">
        <f aca="false">(H72/H71-1)*100</f>
        <v>1.41021369527738</v>
      </c>
      <c r="J72" s="24" t="n">
        <f aca="false">(AVERAGE(H70:H72)/AVERAGE(H67:H69)-1)*100</f>
        <v>-0.147141682123186</v>
      </c>
      <c r="K72" s="24" t="n">
        <f aca="false">((AVERAGE(H70:H72)/AVERAGE(H67:H69))^4-1)*100</f>
        <v>-0.587268961833587</v>
      </c>
      <c r="L72" s="24" t="n">
        <f aca="false">IFERROR(('SA Data'!W72/'SA Data'!W60-1)*100,"")</f>
        <v>-8.22538559281443</v>
      </c>
      <c r="M72" s="24" t="n">
        <f aca="false">IFERROR((AVERAGE('SA Data'!W67:W72)/AVERAGE('SA Data'!W55:W60)-1)*100,"")</f>
        <v>-11.2461855792695</v>
      </c>
      <c r="N72" s="23" t="n">
        <f aca="false">'SA Data'!T72</f>
        <v>132.873696056219</v>
      </c>
      <c r="O72" s="24" t="n">
        <f aca="false">(N72/N71-1)*100</f>
        <v>1.4145967041127</v>
      </c>
      <c r="P72" s="24" t="n">
        <f aca="false">(AVERAGE(N70:N72)/AVERAGE(N67:N69)-1)*100</f>
        <v>-0.15970324370177</v>
      </c>
      <c r="Q72" s="24" t="n">
        <f aca="false">((AVERAGE(N70:N72)/AVERAGE(N67:N69))^4-1)*100</f>
        <v>-0.637284295894181</v>
      </c>
      <c r="R72" s="24" t="n">
        <f aca="false">IFERROR(('SA Data'!X72/'SA Data'!X60-1)*100,"")</f>
        <v>-1.01110107469196</v>
      </c>
      <c r="S72" s="24" t="n">
        <f aca="false">IFERROR((AVERAGE('SA Data'!X67:X72)/AVERAGE('SA Data'!X55:X60)-1)*100,"")</f>
        <v>-2.8468526519752</v>
      </c>
    </row>
    <row r="73" customFormat="false" ht="15" hidden="false" customHeight="false" outlineLevel="0" collapsed="false">
      <c r="A73" s="20" t="n">
        <v>40025</v>
      </c>
      <c r="B73" s="23" t="n">
        <f aca="false">'SA Data'!R73</f>
        <v>86.7799293365066</v>
      </c>
      <c r="C73" s="24" t="n">
        <f aca="false">(B73/B72-1)*100</f>
        <v>23.7703420519177</v>
      </c>
      <c r="D73" s="24" t="n">
        <f aca="false">(AVERAGE(B71:B73)/AVERAGE(B68:B70)-1)*100</f>
        <v>-9.86845686310847</v>
      </c>
      <c r="E73" s="24" t="n">
        <f aca="false">((AVERAGE(B71:B73)/AVERAGE(B68:B70))^4-1)*100</f>
        <v>-34.0055784382963</v>
      </c>
      <c r="F73" s="24" t="n">
        <f aca="false">IFERROR(('SA Data'!V73/'SA Data'!V61-1)*100,"")</f>
        <v>-20.0179748015861</v>
      </c>
      <c r="G73" s="24" t="n">
        <f aca="false">IFERROR((AVERAGE('SA Data'!V67:V73)/AVERAGE('SA Data'!V55:V61)-1)*100,"")</f>
        <v>-32.5962785568673</v>
      </c>
      <c r="H73" s="23" t="n">
        <f aca="false">'SA Data'!S73</f>
        <v>120.617926064597</v>
      </c>
      <c r="I73" s="24" t="n">
        <f aca="false">(H73/H72-1)*100</f>
        <v>1.62915284753804</v>
      </c>
      <c r="J73" s="24" t="n">
        <f aca="false">(AVERAGE(H71:H73)/AVERAGE(H68:H70)-1)*100</f>
        <v>0.895559525494405</v>
      </c>
      <c r="K73" s="24" t="n">
        <f aca="false">((AVERAGE(H71:H73)/AVERAGE(H68:H70))^4-1)*100</f>
        <v>3.63064766216594</v>
      </c>
      <c r="L73" s="24" t="n">
        <f aca="false">IFERROR(('SA Data'!W73/'SA Data'!W61-1)*100,"")</f>
        <v>-8.80362785193096</v>
      </c>
      <c r="M73" s="24" t="n">
        <f aca="false">IFERROR((AVERAGE('SA Data'!W67:W73)/AVERAGE('SA Data'!W55:W61)-1)*100,"")</f>
        <v>-10.8824614143591</v>
      </c>
      <c r="N73" s="23" t="n">
        <f aca="false">'SA Data'!T73</f>
        <v>133.112451667403</v>
      </c>
      <c r="O73" s="24" t="n">
        <f aca="false">(N73/N72-1)*100</f>
        <v>0.179686136737511</v>
      </c>
      <c r="P73" s="24" t="n">
        <f aca="false">(AVERAGE(N71:N73)/AVERAGE(N68:N70)-1)*100</f>
        <v>0.283134416052078</v>
      </c>
      <c r="Q73" s="24" t="n">
        <f aca="false">((AVERAGE(N71:N73)/AVERAGE(N68:N70))^4-1)*100</f>
        <v>1.13735665548718</v>
      </c>
      <c r="R73" s="24" t="n">
        <f aca="false">IFERROR(('SA Data'!X73/'SA Data'!X61-1)*100,"")</f>
        <v>-3.35171853079915</v>
      </c>
      <c r="S73" s="24" t="n">
        <f aca="false">IFERROR((AVERAGE('SA Data'!X67:X73)/AVERAGE('SA Data'!X55:X61)-1)*100,"")</f>
        <v>-2.92086648195108</v>
      </c>
    </row>
    <row r="74" customFormat="false" ht="15" hidden="false" customHeight="false" outlineLevel="0" collapsed="false">
      <c r="A74" s="20" t="n">
        <v>40056</v>
      </c>
      <c r="B74" s="23" t="n">
        <f aca="false">'SA Data'!R74</f>
        <v>95.5736170412799</v>
      </c>
      <c r="C74" s="24" t="n">
        <f aca="false">(B74/B73-1)*100</f>
        <v>10.133319734191</v>
      </c>
      <c r="D74" s="24" t="n">
        <f aca="false">(AVERAGE(B72:B74)/AVERAGE(B69:B71)-1)*100</f>
        <v>12.914280965916</v>
      </c>
      <c r="E74" s="24" t="n">
        <f aca="false">((AVERAGE(B72:B74)/AVERAGE(B69:B71))^4-1)*100</f>
        <v>62.553188707608</v>
      </c>
      <c r="F74" s="24" t="n">
        <f aca="false">IFERROR(('SA Data'!V74/'SA Data'!V62-1)*100,"")</f>
        <v>-8.83473425671061</v>
      </c>
      <c r="G74" s="24" t="n">
        <f aca="false">IFERROR((AVERAGE('SA Data'!V67:V74)/AVERAGE('SA Data'!V55:V62)-1)*100,"")</f>
        <v>-31.1772332650476</v>
      </c>
      <c r="H74" s="23" t="n">
        <f aca="false">'SA Data'!S74</f>
        <v>119.061960438224</v>
      </c>
      <c r="I74" s="24" t="n">
        <f aca="false">(H74/H73-1)*100</f>
        <v>-1.28999534077564</v>
      </c>
      <c r="J74" s="24" t="n">
        <f aca="false">(AVERAGE(H72:H74)/AVERAGE(H69:H71)-1)*100</f>
        <v>1.75506656871027</v>
      </c>
      <c r="K74" s="24" t="n">
        <f aca="false">((AVERAGE(H72:H74)/AVERAGE(H69:H71))^4-1)*100</f>
        <v>7.20725370607005</v>
      </c>
      <c r="L74" s="24" t="n">
        <f aca="false">IFERROR(('SA Data'!W74/'SA Data'!W62-1)*100,"")</f>
        <v>-7.94245644647212</v>
      </c>
      <c r="M74" s="24" t="n">
        <f aca="false">IFERROR((AVERAGE('SA Data'!W67:W74)/AVERAGE('SA Data'!W55:W62)-1)*100,"")</f>
        <v>-10.5067387889419</v>
      </c>
      <c r="N74" s="23" t="n">
        <f aca="false">'SA Data'!T74</f>
        <v>133.151516625742</v>
      </c>
      <c r="O74" s="24" t="n">
        <f aca="false">(N74/N73-1)*100</f>
        <v>0.0293473359173291</v>
      </c>
      <c r="P74" s="24" t="n">
        <f aca="false">(AVERAGE(N72:N74)/AVERAGE(N69:N71)-1)*100</f>
        <v>1.07022818218443</v>
      </c>
      <c r="Q74" s="24" t="n">
        <f aca="false">((AVERAGE(N72:N74)/AVERAGE(N69:N71))^4-1)*100</f>
        <v>4.35012767313052</v>
      </c>
      <c r="R74" s="24" t="n">
        <f aca="false">IFERROR(('SA Data'!X74/'SA Data'!X62-1)*100,"")</f>
        <v>-2.10556438160419</v>
      </c>
      <c r="S74" s="24" t="n">
        <f aca="false">IFERROR((AVERAGE('SA Data'!X67:X74)/AVERAGE('SA Data'!X55:X62)-1)*100,"")</f>
        <v>-2.81809105590778</v>
      </c>
    </row>
    <row r="75" customFormat="false" ht="15" hidden="false" customHeight="false" outlineLevel="0" collapsed="false">
      <c r="A75" s="20" t="n">
        <v>40086</v>
      </c>
      <c r="B75" s="23" t="n">
        <f aca="false">'SA Data'!R75</f>
        <v>98.006693193524</v>
      </c>
      <c r="C75" s="24" t="n">
        <f aca="false">(B75/B74-1)*100</f>
        <v>2.54576129643942</v>
      </c>
      <c r="D75" s="24" t="n">
        <f aca="false">(AVERAGE(B73:B75)/AVERAGE(B70:B72)-1)*100</f>
        <v>34.5622968669278</v>
      </c>
      <c r="E75" s="24" t="n">
        <f aca="false">((AVERAGE(B73:B75)/AVERAGE(B70:B72))^4-1)*100</f>
        <v>227.863874083808</v>
      </c>
      <c r="F75" s="24" t="n">
        <f aca="false">IFERROR(('SA Data'!V75/'SA Data'!V63-1)*100,"")</f>
        <v>-4.89352387805669</v>
      </c>
      <c r="G75" s="24" t="n">
        <f aca="false">IFERROR((AVERAGE('SA Data'!V67:V75)/AVERAGE('SA Data'!V55:V63)-1)*100,"")</f>
        <v>-29.7875577158025</v>
      </c>
      <c r="H75" s="23" t="n">
        <f aca="false">'SA Data'!S75</f>
        <v>119.581432157637</v>
      </c>
      <c r="I75" s="24" t="n">
        <f aca="false">(H75/H74-1)*100</f>
        <v>0.436303683814332</v>
      </c>
      <c r="J75" s="24" t="n">
        <f aca="false">(AVERAGE(H73:H75)/AVERAGE(H70:H72)-1)*100</f>
        <v>1.71671124939445</v>
      </c>
      <c r="K75" s="24" t="n">
        <f aca="false">((AVERAGE(H73:H75)/AVERAGE(H70:H72))^4-1)*100</f>
        <v>7.04570325997143</v>
      </c>
      <c r="L75" s="24" t="n">
        <f aca="false">IFERROR(('SA Data'!W75/'SA Data'!W63-1)*100,"")</f>
        <v>-9.61047149351197</v>
      </c>
      <c r="M75" s="24" t="n">
        <f aca="false">IFERROR((AVERAGE('SA Data'!W67:W75)/AVERAGE('SA Data'!W55:W63)-1)*100,"")</f>
        <v>-10.4022972929464</v>
      </c>
      <c r="N75" s="23" t="n">
        <f aca="false">'SA Data'!T75</f>
        <v>135.148514225384</v>
      </c>
      <c r="O75" s="24" t="n">
        <f aca="false">(N75/N74-1)*100</f>
        <v>1.49979335590724</v>
      </c>
      <c r="P75" s="24" t="n">
        <f aca="false">(AVERAGE(N73:N75)/AVERAGE(N70:N72)-1)*100</f>
        <v>1.48248334693293</v>
      </c>
      <c r="Q75" s="24" t="n">
        <f aca="false">((AVERAGE(N73:N75)/AVERAGE(N70:N72))^4-1)*100</f>
        <v>6.06310688548948</v>
      </c>
      <c r="R75" s="24" t="n">
        <f aca="false">IFERROR(('SA Data'!X75/'SA Data'!X63-1)*100,"")</f>
        <v>-0.93710237663589</v>
      </c>
      <c r="S75" s="24" t="n">
        <f aca="false">IFERROR((AVERAGE('SA Data'!X67:X75)/AVERAGE('SA Data'!X55:X63)-1)*100,"")</f>
        <v>-2.60713183783345</v>
      </c>
    </row>
    <row r="76" customFormat="false" ht="15" hidden="false" customHeight="false" outlineLevel="0" collapsed="false">
      <c r="A76" s="20" t="n">
        <v>40117</v>
      </c>
      <c r="B76" s="23" t="n">
        <f aca="false">'SA Data'!R76</f>
        <v>95.5183372393267</v>
      </c>
      <c r="C76" s="24" t="n">
        <f aca="false">(B76/B75-1)*100</f>
        <v>-2.53896532279055</v>
      </c>
      <c r="D76" s="24" t="n">
        <f aca="false">(AVERAGE(B74:B76)/AVERAGE(B71:B73)-1)*100</f>
        <v>28.4133925258866</v>
      </c>
      <c r="E76" s="24" t="n">
        <f aca="false">((AVERAGE(B74:B76)/AVERAGE(B71:B73))^4-1)*100</f>
        <v>171.920079552646</v>
      </c>
      <c r="F76" s="24" t="n">
        <f aca="false">IFERROR(('SA Data'!V76/'SA Data'!V64-1)*100,"")</f>
        <v>-6.08735184001896</v>
      </c>
      <c r="G76" s="24" t="n">
        <f aca="false">IFERROR((AVERAGE('SA Data'!V67:V76)/AVERAGE('SA Data'!V55:V64)-1)*100,"")</f>
        <v>-28.6042270715763</v>
      </c>
      <c r="H76" s="23" t="n">
        <f aca="false">'SA Data'!S76</f>
        <v>123.509935939516</v>
      </c>
      <c r="I76" s="24" t="n">
        <f aca="false">(H76/H75-1)*100</f>
        <v>3.2852121863707</v>
      </c>
      <c r="J76" s="24" t="n">
        <f aca="false">(AVERAGE(H74:H76)/AVERAGE(H71:H73)-1)*100</f>
        <v>1.63246902042569</v>
      </c>
      <c r="K76" s="24" t="n">
        <f aca="false">((AVERAGE(H74:H76)/AVERAGE(H71:H73))^4-1)*100</f>
        <v>6.69152067250578</v>
      </c>
      <c r="L76" s="24" t="n">
        <f aca="false">IFERROR(('SA Data'!W76/'SA Data'!W64-1)*100,"")</f>
        <v>-2.79499306388067</v>
      </c>
      <c r="M76" s="24" t="n">
        <f aca="false">IFERROR((AVERAGE('SA Data'!W67:W76)/AVERAGE('SA Data'!W55:W64)-1)*100,"")</f>
        <v>-9.63194218108703</v>
      </c>
      <c r="N76" s="23" t="n">
        <f aca="false">'SA Data'!T76</f>
        <v>135.619491209269</v>
      </c>
      <c r="O76" s="24" t="n">
        <f aca="false">(N76/N75-1)*100</f>
        <v>0.348488465880537</v>
      </c>
      <c r="P76" s="24" t="n">
        <f aca="false">(AVERAGE(N74:N76)/AVERAGE(N71:N73)-1)*100</f>
        <v>1.74130349945469</v>
      </c>
      <c r="Q76" s="24" t="n">
        <f aca="false">((AVERAGE(N74:N76)/AVERAGE(N71:N73))^4-1)*100</f>
        <v>7.14926341323023</v>
      </c>
      <c r="R76" s="24" t="n">
        <f aca="false">IFERROR(('SA Data'!X76/'SA Data'!X64-1)*100,"")</f>
        <v>-0.383392986443276</v>
      </c>
      <c r="S76" s="24" t="n">
        <f aca="false">IFERROR((AVERAGE('SA Data'!X67:X76)/AVERAGE('SA Data'!X55:X64)-1)*100,"")</f>
        <v>-2.38399582714136</v>
      </c>
    </row>
    <row r="77" customFormat="false" ht="15" hidden="false" customHeight="false" outlineLevel="0" collapsed="false">
      <c r="A77" s="20" t="n">
        <v>40147</v>
      </c>
      <c r="B77" s="23" t="n">
        <f aca="false">'SA Data'!R77</f>
        <v>94.5060136040198</v>
      </c>
      <c r="C77" s="24" t="n">
        <f aca="false">(B77/B76-1)*100</f>
        <v>-1.05982124957896</v>
      </c>
      <c r="D77" s="24" t="n">
        <f aca="false">(AVERAGE(B75:B77)/AVERAGE(B72:B74)-1)*100</f>
        <v>14.0865131041146</v>
      </c>
      <c r="E77" s="24" t="n">
        <f aca="false">((AVERAGE(B75:B77)/AVERAGE(B72:B74))^4-1)*100</f>
        <v>69.4092917893215</v>
      </c>
      <c r="F77" s="24" t="n">
        <f aca="false">IFERROR(('SA Data'!V77/'SA Data'!V65-1)*100,"")</f>
        <v>-4.55884170013126</v>
      </c>
      <c r="G77" s="24" t="n">
        <f aca="false">IFERROR((AVERAGE('SA Data'!V67:V77)/AVERAGE('SA Data'!V55:V65)-1)*100,"")</f>
        <v>-27.2512241665785</v>
      </c>
      <c r="H77" s="23" t="n">
        <f aca="false">'SA Data'!S77</f>
        <v>124.197597993083</v>
      </c>
      <c r="I77" s="24" t="n">
        <f aca="false">(H77/H76-1)*100</f>
        <v>0.5567665858911</v>
      </c>
      <c r="J77" s="24" t="n">
        <f aca="false">(AVERAGE(H75:H77)/AVERAGE(H72:H74)-1)*100</f>
        <v>2.49039994953904</v>
      </c>
      <c r="K77" s="24" t="n">
        <f aca="false">((AVERAGE(H75:H77)/AVERAGE(H72:H74))^4-1)*100</f>
        <v>10.3399420543706</v>
      </c>
      <c r="L77" s="24" t="n">
        <f aca="false">IFERROR(('SA Data'!W77/'SA Data'!W65-1)*100,"")</f>
        <v>1.2759762464017</v>
      </c>
      <c r="M77" s="24" t="n">
        <f aca="false">IFERROR((AVERAGE('SA Data'!W67:W77)/AVERAGE('SA Data'!W55:W65)-1)*100,"")</f>
        <v>-8.68476245672049</v>
      </c>
      <c r="N77" s="23" t="n">
        <f aca="false">'SA Data'!T77</f>
        <v>136.195987602956</v>
      </c>
      <c r="O77" s="24" t="n">
        <f aca="false">(N77/N76-1)*100</f>
        <v>0.425083731362319</v>
      </c>
      <c r="P77" s="24" t="n">
        <f aca="false">(AVERAGE(N75:N77)/AVERAGE(N72:N74)-1)*100</f>
        <v>1.96080936160268</v>
      </c>
      <c r="Q77" s="24" t="n">
        <f aca="false">((AVERAGE(N75:N77)/AVERAGE(N72:N74))^4-1)*100</f>
        <v>8.07695417687893</v>
      </c>
      <c r="R77" s="24" t="n">
        <f aca="false">IFERROR(('SA Data'!X77/'SA Data'!X65-1)*100,"")</f>
        <v>2.78529856423364</v>
      </c>
      <c r="S77" s="24" t="n">
        <f aca="false">IFERROR((AVERAGE('SA Data'!X67:X77)/AVERAGE('SA Data'!X55:X65)-1)*100,"")</f>
        <v>-1.92551787544003</v>
      </c>
    </row>
    <row r="78" customFormat="false" ht="15" hidden="false" customHeight="false" outlineLevel="0" collapsed="false">
      <c r="A78" s="20" t="n">
        <v>40178</v>
      </c>
      <c r="B78" s="23" t="n">
        <f aca="false">'SA Data'!R78</f>
        <v>86.1225341631735</v>
      </c>
      <c r="C78" s="24" t="n">
        <f aca="false">(B78/B77-1)*100</f>
        <v>-8.87084231059945</v>
      </c>
      <c r="D78" s="24" t="n">
        <f aca="false">(AVERAGE(B76:B78)/AVERAGE(B73:B75)-1)*100</f>
        <v>-1.50283598388733</v>
      </c>
      <c r="E78" s="24" t="n">
        <f aca="false">((AVERAGE(B76:B78)/AVERAGE(B73:B75))^4-1)*100</f>
        <v>-5.87718554662949</v>
      </c>
      <c r="F78" s="24" t="n">
        <f aca="false">IFERROR(('SA Data'!V78/'SA Data'!V66-1)*100,"")</f>
        <v>-8.65857603914506</v>
      </c>
      <c r="G78" s="24" t="n">
        <f aca="false">IFERROR((AVERAGE('SA Data'!V67:V78)/AVERAGE('SA Data'!V55:V66)-1)*100,"")</f>
        <v>-26.267879693905</v>
      </c>
      <c r="H78" s="23" t="n">
        <f aca="false">'SA Data'!S78</f>
        <v>125.915335628367</v>
      </c>
      <c r="I78" s="24" t="n">
        <f aca="false">(H78/H77-1)*100</f>
        <v>1.38306832260933</v>
      </c>
      <c r="J78" s="24" t="n">
        <f aca="false">(AVERAGE(H76:H78)/AVERAGE(H73:H75)-1)*100</f>
        <v>3.99752218080627</v>
      </c>
      <c r="K78" s="24" t="n">
        <f aca="false">((AVERAGE(H76:H78)/AVERAGE(H73:H75))^4-1)*100</f>
        <v>16.9747075599902</v>
      </c>
      <c r="L78" s="24" t="n">
        <f aca="false">IFERROR(('SA Data'!W78/'SA Data'!W66-1)*100,"")</f>
        <v>3.72642832029055</v>
      </c>
      <c r="M78" s="24" t="n">
        <f aca="false">IFERROR((AVERAGE('SA Data'!W67:W78)/AVERAGE('SA Data'!W55:W66)-1)*100,"")</f>
        <v>-7.73926319617815</v>
      </c>
      <c r="N78" s="23" t="n">
        <f aca="false">'SA Data'!T78</f>
        <v>137.379851722741</v>
      </c>
      <c r="O78" s="24" t="n">
        <f aca="false">(N78/N77-1)*100</f>
        <v>0.869235680596536</v>
      </c>
      <c r="P78" s="24" t="n">
        <f aca="false">(AVERAGE(N76:N78)/AVERAGE(N73:N75)-1)*100</f>
        <v>1.93886547015325</v>
      </c>
      <c r="Q78" s="24" t="n">
        <f aca="false">((AVERAGE(N76:N78)/AVERAGE(N73:N75))^4-1)*100</f>
        <v>7.98394340356969</v>
      </c>
      <c r="R78" s="24" t="n">
        <f aca="false">IFERROR(('SA Data'!X78/'SA Data'!X66-1)*100,"")</f>
        <v>3.15732621779334</v>
      </c>
      <c r="S78" s="24" t="n">
        <f aca="false">IFERROR((AVERAGE('SA Data'!X67:X78)/AVERAGE('SA Data'!X55:X66)-1)*100,"")</f>
        <v>-1.51327710463518</v>
      </c>
    </row>
    <row r="79" customFormat="false" ht="15" hidden="false" customHeight="false" outlineLevel="0" collapsed="false">
      <c r="A79" s="20" t="n">
        <v>40209</v>
      </c>
      <c r="B79" s="23" t="n">
        <f aca="false">'SA Data'!R79</f>
        <v>90.4533526670743</v>
      </c>
      <c r="C79" s="24" t="n">
        <f aca="false">(B79/B78-1)*100</f>
        <v>5.02867054015774</v>
      </c>
      <c r="D79" s="24" t="n">
        <f aca="false">(AVERAGE(B77:B79)/AVERAGE(B74:B76)-1)*100</f>
        <v>-6.23204127631729</v>
      </c>
      <c r="E79" s="24" t="n">
        <f aca="false">((AVERAGE(B77:B79)/AVERAGE(B74:B76))^4-1)*100</f>
        <v>-22.6931732319295</v>
      </c>
      <c r="F79" s="24" t="n">
        <f aca="false">IFERROR(('SA Data'!V79/'SA Data'!V67-1)*100,"")</f>
        <v>-4.56434776417887</v>
      </c>
      <c r="G79" s="24" t="n">
        <f aca="false">IFERROR((AVERAGE('SA Data'!V79:V79)/AVERAGE('SA Data'!V67:V67)-1)*100,"")</f>
        <v>-4.56434776417887</v>
      </c>
      <c r="H79" s="23" t="n">
        <f aca="false">'SA Data'!S79</f>
        <v>127.122226831571</v>
      </c>
      <c r="I79" s="24" t="n">
        <f aca="false">(H79/H78-1)*100</f>
        <v>0.958494211353589</v>
      </c>
      <c r="J79" s="24" t="n">
        <f aca="false">(AVERAGE(H77:H79)/AVERAGE(H74:H76)-1)*100</f>
        <v>4.16448800253713</v>
      </c>
      <c r="K79" s="24" t="n">
        <f aca="false">((AVERAGE(H77:H79)/AVERAGE(H74:H76))^4-1)*100</f>
        <v>17.7277202278957</v>
      </c>
      <c r="L79" s="24" t="n">
        <f aca="false">IFERROR(('SA Data'!W79/'SA Data'!W67-1)*100,"")</f>
        <v>7.3531003228001</v>
      </c>
      <c r="M79" s="24" t="n">
        <f aca="false">IFERROR((AVERAGE('SA Data'!W79:W79)/AVERAGE('SA Data'!W67:W67)-1)*100,"")</f>
        <v>7.3531003228001</v>
      </c>
      <c r="N79" s="23" t="n">
        <f aca="false">'SA Data'!T79</f>
        <v>137.934673772136</v>
      </c>
      <c r="O79" s="24" t="n">
        <f aca="false">(N79/N78-1)*100</f>
        <v>0.4038598400256</v>
      </c>
      <c r="P79" s="24" t="n">
        <f aca="false">(AVERAGE(N77:N79)/AVERAGE(N74:N76)-1)*100</f>
        <v>1.87933254592823</v>
      </c>
      <c r="Q79" s="24" t="n">
        <f aca="false">((AVERAGE(N77:N79)/AVERAGE(N74:N76))^4-1)*100</f>
        <v>7.73191114600207</v>
      </c>
      <c r="R79" s="24" t="n">
        <f aca="false">IFERROR(('SA Data'!X79/'SA Data'!X67-1)*100,"")</f>
        <v>4.35912310533453</v>
      </c>
      <c r="S79" s="24" t="n">
        <f aca="false">IFERROR((AVERAGE('SA Data'!X79:X79)/AVERAGE('SA Data'!X67:X67)-1)*100,"")</f>
        <v>4.35912310533453</v>
      </c>
    </row>
    <row r="80" customFormat="false" ht="15" hidden="false" customHeight="false" outlineLevel="0" collapsed="false">
      <c r="A80" s="20" t="n">
        <v>40237</v>
      </c>
      <c r="B80" s="23" t="n">
        <f aca="false">'SA Data'!R80</f>
        <v>98.0775514534396</v>
      </c>
      <c r="C80" s="24" t="n">
        <f aca="false">(B80/B79-1)*100</f>
        <v>8.42887362553284</v>
      </c>
      <c r="D80" s="24" t="n">
        <f aca="false">(AVERAGE(B78:B80)/AVERAGE(B75:B77)-1)*100</f>
        <v>-4.6445013584961</v>
      </c>
      <c r="E80" s="24" t="n">
        <f aca="false">((AVERAGE(B78:B80)/AVERAGE(B75:B77))^4-1)*100</f>
        <v>-17.3233318822438</v>
      </c>
      <c r="F80" s="24" t="n">
        <f aca="false">IFERROR(('SA Data'!V80/'SA Data'!V68-1)*100,"")</f>
        <v>3.18263051772401</v>
      </c>
      <c r="G80" s="24" t="n">
        <f aca="false">IFERROR((AVERAGE('SA Data'!V79:V80)/AVERAGE('SA Data'!V67:V68)-1)*100,"")</f>
        <v>-0.552052258971192</v>
      </c>
      <c r="H80" s="23" t="n">
        <f aca="false">'SA Data'!S80</f>
        <v>126.822108677345</v>
      </c>
      <c r="I80" s="24" t="n">
        <f aca="false">(H80/H79-1)*100</f>
        <v>-0.236086294039117</v>
      </c>
      <c r="J80" s="24" t="n">
        <f aca="false">(AVERAGE(H78:H80)/AVERAGE(H75:H77)-1)*100</f>
        <v>3.42256539336343</v>
      </c>
      <c r="K80" s="24" t="n">
        <f aca="false">((AVERAGE(H78:H80)/AVERAGE(H75:H77))^4-1)*100</f>
        <v>14.4092727317365</v>
      </c>
      <c r="L80" s="24" t="n">
        <f aca="false">IFERROR(('SA Data'!W80/'SA Data'!W68-1)*100,"")</f>
        <v>6.95470642332472</v>
      </c>
      <c r="M80" s="24" t="n">
        <f aca="false">IFERROR((AVERAGE('SA Data'!W79:W80)/AVERAGE('SA Data'!W67:W68)-1)*100,"")</f>
        <v>7.15578513055273</v>
      </c>
      <c r="N80" s="23" t="n">
        <f aca="false">'SA Data'!T80</f>
        <v>138.925548692962</v>
      </c>
      <c r="O80" s="24" t="n">
        <f aca="false">(N80/N79-1)*100</f>
        <v>0.718365363637918</v>
      </c>
      <c r="P80" s="24" t="n">
        <f aca="false">(AVERAGE(N78:N80)/AVERAGE(N75:N77)-1)*100</f>
        <v>1.78789309981013</v>
      </c>
      <c r="Q80" s="24" t="n">
        <f aca="false">((AVERAGE(N78:N80)/AVERAGE(N75:N77))^4-1)*100</f>
        <v>7.345662365697</v>
      </c>
      <c r="R80" s="24" t="n">
        <f aca="false">IFERROR(('SA Data'!X80/'SA Data'!X68-1)*100,"")</f>
        <v>4.88410842428155</v>
      </c>
      <c r="S80" s="24" t="n">
        <f aca="false">IFERROR((AVERAGE('SA Data'!X79:X80)/AVERAGE('SA Data'!X67:X68)-1)*100,"")</f>
        <v>4.61897284696959</v>
      </c>
    </row>
    <row r="81" customFormat="false" ht="15" hidden="false" customHeight="false" outlineLevel="0" collapsed="false">
      <c r="A81" s="20" t="n">
        <v>40268</v>
      </c>
      <c r="B81" s="23" t="n">
        <f aca="false">'SA Data'!R81</f>
        <v>104.868788336862</v>
      </c>
      <c r="C81" s="24" t="n">
        <f aca="false">(B81/B80-1)*100</f>
        <v>6.92435402676923</v>
      </c>
      <c r="D81" s="24" t="n">
        <f aca="false">(AVERAGE(B79:B81)/AVERAGE(B76:B78)-1)*100</f>
        <v>6.24769222019252</v>
      </c>
      <c r="E81" s="24" t="n">
        <f aca="false">((AVERAGE(B79:B81)/AVERAGE(B76:B78))^4-1)*100</f>
        <v>27.4318601046888</v>
      </c>
      <c r="F81" s="24" t="n">
        <f aca="false">IFERROR(('SA Data'!V81/'SA Data'!V69-1)*100,"")</f>
        <v>23.2843258412063</v>
      </c>
      <c r="G81" s="24" t="n">
        <f aca="false">IFERROR((AVERAGE('SA Data'!V79:V81)/AVERAGE('SA Data'!V67:V69)-1)*100,"")</f>
        <v>10.6624413255088</v>
      </c>
      <c r="H81" s="23" t="n">
        <f aca="false">'SA Data'!S81</f>
        <v>129.403387542369</v>
      </c>
      <c r="I81" s="24" t="n">
        <f aca="false">(H81/H80-1)*100</f>
        <v>2.03535400250408</v>
      </c>
      <c r="J81" s="24" t="n">
        <f aca="false">(AVERAGE(H79:H81)/AVERAGE(H76:H78)-1)*100</f>
        <v>2.60285284510187</v>
      </c>
      <c r="K81" s="24" t="n">
        <f aca="false">((AVERAGE(H79:H81)/AVERAGE(H76:H78))^4-1)*100</f>
        <v>10.8250014225811</v>
      </c>
      <c r="L81" s="24" t="n">
        <f aca="false">IFERROR(('SA Data'!W81/'SA Data'!W69-1)*100,"")</f>
        <v>10.4999257068709</v>
      </c>
      <c r="M81" s="24" t="n">
        <f aca="false">IFERROR((AVERAGE('SA Data'!W79:W81)/AVERAGE('SA Data'!W67:W69)-1)*100,"")</f>
        <v>8.33498993015589</v>
      </c>
      <c r="N81" s="23" t="n">
        <f aca="false">'SA Data'!T81</f>
        <v>140.621908762666</v>
      </c>
      <c r="O81" s="24" t="n">
        <f aca="false">(N81/N80-1)*100</f>
        <v>1.22105695148469</v>
      </c>
      <c r="P81" s="24" t="n">
        <f aca="false">(AVERAGE(N79:N81)/AVERAGE(N76:N78)-1)*100</f>
        <v>2.02514546829378</v>
      </c>
      <c r="Q81" s="24" t="n">
        <f aca="false">((AVERAGE(N79:N81)/AVERAGE(N76:N78))^4-1)*100</f>
        <v>8.34999376531234</v>
      </c>
      <c r="R81" s="24" t="n">
        <f aca="false">IFERROR(('SA Data'!X81/'SA Data'!X69-1)*100,"")</f>
        <v>6.52843130297458</v>
      </c>
      <c r="S81" s="24" t="n">
        <f aca="false">IFERROR((AVERAGE('SA Data'!X79:X81)/AVERAGE('SA Data'!X67:X69)-1)*100,"")</f>
        <v>5.27385542637551</v>
      </c>
    </row>
    <row r="82" customFormat="false" ht="15" hidden="false" customHeight="false" outlineLevel="0" collapsed="false">
      <c r="A82" s="20" t="n">
        <v>40298</v>
      </c>
      <c r="B82" s="23" t="n">
        <f aca="false">'SA Data'!R82</f>
        <v>121.025170471104</v>
      </c>
      <c r="C82" s="24" t="n">
        <f aca="false">(B82/B81-1)*100</f>
        <v>15.4062828325466</v>
      </c>
      <c r="D82" s="24" t="n">
        <f aca="false">(AVERAGE(B80:B82)/AVERAGE(B77:B79)-1)*100</f>
        <v>19.5105647933006</v>
      </c>
      <c r="E82" s="24" t="n">
        <f aca="false">((AVERAGE(B80:B82)/AVERAGE(B77:B79))^4-1)*100</f>
        <v>103.997664477588</v>
      </c>
      <c r="F82" s="24" t="n">
        <f aca="false">IFERROR(('SA Data'!V82/'SA Data'!V70-1)*100,"")</f>
        <v>75.6525509918229</v>
      </c>
      <c r="G82" s="24" t="n">
        <f aca="false">IFERROR((AVERAGE('SA Data'!V79:V82)/AVERAGE('SA Data'!V67:V70)-1)*100,"")</f>
        <v>34.4034284264575</v>
      </c>
      <c r="H82" s="23" t="n">
        <f aca="false">'SA Data'!S82</f>
        <v>130.987734889461</v>
      </c>
      <c r="I82" s="24" t="n">
        <f aca="false">(H82/H81-1)*100</f>
        <v>1.22434765981183</v>
      </c>
      <c r="J82" s="24" t="n">
        <f aca="false">(AVERAGE(H80:H82)/AVERAGE(H77:H79)-1)*100</f>
        <v>2.64505319286015</v>
      </c>
      <c r="K82" s="24" t="n">
        <f aca="false">((AVERAGE(H80:H82)/AVERAGE(H77:H79))^4-1)*100</f>
        <v>11.0074423443526</v>
      </c>
      <c r="L82" s="24" t="n">
        <f aca="false">IFERROR(('SA Data'!W82/'SA Data'!W70-1)*100,"")</f>
        <v>11.0699908281912</v>
      </c>
      <c r="M82" s="24" t="n">
        <f aca="false">IFERROR((AVERAGE('SA Data'!W79:W82)/AVERAGE('SA Data'!W67:W70)-1)*100,"")</f>
        <v>9.04663785753612</v>
      </c>
      <c r="N82" s="23" t="n">
        <f aca="false">'SA Data'!T82</f>
        <v>141.027304199983</v>
      </c>
      <c r="O82" s="24" t="n">
        <f aca="false">(N82/N81-1)*100</f>
        <v>0.288287537044463</v>
      </c>
      <c r="P82" s="24" t="n">
        <f aca="false">(AVERAGE(N80:N82)/AVERAGE(N77:N79)-1)*100</f>
        <v>2.20267727537316</v>
      </c>
      <c r="Q82" s="24" t="n">
        <f aca="false">((AVERAGE(N80:N82)/AVERAGE(N77:N79))^4-1)*100</f>
        <v>9.10611464064422</v>
      </c>
      <c r="R82" s="24" t="n">
        <f aca="false">IFERROR(('SA Data'!X82/'SA Data'!X70-1)*100,"")</f>
        <v>6.83039532155374</v>
      </c>
      <c r="S82" s="24" t="n">
        <f aca="false">IFERROR((AVERAGE('SA Data'!X79:X82)/AVERAGE('SA Data'!X67:X70)-1)*100,"")</f>
        <v>5.66939753313394</v>
      </c>
    </row>
    <row r="83" customFormat="false" ht="15" hidden="false" customHeight="false" outlineLevel="0" collapsed="false">
      <c r="A83" s="20" t="n">
        <v>40329</v>
      </c>
      <c r="B83" s="23" t="n">
        <f aca="false">'SA Data'!R83</f>
        <v>124.928482053906</v>
      </c>
      <c r="C83" s="24" t="n">
        <f aca="false">(B83/B82-1)*100</f>
        <v>3.22520643235409</v>
      </c>
      <c r="D83" s="24" t="n">
        <f aca="false">(AVERAGE(B81:B83)/AVERAGE(B78:B80)-1)*100</f>
        <v>27.7327686316858</v>
      </c>
      <c r="E83" s="24" t="n">
        <f aca="false">((AVERAGE(B81:B83)/AVERAGE(B78:B80))^4-1)*100</f>
        <v>166.200767184804</v>
      </c>
      <c r="F83" s="24" t="n">
        <f aca="false">IFERROR(('SA Data'!V83/'SA Data'!V71-1)*100,"")</f>
        <v>86.5724285827194</v>
      </c>
      <c r="G83" s="24" t="n">
        <f aca="false">IFERROR((AVERAGE('SA Data'!V79:V83)/AVERAGE('SA Data'!V67:V71)-1)*100,"")</f>
        <v>52.2468885093585</v>
      </c>
      <c r="H83" s="23" t="n">
        <f aca="false">'SA Data'!S83</f>
        <v>130.713654159404</v>
      </c>
      <c r="I83" s="24" t="n">
        <f aca="false">(H83/H82-1)*100</f>
        <v>-0.209241521955117</v>
      </c>
      <c r="J83" s="24" t="n">
        <f aca="false">(AVERAGE(H81:H83)/AVERAGE(H78:H80)-1)*100</f>
        <v>2.96033148775288</v>
      </c>
      <c r="K83" s="24" t="n">
        <f aca="false">((AVERAGE(H81:H83)/AVERAGE(H78:H80))^4-1)*100</f>
        <v>12.3775937221084</v>
      </c>
      <c r="L83" s="24" t="n">
        <f aca="false">IFERROR(('SA Data'!W83/'SA Data'!W71-1)*100,"")</f>
        <v>11.8045028567339</v>
      </c>
      <c r="M83" s="24" t="n">
        <f aca="false">IFERROR((AVERAGE('SA Data'!W79:W83)/AVERAGE('SA Data'!W67:W71)-1)*100,"")</f>
        <v>9.62017235172101</v>
      </c>
      <c r="N83" s="23" t="n">
        <f aca="false">'SA Data'!T83</f>
        <v>141.342770628502</v>
      </c>
      <c r="O83" s="24" t="n">
        <f aca="false">(N83/N82-1)*100</f>
        <v>0.223691738496368</v>
      </c>
      <c r="P83" s="24" t="n">
        <f aca="false">(AVERAGE(N81:N83)/AVERAGE(N78:N80)-1)*100</f>
        <v>2.11276261005648</v>
      </c>
      <c r="Q83" s="24" t="n">
        <f aca="false">((AVERAGE(N81:N83)/AVERAGE(N78:N80))^4-1)*100</f>
        <v>8.7226686672508</v>
      </c>
      <c r="R83" s="24" t="n">
        <f aca="false">IFERROR(('SA Data'!X83/'SA Data'!X71-1)*100,"")</f>
        <v>7.96327985883061</v>
      </c>
      <c r="S83" s="24" t="n">
        <f aca="false">IFERROR((AVERAGE('SA Data'!X79:X83)/AVERAGE('SA Data'!X67:X71)-1)*100,"")</f>
        <v>6.13779109301091</v>
      </c>
    </row>
    <row r="84" customFormat="false" ht="15" hidden="false" customHeight="false" outlineLevel="0" collapsed="false">
      <c r="A84" s="20" t="n">
        <v>40359</v>
      </c>
      <c r="B84" s="23" t="n">
        <f aca="false">'SA Data'!R84</f>
        <v>123.164924399534</v>
      </c>
      <c r="C84" s="24" t="n">
        <f aca="false">(B84/B83-1)*100</f>
        <v>-1.41165379213551</v>
      </c>
      <c r="D84" s="24" t="n">
        <f aca="false">(AVERAGE(B82:B84)/AVERAGE(B79:B81)-1)*100</f>
        <v>25.8074178036734</v>
      </c>
      <c r="E84" s="24" t="n">
        <f aca="false">((AVERAGE(B82:B84)/AVERAGE(B79:B81))^4-1)*100</f>
        <v>150.50995803256</v>
      </c>
      <c r="F84" s="24" t="n">
        <f aca="false">IFERROR(('SA Data'!V84/'SA Data'!V72-1)*100,"")</f>
        <v>78.1556806687777</v>
      </c>
      <c r="G84" s="24" t="n">
        <f aca="false">IFERROR((AVERAGE('SA Data'!V79:V84)/AVERAGE('SA Data'!V67:V72)-1)*100,"")</f>
        <v>57.2065079526595</v>
      </c>
      <c r="H84" s="23" t="n">
        <f aca="false">'SA Data'!S84</f>
        <v>132.280811970924</v>
      </c>
      <c r="I84" s="24" t="n">
        <f aca="false">(H84/H83-1)*100</f>
        <v>1.19892433701583</v>
      </c>
      <c r="J84" s="24" t="n">
        <f aca="false">(AVERAGE(H82:H84)/AVERAGE(H79:H81)-1)*100</f>
        <v>2.77410750841514</v>
      </c>
      <c r="K84" s="24" t="n">
        <f aca="false">((AVERAGE(H82:H84)/AVERAGE(H79:H81))^4-1)*100</f>
        <v>11.5667690542406</v>
      </c>
      <c r="L84" s="24" t="n">
        <f aca="false">IFERROR(('SA Data'!W84/'SA Data'!W72-1)*100,"")</f>
        <v>12.0660881419337</v>
      </c>
      <c r="M84" s="24" t="n">
        <f aca="false">IFERROR((AVERAGE('SA Data'!W79:W84)/AVERAGE('SA Data'!W67:W72)-1)*100,"")</f>
        <v>10.0386534301315</v>
      </c>
      <c r="N84" s="23" t="n">
        <f aca="false">'SA Data'!T84</f>
        <v>142.563251115156</v>
      </c>
      <c r="O84" s="24" t="n">
        <f aca="false">(N84/N83-1)*100</f>
        <v>0.863489856061417</v>
      </c>
      <c r="P84" s="24" t="n">
        <f aca="false">(AVERAGE(N82:N84)/AVERAGE(N79:N81)-1)*100</f>
        <v>1.78479368541185</v>
      </c>
      <c r="Q84" s="24" t="n">
        <f aca="false">((AVERAGE(N82:N84)/AVERAGE(N79:N81))^4-1)*100</f>
        <v>7.33258837485706</v>
      </c>
      <c r="R84" s="24" t="n">
        <f aca="false">IFERROR(('SA Data'!X84/'SA Data'!X72-1)*100,"")</f>
        <v>7.52376592791837</v>
      </c>
      <c r="S84" s="24" t="n">
        <f aca="false">IFERROR((AVERAGE('SA Data'!X79:X84)/AVERAGE('SA Data'!X67:X72)-1)*100,"")</f>
        <v>6.37560048965302</v>
      </c>
    </row>
    <row r="85" customFormat="false" ht="15" hidden="false" customHeight="false" outlineLevel="0" collapsed="false">
      <c r="A85" s="20" t="n">
        <v>40390</v>
      </c>
      <c r="B85" s="23" t="n">
        <f aca="false">'SA Data'!R85</f>
        <v>107.584268885533</v>
      </c>
      <c r="C85" s="24" t="n">
        <f aca="false">(B85/B84-1)*100</f>
        <v>-12.6502375493364</v>
      </c>
      <c r="D85" s="24" t="n">
        <f aca="false">(AVERAGE(B83:B85)/AVERAGE(B80:B82)-1)*100</f>
        <v>9.78671397740611</v>
      </c>
      <c r="E85" s="24" t="n">
        <f aca="false">((AVERAGE(B83:B85)/AVERAGE(B80:B82))^4-1)*100</f>
        <v>45.2777635899765</v>
      </c>
      <c r="F85" s="24" t="n">
        <f aca="false">IFERROR(('SA Data'!V85/'SA Data'!V73-1)*100,"")</f>
        <v>22.7535980968637</v>
      </c>
      <c r="G85" s="24" t="n">
        <f aca="false">IFERROR((AVERAGE('SA Data'!V79:V85)/AVERAGE('SA Data'!V67:V73)-1)*100,"")</f>
        <v>53.1831233930374</v>
      </c>
      <c r="H85" s="23" t="n">
        <f aca="false">'SA Data'!S85</f>
        <v>131.461921421012</v>
      </c>
      <c r="I85" s="24" t="n">
        <f aca="false">(H85/H84-1)*100</f>
        <v>-0.619054674454578</v>
      </c>
      <c r="J85" s="24" t="n">
        <f aca="false">(AVERAGE(H83:H85)/AVERAGE(H80:H82)-1)*100</f>
        <v>1.87058598731664</v>
      </c>
      <c r="K85" s="24" t="n">
        <f aca="false">((AVERAGE(H83:H85)/AVERAGE(H80:H82))^4-1)*100</f>
        <v>7.69491985000514</v>
      </c>
      <c r="L85" s="24" t="n">
        <f aca="false">IFERROR(('SA Data'!W85/'SA Data'!W73-1)*100,"")</f>
        <v>9.00467931788007</v>
      </c>
      <c r="M85" s="24" t="n">
        <f aca="false">IFERROR((AVERAGE('SA Data'!W79:W85)/AVERAGE('SA Data'!W67:W73)-1)*100,"")</f>
        <v>9.88109147414511</v>
      </c>
      <c r="N85" s="23" t="n">
        <f aca="false">'SA Data'!T85</f>
        <v>142.878131955055</v>
      </c>
      <c r="O85" s="24" t="n">
        <f aca="false">(N85/N84-1)*100</f>
        <v>0.220870973014797</v>
      </c>
      <c r="P85" s="24" t="n">
        <f aca="false">(AVERAGE(N83:N85)/AVERAGE(N80:N82)-1)*100</f>
        <v>1.47640624431631</v>
      </c>
      <c r="Q85" s="24" t="n">
        <f aca="false">((AVERAGE(N83:N85)/AVERAGE(N80:N82))^4-1)*100</f>
        <v>6.03770354618507</v>
      </c>
      <c r="R85" s="24" t="n">
        <f aca="false">IFERROR(('SA Data'!X85/'SA Data'!X73-1)*100,"")</f>
        <v>7.25278588876477</v>
      </c>
      <c r="S85" s="24" t="n">
        <f aca="false">IFERROR((AVERAGE('SA Data'!X79:X85)/AVERAGE('SA Data'!X67:X73)-1)*100,"")</f>
        <v>6.50362599447212</v>
      </c>
    </row>
    <row r="86" customFormat="false" ht="15" hidden="false" customHeight="false" outlineLevel="0" collapsed="false">
      <c r="A86" s="20" t="n">
        <v>40421</v>
      </c>
      <c r="B86" s="23" t="n">
        <f aca="false">'SA Data'!R86</f>
        <v>99.5091857754933</v>
      </c>
      <c r="C86" s="24" t="n">
        <f aca="false">(B86/B85-1)*100</f>
        <v>-7.50582143066961</v>
      </c>
      <c r="D86" s="24" t="n">
        <f aca="false">(AVERAGE(B84:B86)/AVERAGE(B81:B83)-1)*100</f>
        <v>-5.86167228948975</v>
      </c>
      <c r="E86" s="24" t="n">
        <f aca="false">((AVERAGE(B84:B86)/AVERAGE(B81:B83))^4-1)*100</f>
        <v>-21.4645174344024</v>
      </c>
      <c r="F86" s="24" t="n">
        <f aca="false">IFERROR(('SA Data'!V86/'SA Data'!V74-1)*100,"")</f>
        <v>2.06054279063386</v>
      </c>
      <c r="G86" s="24" t="n">
        <f aca="false">IFERROR((AVERAGE('SA Data'!V79:V86)/AVERAGE('SA Data'!V67:V74)-1)*100,"")</f>
        <v>49.1389325888536</v>
      </c>
      <c r="H86" s="23" t="n">
        <f aca="false">'SA Data'!S86</f>
        <v>133.729058486464</v>
      </c>
      <c r="I86" s="24" t="n">
        <f aca="false">(H86/H85-1)*100</f>
        <v>1.72455798678897</v>
      </c>
      <c r="J86" s="24" t="n">
        <f aca="false">(AVERAGE(H84:H86)/AVERAGE(H81:H83)-1)*100</f>
        <v>1.62795641174667</v>
      </c>
      <c r="K86" s="24" t="n">
        <f aca="false">((AVERAGE(H84:H86)/AVERAGE(H81:H83))^4-1)*100</f>
        <v>6.67257298691635</v>
      </c>
      <c r="L86" s="24" t="n">
        <f aca="false">IFERROR(('SA Data'!W86/'SA Data'!W74-1)*100,"")</f>
        <v>12.6047206403539</v>
      </c>
      <c r="M86" s="24" t="n">
        <f aca="false">IFERROR((AVERAGE('SA Data'!W79:W86)/AVERAGE('SA Data'!W67:W74)-1)*100,"")</f>
        <v>10.2391353979881</v>
      </c>
      <c r="N86" s="23" t="n">
        <f aca="false">'SA Data'!T86</f>
        <v>143.46596198271</v>
      </c>
      <c r="O86" s="24" t="n">
        <f aca="false">(N86/N85-1)*100</f>
        <v>0.411420571931487</v>
      </c>
      <c r="P86" s="24" t="n">
        <f aca="false">(AVERAGE(N84:N86)/AVERAGE(N81:N83)-1)*100</f>
        <v>1.39845710822899</v>
      </c>
      <c r="Q86" s="24" t="n">
        <f aca="false">((AVERAGE(N84:N86)/AVERAGE(N81:N83))^4-1)*100</f>
        <v>5.71226716973887</v>
      </c>
      <c r="R86" s="24" t="n">
        <f aca="false">IFERROR(('SA Data'!X86/'SA Data'!X74-1)*100,"")</f>
        <v>7.99265250194077</v>
      </c>
      <c r="S86" s="24" t="n">
        <f aca="false">IFERROR((AVERAGE('SA Data'!X79:X86)/AVERAGE('SA Data'!X67:X74)-1)*100,"")</f>
        <v>6.69270605601577</v>
      </c>
    </row>
    <row r="87" customFormat="false" ht="15" hidden="false" customHeight="false" outlineLevel="0" collapsed="false">
      <c r="A87" s="20" t="n">
        <v>40451</v>
      </c>
      <c r="B87" s="23" t="n">
        <f aca="false">'SA Data'!R87</f>
        <v>98.8685188441891</v>
      </c>
      <c r="C87" s="24" t="n">
        <f aca="false">(B87/B86-1)*100</f>
        <v>-0.643826925435453</v>
      </c>
      <c r="D87" s="24" t="n">
        <f aca="false">(AVERAGE(B85:B87)/AVERAGE(B82:B84)-1)*100</f>
        <v>-17.1101124049467</v>
      </c>
      <c r="E87" s="24" t="n">
        <f aca="false">((AVERAGE(B85:B87)/AVERAGE(B82:B84))^4-1)*100</f>
        <v>-52.7930216457757</v>
      </c>
      <c r="F87" s="24" t="n">
        <f aca="false">IFERROR(('SA Data'!V87/'SA Data'!V75-1)*100,"")</f>
        <v>-0.625205165114295</v>
      </c>
      <c r="G87" s="24" t="n">
        <f aca="false">IFERROR((AVERAGE('SA Data'!V79:V87)/AVERAGE('SA Data'!V67:V75)-1)*100,"")</f>
        <v>45.5749197984848</v>
      </c>
      <c r="H87" s="23" t="n">
        <f aca="false">'SA Data'!S87</f>
        <v>133.022277490882</v>
      </c>
      <c r="I87" s="24" t="n">
        <f aca="false">(H87/H86-1)*100</f>
        <v>-0.528517140239704</v>
      </c>
      <c r="J87" s="24" t="n">
        <f aca="false">(AVERAGE(H85:H87)/AVERAGE(H82:H84)-1)*100</f>
        <v>1.07392069175094</v>
      </c>
      <c r="K87" s="24" t="n">
        <f aca="false">((AVERAGE(H85:H87)/AVERAGE(H82:H84))^4-1)*100</f>
        <v>4.36537785976945</v>
      </c>
      <c r="L87" s="24" t="n">
        <f aca="false">IFERROR(('SA Data'!W87/'SA Data'!W75-1)*100,"")</f>
        <v>10.9564389361172</v>
      </c>
      <c r="M87" s="24" t="n">
        <f aca="false">IFERROR((AVERAGE('SA Data'!W79:W87)/AVERAGE('SA Data'!W67:W75)-1)*100,"")</f>
        <v>10.3234610589739</v>
      </c>
      <c r="N87" s="23" t="n">
        <f aca="false">'SA Data'!T87</f>
        <v>143.638599797106</v>
      </c>
      <c r="O87" s="24" t="n">
        <f aca="false">(N87/N86-1)*100</f>
        <v>0.120333640126313</v>
      </c>
      <c r="P87" s="24" t="n">
        <f aca="false">(AVERAGE(N85:N87)/AVERAGE(N82:N84)-1)*100</f>
        <v>1.18827295553172</v>
      </c>
      <c r="Q87" s="24" t="n">
        <f aca="false">((AVERAGE(N85:N87)/AVERAGE(N82:N84))^4-1)*100</f>
        <v>4.83848450591693</v>
      </c>
      <c r="R87" s="24" t="n">
        <f aca="false">IFERROR(('SA Data'!X87/'SA Data'!X75-1)*100,"")</f>
        <v>6.2425511129675</v>
      </c>
      <c r="S87" s="24" t="n">
        <f aca="false">IFERROR((AVERAGE('SA Data'!X79:X87)/AVERAGE('SA Data'!X67:X75)-1)*100,"")</f>
        <v>6.64135395463674</v>
      </c>
    </row>
    <row r="88" customFormat="false" ht="15" hidden="false" customHeight="false" outlineLevel="0" collapsed="false">
      <c r="A88" s="20" t="n">
        <v>40482</v>
      </c>
      <c r="B88" s="23" t="n">
        <f aca="false">'SA Data'!R88</f>
        <v>102.135283146323</v>
      </c>
      <c r="C88" s="24" t="n">
        <f aca="false">(B88/B87-1)*100</f>
        <v>3.30415013830883</v>
      </c>
      <c r="D88" s="24" t="n">
        <f aca="false">(AVERAGE(B86:B88)/AVERAGE(B83:B85)-1)*100</f>
        <v>-15.5097413747977</v>
      </c>
      <c r="E88" s="24" t="n">
        <f aca="false">((AVERAGE(B86:B88)/AVERAGE(B83:B85))^4-1)*100</f>
        <v>-49.0403357501678</v>
      </c>
      <c r="F88" s="24" t="n">
        <f aca="false">IFERROR(('SA Data'!V88/'SA Data'!V76-1)*100,"")</f>
        <v>5.77080273209947</v>
      </c>
      <c r="G88" s="24" t="n">
        <f aca="false">IFERROR((AVERAGE('SA Data'!V79:V88)/AVERAGE('SA Data'!V67:V76)-1)*100,"")</f>
        <v>42.9607513115364</v>
      </c>
      <c r="H88" s="23" t="n">
        <f aca="false">'SA Data'!S88</f>
        <v>132.842086873816</v>
      </c>
      <c r="I88" s="24" t="n">
        <f aca="false">(H88/H87-1)*100</f>
        <v>-0.135458977597169</v>
      </c>
      <c r="J88" s="24" t="n">
        <f aca="false">(AVERAGE(H86:H88)/AVERAGE(H83:H85)-1)*100</f>
        <v>1.30230754576213</v>
      </c>
      <c r="K88" s="24" t="n">
        <f aca="false">((AVERAGE(H86:H88)/AVERAGE(H83:H85))^4-1)*100</f>
        <v>5.31187684412058</v>
      </c>
      <c r="L88" s="24" t="n">
        <f aca="false">IFERROR(('SA Data'!W88/'SA Data'!W76-1)*100,"")</f>
        <v>7.14119420925665</v>
      </c>
      <c r="M88" s="24" t="n">
        <f aca="false">IFERROR((AVERAGE('SA Data'!W79:W88)/AVERAGE('SA Data'!W67:W76)-1)*100,"")</f>
        <v>9.97682761212062</v>
      </c>
      <c r="N88" s="23" t="n">
        <f aca="false">'SA Data'!T88</f>
        <v>143.455646528542</v>
      </c>
      <c r="O88" s="24" t="n">
        <f aca="false">(N88/N87-1)*100</f>
        <v>-0.127370545815886</v>
      </c>
      <c r="P88" s="24" t="n">
        <f aca="false">(AVERAGE(N86:N88)/AVERAGE(N83:N85)-1)*100</f>
        <v>0.884769168892308</v>
      </c>
      <c r="Q88" s="24" t="n">
        <f aca="false">((AVERAGE(N86:N88)/AVERAGE(N83:N85))^4-1)*100</f>
        <v>3.58632332205957</v>
      </c>
      <c r="R88" s="24" t="n">
        <f aca="false">IFERROR(('SA Data'!X88/'SA Data'!X76-1)*100,"")</f>
        <v>5.68206194586327</v>
      </c>
      <c r="S88" s="24" t="n">
        <f aca="false">IFERROR((AVERAGE('SA Data'!X79:X88)/AVERAGE('SA Data'!X67:X76)-1)*100,"")</f>
        <v>6.54312321222454</v>
      </c>
    </row>
    <row r="89" customFormat="false" ht="15" hidden="false" customHeight="false" outlineLevel="0" collapsed="false">
      <c r="A89" s="20" t="n">
        <v>40512</v>
      </c>
      <c r="B89" s="23" t="n">
        <f aca="false">'SA Data'!R89</f>
        <v>106.102009816561</v>
      </c>
      <c r="C89" s="24" t="n">
        <f aca="false">(B89/B88-1)*100</f>
        <v>3.88379661566649</v>
      </c>
      <c r="D89" s="24" t="n">
        <f aca="false">(AVERAGE(B87:B89)/AVERAGE(B84:B86)-1)*100</f>
        <v>-7.0104405282148</v>
      </c>
      <c r="E89" s="24" t="n">
        <f aca="false">((AVERAGE(B87:B89)/AVERAGE(B84:B86))^4-1)*100</f>
        <v>-25.2283849915502</v>
      </c>
      <c r="F89" s="24" t="n">
        <f aca="false">IFERROR(('SA Data'!V89/'SA Data'!V77-1)*100,"")</f>
        <v>12.2103474231236</v>
      </c>
      <c r="G89" s="24" t="n">
        <f aca="false">IFERROR((AVERAGE('SA Data'!V79:V89)/AVERAGE('SA Data'!V67:V77)-1)*100,"")</f>
        <v>40.690741035032</v>
      </c>
      <c r="H89" s="23" t="n">
        <f aca="false">'SA Data'!S89</f>
        <v>135.927674381628</v>
      </c>
      <c r="I89" s="24" t="n">
        <f aca="false">(H89/H88-1)*100</f>
        <v>2.32274844548552</v>
      </c>
      <c r="J89" s="24" t="n">
        <f aca="false">(AVERAGE(H87:H89)/AVERAGE(H84:H86)-1)*100</f>
        <v>1.08693169080241</v>
      </c>
      <c r="K89" s="24" t="n">
        <f aca="false">((AVERAGE(H87:H89)/AVERAGE(H84:H86))^4-1)*100</f>
        <v>4.41912703834511</v>
      </c>
      <c r="L89" s="24" t="n">
        <f aca="false">IFERROR(('SA Data'!W89/'SA Data'!W77-1)*100,"")</f>
        <v>9.63747876903811</v>
      </c>
      <c r="M89" s="24" t="n">
        <f aca="false">IFERROR((AVERAGE('SA Data'!W79:W89)/AVERAGE('SA Data'!W67:W77)-1)*100,"")</f>
        <v>9.94414625600766</v>
      </c>
      <c r="N89" s="23" t="n">
        <f aca="false">'SA Data'!T89</f>
        <v>146.677166517095</v>
      </c>
      <c r="O89" s="24" t="n">
        <f aca="false">(N89/N88-1)*100</f>
        <v>2.24565575947004</v>
      </c>
      <c r="P89" s="24" t="n">
        <f aca="false">(AVERAGE(N87:N89)/AVERAGE(N84:N86)-1)*100</f>
        <v>1.13406026870955</v>
      </c>
      <c r="Q89" s="24" t="n">
        <f aca="false">((AVERAGE(N87:N89)/AVERAGE(N84:N86))^4-1)*100</f>
        <v>4.61399169310657</v>
      </c>
      <c r="R89" s="24" t="n">
        <f aca="false">IFERROR(('SA Data'!X89/'SA Data'!X77-1)*100,"")</f>
        <v>8.16082173962116</v>
      </c>
      <c r="S89" s="24" t="n">
        <f aca="false">IFERROR((AVERAGE('SA Data'!X79:X89)/AVERAGE('SA Data'!X67:X77)-1)*100,"")</f>
        <v>6.6934927128995</v>
      </c>
    </row>
    <row r="90" customFormat="false" ht="15" hidden="false" customHeight="false" outlineLevel="0" collapsed="false">
      <c r="A90" s="20" t="n">
        <v>40543</v>
      </c>
      <c r="B90" s="23" t="n">
        <f aca="false">'SA Data'!R90</f>
        <v>117.53678641724</v>
      </c>
      <c r="C90" s="24" t="n">
        <f aca="false">(B90/B89-1)*100</f>
        <v>10.7771536283316</v>
      </c>
      <c r="D90" s="24" t="n">
        <f aca="false">(AVERAGE(B88:B90)/AVERAGE(B85:B87)-1)*100</f>
        <v>6.47534909254719</v>
      </c>
      <c r="E90" s="24" t="n">
        <f aca="false">((AVERAGE(B88:B90)/AVERAGE(B85:B87))^4-1)*100</f>
        <v>28.5275681923473</v>
      </c>
      <c r="F90" s="24" t="n">
        <f aca="false">IFERROR(('SA Data'!V90/'SA Data'!V78-1)*100,"")</f>
        <v>39.3494341439269</v>
      </c>
      <c r="G90" s="24" t="n">
        <f aca="false">IFERROR((AVERAGE('SA Data'!V79:V90)/AVERAGE('SA Data'!V67:V78)-1)*100,"")</f>
        <v>40.6028582844183</v>
      </c>
      <c r="H90" s="23" t="n">
        <f aca="false">'SA Data'!S90</f>
        <v>135.079955909669</v>
      </c>
      <c r="I90" s="24" t="n">
        <f aca="false">(H90/H89-1)*100</f>
        <v>-0.623654068838908</v>
      </c>
      <c r="J90" s="24" t="n">
        <f aca="false">(AVERAGE(H88:H90)/AVERAGE(H85:H87)-1)*100</f>
        <v>1.41543749788262</v>
      </c>
      <c r="K90" s="24" t="n">
        <f aca="false">((AVERAGE(H88:H90)/AVERAGE(H85:H87))^4-1)*100</f>
        <v>5.78309611485852</v>
      </c>
      <c r="L90" s="24" t="n">
        <f aca="false">IFERROR(('SA Data'!W90/'SA Data'!W78-1)*100,"")</f>
        <v>7.27267812924084</v>
      </c>
      <c r="M90" s="24" t="n">
        <f aca="false">IFERROR((AVERAGE('SA Data'!W79:W90)/AVERAGE('SA Data'!W67:W78)-1)*100,"")</f>
        <v>9.71533876211255</v>
      </c>
      <c r="N90" s="23" t="n">
        <f aca="false">'SA Data'!T90</f>
        <v>146.662969188197</v>
      </c>
      <c r="O90" s="24" t="n">
        <f aca="false">(N90/N89-1)*100</f>
        <v>-0.00967930403580342</v>
      </c>
      <c r="P90" s="24" t="n">
        <f aca="false">(AVERAGE(N88:N90)/AVERAGE(N85:N87)-1)*100</f>
        <v>1.58450295749903</v>
      </c>
      <c r="Q90" s="24" t="n">
        <f aca="false">((AVERAGE(N88:N90)/AVERAGE(N85:N87))^4-1)*100</f>
        <v>6.49024836339778</v>
      </c>
      <c r="R90" s="24" t="n">
        <f aca="false">IFERROR(('SA Data'!X90/'SA Data'!X78-1)*100,"")</f>
        <v>6.94860852222141</v>
      </c>
      <c r="S90" s="24" t="n">
        <f aca="false">IFERROR((AVERAGE('SA Data'!X79:X90)/AVERAGE('SA Data'!X67:X78)-1)*100,"")</f>
        <v>6.71516495858018</v>
      </c>
    </row>
    <row r="91" customFormat="false" ht="15" hidden="false" customHeight="false" outlineLevel="0" collapsed="false">
      <c r="A91" s="20" t="n">
        <v>40574</v>
      </c>
      <c r="B91" s="23" t="n">
        <f aca="false">'SA Data'!R91</f>
        <v>111.964890482158</v>
      </c>
      <c r="C91" s="24" t="n">
        <f aca="false">(B91/B90-1)*100</f>
        <v>-4.74055494022284</v>
      </c>
      <c r="D91" s="24" t="n">
        <f aca="false">(AVERAGE(B89:B91)/AVERAGE(B86:B88)-1)*100</f>
        <v>11.6769325714726</v>
      </c>
      <c r="E91" s="24" t="n">
        <f aca="false">((AVERAGE(B89:B91)/AVERAGE(B86:B88))^4-1)*100</f>
        <v>55.5442304963184</v>
      </c>
      <c r="F91" s="24" t="n">
        <f aca="false">IFERROR(('SA Data'!V91/'SA Data'!V79-1)*100,"")</f>
        <v>26.8959055846386</v>
      </c>
      <c r="G91" s="24" t="n">
        <f aca="false">IFERROR((AVERAGE('SA Data'!V91:V91)/AVERAGE('SA Data'!V79:V79)-1)*100,"")</f>
        <v>26.8959055846386</v>
      </c>
      <c r="H91" s="23" t="n">
        <f aca="false">'SA Data'!S91</f>
        <v>139.334958579976</v>
      </c>
      <c r="I91" s="24" t="n">
        <f aca="false">(H91/H90-1)*100</f>
        <v>3.1499881989544</v>
      </c>
      <c r="J91" s="24" t="n">
        <f aca="false">(AVERAGE(H89:H91)/AVERAGE(H86:H88)-1)*100</f>
        <v>2.69002576254009</v>
      </c>
      <c r="K91" s="24" t="n">
        <f aca="false">((AVERAGE(H89:H91)/AVERAGE(H86:H88))^4-1)*100</f>
        <v>11.2021159968038</v>
      </c>
      <c r="L91" s="24" t="n">
        <f aca="false">IFERROR(('SA Data'!W91/'SA Data'!W79-1)*100,"")</f>
        <v>9.26690271781721</v>
      </c>
      <c r="M91" s="24" t="n">
        <f aca="false">IFERROR((AVERAGE('SA Data'!W91:W91)/AVERAGE('SA Data'!W79:W79)-1)*100,"")</f>
        <v>9.26690271781721</v>
      </c>
      <c r="N91" s="23" t="n">
        <f aca="false">'SA Data'!T91</f>
        <v>148.060414269618</v>
      </c>
      <c r="O91" s="24" t="n">
        <f aca="false">(N91/N90-1)*100</f>
        <v>0.95282748546297</v>
      </c>
      <c r="P91" s="24" t="n">
        <f aca="false">(AVERAGE(N89:N91)/AVERAGE(N86:N88)-1)*100</f>
        <v>2.51772956659035</v>
      </c>
      <c r="Q91" s="24" t="n">
        <f aca="false">((AVERAGE(N89:N91)/AVERAGE(N86:N88))^4-1)*100</f>
        <v>10.4576800960231</v>
      </c>
      <c r="R91" s="24" t="n">
        <f aca="false">IFERROR(('SA Data'!X91/'SA Data'!X79-1)*100,"")</f>
        <v>7.12919892996062</v>
      </c>
      <c r="S91" s="24" t="n">
        <f aca="false">IFERROR((AVERAGE('SA Data'!X91:X91)/AVERAGE('SA Data'!X79:X79)-1)*100,"")</f>
        <v>7.12919892996062</v>
      </c>
    </row>
    <row r="92" customFormat="false" ht="15" hidden="false" customHeight="false" outlineLevel="0" collapsed="false">
      <c r="A92" s="20" t="n">
        <v>40602</v>
      </c>
      <c r="B92" s="23" t="n">
        <f aca="false">'SA Data'!R92</f>
        <v>107.172569841034</v>
      </c>
      <c r="C92" s="24" t="n">
        <f aca="false">(B92/B91-1)*100</f>
        <v>-4.28019946296313</v>
      </c>
      <c r="D92" s="24" t="n">
        <f aca="false">(AVERAGE(B90:B92)/AVERAGE(B87:B89)-1)*100</f>
        <v>9.62809357444956</v>
      </c>
      <c r="E92" s="24" t="n">
        <f aca="false">((AVERAGE(B90:B92)/AVERAGE(B87:B89))^4-1)*100</f>
        <v>44.4399892005638</v>
      </c>
      <c r="F92" s="24" t="n">
        <f aca="false">IFERROR(('SA Data'!V92/'SA Data'!V80-1)*100,"")</f>
        <v>10.5493331677943</v>
      </c>
      <c r="G92" s="24" t="n">
        <f aca="false">IFERROR((AVERAGE('SA Data'!V91:V92)/AVERAGE('SA Data'!V79:V80)-1)*100,"")</f>
        <v>18.1117899167853</v>
      </c>
      <c r="H92" s="23" t="n">
        <f aca="false">'SA Data'!S92</f>
        <v>139.770410861762</v>
      </c>
      <c r="I92" s="24" t="n">
        <f aca="false">(H92/H91-1)*100</f>
        <v>0.312521915694042</v>
      </c>
      <c r="J92" s="24" t="n">
        <f aca="false">(AVERAGE(H90:H92)/AVERAGE(H87:H89)-1)*100</f>
        <v>3.08450278003296</v>
      </c>
      <c r="K92" s="24" t="n">
        <f aca="false">((AVERAGE(H90:H92)/AVERAGE(H87:H89))^4-1)*100</f>
        <v>12.9206896613048</v>
      </c>
      <c r="L92" s="24" t="n">
        <f aca="false">IFERROR(('SA Data'!W92/'SA Data'!W80-1)*100,"")</f>
        <v>9.92511192753678</v>
      </c>
      <c r="M92" s="24" t="n">
        <f aca="false">IFERROR((AVERAGE('SA Data'!W91:W92)/AVERAGE('SA Data'!W79:W80)-1)*100,"")</f>
        <v>9.59228663065408</v>
      </c>
      <c r="N92" s="23" t="n">
        <f aca="false">'SA Data'!T92</f>
        <v>148.218992161793</v>
      </c>
      <c r="O92" s="24" t="n">
        <f aca="false">(N92/N91-1)*100</f>
        <v>0.107103504307782</v>
      </c>
      <c r="P92" s="24" t="n">
        <f aca="false">(AVERAGE(N90:N92)/AVERAGE(N87:N89)-1)*100</f>
        <v>2.11423863014926</v>
      </c>
      <c r="Q92" s="24" t="n">
        <f aca="false">((AVERAGE(N90:N92)/AVERAGE(N87:N89))^4-1)*100</f>
        <v>8.72895506354121</v>
      </c>
      <c r="R92" s="24" t="n">
        <f aca="false">IFERROR(('SA Data'!X92/'SA Data'!X80-1)*100,"")</f>
        <v>6.16437329131885</v>
      </c>
      <c r="S92" s="24" t="n">
        <f aca="false">IFERROR((AVERAGE('SA Data'!X91:X92)/AVERAGE('SA Data'!X79:X80)-1)*100,"")</f>
        <v>6.65043303548092</v>
      </c>
    </row>
    <row r="93" customFormat="false" ht="15" hidden="false" customHeight="false" outlineLevel="0" collapsed="false">
      <c r="A93" s="20" t="n">
        <v>40633</v>
      </c>
      <c r="B93" s="23" t="n">
        <f aca="false">'SA Data'!R93</f>
        <v>109.842146599865</v>
      </c>
      <c r="C93" s="24" t="n">
        <f aca="false">(B93/B92-1)*100</f>
        <v>2.49091419827947</v>
      </c>
      <c r="D93" s="24" t="n">
        <f aca="false">(AVERAGE(B91:B93)/AVERAGE(B88:B90)-1)*100</f>
        <v>0.983972558231661</v>
      </c>
      <c r="E93" s="24" t="n">
        <f aca="false">((AVERAGE(B91:B93)/AVERAGE(B88:B90))^4-1)*100</f>
        <v>3.99436436374063</v>
      </c>
      <c r="F93" s="24" t="n">
        <f aca="false">IFERROR(('SA Data'!V93/'SA Data'!V81-1)*100,"")</f>
        <v>5.45490083448705</v>
      </c>
      <c r="G93" s="24" t="n">
        <f aca="false">IFERROR((AVERAGE('SA Data'!V91:V93)/AVERAGE('SA Data'!V79:V81)-1)*100,"")</f>
        <v>11.4778124354576</v>
      </c>
      <c r="H93" s="23" t="n">
        <f aca="false">'SA Data'!S93</f>
        <v>139.745222867372</v>
      </c>
      <c r="I93" s="24" t="n">
        <f aca="false">(H93/H92-1)*100</f>
        <v>-0.018020977569233</v>
      </c>
      <c r="J93" s="24" t="n">
        <f aca="false">(AVERAGE(H91:H93)/AVERAGE(H88:H90)-1)*100</f>
        <v>3.7144696421477</v>
      </c>
      <c r="K93" s="24" t="n">
        <f aca="false">((AVERAGE(H91:H93)/AVERAGE(H88:H90))^4-1)*100</f>
        <v>15.7064058551009</v>
      </c>
      <c r="L93" s="24" t="n">
        <f aca="false">IFERROR(('SA Data'!W93/'SA Data'!W81-1)*100,"")</f>
        <v>8.74741336419191</v>
      </c>
      <c r="M93" s="24" t="n">
        <f aca="false">IFERROR((AVERAGE('SA Data'!W91:W93)/AVERAGE('SA Data'!W79:W81)-1)*100,"")</f>
        <v>9.28841544537924</v>
      </c>
      <c r="N93" s="23" t="n">
        <f aca="false">'SA Data'!T93</f>
        <v>149.029111323479</v>
      </c>
      <c r="O93" s="24" t="n">
        <f aca="false">(N93/N92-1)*100</f>
        <v>0.546569066399893</v>
      </c>
      <c r="P93" s="24" t="n">
        <f aca="false">(AVERAGE(N91:N93)/AVERAGE(N88:N90)-1)*100</f>
        <v>1.9489051559797</v>
      </c>
      <c r="Q93" s="24" t="n">
        <f aca="false">((AVERAGE(N91:N93)/AVERAGE(N88:N90))^4-1)*100</f>
        <v>8.02648988593124</v>
      </c>
      <c r="R93" s="24" t="n">
        <f aca="false">IFERROR(('SA Data'!X93/'SA Data'!X81-1)*100,"")</f>
        <v>6.17461484905244</v>
      </c>
      <c r="S93" s="24" t="n">
        <f aca="false">IFERROR((AVERAGE('SA Data'!X91:X93)/AVERAGE('SA Data'!X79:X81)-1)*100,"")</f>
        <v>6.4852979845083</v>
      </c>
    </row>
    <row r="94" customFormat="false" ht="15" hidden="false" customHeight="false" outlineLevel="0" collapsed="false">
      <c r="A94" s="20" t="n">
        <v>40663</v>
      </c>
      <c r="B94" s="23" t="n">
        <f aca="false">'SA Data'!R94</f>
        <v>113.981737174511</v>
      </c>
      <c r="C94" s="24" t="n">
        <f aca="false">(B94/B93-1)*100</f>
        <v>3.76867232003941</v>
      </c>
      <c r="D94" s="24" t="n">
        <f aca="false">(AVERAGE(B92:B94)/AVERAGE(B89:B91)-1)*100</f>
        <v>-1.37281957347782</v>
      </c>
      <c r="E94" s="24" t="n">
        <f aca="false">((AVERAGE(B92:B94)/AVERAGE(B89:B91))^4-1)*100</f>
        <v>-5.37923163193584</v>
      </c>
      <c r="F94" s="24" t="n">
        <f aca="false">IFERROR(('SA Data'!V94/'SA Data'!V82-1)*100,"")</f>
        <v>-7.20764749619706</v>
      </c>
      <c r="G94" s="24" t="n">
        <f aca="false">IFERROR((AVERAGE('SA Data'!V91:V94)/AVERAGE('SA Data'!V79:V82)-1)*100,"")</f>
        <v>2.55710269131018</v>
      </c>
      <c r="H94" s="23" t="n">
        <f aca="false">'SA Data'!S94</f>
        <v>138.612033726556</v>
      </c>
      <c r="I94" s="24" t="n">
        <f aca="false">(H94/H93-1)*100</f>
        <v>-0.810896514073545</v>
      </c>
      <c r="J94" s="24" t="n">
        <f aca="false">(AVERAGE(H92:H94)/AVERAGE(H89:H91)-1)*100</f>
        <v>1.89721437539094</v>
      </c>
      <c r="K94" s="24" t="n">
        <f aca="false">((AVERAGE(H92:H94)/AVERAGE(H89:H91))^4-1)*100</f>
        <v>7.80756735093435</v>
      </c>
      <c r="L94" s="24" t="n">
        <f aca="false">IFERROR(('SA Data'!W94/'SA Data'!W82-1)*100,"")</f>
        <v>5.48944836719734</v>
      </c>
      <c r="M94" s="24" t="n">
        <f aca="false">IFERROR((AVERAGE('SA Data'!W91:W94)/AVERAGE('SA Data'!W79:W82)-1)*100,"")</f>
        <v>8.28158184236967</v>
      </c>
      <c r="N94" s="23" t="n">
        <f aca="false">'SA Data'!T94</f>
        <v>150.135734003216</v>
      </c>
      <c r="O94" s="24" t="n">
        <f aca="false">(N94/N93-1)*100</f>
        <v>0.742554706197152</v>
      </c>
      <c r="P94" s="24" t="n">
        <f aca="false">(AVERAGE(N92:N94)/AVERAGE(N89:N91)-1)*100</f>
        <v>1.35552334810607</v>
      </c>
      <c r="Q94" s="24" t="n">
        <f aca="false">((AVERAGE(N92:N94)/AVERAGE(N89:N91))^4-1)*100</f>
        <v>5.53333966051037</v>
      </c>
      <c r="R94" s="24" t="n">
        <f aca="false">IFERROR(('SA Data'!X94/'SA Data'!X82-1)*100,"")</f>
        <v>6.02359442130254</v>
      </c>
      <c r="S94" s="24" t="n">
        <f aca="false">IFERROR((AVERAGE('SA Data'!X91:X94)/AVERAGE('SA Data'!X79:X82)-1)*100,"")</f>
        <v>6.36668252480241</v>
      </c>
    </row>
    <row r="95" customFormat="false" ht="15" hidden="false" customHeight="false" outlineLevel="0" collapsed="false">
      <c r="A95" s="20" t="n">
        <v>40694</v>
      </c>
      <c r="B95" s="23" t="n">
        <f aca="false">'SA Data'!R95</f>
        <v>114.025037427225</v>
      </c>
      <c r="C95" s="24" t="n">
        <f aca="false">(B95/B94-1)*100</f>
        <v>0.0379887636279497</v>
      </c>
      <c r="D95" s="24" t="n">
        <f aca="false">(AVERAGE(B93:B95)/AVERAGE(B90:B92)-1)*100</f>
        <v>0.348905350659434</v>
      </c>
      <c r="E95" s="24" t="n">
        <f aca="false">((AVERAGE(B93:B95)/AVERAGE(B90:B92))^4-1)*100</f>
        <v>1.40294250366955</v>
      </c>
      <c r="F95" s="24" t="n">
        <f aca="false">IFERROR(('SA Data'!V95/'SA Data'!V83-1)*100,"")</f>
        <v>-10.1650241794658</v>
      </c>
      <c r="G95" s="24" t="n">
        <f aca="false">IFERROR((AVERAGE('SA Data'!V91:V95)/AVERAGE('SA Data'!V79:V83)-1)*100,"")</f>
        <v>-2.7753292550992</v>
      </c>
      <c r="H95" s="23" t="n">
        <f aca="false">'SA Data'!S95</f>
        <v>141.865523058187</v>
      </c>
      <c r="I95" s="24" t="n">
        <f aca="false">(H95/H94-1)*100</f>
        <v>2.34719110899746</v>
      </c>
      <c r="J95" s="24" t="n">
        <f aca="false">(AVERAGE(H93:H95)/AVERAGE(H90:H92)-1)*100</f>
        <v>1.45766977513881</v>
      </c>
      <c r="K95" s="24" t="n">
        <f aca="false">((AVERAGE(H93:H95)/AVERAGE(H90:H92))^4-1)*100</f>
        <v>5.95941058911591</v>
      </c>
      <c r="L95" s="24" t="n">
        <f aca="false">IFERROR(('SA Data'!W95/'SA Data'!W83-1)*100,"")</f>
        <v>8.95375269067755</v>
      </c>
      <c r="M95" s="24" t="n">
        <f aca="false">IFERROR((AVERAGE('SA Data'!W91:W95)/AVERAGE('SA Data'!W79:W83)-1)*100,"")</f>
        <v>8.42415410024386</v>
      </c>
      <c r="N95" s="23" t="n">
        <f aca="false">'SA Data'!T95</f>
        <v>151.710578183924</v>
      </c>
      <c r="O95" s="24" t="n">
        <f aca="false">(N95/N94-1)*100</f>
        <v>1.04894693536115</v>
      </c>
      <c r="P95" s="24" t="n">
        <f aca="false">(AVERAGE(N93:N95)/AVERAGE(N90:N92)-1)*100</f>
        <v>1.79098869913139</v>
      </c>
      <c r="Q95" s="24" t="n">
        <f aca="false">((AVERAGE(N93:N95)/AVERAGE(N90:N92))^4-1)*100</f>
        <v>7.35872145587744</v>
      </c>
      <c r="R95" s="24" t="n">
        <f aca="false">IFERROR(('SA Data'!X95/'SA Data'!X83-1)*100,"")</f>
        <v>7.41206683110343</v>
      </c>
      <c r="S95" s="24" t="n">
        <f aca="false">IFERROR((AVERAGE('SA Data'!X91:X95)/AVERAGE('SA Data'!X79:X83)-1)*100,"")</f>
        <v>6.58381349889536</v>
      </c>
    </row>
    <row r="96" customFormat="false" ht="15" hidden="false" customHeight="false" outlineLevel="0" collapsed="false">
      <c r="A96" s="20" t="n">
        <v>40724</v>
      </c>
      <c r="B96" s="23" t="n">
        <f aca="false">'SA Data'!R96</f>
        <v>114.466923825573</v>
      </c>
      <c r="C96" s="24" t="n">
        <f aca="false">(B96/B95-1)*100</f>
        <v>0.387534534798473</v>
      </c>
      <c r="D96" s="24" t="n">
        <f aca="false">(AVERAGE(B94:B96)/AVERAGE(B91:B93)-1)*100</f>
        <v>4.10180182001632</v>
      </c>
      <c r="E96" s="24" t="n">
        <f aca="false">((AVERAGE(B94:B96)/AVERAGE(B91:B93))^4-1)*100</f>
        <v>17.4445818057559</v>
      </c>
      <c r="F96" s="24" t="n">
        <f aca="false">IFERROR(('SA Data'!V96/'SA Data'!V84-1)*100,"")</f>
        <v>-8.462211348397</v>
      </c>
      <c r="G96" s="24" t="n">
        <f aca="false">IFERROR((AVERAGE('SA Data'!V91:V96)/AVERAGE('SA Data'!V79:V84)-1)*100,"")</f>
        <v>-4.00901505220298</v>
      </c>
      <c r="H96" s="23" t="n">
        <f aca="false">'SA Data'!S96</f>
        <v>142.806921381098</v>
      </c>
      <c r="I96" s="24" t="n">
        <f aca="false">(H96/H95-1)*100</f>
        <v>0.663584994167521</v>
      </c>
      <c r="J96" s="24" t="n">
        <f aca="false">(AVERAGE(H94:H96)/AVERAGE(H91:H93)-1)*100</f>
        <v>1.05858412000484</v>
      </c>
      <c r="K96" s="24" t="n">
        <f aca="false">((AVERAGE(H94:H96)/AVERAGE(H91:H93))^4-1)*100</f>
        <v>4.3020482560016</v>
      </c>
      <c r="L96" s="24" t="n">
        <f aca="false">IFERROR(('SA Data'!W96/'SA Data'!W84-1)*100,"")</f>
        <v>8.23000683742306</v>
      </c>
      <c r="M96" s="24" t="n">
        <f aca="false">IFERROR((AVERAGE('SA Data'!W91:W96)/AVERAGE('SA Data'!W79:W84)-1)*100,"")</f>
        <v>8.39032468096399</v>
      </c>
      <c r="N96" s="23" t="n">
        <f aca="false">'SA Data'!T96</f>
        <v>152.224457178421</v>
      </c>
      <c r="O96" s="24" t="n">
        <f aca="false">(N96/N95-1)*100</f>
        <v>0.338723245701034</v>
      </c>
      <c r="P96" s="24" t="n">
        <f aca="false">(AVERAGE(N94:N96)/AVERAGE(N91:N93)-1)*100</f>
        <v>1.9676811157457</v>
      </c>
      <c r="Q96" s="24" t="n">
        <f aca="false">((AVERAGE(N94:N96)/AVERAGE(N91:N93))^4-1)*100</f>
        <v>8.10609295465081</v>
      </c>
      <c r="R96" s="24" t="n">
        <f aca="false">IFERROR(('SA Data'!X96/'SA Data'!X84-1)*100,"")</f>
        <v>6.84505507066375</v>
      </c>
      <c r="S96" s="24" t="n">
        <f aca="false">IFERROR((AVERAGE('SA Data'!X91:X96)/AVERAGE('SA Data'!X79:X84)-1)*100,"")</f>
        <v>6.62912186450042</v>
      </c>
    </row>
    <row r="97" customFormat="false" ht="15" hidden="false" customHeight="false" outlineLevel="0" collapsed="false">
      <c r="A97" s="20" t="n">
        <v>40755</v>
      </c>
      <c r="B97" s="23" t="n">
        <f aca="false">'SA Data'!R97</f>
        <v>106.051357971047</v>
      </c>
      <c r="C97" s="24" t="n">
        <f aca="false">(B97/B96-1)*100</f>
        <v>-7.35196297172273</v>
      </c>
      <c r="D97" s="24" t="n">
        <f aca="false">(AVERAGE(B95:B97)/AVERAGE(B92:B94)-1)*100</f>
        <v>1.07157208776512</v>
      </c>
      <c r="E97" s="24" t="n">
        <f aca="false">((AVERAGE(B95:B97)/AVERAGE(B92:B94))^4-1)*100</f>
        <v>4.35567785416846</v>
      </c>
      <c r="F97" s="24" t="n">
        <f aca="false">IFERROR(('SA Data'!V97/'SA Data'!V85-1)*100,"")</f>
        <v>-2.48843913917661</v>
      </c>
      <c r="G97" s="24" t="n">
        <f aca="false">IFERROR((AVERAGE('SA Data'!V91:V97)/AVERAGE('SA Data'!V79:V85)-1)*100,"")</f>
        <v>-3.86671762299085</v>
      </c>
      <c r="H97" s="23" t="n">
        <f aca="false">'SA Data'!S97</f>
        <v>140.761402843287</v>
      </c>
      <c r="I97" s="24" t="n">
        <f aca="false">(H97/H96-1)*100</f>
        <v>-1.43236652539567</v>
      </c>
      <c r="J97" s="24" t="n">
        <f aca="false">(AVERAGE(H95:H97)/AVERAGE(H92:H94)-1)*100</f>
        <v>1.74735622527429</v>
      </c>
      <c r="K97" s="24" t="n">
        <f aca="false">((AVERAGE(H95:H97)/AVERAGE(H92:H94))^4-1)*100</f>
        <v>7.1747634989346</v>
      </c>
      <c r="L97" s="24" t="n">
        <f aca="false">IFERROR(('SA Data'!W97/'SA Data'!W85-1)*100,"")</f>
        <v>6.55038748533621</v>
      </c>
      <c r="M97" s="24" t="n">
        <f aca="false">IFERROR((AVERAGE('SA Data'!W91:W97)/AVERAGE('SA Data'!W79:W85)-1)*100,"")</f>
        <v>8.11218248824079</v>
      </c>
      <c r="N97" s="23" t="n">
        <f aca="false">'SA Data'!T97</f>
        <v>150.999511546512</v>
      </c>
      <c r="O97" s="24" t="n">
        <f aca="false">(N97/N96-1)*100</f>
        <v>-0.804696994565379</v>
      </c>
      <c r="P97" s="24" t="n">
        <f aca="false">(AVERAGE(N95:N97)/AVERAGE(N92:N94)-1)*100</f>
        <v>1.68774747491043</v>
      </c>
      <c r="Q97" s="24" t="n">
        <f aca="false">((AVERAGE(N95:N97)/AVERAGE(N92:N94))^4-1)*100</f>
        <v>6.92383051965071</v>
      </c>
      <c r="R97" s="24" t="n">
        <f aca="false">IFERROR(('SA Data'!X97/'SA Data'!X85-1)*100,"")</f>
        <v>5.6261107141395</v>
      </c>
      <c r="S97" s="24" t="n">
        <f aca="false">IFERROR((AVERAGE('SA Data'!X91:X97)/AVERAGE('SA Data'!X79:X85)-1)*100,"")</f>
        <v>6.4817023244869</v>
      </c>
    </row>
    <row r="98" customFormat="false" ht="15" hidden="false" customHeight="false" outlineLevel="0" collapsed="false">
      <c r="A98" s="20" t="n">
        <v>40786</v>
      </c>
      <c r="B98" s="23" t="n">
        <f aca="false">'SA Data'!R98</f>
        <v>104.536703362164</v>
      </c>
      <c r="C98" s="24" t="n">
        <f aca="false">(B98/B97-1)*100</f>
        <v>-1.42822745305783</v>
      </c>
      <c r="D98" s="24" t="n">
        <f aca="false">(AVERAGE(B96:B98)/AVERAGE(B93:B95)-1)*100</f>
        <v>-3.78688083339599</v>
      </c>
      <c r="E98" s="24" t="n">
        <f aca="false">((AVERAGE(B96:B98)/AVERAGE(B93:B95))^4-1)*100</f>
        <v>-14.3086119528366</v>
      </c>
      <c r="F98" s="24" t="n">
        <f aca="false">IFERROR(('SA Data'!V98/'SA Data'!V86-1)*100,"")</f>
        <v>5.15237443145769</v>
      </c>
      <c r="G98" s="24" t="n">
        <f aca="false">IFERROR((AVERAGE('SA Data'!V91:V98)/AVERAGE('SA Data'!V79:V86)-1)*100,"")</f>
        <v>-3.3784605627981</v>
      </c>
      <c r="H98" s="23" t="n">
        <f aca="false">'SA Data'!S98</f>
        <v>141.589144676014</v>
      </c>
      <c r="I98" s="24" t="n">
        <f aca="false">(H98/H97-1)*100</f>
        <v>0.588046023986255</v>
      </c>
      <c r="J98" s="24" t="n">
        <f aca="false">(AVERAGE(H96:H98)/AVERAGE(H93:H95)-1)*100</f>
        <v>1.17430312853803</v>
      </c>
      <c r="K98" s="24" t="n">
        <f aca="false">((AVERAGE(H96:H98)/AVERAGE(H93:H95))^4-1)*100</f>
        <v>4.78060142591406</v>
      </c>
      <c r="L98" s="24" t="n">
        <f aca="false">IFERROR(('SA Data'!W98/'SA Data'!W86-1)*100,"")</f>
        <v>5.76202615804986</v>
      </c>
      <c r="M98" s="24" t="n">
        <f aca="false">IFERROR((AVERAGE('SA Data'!W91:W98)/AVERAGE('SA Data'!W79:W86)-1)*100,"")</f>
        <v>7.79660509611735</v>
      </c>
      <c r="N98" s="23" t="n">
        <f aca="false">'SA Data'!T98</f>
        <v>152.80656713547</v>
      </c>
      <c r="O98" s="24" t="n">
        <f aca="false">(N98/N97-1)*100</f>
        <v>1.19672942677118</v>
      </c>
      <c r="P98" s="24" t="n">
        <f aca="false">(AVERAGE(N96:N98)/AVERAGE(N93:N95)-1)*100</f>
        <v>1.14335625340707</v>
      </c>
      <c r="Q98" s="24" t="n">
        <f aca="false">((AVERAGE(N96:N98)/AVERAGE(N93:N95))^4-1)*100</f>
        <v>4.65246040106768</v>
      </c>
      <c r="R98" s="24" t="n">
        <f aca="false">IFERROR(('SA Data'!X98/'SA Data'!X86-1)*100,"")</f>
        <v>6.83452910307083</v>
      </c>
      <c r="S98" s="24" t="n">
        <f aca="false">IFERROR((AVERAGE('SA Data'!X91:X98)/AVERAGE('SA Data'!X79:X86)-1)*100,"")</f>
        <v>6.52705097036579</v>
      </c>
    </row>
    <row r="99" customFormat="false" ht="15" hidden="false" customHeight="false" outlineLevel="0" collapsed="false">
      <c r="A99" s="20" t="n">
        <v>40816</v>
      </c>
      <c r="B99" s="23" t="n">
        <f aca="false">'SA Data'!R99</f>
        <v>104.091994514489</v>
      </c>
      <c r="C99" s="24" t="n">
        <f aca="false">(B99/B98-1)*100</f>
        <v>-0.425409290107026</v>
      </c>
      <c r="D99" s="24" t="n">
        <f aca="false">(AVERAGE(B97:B99)/AVERAGE(B94:B96)-1)*100</f>
        <v>-8.1155553571683</v>
      </c>
      <c r="E99" s="24" t="n">
        <f aca="false">((AVERAGE(B97:B99)/AVERAGE(B94:B96))^4-1)*100</f>
        <v>-28.7199527266897</v>
      </c>
      <c r="F99" s="24" t="n">
        <f aca="false">IFERROR(('SA Data'!V99/'SA Data'!V87-1)*100,"")</f>
        <v>5.26071631610523</v>
      </c>
      <c r="G99" s="24" t="n">
        <f aca="false">IFERROR((AVERAGE('SA Data'!V91:V99)/AVERAGE('SA Data'!V79:V87)-1)*100,"")</f>
        <v>-2.9560985783449</v>
      </c>
      <c r="H99" s="23" t="n">
        <f aca="false">'SA Data'!S99</f>
        <v>143.059834346572</v>
      </c>
      <c r="I99" s="24" t="n">
        <f aca="false">(H99/H98-1)*100</f>
        <v>1.03870227758107</v>
      </c>
      <c r="J99" s="24" t="n">
        <f aca="false">(AVERAGE(H97:H99)/AVERAGE(H94:H96)-1)*100</f>
        <v>0.502239937841287</v>
      </c>
      <c r="K99" s="24" t="n">
        <f aca="false">((AVERAGE(H97:H99)/AVERAGE(H94:H96))^4-1)*100</f>
        <v>2.02414518729868</v>
      </c>
      <c r="L99" s="24" t="n">
        <f aca="false">IFERROR(('SA Data'!W99/'SA Data'!W87-1)*100,"")</f>
        <v>7.23724612964396</v>
      </c>
      <c r="M99" s="24" t="n">
        <f aca="false">IFERROR((AVERAGE('SA Data'!W91:W99)/AVERAGE('SA Data'!W79:W87)-1)*100,"")</f>
        <v>7.73046999572393</v>
      </c>
      <c r="N99" s="23" t="n">
        <f aca="false">'SA Data'!T99</f>
        <v>154.054353831096</v>
      </c>
      <c r="O99" s="24" t="n">
        <f aca="false">(N99/N98-1)*100</f>
        <v>0.816579234136627</v>
      </c>
      <c r="P99" s="24" t="n">
        <f aca="false">(AVERAGE(N97:N99)/AVERAGE(N94:N96)-1)*100</f>
        <v>0.834597468763065</v>
      </c>
      <c r="Q99" s="24" t="n">
        <f aca="false">((AVERAGE(N97:N99)/AVERAGE(N94:N96))^4-1)*100</f>
        <v>3.38041607285671</v>
      </c>
      <c r="R99" s="24" t="n">
        <f aca="false">IFERROR(('SA Data'!X99/'SA Data'!X87-1)*100,"")</f>
        <v>7.06645507217494</v>
      </c>
      <c r="S99" s="24" t="n">
        <f aca="false">IFERROR((AVERAGE('SA Data'!X91:X99)/AVERAGE('SA Data'!X79:X87)-1)*100,"")</f>
        <v>6.58835418960959</v>
      </c>
    </row>
    <row r="100" customFormat="false" ht="15" hidden="false" customHeight="false" outlineLevel="0" collapsed="false">
      <c r="A100" s="20" t="n">
        <v>40847</v>
      </c>
      <c r="B100" s="23" t="n">
        <f aca="false">'SA Data'!R100</f>
        <v>104.612329187847</v>
      </c>
      <c r="C100" s="24" t="n">
        <f aca="false">(B100/B99-1)*100</f>
        <v>0.499879626463851</v>
      </c>
      <c r="D100" s="24" t="n">
        <f aca="false">(AVERAGE(B98:B100)/AVERAGE(B95:B97)-1)*100</f>
        <v>-6.36757362507412</v>
      </c>
      <c r="E100" s="24" t="n">
        <f aca="false">((AVERAGE(B98:B100)/AVERAGE(B95:B97))^4-1)*100</f>
        <v>-23.1391627309026</v>
      </c>
      <c r="F100" s="24" t="n">
        <f aca="false">IFERROR(('SA Data'!V100/'SA Data'!V88-1)*100,"")</f>
        <v>4.1065977776322</v>
      </c>
      <c r="G100" s="24" t="n">
        <f aca="false">IFERROR((AVERAGE('SA Data'!V91:V100)/AVERAGE('SA Data'!V79:V88)-1)*100,"")</f>
        <v>-2.61291610976506</v>
      </c>
      <c r="H100" s="23" t="n">
        <f aca="false">'SA Data'!S100</f>
        <v>140.328636824109</v>
      </c>
      <c r="I100" s="24" t="n">
        <f aca="false">(H100/H99-1)*100</f>
        <v>-1.90912951558863</v>
      </c>
      <c r="J100" s="24" t="n">
        <f aca="false">(AVERAGE(H98:H100)/AVERAGE(H95:H97)-1)*100</f>
        <v>-0.107239101634948</v>
      </c>
      <c r="K100" s="24" t="n">
        <f aca="false">((AVERAGE(H98:H100)/AVERAGE(H95:H97))^4-1)*100</f>
        <v>-0.428266886221884</v>
      </c>
      <c r="L100" s="24" t="n">
        <f aca="false">IFERROR(('SA Data'!W100/'SA Data'!W88-1)*100,"")</f>
        <v>5.7715816339365</v>
      </c>
      <c r="M100" s="24" t="n">
        <f aca="false">IFERROR((AVERAGE('SA Data'!W91:W100)/AVERAGE('SA Data'!W79:W88)-1)*100,"")</f>
        <v>7.52259662807264</v>
      </c>
      <c r="N100" s="23" t="n">
        <f aca="false">'SA Data'!T100</f>
        <v>152.765168626149</v>
      </c>
      <c r="O100" s="24" t="n">
        <f aca="false">(N100/N99-1)*100</f>
        <v>-0.836837890580189</v>
      </c>
      <c r="P100" s="24" t="n">
        <f aca="false">(AVERAGE(N98:N100)/AVERAGE(N95:N97)-1)*100</f>
        <v>1.03125663147254</v>
      </c>
      <c r="Q100" s="24" t="n">
        <f aca="false">((AVERAGE(N98:N100)/AVERAGE(N95:N97))^4-1)*100</f>
        <v>4.18927576384403</v>
      </c>
      <c r="R100" s="24" t="n">
        <f aca="false">IFERROR(('SA Data'!X100/'SA Data'!X88-1)*100,"")</f>
        <v>6.79698957119816</v>
      </c>
      <c r="S100" s="24" t="n">
        <f aca="false">IFERROR((AVERAGE('SA Data'!X91:X100)/AVERAGE('SA Data'!X79:X88)-1)*100,"")</f>
        <v>6.60954562697003</v>
      </c>
    </row>
    <row r="101" customFormat="false" ht="15" hidden="false" customHeight="false" outlineLevel="0" collapsed="false">
      <c r="A101" s="20" t="n">
        <v>40877</v>
      </c>
      <c r="B101" s="23" t="n">
        <f aca="false">'SA Data'!R101</f>
        <v>106.037183772022</v>
      </c>
      <c r="C101" s="24" t="n">
        <f aca="false">(B101/B100-1)*100</f>
        <v>1.36203313245886</v>
      </c>
      <c r="D101" s="24" t="n">
        <f aca="false">(AVERAGE(B99:B101)/AVERAGE(B96:B98)-1)*100</f>
        <v>-3.17284095162737</v>
      </c>
      <c r="E101" s="24" t="n">
        <f aca="false">((AVERAGE(B99:B101)/AVERAGE(B96:B98))^4-1)*100</f>
        <v>-12.1000235754156</v>
      </c>
      <c r="F101" s="24" t="n">
        <f aca="false">IFERROR(('SA Data'!V101/'SA Data'!V89-1)*100,"")</f>
        <v>0.321902060987056</v>
      </c>
      <c r="G101" s="24" t="n">
        <f aca="false">IFERROR((AVERAGE('SA Data'!V91:V101)/AVERAGE('SA Data'!V79:V89)-1)*100,"")</f>
        <v>-2.44012333125553</v>
      </c>
      <c r="H101" s="23" t="n">
        <f aca="false">'SA Data'!S101</f>
        <v>139.981193907037</v>
      </c>
      <c r="I101" s="24" t="n">
        <f aca="false">(H101/H100-1)*100</f>
        <v>-0.247592312542122</v>
      </c>
      <c r="J101" s="24" t="n">
        <f aca="false">(AVERAGE(H99:H101)/AVERAGE(H96:H98)-1)*100</f>
        <v>-0.420503919948834</v>
      </c>
      <c r="K101" s="24" t="n">
        <f aca="false">((AVERAGE(H99:H101)/AVERAGE(H96:H98))^4-1)*100</f>
        <v>-1.67143597772503</v>
      </c>
      <c r="L101" s="24" t="n">
        <f aca="false">IFERROR(('SA Data'!W101/'SA Data'!W89-1)*100,"")</f>
        <v>3.13202210235664</v>
      </c>
      <c r="M101" s="24" t="n">
        <f aca="false">IFERROR((AVERAGE('SA Data'!W91:W101)/AVERAGE('SA Data'!W79:W89)-1)*100,"")</f>
        <v>7.10093704176054</v>
      </c>
      <c r="N101" s="23" t="n">
        <f aca="false">'SA Data'!T101</f>
        <v>152.756153554523</v>
      </c>
      <c r="O101" s="24" t="n">
        <f aca="false">(N101/N100-1)*100</f>
        <v>-0.00590126120152412</v>
      </c>
      <c r="P101" s="24" t="n">
        <f aca="false">(AVERAGE(N99:N101)/AVERAGE(N96:N98)-1)*100</f>
        <v>0.777390957970603</v>
      </c>
      <c r="Q101" s="24" t="n">
        <f aca="false">((AVERAGE(N99:N101)/AVERAGE(N96:N98))^4-1)*100</f>
        <v>3.14601232155227</v>
      </c>
      <c r="R101" s="24" t="n">
        <f aca="false">IFERROR(('SA Data'!X101/'SA Data'!X89-1)*100,"")</f>
        <v>4.34636046305541</v>
      </c>
      <c r="S101" s="24" t="n">
        <f aca="false">IFERROR((AVERAGE('SA Data'!X91:X101)/AVERAGE('SA Data'!X79:X89)-1)*100,"")</f>
        <v>6.39628322289851</v>
      </c>
    </row>
    <row r="102" customFormat="false" ht="15" hidden="false" customHeight="false" outlineLevel="0" collapsed="false">
      <c r="A102" s="20" t="n">
        <v>40908</v>
      </c>
      <c r="B102" s="23" t="n">
        <f aca="false">'SA Data'!R102</f>
        <v>112.021277962321</v>
      </c>
      <c r="C102" s="24" t="n">
        <f aca="false">(B102/B101-1)*100</f>
        <v>5.64339223037447</v>
      </c>
      <c r="D102" s="24" t="n">
        <f aca="false">(AVERAGE(B100:B102)/AVERAGE(B97:B99)-1)*100</f>
        <v>2.53932047042671</v>
      </c>
      <c r="E102" s="24" t="n">
        <f aca="false">((AVERAGE(B100:B102)/AVERAGE(B97:B99))^4-1)*100</f>
        <v>10.5507619335607</v>
      </c>
      <c r="F102" s="24" t="n">
        <f aca="false">IFERROR(('SA Data'!V102/'SA Data'!V90-1)*100,"")</f>
        <v>-4.78434978699615</v>
      </c>
      <c r="G102" s="24" t="n">
        <f aca="false">IFERROR((AVERAGE('SA Data'!V91:V102)/AVERAGE('SA Data'!V79:V90)-1)*100,"")</f>
        <v>-2.59234837530595</v>
      </c>
      <c r="H102" s="23" t="n">
        <f aca="false">'SA Data'!S102</f>
        <v>139.533870262182</v>
      </c>
      <c r="I102" s="24" t="n">
        <f aca="false">(H102/H101-1)*100</f>
        <v>-0.319559815408133</v>
      </c>
      <c r="J102" s="24" t="n">
        <f aca="false">(AVERAGE(H100:H102)/AVERAGE(H97:H99)-1)*100</f>
        <v>-1.30854372855898</v>
      </c>
      <c r="K102" s="24" t="n">
        <f aca="false">((AVERAGE(H100:H102)/AVERAGE(H97:H99))^4-1)*100</f>
        <v>-5.13233102174078</v>
      </c>
      <c r="L102" s="24" t="n">
        <f aca="false">IFERROR(('SA Data'!W102/'SA Data'!W90-1)*100,"")</f>
        <v>3.77498935871956</v>
      </c>
      <c r="M102" s="24" t="n">
        <f aca="false">IFERROR((AVERAGE('SA Data'!W91:W102)/AVERAGE('SA Data'!W79:W90)-1)*100,"")</f>
        <v>6.82241636891505</v>
      </c>
      <c r="N102" s="23" t="n">
        <f aca="false">'SA Data'!T102</f>
        <v>153.013852127745</v>
      </c>
      <c r="O102" s="24" t="n">
        <f aca="false">(N102/N101-1)*100</f>
        <v>0.168699307507492</v>
      </c>
      <c r="P102" s="24" t="n">
        <f aca="false">(AVERAGE(N100:N102)/AVERAGE(N97:N99)-1)*100</f>
        <v>0.147368444054918</v>
      </c>
      <c r="Q102" s="24" t="n">
        <f aca="false">((AVERAGE(N100:N102)/AVERAGE(N97:N99))^4-1)*100</f>
        <v>0.590778104376732</v>
      </c>
      <c r="R102" s="24" t="n">
        <f aca="false">IFERROR(('SA Data'!X102/'SA Data'!X90-1)*100,"")</f>
        <v>4.48065487620357</v>
      </c>
      <c r="S102" s="24" t="n">
        <f aca="false">IFERROR((AVERAGE('SA Data'!X91:X102)/AVERAGE('SA Data'!X79:X90)-1)*100,"")</f>
        <v>6.23319342433193</v>
      </c>
    </row>
    <row r="103" customFormat="false" ht="15" hidden="false" customHeight="false" outlineLevel="0" collapsed="false">
      <c r="A103" s="20" t="n">
        <v>40939</v>
      </c>
      <c r="B103" s="23" t="n">
        <f aca="false">'SA Data'!R103</f>
        <v>109.947698669178</v>
      </c>
      <c r="C103" s="24" t="n">
        <f aca="false">(B103/B102-1)*100</f>
        <v>-1.85105841574114</v>
      </c>
      <c r="D103" s="24" t="n">
        <f aca="false">(AVERAGE(B101:B103)/AVERAGE(B98:B100)-1)*100</f>
        <v>4.71366521729015</v>
      </c>
      <c r="E103" s="24" t="n">
        <f aca="false">((AVERAGE(B101:B103)/AVERAGE(B98:B100))^4-1)*100</f>
        <v>20.2301654157597</v>
      </c>
      <c r="F103" s="24" t="n">
        <f aca="false">IFERROR(('SA Data'!V103/'SA Data'!V91-1)*100,"")</f>
        <v>-0.753524370375469</v>
      </c>
      <c r="G103" s="24" t="n">
        <f aca="false">IFERROR((AVERAGE('SA Data'!V103:V103)/AVERAGE('SA Data'!V91:V91)-1)*100,"")</f>
        <v>-0.753524370375469</v>
      </c>
      <c r="H103" s="23" t="n">
        <f aca="false">'SA Data'!S103</f>
        <v>137.719070398275</v>
      </c>
      <c r="I103" s="24" t="n">
        <f aca="false">(H103/H102-1)*100</f>
        <v>-1.30061601566489</v>
      </c>
      <c r="J103" s="24" t="n">
        <f aca="false">(AVERAGE(H101:H103)/AVERAGE(H98:H100)-1)*100</f>
        <v>-1.82209156211043</v>
      </c>
      <c r="K103" s="24" t="n">
        <f aca="false">((AVERAGE(H101:H103)/AVERAGE(H98:H100))^4-1)*100</f>
        <v>-7.09157391674786</v>
      </c>
      <c r="L103" s="24" t="n">
        <f aca="false">IFERROR(('SA Data'!W103/'SA Data'!W91-1)*100,"")</f>
        <v>-1.14917489769472</v>
      </c>
      <c r="M103" s="24" t="n">
        <f aca="false">IFERROR((AVERAGE('SA Data'!W103:W103)/AVERAGE('SA Data'!W91:W91)-1)*100,"")</f>
        <v>-1.14917489769472</v>
      </c>
      <c r="N103" s="23" t="n">
        <f aca="false">'SA Data'!T103</f>
        <v>152.774181082855</v>
      </c>
      <c r="O103" s="24" t="n">
        <f aca="false">(N103/N102-1)*100</f>
        <v>-0.156633560659181</v>
      </c>
      <c r="P103" s="24" t="n">
        <f aca="false">(AVERAGE(N101:N103)/AVERAGE(N98:N100)-1)*100</f>
        <v>-0.235387601376302</v>
      </c>
      <c r="Q103" s="24" t="n">
        <f aca="false">((AVERAGE(N101:N103)/AVERAGE(N98:N100))^4-1)*100</f>
        <v>-0.938231179941074</v>
      </c>
      <c r="R103" s="24" t="n">
        <f aca="false">IFERROR(('SA Data'!X103/'SA Data'!X91-1)*100,"")</f>
        <v>3.28887182262108</v>
      </c>
      <c r="S103" s="24" t="n">
        <f aca="false">IFERROR((AVERAGE('SA Data'!X103:X103)/AVERAGE('SA Data'!X91:X91)-1)*100,"")</f>
        <v>3.28887182262108</v>
      </c>
    </row>
    <row r="104" customFormat="false" ht="15" hidden="false" customHeight="false" outlineLevel="0" collapsed="false">
      <c r="A104" s="20" t="n">
        <v>40968</v>
      </c>
      <c r="B104" s="23" t="n">
        <f aca="false">'SA Data'!R104</f>
        <v>102.569088514743</v>
      </c>
      <c r="C104" s="24" t="n">
        <f aca="false">(B104/B103-1)*100</f>
        <v>-6.71101827846079</v>
      </c>
      <c r="D104" s="24" t="n">
        <f aca="false">(AVERAGE(B102:B104)/AVERAGE(B99:B101)-1)*100</f>
        <v>3.11257252038204</v>
      </c>
      <c r="E104" s="24" t="n">
        <f aca="false">((AVERAGE(B102:B104)/AVERAGE(B99:B101))^4-1)*100</f>
        <v>13.043732377751</v>
      </c>
      <c r="F104" s="24" t="n">
        <f aca="false">IFERROR(('SA Data'!V104/'SA Data'!V92-1)*100,"")</f>
        <v>-4.02138646672471</v>
      </c>
      <c r="G104" s="24" t="n">
        <f aca="false">IFERROR((AVERAGE('SA Data'!V103:V104)/AVERAGE('SA Data'!V91:V92)-1)*100,"")</f>
        <v>-2.39713121189228</v>
      </c>
      <c r="H104" s="23" t="n">
        <f aca="false">'SA Data'!S104</f>
        <v>139.436247011654</v>
      </c>
      <c r="I104" s="24" t="n">
        <f aca="false">(H104/H103-1)*100</f>
        <v>1.24686915792633</v>
      </c>
      <c r="J104" s="24" t="n">
        <f aca="false">(AVERAGE(H102:H104)/AVERAGE(H99:H101)-1)*100</f>
        <v>-1.57793010615934</v>
      </c>
      <c r="K104" s="24" t="n">
        <f aca="false">((AVERAGE(H102:H104)/AVERAGE(H99:H101))^4-1)*100</f>
        <v>-6.16389395220228</v>
      </c>
      <c r="L104" s="24" t="n">
        <f aca="false">IFERROR(('SA Data'!W104/'SA Data'!W92-1)*100,"")</f>
        <v>-0.34132301874783</v>
      </c>
      <c r="M104" s="24" t="n">
        <f aca="false">IFERROR((AVERAGE('SA Data'!W103:W104)/AVERAGE('SA Data'!W91:W92)-1)*100,"")</f>
        <v>-0.748602712066782</v>
      </c>
      <c r="N104" s="23" t="n">
        <f aca="false">'SA Data'!T104</f>
        <v>153.037413917079</v>
      </c>
      <c r="O104" s="24" t="n">
        <f aca="false">(N104/N103-1)*100</f>
        <v>0.172301911460626</v>
      </c>
      <c r="P104" s="24" t="n">
        <f aca="false">(AVERAGE(N102:N104)/AVERAGE(N99:N101)-1)*100</f>
        <v>-0.16324381886329</v>
      </c>
      <c r="Q104" s="24" t="n">
        <f aca="false">((AVERAGE(N102:N104)/AVERAGE(N99:N101))^4-1)*100</f>
        <v>-0.651378102163258</v>
      </c>
      <c r="R104" s="24" t="n">
        <f aca="false">IFERROR(('SA Data'!X104/'SA Data'!X92-1)*100,"")</f>
        <v>3.18872195373543</v>
      </c>
      <c r="S104" s="24" t="n">
        <f aca="false">IFERROR((AVERAGE('SA Data'!X103:X104)/AVERAGE('SA Data'!X91:X92)-1)*100,"")</f>
        <v>3.23940193407029</v>
      </c>
    </row>
    <row r="105" customFormat="false" ht="15" hidden="false" customHeight="false" outlineLevel="0" collapsed="false">
      <c r="A105" s="20" t="n">
        <v>40999</v>
      </c>
      <c r="B105" s="23" t="n">
        <f aca="false">'SA Data'!R105</f>
        <v>98.389169019329</v>
      </c>
      <c r="C105" s="24" t="n">
        <f aca="false">(B105/B104-1)*100</f>
        <v>-4.07522339911698</v>
      </c>
      <c r="D105" s="24" t="n">
        <f aca="false">(AVERAGE(B103:B105)/AVERAGE(B100:B102)-1)*100</f>
        <v>-3.64607985907749</v>
      </c>
      <c r="E105" s="24" t="n">
        <f aca="false">((AVERAGE(B103:B105)/AVERAGE(B100:B102))^4-1)*100</f>
        <v>-13.8058970542433</v>
      </c>
      <c r="F105" s="24" t="n">
        <f aca="false">IFERROR(('SA Data'!V105/'SA Data'!V93-1)*100,"")</f>
        <v>-10.7002102513606</v>
      </c>
      <c r="G105" s="24" t="n">
        <f aca="false">IFERROR((AVERAGE('SA Data'!V103:V105)/AVERAGE('SA Data'!V91:V93)-1)*100,"")</f>
        <v>-6.51397625622203</v>
      </c>
      <c r="H105" s="23" t="n">
        <f aca="false">'SA Data'!S105</f>
        <v>139.904994628857</v>
      </c>
      <c r="I105" s="24" t="n">
        <f aca="false">(H105/H104-1)*100</f>
        <v>0.336173432123665</v>
      </c>
      <c r="J105" s="24" t="n">
        <f aca="false">(AVERAGE(H103:H105)/AVERAGE(H100:H102)-1)*100</f>
        <v>-0.662958369497224</v>
      </c>
      <c r="K105" s="24" t="n">
        <f aca="false">((AVERAGE(H103:H105)/AVERAGE(H100:H102))^4-1)*100</f>
        <v>-2.62557900857614</v>
      </c>
      <c r="L105" s="24" t="n">
        <f aca="false">IFERROR(('SA Data'!W105/'SA Data'!W93-1)*100,"")</f>
        <v>0.199695743860429</v>
      </c>
      <c r="M105" s="24" t="n">
        <f aca="false">IFERROR((AVERAGE('SA Data'!W103:W105)/AVERAGE('SA Data'!W91:W93)-1)*100,"")</f>
        <v>-0.409221496057022</v>
      </c>
      <c r="N105" s="23" t="n">
        <f aca="false">'SA Data'!T105</f>
        <v>153.358152589523</v>
      </c>
      <c r="O105" s="24" t="n">
        <f aca="false">(N105/N104-1)*100</f>
        <v>0.209581869056663</v>
      </c>
      <c r="P105" s="24" t="n">
        <f aca="false">(AVERAGE(N103:N105)/AVERAGE(N100:N102)-1)*100</f>
        <v>0.138391407376282</v>
      </c>
      <c r="Q105" s="24" t="n">
        <f aca="false">((AVERAGE(N103:N105)/AVERAGE(N100:N102))^4-1)*100</f>
        <v>0.554715820969021</v>
      </c>
      <c r="R105" s="24" t="n">
        <f aca="false">IFERROR(('SA Data'!X105/'SA Data'!X93-1)*100,"")</f>
        <v>2.54770168854575</v>
      </c>
      <c r="S105" s="24" t="n">
        <f aca="false">IFERROR((AVERAGE('SA Data'!X103:X105)/AVERAGE('SA Data'!X91:X93)-1)*100,"")</f>
        <v>3.00004434541472</v>
      </c>
    </row>
    <row r="106" customFormat="false" ht="15" hidden="false" customHeight="false" outlineLevel="0" collapsed="false">
      <c r="A106" s="20" t="n">
        <v>41029</v>
      </c>
      <c r="B106" s="23" t="n">
        <f aca="false">'SA Data'!R106</f>
        <v>89.0300066457769</v>
      </c>
      <c r="C106" s="24" t="n">
        <f aca="false">(B106/B105-1)*100</f>
        <v>-9.5123909133875</v>
      </c>
      <c r="D106" s="24" t="n">
        <f aca="false">(AVERAGE(B104:B106)/AVERAGE(B101:B103)-1)*100</f>
        <v>-11.5906043279499</v>
      </c>
      <c r="E106" s="24" t="n">
        <f aca="false">((AVERAGE(B104:B106)/AVERAGE(B101:B103))^4-1)*100</f>
        <v>-38.9066854789574</v>
      </c>
      <c r="F106" s="24" t="n">
        <f aca="false">IFERROR(('SA Data'!V106/'SA Data'!V94-1)*100,"")</f>
        <v>-22.6757481154676</v>
      </c>
      <c r="G106" s="24" t="n">
        <f aca="false">IFERROR((AVERAGE('SA Data'!V103:V106)/AVERAGE('SA Data'!V91:V94)-1)*100,"")</f>
        <v>-13.4951915361241</v>
      </c>
      <c r="H106" s="23" t="n">
        <f aca="false">'SA Data'!S106</f>
        <v>135.973765796827</v>
      </c>
      <c r="I106" s="24" t="n">
        <f aca="false">(H106/H105-1)*100</f>
        <v>-2.80992743858713</v>
      </c>
      <c r="J106" s="24" t="n">
        <f aca="false">(AVERAGE(H104:H106)/AVERAGE(H101:H103)-1)*100</f>
        <v>-0.459964075601127</v>
      </c>
      <c r="K106" s="24" t="n">
        <f aca="false">((AVERAGE(H104:H106)/AVERAGE(H101:H103))^4-1)*100</f>
        <v>-1.82720116587211</v>
      </c>
      <c r="L106" s="24" t="n">
        <f aca="false">IFERROR(('SA Data'!W106/'SA Data'!W94-1)*100,"")</f>
        <v>-1.947255712034</v>
      </c>
      <c r="M106" s="24" t="n">
        <f aca="false">IFERROR((AVERAGE('SA Data'!W103:W106)/AVERAGE('SA Data'!W91:W94)-1)*100,"")</f>
        <v>-0.806333119045333</v>
      </c>
      <c r="N106" s="23" t="n">
        <f aca="false">'SA Data'!T106</f>
        <v>150.628114845018</v>
      </c>
      <c r="O106" s="24" t="n">
        <f aca="false">(N106/N105-1)*100</f>
        <v>-1.78017125167891</v>
      </c>
      <c r="P106" s="24" t="n">
        <f aca="false">(AVERAGE(N104:N106)/AVERAGE(N101:N103)-1)*100</f>
        <v>-0.33159408785215</v>
      </c>
      <c r="Q106" s="24" t="n">
        <f aca="false">((AVERAGE(N104:N106)/AVERAGE(N101:N103))^4-1)*100</f>
        <v>-1.31979364509597</v>
      </c>
      <c r="R106" s="24" t="n">
        <f aca="false">IFERROR(('SA Data'!X106/'SA Data'!X94-1)*100,"")</f>
        <v>0.118779556260185</v>
      </c>
      <c r="S106" s="24" t="n">
        <f aca="false">IFERROR((AVERAGE('SA Data'!X103:X106)/AVERAGE('SA Data'!X91:X94)-1)*100,"")</f>
        <v>2.26221121624008</v>
      </c>
    </row>
    <row r="107" customFormat="false" ht="15" hidden="false" customHeight="false" outlineLevel="0" collapsed="false">
      <c r="A107" s="20" t="n">
        <v>41060</v>
      </c>
      <c r="B107" s="23" t="n">
        <f aca="false">'SA Data'!R107</f>
        <v>87.5156874817345</v>
      </c>
      <c r="C107" s="24" t="n">
        <f aca="false">(B107/B106-1)*100</f>
        <v>-1.70090873975497</v>
      </c>
      <c r="D107" s="24" t="n">
        <f aca="false">(AVERAGE(B105:B107)/AVERAGE(B102:B104)-1)*100</f>
        <v>-15.2842477744635</v>
      </c>
      <c r="E107" s="24" t="n">
        <f aca="false">((AVERAGE(B105:B107)/AVERAGE(B102:B104))^4-1)*100</f>
        <v>-48.4941349188244</v>
      </c>
      <c r="F107" s="24" t="n">
        <f aca="false">IFERROR(('SA Data'!V107/'SA Data'!V95-1)*100,"")</f>
        <v>-24.0370440077786</v>
      </c>
      <c r="G107" s="24" t="n">
        <f aca="false">IFERROR((AVERAGE('SA Data'!V103:V107)/AVERAGE('SA Data'!V91:V95)-1)*100,"")</f>
        <v>-17.5779295051906</v>
      </c>
      <c r="H107" s="23" t="n">
        <f aca="false">'SA Data'!S107</f>
        <v>135.334338420837</v>
      </c>
      <c r="I107" s="24" t="n">
        <f aca="false">(H107/H106-1)*100</f>
        <v>-0.470257900296334</v>
      </c>
      <c r="J107" s="24" t="n">
        <f aca="false">(AVERAGE(H105:H107)/AVERAGE(H102:H104)-1)*100</f>
        <v>-1.31419028561354</v>
      </c>
      <c r="K107" s="24" t="n">
        <f aca="false">((AVERAGE(H105:H107)/AVERAGE(H102:H104))^4-1)*100</f>
        <v>-5.15404028635548</v>
      </c>
      <c r="L107" s="24" t="n">
        <f aca="false">IFERROR(('SA Data'!W107/'SA Data'!W95-1)*100,"")</f>
        <v>-4.41524899604542</v>
      </c>
      <c r="M107" s="24" t="n">
        <f aca="false">IFERROR((AVERAGE('SA Data'!W103:W107)/AVERAGE('SA Data'!W91:W95)-1)*100,"")</f>
        <v>-1.5755490382837</v>
      </c>
      <c r="N107" s="23" t="n">
        <f aca="false">'SA Data'!T107</f>
        <v>151.994516458406</v>
      </c>
      <c r="O107" s="24" t="n">
        <f aca="false">(N107/N106-1)*100</f>
        <v>0.907135839012319</v>
      </c>
      <c r="P107" s="24" t="n">
        <f aca="false">(AVERAGE(N105:N107)/AVERAGE(N102:N104)-1)*100</f>
        <v>-0.61998811368037</v>
      </c>
      <c r="Q107" s="24" t="n">
        <f aca="false">((AVERAGE(N105:N107)/AVERAGE(N102:N104))^4-1)*100</f>
        <v>-2.45698451702033</v>
      </c>
      <c r="R107" s="24" t="n">
        <f aca="false">IFERROR(('SA Data'!X107/'SA Data'!X95-1)*100,"")</f>
        <v>0.182300136995317</v>
      </c>
      <c r="S107" s="24" t="n">
        <f aca="false">IFERROR((AVERAGE('SA Data'!X103:X107)/AVERAGE('SA Data'!X91:X95)-1)*100,"")</f>
        <v>1.82684733973444</v>
      </c>
    </row>
    <row r="108" customFormat="false" ht="15" hidden="false" customHeight="false" outlineLevel="0" collapsed="false">
      <c r="A108" s="20" t="n">
        <v>41090</v>
      </c>
      <c r="B108" s="23" t="n">
        <f aca="false">'SA Data'!R108</f>
        <v>88.1383938018605</v>
      </c>
      <c r="C108" s="24" t="n">
        <f aca="false">(B108/B107-1)*100</f>
        <v>0.711536797623835</v>
      </c>
      <c r="D108" s="24" t="n">
        <f aca="false">(AVERAGE(B106:B108)/AVERAGE(B103:B105)-1)*100</f>
        <v>-14.8668326713115</v>
      </c>
      <c r="E108" s="24" t="n">
        <f aca="false">((AVERAGE(B106:B108)/AVERAGE(B103:B105))^4-1)*100</f>
        <v>-47.4714799049953</v>
      </c>
      <c r="F108" s="24" t="n">
        <f aca="false">IFERROR(('SA Data'!V108/'SA Data'!V96-1)*100,"")</f>
        <v>-23.5204636142653</v>
      </c>
      <c r="G108" s="24" t="n">
        <f aca="false">IFERROR((AVERAGE('SA Data'!V103:V108)/AVERAGE('SA Data'!V91:V96)-1)*100,"")</f>
        <v>-18.8072694482998</v>
      </c>
      <c r="H108" s="23" t="n">
        <f aca="false">'SA Data'!S108</f>
        <v>134.93726660207</v>
      </c>
      <c r="I108" s="24" t="n">
        <f aca="false">(H108/H107-1)*100</f>
        <v>-0.293400642734287</v>
      </c>
      <c r="J108" s="24" t="n">
        <f aca="false">(AVERAGE(H106:H108)/AVERAGE(H103:H105)-1)*100</f>
        <v>-2.59313603017817</v>
      </c>
      <c r="K108" s="24" t="n">
        <f aca="false">((AVERAGE(H106:H108)/AVERAGE(H103:H105))^4-1)*100</f>
        <v>-9.97601250185251</v>
      </c>
      <c r="L108" s="24" t="n">
        <f aca="false">IFERROR(('SA Data'!W108/'SA Data'!W96-1)*100,"")</f>
        <v>-5.80233832134618</v>
      </c>
      <c r="M108" s="24" t="n">
        <f aca="false">IFERROR((AVERAGE('SA Data'!W103:W108)/AVERAGE('SA Data'!W91:W96)-1)*100,"")</f>
        <v>-2.31096158828462</v>
      </c>
      <c r="N108" s="23" t="n">
        <f aca="false">'SA Data'!T108</f>
        <v>152.059093319893</v>
      </c>
      <c r="O108" s="24" t="n">
        <f aca="false">(N108/N107-1)*100</f>
        <v>0.0424863100272344</v>
      </c>
      <c r="P108" s="24" t="n">
        <f aca="false">(AVERAGE(N106:N108)/AVERAGE(N103:N105)-1)*100</f>
        <v>-0.977421310898941</v>
      </c>
      <c r="Q108" s="24" t="n">
        <f aca="false">((AVERAGE(N106:N108)/AVERAGE(N103:N105))^4-1)*100</f>
        <v>-3.85273669848305</v>
      </c>
      <c r="R108" s="24" t="n">
        <f aca="false">IFERROR(('SA Data'!X108/'SA Data'!X96-1)*100,"")</f>
        <v>-0.341871699113394</v>
      </c>
      <c r="S108" s="24" t="n">
        <f aca="false">IFERROR((AVERAGE('SA Data'!X103:X108)/AVERAGE('SA Data'!X91:X96)-1)*100,"")</f>
        <v>1.44995440608657</v>
      </c>
    </row>
    <row r="109" customFormat="false" ht="15" hidden="false" customHeight="false" outlineLevel="0" collapsed="false">
      <c r="A109" s="20" t="n">
        <v>41121</v>
      </c>
      <c r="B109" s="23" t="n">
        <f aca="false">'SA Data'!R109</f>
        <v>100.994962073818</v>
      </c>
      <c r="C109" s="24" t="n">
        <f aca="false">(B109/B108-1)*100</f>
        <v>14.5867966471681</v>
      </c>
      <c r="D109" s="24" t="n">
        <f aca="false">(AVERAGE(B107:B109)/AVERAGE(B104:B106)-1)*100</f>
        <v>-4.59991746913001</v>
      </c>
      <c r="E109" s="24" t="n">
        <f aca="false">((AVERAGE(B107:B109)/AVERAGE(B104:B106))^4-1)*100</f>
        <v>-17.1686000240974</v>
      </c>
      <c r="F109" s="24" t="n">
        <f aca="false">IFERROR(('SA Data'!V109/'SA Data'!V97-1)*100,"")</f>
        <v>-4.34384292427329</v>
      </c>
      <c r="G109" s="24" t="n">
        <f aca="false">IFERROR((AVERAGE('SA Data'!V103:V109)/AVERAGE('SA Data'!V91:V97)-1)*100,"")</f>
        <v>-17.4343581528671</v>
      </c>
      <c r="H109" s="23" t="n">
        <f aca="false">'SA Data'!S109</f>
        <v>137.442776636827</v>
      </c>
      <c r="I109" s="24" t="n">
        <f aca="false">(H109/H108-1)*100</f>
        <v>1.85679619711407</v>
      </c>
      <c r="J109" s="24" t="n">
        <f aca="false">(AVERAGE(H107:H109)/AVERAGE(H104:H106)-1)*100</f>
        <v>-1.83008695604395</v>
      </c>
      <c r="K109" s="24" t="n">
        <f aca="false">((AVERAGE(H107:H109)/AVERAGE(H104:H106))^4-1)*100</f>
        <v>-7.121835255177</v>
      </c>
      <c r="L109" s="24" t="n">
        <f aca="false">IFERROR(('SA Data'!W109/'SA Data'!W97-1)*100,"")</f>
        <v>-2.59761131778605</v>
      </c>
      <c r="M109" s="24" t="n">
        <f aca="false">IFERROR((AVERAGE('SA Data'!W103:W109)/AVERAGE('SA Data'!W91:W97)-1)*100,"")</f>
        <v>-2.35366826820688</v>
      </c>
      <c r="N109" s="23" t="n">
        <f aca="false">'SA Data'!T109</f>
        <v>153.589944546033</v>
      </c>
      <c r="O109" s="24" t="n">
        <f aca="false">(N109/N108-1)*100</f>
        <v>1.00674756945969</v>
      </c>
      <c r="P109" s="24" t="n">
        <f aca="false">(AVERAGE(N107:N109)/AVERAGE(N104:N106)-1)*100</f>
        <v>0.135632571791189</v>
      </c>
      <c r="Q109" s="24" t="n">
        <f aca="false">((AVERAGE(N107:N109)/AVERAGE(N104:N106))^4-1)*100</f>
        <v>0.543635057224279</v>
      </c>
      <c r="R109" s="24" t="n">
        <f aca="false">IFERROR(('SA Data'!X109/'SA Data'!X97-1)*100,"")</f>
        <v>2.05915868158679</v>
      </c>
      <c r="S109" s="24" t="n">
        <f aca="false">IFERROR((AVERAGE('SA Data'!X103:X109)/AVERAGE('SA Data'!X91:X97)-1)*100,"")</f>
        <v>1.53877394955162</v>
      </c>
    </row>
    <row r="110" customFormat="false" ht="15" hidden="false" customHeight="false" outlineLevel="0" collapsed="false">
      <c r="A110" s="20" t="n">
        <v>41152</v>
      </c>
      <c r="B110" s="23" t="n">
        <f aca="false">'SA Data'!R110</f>
        <v>109.439719143844</v>
      </c>
      <c r="C110" s="24" t="n">
        <f aca="false">(B110/B109-1)*100</f>
        <v>8.36156269245734</v>
      </c>
      <c r="D110" s="24" t="n">
        <f aca="false">(AVERAGE(B108:B110)/AVERAGE(B105:B107)-1)*100</f>
        <v>8.59774988232653</v>
      </c>
      <c r="E110" s="24" t="n">
        <f aca="false">((AVERAGE(B108:B110)/AVERAGE(B105:B107))^4-1)*100</f>
        <v>39.085964820494</v>
      </c>
      <c r="F110" s="24" t="n">
        <f aca="false">IFERROR(('SA Data'!V110/'SA Data'!V98-1)*100,"")</f>
        <v>5.56721928841291</v>
      </c>
      <c r="G110" s="24" t="n">
        <f aca="false">IFERROR((AVERAGE('SA Data'!V103:V110)/AVERAGE('SA Data'!V91:V98)-1)*100,"")</f>
        <v>-16.0792047364655</v>
      </c>
      <c r="H110" s="23" t="n">
        <f aca="false">'SA Data'!S110</f>
        <v>135.769093631854</v>
      </c>
      <c r="I110" s="24" t="n">
        <f aca="false">(H110/H109-1)*100</f>
        <v>-1.21773078653328</v>
      </c>
      <c r="J110" s="24" t="n">
        <f aca="false">(AVERAGE(H108:H110)/AVERAGE(H105:H107)-1)*100</f>
        <v>-0.745103204242392</v>
      </c>
      <c r="K110" s="24" t="n">
        <f aca="false">((AVERAGE(H108:H110)/AVERAGE(H105:H107))^4-1)*100</f>
        <v>-2.94726724784439</v>
      </c>
      <c r="L110" s="24" t="n">
        <f aca="false">IFERROR(('SA Data'!W110/'SA Data'!W98-1)*100,"")</f>
        <v>-4.39541510339584</v>
      </c>
      <c r="M110" s="24" t="n">
        <f aca="false">IFERROR((AVERAGE('SA Data'!W103:W110)/AVERAGE('SA Data'!W91:W98)-1)*100,"")</f>
        <v>-2.62265799922647</v>
      </c>
      <c r="N110" s="23" t="n">
        <f aca="false">'SA Data'!T110</f>
        <v>153.821603664407</v>
      </c>
      <c r="O110" s="24" t="n">
        <f aca="false">(N110/N109-1)*100</f>
        <v>0.150829612614367</v>
      </c>
      <c r="P110" s="24" t="n">
        <f aca="false">(AVERAGE(N108:N110)/AVERAGE(N105:N107)-1)*100</f>
        <v>0.765351909699197</v>
      </c>
      <c r="Q110" s="24" t="n">
        <f aca="false">((AVERAGE(N108:N110)/AVERAGE(N105:N107))^4-1)*100</f>
        <v>3.09673312075587</v>
      </c>
      <c r="R110" s="24" t="n">
        <f aca="false">IFERROR(('SA Data'!X110/'SA Data'!X98-1)*100,"")</f>
        <v>0.740512985349051</v>
      </c>
      <c r="S110" s="24" t="n">
        <f aca="false">IFERROR((AVERAGE('SA Data'!X103:X110)/AVERAGE('SA Data'!X91:X98)-1)*100,"")</f>
        <v>1.4358777316406</v>
      </c>
    </row>
    <row r="111" customFormat="false" ht="15" hidden="false" customHeight="false" outlineLevel="0" collapsed="false">
      <c r="A111" s="20" t="n">
        <v>41182</v>
      </c>
      <c r="B111" s="23" t="n">
        <f aca="false">'SA Data'!R111</f>
        <v>110.328428879153</v>
      </c>
      <c r="C111" s="24" t="n">
        <f aca="false">(B111/B110-1)*100</f>
        <v>0.812054108199201</v>
      </c>
      <c r="D111" s="24" t="n">
        <f aca="false">(AVERAGE(B109:B111)/AVERAGE(B106:B108)-1)*100</f>
        <v>21.1871528077681</v>
      </c>
      <c r="E111" s="24" t="n">
        <f aca="false">((AVERAGE(B109:B111)/AVERAGE(B106:B108))^4-1)*100</f>
        <v>115.688171544329</v>
      </c>
      <c r="F111" s="24" t="n">
        <f aca="false">IFERROR(('SA Data'!V111/'SA Data'!V99-1)*100,"")</f>
        <v>7.67569032912066</v>
      </c>
      <c r="G111" s="24" t="n">
        <f aca="false">IFERROR((AVERAGE('SA Data'!V103:V111)/AVERAGE('SA Data'!V91:V99)-1)*100,"")</f>
        <v>-14.8195148421016</v>
      </c>
      <c r="H111" s="23" t="n">
        <f aca="false">'SA Data'!S111</f>
        <v>134.284587014024</v>
      </c>
      <c r="I111" s="24" t="n">
        <f aca="false">(H111/H110-1)*100</f>
        <v>-1.09340541217404</v>
      </c>
      <c r="J111" s="24" t="n">
        <f aca="false">(AVERAGE(H109:H111)/AVERAGE(H106:H108)-1)*100</f>
        <v>0.307963253943422</v>
      </c>
      <c r="K111" s="24" t="n">
        <f aca="false">((AVERAGE(H109:H111)/AVERAGE(H106:H108))^4-1)*100</f>
        <v>1.23755518977757</v>
      </c>
      <c r="L111" s="24" t="n">
        <f aca="false">IFERROR(('SA Data'!W111/'SA Data'!W99-1)*100,"")</f>
        <v>-6.23788510757063</v>
      </c>
      <c r="M111" s="24" t="n">
        <f aca="false">IFERROR((AVERAGE('SA Data'!W103:W111)/AVERAGE('SA Data'!W91:W99)-1)*100,"")</f>
        <v>-3.04814284427553</v>
      </c>
      <c r="N111" s="23" t="n">
        <f aca="false">'SA Data'!T111</f>
        <v>151.611774503077</v>
      </c>
      <c r="O111" s="24" t="n">
        <f aca="false">(N111/N110-1)*100</f>
        <v>-1.43661820491137</v>
      </c>
      <c r="P111" s="24" t="n">
        <f aca="false">(AVERAGE(N109:N111)/AVERAGE(N106:N108)-1)*100</f>
        <v>0.954865316787723</v>
      </c>
      <c r="Q111" s="24" t="n">
        <f aca="false">((AVERAGE(N109:N111)/AVERAGE(N106:N108))^4-1)*100</f>
        <v>3.87451641103305</v>
      </c>
      <c r="R111" s="24" t="n">
        <f aca="false">IFERROR(('SA Data'!X111/'SA Data'!X99-1)*100,"")</f>
        <v>-1.86160303123307</v>
      </c>
      <c r="S111" s="24" t="n">
        <f aca="false">IFERROR((AVERAGE('SA Data'!X103:X111)/AVERAGE('SA Data'!X91:X99)-1)*100,"")</f>
        <v>1.05943841655674</v>
      </c>
    </row>
    <row r="112" customFormat="false" ht="15" hidden="false" customHeight="false" outlineLevel="0" collapsed="false">
      <c r="A112" s="20" t="n">
        <v>41213</v>
      </c>
      <c r="B112" s="23" t="n">
        <f aca="false">'SA Data'!R112</f>
        <v>108.232822975072</v>
      </c>
      <c r="C112" s="24" t="n">
        <f aca="false">(B112/B111-1)*100</f>
        <v>-1.89942513037772</v>
      </c>
      <c r="D112" s="24" t="n">
        <f aca="false">(AVERAGE(B110:B112)/AVERAGE(B107:B109)-1)*100</f>
        <v>18.5621200845116</v>
      </c>
      <c r="E112" s="24" t="n">
        <f aca="false">((AVERAGE(B110:B112)/AVERAGE(B107:B109))^4-1)*100</f>
        <v>97.5985832310757</v>
      </c>
      <c r="F112" s="24" t="n">
        <f aca="false">IFERROR(('SA Data'!V112/'SA Data'!V100-1)*100,"")</f>
        <v>5.08280693252587</v>
      </c>
      <c r="G112" s="24" t="n">
        <f aca="false">IFERROR((AVERAGE('SA Data'!V103:V112)/AVERAGE('SA Data'!V91:V100)-1)*100,"")</f>
        <v>-13.7857180163278</v>
      </c>
      <c r="H112" s="23" t="n">
        <f aca="false">'SA Data'!S112</f>
        <v>137.155938602751</v>
      </c>
      <c r="I112" s="24" t="n">
        <f aca="false">(H112/H111-1)*100</f>
        <v>2.13825849457112</v>
      </c>
      <c r="J112" s="24" t="n">
        <f aca="false">(AVERAGE(H110:H112)/AVERAGE(H107:H109)-1)*100</f>
        <v>-0.123802944858187</v>
      </c>
      <c r="K112" s="24" t="n">
        <f aca="false">((AVERAGE(H110:H112)/AVERAGE(H107:H109))^4-1)*100</f>
        <v>-0.494292908067961</v>
      </c>
      <c r="L112" s="24" t="n">
        <f aca="false">IFERROR(('SA Data'!W112/'SA Data'!W100-1)*100,"")</f>
        <v>-1.72291153755835</v>
      </c>
      <c r="M112" s="24" t="n">
        <f aca="false">IFERROR((AVERAGE('SA Data'!W103:W112)/AVERAGE('SA Data'!W91:W100)-1)*100,"")</f>
        <v>-2.90980210012081</v>
      </c>
      <c r="N112" s="23" t="n">
        <f aca="false">'SA Data'!T112</f>
        <v>154.509067419321</v>
      </c>
      <c r="O112" s="24" t="n">
        <f aca="false">(N112/N111-1)*100</f>
        <v>1.91099466102818</v>
      </c>
      <c r="P112" s="24" t="n">
        <f aca="false">(AVERAGE(N110:N112)/AVERAGE(N107:N109)-1)*100</f>
        <v>0.502332271644712</v>
      </c>
      <c r="Q112" s="24" t="n">
        <f aca="false">((AVERAGE(N110:N112)/AVERAGE(N107:N109))^4-1)*100</f>
        <v>2.02452011587158</v>
      </c>
      <c r="R112" s="24" t="n">
        <f aca="false">IFERROR(('SA Data'!X112/'SA Data'!X100-1)*100,"")</f>
        <v>1.60587730702189</v>
      </c>
      <c r="S112" s="24" t="n">
        <f aca="false">IFERROR((AVERAGE('SA Data'!X103:X112)/AVERAGE('SA Data'!X91:X100)-1)*100,"")</f>
        <v>1.11503869590446</v>
      </c>
    </row>
    <row r="113" customFormat="false" ht="15" hidden="false" customHeight="false" outlineLevel="0" collapsed="false">
      <c r="A113" s="20" t="n">
        <v>41243</v>
      </c>
      <c r="B113" s="23" t="n">
        <f aca="false">'SA Data'!R113</f>
        <v>105.405018606663</v>
      </c>
      <c r="C113" s="24" t="n">
        <f aca="false">(B113/B112-1)*100</f>
        <v>-2.61270499159011</v>
      </c>
      <c r="D113" s="24" t="n">
        <f aca="false">(AVERAGE(B111:B113)/AVERAGE(B108:B110)-1)*100</f>
        <v>8.50485109539934</v>
      </c>
      <c r="E113" s="24" t="n">
        <f aca="false">((AVERAGE(B111:B113)/AVERAGE(B108:B110))^4-1)*100</f>
        <v>38.6106567303683</v>
      </c>
      <c r="F113" s="24" t="n">
        <f aca="false">IFERROR(('SA Data'!V113/'SA Data'!V101-1)*100,"")</f>
        <v>-0.855217995063207</v>
      </c>
      <c r="G113" s="24" t="n">
        <f aca="false">IFERROR((AVERAGE('SA Data'!V103:V113)/AVERAGE('SA Data'!V91:V101)-1)*100,"")</f>
        <v>-13.0028578006292</v>
      </c>
      <c r="H113" s="23" t="n">
        <f aca="false">'SA Data'!S113</f>
        <v>137.083933232652</v>
      </c>
      <c r="I113" s="24" t="n">
        <f aca="false">(H113/H112-1)*100</f>
        <v>-0.0524989080553651</v>
      </c>
      <c r="J113" s="24" t="n">
        <f aca="false">(AVERAGE(H111:H113)/AVERAGE(H108:H110)-1)*100</f>
        <v>0.0919570678386217</v>
      </c>
      <c r="K113" s="24" t="n">
        <f aca="false">((AVERAGE(H111:H113)/AVERAGE(H108:H110))^4-1)*100</f>
        <v>0.368335948604881</v>
      </c>
      <c r="L113" s="24" t="n">
        <f aca="false">IFERROR(('SA Data'!W113/'SA Data'!W101-1)*100,"")</f>
        <v>-1.93327970220395</v>
      </c>
      <c r="M113" s="24" t="n">
        <f aca="false">IFERROR((AVERAGE('SA Data'!W103:W113)/AVERAGE('SA Data'!W91:W101)-1)*100,"")</f>
        <v>-2.81949475053882</v>
      </c>
      <c r="N113" s="23" t="n">
        <f aca="false">'SA Data'!T113</f>
        <v>154.835820761446</v>
      </c>
      <c r="O113" s="24" t="n">
        <f aca="false">(N113/N112-1)*100</f>
        <v>0.211478424912315</v>
      </c>
      <c r="P113" s="24" t="n">
        <f aca="false">(AVERAGE(N111:N113)/AVERAGE(N108:N110)-1)*100</f>
        <v>0.323420262187457</v>
      </c>
      <c r="Q113" s="24" t="n">
        <f aca="false">((AVERAGE(N111:N113)/AVERAGE(N108:N110))^4-1)*100</f>
        <v>1.29997063164067</v>
      </c>
      <c r="R113" s="24" t="n">
        <f aca="false">IFERROR(('SA Data'!X113/'SA Data'!X101-1)*100,"")</f>
        <v>1.24214186291167</v>
      </c>
      <c r="S113" s="24" t="n">
        <f aca="false">IFERROR((AVERAGE('SA Data'!X103:X113)/AVERAGE('SA Data'!X91:X101)-1)*100,"")</f>
        <v>1.12678500524734</v>
      </c>
    </row>
    <row r="114" customFormat="false" ht="15" hidden="false" customHeight="false" outlineLevel="0" collapsed="false">
      <c r="A114" s="20" t="n">
        <v>41274</v>
      </c>
      <c r="B114" s="23" t="n">
        <f aca="false">'SA Data'!R114</f>
        <v>97.2377115861067</v>
      </c>
      <c r="C114" s="24" t="n">
        <f aca="false">(B114/B113-1)*100</f>
        <v>-7.74849919720996</v>
      </c>
      <c r="D114" s="24" t="n">
        <f aca="false">(AVERAGE(B112:B114)/AVERAGE(B109:B111)-1)*100</f>
        <v>-3.08251061850267</v>
      </c>
      <c r="E114" s="24" t="n">
        <f aca="false">((AVERAGE(B112:B114)/AVERAGE(B109:B111))^4-1)*100</f>
        <v>-11.7715557338343</v>
      </c>
      <c r="F114" s="24" t="n">
        <f aca="false">IFERROR(('SA Data'!V114/'SA Data'!V102-1)*100,"")</f>
        <v>-15.9005423892609</v>
      </c>
      <c r="G114" s="24" t="n">
        <f aca="false">IFERROR((AVERAGE('SA Data'!V103:V114)/AVERAGE('SA Data'!V91:V102)-1)*100,"")</f>
        <v>-13.1867879488559</v>
      </c>
      <c r="H114" s="23" t="n">
        <f aca="false">'SA Data'!S114</f>
        <v>137.681823079666</v>
      </c>
      <c r="I114" s="24" t="n">
        <f aca="false">(H114/H113-1)*100</f>
        <v>0.43614873961888</v>
      </c>
      <c r="J114" s="24" t="n">
        <f aca="false">(AVERAGE(H112:H114)/AVERAGE(H109:H111)-1)*100</f>
        <v>1.08595732632173</v>
      </c>
      <c r="K114" s="24" t="n">
        <f aca="false">((AVERAGE(H112:H114)/AVERAGE(H109:H111))^4-1)*100</f>
        <v>4.41510116414852</v>
      </c>
      <c r="L114" s="24" t="n">
        <f aca="false">IFERROR(('SA Data'!W114/'SA Data'!W102-1)*100,"")</f>
        <v>-0.908426280694241</v>
      </c>
      <c r="M114" s="24" t="n">
        <f aca="false">IFERROR((AVERAGE('SA Data'!W103:W114)/AVERAGE('SA Data'!W91:W102)-1)*100,"")</f>
        <v>-2.66402404506276</v>
      </c>
      <c r="N114" s="23" t="n">
        <f aca="false">'SA Data'!T114</f>
        <v>154.784525982052</v>
      </c>
      <c r="O114" s="24" t="n">
        <f aca="false">(N114/N113-1)*100</f>
        <v>-0.0331284964563694</v>
      </c>
      <c r="P114" s="24" t="n">
        <f aca="false">(AVERAGE(N112:N114)/AVERAGE(N109:N111)-1)*100</f>
        <v>1.11238170189643</v>
      </c>
      <c r="Q114" s="24" t="n">
        <f aca="false">((AVERAGE(N112:N114)/AVERAGE(N109:N111))^4-1)*100</f>
        <v>4.52432250312518</v>
      </c>
      <c r="R114" s="24" t="n">
        <f aca="false">IFERROR(('SA Data'!X114/'SA Data'!X102-1)*100,"")</f>
        <v>1.155343253407</v>
      </c>
      <c r="S114" s="24" t="n">
        <f aca="false">IFERROR((AVERAGE('SA Data'!X103:X114)/AVERAGE('SA Data'!X91:X102)-1)*100,"")</f>
        <v>1.129176242973</v>
      </c>
    </row>
    <row r="115" customFormat="false" ht="15" hidden="false" customHeight="false" outlineLevel="0" collapsed="false">
      <c r="A115" s="20" t="n">
        <v>41305</v>
      </c>
      <c r="B115" s="23" t="n">
        <f aca="false">'SA Data'!R115</f>
        <v>102.893870188914</v>
      </c>
      <c r="C115" s="24" t="n">
        <f aca="false">(B115/B114-1)*100</f>
        <v>5.81683640076096</v>
      </c>
      <c r="D115" s="24" t="n">
        <f aca="false">(AVERAGE(B113:B115)/AVERAGE(B110:B112)-1)*100</f>
        <v>-6.848873205475</v>
      </c>
      <c r="E115" s="24" t="n">
        <f aca="false">((AVERAGE(B113:B115)/AVERAGE(B110:B112))^4-1)*100</f>
        <v>-24.7073729121659</v>
      </c>
      <c r="F115" s="24" t="n">
        <f aca="false">IFERROR(('SA Data'!V115/'SA Data'!V103-1)*100,"")</f>
        <v>-8.90981898145214</v>
      </c>
      <c r="G115" s="24" t="n">
        <f aca="false">IFERROR((AVERAGE('SA Data'!V115:V115)/AVERAGE('SA Data'!V103:V103)-1)*100,"")</f>
        <v>-8.90981898145214</v>
      </c>
      <c r="H115" s="23" t="n">
        <f aca="false">'SA Data'!S115</f>
        <v>136.619415390884</v>
      </c>
      <c r="I115" s="24" t="n">
        <f aca="false">(H115/H114-1)*100</f>
        <v>-0.771639759714193</v>
      </c>
      <c r="J115" s="24" t="n">
        <f aca="false">(AVERAGE(H113:H115)/AVERAGE(H110:H112)-1)*100</f>
        <v>1.02540614396003</v>
      </c>
      <c r="K115" s="24" t="n">
        <f aca="false">((AVERAGE(H113:H115)/AVERAGE(H110:H112))^4-1)*100</f>
        <v>4.16514441550671</v>
      </c>
      <c r="L115" s="24" t="n">
        <f aca="false">IFERROR(('SA Data'!W115/'SA Data'!W103-1)*100,"")</f>
        <v>-1.08938426301133</v>
      </c>
      <c r="M115" s="24" t="n">
        <f aca="false">IFERROR((AVERAGE('SA Data'!W115:W115)/AVERAGE('SA Data'!W103:W103)-1)*100,"")</f>
        <v>-1.08938426301133</v>
      </c>
      <c r="N115" s="23" t="n">
        <f aca="false">'SA Data'!T115</f>
        <v>154.309036794611</v>
      </c>
      <c r="O115" s="24" t="n">
        <f aca="false">(N115/N114-1)*100</f>
        <v>-0.307194265334065</v>
      </c>
      <c r="P115" s="24" t="n">
        <f aca="false">(AVERAGE(N113:N115)/AVERAGE(N110:N112)-1)*100</f>
        <v>0.866834098387526</v>
      </c>
      <c r="Q115" s="24" t="n">
        <f aca="false">((AVERAGE(N113:N115)/AVERAGE(N110:N112))^4-1)*100</f>
        <v>3.51268157552787</v>
      </c>
      <c r="R115" s="24" t="n">
        <f aca="false">IFERROR(('SA Data'!X115/'SA Data'!X103-1)*100,"")</f>
        <v>0.837181364069872</v>
      </c>
      <c r="S115" s="24" t="n">
        <f aca="false">IFERROR((AVERAGE('SA Data'!X115:X115)/AVERAGE('SA Data'!X103:X103)-1)*100,"")</f>
        <v>0.837181364069872</v>
      </c>
    </row>
    <row r="116" customFormat="false" ht="15" hidden="false" customHeight="false" outlineLevel="0" collapsed="false">
      <c r="A116" s="20" t="n">
        <v>41333</v>
      </c>
      <c r="B116" s="23" t="n">
        <f aca="false">'SA Data'!R116</f>
        <v>110.104471131257</v>
      </c>
      <c r="C116" s="24" t="n">
        <f aca="false">(B116/B115-1)*100</f>
        <v>7.00780418610372</v>
      </c>
      <c r="D116" s="24" t="n">
        <f aca="false">(AVERAGE(B114:B116)/AVERAGE(B111:B113)-1)*100</f>
        <v>-4.23816267510698</v>
      </c>
      <c r="E116" s="24" t="n">
        <f aca="false">((AVERAGE(B114:B116)/AVERAGE(B111:B113))^4-1)*100</f>
        <v>-15.9050570844655</v>
      </c>
      <c r="F116" s="24" t="n">
        <f aca="false">IFERROR(('SA Data'!V116/'SA Data'!V104-1)*100,"")</f>
        <v>7.02728254091209</v>
      </c>
      <c r="G116" s="24" t="n">
        <f aca="false">IFERROR((AVERAGE('SA Data'!V115:V116)/AVERAGE('SA Data'!V103:V104)-1)*100,"")</f>
        <v>-1.02747383237355</v>
      </c>
      <c r="H116" s="23" t="n">
        <f aca="false">'SA Data'!S116</f>
        <v>135.319122739859</v>
      </c>
      <c r="I116" s="24" t="n">
        <f aca="false">(H116/H115-1)*100</f>
        <v>-0.95176271052263</v>
      </c>
      <c r="J116" s="24" t="n">
        <f aca="false">(AVERAGE(H114:H116)/AVERAGE(H111:H113)-1)*100</f>
        <v>0.268258689839174</v>
      </c>
      <c r="K116" s="24" t="n">
        <f aca="false">((AVERAGE(H114:H116)/AVERAGE(H111:H113))^4-1)*100</f>
        <v>1.07736024986629</v>
      </c>
      <c r="L116" s="24" t="n">
        <f aca="false">IFERROR(('SA Data'!W116/'SA Data'!W104-1)*100,"")</f>
        <v>-3.39125874864407</v>
      </c>
      <c r="M116" s="24" t="n">
        <f aca="false">IFERROR((AVERAGE('SA Data'!W115:W116)/AVERAGE('SA Data'!W103:W104)-1)*100,"")</f>
        <v>-2.23544907278477</v>
      </c>
      <c r="N116" s="23" t="n">
        <f aca="false">'SA Data'!T116</f>
        <v>154.286191446201</v>
      </c>
      <c r="O116" s="24" t="n">
        <f aca="false">(N116/N115-1)*100</f>
        <v>-0.0148049322865718</v>
      </c>
      <c r="P116" s="24" t="n">
        <f aca="false">(AVERAGE(N114:N116)/AVERAGE(N111:N113)-1)*100</f>
        <v>0.525665802271158</v>
      </c>
      <c r="Q116" s="24" t="n">
        <f aca="false">((AVERAGE(N114:N116)/AVERAGE(N111:N113))^4-1)*100</f>
        <v>2.11930085932401</v>
      </c>
      <c r="R116" s="24" t="n">
        <f aca="false">IFERROR(('SA Data'!X116/'SA Data'!X104-1)*100,"")</f>
        <v>0.802071083978162</v>
      </c>
      <c r="S116" s="24" t="n">
        <f aca="false">IFERROR((AVERAGE('SA Data'!X115:X116)/AVERAGE('SA Data'!X103:X104)-1)*100,"")</f>
        <v>0.819846853086514</v>
      </c>
    </row>
    <row r="117" customFormat="false" ht="15" hidden="false" customHeight="false" outlineLevel="0" collapsed="false">
      <c r="A117" s="20" t="n">
        <v>41364</v>
      </c>
      <c r="B117" s="23" t="n">
        <f aca="false">'SA Data'!R117</f>
        <v>109.912152420986</v>
      </c>
      <c r="C117" s="24" t="n">
        <f aca="false">(B117/B116-1)*100</f>
        <v>-0.174669301160335</v>
      </c>
      <c r="D117" s="24" t="n">
        <f aca="false">(AVERAGE(B115:B117)/AVERAGE(B112:B114)-1)*100</f>
        <v>3.87130491628545</v>
      </c>
      <c r="E117" s="24" t="n">
        <f aca="false">((AVERAGE(B115:B117)/AVERAGE(B112:B114))^4-1)*100</f>
        <v>16.4078720820843</v>
      </c>
      <c r="F117" s="24" t="n">
        <f aca="false">IFERROR(('SA Data'!V117/'SA Data'!V105-1)*100,"")</f>
        <v>11.9279235607175</v>
      </c>
      <c r="G117" s="24" t="n">
        <f aca="false">IFERROR((AVERAGE('SA Data'!V115:V117)/AVERAGE('SA Data'!V103:V105)-1)*100,"")</f>
        <v>5.10844824588022</v>
      </c>
      <c r="H117" s="23" t="n">
        <f aca="false">'SA Data'!S117</f>
        <v>136.805821806726</v>
      </c>
      <c r="I117" s="24" t="n">
        <f aca="false">(H117/H116-1)*100</f>
        <v>1.09866147279487</v>
      </c>
      <c r="J117" s="24" t="n">
        <f aca="false">(AVERAGE(H115:H117)/AVERAGE(H112:H114)-1)*100</f>
        <v>-0.771344412499209</v>
      </c>
      <c r="K117" s="24" t="n">
        <f aca="false">((AVERAGE(H115:H117)/AVERAGE(H112:H114))^4-1)*100</f>
        <v>-3.04986253523695</v>
      </c>
      <c r="L117" s="24" t="n">
        <f aca="false">IFERROR(('SA Data'!W117/'SA Data'!W105-1)*100,"")</f>
        <v>-2.97026543198295</v>
      </c>
      <c r="M117" s="24" t="n">
        <f aca="false">IFERROR((AVERAGE('SA Data'!W115:W117)/AVERAGE('SA Data'!W103:W105)-1)*100,"")</f>
        <v>-2.50003628470445</v>
      </c>
      <c r="N117" s="23" t="n">
        <f aca="false">'SA Data'!T117</f>
        <v>155.739065487955</v>
      </c>
      <c r="O117" s="24" t="n">
        <f aca="false">(N117/N116-1)*100</f>
        <v>0.941674707331286</v>
      </c>
      <c r="P117" s="24" t="n">
        <f aca="false">(AVERAGE(N115:N117)/AVERAGE(N112:N114)-1)*100</f>
        <v>0.0441427670161421</v>
      </c>
      <c r="Q117" s="24" t="n">
        <f aca="false">((AVERAGE(N115:N117)/AVERAGE(N112:N114))^4-1)*100</f>
        <v>0.17668801750752</v>
      </c>
      <c r="R117" s="24" t="n">
        <f aca="false">IFERROR(('SA Data'!X117/'SA Data'!X105-1)*100,"")</f>
        <v>1.21021853992953</v>
      </c>
      <c r="S117" s="24" t="n">
        <f aca="false">IFERROR((AVERAGE('SA Data'!X115:X117)/AVERAGE('SA Data'!X103:X105)-1)*100,"")</f>
        <v>0.954338744773975</v>
      </c>
    </row>
    <row r="118" customFormat="false" ht="15" hidden="false" customHeight="false" outlineLevel="0" collapsed="false">
      <c r="A118" s="20" t="n">
        <v>41394</v>
      </c>
      <c r="B118" s="23" t="n">
        <f aca="false">'SA Data'!R118</f>
        <v>106.944783981036</v>
      </c>
      <c r="C118" s="24" t="n">
        <f aca="false">(B118/B117-1)*100</f>
        <v>-2.69976374276065</v>
      </c>
      <c r="D118" s="24" t="n">
        <f aca="false">(AVERAGE(B116:B118)/AVERAGE(B113:B115)-1)*100</f>
        <v>7.01219006980867</v>
      </c>
      <c r="E118" s="24" t="n">
        <f aca="false">((AVERAGE(B116:B118)/AVERAGE(B113:B115))^4-1)*100</f>
        <v>31.1393446473072</v>
      </c>
      <c r="F118" s="24" t="n">
        <f aca="false">IFERROR(('SA Data'!V118/'SA Data'!V106-1)*100,"")</f>
        <v>21.7121074213096</v>
      </c>
      <c r="G118" s="24" t="n">
        <f aca="false">IFERROR((AVERAGE('SA Data'!V115:V118)/AVERAGE('SA Data'!V103:V106)-1)*100,"")</f>
        <v>11.5193828474407</v>
      </c>
      <c r="H118" s="23" t="n">
        <f aca="false">'SA Data'!S118</f>
        <v>139.937102629816</v>
      </c>
      <c r="I118" s="24" t="n">
        <f aca="false">(H118/H117-1)*100</f>
        <v>2.28885056332908</v>
      </c>
      <c r="J118" s="24" t="n">
        <f aca="false">(AVERAGE(H116:H118)/AVERAGE(H113:H115)-1)*100</f>
        <v>0.164535700302038</v>
      </c>
      <c r="K118" s="24" t="n">
        <f aca="false">((AVERAGE(H116:H118)/AVERAGE(H113:H115))^4-1)*100</f>
        <v>0.659768903465441</v>
      </c>
      <c r="L118" s="24" t="n">
        <f aca="false">IFERROR(('SA Data'!W118/'SA Data'!W106-1)*100,"")</f>
        <v>3.2023290961402</v>
      </c>
      <c r="M118" s="24" t="n">
        <f aca="false">IFERROR((AVERAGE('SA Data'!W115:W118)/AVERAGE('SA Data'!W103:W106)-1)*100,"")</f>
        <v>-1.0446527713606</v>
      </c>
      <c r="N118" s="23" t="n">
        <f aca="false">'SA Data'!T118</f>
        <v>157.690296401833</v>
      </c>
      <c r="O118" s="24" t="n">
        <f aca="false">(N118/N117-1)*100</f>
        <v>1.25288469387208</v>
      </c>
      <c r="P118" s="24" t="n">
        <f aca="false">(AVERAGE(N116:N118)/AVERAGE(N113:N115)-1)*100</f>
        <v>0.816109074403726</v>
      </c>
      <c r="Q118" s="24" t="n">
        <f aca="false">((AVERAGE(N116:N118)/AVERAGE(N113:N115))^4-1)*100</f>
        <v>3.30461620505913</v>
      </c>
      <c r="R118" s="24" t="n">
        <f aca="false">IFERROR(('SA Data'!X118/'SA Data'!X106-1)*100,"")</f>
        <v>4.83675478833232</v>
      </c>
      <c r="S118" s="24" t="n">
        <f aca="false">IFERROR((AVERAGE('SA Data'!X115:X118)/AVERAGE('SA Data'!X103:X106)-1)*100,"")</f>
        <v>1.92770754199394</v>
      </c>
    </row>
    <row r="119" customFormat="false" ht="15" hidden="false" customHeight="false" outlineLevel="0" collapsed="false">
      <c r="A119" s="20" t="n">
        <v>41425</v>
      </c>
      <c r="B119" s="23" t="n">
        <f aca="false">'SA Data'!R119</f>
        <v>106.353075879865</v>
      </c>
      <c r="C119" s="24" t="n">
        <f aca="false">(B119/B118-1)*100</f>
        <v>-0.553283740585342</v>
      </c>
      <c r="D119" s="24" t="n">
        <f aca="false">(AVERAGE(B117:B119)/AVERAGE(B114:B116)-1)*100</f>
        <v>4.18196378340612</v>
      </c>
      <c r="E119" s="24" t="n">
        <f aca="false">((AVERAGE(B117:B119)/AVERAGE(B114:B116))^4-1)*100</f>
        <v>17.8067453041886</v>
      </c>
      <c r="F119" s="24" t="n">
        <f aca="false">IFERROR(('SA Data'!V119/'SA Data'!V107-1)*100,"")</f>
        <v>24.4163796712458</v>
      </c>
      <c r="G119" s="24" t="n">
        <f aca="false">IFERROR((AVERAGE('SA Data'!V115:V119)/AVERAGE('SA Data'!V103:V107)-1)*100,"")</f>
        <v>16.1228124135463</v>
      </c>
      <c r="H119" s="23" t="n">
        <f aca="false">'SA Data'!S119</f>
        <v>139.288358117276</v>
      </c>
      <c r="I119" s="24" t="n">
        <f aca="false">(H119/H118-1)*100</f>
        <v>-0.463597216427081</v>
      </c>
      <c r="J119" s="24" t="n">
        <f aca="false">(AVERAGE(H117:H119)/AVERAGE(H114:H116)-1)*100</f>
        <v>1.56508854307573</v>
      </c>
      <c r="K119" s="24" t="n">
        <f aca="false">((AVERAGE(H117:H119)/AVERAGE(H114:H116))^4-1)*100</f>
        <v>6.40886377632273</v>
      </c>
      <c r="L119" s="24" t="n">
        <f aca="false">IFERROR(('SA Data'!W119/'SA Data'!W107-1)*100,"")</f>
        <v>3.2262095000708</v>
      </c>
      <c r="M119" s="24" t="n">
        <f aca="false">IFERROR((AVERAGE('SA Data'!W115:W119)/AVERAGE('SA Data'!W103:W107)-1)*100,"")</f>
        <v>-0.160611209186001</v>
      </c>
      <c r="N119" s="23" t="n">
        <f aca="false">'SA Data'!T119</f>
        <v>157.034227795641</v>
      </c>
      <c r="O119" s="24" t="n">
        <f aca="false">(N119/N118-1)*100</f>
        <v>-0.416048812870384</v>
      </c>
      <c r="P119" s="24" t="n">
        <f aca="false">(AVERAGE(N117:N119)/AVERAGE(N114:N116)-1)*100</f>
        <v>1.52873218952889</v>
      </c>
      <c r="Q119" s="24" t="n">
        <f aca="false">((AVERAGE(N117:N119)/AVERAGE(N114:N116))^4-1)*100</f>
        <v>6.25658461859524</v>
      </c>
      <c r="R119" s="24" t="n">
        <f aca="false">IFERROR(('SA Data'!X119/'SA Data'!X107-1)*100,"")</f>
        <v>3.18165010544411</v>
      </c>
      <c r="S119" s="24" t="n">
        <f aca="false">IFERROR((AVERAGE('SA Data'!X115:X119)/AVERAGE('SA Data'!X103:X107)-1)*100,"")</f>
        <v>2.18594186649466</v>
      </c>
    </row>
    <row r="120" customFormat="false" ht="15" hidden="false" customHeight="false" outlineLevel="0" collapsed="false">
      <c r="A120" s="20" t="n">
        <v>41455</v>
      </c>
      <c r="B120" s="23" t="n">
        <f aca="false">'SA Data'!R120</f>
        <v>106.285681826702</v>
      </c>
      <c r="C120" s="24" t="n">
        <f aca="false">(B120/B119-1)*100</f>
        <v>-0.0633682219398635</v>
      </c>
      <c r="D120" s="24" t="n">
        <f aca="false">(AVERAGE(B118:B120)/AVERAGE(B115:B117)-1)*100</f>
        <v>-1.03030162166893</v>
      </c>
      <c r="E120" s="24" t="n">
        <f aca="false">((AVERAGE(B118:B120)/AVERAGE(B115:B117))^4-1)*100</f>
        <v>-4.05795154885211</v>
      </c>
      <c r="F120" s="24" t="n">
        <f aca="false">IFERROR(('SA Data'!V120/'SA Data'!V108-1)*100,"")</f>
        <v>23.0578915662503</v>
      </c>
      <c r="G120" s="24" t="n">
        <f aca="false">IFERROR((AVERAGE('SA Data'!V115:V120)/AVERAGE('SA Data'!V103:V108)-1)*100,"")</f>
        <v>17.4741997072091</v>
      </c>
      <c r="H120" s="23" t="n">
        <f aca="false">'SA Data'!S120</f>
        <v>137.118821012532</v>
      </c>
      <c r="I120" s="24" t="n">
        <f aca="false">(H120/H119-1)*100</f>
        <v>-1.55758681778474</v>
      </c>
      <c r="J120" s="24" t="n">
        <f aca="false">(AVERAGE(H118:H120)/AVERAGE(H115:H117)-1)*100</f>
        <v>1.85933374672569</v>
      </c>
      <c r="K120" s="24" t="n">
        <f aca="false">((AVERAGE(H118:H120)/AVERAGE(H115:H117))^4-1)*100</f>
        <v>7.64734543492478</v>
      </c>
      <c r="L120" s="24" t="n">
        <f aca="false">IFERROR(('SA Data'!W120/'SA Data'!W108-1)*100,"")</f>
        <v>2.02951883627558</v>
      </c>
      <c r="M120" s="24" t="n">
        <f aca="false">IFERROR((AVERAGE('SA Data'!W115:W120)/AVERAGE('SA Data'!W103:W108)-1)*100,"")</f>
        <v>0.206827265819842</v>
      </c>
      <c r="N120" s="23" t="n">
        <f aca="false">'SA Data'!T120</f>
        <v>155.82858814815</v>
      </c>
      <c r="O120" s="24" t="n">
        <f aca="false">(N120/N119-1)*100</f>
        <v>-0.767755962769934</v>
      </c>
      <c r="P120" s="24" t="n">
        <f aca="false">(AVERAGE(N118:N120)/AVERAGE(N115:N117)-1)*100</f>
        <v>1.3392977216734</v>
      </c>
      <c r="Q120" s="24" t="n">
        <f aca="false">((AVERAGE(N118:N120)/AVERAGE(N115:N117))^4-1)*100</f>
        <v>5.46577813653582</v>
      </c>
      <c r="R120" s="24" t="n">
        <f aca="false">IFERROR(('SA Data'!X120/'SA Data'!X108-1)*100,"")</f>
        <v>2.55576868637855</v>
      </c>
      <c r="S120" s="24" t="n">
        <f aca="false">IFERROR((AVERAGE('SA Data'!X115:X120)/AVERAGE('SA Data'!X103:X108)-1)*100,"")</f>
        <v>2.24907741764773</v>
      </c>
    </row>
    <row r="121" customFormat="false" ht="15" hidden="false" customHeight="false" outlineLevel="0" collapsed="false">
      <c r="A121" s="20" t="n">
        <v>41486</v>
      </c>
      <c r="B121" s="23" t="n">
        <f aca="false">'SA Data'!R121</f>
        <v>106.016721112484</v>
      </c>
      <c r="C121" s="24" t="n">
        <f aca="false">(B121/B120-1)*100</f>
        <v>-0.253054512700801</v>
      </c>
      <c r="D121" s="24" t="n">
        <f aca="false">(AVERAGE(B119:B121)/AVERAGE(B116:B118)-1)*100</f>
        <v>-2.54033917240915</v>
      </c>
      <c r="E121" s="24" t="n">
        <f aca="false">((AVERAGE(B119:B121)/AVERAGE(B116:B118))^4-1)*100</f>
        <v>-9.78067310940113</v>
      </c>
      <c r="F121" s="24" t="n">
        <f aca="false">IFERROR(('SA Data'!V121/'SA Data'!V109-1)*100,"")</f>
        <v>6.08428849127518</v>
      </c>
      <c r="G121" s="24" t="n">
        <f aca="false">IFERROR((AVERAGE('SA Data'!V115:V121)/AVERAGE('SA Data'!V103:V109)-1)*100,"")</f>
        <v>16.221620519811</v>
      </c>
      <c r="H121" s="23" t="n">
        <f aca="false">'SA Data'!S121</f>
        <v>137.233650634444</v>
      </c>
      <c r="I121" s="24" t="n">
        <f aca="false">(H121/H120-1)*100</f>
        <v>0.0837446100133032</v>
      </c>
      <c r="J121" s="24" t="n">
        <f aca="false">(AVERAGE(H119:H121)/AVERAGE(H116:H118)-1)*100</f>
        <v>0.383141956088617</v>
      </c>
      <c r="K121" s="24" t="n">
        <f aca="false">((AVERAGE(H119:H121)/AVERAGE(H116:H118))^4-1)*100</f>
        <v>1.54139820916712</v>
      </c>
      <c r="L121" s="24" t="n">
        <f aca="false">IFERROR(('SA Data'!W121/'SA Data'!W109-1)*100,"")</f>
        <v>-0.122130610215354</v>
      </c>
      <c r="M121" s="24" t="n">
        <f aca="false">IFERROR((AVERAGE('SA Data'!W115:W121)/AVERAGE('SA Data'!W103:W109)-1)*100,"")</f>
        <v>0.157939719839262</v>
      </c>
      <c r="N121" s="23" t="n">
        <f aca="false">'SA Data'!T121</f>
        <v>156.57680503294</v>
      </c>
      <c r="O121" s="24" t="n">
        <f aca="false">(N121/N120-1)*100</f>
        <v>0.48015379827353</v>
      </c>
      <c r="P121" s="24" t="n">
        <f aca="false">(AVERAGE(N119:N121)/AVERAGE(N116:N118)-1)*100</f>
        <v>0.368614562514691</v>
      </c>
      <c r="Q121" s="24" t="n">
        <f aca="false">((AVERAGE(N119:N121)/AVERAGE(N116:N118))^4-1)*100</f>
        <v>1.48263090471461</v>
      </c>
      <c r="R121" s="24" t="n">
        <f aca="false">IFERROR(('SA Data'!X121/'SA Data'!X109-1)*100,"")</f>
        <v>2.30049387573517</v>
      </c>
      <c r="S121" s="24" t="n">
        <f aca="false">IFERROR((AVERAGE('SA Data'!X115:X121)/AVERAGE('SA Data'!X103:X109)-1)*100,"")</f>
        <v>2.25661214980855</v>
      </c>
    </row>
    <row r="122" customFormat="false" ht="15" hidden="false" customHeight="false" outlineLevel="0" collapsed="false">
      <c r="A122" s="20" t="n">
        <v>41517</v>
      </c>
      <c r="B122" s="23" t="n">
        <f aca="false">'SA Data'!R122</f>
        <v>105.058966960932</v>
      </c>
      <c r="C122" s="24" t="n">
        <f aca="false">(B122/B121-1)*100</f>
        <v>-0.903399144495831</v>
      </c>
      <c r="D122" s="24" t="n">
        <f aca="false">(AVERAGE(B120:B122)/AVERAGE(B117:B119)-1)*100</f>
        <v>-1.80954864005535</v>
      </c>
      <c r="E122" s="24" t="n">
        <f aca="false">((AVERAGE(B120:B122)/AVERAGE(B117:B119))^4-1)*100</f>
        <v>-7.04408598365047</v>
      </c>
      <c r="F122" s="24" t="n">
        <f aca="false">IFERROR(('SA Data'!V122/'SA Data'!V110-1)*100,"")</f>
        <v>-4.66185226421325</v>
      </c>
      <c r="G122" s="24" t="n">
        <f aca="false">IFERROR((AVERAGE('SA Data'!V115:V122)/AVERAGE('SA Data'!V103:V110)-1)*100,"")</f>
        <v>14.6738981648494</v>
      </c>
      <c r="H122" s="23" t="n">
        <f aca="false">'SA Data'!S122</f>
        <v>139.046002815461</v>
      </c>
      <c r="I122" s="24" t="n">
        <f aca="false">(H122/H121-1)*100</f>
        <v>1.3206324925686</v>
      </c>
      <c r="J122" s="24" t="n">
        <f aca="false">(AVERAGE(H120:H122)/AVERAGE(H117:H119)-1)*100</f>
        <v>-0.63283897192048</v>
      </c>
      <c r="K122" s="24" t="n">
        <f aca="false">((AVERAGE(H120:H122)/AVERAGE(H117:H119))^4-1)*100</f>
        <v>-2.50742799447855</v>
      </c>
      <c r="L122" s="24" t="n">
        <f aca="false">IFERROR(('SA Data'!W122/'SA Data'!W110-1)*100,"")</f>
        <v>2.37831126231267</v>
      </c>
      <c r="M122" s="24" t="n">
        <f aca="false">IFERROR((AVERAGE('SA Data'!W115:W122)/AVERAGE('SA Data'!W103:W110)-1)*100,"")</f>
        <v>0.445136962737847</v>
      </c>
      <c r="N122" s="23" t="n">
        <f aca="false">'SA Data'!T122</f>
        <v>156.549749240669</v>
      </c>
      <c r="O122" s="24" t="n">
        <f aca="false">(N122/N121-1)*100</f>
        <v>-0.0172795659389657</v>
      </c>
      <c r="P122" s="24" t="n">
        <f aca="false">(AVERAGE(N120:N122)/AVERAGE(N117:N119)-1)*100</f>
        <v>-0.320629969404884</v>
      </c>
      <c r="Q122" s="24" t="n">
        <f aca="false">((AVERAGE(N120:N122)/AVERAGE(N117:N119))^4-1)*100</f>
        <v>-1.27636483717726</v>
      </c>
      <c r="R122" s="24" t="n">
        <f aca="false">IFERROR(('SA Data'!X122/'SA Data'!X110-1)*100,"")</f>
        <v>1.60497452790884</v>
      </c>
      <c r="S122" s="24" t="n">
        <f aca="false">IFERROR((AVERAGE('SA Data'!X115:X122)/AVERAGE('SA Data'!X103:X110)-1)*100,"")</f>
        <v>2.17319156382265</v>
      </c>
    </row>
    <row r="123" customFormat="false" ht="15" hidden="false" customHeight="false" outlineLevel="0" collapsed="false">
      <c r="A123" s="20" t="n">
        <v>41547</v>
      </c>
      <c r="B123" s="23" t="n">
        <f aca="false">'SA Data'!R123</f>
        <v>104.774536884974</v>
      </c>
      <c r="C123" s="24" t="n">
        <f aca="false">(B123/B122-1)*100</f>
        <v>-0.270733745234564</v>
      </c>
      <c r="D123" s="24" t="n">
        <f aca="false">(AVERAGE(B121:B123)/AVERAGE(B118:B120)-1)*100</f>
        <v>-1.1681817873033</v>
      </c>
      <c r="E123" s="24" t="n">
        <f aca="false">((AVERAGE(B121:B123)/AVERAGE(B118:B120))^4-1)*100</f>
        <v>-4.59148402875338</v>
      </c>
      <c r="F123" s="24" t="n">
        <f aca="false">IFERROR(('SA Data'!V123/'SA Data'!V111-1)*100,"")</f>
        <v>-5.27554710033464</v>
      </c>
      <c r="G123" s="24" t="n">
        <f aca="false">IFERROR((AVERAGE('SA Data'!V115:V123)/AVERAGE('SA Data'!V103:V111)-1)*100,"")</f>
        <v>13.3366287611109</v>
      </c>
      <c r="H123" s="23" t="n">
        <f aca="false">'SA Data'!S123</f>
        <v>139.134123375434</v>
      </c>
      <c r="I123" s="24" t="n">
        <f aca="false">(H123/H122-1)*100</f>
        <v>0.0633751119692549</v>
      </c>
      <c r="J123" s="24" t="n">
        <f aca="false">(AVERAGE(H121:H123)/AVERAGE(H118:H120)-1)*100</f>
        <v>-0.223494106933153</v>
      </c>
      <c r="K123" s="24" t="n">
        <f aca="false">((AVERAGE(H121:H123)/AVERAGE(H118:H120))^4-1)*100</f>
        <v>-0.890983913665533</v>
      </c>
      <c r="L123" s="24" t="n">
        <f aca="false">IFERROR(('SA Data'!W123/'SA Data'!W111-1)*100,"")</f>
        <v>3.66828997358299</v>
      </c>
      <c r="M123" s="24" t="n">
        <f aca="false">IFERROR((AVERAGE('SA Data'!W115:W123)/AVERAGE('SA Data'!W103:W111)-1)*100,"")</f>
        <v>0.811997245309026</v>
      </c>
      <c r="N123" s="23" t="n">
        <f aca="false">'SA Data'!T123</f>
        <v>156.504312337215</v>
      </c>
      <c r="O123" s="24" t="n">
        <f aca="false">(N123/N122-1)*100</f>
        <v>-0.0290239388274549</v>
      </c>
      <c r="P123" s="24" t="n">
        <f aca="false">(AVERAGE(N121:N123)/AVERAGE(N118:N120)-1)*100</f>
        <v>-0.195991846744681</v>
      </c>
      <c r="Q123" s="24" t="n">
        <f aca="false">((AVERAGE(N121:N123)/AVERAGE(N118:N120))^4-1)*100</f>
        <v>-0.781665628702311</v>
      </c>
      <c r="R123" s="24" t="n">
        <f aca="false">IFERROR(('SA Data'!X123/'SA Data'!X111-1)*100,"")</f>
        <v>3.38238341379922</v>
      </c>
      <c r="S123" s="24" t="n">
        <f aca="false">IFERROR((AVERAGE('SA Data'!X115:X123)/AVERAGE('SA Data'!X103:X111)-1)*100,"")</f>
        <v>2.30724254419845</v>
      </c>
    </row>
    <row r="124" customFormat="false" ht="15" hidden="false" customHeight="false" outlineLevel="0" collapsed="false">
      <c r="A124" s="20" t="n">
        <v>41578</v>
      </c>
      <c r="B124" s="23" t="n">
        <f aca="false">'SA Data'!R124</f>
        <v>106.139870656102</v>
      </c>
      <c r="C124" s="24" t="n">
        <f aca="false">(B124/B123-1)*100</f>
        <v>1.30311601627673</v>
      </c>
      <c r="D124" s="24" t="n">
        <f aca="false">(AVERAGE(B122:B124)/AVERAGE(B119:B121)-1)*100</f>
        <v>-0.841694085092892</v>
      </c>
      <c r="E124" s="24" t="n">
        <f aca="false">((AVERAGE(B122:B124)/AVERAGE(B119:B121))^4-1)*100</f>
        <v>-3.32450742140942</v>
      </c>
      <c r="F124" s="24" t="n">
        <f aca="false">IFERROR(('SA Data'!V124/'SA Data'!V112-1)*100,"")</f>
        <v>-1.14474700507415</v>
      </c>
      <c r="G124" s="24" t="n">
        <f aca="false">IFERROR((AVERAGE('SA Data'!V115:V124)/AVERAGE('SA Data'!V103:V112)-1)*100,"")</f>
        <v>12.4197884009957</v>
      </c>
      <c r="H124" s="23" t="n">
        <f aca="false">'SA Data'!S124</f>
        <v>138.250643755083</v>
      </c>
      <c r="I124" s="24" t="n">
        <f aca="false">(H124/H123-1)*100</f>
        <v>-0.63498414257912</v>
      </c>
      <c r="J124" s="24" t="n">
        <f aca="false">(AVERAGE(H122:H124)/AVERAGE(H119:H121)-1)*100</f>
        <v>0.674483750386901</v>
      </c>
      <c r="K124" s="24" t="n">
        <f aca="false">((AVERAGE(H122:H124)/AVERAGE(H119:H121))^4-1)*100</f>
        <v>2.7253536449859</v>
      </c>
      <c r="L124" s="24" t="n">
        <f aca="false">IFERROR(('SA Data'!W124/'SA Data'!W112-1)*100,"")</f>
        <v>1.16662662553078</v>
      </c>
      <c r="M124" s="24" t="n">
        <f aca="false">IFERROR((AVERAGE('SA Data'!W115:W124)/AVERAGE('SA Data'!W103:W112)-1)*100,"")</f>
        <v>0.849469517580537</v>
      </c>
      <c r="N124" s="23" t="n">
        <f aca="false">'SA Data'!T124</f>
        <v>155.932343330484</v>
      </c>
      <c r="O124" s="24" t="n">
        <f aca="false">(N124/N123-1)*100</f>
        <v>-0.365465333311688</v>
      </c>
      <c r="P124" s="24" t="n">
        <f aca="false">(AVERAGE(N122:N124)/AVERAGE(N119:N121)-1)*100</f>
        <v>-0.0965440597920031</v>
      </c>
      <c r="Q124" s="24" t="n">
        <f aca="false">((AVERAGE(N122:N124)/AVERAGE(N119:N121))^4-1)*100</f>
        <v>-0.385617353697698</v>
      </c>
      <c r="R124" s="24" t="n">
        <f aca="false">IFERROR(('SA Data'!X124/'SA Data'!X112-1)*100,"")</f>
        <v>1.20124488798088</v>
      </c>
      <c r="S124" s="24" t="n">
        <f aca="false">IFERROR((AVERAGE('SA Data'!X115:X124)/AVERAGE('SA Data'!X103:X112)-1)*100,"")</f>
        <v>2.19416075872312</v>
      </c>
    </row>
    <row r="125" customFormat="false" ht="15" hidden="false" customHeight="false" outlineLevel="0" collapsed="false">
      <c r="A125" s="20" t="n">
        <v>41608</v>
      </c>
      <c r="B125" s="23" t="n">
        <f aca="false">'SA Data'!R125</f>
        <v>105.908581406586</v>
      </c>
      <c r="C125" s="24" t="n">
        <f aca="false">(B125/B124-1)*100</f>
        <v>-0.217909865619403</v>
      </c>
      <c r="D125" s="24" t="n">
        <f aca="false">(AVERAGE(B123:B125)/AVERAGE(B120:B122)-1)*100</f>
        <v>-0.169642875131892</v>
      </c>
      <c r="E125" s="24" t="n">
        <f aca="false">((AVERAGE(B123:B125)/AVERAGE(B120:B122))^4-1)*100</f>
        <v>-0.676846730235281</v>
      </c>
      <c r="F125" s="24" t="n">
        <f aca="false">IFERROR(('SA Data'!V125/'SA Data'!V113-1)*100,"")</f>
        <v>-0.186663264133558</v>
      </c>
      <c r="G125" s="24" t="n">
        <f aca="false">IFERROR((AVERAGE('SA Data'!V115:V125)/AVERAGE('SA Data'!V103:V113)-1)*100,"")</f>
        <v>11.5499739024137</v>
      </c>
      <c r="H125" s="23" t="n">
        <f aca="false">'SA Data'!S125</f>
        <v>136.996840642389</v>
      </c>
      <c r="I125" s="24" t="n">
        <f aca="false">(H125/H124-1)*100</f>
        <v>-0.906905804297864</v>
      </c>
      <c r="J125" s="24" t="n">
        <f aca="false">(AVERAGE(H123:H125)/AVERAGE(H120:H122)-1)*100</f>
        <v>0.237817353280634</v>
      </c>
      <c r="K125" s="24" t="n">
        <f aca="false">((AVERAGE(H123:H125)/AVERAGE(H120:H122))^4-1)*100</f>
        <v>0.954668222035848</v>
      </c>
      <c r="L125" s="24" t="n">
        <f aca="false">IFERROR(('SA Data'!W125/'SA Data'!W113-1)*100,"")</f>
        <v>-0.0225925413662287</v>
      </c>
      <c r="M125" s="24" t="n">
        <f aca="false">IFERROR((AVERAGE('SA Data'!W115:W125)/AVERAGE('SA Data'!W103:W113)-1)*100,"")</f>
        <v>0.768087064223688</v>
      </c>
      <c r="N125" s="23" t="n">
        <f aca="false">'SA Data'!T125</f>
        <v>155.435751344408</v>
      </c>
      <c r="O125" s="24" t="n">
        <f aca="false">(N125/N124-1)*100</f>
        <v>-0.318466313960075</v>
      </c>
      <c r="P125" s="24" t="n">
        <f aca="false">(AVERAGE(N123:N125)/AVERAGE(N120:N122)-1)*100</f>
        <v>-0.230882511290986</v>
      </c>
      <c r="Q125" s="24" t="n">
        <f aca="false">((AVERAGE(N123:N125)/AVERAGE(N120:N122))^4-1)*100</f>
        <v>-0.92033656131818</v>
      </c>
      <c r="R125" s="24" t="n">
        <f aca="false">IFERROR(('SA Data'!X125/'SA Data'!X113-1)*100,"")</f>
        <v>0.162371339733802</v>
      </c>
      <c r="S125" s="24" t="n">
        <f aca="false">IFERROR((AVERAGE('SA Data'!X115:X125)/AVERAGE('SA Data'!X103:X113)-1)*100,"")</f>
        <v>2.00617762709321</v>
      </c>
    </row>
    <row r="126" customFormat="false" ht="15" hidden="false" customHeight="false" outlineLevel="0" collapsed="false">
      <c r="A126" s="20" t="n">
        <v>41639</v>
      </c>
      <c r="B126" s="23" t="n">
        <f aca="false">'SA Data'!R126</f>
        <v>105.403886469887</v>
      </c>
      <c r="C126" s="24" t="n">
        <f aca="false">(B126/B125-1)*100</f>
        <v>-0.476538284241657</v>
      </c>
      <c r="D126" s="24" t="n">
        <f aca="false">(AVERAGE(B124:B126)/AVERAGE(B121:B123)-1)*100</f>
        <v>0.507238383127806</v>
      </c>
      <c r="E126" s="24" t="n">
        <f aca="false">((AVERAGE(B124:B126)/AVERAGE(B121:B123))^4-1)*100</f>
        <v>2.04444324845201</v>
      </c>
      <c r="F126" s="24" t="n">
        <f aca="false">IFERROR(('SA Data'!V126/'SA Data'!V114-1)*100,"")</f>
        <v>5.37786522963124</v>
      </c>
      <c r="G126" s="24" t="n">
        <f aca="false">IFERROR((AVERAGE('SA Data'!V115:V126)/AVERAGE('SA Data'!V103:V114)-1)*100,"")</f>
        <v>11.1704468446866</v>
      </c>
      <c r="H126" s="23" t="n">
        <f aca="false">'SA Data'!S126</f>
        <v>136.917491285237</v>
      </c>
      <c r="I126" s="24" t="n">
        <f aca="false">(H126/H125-1)*100</f>
        <v>-0.0579205745040223</v>
      </c>
      <c r="J126" s="24" t="n">
        <f aca="false">(AVERAGE(H124:H126)/AVERAGE(H121:H123)-1)*100</f>
        <v>-0.782063889998319</v>
      </c>
      <c r="K126" s="24" t="n">
        <f aca="false">((AVERAGE(H124:H126)/AVERAGE(H121:H123))^4-1)*100</f>
        <v>-3.09174908182244</v>
      </c>
      <c r="L126" s="24" t="n">
        <f aca="false">IFERROR(('SA Data'!W126/'SA Data'!W114-1)*100,"")</f>
        <v>-0.383297783089209</v>
      </c>
      <c r="M126" s="24" t="n">
        <f aca="false">IFERROR((AVERAGE('SA Data'!W115:W126)/AVERAGE('SA Data'!W103:W114)-1)*100,"")</f>
        <v>0.672729275926187</v>
      </c>
      <c r="N126" s="23" t="n">
        <f aca="false">'SA Data'!T126</f>
        <v>155.333028209962</v>
      </c>
      <c r="O126" s="24" t="n">
        <f aca="false">(N126/N125-1)*100</f>
        <v>-0.0660871990891154</v>
      </c>
      <c r="P126" s="24" t="n">
        <f aca="false">(AVERAGE(N124:N126)/AVERAGE(N121:N123)-1)*100</f>
        <v>-0.62383968649935</v>
      </c>
      <c r="Q126" s="24" t="n">
        <f aca="false">((AVERAGE(N124:N126)/AVERAGE(N121:N123))^4-1)*100</f>
        <v>-2.47210515063455</v>
      </c>
      <c r="R126" s="24" t="n">
        <f aca="false">IFERROR(('SA Data'!X126/'SA Data'!X114-1)*100,"")</f>
        <v>0.229044672926104</v>
      </c>
      <c r="S126" s="24" t="n">
        <f aca="false">IFERROR((AVERAGE('SA Data'!X115:X126)/AVERAGE('SA Data'!X103:X114)-1)*100,"")</f>
        <v>1.85733632200833</v>
      </c>
    </row>
    <row r="127" customFormat="false" ht="15" hidden="false" customHeight="false" outlineLevel="0" collapsed="false">
      <c r="A127" s="20" t="n">
        <v>41670</v>
      </c>
      <c r="B127" s="23" t="n">
        <f aca="false">'SA Data'!R127</f>
        <v>108.636551412529</v>
      </c>
      <c r="C127" s="24" t="n">
        <f aca="false">(B127/B126-1)*100</f>
        <v>3.06693144902803</v>
      </c>
      <c r="D127" s="24" t="n">
        <f aca="false">(AVERAGE(B125:B127)/AVERAGE(B122:B124)-1)*100</f>
        <v>1.25822145402632</v>
      </c>
      <c r="E127" s="24" t="n">
        <f aca="false">((AVERAGE(B125:B127)/AVERAGE(B122:B124))^4-1)*100</f>
        <v>5.12867236285748</v>
      </c>
      <c r="F127" s="24" t="n">
        <f aca="false">IFERROR(('SA Data'!V127/'SA Data'!V115-1)*100,"")</f>
        <v>1.66750990334428</v>
      </c>
      <c r="G127" s="24" t="n">
        <f aca="false">IFERROR((AVERAGE('SA Data'!V127:V127)/AVERAGE('SA Data'!V115:V115)-1)*100,"")</f>
        <v>1.66750990334428</v>
      </c>
      <c r="H127" s="23" t="n">
        <f aca="false">'SA Data'!S127</f>
        <v>137.447001650963</v>
      </c>
      <c r="I127" s="24" t="n">
        <f aca="false">(H127/H126-1)*100</f>
        <v>0.386736830156464</v>
      </c>
      <c r="J127" s="24" t="n">
        <f aca="false">(AVERAGE(H125:H127)/AVERAGE(H122:H124)-1)*100</f>
        <v>-1.21735393569647</v>
      </c>
      <c r="K127" s="24" t="n">
        <f aca="false">((AVERAGE(H125:H127)/AVERAGE(H122:H124))^4-1)*100</f>
        <v>-4.78121813368344</v>
      </c>
      <c r="L127" s="24" t="n">
        <f aca="false">IFERROR(('SA Data'!W127/'SA Data'!W115-1)*100,"")</f>
        <v>0.4004636895097</v>
      </c>
      <c r="M127" s="24" t="n">
        <f aca="false">IFERROR((AVERAGE('SA Data'!W127:W127)/AVERAGE('SA Data'!W115:W115)-1)*100,"")</f>
        <v>0.4004636895097</v>
      </c>
      <c r="N127" s="23" t="n">
        <f aca="false">'SA Data'!T127</f>
        <v>156.535107319858</v>
      </c>
      <c r="O127" s="24" t="n">
        <f aca="false">(N127/N126-1)*100</f>
        <v>0.773872191734859</v>
      </c>
      <c r="P127" s="24" t="n">
        <f aca="false">(AVERAGE(N125:N127)/AVERAGE(N122:N124)-1)*100</f>
        <v>-0.358756248908509</v>
      </c>
      <c r="Q127" s="24" t="n">
        <f aca="false">((AVERAGE(N125:N127)/AVERAGE(N122:N124))^4-1)*100</f>
        <v>-1.42732108594027</v>
      </c>
      <c r="R127" s="24" t="n">
        <f aca="false">IFERROR(('SA Data'!X127/'SA Data'!X115-1)*100,"")</f>
        <v>1.26588730880473</v>
      </c>
      <c r="S127" s="24" t="n">
        <f aca="false">IFERROR((AVERAGE('SA Data'!X127:X127)/AVERAGE('SA Data'!X115:X115)-1)*100,"")</f>
        <v>1.26588730880473</v>
      </c>
    </row>
    <row r="128" customFormat="false" ht="15" hidden="false" customHeight="false" outlineLevel="0" collapsed="false">
      <c r="A128" s="20" t="n">
        <v>41698</v>
      </c>
      <c r="B128" s="23" t="n">
        <f aca="false">'SA Data'!R128</f>
        <v>105.888491878058</v>
      </c>
      <c r="C128" s="24" t="n">
        <f aca="false">(B128/B127-1)*100</f>
        <v>-2.52959017820398</v>
      </c>
      <c r="D128" s="24" t="n">
        <f aca="false">(AVERAGE(B126:B128)/AVERAGE(B123:B125)-1)*100</f>
        <v>0.980339470670821</v>
      </c>
      <c r="E128" s="24" t="n">
        <f aca="false">((AVERAGE(B126:B128)/AVERAGE(B123:B125))^4-1)*100</f>
        <v>3.97939960316414</v>
      </c>
      <c r="F128" s="24" t="n">
        <f aca="false">IFERROR(('SA Data'!V128/'SA Data'!V116-1)*100,"")</f>
        <v>-5.79153335954977</v>
      </c>
      <c r="G128" s="24" t="n">
        <f aca="false">IFERROR((AVERAGE('SA Data'!V127:V128)/AVERAGE('SA Data'!V115:V116)-1)*100,"")</f>
        <v>-2.32190382607188</v>
      </c>
      <c r="H128" s="23" t="n">
        <f aca="false">'SA Data'!S128</f>
        <v>135.718203638844</v>
      </c>
      <c r="I128" s="24" t="n">
        <f aca="false">(H128/H127-1)*100</f>
        <v>-1.25779245189279</v>
      </c>
      <c r="J128" s="24" t="n">
        <f aca="false">(AVERAGE(H126:H128)/AVERAGE(H123:H125)-1)*100</f>
        <v>-1.03742808976647</v>
      </c>
      <c r="K128" s="24" t="n">
        <f aca="false">((AVERAGE(H126:H128)/AVERAGE(H123:H125))^4-1)*100</f>
        <v>-4.0855823939651</v>
      </c>
      <c r="L128" s="24" t="n">
        <f aca="false">IFERROR(('SA Data'!W128/'SA Data'!W116-1)*100,"")</f>
        <v>0.294583993650921</v>
      </c>
      <c r="M128" s="24" t="n">
        <f aca="false">IFERROR((AVERAGE('SA Data'!W127:W128)/AVERAGE('SA Data'!W115:W116)-1)*100,"")</f>
        <v>0.348371185069429</v>
      </c>
      <c r="N128" s="23" t="n">
        <f aca="false">'SA Data'!T128</f>
        <v>154.757008253318</v>
      </c>
      <c r="O128" s="24" t="n">
        <f aca="false">(N128/N127-1)*100</f>
        <v>-1.13591072123335</v>
      </c>
      <c r="P128" s="24" t="n">
        <f aca="false">(AVERAGE(N126:N128)/AVERAGE(N123:N125)-1)*100</f>
        <v>-0.266581916410735</v>
      </c>
      <c r="Q128" s="24" t="n">
        <f aca="false">((AVERAGE(N126:N128)/AVERAGE(N123:N125))^4-1)*100</f>
        <v>-1.06207128345861</v>
      </c>
      <c r="R128" s="24" t="n">
        <f aca="false">IFERROR(('SA Data'!X128/'SA Data'!X116-1)*100,"")</f>
        <v>0.694130261373749</v>
      </c>
      <c r="S128" s="24" t="n">
        <f aca="false">IFERROR((AVERAGE('SA Data'!X127:X128)/AVERAGE('SA Data'!X115:X116)-1)*100,"")</f>
        <v>0.983651412660302</v>
      </c>
    </row>
    <row r="129" customFormat="false" ht="15" hidden="false" customHeight="false" outlineLevel="0" collapsed="false">
      <c r="A129" s="20" t="n">
        <v>41729</v>
      </c>
      <c r="B129" s="23" t="n">
        <f aca="false">'SA Data'!R129</f>
        <v>104.476729526629</v>
      </c>
      <c r="C129" s="24" t="n">
        <f aca="false">(B129/B128-1)*100</f>
        <v>-1.33325380916259</v>
      </c>
      <c r="D129" s="24" t="n">
        <f aca="false">(AVERAGE(B127:B129)/AVERAGE(B124:B126)-1)*100</f>
        <v>0.488084066983152</v>
      </c>
      <c r="E129" s="24" t="n">
        <f aca="false">((AVERAGE(B127:B129)/AVERAGE(B124:B126))^4-1)*100</f>
        <v>1.96667639780783</v>
      </c>
      <c r="F129" s="24" t="n">
        <f aca="false">IFERROR(('SA Data'!V129/'SA Data'!V117-1)*100,"")</f>
        <v>-5.72438739104421</v>
      </c>
      <c r="G129" s="24" t="n">
        <f aca="false">IFERROR((AVERAGE('SA Data'!V127:V129)/AVERAGE('SA Data'!V115:V117)-1)*100,"")</f>
        <v>-4.03793809073035</v>
      </c>
      <c r="H129" s="23" t="n">
        <f aca="false">'SA Data'!S129</f>
        <v>133.371549733061</v>
      </c>
      <c r="I129" s="24" t="n">
        <f aca="false">(H129/H128-1)*100</f>
        <v>-1.7290634880698</v>
      </c>
      <c r="J129" s="24" t="n">
        <f aca="false">(AVERAGE(H127:H129)/AVERAGE(H124:H126)-1)*100</f>
        <v>-1.36552618293647</v>
      </c>
      <c r="K129" s="24" t="n">
        <f aca="false">((AVERAGE(H127:H129)/AVERAGE(H124:H126))^4-1)*100</f>
        <v>-5.35124004718553</v>
      </c>
      <c r="L129" s="24" t="n">
        <f aca="false">IFERROR(('SA Data'!W129/'SA Data'!W117-1)*100,"")</f>
        <v>-3.04213708829986</v>
      </c>
      <c r="M129" s="24" t="n">
        <f aca="false">IFERROR((AVERAGE('SA Data'!W127:W129)/AVERAGE('SA Data'!W115:W117)-1)*100,"")</f>
        <v>-0.866569935287764</v>
      </c>
      <c r="N129" s="23" t="n">
        <f aca="false">'SA Data'!T129</f>
        <v>152.154743741081</v>
      </c>
      <c r="O129" s="24" t="n">
        <f aca="false">(N129/N128-1)*100</f>
        <v>-1.68151642475367</v>
      </c>
      <c r="P129" s="24" t="n">
        <f aca="false">(AVERAGE(N127:N129)/AVERAGE(N124:N126)-1)*100</f>
        <v>-0.697290709411969</v>
      </c>
      <c r="Q129" s="24" t="n">
        <f aca="false">((AVERAGE(N127:N129)/AVERAGE(N124:N126))^4-1)*100</f>
        <v>-2.76012535433255</v>
      </c>
      <c r="R129" s="24" t="n">
        <f aca="false">IFERROR(('SA Data'!X129/'SA Data'!X117-1)*100,"")</f>
        <v>-2.38531765721943</v>
      </c>
      <c r="S129" s="24" t="n">
        <f aca="false">IFERROR((AVERAGE('SA Data'!X127:X129)/AVERAGE('SA Data'!X115:X117)-1)*100,"")</f>
        <v>-0.179976656445369</v>
      </c>
    </row>
    <row r="130" customFormat="false" ht="15" hidden="false" customHeight="false" outlineLevel="0" collapsed="false">
      <c r="A130" s="20" t="n">
        <v>41759</v>
      </c>
      <c r="B130" s="23" t="n">
        <f aca="false">'SA Data'!R130</f>
        <v>108.623795571616</v>
      </c>
      <c r="C130" s="24" t="n">
        <f aca="false">(B130/B129-1)*100</f>
        <v>3.96936816818125</v>
      </c>
      <c r="D130" s="24" t="n">
        <f aca="false">(AVERAGE(B128:B130)/AVERAGE(B125:B127)-1)*100</f>
        <v>-0.300048524865382</v>
      </c>
      <c r="E130" s="24" t="n">
        <f aca="false">((AVERAGE(B128:B130)/AVERAGE(B125:B127))^4-1)*100</f>
        <v>-1.19480314956139</v>
      </c>
      <c r="F130" s="24" t="n">
        <f aca="false">IFERROR(('SA Data'!V130/'SA Data'!V118-1)*100,"")</f>
        <v>5.63173455490282</v>
      </c>
      <c r="G130" s="24" t="n">
        <f aca="false">IFERROR((AVERAGE('SA Data'!V127:V130)/AVERAGE('SA Data'!V115:V118)-1)*100,"")</f>
        <v>0.0369222945556524</v>
      </c>
      <c r="H130" s="23" t="n">
        <f aca="false">'SA Data'!S130</f>
        <v>132.796413267135</v>
      </c>
      <c r="I130" s="24" t="n">
        <f aca="false">(H130/H129-1)*100</f>
        <v>-0.431228749367762</v>
      </c>
      <c r="J130" s="24" t="n">
        <f aca="false">(AVERAGE(H128:H130)/AVERAGE(H125:H127)-1)*100</f>
        <v>-2.30336839321319</v>
      </c>
      <c r="K130" s="24" t="n">
        <f aca="false">((AVERAGE(H128:H130)/AVERAGE(H125:H127))^4-1)*100</f>
        <v>-8.90000328105868</v>
      </c>
      <c r="L130" s="24" t="n">
        <f aca="false">IFERROR(('SA Data'!W130/'SA Data'!W118-1)*100,"")</f>
        <v>-5.1700664423921</v>
      </c>
      <c r="M130" s="24" t="n">
        <f aca="false">IFERROR((AVERAGE('SA Data'!W127:W130)/AVERAGE('SA Data'!W115:W118)-1)*100,"")</f>
        <v>-2.01206730397044</v>
      </c>
      <c r="N130" s="23" t="n">
        <f aca="false">'SA Data'!T130</f>
        <v>153.898053885643</v>
      </c>
      <c r="O130" s="24" t="n">
        <f aca="false">(N130/N129-1)*100</f>
        <v>1.14574813883463</v>
      </c>
      <c r="P130" s="24" t="n">
        <f aca="false">(AVERAGE(N128:N130)/AVERAGE(N125:N127)-1)*100</f>
        <v>-1.389691200222</v>
      </c>
      <c r="Q130" s="24" t="n">
        <f aca="false">((AVERAGE(N128:N130)/AVERAGE(N125:N127))^4-1)*100</f>
        <v>-5.44396010507587</v>
      </c>
      <c r="R130" s="24" t="n">
        <f aca="false">IFERROR(('SA Data'!X130/'SA Data'!X118-1)*100,"")</f>
        <v>-2.35958005279734</v>
      </c>
      <c r="S130" s="24" t="n">
        <f aca="false">IFERROR((AVERAGE('SA Data'!X127:X130)/AVERAGE('SA Data'!X115:X118)-1)*100,"")</f>
        <v>-0.742025599583274</v>
      </c>
    </row>
    <row r="131" customFormat="false" ht="15" hidden="false" customHeight="false" outlineLevel="0" collapsed="false">
      <c r="A131" s="20" t="n">
        <v>41790</v>
      </c>
      <c r="B131" s="23" t="n">
        <f aca="false">'SA Data'!R131</f>
        <v>110.20571359546</v>
      </c>
      <c r="C131" s="24" t="n">
        <f aca="false">(B131/B130-1)*100</f>
        <v>1.45632733188839</v>
      </c>
      <c r="D131" s="24" t="n">
        <f aca="false">(AVERAGE(B129:B131)/AVERAGE(B126:B128)-1)*100</f>
        <v>1.05564349424736</v>
      </c>
      <c r="E131" s="24" t="n">
        <f aca="false">((AVERAGE(B129:B131)/AVERAGE(B126:B128))^4-1)*100</f>
        <v>4.28990876660069</v>
      </c>
      <c r="F131" s="24" t="n">
        <f aca="false">IFERROR(('SA Data'!V131/'SA Data'!V119-1)*100,"")</f>
        <v>8.75526878159556</v>
      </c>
      <c r="G131" s="24" t="n">
        <f aca="false">IFERROR((AVERAGE('SA Data'!V127:V131)/AVERAGE('SA Data'!V115:V119)-1)*100,"")</f>
        <v>3.37108699315349</v>
      </c>
      <c r="H131" s="23" t="n">
        <f aca="false">'SA Data'!S131</f>
        <v>133.486258926083</v>
      </c>
      <c r="I131" s="24" t="n">
        <f aca="false">(H131/H130-1)*100</f>
        <v>0.51947612286849</v>
      </c>
      <c r="J131" s="24" t="n">
        <f aca="false">(AVERAGE(H129:H131)/AVERAGE(H126:H128)-1)*100</f>
        <v>-2.54301747814842</v>
      </c>
      <c r="K131" s="24" t="n">
        <f aca="false">((AVERAGE(H129:H131)/AVERAGE(H126:H128))^4-1)*100</f>
        <v>-9.79059003209586</v>
      </c>
      <c r="L131" s="24" t="n">
        <f aca="false">IFERROR(('SA Data'!W131/'SA Data'!W119-1)*100,"")</f>
        <v>-4.16124502284577</v>
      </c>
      <c r="M131" s="24" t="n">
        <f aca="false">IFERROR((AVERAGE('SA Data'!W127:W131)/AVERAGE('SA Data'!W115:W119)-1)*100,"")</f>
        <v>-2.47202460088001</v>
      </c>
      <c r="N131" s="23" t="n">
        <f aca="false">'SA Data'!T131</f>
        <v>154.276292316515</v>
      </c>
      <c r="O131" s="24" t="n">
        <f aca="false">(N131/N130-1)*100</f>
        <v>0.245772068796568</v>
      </c>
      <c r="P131" s="24" t="n">
        <f aca="false">(AVERAGE(N129:N131)/AVERAGE(N126:N128)-1)*100</f>
        <v>-1.34927444947642</v>
      </c>
      <c r="Q131" s="24" t="n">
        <f aca="false">((AVERAGE(N129:N131)/AVERAGE(N126:N128))^4-1)*100</f>
        <v>-5.28884455520726</v>
      </c>
      <c r="R131" s="24" t="n">
        <f aca="false">IFERROR(('SA Data'!X131/'SA Data'!X119-1)*100,"")</f>
        <v>-2.01709003724596</v>
      </c>
      <c r="S131" s="24" t="n">
        <f aca="false">IFERROR((AVERAGE('SA Data'!X127:X131)/AVERAGE('SA Data'!X115:X119)-1)*100,"")</f>
        <v>-1.00716836024508</v>
      </c>
    </row>
    <row r="132" customFormat="false" ht="15" hidden="false" customHeight="false" outlineLevel="0" collapsed="false">
      <c r="A132" s="20" t="n">
        <v>41820</v>
      </c>
      <c r="B132" s="23" t="n">
        <f aca="false">'SA Data'!R132</f>
        <v>109.531530832917</v>
      </c>
      <c r="C132" s="24" t="n">
        <f aca="false">(B132/B131-1)*100</f>
        <v>-0.611749373556458</v>
      </c>
      <c r="D132" s="24" t="n">
        <f aca="false">(AVERAGE(B130:B132)/AVERAGE(B127:B129)-1)*100</f>
        <v>2.93392325068322</v>
      </c>
      <c r="E132" s="24" t="n">
        <f aca="false">((AVERAGE(B130:B132)/AVERAGE(B127:B129))^4-1)*100</f>
        <v>12.2623434110262</v>
      </c>
      <c r="F132" s="24" t="n">
        <f aca="false">IFERROR(('SA Data'!V132/'SA Data'!V120-1)*100,"")</f>
        <v>8.21774218169624</v>
      </c>
      <c r="G132" s="24" t="n">
        <f aca="false">IFERROR((AVERAGE('SA Data'!V127:V132)/AVERAGE('SA Data'!V115:V120)-1)*100,"")</f>
        <v>4.36040862902027</v>
      </c>
      <c r="H132" s="23" t="n">
        <f aca="false">'SA Data'!S132</f>
        <v>132.800114777392</v>
      </c>
      <c r="I132" s="24" t="n">
        <f aca="false">(H132/H131-1)*100</f>
        <v>-0.514018562068985</v>
      </c>
      <c r="J132" s="24" t="n">
        <f aca="false">(AVERAGE(H130:H132)/AVERAGE(H127:H129)-1)*100</f>
        <v>-1.83352869332559</v>
      </c>
      <c r="K132" s="24" t="n">
        <f aca="false">((AVERAGE(H130:H132)/AVERAGE(H127:H129))^4-1)*100</f>
        <v>-7.13485942611429</v>
      </c>
      <c r="L132" s="24" t="n">
        <f aca="false">IFERROR(('SA Data'!W132/'SA Data'!W120-1)*100,"")</f>
        <v>-2.85365712099844</v>
      </c>
      <c r="M132" s="24" t="n">
        <f aca="false">IFERROR((AVERAGE('SA Data'!W127:W132)/AVERAGE('SA Data'!W115:W120)-1)*100,"")</f>
        <v>-2.53721574886319</v>
      </c>
      <c r="N132" s="23" t="n">
        <f aca="false">'SA Data'!T132</f>
        <v>153.488853162366</v>
      </c>
      <c r="O132" s="24" t="n">
        <f aca="false">(N132/N131-1)*100</f>
        <v>-0.510408399324047</v>
      </c>
      <c r="P132" s="24" t="n">
        <f aca="false">(AVERAGE(N130:N132)/AVERAGE(N127:N129)-1)*100</f>
        <v>-0.384868278613804</v>
      </c>
      <c r="Q132" s="24" t="n">
        <f aca="false">((AVERAGE(N130:N132)/AVERAGE(N127:N129))^4-1)*100</f>
        <v>-1.53060848023036</v>
      </c>
      <c r="R132" s="24" t="n">
        <f aca="false">IFERROR(('SA Data'!X132/'SA Data'!X120-1)*100,"")</f>
        <v>-1.29826936603071</v>
      </c>
      <c r="S132" s="24" t="n">
        <f aca="false">IFERROR((AVERAGE('SA Data'!X127:X132)/AVERAGE('SA Data'!X115:X120)-1)*100,"")</f>
        <v>-1.05701317370507</v>
      </c>
    </row>
    <row r="133" customFormat="false" ht="15" hidden="false" customHeight="false" outlineLevel="0" collapsed="false">
      <c r="A133" s="20" t="n">
        <v>41851</v>
      </c>
      <c r="B133" s="23" t="n">
        <f aca="false">'SA Data'!R133</f>
        <v>107.693608779765</v>
      </c>
      <c r="C133" s="24" t="n">
        <f aca="false">(B133/B132-1)*100</f>
        <v>-1.67798444810854</v>
      </c>
      <c r="D133" s="24" t="n">
        <f aca="false">(AVERAGE(B131:B133)/AVERAGE(B128:B130)-1)*100</f>
        <v>2.64643476187927</v>
      </c>
      <c r="E133" s="24" t="n">
        <f aca="false">((AVERAGE(B131:B133)/AVERAGE(B128:B130))^4-1)*100</f>
        <v>11.0134189612414</v>
      </c>
      <c r="F133" s="24" t="n">
        <f aca="false">IFERROR(('SA Data'!V133/'SA Data'!V121-1)*100,"")</f>
        <v>2.49674618877687</v>
      </c>
      <c r="G133" s="24" t="n">
        <f aca="false">IFERROR((AVERAGE('SA Data'!V127:V133)/AVERAGE('SA Data'!V115:V121)-1)*100,"")</f>
        <v>4.17333341687798</v>
      </c>
      <c r="H133" s="23" t="n">
        <f aca="false">'SA Data'!S133</f>
        <v>131.71316294926</v>
      </c>
      <c r="I133" s="24" t="n">
        <f aca="false">(H133/H132-1)*100</f>
        <v>-0.818487114979905</v>
      </c>
      <c r="J133" s="24" t="n">
        <f aca="false">(AVERAGE(H131:H133)/AVERAGE(H128:H130)-1)*100</f>
        <v>-0.967097230245262</v>
      </c>
      <c r="K133" s="24" t="n">
        <f aca="false">((AVERAGE(H131:H133)/AVERAGE(H128:H130))^4-1)*100</f>
        <v>-3.81263322461188</v>
      </c>
      <c r="L133" s="24" t="n">
        <f aca="false">IFERROR(('SA Data'!W133/'SA Data'!W121-1)*100,"")</f>
        <v>-4.15533072149159</v>
      </c>
      <c r="M133" s="24" t="n">
        <f aca="false">IFERROR((AVERAGE('SA Data'!W127:W133)/AVERAGE('SA Data'!W115:W121)-1)*100,"")</f>
        <v>-2.77701687152263</v>
      </c>
      <c r="N133" s="23" t="n">
        <f aca="false">'SA Data'!T133</f>
        <v>153.39124428079</v>
      </c>
      <c r="O133" s="24" t="n">
        <f aca="false">(N133/N132-1)*100</f>
        <v>-0.063593465951961</v>
      </c>
      <c r="P133" s="24" t="n">
        <f aca="false">(AVERAGE(N131:N133)/AVERAGE(N128:N130)-1)*100</f>
        <v>0.0752119150260189</v>
      </c>
      <c r="Q133" s="24" t="n">
        <f aca="false">((AVERAGE(N131:N133)/AVERAGE(N128:N130))^4-1)*100</f>
        <v>0.301187240250256</v>
      </c>
      <c r="R133" s="24" t="n">
        <f aca="false">IFERROR(('SA Data'!X133/'SA Data'!X121-1)*100,"")</f>
        <v>-1.98099218437713</v>
      </c>
      <c r="S133" s="24" t="n">
        <f aca="false">IFERROR((AVERAGE('SA Data'!X127:X133)/AVERAGE('SA Data'!X115:X121)-1)*100,"")</f>
        <v>-1.19247411802416</v>
      </c>
    </row>
    <row r="134" customFormat="false" ht="15" hidden="false" customHeight="false" outlineLevel="0" collapsed="false">
      <c r="A134" s="20" t="n">
        <v>41882</v>
      </c>
      <c r="B134" s="23" t="n">
        <f aca="false">'SA Data'!R134</f>
        <v>105.680652852726</v>
      </c>
      <c r="C134" s="24" t="n">
        <f aca="false">(B134/B133-1)*100</f>
        <v>-1.86915077862784</v>
      </c>
      <c r="D134" s="24" t="n">
        <f aca="false">(AVERAGE(B132:B134)/AVERAGE(B129:B131)-1)*100</f>
        <v>-0.123859728137798</v>
      </c>
      <c r="E134" s="24" t="n">
        <f aca="false">((AVERAGE(B132:B134)/AVERAGE(B129:B131))^4-1)*100</f>
        <v>-0.49451919844492</v>
      </c>
      <c r="F134" s="24" t="n">
        <f aca="false">IFERROR(('SA Data'!V134/'SA Data'!V122-1)*100,"")</f>
        <v>-1.48222662894271</v>
      </c>
      <c r="G134" s="24" t="n">
        <f aca="false">IFERROR((AVERAGE('SA Data'!V127:V134)/AVERAGE('SA Data'!V115:V122)-1)*100,"")</f>
        <v>3.82486125742589</v>
      </c>
      <c r="H134" s="23" t="n">
        <f aca="false">'SA Data'!S134</f>
        <v>129.514488633179</v>
      </c>
      <c r="I134" s="24" t="n">
        <f aca="false">(H134/H133-1)*100</f>
        <v>-1.66928974056149</v>
      </c>
      <c r="J134" s="24" t="n">
        <f aca="false">(AVERAGE(H132:H134)/AVERAGE(H129:H131)-1)*100</f>
        <v>-1.40783088424015</v>
      </c>
      <c r="K134" s="24" t="n">
        <f aca="false">((AVERAGE(H132:H134)/AVERAGE(H129:H131))^4-1)*100</f>
        <v>-5.51351646222177</v>
      </c>
      <c r="L134" s="24" t="n">
        <f aca="false">IFERROR(('SA Data'!W134/'SA Data'!W122-1)*100,"")</f>
        <v>-6.76795969440172</v>
      </c>
      <c r="M134" s="24" t="n">
        <f aca="false">IFERROR((AVERAGE('SA Data'!W127:W134)/AVERAGE('SA Data'!W115:W122)-1)*100,"")</f>
        <v>-3.30316637621564</v>
      </c>
      <c r="N134" s="23" t="n">
        <f aca="false">'SA Data'!T134</f>
        <v>152.617043335825</v>
      </c>
      <c r="O134" s="24" t="n">
        <f aca="false">(N134/N133-1)*100</f>
        <v>-0.504723035917465</v>
      </c>
      <c r="P134" s="24" t="n">
        <f aca="false">(AVERAGE(N132:N134)/AVERAGE(N129:N131)-1)*100</f>
        <v>-0.180729217951592</v>
      </c>
      <c r="Q134" s="24" t="n">
        <f aca="false">((AVERAGE(N132:N134)/AVERAGE(N129:N131))^4-1)*100</f>
        <v>-0.720959448993219</v>
      </c>
      <c r="R134" s="24" t="n">
        <f aca="false">IFERROR(('SA Data'!X134/'SA Data'!X122-1)*100,"")</f>
        <v>-2.75146967069818</v>
      </c>
      <c r="S134" s="24" t="n">
        <f aca="false">IFERROR((AVERAGE('SA Data'!X127:X134)/AVERAGE('SA Data'!X115:X122)-1)*100,"")</f>
        <v>-1.39094188080314</v>
      </c>
    </row>
    <row r="135" customFormat="false" ht="15" hidden="false" customHeight="false" outlineLevel="0" collapsed="false">
      <c r="A135" s="20" t="n">
        <v>41912</v>
      </c>
      <c r="B135" s="23" t="n">
        <f aca="false">'SA Data'!R135</f>
        <v>108.639603492172</v>
      </c>
      <c r="C135" s="24" t="n">
        <f aca="false">(B135/B134-1)*100</f>
        <v>2.79989814556709</v>
      </c>
      <c r="D135" s="24" t="n">
        <f aca="false">(AVERAGE(B133:B135)/AVERAGE(B130:B132)-1)*100</f>
        <v>-1.93298659162799</v>
      </c>
      <c r="E135" s="24" t="n">
        <f aca="false">((AVERAGE(B133:B135)/AVERAGE(B130:B132))^4-1)*100</f>
        <v>-7.51063516891942</v>
      </c>
      <c r="F135" s="24" t="n">
        <f aca="false">IFERROR(('SA Data'!V135/'SA Data'!V123-1)*100,"")</f>
        <v>0.436117142264414</v>
      </c>
      <c r="G135" s="24" t="n">
        <f aca="false">IFERROR((AVERAGE('SA Data'!V127:V135)/AVERAGE('SA Data'!V115:V123)-1)*100,"")</f>
        <v>3.63500772755783</v>
      </c>
      <c r="H135" s="23" t="n">
        <f aca="false">'SA Data'!S135</f>
        <v>131.115382553312</v>
      </c>
      <c r="I135" s="24" t="n">
        <f aca="false">(H135/H134-1)*100</f>
        <v>1.2360732278121</v>
      </c>
      <c r="J135" s="24" t="n">
        <f aca="false">(AVERAGE(H133:H135)/AVERAGE(H130:H132)-1)*100</f>
        <v>-1.68881070667548</v>
      </c>
      <c r="K135" s="24" t="n">
        <f aca="false">((AVERAGE(H133:H135)/AVERAGE(H130:H132))^4-1)*100</f>
        <v>-6.58603644653252</v>
      </c>
      <c r="L135" s="24" t="n">
        <f aca="false">IFERROR(('SA Data'!W135/'SA Data'!W123-1)*100,"")</f>
        <v>-5.76335005959983</v>
      </c>
      <c r="M135" s="24" t="n">
        <f aca="false">IFERROR((AVERAGE('SA Data'!W127:W135)/AVERAGE('SA Data'!W115:W123)-1)*100,"")</f>
        <v>-3.59111898864107</v>
      </c>
      <c r="N135" s="23" t="n">
        <f aca="false">'SA Data'!T135</f>
        <v>154.675816470096</v>
      </c>
      <c r="O135" s="24" t="n">
        <f aca="false">(N135/N134-1)*100</f>
        <v>1.34897983165663</v>
      </c>
      <c r="P135" s="24" t="n">
        <f aca="false">(AVERAGE(N133:N135)/AVERAGE(N130:N132)-1)*100</f>
        <v>-0.212079992332415</v>
      </c>
      <c r="Q135" s="24" t="n">
        <f aca="false">((AVERAGE(N133:N135)/AVERAGE(N130:N132))^4-1)*100</f>
        <v>-0.845625107484815</v>
      </c>
      <c r="R135" s="24" t="n">
        <f aca="false">IFERROR(('SA Data'!X135/'SA Data'!X123-1)*100,"")</f>
        <v>-1.13579329289381</v>
      </c>
      <c r="S135" s="24" t="n">
        <f aca="false">IFERROR((AVERAGE('SA Data'!X127:X135)/AVERAGE('SA Data'!X115:X123)-1)*100,"")</f>
        <v>-1.362358860802</v>
      </c>
    </row>
    <row r="136" customFormat="false" ht="15" hidden="false" customHeight="false" outlineLevel="0" collapsed="false">
      <c r="A136" s="20" t="n">
        <v>41943</v>
      </c>
      <c r="B136" s="23" t="n">
        <f aca="false">'SA Data'!R136</f>
        <v>106.478968564751</v>
      </c>
      <c r="C136" s="24" t="n">
        <f aca="false">(B136/B135-1)*100</f>
        <v>-1.98880965869624</v>
      </c>
      <c r="D136" s="24" t="n">
        <f aca="false">(AVERAGE(B134:B136)/AVERAGE(B131:B133)-1)*100</f>
        <v>-2.02535229454314</v>
      </c>
      <c r="E136" s="24" t="n">
        <f aca="false">((AVERAGE(B134:B136)/AVERAGE(B131:B133))^4-1)*100</f>
        <v>-7.85859247642693</v>
      </c>
      <c r="F136" s="24" t="n">
        <f aca="false">IFERROR(('SA Data'!V136/'SA Data'!V124-1)*100,"")</f>
        <v>-1.17632847418705</v>
      </c>
      <c r="G136" s="24" t="n">
        <f aca="false">IFERROR((AVERAGE('SA Data'!V127:V136)/AVERAGE('SA Data'!V115:V124)-1)*100,"")</f>
        <v>3.3671485113131</v>
      </c>
      <c r="H136" s="23" t="n">
        <f aca="false">'SA Data'!S136</f>
        <v>131.344410767523</v>
      </c>
      <c r="I136" s="24" t="n">
        <f aca="false">(H136/H135-1)*100</f>
        <v>0.174676845501831</v>
      </c>
      <c r="J136" s="24" t="n">
        <f aca="false">(AVERAGE(H134:H136)/AVERAGE(H131:H133)-1)*100</f>
        <v>-1.51388485257911</v>
      </c>
      <c r="K136" s="24" t="n">
        <f aca="false">((AVERAGE(H134:H136)/AVERAGE(H131:H133))^4-1)*100</f>
        <v>-5.91941115413319</v>
      </c>
      <c r="L136" s="24" t="n">
        <f aca="false">IFERROR(('SA Data'!W136/'SA Data'!W124-1)*100,"")</f>
        <v>-5.34101083865446</v>
      </c>
      <c r="M136" s="24" t="n">
        <f aca="false">IFERROR((AVERAGE('SA Data'!W127:W136)/AVERAGE('SA Data'!W115:W124)-1)*100,"")</f>
        <v>-3.77660457833044</v>
      </c>
      <c r="N136" s="23" t="n">
        <f aca="false">'SA Data'!T136</f>
        <v>155.005656013748</v>
      </c>
      <c r="O136" s="24" t="n">
        <f aca="false">(N136/N135-1)*100</f>
        <v>0.21324571040251</v>
      </c>
      <c r="P136" s="24" t="n">
        <f aca="false">(AVERAGE(N134:N136)/AVERAGE(N131:N133)-1)*100</f>
        <v>0.247665669468855</v>
      </c>
      <c r="Q136" s="24" t="n">
        <f aca="false">((AVERAGE(N134:N136)/AVERAGE(N131:N133))^4-1)*100</f>
        <v>0.994349055222665</v>
      </c>
      <c r="R136" s="24" t="n">
        <f aca="false">IFERROR(('SA Data'!X136/'SA Data'!X124-1)*100,"")</f>
        <v>-0.774254025673438</v>
      </c>
      <c r="S136" s="24" t="n">
        <f aca="false">IFERROR((AVERAGE('SA Data'!X127:X136)/AVERAGE('SA Data'!X115:X124)-1)*100,"")</f>
        <v>-1.30281280860747</v>
      </c>
    </row>
    <row r="137" customFormat="false" ht="15" hidden="false" customHeight="false" outlineLevel="0" collapsed="false">
      <c r="A137" s="20" t="n">
        <v>41973</v>
      </c>
      <c r="B137" s="23" t="n">
        <f aca="false">'SA Data'!R137</f>
        <v>107.049079316715</v>
      </c>
      <c r="C137" s="24" t="n">
        <f aca="false">(B137/B136-1)*100</f>
        <v>0.535420994069558</v>
      </c>
      <c r="D137" s="24" t="n">
        <f aca="false">(AVERAGE(B135:B137)/AVERAGE(B132:B134)-1)*100</f>
        <v>-0.228593326286741</v>
      </c>
      <c r="E137" s="24" t="n">
        <f aca="false">((AVERAGE(B135:B137)/AVERAGE(B132:B134))^4-1)*100</f>
        <v>-0.911242785936384</v>
      </c>
      <c r="F137" s="24" t="n">
        <f aca="false">IFERROR(('SA Data'!V137/'SA Data'!V125-1)*100,"")</f>
        <v>-0.47416060966442</v>
      </c>
      <c r="G137" s="24" t="n">
        <f aca="false">IFERROR((AVERAGE('SA Data'!V127:V137)/AVERAGE('SA Data'!V115:V125)-1)*100,"")</f>
        <v>3.12999359176132</v>
      </c>
      <c r="H137" s="23" t="n">
        <f aca="false">'SA Data'!S137</f>
        <v>130.524982066873</v>
      </c>
      <c r="I137" s="24" t="n">
        <f aca="false">(H137/H136-1)*100</f>
        <v>-0.623877861160249</v>
      </c>
      <c r="J137" s="24" t="n">
        <f aca="false">(AVERAGE(H135:H137)/AVERAGE(H132:H134)-1)*100</f>
        <v>-0.264699866651053</v>
      </c>
      <c r="K137" s="24" t="n">
        <f aca="false">((AVERAGE(H135:H137)/AVERAGE(H132:H134))^4-1)*100</f>
        <v>-1.05460291911705</v>
      </c>
      <c r="L137" s="24" t="n">
        <f aca="false">IFERROR(('SA Data'!W137/'SA Data'!W125-1)*100,"")</f>
        <v>-4.4083725905695</v>
      </c>
      <c r="M137" s="24" t="n">
        <f aca="false">IFERROR((AVERAGE('SA Data'!W127:W137)/AVERAGE('SA Data'!W115:W125)-1)*100,"")</f>
        <v>-3.83509973055193</v>
      </c>
      <c r="N137" s="23" t="n">
        <f aca="false">'SA Data'!T137</f>
        <v>153.739422413902</v>
      </c>
      <c r="O137" s="24" t="n">
        <f aca="false">(N137/N136-1)*100</f>
        <v>-0.816895094288506</v>
      </c>
      <c r="P137" s="24" t="n">
        <f aca="false">(AVERAGE(N135:N137)/AVERAGE(N132:N134)-1)*100</f>
        <v>0.85392351127862</v>
      </c>
      <c r="Q137" s="24" t="n">
        <f aca="false">((AVERAGE(N135:N137)/AVERAGE(N132:N134))^4-1)*100</f>
        <v>3.4596947660229</v>
      </c>
      <c r="R137" s="24" t="n">
        <f aca="false">IFERROR(('SA Data'!X137/'SA Data'!X125-1)*100,"")</f>
        <v>-1.12079047436924</v>
      </c>
      <c r="S137" s="24" t="n">
        <f aca="false">IFERROR((AVERAGE('SA Data'!X127:X137)/AVERAGE('SA Data'!X115:X125)-1)*100,"")</f>
        <v>-1.28627633167887</v>
      </c>
    </row>
    <row r="138" customFormat="false" ht="15" hidden="false" customHeight="false" outlineLevel="0" collapsed="false">
      <c r="A138" s="20" t="n">
        <v>42004</v>
      </c>
      <c r="B138" s="23" t="n">
        <f aca="false">'SA Data'!R138</f>
        <v>109.945376916103</v>
      </c>
      <c r="C138" s="24" t="n">
        <f aca="false">(B138/B137-1)*100</f>
        <v>2.70557917720948</v>
      </c>
      <c r="D138" s="24" t="n">
        <f aca="false">(AVERAGE(B136:B138)/AVERAGE(B133:B135)-1)*100</f>
        <v>0.453259884427748</v>
      </c>
      <c r="E138" s="24" t="n">
        <f aca="false">((AVERAGE(B136:B138)/AVERAGE(B133:B135))^4-1)*100</f>
        <v>1.8254034991926</v>
      </c>
      <c r="F138" s="24" t="n">
        <f aca="false">IFERROR(('SA Data'!V138/'SA Data'!V126-1)*100,"")</f>
        <v>3.63250329143561</v>
      </c>
      <c r="G138" s="24" t="n">
        <f aca="false">IFERROR((AVERAGE('SA Data'!V127:V138)/AVERAGE('SA Data'!V115:V126)-1)*100,"")</f>
        <v>3.15928320747068</v>
      </c>
      <c r="H138" s="23" t="n">
        <f aca="false">'SA Data'!S138</f>
        <v>131.469316990141</v>
      </c>
      <c r="I138" s="24" t="n">
        <f aca="false">(H138/H137-1)*100</f>
        <v>0.723489793535603</v>
      </c>
      <c r="J138" s="24" t="n">
        <f aca="false">(AVERAGE(H136:H138)/AVERAGE(H133:H135)-1)*100</f>
        <v>0.253776823381258</v>
      </c>
      <c r="K138" s="24" t="n">
        <f aca="false">((AVERAGE(H136:H138)/AVERAGE(H133:H135))^4-1)*100</f>
        <v>1.01897799580049</v>
      </c>
      <c r="L138" s="24" t="n">
        <f aca="false">IFERROR(('SA Data'!W138/'SA Data'!W126-1)*100,"")</f>
        <v>-3.89503296899705</v>
      </c>
      <c r="M138" s="24" t="n">
        <f aca="false">IFERROR((AVERAGE('SA Data'!W127:W138)/AVERAGE('SA Data'!W115:W126)-1)*100,"")</f>
        <v>-3.84001133883164</v>
      </c>
      <c r="N138" s="23" t="n">
        <f aca="false">'SA Data'!T138</f>
        <v>155.236079874744</v>
      </c>
      <c r="O138" s="24" t="n">
        <f aca="false">(N138/N137-1)*100</f>
        <v>0.973502721255892</v>
      </c>
      <c r="P138" s="24" t="n">
        <f aca="false">(AVERAGE(N136:N138)/AVERAGE(N133:N135)-1)*100</f>
        <v>0.715686559713302</v>
      </c>
      <c r="Q138" s="24" t="n">
        <f aca="false">((AVERAGE(N136:N138)/AVERAGE(N133:N135))^4-1)*100</f>
        <v>2.89362556825308</v>
      </c>
      <c r="R138" s="24" t="n">
        <f aca="false">IFERROR(('SA Data'!X138/'SA Data'!X126-1)*100,"")</f>
        <v>-0.216461892438236</v>
      </c>
      <c r="S138" s="24" t="n">
        <f aca="false">IFERROR((AVERAGE('SA Data'!X127:X138)/AVERAGE('SA Data'!X115:X126)-1)*100,"")</f>
        <v>-1.19810786653197</v>
      </c>
    </row>
    <row r="139" customFormat="false" ht="15" hidden="false" customHeight="false" outlineLevel="0" collapsed="false">
      <c r="A139" s="20" t="n">
        <v>42035</v>
      </c>
      <c r="B139" s="23" t="n">
        <f aca="false">'SA Data'!R139</f>
        <v>105.541874790019</v>
      </c>
      <c r="C139" s="24" t="n">
        <f aca="false">(B139/B138-1)*100</f>
        <v>-4.00517261352791</v>
      </c>
      <c r="D139" s="24" t="n">
        <f aca="false">(AVERAGE(B137:B139)/AVERAGE(B134:B136)-1)*100</f>
        <v>0.541493238855884</v>
      </c>
      <c r="E139" s="24" t="n">
        <f aca="false">((AVERAGE(B137:B139)/AVERAGE(B134:B136))^4-1)*100</f>
        <v>2.18362944662249</v>
      </c>
      <c r="F139" s="24" t="n">
        <f aca="false">IFERROR(('SA Data'!V139/'SA Data'!V127-1)*100,"")</f>
        <v>-5.66879350449521</v>
      </c>
      <c r="G139" s="24" t="n">
        <f aca="false">IFERROR((AVERAGE('SA Data'!V139:V139)/AVERAGE('SA Data'!V127:V127)-1)*100,"")</f>
        <v>-5.66879350449521</v>
      </c>
      <c r="H139" s="23" t="n">
        <f aca="false">'SA Data'!S139</f>
        <v>132.503839773124</v>
      </c>
      <c r="I139" s="24" t="n">
        <f aca="false">(H139/H138-1)*100</f>
        <v>0.786892947089513</v>
      </c>
      <c r="J139" s="24" t="n">
        <f aca="false">(AVERAGE(H137:H139)/AVERAGE(H134:H136)-1)*100</f>
        <v>0.643883283245716</v>
      </c>
      <c r="K139" s="24" t="n">
        <f aca="false">((AVERAGE(H137:H139)/AVERAGE(H134:H136))^4-1)*100</f>
        <v>2.60051522372691</v>
      </c>
      <c r="L139" s="24" t="n">
        <f aca="false">IFERROR(('SA Data'!W139/'SA Data'!W127-1)*100,"")</f>
        <v>-3.68685816289829</v>
      </c>
      <c r="M139" s="24" t="n">
        <f aca="false">IFERROR((AVERAGE('SA Data'!W139:W139)/AVERAGE('SA Data'!W127:W127)-1)*100,"")</f>
        <v>-3.68685816289829</v>
      </c>
      <c r="N139" s="23" t="n">
        <f aca="false">'SA Data'!T139</f>
        <v>155.068011476737</v>
      </c>
      <c r="O139" s="24" t="n">
        <f aca="false">(N139/N138-1)*100</f>
        <v>-0.108266324518669</v>
      </c>
      <c r="P139" s="24" t="n">
        <f aca="false">(AVERAGE(N137:N139)/AVERAGE(N134:N136)-1)*100</f>
        <v>0.37746129091969</v>
      </c>
      <c r="Q139" s="24" t="n">
        <f aca="false">((AVERAGE(N137:N139)/AVERAGE(N134:N136))^4-1)*100</f>
        <v>1.51841531737191</v>
      </c>
      <c r="R139" s="24" t="n">
        <f aca="false">IFERROR(('SA Data'!X139/'SA Data'!X127-1)*100,"")</f>
        <v>-1.19542536983737</v>
      </c>
      <c r="S139" s="24" t="n">
        <f aca="false">IFERROR((AVERAGE('SA Data'!X139:X139)/AVERAGE('SA Data'!X127:X127)-1)*100,"")</f>
        <v>-1.19542536983737</v>
      </c>
    </row>
    <row r="140" customFormat="false" ht="15" hidden="false" customHeight="false" outlineLevel="0" collapsed="false">
      <c r="A140" s="20" t="n">
        <v>42063</v>
      </c>
      <c r="B140" s="23" t="n">
        <f aca="false">'SA Data'!R140</f>
        <v>109.177702211066</v>
      </c>
      <c r="C140" s="24" t="n">
        <f aca="false">(B140/B139-1)*100</f>
        <v>3.44491456900911</v>
      </c>
      <c r="D140" s="24" t="n">
        <f aca="false">(AVERAGE(B138:B140)/AVERAGE(B135:B137)-1)*100</f>
        <v>0.775156206062611</v>
      </c>
      <c r="E140" s="24" t="n">
        <f aca="false">((AVERAGE(B138:B140)/AVERAGE(B135:B137))^4-1)*100</f>
        <v>3.13686352027782</v>
      </c>
      <c r="F140" s="24" t="n">
        <f aca="false">IFERROR(('SA Data'!V140/'SA Data'!V128-1)*100,"")</f>
        <v>2.02956905422986</v>
      </c>
      <c r="G140" s="24" t="n">
        <f aca="false">IFERROR((AVERAGE('SA Data'!V139:V140)/AVERAGE('SA Data'!V127:V128)-1)*100,"")</f>
        <v>-1.69763646724822</v>
      </c>
      <c r="H140" s="23" t="n">
        <f aca="false">'SA Data'!S140</f>
        <v>133.609672277327</v>
      </c>
      <c r="I140" s="24" t="n">
        <f aca="false">(H140/H139-1)*100</f>
        <v>0.834566383960467</v>
      </c>
      <c r="J140" s="24" t="n">
        <f aca="false">(AVERAGE(H138:H140)/AVERAGE(H135:H137)-1)*100</f>
        <v>1.17003353332132</v>
      </c>
      <c r="K140" s="24" t="n">
        <f aca="false">((AVERAGE(H138:H140)/AVERAGE(H135:H137))^4-1)*100</f>
        <v>4.76291541581921</v>
      </c>
      <c r="L140" s="24" t="n">
        <f aca="false">IFERROR(('SA Data'!W140/'SA Data'!W128-1)*100,"")</f>
        <v>-1.72383577211783</v>
      </c>
      <c r="M140" s="24" t="n">
        <f aca="false">IFERROR((AVERAGE('SA Data'!W139:W140)/AVERAGE('SA Data'!W127:W128)-1)*100,"")</f>
        <v>-2.72157449246055</v>
      </c>
      <c r="N140" s="23" t="n">
        <f aca="false">'SA Data'!T140</f>
        <v>156.603307310406</v>
      </c>
      <c r="O140" s="24" t="n">
        <f aca="false">(N140/N139-1)*100</f>
        <v>0.990079010524725</v>
      </c>
      <c r="P140" s="24" t="n">
        <f aca="false">(AVERAGE(N138:N140)/AVERAGE(N135:N137)-1)*100</f>
        <v>0.752340648108185</v>
      </c>
      <c r="Q140" s="24" t="n">
        <f aca="false">((AVERAGE(N138:N140)/AVERAGE(N135:N137))^4-1)*100</f>
        <v>3.04349423472849</v>
      </c>
      <c r="R140" s="24" t="n">
        <f aca="false">IFERROR(('SA Data'!X140/'SA Data'!X128-1)*100,"")</f>
        <v>1.5123911279483</v>
      </c>
      <c r="S140" s="24" t="n">
        <f aca="false">IFERROR((AVERAGE('SA Data'!X139:X140)/AVERAGE('SA Data'!X127:X128)-1)*100,"")</f>
        <v>0.137399344444988</v>
      </c>
    </row>
    <row r="141" customFormat="false" ht="15" hidden="false" customHeight="false" outlineLevel="0" collapsed="false">
      <c r="A141" s="20" t="n">
        <v>42094</v>
      </c>
      <c r="B141" s="23" t="n">
        <f aca="false">'SA Data'!R141</f>
        <v>114.325731630717</v>
      </c>
      <c r="C141" s="24" t="n">
        <f aca="false">(B141/B140-1)*100</f>
        <v>4.71527547786204</v>
      </c>
      <c r="D141" s="24" t="n">
        <f aca="false">(AVERAGE(B139:B141)/AVERAGE(B136:B138)-1)*100</f>
        <v>1.7225167222686</v>
      </c>
      <c r="E141" s="24" t="n">
        <f aca="false">((AVERAGE(B139:B141)/AVERAGE(B136:B138))^4-1)*100</f>
        <v>7.07014385089695</v>
      </c>
      <c r="F141" s="24" t="n">
        <f aca="false">IFERROR(('SA Data'!V141/'SA Data'!V129-1)*100,"")</f>
        <v>9.77185402389296</v>
      </c>
      <c r="G141" s="24" t="n">
        <f aca="false">IFERROR((AVERAGE('SA Data'!V139:V141)/AVERAGE('SA Data'!V127:V129)-1)*100,"")</f>
        <v>3.98531355961989</v>
      </c>
      <c r="H141" s="23" t="n">
        <f aca="false">'SA Data'!S141</f>
        <v>133.503332689067</v>
      </c>
      <c r="I141" s="24" t="n">
        <f aca="false">(H141/H140-1)*100</f>
        <v>-0.0795897381134947</v>
      </c>
      <c r="J141" s="24" t="n">
        <f aca="false">(AVERAGE(H139:H141)/AVERAGE(H136:H138)-1)*100</f>
        <v>1.59611417797654</v>
      </c>
      <c r="K141" s="24" t="n">
        <f aca="false">((AVERAGE(H139:H141)/AVERAGE(H136:H138))^4-1)*100</f>
        <v>6.53894452194319</v>
      </c>
      <c r="L141" s="24" t="n">
        <f aca="false">IFERROR(('SA Data'!W141/'SA Data'!W129-1)*100,"")</f>
        <v>0.101860591099134</v>
      </c>
      <c r="M141" s="24" t="n">
        <f aca="false">IFERROR((AVERAGE('SA Data'!W139:W141)/AVERAGE('SA Data'!W127:W129)-1)*100,"")</f>
        <v>-1.73203955848023</v>
      </c>
      <c r="N141" s="23" t="n">
        <f aca="false">'SA Data'!T141</f>
        <v>156.881300528252</v>
      </c>
      <c r="O141" s="24" t="n">
        <f aca="false">(N141/N140-1)*100</f>
        <v>0.177514270049417</v>
      </c>
      <c r="P141" s="24" t="n">
        <f aca="false">(AVERAGE(N139:N141)/AVERAGE(N136:N138)-1)*100</f>
        <v>0.985268675505435</v>
      </c>
      <c r="Q141" s="24" t="n">
        <f aca="false">((AVERAGE(N139:N141)/AVERAGE(N136:N138))^4-1)*100</f>
        <v>3.99970348770786</v>
      </c>
      <c r="R141" s="24" t="n">
        <f aca="false">IFERROR(('SA Data'!X141/'SA Data'!X129-1)*100,"")</f>
        <v>3.81211272232269</v>
      </c>
      <c r="S141" s="24" t="n">
        <f aca="false">IFERROR((AVERAGE('SA Data'!X139:X141)/AVERAGE('SA Data'!X127:X129)-1)*100,"")</f>
        <v>1.37858890360472</v>
      </c>
    </row>
    <row r="142" customFormat="false" ht="15" hidden="false" customHeight="false" outlineLevel="0" collapsed="false">
      <c r="A142" s="20" t="n">
        <v>42124</v>
      </c>
      <c r="B142" s="23" t="n">
        <f aca="false">'SA Data'!R142</f>
        <v>117.612994736774</v>
      </c>
      <c r="C142" s="24" t="n">
        <f aca="false">(B142/B141-1)*100</f>
        <v>2.8753484094683</v>
      </c>
      <c r="D142" s="24" t="n">
        <f aca="false">(AVERAGE(B140:B142)/AVERAGE(B137:B139)-1)*100</f>
        <v>5.76062160092117</v>
      </c>
      <c r="E142" s="24" t="n">
        <f aca="false">((AVERAGE(B140:B142)/AVERAGE(B137:B139))^4-1)*100</f>
        <v>25.1111392467454</v>
      </c>
      <c r="F142" s="24" t="n">
        <f aca="false">IFERROR(('SA Data'!V142/'SA Data'!V130-1)*100,"")</f>
        <v>12.6474004066448</v>
      </c>
      <c r="G142" s="24" t="n">
        <f aca="false">IFERROR((AVERAGE('SA Data'!V139:V142)/AVERAGE('SA Data'!V127:V130)-1)*100,"")</f>
        <v>7.83972067691325</v>
      </c>
      <c r="H142" s="23" t="n">
        <f aca="false">'SA Data'!S142</f>
        <v>136.441407558297</v>
      </c>
      <c r="I142" s="24" t="n">
        <f aca="false">(H142/H141-1)*100</f>
        <v>2.20075020604344</v>
      </c>
      <c r="J142" s="24" t="n">
        <f aca="false">(AVERAGE(H140:H142)/AVERAGE(H137:H139)-1)*100</f>
        <v>2.29564421302673</v>
      </c>
      <c r="K142" s="24" t="n">
        <f aca="false">((AVERAGE(H140:H142)/AVERAGE(H137:H139))^4-1)*100</f>
        <v>9.50364276778548</v>
      </c>
      <c r="L142" s="24" t="n">
        <f aca="false">IFERROR(('SA Data'!W142/'SA Data'!W130-1)*100,"")</f>
        <v>2.04554453274772</v>
      </c>
      <c r="M142" s="24" t="n">
        <f aca="false">IFERROR((AVERAGE('SA Data'!W139:W142)/AVERAGE('SA Data'!W127:W130)-1)*100,"")</f>
        <v>-0.758934717863458</v>
      </c>
      <c r="N142" s="23" t="n">
        <f aca="false">'SA Data'!T142</f>
        <v>157.515883514932</v>
      </c>
      <c r="O142" s="24" t="n">
        <f aca="false">(N142/N141-1)*100</f>
        <v>0.404498805494025</v>
      </c>
      <c r="P142" s="24" t="n">
        <f aca="false">(AVERAGE(N140:N142)/AVERAGE(N137:N139)-1)*100</f>
        <v>1.49920802291914</v>
      </c>
      <c r="Q142" s="24" t="n">
        <f aca="false">((AVERAGE(N140:N142)/AVERAGE(N137:N139))^4-1)*100</f>
        <v>6.13304248804314</v>
      </c>
      <c r="R142" s="24" t="n">
        <f aca="false">IFERROR(('SA Data'!X142/'SA Data'!X130-1)*100,"")</f>
        <v>2.22494881820625</v>
      </c>
      <c r="S142" s="24" t="n">
        <f aca="false">IFERROR((AVERAGE('SA Data'!X139:X142)/AVERAGE('SA Data'!X127:X130)-1)*100,"")</f>
        <v>1.59328096014197</v>
      </c>
    </row>
    <row r="143" customFormat="false" ht="15" hidden="false" customHeight="false" outlineLevel="0" collapsed="false">
      <c r="A143" s="20" t="n">
        <v>42155</v>
      </c>
      <c r="B143" s="23" t="n">
        <f aca="false">'SA Data'!R143</f>
        <v>119.546192408771</v>
      </c>
      <c r="C143" s="24" t="n">
        <f aca="false">(B143/B142-1)*100</f>
        <v>1.64369394412884</v>
      </c>
      <c r="D143" s="24" t="n">
        <f aca="false">(AVERAGE(B141:B143)/AVERAGE(B138:B140)-1)*100</f>
        <v>8.26081304294888</v>
      </c>
      <c r="E143" s="24" t="n">
        <f aca="false">((AVERAGE(B141:B143)/AVERAGE(B138:B140))^4-1)*100</f>
        <v>37.3678615014104</v>
      </c>
      <c r="F143" s="24" t="n">
        <f aca="false">IFERROR(('SA Data'!V143/'SA Data'!V131-1)*100,"")</f>
        <v>12.8565350842427</v>
      </c>
      <c r="G143" s="24" t="n">
        <f aca="false">IFERROR((AVERAGE('SA Data'!V139:V143)/AVERAGE('SA Data'!V127:V131)-1)*100,"")</f>
        <v>9.85823661089627</v>
      </c>
      <c r="H143" s="23" t="n">
        <f aca="false">'SA Data'!S143</f>
        <v>134.361582597329</v>
      </c>
      <c r="I143" s="24" t="n">
        <f aca="false">(H143/H142-1)*100</f>
        <v>-1.52433560909921</v>
      </c>
      <c r="J143" s="24" t="n">
        <f aca="false">(AVERAGE(H141:H143)/AVERAGE(H138:H140)-1)*100</f>
        <v>1.69109260083629</v>
      </c>
      <c r="K143" s="24" t="n">
        <f aca="false">((AVERAGE(H141:H143)/AVERAGE(H138:H140))^4-1)*100</f>
        <v>6.93790070355831</v>
      </c>
      <c r="L143" s="24" t="n">
        <f aca="false">IFERROR(('SA Data'!W143/'SA Data'!W131-1)*100,"")</f>
        <v>0.48900144325712</v>
      </c>
      <c r="M143" s="24" t="n">
        <f aca="false">IFERROR((AVERAGE('SA Data'!W139:W143)/AVERAGE('SA Data'!W127:W131)-1)*100,"")</f>
        <v>-0.496482947018462</v>
      </c>
      <c r="N143" s="23" t="n">
        <f aca="false">'SA Data'!T143</f>
        <v>156.557866803261</v>
      </c>
      <c r="O143" s="24" t="n">
        <f aca="false">(N143/N142-1)*100</f>
        <v>-0.608203242932071</v>
      </c>
      <c r="P143" s="24" t="n">
        <f aca="false">(AVERAGE(N141:N143)/AVERAGE(N138:N140)-1)*100</f>
        <v>0.866906841947013</v>
      </c>
      <c r="Q143" s="24" t="n">
        <f aca="false">((AVERAGE(N141:N143)/AVERAGE(N138:N140))^4-1)*100</f>
        <v>3.51298018266164</v>
      </c>
      <c r="R143" s="24" t="n">
        <f aca="false">IFERROR(('SA Data'!X143/'SA Data'!X131-1)*100,"")</f>
        <v>1.2679667276956</v>
      </c>
      <c r="S143" s="24" t="n">
        <f aca="false">IFERROR((AVERAGE('SA Data'!X139:X143)/AVERAGE('SA Data'!X127:X131)-1)*100,"")</f>
        <v>1.52632375912261</v>
      </c>
    </row>
    <row r="144" customFormat="false" ht="15" hidden="false" customHeight="false" outlineLevel="0" collapsed="false">
      <c r="A144" s="20" t="n">
        <v>42185</v>
      </c>
      <c r="B144" s="23" t="n">
        <f aca="false">'SA Data'!R144</f>
        <v>118.713268208006</v>
      </c>
      <c r="C144" s="24" t="n">
        <f aca="false">(B144/B143-1)*100</f>
        <v>-0.696738377009165</v>
      </c>
      <c r="D144" s="24" t="n">
        <f aca="false">(AVERAGE(B142:B144)/AVERAGE(B139:B141)-1)*100</f>
        <v>8.15302513605154</v>
      </c>
      <c r="E144" s="24" t="n">
        <f aca="false">((AVERAGE(B142:B144)/AVERAGE(B139:B141))^4-1)*100</f>
        <v>36.8216067430867</v>
      </c>
      <c r="F144" s="24" t="n">
        <f aca="false">IFERROR(('SA Data'!V144/'SA Data'!V132-1)*100,"")</f>
        <v>13.2760837510366</v>
      </c>
      <c r="G144" s="24" t="n">
        <f aca="false">IFERROR((AVERAGE('SA Data'!V139:V144)/AVERAGE('SA Data'!V127:V132)-1)*100,"")</f>
        <v>10.5816902688219</v>
      </c>
      <c r="H144" s="23" t="n">
        <f aca="false">'SA Data'!S144</f>
        <v>138.229629692488</v>
      </c>
      <c r="I144" s="24" t="n">
        <f aca="false">(H144/H143-1)*100</f>
        <v>2.87883412831671</v>
      </c>
      <c r="J144" s="24" t="n">
        <f aca="false">(AVERAGE(H142:H144)/AVERAGE(H139:H141)-1)*100</f>
        <v>2.35620075393306</v>
      </c>
      <c r="K144" s="24" t="n">
        <f aca="false">((AVERAGE(H142:H144)/AVERAGE(H139:H141))^4-1)*100</f>
        <v>9.76316710739411</v>
      </c>
      <c r="L144" s="24" t="n">
        <f aca="false">IFERROR(('SA Data'!W144/'SA Data'!W132-1)*100,"")</f>
        <v>4.84762428153842</v>
      </c>
      <c r="M144" s="24" t="n">
        <f aca="false">IFERROR((AVERAGE('SA Data'!W139:W144)/AVERAGE('SA Data'!W127:W132)-1)*100,"")</f>
        <v>0.413443020973014</v>
      </c>
      <c r="N144" s="23" t="n">
        <f aca="false">'SA Data'!T144</f>
        <v>159.894584157501</v>
      </c>
      <c r="O144" s="24" t="n">
        <f aca="false">(N144/N143-1)*100</f>
        <v>2.13129970557988</v>
      </c>
      <c r="P144" s="24" t="n">
        <f aca="false">(AVERAGE(N142:N144)/AVERAGE(N139:N141)-1)*100</f>
        <v>1.15583926693481</v>
      </c>
      <c r="Q144" s="24" t="n">
        <f aca="false">((AVERAGE(N142:N144)/AVERAGE(N139:N141))^4-1)*100</f>
        <v>4.70413438124964</v>
      </c>
      <c r="R144" s="24" t="n">
        <f aca="false">IFERROR(('SA Data'!X144/'SA Data'!X132-1)*100,"")</f>
        <v>4.4965074988532</v>
      </c>
      <c r="S144" s="24" t="n">
        <f aca="false">IFERROR((AVERAGE('SA Data'!X139:X144)/AVERAGE('SA Data'!X127:X132)-1)*100,"")</f>
        <v>2.03366403004688</v>
      </c>
    </row>
    <row r="145" customFormat="false" ht="15" hidden="false" customHeight="false" outlineLevel="0" collapsed="false">
      <c r="A145" s="20" t="n">
        <v>42216</v>
      </c>
      <c r="B145" s="23" t="n">
        <f aca="false">'SA Data'!R145</f>
        <v>113.169740056964</v>
      </c>
      <c r="C145" s="24" t="n">
        <f aca="false">(B145/B144-1)*100</f>
        <v>-4.66967865911014</v>
      </c>
      <c r="D145" s="24" t="n">
        <f aca="false">(AVERAGE(B143:B145)/AVERAGE(B140:B142)-1)*100</f>
        <v>3.02324110807504</v>
      </c>
      <c r="E145" s="24" t="n">
        <f aca="false">((AVERAGE(B143:B145)/AVERAGE(B140:B142))^4-1)*100</f>
        <v>12.6525001330375</v>
      </c>
      <c r="F145" s="24" t="n">
        <f aca="false">IFERROR(('SA Data'!V145/'SA Data'!V133-1)*100,"")</f>
        <v>4.79232439462605</v>
      </c>
      <c r="G145" s="24" t="n">
        <f aca="false">IFERROR((AVERAGE('SA Data'!V139:V145)/AVERAGE('SA Data'!V127:V133)-1)*100,"")</f>
        <v>10.009904281447</v>
      </c>
      <c r="H145" s="23" t="n">
        <f aca="false">'SA Data'!S145</f>
        <v>137.68537087583</v>
      </c>
      <c r="I145" s="24" t="n">
        <f aca="false">(H145/H144-1)*100</f>
        <v>-0.393735277934448</v>
      </c>
      <c r="J145" s="24" t="n">
        <f aca="false">(AVERAGE(H143:H145)/AVERAGE(H140:H142)-1)*100</f>
        <v>1.66574083502191</v>
      </c>
      <c r="K145" s="24" t="n">
        <f aca="false">((AVERAGE(H143:H145)/AVERAGE(H140:H142))^4-1)*100</f>
        <v>6.83130135823422</v>
      </c>
      <c r="L145" s="24" t="n">
        <f aca="false">IFERROR(('SA Data'!W145/'SA Data'!W133-1)*100,"")</f>
        <v>4.28520974149225</v>
      </c>
      <c r="M145" s="24" t="n">
        <f aca="false">IFERROR((AVERAGE('SA Data'!W139:W145)/AVERAGE('SA Data'!W127:W133)-1)*100,"")</f>
        <v>0.979095947825837</v>
      </c>
      <c r="N145" s="23" t="n">
        <f aca="false">'SA Data'!T145</f>
        <v>160.185656075831</v>
      </c>
      <c r="O145" s="24" t="n">
        <f aca="false">(N145/N144-1)*100</f>
        <v>0.182039885756025</v>
      </c>
      <c r="P145" s="24" t="n">
        <f aca="false">(AVERAGE(N143:N145)/AVERAGE(N140:N142)-1)*100</f>
        <v>1.19694475621497</v>
      </c>
      <c r="Q145" s="24" t="n">
        <f aca="false">((AVERAGE(N143:N145)/AVERAGE(N140:N142))^4-1)*100</f>
        <v>4.87442761635741</v>
      </c>
      <c r="R145" s="24" t="n">
        <f aca="false">IFERROR(('SA Data'!X145/'SA Data'!X133-1)*100,"")</f>
        <v>4.36935877716433</v>
      </c>
      <c r="S145" s="24" t="n">
        <f aca="false">IFERROR((AVERAGE('SA Data'!X139:X145)/AVERAGE('SA Data'!X127:X133)-1)*100,"")</f>
        <v>2.37335840420032</v>
      </c>
    </row>
    <row r="146" customFormat="false" ht="15" hidden="false" customHeight="false" outlineLevel="0" collapsed="false">
      <c r="A146" s="20" t="n">
        <v>42247</v>
      </c>
      <c r="B146" s="23" t="n">
        <f aca="false">'SA Data'!R146</f>
        <v>109.049839362089</v>
      </c>
      <c r="C146" s="24" t="n">
        <f aca="false">(B146/B145-1)*100</f>
        <v>-3.64046139259671</v>
      </c>
      <c r="D146" s="24" t="n">
        <f aca="false">(AVERAGE(B144:B146)/AVERAGE(B141:B143)-1)*100</f>
        <v>-3.00214051457504</v>
      </c>
      <c r="E146" s="24" t="n">
        <f aca="false">((AVERAGE(B144:B146)/AVERAGE(B141:B143))^4-1)*100</f>
        <v>-11.4785331007777</v>
      </c>
      <c r="F146" s="24" t="n">
        <f aca="false">IFERROR(('SA Data'!V146/'SA Data'!V134-1)*100,"")</f>
        <v>0.911602700168546</v>
      </c>
      <c r="G146" s="24" t="n">
        <f aca="false">IFERROR((AVERAGE('SA Data'!V139:V146)/AVERAGE('SA Data'!V127:V134)-1)*100,"")</f>
        <v>9.477960145753</v>
      </c>
      <c r="H146" s="23" t="n">
        <f aca="false">'SA Data'!S146</f>
        <v>135.005299593451</v>
      </c>
      <c r="I146" s="24" t="n">
        <f aca="false">(H146/H145-1)*100</f>
        <v>-1.94651854828916</v>
      </c>
      <c r="J146" s="24" t="n">
        <f aca="false">(AVERAGE(H144:H146)/AVERAGE(H141:H143)-1)*100</f>
        <v>1.6358827313262</v>
      </c>
      <c r="K146" s="24" t="n">
        <f aca="false">((AVERAGE(H144:H146)/AVERAGE(H141:H143))^4-1)*100</f>
        <v>6.7058559478874</v>
      </c>
      <c r="L146" s="24" t="n">
        <f aca="false">IFERROR(('SA Data'!W146/'SA Data'!W134-1)*100,"")</f>
        <v>5.09403686374259</v>
      </c>
      <c r="M146" s="24" t="n">
        <f aca="false">IFERROR((AVERAGE('SA Data'!W139:W146)/AVERAGE('SA Data'!W127:W134)-1)*100,"")</f>
        <v>1.50215436977754</v>
      </c>
      <c r="N146" s="23" t="n">
        <f aca="false">'SA Data'!T146</f>
        <v>158.969385020618</v>
      </c>
      <c r="O146" s="24" t="n">
        <f aca="false">(N146/N145-1)*100</f>
        <v>-0.759288368889732</v>
      </c>
      <c r="P146" s="24" t="n">
        <f aca="false">(AVERAGE(N144:N146)/AVERAGE(N141:N143)-1)*100</f>
        <v>1.71875731939972</v>
      </c>
      <c r="Q146" s="24" t="n">
        <f aca="false">((AVERAGE(N144:N146)/AVERAGE(N141:N143))^4-1)*100</f>
        <v>7.05431657861402</v>
      </c>
      <c r="R146" s="24" t="n">
        <f aca="false">IFERROR(('SA Data'!X146/'SA Data'!X134-1)*100,"")</f>
        <v>4.15125318535758</v>
      </c>
      <c r="S146" s="24" t="n">
        <f aca="false">IFERROR((AVERAGE('SA Data'!X139:X146)/AVERAGE('SA Data'!X127:X134)-1)*100,"")</f>
        <v>2.59657032728391</v>
      </c>
    </row>
    <row r="147" customFormat="false" ht="15" hidden="false" customHeight="false" outlineLevel="0" collapsed="false">
      <c r="A147" s="20" t="n">
        <v>42277</v>
      </c>
      <c r="B147" s="23" t="n">
        <f aca="false">'SA Data'!R147</f>
        <v>110.211354674198</v>
      </c>
      <c r="C147" s="24" t="n">
        <f aca="false">(B147/B146-1)*100</f>
        <v>1.06512335910274</v>
      </c>
      <c r="D147" s="24" t="n">
        <f aca="false">(AVERAGE(B145:B147)/AVERAGE(B142:B144)-1)*100</f>
        <v>-6.58705693786025</v>
      </c>
      <c r="E147" s="24" t="n">
        <f aca="false">((AVERAGE(B145:B147)/AVERAGE(B142:B144))^4-1)*100</f>
        <v>-23.8573091384416</v>
      </c>
      <c r="F147" s="24" t="n">
        <f aca="false">IFERROR(('SA Data'!V147/'SA Data'!V135-1)*100,"")</f>
        <v>-3.45116276922525</v>
      </c>
      <c r="G147" s="24" t="n">
        <f aca="false">IFERROR((AVERAGE('SA Data'!V139:V147)/AVERAGE('SA Data'!V127:V135)-1)*100,"")</f>
        <v>8.77596777139822</v>
      </c>
      <c r="H147" s="23" t="n">
        <f aca="false">'SA Data'!S147</f>
        <v>133.328960974601</v>
      </c>
      <c r="I147" s="24" t="n">
        <f aca="false">(H147/H146-1)*100</f>
        <v>-1.2416835664219</v>
      </c>
      <c r="J147" s="24" t="n">
        <f aca="false">(AVERAGE(H145:H147)/AVERAGE(H142:H144)-1)*100</f>
        <v>-0.73661323279054</v>
      </c>
      <c r="K147" s="24" t="n">
        <f aca="false">((AVERAGE(H145:H147)/AVERAGE(H142:H144))^4-1)*100</f>
        <v>-2.91405656772262</v>
      </c>
      <c r="L147" s="24" t="n">
        <f aca="false">IFERROR(('SA Data'!W147/'SA Data'!W135-1)*100,"")</f>
        <v>1.75440541013878</v>
      </c>
      <c r="M147" s="24" t="n">
        <f aca="false">IFERROR((AVERAGE('SA Data'!W139:W147)/AVERAGE('SA Data'!W127:W135)-1)*100,"")</f>
        <v>1.53101389963715</v>
      </c>
      <c r="N147" s="23" t="n">
        <f aca="false">'SA Data'!T147</f>
        <v>159.340200302182</v>
      </c>
      <c r="O147" s="24" t="n">
        <f aca="false">(N147/N146-1)*100</f>
        <v>0.233262072137985</v>
      </c>
      <c r="P147" s="24" t="n">
        <f aca="false">(AVERAGE(N145:N147)/AVERAGE(N142:N144)-1)*100</f>
        <v>0.955107460489968</v>
      </c>
      <c r="Q147" s="24" t="n">
        <f aca="false">((AVERAGE(N145:N147)/AVERAGE(N142:N144))^4-1)*100</f>
        <v>3.87551300096016</v>
      </c>
      <c r="R147" s="24" t="n">
        <f aca="false">IFERROR(('SA Data'!X147/'SA Data'!X135-1)*100,"")</f>
        <v>2.87425730004449</v>
      </c>
      <c r="S147" s="24" t="n">
        <f aca="false">IFERROR((AVERAGE('SA Data'!X139:X147)/AVERAGE('SA Data'!X127:X135)-1)*100,"")</f>
        <v>2.62774966299826</v>
      </c>
    </row>
    <row r="148" customFormat="false" ht="15" hidden="false" customHeight="false" outlineLevel="0" collapsed="false">
      <c r="A148" s="20" t="n">
        <v>42308</v>
      </c>
      <c r="B148" s="23" t="n">
        <f aca="false">'SA Data'!R148</f>
        <v>109.017124850272</v>
      </c>
      <c r="C148" s="24" t="n">
        <f aca="false">(B148/B147-1)*100</f>
        <v>-1.08358147620666</v>
      </c>
      <c r="D148" s="24" t="n">
        <f aca="false">(AVERAGE(B146:B148)/AVERAGE(B143:B145)-1)*100</f>
        <v>-6.58763749363986</v>
      </c>
      <c r="E148" s="24" t="n">
        <f aca="false">((AVERAGE(B146:B148)/AVERAGE(B143:B145))^4-1)*100</f>
        <v>-23.859202009631</v>
      </c>
      <c r="F148" s="24" t="n">
        <f aca="false">IFERROR(('SA Data'!V148/'SA Data'!V136-1)*100,"")</f>
        <v>0.801016224368678</v>
      </c>
      <c r="G148" s="24" t="n">
        <f aca="false">IFERROR((AVERAGE('SA Data'!V139:V148)/AVERAGE('SA Data'!V127:V136)-1)*100,"")</f>
        <v>8.35149739088721</v>
      </c>
      <c r="H148" s="23" t="n">
        <f aca="false">'SA Data'!S148</f>
        <v>134.169355380751</v>
      </c>
      <c r="I148" s="24" t="n">
        <f aca="false">(H148/H147-1)*100</f>
        <v>0.63031647438534</v>
      </c>
      <c r="J148" s="24" t="n">
        <f aca="false">(AVERAGE(H146:H148)/AVERAGE(H143:H145)-1)*100</f>
        <v>-1.89456760043893</v>
      </c>
      <c r="K148" s="24" t="n">
        <f aca="false">((AVERAGE(H146:H148)/AVERAGE(H143:H145))^4-1)*100</f>
        <v>-7.36561446856906</v>
      </c>
      <c r="L148" s="24" t="n">
        <f aca="false">IFERROR(('SA Data'!W148/'SA Data'!W136-1)*100,"")</f>
        <v>1.59174532261617</v>
      </c>
      <c r="M148" s="24" t="n">
        <f aca="false">IFERROR((AVERAGE('SA Data'!W139:W148)/AVERAGE('SA Data'!W127:W136)-1)*100,"")</f>
        <v>1.53734666808014</v>
      </c>
      <c r="N148" s="23" t="n">
        <f aca="false">'SA Data'!T148</f>
        <v>159.555138417614</v>
      </c>
      <c r="O148" s="24" t="n">
        <f aca="false">(N148/N147-1)*100</f>
        <v>0.134892585188329</v>
      </c>
      <c r="P148" s="24" t="n">
        <f aca="false">(AVERAGE(N146:N148)/AVERAGE(N143:N145)-1)*100</f>
        <v>0.257347594687007</v>
      </c>
      <c r="Q148" s="24" t="n">
        <f aca="false">((AVERAGE(N146:N148)/AVERAGE(N143:N145))^4-1)*100</f>
        <v>1.03337086762805</v>
      </c>
      <c r="R148" s="24" t="n">
        <f aca="false">IFERROR(('SA Data'!X148/'SA Data'!X136-1)*100,"")</f>
        <v>2.58286478210552</v>
      </c>
      <c r="S148" s="24" t="n">
        <f aca="false">IFERROR((AVERAGE('SA Data'!X139:X148)/AVERAGE('SA Data'!X127:X136)-1)*100,"")</f>
        <v>2.62318069729854</v>
      </c>
    </row>
    <row r="149" customFormat="false" ht="15" hidden="false" customHeight="false" outlineLevel="0" collapsed="false">
      <c r="A149" s="20" t="n">
        <v>42338</v>
      </c>
      <c r="B149" s="23" t="n">
        <f aca="false">'SA Data'!R149</f>
        <v>111.155404662455</v>
      </c>
      <c r="C149" s="24" t="n">
        <f aca="false">(B149/B148-1)*100</f>
        <v>1.96141644270988</v>
      </c>
      <c r="D149" s="24" t="n">
        <f aca="false">(AVERAGE(B147:B149)/AVERAGE(B144:B146)-1)*100</f>
        <v>-3.09414698922553</v>
      </c>
      <c r="E149" s="24" t="n">
        <f aca="false">((AVERAGE(B147:B149)/AVERAGE(B144:B146))^4-1)*100</f>
        <v>-11.8139205952798</v>
      </c>
      <c r="F149" s="24" t="n">
        <f aca="false">IFERROR(('SA Data'!V149/'SA Data'!V137-1)*100,"")</f>
        <v>3.44148742929007</v>
      </c>
      <c r="G149" s="24" t="n">
        <f aca="false">IFERROR((AVERAGE('SA Data'!V139:V149)/AVERAGE('SA Data'!V127:V137)-1)*100,"")</f>
        <v>8.05895681488456</v>
      </c>
      <c r="H149" s="23" t="n">
        <f aca="false">'SA Data'!S149</f>
        <v>131.765709935009</v>
      </c>
      <c r="I149" s="24" t="n">
        <f aca="false">(H149/H148-1)*100</f>
        <v>-1.79150107632258</v>
      </c>
      <c r="J149" s="24" t="n">
        <f aca="false">(AVERAGE(H147:H149)/AVERAGE(H144:H146)-1)*100</f>
        <v>-2.83662643749154</v>
      </c>
      <c r="K149" s="24" t="n">
        <f aca="false">((AVERAGE(H147:H149)/AVERAGE(H144:H146))^4-1)*100</f>
        <v>-10.8727839404672</v>
      </c>
      <c r="L149" s="24" t="n">
        <f aca="false">IFERROR(('SA Data'!W149/'SA Data'!W137-1)*100,"")</f>
        <v>1.70618719825435</v>
      </c>
      <c r="M149" s="24" t="n">
        <f aca="false">IFERROR((AVERAGE('SA Data'!W139:W149)/AVERAGE('SA Data'!W127:W137)-1)*100,"")</f>
        <v>1.55288635338497</v>
      </c>
      <c r="N149" s="23" t="n">
        <f aca="false">'SA Data'!T149</f>
        <v>159.317996293168</v>
      </c>
      <c r="O149" s="24" t="n">
        <f aca="false">(N149/N148-1)*100</f>
        <v>-0.148627068233331</v>
      </c>
      <c r="P149" s="24" t="n">
        <f aca="false">(AVERAGE(N147:N149)/AVERAGE(N144:N146)-1)*100</f>
        <v>-0.174572778455473</v>
      </c>
      <c r="Q149" s="24" t="n">
        <f aca="false">((AVERAGE(N147:N149)/AVERAGE(N144:N146))^4-1)*100</f>
        <v>-0.696464701682376</v>
      </c>
      <c r="R149" s="24" t="n">
        <f aca="false">IFERROR(('SA Data'!X149/'SA Data'!X137-1)*100,"")</f>
        <v>3.97058545682218</v>
      </c>
      <c r="S149" s="24" t="n">
        <f aca="false">IFERROR((AVERAGE('SA Data'!X139:X149)/AVERAGE('SA Data'!X127:X137)-1)*100,"")</f>
        <v>2.74579576385372</v>
      </c>
    </row>
    <row r="150" customFormat="false" ht="15" hidden="false" customHeight="false" outlineLevel="0" collapsed="false">
      <c r="A150" s="20" t="n">
        <v>42369</v>
      </c>
      <c r="B150" s="23" t="n">
        <f aca="false">'SA Data'!R150</f>
        <v>108.709507326528</v>
      </c>
      <c r="C150" s="24" t="n">
        <f aca="false">(B150/B149-1)*100</f>
        <v>-2.20043041843484</v>
      </c>
      <c r="D150" s="24" t="n">
        <f aca="false">(AVERAGE(B148:B150)/AVERAGE(B145:B147)-1)*100</f>
        <v>-1.06755927022141</v>
      </c>
      <c r="E150" s="24" t="n">
        <f aca="false">((AVERAGE(B148:B150)/AVERAGE(B145:B147))^4-1)*100</f>
        <v>-4.20234148585597</v>
      </c>
      <c r="F150" s="24" t="n">
        <f aca="false">IFERROR(('SA Data'!V150/'SA Data'!V138-1)*100,"")</f>
        <v>1.72705205714152</v>
      </c>
      <c r="G150" s="24" t="n">
        <f aca="false">IFERROR((AVERAGE('SA Data'!V139:V150)/AVERAGE('SA Data'!V127:V138)-1)*100,"")</f>
        <v>7.68819818270516</v>
      </c>
      <c r="H150" s="23" t="n">
        <f aca="false">'SA Data'!S150</f>
        <v>130.425372607699</v>
      </c>
      <c r="I150" s="24" t="n">
        <f aca="false">(H150/H149-1)*100</f>
        <v>-1.01721254184549</v>
      </c>
      <c r="J150" s="24" t="n">
        <f aca="false">(AVERAGE(H148:H150)/AVERAGE(H145:H147)-1)*100</f>
        <v>-2.37899667217419</v>
      </c>
      <c r="K150" s="24" t="n">
        <f aca="false">((AVERAGE(H148:H150)/AVERAGE(H145:H147))^4-1)*100</f>
        <v>-9.18176283914127</v>
      </c>
      <c r="L150" s="24" t="n">
        <f aca="false">IFERROR(('SA Data'!W150/'SA Data'!W138-1)*100,"")</f>
        <v>-0.838592869241117</v>
      </c>
      <c r="M150" s="24" t="n">
        <f aca="false">IFERROR((AVERAGE('SA Data'!W139:W150)/AVERAGE('SA Data'!W127:W138)-1)*100,"")</f>
        <v>1.35701360355465</v>
      </c>
      <c r="N150" s="23" t="n">
        <f aca="false">'SA Data'!T150</f>
        <v>158.465654407664</v>
      </c>
      <c r="O150" s="24" t="n">
        <f aca="false">(N150/N149-1)*100</f>
        <v>-0.53499410319986</v>
      </c>
      <c r="P150" s="24" t="n">
        <f aca="false">(AVERAGE(N148:N150)/AVERAGE(N145:N147)-1)*100</f>
        <v>-0.241685220694232</v>
      </c>
      <c r="Q150" s="24" t="n">
        <f aca="false">((AVERAGE(N148:N150)/AVERAGE(N145:N147))^4-1)*100</f>
        <v>-0.96324182151315</v>
      </c>
      <c r="R150" s="24" t="n">
        <f aca="false">IFERROR(('SA Data'!X150/'SA Data'!X138-1)*100,"")</f>
        <v>1.84520294828212</v>
      </c>
      <c r="S150" s="24" t="n">
        <f aca="false">IFERROR((AVERAGE('SA Data'!X139:X150)/AVERAGE('SA Data'!X127:X138)-1)*100,"")</f>
        <v>2.67083621903843</v>
      </c>
    </row>
    <row r="151" customFormat="false" ht="15" hidden="false" customHeight="false" outlineLevel="0" collapsed="false">
      <c r="A151" s="20" t="n">
        <v>42400</v>
      </c>
      <c r="B151" s="23" t="n">
        <f aca="false">'SA Data'!R151</f>
        <v>108.556877496499</v>
      </c>
      <c r="C151" s="24" t="n">
        <f aca="false">(B151/B150-1)*100</f>
        <v>-0.140401547005686</v>
      </c>
      <c r="D151" s="24" t="n">
        <f aca="false">(AVERAGE(B149:B151)/AVERAGE(B146:B148)-1)*100</f>
        <v>0.0437039520032378</v>
      </c>
      <c r="E151" s="24" t="n">
        <f aca="false">((AVERAGE(B149:B151)/AVERAGE(B146:B148))^4-1)*100</f>
        <v>0.174930443532273</v>
      </c>
      <c r="F151" s="24" t="n">
        <f aca="false">IFERROR(('SA Data'!V151/'SA Data'!V139-1)*100,"")</f>
        <v>5.54125321768895</v>
      </c>
      <c r="G151" s="24" t="n">
        <f aca="false">IFERROR((AVERAGE('SA Data'!V151:V151)/AVERAGE('SA Data'!V139:V139)-1)*100,"")</f>
        <v>5.54125321768895</v>
      </c>
      <c r="H151" s="23" t="n">
        <f aca="false">'SA Data'!S151</f>
        <v>127.79167269958</v>
      </c>
      <c r="I151" s="24" t="n">
        <f aca="false">(H151/H150-1)*100</f>
        <v>-2.0193156097323</v>
      </c>
      <c r="J151" s="24" t="n">
        <f aca="false">(AVERAGE(H149:H151)/AVERAGE(H146:H148)-1)*100</f>
        <v>-3.1107449002663</v>
      </c>
      <c r="K151" s="24" t="n">
        <f aca="false">((AVERAGE(H149:H151)/AVERAGE(H146:H148))^4-1)*100</f>
        <v>-11.8743226719863</v>
      </c>
      <c r="L151" s="24" t="n">
        <f aca="false">IFERROR(('SA Data'!W151/'SA Data'!W139-1)*100,"")</f>
        <v>-3.65502205633956</v>
      </c>
      <c r="M151" s="24" t="n">
        <f aca="false">IFERROR((AVERAGE('SA Data'!W151:W151)/AVERAGE('SA Data'!W139:W139)-1)*100,"")</f>
        <v>-3.65502205633956</v>
      </c>
      <c r="N151" s="23" t="n">
        <f aca="false">'SA Data'!T151</f>
        <v>157.611461844497</v>
      </c>
      <c r="O151" s="24" t="n">
        <f aca="false">(N151/N150-1)*100</f>
        <v>-0.539039558041188</v>
      </c>
      <c r="P151" s="24" t="n">
        <f aca="false">(AVERAGE(N149:N151)/AVERAGE(N146:N148)-1)*100</f>
        <v>-0.516801318949467</v>
      </c>
      <c r="Q151" s="24" t="n">
        <f aca="false">((AVERAGE(N149:N151)/AVERAGE(N146:N148))^4-1)*100</f>
        <v>-2.05123539993152</v>
      </c>
      <c r="R151" s="24" t="n">
        <f aca="false">IFERROR(('SA Data'!X151/'SA Data'!X139-1)*100,"")</f>
        <v>1.65578488825036</v>
      </c>
      <c r="S151" s="24" t="n">
        <f aca="false">IFERROR((AVERAGE('SA Data'!X151:X151)/AVERAGE('SA Data'!X139:X139)-1)*100,"")</f>
        <v>1.65578488825036</v>
      </c>
    </row>
    <row r="152" customFormat="false" ht="15" hidden="false" customHeight="false" outlineLevel="0" collapsed="false">
      <c r="A152" s="20" t="n">
        <v>42429</v>
      </c>
      <c r="B152" s="23" t="n">
        <f aca="false">'SA Data'!R152</f>
        <v>106.789586935644</v>
      </c>
      <c r="C152" s="24" t="n">
        <f aca="false">(B152/B151-1)*100</f>
        <v>-1.62798580947794</v>
      </c>
      <c r="D152" s="24" t="n">
        <f aca="false">(AVERAGE(B150:B152)/AVERAGE(B147:B149)-1)*100</f>
        <v>-1.91532115551798</v>
      </c>
      <c r="E152" s="24" t="n">
        <f aca="false">((AVERAGE(B150:B152)/AVERAGE(B147:B149))^4-1)*100</f>
        <v>-7.44397436466888</v>
      </c>
      <c r="F152" s="24" t="n">
        <f aca="false">IFERROR(('SA Data'!V152/'SA Data'!V140-1)*100,"")</f>
        <v>0.0225018635226171</v>
      </c>
      <c r="G152" s="24" t="n">
        <f aca="false">IFERROR((AVERAGE('SA Data'!V151:V152)/AVERAGE('SA Data'!V139:V140)-1)*100,"")</f>
        <v>2.58649723517164</v>
      </c>
      <c r="H152" s="23" t="n">
        <f aca="false">'SA Data'!S152</f>
        <v>129.734739507274</v>
      </c>
      <c r="I152" s="24" t="n">
        <f aca="false">(H152/H151-1)*100</f>
        <v>1.52049563688081</v>
      </c>
      <c r="J152" s="24" t="n">
        <f aca="false">(AVERAGE(H150:H152)/AVERAGE(H147:H149)-1)*100</f>
        <v>-2.83327340579925</v>
      </c>
      <c r="K152" s="24" t="n">
        <f aca="false">((AVERAGE(H150:H152)/AVERAGE(H147:H149))^4-1)*100</f>
        <v>-10.860480462771</v>
      </c>
      <c r="L152" s="24" t="n">
        <f aca="false">IFERROR(('SA Data'!W152/'SA Data'!W140-1)*100,"")</f>
        <v>-3.14233666491339</v>
      </c>
      <c r="M152" s="24" t="n">
        <f aca="false">IFERROR((AVERAGE('SA Data'!W151:W152)/AVERAGE('SA Data'!W139:W140)-1)*100,"")</f>
        <v>-3.40033181002871</v>
      </c>
      <c r="N152" s="23" t="n">
        <f aca="false">'SA Data'!T152</f>
        <v>159.298649335425</v>
      </c>
      <c r="O152" s="24" t="n">
        <f aca="false">(N152/N151-1)*100</f>
        <v>1.07047258567512</v>
      </c>
      <c r="P152" s="24" t="n">
        <f aca="false">(AVERAGE(N150:N152)/AVERAGE(N147:N149)-1)*100</f>
        <v>-0.593368945954143</v>
      </c>
      <c r="Q152" s="24" t="n">
        <f aca="false">((AVERAGE(N150:N152)/AVERAGE(N147:N149))^4-1)*100</f>
        <v>-2.35243402441722</v>
      </c>
      <c r="R152" s="24" t="n">
        <f aca="false">IFERROR(('SA Data'!X152/'SA Data'!X140-1)*100,"")</f>
        <v>2.11607333196866</v>
      </c>
      <c r="S152" s="24" t="n">
        <f aca="false">IFERROR((AVERAGE('SA Data'!X151:X152)/AVERAGE('SA Data'!X139:X140)-1)*100,"")</f>
        <v>1.88545613510478</v>
      </c>
    </row>
    <row r="153" customFormat="false" ht="15" hidden="false" customHeight="false" outlineLevel="0" collapsed="false">
      <c r="A153" s="20" t="n">
        <v>42460</v>
      </c>
      <c r="B153" s="23" t="n">
        <f aca="false">'SA Data'!R153</f>
        <v>106.872401646407</v>
      </c>
      <c r="C153" s="24" t="n">
        <f aca="false">(B153/B152-1)*100</f>
        <v>0.077549425126211</v>
      </c>
      <c r="D153" s="24" t="n">
        <f aca="false">(AVERAGE(B151:B153)/AVERAGE(B148:B150)-1)*100</f>
        <v>-2.02600629232951</v>
      </c>
      <c r="E153" s="24" t="n">
        <f aca="false">((AVERAGE(B151:B153)/AVERAGE(B148:B150))^4-1)*100</f>
        <v>-7.86105269137419</v>
      </c>
      <c r="F153" s="24" t="n">
        <f aca="false">IFERROR(('SA Data'!V153/'SA Data'!V141-1)*100,"")</f>
        <v>-5.42412995192201</v>
      </c>
      <c r="G153" s="24" t="n">
        <f aca="false">IFERROR((AVERAGE('SA Data'!V151:V153)/AVERAGE('SA Data'!V139:V141)-1)*100,"")</f>
        <v>-1.60351436489614</v>
      </c>
      <c r="H153" s="23" t="n">
        <f aca="false">'SA Data'!S153</f>
        <v>126.883692586656</v>
      </c>
      <c r="I153" s="24" t="n">
        <f aca="false">(H153/H152-1)*100</f>
        <v>-2.19759713662342</v>
      </c>
      <c r="J153" s="24" t="n">
        <f aca="false">(AVERAGE(H151:H153)/AVERAGE(H148:H150)-1)*100</f>
        <v>-3.01501663298092</v>
      </c>
      <c r="K153" s="24" t="n">
        <f aca="false">((AVERAGE(H151:H153)/AVERAGE(H148:H150))^4-1)*100</f>
        <v>-11.5255273728686</v>
      </c>
      <c r="L153" s="24" t="n">
        <f aca="false">IFERROR(('SA Data'!W153/'SA Data'!W141-1)*100,"")</f>
        <v>-4.38228322316989</v>
      </c>
      <c r="M153" s="24" t="n">
        <f aca="false">IFERROR((AVERAGE('SA Data'!W151:W153)/AVERAGE('SA Data'!W139:W141)-1)*100,"")</f>
        <v>-3.75090082707813</v>
      </c>
      <c r="N153" s="23" t="n">
        <f aca="false">'SA Data'!T153</f>
        <v>159.676787281624</v>
      </c>
      <c r="O153" s="24" t="n">
        <f aca="false">(N153/N152-1)*100</f>
        <v>0.237376743479567</v>
      </c>
      <c r="P153" s="24" t="n">
        <f aca="false">(AVERAGE(N151:N153)/AVERAGE(N148:N150)-1)*100</f>
        <v>-0.157517191990297</v>
      </c>
      <c r="Q153" s="24" t="n">
        <f aca="false">((AVERAGE(N151:N153)/AVERAGE(N148:N150))^4-1)*100</f>
        <v>-0.628581630704783</v>
      </c>
      <c r="R153" s="24" t="n">
        <f aca="false">IFERROR(('SA Data'!X153/'SA Data'!X141-1)*100,"")</f>
        <v>2.55505686491084</v>
      </c>
      <c r="S153" s="24" t="n">
        <f aca="false">IFERROR((AVERAGE('SA Data'!X151:X153)/AVERAGE('SA Data'!X139:X141)-1)*100,"")</f>
        <v>2.11705282570291</v>
      </c>
    </row>
    <row r="154" customFormat="false" ht="15" hidden="false" customHeight="false" outlineLevel="0" collapsed="false">
      <c r="A154" s="20" t="n">
        <v>42490</v>
      </c>
      <c r="B154" s="23" t="n">
        <f aca="false">'SA Data'!R154</f>
        <v>110.336218830081</v>
      </c>
      <c r="C154" s="24" t="n">
        <f aca="false">(B154/B153-1)*100</f>
        <v>3.2410773317648</v>
      </c>
      <c r="D154" s="24" t="n">
        <f aca="false">(AVERAGE(B152:B154)/AVERAGE(B149:B151)-1)*100</f>
        <v>-1.34692100675773</v>
      </c>
      <c r="E154" s="24" t="n">
        <f aca="false">((AVERAGE(B152:B154)/AVERAGE(B149:B151))^4-1)*100</f>
        <v>-5.27980639540437</v>
      </c>
      <c r="F154" s="24" t="n">
        <f aca="false">IFERROR(('SA Data'!V154/'SA Data'!V142-1)*100,"")</f>
        <v>-7.97949904000064</v>
      </c>
      <c r="G154" s="24" t="n">
        <f aca="false">IFERROR((AVERAGE('SA Data'!V151:V154)/AVERAGE('SA Data'!V139:V142)-1)*100,"")</f>
        <v>-4.56714950079052</v>
      </c>
      <c r="H154" s="23" t="n">
        <f aca="false">'SA Data'!S154</f>
        <v>126.748696658494</v>
      </c>
      <c r="I154" s="24" t="n">
        <f aca="false">(H154/H153-1)*100</f>
        <v>-0.106393442222508</v>
      </c>
      <c r="J154" s="24" t="n">
        <f aca="false">(AVERAGE(H152:H154)/AVERAGE(H149:H151)-1)*100</f>
        <v>-1.69638949439008</v>
      </c>
      <c r="K154" s="24" t="n">
        <f aca="false">((AVERAGE(H152:H154)/AVERAGE(H149:H151))^4-1)*100</f>
        <v>-6.61483816252829</v>
      </c>
      <c r="L154" s="24" t="n">
        <f aca="false">IFERROR(('SA Data'!W154/'SA Data'!W142-1)*100,"")</f>
        <v>-8.1253026428888</v>
      </c>
      <c r="M154" s="24" t="n">
        <f aca="false">IFERROR((AVERAGE('SA Data'!W151:W154)/AVERAGE('SA Data'!W139:W142)-1)*100,"")</f>
        <v>-4.90958959049563</v>
      </c>
      <c r="N154" s="23" t="n">
        <f aca="false">'SA Data'!T154</f>
        <v>158.928290852474</v>
      </c>
      <c r="O154" s="24" t="n">
        <f aca="false">(N154/N153-1)*100</f>
        <v>-0.468757195014091</v>
      </c>
      <c r="P154" s="24" t="n">
        <f aca="false">(AVERAGE(N152:N154)/AVERAGE(N149:N151)-1)*100</f>
        <v>0.527690516371071</v>
      </c>
      <c r="Q154" s="24" t="n">
        <f aca="false">((AVERAGE(N152:N154)/AVERAGE(N149:N151))^4-1)*100</f>
        <v>2.1275283555934</v>
      </c>
      <c r="R154" s="24" t="n">
        <f aca="false">IFERROR(('SA Data'!X154/'SA Data'!X142-1)*100,"")</f>
        <v>0.636084829210759</v>
      </c>
      <c r="S154" s="24" t="n">
        <f aca="false">IFERROR((AVERAGE('SA Data'!X151:X154)/AVERAGE('SA Data'!X139:X142)-1)*100,"")</f>
        <v>1.73904701199901</v>
      </c>
    </row>
    <row r="155" customFormat="false" ht="15" hidden="false" customHeight="false" outlineLevel="0" collapsed="false">
      <c r="A155" s="20" t="n">
        <v>42521</v>
      </c>
      <c r="B155" s="23" t="n">
        <f aca="false">'SA Data'!R155</f>
        <v>111.844784350126</v>
      </c>
      <c r="C155" s="24" t="n">
        <f aca="false">(B155/B154-1)*100</f>
        <v>1.36724417062704</v>
      </c>
      <c r="D155" s="24" t="n">
        <f aca="false">(AVERAGE(B153:B155)/AVERAGE(B150:B152)-1)*100</f>
        <v>1.54215120333139</v>
      </c>
      <c r="E155" s="24" t="n">
        <f aca="false">((AVERAGE(B153:B155)/AVERAGE(B150:B152))^4-1)*100</f>
        <v>6.31277132564978</v>
      </c>
      <c r="F155" s="24" t="n">
        <f aca="false">IFERROR(('SA Data'!V155/'SA Data'!V143-1)*100,"")</f>
        <v>-9.98190870556029</v>
      </c>
      <c r="G155" s="24" t="n">
        <f aca="false">IFERROR((AVERAGE('SA Data'!V151:V155)/AVERAGE('SA Data'!V139:V143)-1)*100,"")</f>
        <v>-6.80523866246285</v>
      </c>
      <c r="H155" s="23" t="n">
        <f aca="false">'SA Data'!S155</f>
        <v>124.916152314894</v>
      </c>
      <c r="I155" s="24" t="n">
        <f aca="false">(H155/H154-1)*100</f>
        <v>-1.44580922085374</v>
      </c>
      <c r="J155" s="24" t="n">
        <f aca="false">(AVERAGE(H153:H155)/AVERAGE(H150:H152)-1)*100</f>
        <v>-2.4238175006729</v>
      </c>
      <c r="K155" s="24" t="n">
        <f aca="false">((AVERAGE(H153:H155)/AVERAGE(H150:H152))^4-1)*100</f>
        <v>-9.34843787746626</v>
      </c>
      <c r="L155" s="24" t="n">
        <f aca="false">IFERROR(('SA Data'!W155/'SA Data'!W143-1)*100,"")</f>
        <v>-7.13314764586345</v>
      </c>
      <c r="M155" s="24" t="n">
        <f aca="false">IFERROR((AVERAGE('SA Data'!W151:W155)/AVERAGE('SA Data'!W139:W143)-1)*100,"")</f>
        <v>-5.38185453547228</v>
      </c>
      <c r="N155" s="23" t="n">
        <f aca="false">'SA Data'!T155</f>
        <v>158.148217637061</v>
      </c>
      <c r="O155" s="24" t="n">
        <f aca="false">(N155/N154-1)*100</f>
        <v>-0.4908334515075</v>
      </c>
      <c r="P155" s="24" t="n">
        <f aca="false">(AVERAGE(N153:N155)/AVERAGE(N150:N152)-1)*100</f>
        <v>0.289777115976975</v>
      </c>
      <c r="Q155" s="24" t="n">
        <f aca="false">((AVERAGE(N153:N155)/AVERAGE(N150:N152))^4-1)*100</f>
        <v>1.16415645069945</v>
      </c>
      <c r="R155" s="24" t="n">
        <f aca="false">IFERROR(('SA Data'!X155/'SA Data'!X143-1)*100,"")</f>
        <v>1.10686099383317</v>
      </c>
      <c r="S155" s="24" t="n">
        <f aca="false">IFERROR((AVERAGE('SA Data'!X151:X155)/AVERAGE('SA Data'!X139:X143)-1)*100,"")</f>
        <v>1.60925960892908</v>
      </c>
    </row>
    <row r="156" customFormat="false" ht="15" hidden="false" customHeight="false" outlineLevel="0" collapsed="false">
      <c r="A156" s="20" t="n">
        <v>42551</v>
      </c>
      <c r="B156" s="23" t="n">
        <f aca="false">'SA Data'!R156</f>
        <v>112.351995369376</v>
      </c>
      <c r="C156" s="24" t="n">
        <f aca="false">(B156/B155-1)*100</f>
        <v>0.453495459977549</v>
      </c>
      <c r="D156" s="24" t="n">
        <f aca="false">(AVERAGE(B154:B156)/AVERAGE(B151:B153)-1)*100</f>
        <v>3.82166712362237</v>
      </c>
      <c r="E156" s="24" t="n">
        <f aca="false">((AVERAGE(B154:B156)/AVERAGE(B151:B153))^4-1)*100</f>
        <v>16.1855165735628</v>
      </c>
      <c r="F156" s="24" t="n">
        <f aca="false">IFERROR(('SA Data'!V156/'SA Data'!V144-1)*100,"")</f>
        <v>-8.69565181548351</v>
      </c>
      <c r="G156" s="24" t="n">
        <f aca="false">IFERROR((AVERAGE('SA Data'!V151:V156)/AVERAGE('SA Data'!V139:V144)-1)*100,"")</f>
        <v>-7.21513101320087</v>
      </c>
      <c r="H156" s="23" t="n">
        <f aca="false">'SA Data'!S156</f>
        <v>120.084284804871</v>
      </c>
      <c r="I156" s="24" t="n">
        <f aca="false">(H156/H155-1)*100</f>
        <v>-3.8680886502514</v>
      </c>
      <c r="J156" s="24" t="n">
        <f aca="false">(AVERAGE(H154:H156)/AVERAGE(H151:H153)-1)*100</f>
        <v>-3.29361035450726</v>
      </c>
      <c r="K156" s="24" t="n">
        <f aca="false">((AVERAGE(H154:H156)/AVERAGE(H151:H153))^4-1)*100</f>
        <v>-12.53774305341</v>
      </c>
      <c r="L156" s="24" t="n">
        <f aca="false">IFERROR(('SA Data'!W156/'SA Data'!W144-1)*100,"")</f>
        <v>-13.106808813475</v>
      </c>
      <c r="M156" s="24" t="n">
        <f aca="false">IFERROR((AVERAGE('SA Data'!W151:W156)/AVERAGE('SA Data'!W139:W144)-1)*100,"")</f>
        <v>-6.75524348633515</v>
      </c>
      <c r="N156" s="23" t="n">
        <f aca="false">'SA Data'!T156</f>
        <v>157.551257158239</v>
      </c>
      <c r="O156" s="24" t="n">
        <f aca="false">(N156/N155-1)*100</f>
        <v>-0.3774689893705</v>
      </c>
      <c r="P156" s="24" t="n">
        <f aca="false">(AVERAGE(N154:N156)/AVERAGE(N151:N153)-1)*100</f>
        <v>-0.411075675830863</v>
      </c>
      <c r="Q156" s="24" t="n">
        <f aca="false">((AVERAGE(N154:N156)/AVERAGE(N151:N153))^4-1)*100</f>
        <v>-1.63419146804765</v>
      </c>
      <c r="R156" s="24" t="n">
        <f aca="false">IFERROR(('SA Data'!X156/'SA Data'!X144-1)*100,"")</f>
        <v>-1.62469151791884</v>
      </c>
      <c r="S156" s="24" t="n">
        <f aca="false">IFERROR((AVERAGE('SA Data'!X151:X156)/AVERAGE('SA Data'!X139:X144)-1)*100,"")</f>
        <v>1.04353148955192</v>
      </c>
    </row>
    <row r="157" customFormat="false" ht="15" hidden="false" customHeight="false" outlineLevel="0" collapsed="false">
      <c r="A157" s="20" t="n">
        <v>42582</v>
      </c>
      <c r="B157" s="23" t="n">
        <f aca="false">'SA Data'!R157</f>
        <v>111.381364000137</v>
      </c>
      <c r="C157" s="24" t="n">
        <f aca="false">(B157/B156-1)*100</f>
        <v>-0.86392000965092</v>
      </c>
      <c r="D157" s="24" t="n">
        <f aca="false">(AVERAGE(B155:B157)/AVERAGE(B152:B154)-1)*100</f>
        <v>3.57407419010087</v>
      </c>
      <c r="E157" s="24" t="n">
        <f aca="false">((AVERAGE(B155:B157)/AVERAGE(B152:B154))^4-1)*100</f>
        <v>15.0811624131334</v>
      </c>
      <c r="F157" s="24" t="n">
        <f aca="false">IFERROR(('SA Data'!V157/'SA Data'!V145-1)*100,"")</f>
        <v>-1.5716252426613</v>
      </c>
      <c r="G157" s="24" t="n">
        <f aca="false">IFERROR((AVERAGE('SA Data'!V151:V157)/AVERAGE('SA Data'!V139:V145)-1)*100,"")</f>
        <v>-6.68418645816704</v>
      </c>
      <c r="H157" s="23" t="n">
        <f aca="false">'SA Data'!S157</f>
        <v>121.772023815686</v>
      </c>
      <c r="I157" s="24" t="n">
        <f aca="false">(H157/H156-1)*100</f>
        <v>1.40546201658049</v>
      </c>
      <c r="J157" s="24" t="n">
        <f aca="false">(AVERAGE(H155:H157)/AVERAGE(H152:H154)-1)*100</f>
        <v>-4.32866215498909</v>
      </c>
      <c r="K157" s="24" t="n">
        <f aca="false">((AVERAGE(H155:H157)/AVERAGE(H152:H154))^4-1)*100</f>
        <v>-16.2225015741737</v>
      </c>
      <c r="L157" s="24" t="n">
        <f aca="false">IFERROR(('SA Data'!W157/'SA Data'!W145-1)*100,"")</f>
        <v>-12.0567842436909</v>
      </c>
      <c r="M157" s="24" t="n">
        <f aca="false">IFERROR((AVERAGE('SA Data'!W151:W157)/AVERAGE('SA Data'!W139:W145)-1)*100,"")</f>
        <v>-7.55514073199768</v>
      </c>
      <c r="N157" s="23" t="n">
        <f aca="false">'SA Data'!T157</f>
        <v>157.030675007024</v>
      </c>
      <c r="O157" s="24" t="n">
        <f aca="false">(N157/N156-1)*100</f>
        <v>-0.330420817075638</v>
      </c>
      <c r="P157" s="24" t="n">
        <f aca="false">(AVERAGE(N155:N157)/AVERAGE(N152:N154)-1)*100</f>
        <v>-1.08255645851372</v>
      </c>
      <c r="Q157" s="24" t="n">
        <f aca="false">((AVERAGE(N155:N157)/AVERAGE(N152:N154))^4-1)*100</f>
        <v>-4.26041622298683</v>
      </c>
      <c r="R157" s="24" t="n">
        <f aca="false">IFERROR(('SA Data'!X157/'SA Data'!X145-1)*100,"")</f>
        <v>-2.27950551189475</v>
      </c>
      <c r="S157" s="24" t="n">
        <f aca="false">IFERROR((AVERAGE('SA Data'!X151:X157)/AVERAGE('SA Data'!X139:X145)-1)*100,"")</f>
        <v>0.550819067165453</v>
      </c>
    </row>
    <row r="158" customFormat="false" ht="15" hidden="false" customHeight="false" outlineLevel="0" collapsed="false">
      <c r="A158" s="20" t="n">
        <v>42613</v>
      </c>
      <c r="B158" s="23" t="n">
        <f aca="false">'SA Data'!R158</f>
        <v>110.356130972135</v>
      </c>
      <c r="C158" s="24" t="n">
        <f aca="false">(B158/B157-1)*100</f>
        <v>-0.920470885956159</v>
      </c>
      <c r="D158" s="24" t="n">
        <f aca="false">(AVERAGE(B156:B158)/AVERAGE(B153:B155)-1)*100</f>
        <v>1.53047664639339</v>
      </c>
      <c r="E158" s="24" t="n">
        <f aca="false">((AVERAGE(B156:B158)/AVERAGE(B153:B155))^4-1)*100</f>
        <v>6.26388756828249</v>
      </c>
      <c r="F158" s="24" t="n">
        <f aca="false">IFERROR(('SA Data'!V158/'SA Data'!V146-1)*100,"")</f>
        <v>3.35059583653707</v>
      </c>
      <c r="G158" s="24" t="n">
        <f aca="false">IFERROR((AVERAGE('SA Data'!V151:V158)/AVERAGE('SA Data'!V139:V146)-1)*100,"")</f>
        <v>-6.14339719685163</v>
      </c>
      <c r="H158" s="23" t="n">
        <f aca="false">'SA Data'!S158</f>
        <v>123.657772234113</v>
      </c>
      <c r="I158" s="24" t="n">
        <f aca="false">(H158/H157-1)*100</f>
        <v>1.5485892073879</v>
      </c>
      <c r="J158" s="24" t="n">
        <f aca="false">(AVERAGE(H156:H158)/AVERAGE(H153:H155)-1)*100</f>
        <v>-3.44327325939725</v>
      </c>
      <c r="K158" s="24" t="n">
        <f aca="false">((AVERAGE(H156:H158)/AVERAGE(H153:H155))^4-1)*100</f>
        <v>-13.0779141845933</v>
      </c>
      <c r="L158" s="24" t="n">
        <f aca="false">IFERROR(('SA Data'!W158/'SA Data'!W146-1)*100,"")</f>
        <v>-7.42614186034012</v>
      </c>
      <c r="M158" s="24" t="n">
        <f aca="false">IFERROR((AVERAGE('SA Data'!W151:W158)/AVERAGE('SA Data'!W139:W146)-1)*100,"")</f>
        <v>-7.53816317014971</v>
      </c>
      <c r="N158" s="23" t="n">
        <f aca="false">'SA Data'!T158</f>
        <v>158.910616008054</v>
      </c>
      <c r="O158" s="24" t="n">
        <f aca="false">(N158/N157-1)*100</f>
        <v>1.19718074251804</v>
      </c>
      <c r="P158" s="24" t="n">
        <f aca="false">(AVERAGE(N156:N158)/AVERAGE(N153:N155)-1)*100</f>
        <v>-0.683948622225716</v>
      </c>
      <c r="Q158" s="24" t="n">
        <f aca="false">((AVERAGE(N156:N158)/AVERAGE(N153:N155))^4-1)*100</f>
        <v>-2.7078551035676</v>
      </c>
      <c r="R158" s="24" t="n">
        <f aca="false">IFERROR(('SA Data'!X158/'SA Data'!X146-1)*100,"")</f>
        <v>0.0742656220985793</v>
      </c>
      <c r="S158" s="24" t="n">
        <f aca="false">IFERROR((AVERAGE('SA Data'!X151:X158)/AVERAGE('SA Data'!X139:X146)-1)*100,"")</f>
        <v>0.490081889913285</v>
      </c>
    </row>
    <row r="159" customFormat="false" ht="15" hidden="false" customHeight="false" outlineLevel="0" collapsed="false">
      <c r="A159" s="20" t="n">
        <v>42643</v>
      </c>
      <c r="B159" s="23" t="n">
        <f aca="false">'SA Data'!R159</f>
        <v>107.145335283516</v>
      </c>
      <c r="C159" s="24" t="n">
        <f aca="false">(B159/B158-1)*100</f>
        <v>-2.90948555402903</v>
      </c>
      <c r="D159" s="24" t="n">
        <f aca="false">(AVERAGE(B157:B159)/AVERAGE(B154:B156)-1)*100</f>
        <v>-1.688971885671</v>
      </c>
      <c r="E159" s="24" t="n">
        <f aca="false">((AVERAGE(B157:B159)/AVERAGE(B154:B156))^4-1)*100</f>
        <v>-6.5866490454399</v>
      </c>
      <c r="F159" s="24" t="n">
        <f aca="false">IFERROR(('SA Data'!V159/'SA Data'!V147-1)*100,"")</f>
        <v>-4.08375452420082</v>
      </c>
      <c r="G159" s="24" t="n">
        <f aca="false">IFERROR((AVERAGE('SA Data'!V151:V159)/AVERAGE('SA Data'!V139:V147)-1)*100,"")</f>
        <v>-6.04413833219639</v>
      </c>
      <c r="H159" s="23" t="n">
        <f aca="false">'SA Data'!S159</f>
        <v>125.906765331913</v>
      </c>
      <c r="I159" s="24" t="n">
        <f aca="false">(H159/H158-1)*100</f>
        <v>1.81872360885014</v>
      </c>
      <c r="J159" s="24" t="n">
        <f aca="false">(AVERAGE(H157:H159)/AVERAGE(H154:H156)-1)*100</f>
        <v>-0.110981400912524</v>
      </c>
      <c r="K159" s="24" t="n">
        <f aca="false">((AVERAGE(H157:H159)/AVERAGE(H154:H156))^4-1)*100</f>
        <v>-0.443187137994938</v>
      </c>
      <c r="L159" s="24" t="n">
        <f aca="false">IFERROR(('SA Data'!W159/'SA Data'!W147-1)*100,"")</f>
        <v>-5.83814240844572</v>
      </c>
      <c r="M159" s="24" t="n">
        <f aca="false">IFERROR((AVERAGE('SA Data'!W151:W159)/AVERAGE('SA Data'!W139:W147)-1)*100,"")</f>
        <v>-7.34323930750436</v>
      </c>
      <c r="N159" s="23" t="n">
        <f aca="false">'SA Data'!T159</f>
        <v>159.104734812618</v>
      </c>
      <c r="O159" s="24" t="n">
        <f aca="false">(N159/N158-1)*100</f>
        <v>0.122155970092197</v>
      </c>
      <c r="P159" s="24" t="n">
        <f aca="false">(AVERAGE(N157:N159)/AVERAGE(N154:N156)-1)*100</f>
        <v>0.0881238330738832</v>
      </c>
      <c r="Q159" s="24" t="n">
        <f aca="false">((AVERAGE(N157:N159)/AVERAGE(N154:N156))^4-1)*100</f>
        <v>0.352961554694353</v>
      </c>
      <c r="R159" s="24" t="n">
        <f aca="false">IFERROR(('SA Data'!X159/'SA Data'!X147-1)*100,"")</f>
        <v>-0.731899600042008</v>
      </c>
      <c r="S159" s="24" t="n">
        <f aca="false">IFERROR((AVERAGE('SA Data'!X151:X159)/AVERAGE('SA Data'!X139:X147)-1)*100,"")</f>
        <v>0.352545415881456</v>
      </c>
    </row>
    <row r="160" customFormat="false" ht="15" hidden="false" customHeight="false" outlineLevel="0" collapsed="false">
      <c r="A160" s="20" t="n">
        <v>42674</v>
      </c>
      <c r="B160" s="23" t="n">
        <f aca="false">'SA Data'!R160</f>
        <v>108.145145596999</v>
      </c>
      <c r="C160" s="24" t="n">
        <f aca="false">(B160/B159-1)*100</f>
        <v>0.93313470981975</v>
      </c>
      <c r="D160" s="24" t="n">
        <f aca="false">(AVERAGE(B158:B160)/AVERAGE(B155:B157)-1)*100</f>
        <v>-2.95952881701572</v>
      </c>
      <c r="E160" s="24" t="n">
        <f aca="false">((AVERAGE(B158:B160)/AVERAGE(B155:B157))^4-1)*100</f>
        <v>-11.3228786833795</v>
      </c>
      <c r="F160" s="24" t="n">
        <f aca="false">IFERROR(('SA Data'!V160/'SA Data'!V148-1)*100,"")</f>
        <v>1.43851754291242</v>
      </c>
      <c r="G160" s="24" t="n">
        <f aca="false">IFERROR((AVERAGE('SA Data'!V151:V160)/AVERAGE('SA Data'!V139:V148)-1)*100,"")</f>
        <v>-5.6736239222957</v>
      </c>
      <c r="H160" s="23" t="n">
        <f aca="false">'SA Data'!S160</f>
        <v>121.978511241846</v>
      </c>
      <c r="I160" s="24" t="n">
        <f aca="false">(H160/H159-1)*100</f>
        <v>-3.11997062247767</v>
      </c>
      <c r="J160" s="24" t="n">
        <f aca="false">(AVERAGE(H158:H160)/AVERAGE(H155:H157)-1)*100</f>
        <v>1.30069413070273</v>
      </c>
      <c r="K160" s="24" t="n">
        <f aca="false">((AVERAGE(H158:H160)/AVERAGE(H155:H157))^4-1)*100</f>
        <v>5.30516790676332</v>
      </c>
      <c r="L160" s="24" t="n">
        <f aca="false">IFERROR(('SA Data'!W160/'SA Data'!W148-1)*100,"")</f>
        <v>-9.17848807381445</v>
      </c>
      <c r="M160" s="24" t="n">
        <f aca="false">IFERROR((AVERAGE('SA Data'!W151:W160)/AVERAGE('SA Data'!W139:W148)-1)*100,"")</f>
        <v>-7.53471237862555</v>
      </c>
      <c r="N160" s="23" t="n">
        <f aca="false">'SA Data'!T160</f>
        <v>157.964775044433</v>
      </c>
      <c r="O160" s="24" t="n">
        <f aca="false">(N160/N159-1)*100</f>
        <v>-0.716483874303275</v>
      </c>
      <c r="P160" s="24" t="n">
        <f aca="false">(AVERAGE(N158:N160)/AVERAGE(N155:N157)-1)*100</f>
        <v>0.687490752206066</v>
      </c>
      <c r="Q160" s="24" t="n">
        <f aca="false">((AVERAGE(N158:N160)/AVERAGE(N155:N157))^4-1)*100</f>
        <v>2.77845181950189</v>
      </c>
      <c r="R160" s="24" t="n">
        <f aca="false">IFERROR(('SA Data'!X160/'SA Data'!X148-1)*100,"")</f>
        <v>-1.33152208902158</v>
      </c>
      <c r="S160" s="24" t="n">
        <f aca="false">IFERROR((AVERAGE('SA Data'!X151:X160)/AVERAGE('SA Data'!X139:X148)-1)*100,"")</f>
        <v>0.181186514628506</v>
      </c>
    </row>
    <row r="161" customFormat="false" ht="15" hidden="false" customHeight="false" outlineLevel="0" collapsed="false">
      <c r="A161" s="20" t="n">
        <v>42704</v>
      </c>
      <c r="B161" s="23" t="n">
        <f aca="false">'SA Data'!R161</f>
        <v>109.901477681292</v>
      </c>
      <c r="C161" s="24" t="n">
        <f aca="false">(B161/B160-1)*100</f>
        <v>1.62405078341514</v>
      </c>
      <c r="D161" s="24" t="n">
        <f aca="false">(AVERAGE(B159:B161)/AVERAGE(B156:B158)-1)*100</f>
        <v>-2.66321810085749</v>
      </c>
      <c r="E161" s="24" t="n">
        <f aca="false">((AVERAGE(B159:B161)/AVERAGE(B156:B158))^4-1)*100</f>
        <v>-10.2348140529013</v>
      </c>
      <c r="F161" s="24" t="n">
        <f aca="false">IFERROR(('SA Data'!V161/'SA Data'!V149-1)*100,"")</f>
        <v>-0.618062553788323</v>
      </c>
      <c r="G161" s="24" t="n">
        <f aca="false">IFERROR((AVERAGE('SA Data'!V151:V161)/AVERAGE('SA Data'!V139:V149)-1)*100,"")</f>
        <v>-5.38528244996498</v>
      </c>
      <c r="H161" s="23" t="n">
        <f aca="false">'SA Data'!S161</f>
        <v>125.352995655621</v>
      </c>
      <c r="I161" s="24" t="n">
        <f aca="false">(H161/H160-1)*100</f>
        <v>2.76645810759604</v>
      </c>
      <c r="J161" s="24" t="n">
        <f aca="false">(AVERAGE(H159:H161)/AVERAGE(H156:H158)-1)*100</f>
        <v>2.11324044114753</v>
      </c>
      <c r="K161" s="24" t="n">
        <f aca="false">((AVERAGE(H159:H161)/AVERAGE(H156:H158))^4-1)*100</f>
        <v>8.72470372867575</v>
      </c>
      <c r="L161" s="24" t="n">
        <f aca="false">IFERROR(('SA Data'!W161/'SA Data'!W149-1)*100,"")</f>
        <v>-4.167158978792</v>
      </c>
      <c r="M161" s="24" t="n">
        <f aca="false">IFERROR((AVERAGE('SA Data'!W151:W161)/AVERAGE('SA Data'!W139:W149)-1)*100,"")</f>
        <v>-7.22430280615295</v>
      </c>
      <c r="N161" s="23" t="n">
        <f aca="false">'SA Data'!T161</f>
        <v>159.802559879609</v>
      </c>
      <c r="O161" s="24" t="n">
        <f aca="false">(N161/N160-1)*100</f>
        <v>1.16341433377152</v>
      </c>
      <c r="P161" s="24" t="n">
        <f aca="false">(AVERAGE(N159:N161)/AVERAGE(N156:N158)-1)*100</f>
        <v>0.713743347467966</v>
      </c>
      <c r="Q161" s="24" t="n">
        <f aca="false">((AVERAGE(N159:N161)/AVERAGE(N156:N158))^4-1)*100</f>
        <v>2.88568486413914</v>
      </c>
      <c r="R161" s="24" t="n">
        <f aca="false">IFERROR(('SA Data'!X161/'SA Data'!X149-1)*100,"")</f>
        <v>0.552138747198083</v>
      </c>
      <c r="S161" s="24" t="n">
        <f aca="false">IFERROR((AVERAGE('SA Data'!X151:X161)/AVERAGE('SA Data'!X139:X149)-1)*100,"")</f>
        <v>0.215345910371823</v>
      </c>
    </row>
    <row r="162" customFormat="false" ht="15" hidden="false" customHeight="false" outlineLevel="0" collapsed="false">
      <c r="A162" s="20" t="n">
        <v>42735</v>
      </c>
      <c r="B162" s="23" t="n">
        <f aca="false">'SA Data'!R162</f>
        <v>110.394280464381</v>
      </c>
      <c r="C162" s="24" t="n">
        <f aca="false">(B162/B161-1)*100</f>
        <v>0.448404146592263</v>
      </c>
      <c r="D162" s="24" t="n">
        <f aca="false">(AVERAGE(B160:B162)/AVERAGE(B157:B159)-1)*100</f>
        <v>-0.134372023243634</v>
      </c>
      <c r="E162" s="24" t="n">
        <f aca="false">((AVERAGE(B160:B162)/AVERAGE(B157:B159))^4-1)*100</f>
        <v>-0.536405712690624</v>
      </c>
      <c r="F162" s="24" t="n">
        <f aca="false">IFERROR(('SA Data'!V162/'SA Data'!V150-1)*100,"")</f>
        <v>4.40375686463577</v>
      </c>
      <c r="G162" s="24" t="n">
        <f aca="false">IFERROR((AVERAGE('SA Data'!V151:V162)/AVERAGE('SA Data'!V139:V150)-1)*100,"")</f>
        <v>-4.84382377138655</v>
      </c>
      <c r="H162" s="23" t="n">
        <f aca="false">'SA Data'!S162</f>
        <v>126.634611097483</v>
      </c>
      <c r="I162" s="24" t="n">
        <f aca="false">(H162/H161-1)*100</f>
        <v>1.02240511697309</v>
      </c>
      <c r="J162" s="24" t="n">
        <f aca="false">(AVERAGE(H160:H162)/AVERAGE(H157:H159)-1)*100</f>
        <v>0.708132967961039</v>
      </c>
      <c r="K162" s="24" t="n">
        <f aca="false">((AVERAGE(H160:H162)/AVERAGE(H157:H159))^4-1)*100</f>
        <v>2.86276129927965</v>
      </c>
      <c r="L162" s="24" t="n">
        <f aca="false">IFERROR(('SA Data'!W162/'SA Data'!W150-1)*100,"")</f>
        <v>-3.19432861427401</v>
      </c>
      <c r="M162" s="24" t="n">
        <f aca="false">IFERROR((AVERAGE('SA Data'!W151:W162)/AVERAGE('SA Data'!W139:W150)-1)*100,"")</f>
        <v>-6.90138012609786</v>
      </c>
      <c r="N162" s="23" t="n">
        <f aca="false">'SA Data'!T162</f>
        <v>160.984193496154</v>
      </c>
      <c r="O162" s="24" t="n">
        <f aca="false">(N162/N161-1)*100</f>
        <v>0.739433471800743</v>
      </c>
      <c r="P162" s="24" t="n">
        <f aca="false">(AVERAGE(N160:N162)/AVERAGE(N157:N159)-1)*100</f>
        <v>0.78003022676465</v>
      </c>
      <c r="Q162" s="24" t="n">
        <f aca="false">((AVERAGE(N160:N162)/AVERAGE(N157:N159))^4-1)*100</f>
        <v>3.15681794941534</v>
      </c>
      <c r="R162" s="24" t="n">
        <f aca="false">IFERROR(('SA Data'!X162/'SA Data'!X150-1)*100,"")</f>
        <v>1.41046113639964</v>
      </c>
      <c r="S162" s="24" t="n">
        <f aca="false">IFERROR((AVERAGE('SA Data'!X151:X162)/AVERAGE('SA Data'!X139:X150)-1)*100,"")</f>
        <v>0.314019680206945</v>
      </c>
    </row>
    <row r="163" customFormat="false" ht="15" hidden="false" customHeight="false" outlineLevel="0" collapsed="false">
      <c r="A163" s="20" t="n">
        <v>42766</v>
      </c>
      <c r="B163" s="23" t="n">
        <f aca="false">'SA Data'!R163</f>
        <v>110.287352203804</v>
      </c>
      <c r="C163" s="24" t="n">
        <f aca="false">(B163/B162-1)*100</f>
        <v>-0.0968603265742107</v>
      </c>
      <c r="D163" s="24" t="n">
        <f aca="false">(AVERAGE(B161:B163)/AVERAGE(B158:B160)-1)*100</f>
        <v>1.51590660463012</v>
      </c>
      <c r="E163" s="24" t="n">
        <f aca="false">((AVERAGE(B161:B163)/AVERAGE(B158:B160))^4-1)*100</f>
        <v>6.20290347411583</v>
      </c>
      <c r="F163" s="24" t="n">
        <f aca="false">IFERROR(('SA Data'!V163/'SA Data'!V151-1)*100,"")</f>
        <v>4.42706947328004</v>
      </c>
      <c r="G163" s="24" t="n">
        <f aca="false">IFERROR((AVERAGE('SA Data'!V163:V163)/AVERAGE('SA Data'!V151:V151)-1)*100,"")</f>
        <v>4.42706947328004</v>
      </c>
      <c r="H163" s="23" t="n">
        <f aca="false">'SA Data'!S163</f>
        <v>126.129896926639</v>
      </c>
      <c r="I163" s="24" t="n">
        <f aca="false">(H163/H162-1)*100</f>
        <v>-0.398559419473976</v>
      </c>
      <c r="J163" s="24" t="n">
        <f aca="false">(AVERAGE(H161:H163)/AVERAGE(H158:H160)-1)*100</f>
        <v>1.76950016773707</v>
      </c>
      <c r="K163" s="24" t="n">
        <f aca="false">((AVERAGE(H161:H163)/AVERAGE(H158:H160))^4-1)*100</f>
        <v>7.26809454016713</v>
      </c>
      <c r="L163" s="24" t="n">
        <f aca="false">IFERROR(('SA Data'!W163/'SA Data'!W151-1)*100,"")</f>
        <v>-1.14183676841811</v>
      </c>
      <c r="M163" s="24" t="n">
        <f aca="false">IFERROR((AVERAGE('SA Data'!W163:W163)/AVERAGE('SA Data'!W151:W151)-1)*100,"")</f>
        <v>-1.14183676841811</v>
      </c>
      <c r="N163" s="23" t="n">
        <f aca="false">'SA Data'!T163</f>
        <v>160.265025976958</v>
      </c>
      <c r="O163" s="24" t="n">
        <f aca="false">(N163/N162-1)*100</f>
        <v>-0.446731758924268</v>
      </c>
      <c r="P163" s="24" t="n">
        <f aca="false">(AVERAGE(N161:N163)/AVERAGE(N158:N160)-1)*100</f>
        <v>1.06551790968146</v>
      </c>
      <c r="Q163" s="24" t="n">
        <f aca="false">((AVERAGE(N161:N163)/AVERAGE(N158:N160))^4-1)*100</f>
        <v>4.33067651775174</v>
      </c>
      <c r="R163" s="24" t="n">
        <f aca="false">IFERROR(('SA Data'!X163/'SA Data'!X151-1)*100,"")</f>
        <v>1.98344284208782</v>
      </c>
      <c r="S163" s="24" t="n">
        <f aca="false">IFERROR((AVERAGE('SA Data'!X163:X163)/AVERAGE('SA Data'!X151:X151)-1)*100,"")</f>
        <v>1.98344284208782</v>
      </c>
    </row>
    <row r="164" customFormat="false" ht="15" hidden="false" customHeight="false" outlineLevel="0" collapsed="false">
      <c r="A164" s="20" t="n">
        <v>42794</v>
      </c>
      <c r="B164" s="23" t="n">
        <f aca="false">'SA Data'!R164</f>
        <v>112.486505100505</v>
      </c>
      <c r="C164" s="24" t="n">
        <f aca="false">(B164/B163-1)*100</f>
        <v>1.99402093962424</v>
      </c>
      <c r="D164" s="24" t="n">
        <f aca="false">(AVERAGE(B162:B164)/AVERAGE(B159:B161)-1)*100</f>
        <v>2.45276028415951</v>
      </c>
      <c r="E164" s="24" t="n">
        <f aca="false">((AVERAGE(B162:B164)/AVERAGE(B159:B161))^4-1)*100</f>
        <v>10.1779416647198</v>
      </c>
      <c r="F164" s="24" t="n">
        <f aca="false">IFERROR(('SA Data'!V164/'SA Data'!V152-1)*100,"")</f>
        <v>8.12821974867701</v>
      </c>
      <c r="G164" s="24" t="n">
        <f aca="false">IFERROR((AVERAGE('SA Data'!V163:V164)/AVERAGE('SA Data'!V151:V152)-1)*100,"")</f>
        <v>6.35914911349043</v>
      </c>
      <c r="H164" s="23" t="n">
        <f aca="false">'SA Data'!S164</f>
        <v>123.395358257946</v>
      </c>
      <c r="I164" s="24" t="n">
        <f aca="false">(H164/H163-1)*100</f>
        <v>-2.16803369805624</v>
      </c>
      <c r="J164" s="24" t="n">
        <f aca="false">(AVERAGE(H162:H164)/AVERAGE(H159:H161)-1)*100</f>
        <v>0.782769150451323</v>
      </c>
      <c r="K164" s="24" t="n">
        <f aca="false">((AVERAGE(H162:H164)/AVERAGE(H159:H161))^4-1)*100</f>
        <v>3.16803247950153</v>
      </c>
      <c r="L164" s="24" t="n">
        <f aca="false">IFERROR(('SA Data'!W164/'SA Data'!W152-1)*100,"")</f>
        <v>-5.1888615715174</v>
      </c>
      <c r="M164" s="24" t="n">
        <f aca="false">IFERROR((AVERAGE('SA Data'!W163:W164)/AVERAGE('SA Data'!W151:W152)-1)*100,"")</f>
        <v>-3.15767459199035</v>
      </c>
      <c r="N164" s="23" t="n">
        <f aca="false">'SA Data'!T164</f>
        <v>159.510212492737</v>
      </c>
      <c r="O164" s="24" t="n">
        <f aca="false">(N164/N163-1)*100</f>
        <v>-0.470978293373603</v>
      </c>
      <c r="P164" s="24" t="n">
        <f aca="false">(AVERAGE(N162:N164)/AVERAGE(N159:N161)-1)*100</f>
        <v>0.815179264186305</v>
      </c>
      <c r="Q164" s="24" t="n">
        <f aca="false">((AVERAGE(N162:N164)/AVERAGE(N159:N161))^4-1)*100</f>
        <v>3.30080521256146</v>
      </c>
      <c r="R164" s="24" t="n">
        <f aca="false">IFERROR(('SA Data'!X164/'SA Data'!X152-1)*100,"")</f>
        <v>0.320597960254321</v>
      </c>
      <c r="S164" s="24" t="n">
        <f aca="false">IFERROR((AVERAGE('SA Data'!X163:X164)/AVERAGE('SA Data'!X151:X152)-1)*100,"")</f>
        <v>1.1518510249477</v>
      </c>
    </row>
    <row r="165" customFormat="false" ht="15" hidden="false" customHeight="false" outlineLevel="0" collapsed="false">
      <c r="A165" s="20" t="n">
        <v>42825</v>
      </c>
      <c r="B165" s="23" t="n">
        <f aca="false">'SA Data'!R165</f>
        <v>109.116054072847</v>
      </c>
      <c r="C165" s="24" t="n">
        <f aca="false">(B165/B164-1)*100</f>
        <v>-2.99631589109006</v>
      </c>
      <c r="D165" s="24" t="n">
        <f aca="false">(AVERAGE(B163:B165)/AVERAGE(B160:B162)-1)*100</f>
        <v>1.05011513340205</v>
      </c>
      <c r="E165" s="24" t="n">
        <f aca="false">((AVERAGE(B163:B165)/AVERAGE(B160:B162))^4-1)*100</f>
        <v>4.26708945958987</v>
      </c>
      <c r="F165" s="24" t="n">
        <f aca="false">IFERROR(('SA Data'!V165/'SA Data'!V153-1)*100,"")</f>
        <v>4.20506504617852</v>
      </c>
      <c r="G165" s="24" t="n">
        <f aca="false">IFERROR((AVERAGE('SA Data'!V163:V165)/AVERAGE('SA Data'!V151:V153)-1)*100,"")</f>
        <v>5.27618987246996</v>
      </c>
      <c r="H165" s="23" t="n">
        <f aca="false">'SA Data'!S165</f>
        <v>128.349096820239</v>
      </c>
      <c r="I165" s="24" t="n">
        <f aca="false">(H165/H164-1)*100</f>
        <v>4.01452585593796</v>
      </c>
      <c r="J165" s="24" t="n">
        <f aca="false">(AVERAGE(H163:H165)/AVERAGE(H160:H162)-1)*100</f>
        <v>1.04507703286867</v>
      </c>
      <c r="K165" s="24" t="n">
        <f aca="false">((AVERAGE(H163:H165)/AVERAGE(H160:H162))^4-1)*100</f>
        <v>4.24629705202635</v>
      </c>
      <c r="L165" s="24" t="n">
        <f aca="false">IFERROR(('SA Data'!W165/'SA Data'!W153-1)*100,"")</f>
        <v>1.43459206553624</v>
      </c>
      <c r="M165" s="24" t="n">
        <f aca="false">IFERROR((AVERAGE('SA Data'!W163:W165)/AVERAGE('SA Data'!W151:W153)-1)*100,"")</f>
        <v>-1.52893248079825</v>
      </c>
      <c r="N165" s="23" t="n">
        <f aca="false">'SA Data'!T165</f>
        <v>161.959109009929</v>
      </c>
      <c r="O165" s="24" t="n">
        <f aca="false">(N165/N164-1)*100</f>
        <v>1.53526001810278</v>
      </c>
      <c r="P165" s="24" t="n">
        <f aca="false">(AVERAGE(N163:N165)/AVERAGE(N160:N162)-1)*100</f>
        <v>0.623041156499626</v>
      </c>
      <c r="Q165" s="24" t="n">
        <f aca="false">((AVERAGE(N163:N165)/AVERAGE(N160:N162))^4-1)*100</f>
        <v>2.51555233456089</v>
      </c>
      <c r="R165" s="24" t="n">
        <f aca="false">IFERROR(('SA Data'!X165/'SA Data'!X153-1)*100,"")</f>
        <v>1.7713995114218</v>
      </c>
      <c r="S165" s="24" t="n">
        <f aca="false">IFERROR((AVERAGE('SA Data'!X163:X165)/AVERAGE('SA Data'!X151:X153)-1)*100,"")</f>
        <v>1.36705512379538</v>
      </c>
    </row>
    <row r="166" customFormat="false" ht="15" hidden="false" customHeight="false" outlineLevel="0" collapsed="false">
      <c r="A166" s="20" t="n">
        <v>42855</v>
      </c>
      <c r="B166" s="23" t="n">
        <f aca="false">'SA Data'!R166</f>
        <v>119.752380915273</v>
      </c>
      <c r="C166" s="24" t="n">
        <f aca="false">(B166/B165-1)*100</f>
        <v>9.74771946511657</v>
      </c>
      <c r="D166" s="24" t="n">
        <f aca="false">(AVERAGE(B164:B166)/AVERAGE(B161:B163)-1)*100</f>
        <v>3.25843317517338</v>
      </c>
      <c r="E166" s="24" t="n">
        <f aca="false">((AVERAGE(B164:B166)/AVERAGE(B161:B163))^4-1)*100</f>
        <v>13.6847270531165</v>
      </c>
      <c r="F166" s="24" t="n">
        <f aca="false">IFERROR(('SA Data'!V166/'SA Data'!V154-1)*100,"")</f>
        <v>4.45701698386956</v>
      </c>
      <c r="G166" s="24" t="n">
        <f aca="false">IFERROR((AVERAGE('SA Data'!V163:V166)/AVERAGE('SA Data'!V151:V154)-1)*100,"")</f>
        <v>4.90904308027189</v>
      </c>
      <c r="H166" s="23" t="n">
        <f aca="false">'SA Data'!S166</f>
        <v>124.029319376089</v>
      </c>
      <c r="I166" s="24" t="n">
        <f aca="false">(H166/H165-1)*100</f>
        <v>-3.36564693571636</v>
      </c>
      <c r="J166" s="24" t="n">
        <f aca="false">(AVERAGE(H164:H166)/AVERAGE(H161:H163)-1)*100</f>
        <v>-0.61984150499782</v>
      </c>
      <c r="K166" s="24" t="n">
        <f aca="false">((AVERAGE(H164:H166)/AVERAGE(H161:H163))^4-1)*100</f>
        <v>-2.45640892100799</v>
      </c>
      <c r="L166" s="24" t="n">
        <f aca="false">IFERROR(('SA Data'!W166/'SA Data'!W154-1)*100,"")</f>
        <v>-3.10081504487282</v>
      </c>
      <c r="M166" s="24" t="n">
        <f aca="false">IFERROR((AVERAGE('SA Data'!W163:W166)/AVERAGE('SA Data'!W151:W154)-1)*100,"")</f>
        <v>-1.93121153322371</v>
      </c>
      <c r="N166" s="23" t="n">
        <f aca="false">'SA Data'!T166</f>
        <v>159.837682519369</v>
      </c>
      <c r="O166" s="24" t="n">
        <f aca="false">(N166/N165-1)*100</f>
        <v>-1.30985314968002</v>
      </c>
      <c r="P166" s="24" t="n">
        <f aca="false">(AVERAGE(N164:N166)/AVERAGE(N161:N163)-1)*100</f>
        <v>0.0530555504143493</v>
      </c>
      <c r="Q166" s="24" t="n">
        <f aca="false">((AVERAGE(N164:N166)/AVERAGE(N161:N163))^4-1)*100</f>
        <v>0.212391154889358</v>
      </c>
      <c r="R166" s="24" t="n">
        <f aca="false">IFERROR(('SA Data'!X166/'SA Data'!X154-1)*100,"")</f>
        <v>0.45819433698775</v>
      </c>
      <c r="S166" s="24" t="n">
        <f aca="false">IFERROR((AVERAGE('SA Data'!X163:X166)/AVERAGE('SA Data'!X151:X154)-1)*100,"")</f>
        <v>1.13759023663806</v>
      </c>
    </row>
    <row r="167" customFormat="false" ht="15" hidden="false" customHeight="false" outlineLevel="0" collapsed="false">
      <c r="A167" s="20" t="n">
        <v>42886</v>
      </c>
      <c r="B167" s="23" t="n">
        <f aca="false">'SA Data'!R167</f>
        <v>119.310785319808</v>
      </c>
      <c r="C167" s="24" t="n">
        <f aca="false">(B167/B166-1)*100</f>
        <v>-0.3687572573424</v>
      </c>
      <c r="D167" s="24" t="n">
        <f aca="false">(AVERAGE(B165:B167)/AVERAGE(B162:B164)-1)*100</f>
        <v>4.50555765619418</v>
      </c>
      <c r="E167" s="24" t="n">
        <f aca="false">((AVERAGE(B165:B167)/AVERAGE(B162:B164))^4-1)*100</f>
        <v>19.2772309223026</v>
      </c>
      <c r="F167" s="24" t="n">
        <f aca="false">IFERROR(('SA Data'!V167/'SA Data'!V155-1)*100,"")</f>
        <v>0.26602322196112</v>
      </c>
      <c r="G167" s="24" t="n">
        <f aca="false">IFERROR((AVERAGE('SA Data'!V163:V167)/AVERAGE('SA Data'!V151:V155)-1)*100,"")</f>
        <v>3.05535321024801</v>
      </c>
      <c r="H167" s="23" t="n">
        <f aca="false">'SA Data'!S167</f>
        <v>127.814435187069</v>
      </c>
      <c r="I167" s="24" t="n">
        <f aca="false">(H167/H166-1)*100</f>
        <v>3.05179116520262</v>
      </c>
      <c r="J167" s="24" t="n">
        <f aca="false">(AVERAGE(H165:H167)/AVERAGE(H162:H164)-1)*100</f>
        <v>1.07214656927388</v>
      </c>
      <c r="K167" s="24" t="n">
        <f aca="false">((AVERAGE(H165:H167)/AVERAGE(H162:H164))^4-1)*100</f>
        <v>4.35805046665103</v>
      </c>
      <c r="L167" s="24" t="n">
        <f aca="false">IFERROR(('SA Data'!W167/'SA Data'!W155-1)*100,"")</f>
        <v>2.50540421993919</v>
      </c>
      <c r="M167" s="24" t="n">
        <f aca="false">IFERROR((AVERAGE('SA Data'!W163:W167)/AVERAGE('SA Data'!W151:W155)-1)*100,"")</f>
        <v>-1.00635291402265</v>
      </c>
      <c r="N167" s="23" t="n">
        <f aca="false">'SA Data'!T167</f>
        <v>162.212357534406</v>
      </c>
      <c r="O167" s="24" t="n">
        <f aca="false">(N167/N166-1)*100</f>
        <v>1.48567908243369</v>
      </c>
      <c r="P167" s="24" t="n">
        <f aca="false">(AVERAGE(N165:N167)/AVERAGE(N162:N164)-1)*100</f>
        <v>0.675954933336609</v>
      </c>
      <c r="Q167" s="24" t="n">
        <f aca="false">((AVERAGE(N165:N167)/AVERAGE(N162:N164))^4-1)*100</f>
        <v>2.73135838803074</v>
      </c>
      <c r="R167" s="24" t="n">
        <f aca="false">IFERROR(('SA Data'!X167/'SA Data'!X155-1)*100,"")</f>
        <v>2.86386965784837</v>
      </c>
      <c r="S167" s="24" t="n">
        <f aca="false">IFERROR((AVERAGE('SA Data'!X163:X167)/AVERAGE('SA Data'!X151:X155)-1)*100,"")</f>
        <v>1.49024202459558</v>
      </c>
    </row>
    <row r="168" customFormat="false" ht="15" hidden="false" customHeight="false" outlineLevel="0" collapsed="false">
      <c r="A168" s="20" t="n">
        <v>42916</v>
      </c>
      <c r="B168" s="23" t="n">
        <f aca="false">'SA Data'!R168</f>
        <v>122.032925964256</v>
      </c>
      <c r="C168" s="24" t="n">
        <f aca="false">(B168/B167-1)*100</f>
        <v>2.28155454442041</v>
      </c>
      <c r="D168" s="24" t="n">
        <f aca="false">(AVERAGE(B166:B168)/AVERAGE(B163:B165)-1)*100</f>
        <v>8.79996041488285</v>
      </c>
      <c r="E168" s="24" t="n">
        <f aca="false">((AVERAGE(B166:B168)/AVERAGE(B163:B165))^4-1)*100</f>
        <v>40.1247818248886</v>
      </c>
      <c r="F168" s="24" t="n">
        <f aca="false">IFERROR(('SA Data'!V168/'SA Data'!V156-1)*100,"")</f>
        <v>2.67717425192462</v>
      </c>
      <c r="G168" s="24" t="n">
        <f aca="false">IFERROR((AVERAGE('SA Data'!V163:V168)/AVERAGE('SA Data'!V151:V156)-1)*100,"")</f>
        <v>2.97466227554855</v>
      </c>
      <c r="H168" s="23" t="n">
        <f aca="false">'SA Data'!S168</f>
        <v>132.774158862517</v>
      </c>
      <c r="I168" s="24" t="n">
        <f aca="false">(H168/H167-1)*100</f>
        <v>3.88040964871328</v>
      </c>
      <c r="J168" s="24" t="n">
        <f aca="false">(AVERAGE(H166:H168)/AVERAGE(H163:H165)-1)*100</f>
        <v>1.78460416407518</v>
      </c>
      <c r="K168" s="24" t="n">
        <f aca="false">((AVERAGE(H166:H168)/AVERAGE(H163:H165))^4-1)*100</f>
        <v>7.3317889721932</v>
      </c>
      <c r="L168" s="24" t="n">
        <f aca="false">IFERROR(('SA Data'!W168/'SA Data'!W156-1)*100,"")</f>
        <v>11.2198495410063</v>
      </c>
      <c r="M168" s="24" t="n">
        <f aca="false">IFERROR((AVERAGE('SA Data'!W163:W168)/AVERAGE('SA Data'!W151:W156)-1)*100,"")</f>
        <v>1.01923241317197</v>
      </c>
      <c r="N168" s="23" t="n">
        <f aca="false">'SA Data'!T168</f>
        <v>163.407412082199</v>
      </c>
      <c r="O168" s="24" t="n">
        <f aca="false">(N168/N167-1)*100</f>
        <v>0.736722260842204</v>
      </c>
      <c r="P168" s="24" t="n">
        <f aca="false">(AVERAGE(N166:N168)/AVERAGE(N163:N165)-1)*100</f>
        <v>0.772854307737747</v>
      </c>
      <c r="Q168" s="24" t="n">
        <f aca="false">((AVERAGE(N166:N168)/AVERAGE(N163:N165))^4-1)*100</f>
        <v>3.12744046610218</v>
      </c>
      <c r="R168" s="24" t="n">
        <f aca="false">IFERROR(('SA Data'!X168/'SA Data'!X156-1)*100,"")</f>
        <v>3.51474742494247</v>
      </c>
      <c r="S168" s="24" t="n">
        <f aca="false">IFERROR((AVERAGE('SA Data'!X163:X168)/AVERAGE('SA Data'!X151:X156)-1)*100,"")</f>
        <v>1.83504487212467</v>
      </c>
    </row>
    <row r="169" customFormat="false" ht="15" hidden="false" customHeight="false" outlineLevel="0" collapsed="false">
      <c r="A169" s="20" t="n">
        <v>42947</v>
      </c>
      <c r="B169" s="23" t="n">
        <f aca="false">'SA Data'!R169</f>
        <v>110.41399199262</v>
      </c>
      <c r="C169" s="24" t="n">
        <f aca="false">(B169/B168-1)*100</f>
        <v>-9.5211467559488</v>
      </c>
      <c r="D169" s="24" t="n">
        <f aca="false">(AVERAGE(B167:B169)/AVERAGE(B164:B166)-1)*100</f>
        <v>3.0474916183598</v>
      </c>
      <c r="E169" s="24" t="n">
        <f aca="false">((AVERAGE(B167:B169)/AVERAGE(B164:B166))^4-1)*100</f>
        <v>12.7586061074154</v>
      </c>
      <c r="F169" s="24" t="n">
        <f aca="false">IFERROR(('SA Data'!V169/'SA Data'!V157-1)*100,"")</f>
        <v>-1.2291483750845</v>
      </c>
      <c r="G169" s="24" t="n">
        <f aca="false">IFERROR((AVERAGE('SA Data'!V163:V169)/AVERAGE('SA Data'!V151:V157)-1)*100,"")</f>
        <v>2.55749674972283</v>
      </c>
      <c r="H169" s="23" t="n">
        <f aca="false">'SA Data'!S169</f>
        <v>129.734745491193</v>
      </c>
      <c r="I169" s="24" t="n">
        <f aca="false">(H169/H168-1)*100</f>
        <v>-2.28916032860786</v>
      </c>
      <c r="J169" s="24" t="n">
        <f aca="false">(AVERAGE(H167:H169)/AVERAGE(H164:H166)-1)*100</f>
        <v>3.87189476105272</v>
      </c>
      <c r="K169" s="24" t="n">
        <f aca="false">((AVERAGE(H167:H169)/AVERAGE(H164:H166))^4-1)*100</f>
        <v>16.4105162448446</v>
      </c>
      <c r="L169" s="24" t="n">
        <f aca="false">IFERROR(('SA Data'!W169/'SA Data'!W157-1)*100,"")</f>
        <v>6.717014317641</v>
      </c>
      <c r="M169" s="24" t="n">
        <f aca="false">IFERROR((AVERAGE('SA Data'!W163:W169)/AVERAGE('SA Data'!W151:W157)-1)*100,"")</f>
        <v>1.83705197584656</v>
      </c>
      <c r="N169" s="23" t="n">
        <f aca="false">'SA Data'!T169</f>
        <v>162.906944363467</v>
      </c>
      <c r="O169" s="24" t="n">
        <f aca="false">(N169/N168-1)*100</f>
        <v>-0.306269900707057</v>
      </c>
      <c r="P169" s="24" t="n">
        <f aca="false">(AVERAGE(N167:N169)/AVERAGE(N164:N166)-1)*100</f>
        <v>1.50002179434428</v>
      </c>
      <c r="Q169" s="24" t="n">
        <f aca="false">((AVERAGE(N167:N169)/AVERAGE(N164:N166))^4-1)*100</f>
        <v>6.13644622202738</v>
      </c>
      <c r="R169" s="24" t="n">
        <f aca="false">IFERROR(('SA Data'!X169/'SA Data'!X157-1)*100,"")</f>
        <v>3.74659458678326</v>
      </c>
      <c r="S169" s="24" t="n">
        <f aca="false">IFERROR((AVERAGE('SA Data'!X163:X169)/AVERAGE('SA Data'!X151:X157)-1)*100,"")</f>
        <v>2.11049563250991</v>
      </c>
    </row>
    <row r="170" customFormat="false" ht="15" hidden="false" customHeight="false" outlineLevel="0" collapsed="false">
      <c r="A170" s="20" t="n">
        <v>42978</v>
      </c>
      <c r="B170" s="23" t="n">
        <f aca="false">'SA Data'!R170</f>
        <v>112.135847505481</v>
      </c>
      <c r="C170" s="24" t="n">
        <f aca="false">(B170/B169-1)*100</f>
        <v>1.55945408891303</v>
      </c>
      <c r="D170" s="24" t="n">
        <f aca="false">(AVERAGE(B168:B170)/AVERAGE(B165:B167)-1)*100</f>
        <v>-1.03293207515085</v>
      </c>
      <c r="E170" s="24" t="n">
        <f aca="false">((AVERAGE(B168:B170)/AVERAGE(B165:B167))^4-1)*100</f>
        <v>-4.06815107611369</v>
      </c>
      <c r="F170" s="24" t="n">
        <f aca="false">IFERROR(('SA Data'!V170/'SA Data'!V158-1)*100,"")</f>
        <v>3.26348435223744</v>
      </c>
      <c r="G170" s="24" t="n">
        <f aca="false">IFERROR((AVERAGE('SA Data'!V163:V170)/AVERAGE('SA Data'!V151:V158)-1)*100,"")</f>
        <v>2.59939205246242</v>
      </c>
      <c r="H170" s="23" t="n">
        <f aca="false">'SA Data'!S170</f>
        <v>130.887861451846</v>
      </c>
      <c r="I170" s="24" t="n">
        <f aca="false">(H170/H169-1)*100</f>
        <v>0.888825854852482</v>
      </c>
      <c r="J170" s="24" t="n">
        <f aca="false">(AVERAGE(H168:H170)/AVERAGE(H165:H167)-1)*100</f>
        <v>3.47295178594604</v>
      </c>
      <c r="K170" s="24" t="n">
        <f aca="false">((AVERAGE(H168:H170)/AVERAGE(H165:H167))^4-1)*100</f>
        <v>14.632391723545</v>
      </c>
      <c r="L170" s="24" t="n">
        <f aca="false">IFERROR(('SA Data'!W170/'SA Data'!W158-1)*100,"")</f>
        <v>6.94350052705808</v>
      </c>
      <c r="M170" s="24" t="n">
        <f aca="false">IFERROR((AVERAGE('SA Data'!W163:W170)/AVERAGE('SA Data'!W151:W158)-1)*100,"")</f>
        <v>2.50992670407091</v>
      </c>
      <c r="N170" s="23" t="n">
        <f aca="false">'SA Data'!T170</f>
        <v>163.29451514092</v>
      </c>
      <c r="O170" s="24" t="n">
        <f aca="false">(N170/N169-1)*100</f>
        <v>0.237909303970008</v>
      </c>
      <c r="P170" s="24" t="n">
        <f aca="false">(AVERAGE(N168:N170)/AVERAGE(N165:N167)-1)*100</f>
        <v>1.15694559363488</v>
      </c>
      <c r="Q170" s="24" t="n">
        <f aca="false">((AVERAGE(N168:N170)/AVERAGE(N165:N167))^4-1)*100</f>
        <v>4.70871499194558</v>
      </c>
      <c r="R170" s="24" t="n">
        <f aca="false">IFERROR(('SA Data'!X170/'SA Data'!X158-1)*100,"")</f>
        <v>2.75715965097765</v>
      </c>
      <c r="S170" s="24" t="n">
        <f aca="false">IFERROR((AVERAGE('SA Data'!X163:X170)/AVERAGE('SA Data'!X151:X158)-1)*100,"")</f>
        <v>2.19257252385265</v>
      </c>
    </row>
    <row r="171" customFormat="false" ht="15" hidden="false" customHeight="false" outlineLevel="0" collapsed="false">
      <c r="A171" s="20" t="n">
        <v>43008</v>
      </c>
      <c r="B171" s="23" t="n">
        <f aca="false">'SA Data'!R171</f>
        <v>112.192414786491</v>
      </c>
      <c r="C171" s="24" t="n">
        <f aca="false">(B171/B170-1)*100</f>
        <v>0.0504453145603989</v>
      </c>
      <c r="D171" s="24" t="n">
        <f aca="false">(AVERAGE(B169:B171)/AVERAGE(B166:B168)-1)*100</f>
        <v>-7.29828942601682</v>
      </c>
      <c r="E171" s="24" t="n">
        <f aca="false">((AVERAGE(B169:B171)/AVERAGE(B166:B168))^4-1)*100</f>
        <v>-26.149916265892</v>
      </c>
      <c r="F171" s="24" t="n">
        <f aca="false">IFERROR(('SA Data'!V171/'SA Data'!V159-1)*100,"")</f>
        <v>5.92652537986502</v>
      </c>
      <c r="G171" s="24" t="n">
        <f aca="false">IFERROR((AVERAGE('SA Data'!V163:V171)/AVERAGE('SA Data'!V151:V159)-1)*100,"")</f>
        <v>2.76307970385608</v>
      </c>
      <c r="H171" s="23" t="n">
        <f aca="false">'SA Data'!S171</f>
        <v>131.752411070052</v>
      </c>
      <c r="I171" s="24" t="n">
        <f aca="false">(H171/H170-1)*100</f>
        <v>0.660526964545261</v>
      </c>
      <c r="J171" s="24" t="n">
        <f aca="false">(AVERAGE(H169:H171)/AVERAGE(H166:H168)-1)*100</f>
        <v>2.0168339322332</v>
      </c>
      <c r="K171" s="24" t="n">
        <f aca="false">((AVERAGE(H169:H171)/AVERAGE(H166:H168))^4-1)*100</f>
        <v>8.31469090596839</v>
      </c>
      <c r="L171" s="24" t="n">
        <f aca="false">IFERROR(('SA Data'!W171/'SA Data'!W159-1)*100,"")</f>
        <v>3.30553320646818</v>
      </c>
      <c r="M171" s="24" t="n">
        <f aca="false">IFERROR((AVERAGE('SA Data'!W163:W171)/AVERAGE('SA Data'!W151:W159)-1)*100,"")</f>
        <v>2.60263252668658</v>
      </c>
      <c r="N171" s="23" t="n">
        <f aca="false">'SA Data'!T171</f>
        <v>164.356192722317</v>
      </c>
      <c r="O171" s="24" t="n">
        <f aca="false">(N171/N170-1)*100</f>
        <v>0.650161201360744</v>
      </c>
      <c r="P171" s="24" t="n">
        <f aca="false">(AVERAGE(N169:N171)/AVERAGE(N166:N168)-1)*100</f>
        <v>1.05059672444832</v>
      </c>
      <c r="Q171" s="24" t="n">
        <f aca="false">((AVERAGE(N169:N171)/AVERAGE(N166:N168))^4-1)*100</f>
        <v>4.26907716462548</v>
      </c>
      <c r="R171" s="24" t="n">
        <f aca="false">IFERROR(('SA Data'!X171/'SA Data'!X159-1)*100,"")</f>
        <v>2.42847105906372</v>
      </c>
      <c r="S171" s="24" t="n">
        <f aca="false">IFERROR((AVERAGE('SA Data'!X163:X171)/AVERAGE('SA Data'!X151:X159)-1)*100,"")</f>
        <v>2.21883646046701</v>
      </c>
    </row>
    <row r="172" customFormat="false" ht="15" hidden="false" customHeight="false" outlineLevel="0" collapsed="false">
      <c r="A172" s="20" t="n">
        <v>43039</v>
      </c>
      <c r="B172" s="23" t="n">
        <f aca="false">'SA Data'!R172</f>
        <v>115.403676047957</v>
      </c>
      <c r="C172" s="24" t="n">
        <f aca="false">(B172/B171-1)*100</f>
        <v>2.86228018852968</v>
      </c>
      <c r="D172" s="24" t="n">
        <f aca="false">(AVERAGE(B170:B172)/AVERAGE(B167:B169)-1)*100</f>
        <v>-3.4187637753864</v>
      </c>
      <c r="E172" s="24" t="n">
        <f aca="false">((AVERAGE(B170:B172)/AVERAGE(B167:B169))^4-1)*100</f>
        <v>-12.9896250785742</v>
      </c>
      <c r="F172" s="24" t="n">
        <f aca="false">IFERROR(('SA Data'!V172/'SA Data'!V160-1)*100,"")</f>
        <v>10.1851823159222</v>
      </c>
      <c r="G172" s="24" t="n">
        <f aca="false">IFERROR((AVERAGE('SA Data'!V163:V172)/AVERAGE('SA Data'!V151:V160)-1)*100,"")</f>
        <v>3.15830617867841</v>
      </c>
      <c r="H172" s="23" t="n">
        <f aca="false">'SA Data'!S172</f>
        <v>131.294365829788</v>
      </c>
      <c r="I172" s="24" t="n">
        <f aca="false">(H172/H171-1)*100</f>
        <v>-0.347656059227663</v>
      </c>
      <c r="J172" s="24" t="n">
        <f aca="false">(AVERAGE(H170:H172)/AVERAGE(H167:H169)-1)*100</f>
        <v>0.925206987405902</v>
      </c>
      <c r="K172" s="24" t="n">
        <f aca="false">((AVERAGE(H170:H172)/AVERAGE(H167:H169))^4-1)*100</f>
        <v>3.75250595436782</v>
      </c>
      <c r="L172" s="24" t="n">
        <f aca="false">IFERROR(('SA Data'!W172/'SA Data'!W160-1)*100,"")</f>
        <v>8.14841488083269</v>
      </c>
      <c r="M172" s="24" t="n">
        <f aca="false">IFERROR((AVERAGE('SA Data'!W163:W172)/AVERAGE('SA Data'!W151:W160)-1)*100,"")</f>
        <v>3.17094290418831</v>
      </c>
      <c r="N172" s="23" t="n">
        <f aca="false">'SA Data'!T172</f>
        <v>164.523158973437</v>
      </c>
      <c r="O172" s="24" t="n">
        <f aca="false">(N172/N171-1)*100</f>
        <v>0.10158804992646</v>
      </c>
      <c r="P172" s="24" t="n">
        <f aca="false">(AVERAGE(N170:N172)/AVERAGE(N167:N169)-1)*100</f>
        <v>0.746561600877382</v>
      </c>
      <c r="Q172" s="24" t="n">
        <f aca="false">((AVERAGE(N170:N172)/AVERAGE(N167:N169))^4-1)*100</f>
        <v>3.0198544072922</v>
      </c>
      <c r="R172" s="24" t="n">
        <f aca="false">IFERROR(('SA Data'!X172/'SA Data'!X160-1)*100,"")</f>
        <v>4.21177624571678</v>
      </c>
      <c r="S172" s="24" t="n">
        <f aca="false">IFERROR((AVERAGE('SA Data'!X163:X172)/AVERAGE('SA Data'!X151:X160)-1)*100,"")</f>
        <v>2.41856200211881</v>
      </c>
    </row>
    <row r="173" customFormat="false" ht="15" hidden="false" customHeight="false" outlineLevel="0" collapsed="false">
      <c r="A173" s="20" t="n">
        <v>43069</v>
      </c>
      <c r="B173" s="23" t="n">
        <f aca="false">'SA Data'!R173</f>
        <v>111.905942610817</v>
      </c>
      <c r="C173" s="24" t="n">
        <f aca="false">(B173/B172-1)*100</f>
        <v>-3.03086830239904</v>
      </c>
      <c r="D173" s="24" t="n">
        <f aca="false">(AVERAGE(B171:B173)/AVERAGE(B168:B170)-1)*100</f>
        <v>-1.47445912167887</v>
      </c>
      <c r="E173" s="24" t="n">
        <f aca="false">((AVERAGE(B171:B173)/AVERAGE(B168:B170))^4-1)*100</f>
        <v>-5.7686721853899</v>
      </c>
      <c r="F173" s="24" t="n">
        <f aca="false">IFERROR(('SA Data'!V173/'SA Data'!V161-1)*100,"")</f>
        <v>2.79591296783566</v>
      </c>
      <c r="G173" s="24" t="n">
        <f aca="false">IFERROR((AVERAGE('SA Data'!V163:V173)/AVERAGE('SA Data'!V151:V161)-1)*100,"")</f>
        <v>3.1365958429278</v>
      </c>
      <c r="H173" s="23" t="n">
        <f aca="false">'SA Data'!S173</f>
        <v>133.903360661343</v>
      </c>
      <c r="I173" s="24" t="n">
        <f aca="false">(H173/H172-1)*100</f>
        <v>1.98713388427989</v>
      </c>
      <c r="J173" s="24" t="n">
        <f aca="false">(AVERAGE(H171:H173)/AVERAGE(H168:H170)-1)*100</f>
        <v>0.903253932032477</v>
      </c>
      <c r="K173" s="24" t="n">
        <f aca="false">((AVERAGE(H171:H173)/AVERAGE(H168:H170))^4-1)*100</f>
        <v>3.66226322798473</v>
      </c>
      <c r="L173" s="24" t="n">
        <f aca="false">IFERROR(('SA Data'!W173/'SA Data'!W161-1)*100,"")</f>
        <v>6.79068705247492</v>
      </c>
      <c r="M173" s="24" t="n">
        <f aca="false">IFERROR((AVERAGE('SA Data'!W163:W173)/AVERAGE('SA Data'!W151:W161)-1)*100,"")</f>
        <v>3.51559317636354</v>
      </c>
      <c r="N173" s="23" t="n">
        <f aca="false">'SA Data'!T173</f>
        <v>165.920379990008</v>
      </c>
      <c r="O173" s="24" t="n">
        <f aca="false">(N173/N172-1)*100</f>
        <v>0.84925491662653</v>
      </c>
      <c r="P173" s="24" t="n">
        <f aca="false">(AVERAGE(N171:N173)/AVERAGE(N168:N170)-1)*100</f>
        <v>1.06020548246095</v>
      </c>
      <c r="Q173" s="24" t="n">
        <f aca="false">((AVERAGE(N171:N173)/AVERAGE(N168:N170))^4-1)*100</f>
        <v>4.30874201671223</v>
      </c>
      <c r="R173" s="24" t="n">
        <f aca="false">IFERROR(('SA Data'!X173/'SA Data'!X161-1)*100,"")</f>
        <v>4.06740851582703</v>
      </c>
      <c r="S173" s="24" t="n">
        <f aca="false">IFERROR((AVERAGE('SA Data'!X163:X173)/AVERAGE('SA Data'!X151:X161)-1)*100,"")</f>
        <v>2.57090745754927</v>
      </c>
    </row>
    <row r="174" customFormat="false" ht="15" hidden="false" customHeight="false" outlineLevel="0" collapsed="false">
      <c r="A174" s="20" t="n">
        <v>43100</v>
      </c>
      <c r="B174" s="23" t="n">
        <f aca="false">'SA Data'!R174</f>
        <v>110.536041421471</v>
      </c>
      <c r="C174" s="24" t="n">
        <f aca="false">(B174/B173-1)*100</f>
        <v>-1.22415410422808</v>
      </c>
      <c r="D174" s="24" t="n">
        <f aca="false">(AVERAGE(B172:B174)/AVERAGE(B169:B171)-1)*100</f>
        <v>0.927103093777348</v>
      </c>
      <c r="E174" s="24" t="n">
        <f aca="false">((AVERAGE(B172:B174)/AVERAGE(B169:B171))^4-1)*100</f>
        <v>3.76030306818855</v>
      </c>
      <c r="F174" s="24" t="n">
        <f aca="false">IFERROR(('SA Data'!V174/'SA Data'!V162-1)*100,"")</f>
        <v>3.02186117022087</v>
      </c>
      <c r="G174" s="24" t="n">
        <f aca="false">IFERROR((AVERAGE('SA Data'!V163:V174)/AVERAGE('SA Data'!V151:V162)-1)*100,"")</f>
        <v>3.12963280000924</v>
      </c>
      <c r="H174" s="23" t="n">
        <f aca="false">'SA Data'!S174</f>
        <v>131.829677680569</v>
      </c>
      <c r="I174" s="24" t="n">
        <f aca="false">(H174/H173-1)*100</f>
        <v>-1.54864147586102</v>
      </c>
      <c r="J174" s="24" t="n">
        <f aca="false">(AVERAGE(H172:H174)/AVERAGE(H169:H171)-1)*100</f>
        <v>1.18569887098519</v>
      </c>
      <c r="K174" s="24" t="n">
        <f aca="false">((AVERAGE(H172:H174)/AVERAGE(H169:H171))^4-1)*100</f>
        <v>4.82781715019496</v>
      </c>
      <c r="L174" s="24" t="n">
        <f aca="false">IFERROR(('SA Data'!W174/'SA Data'!W162-1)*100,"")</f>
        <v>3.59540175770856</v>
      </c>
      <c r="M174" s="24" t="n">
        <f aca="false">IFERROR((AVERAGE('SA Data'!W163:W174)/AVERAGE('SA Data'!W151:W162)-1)*100,"")</f>
        <v>3.52224289749423</v>
      </c>
      <c r="N174" s="23" t="n">
        <f aca="false">'SA Data'!T174</f>
        <v>163.813230830158</v>
      </c>
      <c r="O174" s="24" t="n">
        <f aca="false">(N174/N173-1)*100</f>
        <v>-1.26997609333893</v>
      </c>
      <c r="P174" s="24" t="n">
        <f aca="false">(AVERAGE(N172:N174)/AVERAGE(N169:N171)-1)*100</f>
        <v>0.754063778254843</v>
      </c>
      <c r="Q174" s="24" t="n">
        <f aca="false">((AVERAGE(N172:N174)/AVERAGE(N169:N171))^4-1)*100</f>
        <v>3.05054367517978</v>
      </c>
      <c r="R174" s="24" t="n">
        <f aca="false">IFERROR(('SA Data'!X174/'SA Data'!X162-1)*100,"")</f>
        <v>1.83157881156824</v>
      </c>
      <c r="S174" s="24" t="n">
        <f aca="false">IFERROR((AVERAGE('SA Data'!X163:X174)/AVERAGE('SA Data'!X151:X162)-1)*100,"")</f>
        <v>2.5091981605101</v>
      </c>
    </row>
    <row r="175" customFormat="false" ht="15" hidden="false" customHeight="false" outlineLevel="0" collapsed="false">
      <c r="A175" s="20" t="n">
        <v>43131</v>
      </c>
      <c r="B175" s="23" t="n">
        <f aca="false">'SA Data'!R175</f>
        <v>107.210296757519</v>
      </c>
      <c r="C175" s="24" t="n">
        <f aca="false">(B175/B174-1)*100</f>
        <v>-3.00874232619854</v>
      </c>
      <c r="D175" s="24" t="n">
        <f aca="false">(AVERAGE(B173:B175)/AVERAGE(B170:B172)-1)*100</f>
        <v>-2.96694435011797</v>
      </c>
      <c r="E175" s="24" t="n">
        <f aca="false">((AVERAGE(B173:B175)/AVERAGE(B170:B172))^4-1)*100</f>
        <v>-11.3499813034752</v>
      </c>
      <c r="F175" s="24" t="n">
        <f aca="false">IFERROR(('SA Data'!V175/'SA Data'!V163-1)*100,"")</f>
        <v>2.51668462443504</v>
      </c>
      <c r="G175" s="24" t="n">
        <f aca="false">IFERROR((AVERAGE('SA Data'!V175:V175)/AVERAGE('SA Data'!V163:V163)-1)*100,"")</f>
        <v>2.51668462443504</v>
      </c>
      <c r="H175" s="23" t="n">
        <f aca="false">'SA Data'!S175</f>
        <v>131.612156880587</v>
      </c>
      <c r="I175" s="24" t="n">
        <f aca="false">(H175/H174-1)*100</f>
        <v>-0.165001389527286</v>
      </c>
      <c r="J175" s="24" t="n">
        <f aca="false">(AVERAGE(H173:H175)/AVERAGE(H170:H172)-1)*100</f>
        <v>0.865767195563949</v>
      </c>
      <c r="K175" s="24" t="n">
        <f aca="false">((AVERAGE(H173:H175)/AVERAGE(H170:H172))^4-1)*100</f>
        <v>3.50830208960315</v>
      </c>
      <c r="L175" s="24" t="n">
        <f aca="false">IFERROR(('SA Data'!W175/'SA Data'!W163-1)*100,"")</f>
        <v>5.31869796268836</v>
      </c>
      <c r="M175" s="24" t="n">
        <f aca="false">IFERROR((AVERAGE('SA Data'!W175:W175)/AVERAGE('SA Data'!W163:W163)-1)*100,"")</f>
        <v>5.31869796268836</v>
      </c>
      <c r="N175" s="23" t="n">
        <f aca="false">'SA Data'!T175</f>
        <v>164.9456518453</v>
      </c>
      <c r="O175" s="24" t="n">
        <f aca="false">(N175/N174-1)*100</f>
        <v>0.691287882793912</v>
      </c>
      <c r="P175" s="24" t="n">
        <f aca="false">(AVERAGE(N173:N175)/AVERAGE(N170:N172)-1)*100</f>
        <v>0.509046903464094</v>
      </c>
      <c r="Q175" s="24" t="n">
        <f aca="false">((AVERAGE(N173:N175)/AVERAGE(N170:N172))^4-1)*100</f>
        <v>2.05178816947478</v>
      </c>
      <c r="R175" s="24" t="n">
        <f aca="false">IFERROR(('SA Data'!X175/'SA Data'!X163-1)*100,"")</f>
        <v>3.81651509868948</v>
      </c>
      <c r="S175" s="24" t="n">
        <f aca="false">IFERROR((AVERAGE('SA Data'!X175:X175)/AVERAGE('SA Data'!X163:X163)-1)*100,"")</f>
        <v>3.81651509868948</v>
      </c>
    </row>
    <row r="176" customFormat="false" ht="15" hidden="false" customHeight="false" outlineLevel="0" collapsed="false">
      <c r="A176" s="20" t="n">
        <v>43159</v>
      </c>
      <c r="B176" s="23" t="n">
        <f aca="false">'SA Data'!R176</f>
        <v>110.969041829949</v>
      </c>
      <c r="C176" s="24" t="n">
        <f aca="false">(B176/B175-1)*100</f>
        <v>3.50595529171218</v>
      </c>
      <c r="D176" s="24" t="n">
        <f aca="false">(AVERAGE(B174:B176)/AVERAGE(B171:B173)-1)*100</f>
        <v>-3.17719847709363</v>
      </c>
      <c r="E176" s="24" t="n">
        <f aca="false">((AVERAGE(B174:B176)/AVERAGE(B171:B173))^4-1)*100</f>
        <v>-12.1158456044501</v>
      </c>
      <c r="F176" s="24" t="n">
        <f aca="false">IFERROR(('SA Data'!V176/'SA Data'!V164-1)*100,"")</f>
        <v>-0.55633176977391</v>
      </c>
      <c r="G176" s="24" t="n">
        <f aca="false">IFERROR((AVERAGE('SA Data'!V175:V176)/AVERAGE('SA Data'!V163:V164)-1)*100,"")</f>
        <v>0.885821996199798</v>
      </c>
      <c r="H176" s="23" t="n">
        <f aca="false">'SA Data'!S176</f>
        <v>129.714808798755</v>
      </c>
      <c r="I176" s="24" t="n">
        <f aca="false">(H176/H175-1)*100</f>
        <v>-1.44162068824207</v>
      </c>
      <c r="J176" s="24" t="n">
        <f aca="false">(AVERAGE(H174:H176)/AVERAGE(H171:H173)-1)*100</f>
        <v>-0.9556601301561</v>
      </c>
      <c r="K176" s="24" t="n">
        <f aca="false">((AVERAGE(H174:H176)/AVERAGE(H171:H173))^4-1)*100</f>
        <v>-3.76819162598612</v>
      </c>
      <c r="L176" s="24" t="n">
        <f aca="false">IFERROR(('SA Data'!W176/'SA Data'!W164-1)*100,"")</f>
        <v>6.40626572406158</v>
      </c>
      <c r="M176" s="24" t="n">
        <f aca="false">IFERROR((AVERAGE('SA Data'!W175:W176)/AVERAGE('SA Data'!W163:W164)-1)*100,"")</f>
        <v>5.84905727768923</v>
      </c>
      <c r="N176" s="23" t="n">
        <f aca="false">'SA Data'!T176</f>
        <v>164.711109708368</v>
      </c>
      <c r="O176" s="24" t="n">
        <f aca="false">(N176/N175-1)*100</f>
        <v>-0.142193585770778</v>
      </c>
      <c r="P176" s="24" t="n">
        <f aca="false">(AVERAGE(N174:N176)/AVERAGE(N171:N173)-1)*100</f>
        <v>-0.268742931085575</v>
      </c>
      <c r="Q176" s="24" t="n">
        <f aca="false">((AVERAGE(N174:N176)/AVERAGE(N171:N173))^4-1)*100</f>
        <v>-1.07064611708847</v>
      </c>
      <c r="R176" s="24" t="n">
        <f aca="false">IFERROR(('SA Data'!X176/'SA Data'!X164-1)*100,"")</f>
        <v>3.94595067429435</v>
      </c>
      <c r="S176" s="24" t="n">
        <f aca="false">IFERROR((AVERAGE('SA Data'!X175:X176)/AVERAGE('SA Data'!X163:X164)-1)*100,"")</f>
        <v>3.88071411980289</v>
      </c>
    </row>
    <row r="177" customFormat="false" ht="15" hidden="false" customHeight="false" outlineLevel="0" collapsed="false">
      <c r="A177" s="20" t="n">
        <v>43190</v>
      </c>
      <c r="B177" s="23" t="n">
        <f aca="false">'SA Data'!R177</f>
        <v>109.624967814053</v>
      </c>
      <c r="C177" s="24" t="n">
        <f aca="false">(B177/B176-1)*100</f>
        <v>-1.2112153026933</v>
      </c>
      <c r="D177" s="24" t="n">
        <f aca="false">(AVERAGE(B175:B177)/AVERAGE(B172:B174)-1)*100</f>
        <v>-2.97217187171753</v>
      </c>
      <c r="E177" s="24" t="n">
        <f aca="false">((AVERAGE(B175:B177)/AVERAGE(B172:B174))^4-1)*100</f>
        <v>-11.3690833480979</v>
      </c>
      <c r="F177" s="24" t="n">
        <f aca="false">IFERROR(('SA Data'!V177/'SA Data'!V165-1)*100,"")</f>
        <v>1.72399858984063</v>
      </c>
      <c r="G177" s="24" t="n">
        <f aca="false">IFERROR((AVERAGE('SA Data'!V175:V177)/AVERAGE('SA Data'!V163:V165)-1)*100,"")</f>
        <v>1.30292533113292</v>
      </c>
      <c r="H177" s="23" t="n">
        <f aca="false">'SA Data'!S177</f>
        <v>133.13459620636</v>
      </c>
      <c r="I177" s="24" t="n">
        <f aca="false">(H177/H176-1)*100</f>
        <v>2.63638935236037</v>
      </c>
      <c r="J177" s="24" t="n">
        <f aca="false">(AVERAGE(H175:H177)/AVERAGE(H172:H174)-1)*100</f>
        <v>-0.646263270252501</v>
      </c>
      <c r="K177" s="24" t="n">
        <f aca="false">((AVERAGE(H175:H177)/AVERAGE(H172:H174))^4-1)*100</f>
        <v>-2.56010150005305</v>
      </c>
      <c r="L177" s="24" t="n">
        <f aca="false">IFERROR(('SA Data'!W177/'SA Data'!W165-1)*100,"")</f>
        <v>2.6075359471754</v>
      </c>
      <c r="M177" s="24" t="n">
        <f aca="false">IFERROR((AVERAGE('SA Data'!W175:W177)/AVERAGE('SA Data'!W163:W165)-1)*100,"")</f>
        <v>4.66478503109997</v>
      </c>
      <c r="N177" s="23" t="n">
        <f aca="false">'SA Data'!T177</f>
        <v>165.269789312756</v>
      </c>
      <c r="O177" s="24" t="n">
        <f aca="false">(N177/N176-1)*100</f>
        <v>0.339187566264898</v>
      </c>
      <c r="P177" s="24" t="n">
        <f aca="false">(AVERAGE(N175:N177)/AVERAGE(N172:N174)-1)*100</f>
        <v>0.135512776709334</v>
      </c>
      <c r="Q177" s="24" t="n">
        <f aca="false">((AVERAGE(N175:N177)/AVERAGE(N172:N174))^4-1)*100</f>
        <v>0.543153925340723</v>
      </c>
      <c r="R177" s="24" t="n">
        <f aca="false">IFERROR(('SA Data'!X177/'SA Data'!X165-1)*100,"")</f>
        <v>1.80643271718641</v>
      </c>
      <c r="S177" s="24" t="n">
        <f aca="false">IFERROR((AVERAGE('SA Data'!X175:X177)/AVERAGE('SA Data'!X163:X165)-1)*100,"")</f>
        <v>3.15732523876033</v>
      </c>
    </row>
    <row r="178" customFormat="false" ht="15" hidden="false" customHeight="false" outlineLevel="0" collapsed="false">
      <c r="A178" s="20" t="n">
        <v>43220</v>
      </c>
      <c r="B178" s="23" t="n">
        <f aca="false">'SA Data'!R178</f>
        <v>89.3484056802062</v>
      </c>
      <c r="C178" s="24" t="n">
        <f aca="false">(B178/B177-1)*100</f>
        <v>-18.4962992812369</v>
      </c>
      <c r="D178" s="24" t="n">
        <f aca="false">(AVERAGE(B176:B178)/AVERAGE(B173:B175)-1)*100</f>
        <v>-5.97898653040573</v>
      </c>
      <c r="E178" s="24" t="n">
        <f aca="false">((AVERAGE(B176:B178)/AVERAGE(B173:B175))^4-1)*100</f>
        <v>-21.855266779935</v>
      </c>
      <c r="F178" s="24" t="n">
        <f aca="false">IFERROR(('SA Data'!V178/'SA Data'!V166-1)*100,"")</f>
        <v>-29.426338293586</v>
      </c>
      <c r="G178" s="24" t="n">
        <f aca="false">IFERROR((AVERAGE('SA Data'!V175:V178)/AVERAGE('SA Data'!V163:V166)-1)*100,"")</f>
        <v>-12.4103442806888</v>
      </c>
      <c r="H178" s="23" t="n">
        <f aca="false">'SA Data'!S178</f>
        <v>131.098490081169</v>
      </c>
      <c r="I178" s="24" t="n">
        <f aca="false">(H178/H177-1)*100</f>
        <v>-1.52935914721607</v>
      </c>
      <c r="J178" s="24" t="n">
        <f aca="false">(AVERAGE(H176:H178)/AVERAGE(H173:H175)-1)*100</f>
        <v>-0.854999677122836</v>
      </c>
      <c r="K178" s="24" t="n">
        <f aca="false">((AVERAGE(H176:H178)/AVERAGE(H173:H175))^4-1)*100</f>
        <v>-3.37638671748856</v>
      </c>
      <c r="L178" s="24" t="n">
        <f aca="false">IFERROR(('SA Data'!W178/'SA Data'!W166-1)*100,"")</f>
        <v>5.00828205275983</v>
      </c>
      <c r="M178" s="24" t="n">
        <f aca="false">IFERROR((AVERAGE('SA Data'!W175:W178)/AVERAGE('SA Data'!W163:W166)-1)*100,"")</f>
        <v>4.75164498842562</v>
      </c>
      <c r="N178" s="23" t="n">
        <f aca="false">'SA Data'!T178</f>
        <v>165.227636053982</v>
      </c>
      <c r="O178" s="24" t="n">
        <f aca="false">(N178/N177-1)*100</f>
        <v>-0.0255057254861302</v>
      </c>
      <c r="P178" s="24" t="n">
        <f aca="false">(AVERAGE(N176:N178)/AVERAGE(N173:N175)-1)*100</f>
        <v>0.106993045713821</v>
      </c>
      <c r="Q178" s="24" t="n">
        <f aca="false">((AVERAGE(N176:N178)/AVERAGE(N173:N175))^4-1)*100</f>
        <v>0.428659523617858</v>
      </c>
      <c r="R178" s="24" t="n">
        <f aca="false">IFERROR(('SA Data'!X178/'SA Data'!X166-1)*100,"")</f>
        <v>3.08248007309957</v>
      </c>
      <c r="S178" s="24" t="n">
        <f aca="false">IFERROR((AVERAGE('SA Data'!X175:X178)/AVERAGE('SA Data'!X163:X166)-1)*100,"")</f>
        <v>3.13855562252694</v>
      </c>
    </row>
    <row r="179" customFormat="false" ht="15" hidden="false" customHeight="false" outlineLevel="0" collapsed="false">
      <c r="A179" s="20" t="n">
        <v>43251</v>
      </c>
      <c r="B179" s="23" t="n">
        <f aca="false">'SA Data'!R179</f>
        <v>86.5105163069676</v>
      </c>
      <c r="C179" s="24" t="n">
        <f aca="false">(B179/B178-1)*100</f>
        <v>-3.17620594529235</v>
      </c>
      <c r="D179" s="24" t="n">
        <f aca="false">(AVERAGE(B177:B179)/AVERAGE(B174:B176)-1)*100</f>
        <v>-13.1516481542595</v>
      </c>
      <c r="E179" s="24" t="n">
        <f aca="false">((AVERAGE(B177:B179)/AVERAGE(B174:B176))^4-1)*100</f>
        <v>-43.1086388780641</v>
      </c>
      <c r="F179" s="24" t="n">
        <f aca="false">IFERROR(('SA Data'!V179/'SA Data'!V167-1)*100,"")</f>
        <v>-32.1524631460385</v>
      </c>
      <c r="G179" s="24" t="n">
        <f aca="false">IFERROR((AVERAGE('SA Data'!V175:V179)/AVERAGE('SA Data'!V163:V167)-1)*100,"")</f>
        <v>-20.0788991958372</v>
      </c>
      <c r="H179" s="23" t="n">
        <f aca="false">'SA Data'!S179</f>
        <v>129.660387680946</v>
      </c>
      <c r="I179" s="24" t="n">
        <f aca="false">(H179/H178-1)*100</f>
        <v>-1.09696335886998</v>
      </c>
      <c r="J179" s="24" t="n">
        <f aca="false">(AVERAGE(H177:H179)/AVERAGE(H174:H176)-1)*100</f>
        <v>0.187414004318209</v>
      </c>
      <c r="K179" s="24" t="n">
        <f aca="false">((AVERAGE(H177:H179)/AVERAGE(H174:H176))^4-1)*100</f>
        <v>0.751766092139872</v>
      </c>
      <c r="L179" s="24" t="n">
        <f aca="false">IFERROR(('SA Data'!W179/'SA Data'!W167-1)*100,"")</f>
        <v>0.888002448032998</v>
      </c>
      <c r="M179" s="24" t="n">
        <f aca="false">IFERROR((AVERAGE('SA Data'!W175:W179)/AVERAGE('SA Data'!W163:W167)-1)*100,"")</f>
        <v>3.91765678344427</v>
      </c>
      <c r="N179" s="23" t="n">
        <f aca="false">'SA Data'!T179</f>
        <v>164.476249654705</v>
      </c>
      <c r="O179" s="24" t="n">
        <f aca="false">(N179/N178-1)*100</f>
        <v>-0.454758306311154</v>
      </c>
      <c r="P179" s="24" t="n">
        <f aca="false">(AVERAGE(N177:N179)/AVERAGE(N174:N176)-1)*100</f>
        <v>0.30471612475429</v>
      </c>
      <c r="Q179" s="24" t="n">
        <f aca="false">((AVERAGE(N177:N179)/AVERAGE(N174:N176))^4-1)*100</f>
        <v>1.22444694003026</v>
      </c>
      <c r="R179" s="24" t="n">
        <f aca="false">IFERROR(('SA Data'!X179/'SA Data'!X167-1)*100,"")</f>
        <v>1.08092724140536</v>
      </c>
      <c r="S179" s="24" t="n">
        <f aca="false">IFERROR((AVERAGE('SA Data'!X175:X179)/AVERAGE('SA Data'!X163:X167)-1)*100,"")</f>
        <v>2.71252530269148</v>
      </c>
    </row>
    <row r="180" customFormat="false" ht="15" hidden="false" customHeight="false" outlineLevel="0" collapsed="false">
      <c r="A180" s="20" t="n">
        <v>43281</v>
      </c>
      <c r="B180" s="23" t="n">
        <f aca="false">'SA Data'!R180</f>
        <v>86.339341670623</v>
      </c>
      <c r="C180" s="24" t="n">
        <f aca="false">(B180/B179-1)*100</f>
        <v>-0.197865697318422</v>
      </c>
      <c r="D180" s="24" t="n">
        <f aca="false">(AVERAGE(B178:B180)/AVERAGE(B175:B177)-1)*100</f>
        <v>-20.0137830597518</v>
      </c>
      <c r="E180" s="24" t="n">
        <f aca="false">((AVERAGE(B178:B180)/AVERAGE(B175:B177))^4-1)*100</f>
        <v>-59.0682204122565</v>
      </c>
      <c r="F180" s="24" t="n">
        <f aca="false">IFERROR(('SA Data'!V180/'SA Data'!V168-1)*100,"")</f>
        <v>-34.0369865834717</v>
      </c>
      <c r="G180" s="24" t="n">
        <f aca="false">IFERROR((AVERAGE('SA Data'!V175:V180)/AVERAGE('SA Data'!V163:V168)-1)*100,"")</f>
        <v>-23.0484915048218</v>
      </c>
      <c r="H180" s="23" t="n">
        <f aca="false">'SA Data'!S180</f>
        <v>127.315469591235</v>
      </c>
      <c r="I180" s="24" t="n">
        <f aca="false">(H180/H179-1)*100</f>
        <v>-1.80850769587498</v>
      </c>
      <c r="J180" s="24" t="n">
        <f aca="false">(AVERAGE(H178:H180)/AVERAGE(H175:H177)-1)*100</f>
        <v>-1.61922355674342</v>
      </c>
      <c r="K180" s="24" t="n">
        <f aca="false">((AVERAGE(H178:H180)/AVERAGE(H175:H177))^4-1)*100</f>
        <v>-6.32127242422491</v>
      </c>
      <c r="L180" s="24" t="n">
        <f aca="false">IFERROR(('SA Data'!W180/'SA Data'!W168-1)*100,"")</f>
        <v>-4.56844315937948</v>
      </c>
      <c r="M180" s="24" t="n">
        <f aca="false">IFERROR((AVERAGE('SA Data'!W175:W180)/AVERAGE('SA Data'!W163:W168)-1)*100,"")</f>
        <v>2.36974808545689</v>
      </c>
      <c r="N180" s="23" t="n">
        <f aca="false">'SA Data'!T180</f>
        <v>162.333639793994</v>
      </c>
      <c r="O180" s="24" t="n">
        <f aca="false">(N180/N179-1)*100</f>
        <v>-1.30268647613848</v>
      </c>
      <c r="P180" s="24" t="n">
        <f aca="false">(AVERAGE(N178:N180)/AVERAGE(N175:N177)-1)*100</f>
        <v>-0.583728102419512</v>
      </c>
      <c r="Q180" s="24" t="n">
        <f aca="false">((AVERAGE(N178:N180)/AVERAGE(N175:N177))^4-1)*100</f>
        <v>-2.3145475431767</v>
      </c>
      <c r="R180" s="24" t="n">
        <f aca="false">IFERROR(('SA Data'!X180/'SA Data'!X168-1)*100,"")</f>
        <v>-1.30792642258462</v>
      </c>
      <c r="S180" s="24" t="n">
        <f aca="false">IFERROR((AVERAGE('SA Data'!X175:X180)/AVERAGE('SA Data'!X163:X168)-1)*100,"")</f>
        <v>2.01648926885185</v>
      </c>
    </row>
    <row r="181" customFormat="false" ht="15" hidden="false" customHeight="false" outlineLevel="0" collapsed="false">
      <c r="A181" s="20" t="n">
        <v>43312</v>
      </c>
      <c r="B181" s="23" t="n">
        <f aca="false">'SA Data'!R181</f>
        <v>104.031701483699</v>
      </c>
      <c r="C181" s="24" t="n">
        <f aca="false">(B181/B180-1)*100</f>
        <v>20.491654755223</v>
      </c>
      <c r="D181" s="24" t="n">
        <f aca="false">(AVERAGE(B179:B181)/AVERAGE(B176:B178)-1)*100</f>
        <v>-10.6667736419154</v>
      </c>
      <c r="E181" s="24" t="n">
        <f aca="false">((AVERAGE(B179:B181)/AVERAGE(B176:B178))^4-1)*100</f>
        <v>-36.3128115276384</v>
      </c>
      <c r="F181" s="24" t="n">
        <f aca="false">IFERROR(('SA Data'!V181/'SA Data'!V169-1)*100,"")</f>
        <v>-4.99652739905837</v>
      </c>
      <c r="G181" s="24" t="n">
        <f aca="false">IFERROR((AVERAGE('SA Data'!V175:V181)/AVERAGE('SA Data'!V163:V169)-1)*100,"")</f>
        <v>-21.323245171301</v>
      </c>
      <c r="H181" s="23" t="n">
        <f aca="false">'SA Data'!S181</f>
        <v>124.086200461336</v>
      </c>
      <c r="I181" s="24" t="n">
        <f aca="false">(H181/H180-1)*100</f>
        <v>-2.53643107178326</v>
      </c>
      <c r="J181" s="24" t="n">
        <f aca="false">(AVERAGE(H179:H181)/AVERAGE(H176:H178)-1)*100</f>
        <v>-3.27094966453447</v>
      </c>
      <c r="K181" s="24" t="n">
        <f aca="false">((AVERAGE(H179:H181)/AVERAGE(H176:H178))^4-1)*100</f>
        <v>-12.4557359870122</v>
      </c>
      <c r="L181" s="24" t="n">
        <f aca="false">IFERROR(('SA Data'!W181/'SA Data'!W169-1)*100,"")</f>
        <v>-3.77315689159051</v>
      </c>
      <c r="M181" s="24" t="n">
        <f aca="false">IFERROR((AVERAGE('SA Data'!W175:W181)/AVERAGE('SA Data'!W163:W169)-1)*100,"")</f>
        <v>1.44578777049784</v>
      </c>
      <c r="N181" s="23" t="n">
        <f aca="false">'SA Data'!T181</f>
        <v>161.688789305866</v>
      </c>
      <c r="O181" s="24" t="n">
        <f aca="false">(N181/N180-1)*100</f>
        <v>-0.397237743788925</v>
      </c>
      <c r="P181" s="24" t="n">
        <f aca="false">(AVERAGE(N179:N181)/AVERAGE(N176:N178)-1)*100</f>
        <v>-1.3549557096233</v>
      </c>
      <c r="Q181" s="24" t="n">
        <f aca="false">((AVERAGE(N179:N181)/AVERAGE(N176:N178))^4-1)*100</f>
        <v>-5.31066019741496</v>
      </c>
      <c r="R181" s="24" t="n">
        <f aca="false">IFERROR(('SA Data'!X181/'SA Data'!X169-1)*100,"")</f>
        <v>-0.920431274543243</v>
      </c>
      <c r="S181" s="24" t="n">
        <f aca="false">IFERROR((AVERAGE('SA Data'!X175:X181)/AVERAGE('SA Data'!X163:X169)-1)*100,"")</f>
        <v>1.58650354041092</v>
      </c>
    </row>
    <row r="182" customFormat="false" ht="15" hidden="false" customHeight="false" outlineLevel="0" collapsed="false">
      <c r="A182" s="20" t="n">
        <v>43343</v>
      </c>
      <c r="B182" s="23" t="n">
        <f aca="false">'SA Data'!R182</f>
        <v>111.745904263705</v>
      </c>
      <c r="C182" s="24" t="n">
        <f aca="false">(B182/B181-1)*100</f>
        <v>7.41524234438709</v>
      </c>
      <c r="D182" s="24" t="n">
        <f aca="false">(AVERAGE(B180:B182)/AVERAGE(B177:B179)-1)*100</f>
        <v>5.82626838536555</v>
      </c>
      <c r="E182" s="24" t="n">
        <f aca="false">((AVERAGE(B180:B182)/AVERAGE(B177:B179))^4-1)*100</f>
        <v>25.4220600417921</v>
      </c>
      <c r="F182" s="24" t="n">
        <f aca="false">IFERROR(('SA Data'!V182/'SA Data'!V170-1)*100,"")</f>
        <v>2.50430057492423</v>
      </c>
      <c r="G182" s="24" t="n">
        <f aca="false">IFERROR((AVERAGE('SA Data'!V175:V182)/AVERAGE('SA Data'!V163:V170)-1)*100,"")</f>
        <v>-19.9000988385333</v>
      </c>
      <c r="H182" s="23" t="n">
        <f aca="false">'SA Data'!S182</f>
        <v>126.023258295621</v>
      </c>
      <c r="I182" s="24" t="n">
        <f aca="false">(H182/H181-1)*100</f>
        <v>1.56105822169041</v>
      </c>
      <c r="J182" s="24" t="n">
        <f aca="false">(AVERAGE(H180:H182)/AVERAGE(H177:H179)-1)*100</f>
        <v>-4.1809643237705</v>
      </c>
      <c r="K182" s="24" t="n">
        <f aca="false">((AVERAGE(H180:H182)/AVERAGE(H177:H179))^4-1)*100</f>
        <v>-15.7039580442337</v>
      </c>
      <c r="L182" s="24" t="n">
        <f aca="false">IFERROR(('SA Data'!W182/'SA Data'!W170-1)*100,"")</f>
        <v>-3.38545570456799</v>
      </c>
      <c r="M182" s="24" t="n">
        <f aca="false">IFERROR((AVERAGE('SA Data'!W175:W182)/AVERAGE('SA Data'!W163:W170)-1)*100,"")</f>
        <v>0.781643157981216</v>
      </c>
      <c r="N182" s="23" t="n">
        <f aca="false">'SA Data'!T182</f>
        <v>162.148252733319</v>
      </c>
      <c r="O182" s="24" t="n">
        <f aca="false">(N182/N181-1)*100</f>
        <v>0.284165296447281</v>
      </c>
      <c r="P182" s="24" t="n">
        <f aca="false">(AVERAGE(N180:N182)/AVERAGE(N177:N179)-1)*100</f>
        <v>-1.77847704484171</v>
      </c>
      <c r="Q182" s="24" t="n">
        <f aca="false">((AVERAGE(N180:N182)/AVERAGE(N177:N179))^4-1)*100</f>
        <v>-6.92636945433429</v>
      </c>
      <c r="R182" s="24" t="n">
        <f aca="false">IFERROR(('SA Data'!X182/'SA Data'!X170-1)*100,"")</f>
        <v>-0.874223364583848</v>
      </c>
      <c r="S182" s="24" t="n">
        <f aca="false">IFERROR((AVERAGE('SA Data'!X175:X182)/AVERAGE('SA Data'!X163:X170)-1)*100,"")</f>
        <v>1.27245384277837</v>
      </c>
    </row>
    <row r="183" customFormat="false" ht="15" hidden="false" customHeight="false" outlineLevel="0" collapsed="false">
      <c r="A183" s="20" t="n">
        <v>43373</v>
      </c>
      <c r="B183" s="23" t="n">
        <f aca="false">'SA Data'!R183</f>
        <v>109.671597495461</v>
      </c>
      <c r="C183" s="24" t="n">
        <f aca="false">(B183/B182-1)*100</f>
        <v>-1.85627095857513</v>
      </c>
      <c r="D183" s="24" t="n">
        <f aca="false">(AVERAGE(B181:B183)/AVERAGE(B178:B180)-1)*100</f>
        <v>24.1233251138609</v>
      </c>
      <c r="E183" s="24" t="n">
        <f aca="false">((AVERAGE(B181:B183)/AVERAGE(B178:B180))^4-1)*100</f>
        <v>137.363318547346</v>
      </c>
      <c r="F183" s="24" t="n">
        <f aca="false">IFERROR(('SA Data'!V183/'SA Data'!V171-1)*100,"")</f>
        <v>1.14482577631987</v>
      </c>
      <c r="G183" s="24" t="n">
        <f aca="false">IFERROR((AVERAGE('SA Data'!V175:V183)/AVERAGE('SA Data'!V163:V171)-1)*100,"")</f>
        <v>-18.8328622576632</v>
      </c>
      <c r="H183" s="23" t="n">
        <f aca="false">'SA Data'!S183</f>
        <v>121.360714156491</v>
      </c>
      <c r="I183" s="24" t="n">
        <f aca="false">(H183/H182-1)*100</f>
        <v>-3.69974892110212</v>
      </c>
      <c r="J183" s="24" t="n">
        <f aca="false">(AVERAGE(H181:H183)/AVERAGE(H178:H180)-1)*100</f>
        <v>-4.2786065487557</v>
      </c>
      <c r="K183" s="24" t="n">
        <f aca="false">((AVERAGE(H181:H183)/AVERAGE(H178:H180))^4-1)*100</f>
        <v>-16.047033107904</v>
      </c>
      <c r="L183" s="24" t="n">
        <f aca="false">IFERROR(('SA Data'!W183/'SA Data'!W171-1)*100,"")</f>
        <v>-8.53391692527721</v>
      </c>
      <c r="M183" s="24" t="n">
        <f aca="false">IFERROR((AVERAGE('SA Data'!W175:W183)/AVERAGE('SA Data'!W163:W171)-1)*100,"")</f>
        <v>-0.311262663074152</v>
      </c>
      <c r="N183" s="23" t="n">
        <f aca="false">'SA Data'!T183</f>
        <v>158.848580749311</v>
      </c>
      <c r="O183" s="24" t="n">
        <f aca="false">(N183/N182-1)*100</f>
        <v>-2.03497227283389</v>
      </c>
      <c r="P183" s="24" t="n">
        <f aca="false">(AVERAGE(N181:N183)/AVERAGE(N178:N180)-1)*100</f>
        <v>-1.90064826958716</v>
      </c>
      <c r="Q183" s="24" t="n">
        <f aca="false">((AVERAGE(N181:N183)/AVERAGE(N178:N180))^4-1)*100</f>
        <v>-7.38857860703466</v>
      </c>
      <c r="R183" s="24" t="n">
        <f aca="false">IFERROR(('SA Data'!X183/'SA Data'!X171-1)*100,"")</f>
        <v>-3.74850560053528</v>
      </c>
      <c r="S183" s="24" t="n">
        <f aca="false">IFERROR((AVERAGE('SA Data'!X175:X183)/AVERAGE('SA Data'!X163:X171)-1)*100,"")</f>
        <v>0.712295191520918</v>
      </c>
    </row>
    <row r="184" customFormat="false" ht="15" hidden="false" customHeight="false" outlineLevel="0" collapsed="false">
      <c r="A184" s="20" t="n">
        <v>43404</v>
      </c>
      <c r="B184" s="23" t="n">
        <f aca="false">'SA Data'!R184</f>
        <v>114.122962270396</v>
      </c>
      <c r="C184" s="24" t="n">
        <f aca="false">(B184/B183-1)*100</f>
        <v>4.05881274330826</v>
      </c>
      <c r="D184" s="24" t="n">
        <f aca="false">(AVERAGE(B182:B184)/AVERAGE(B179:B181)-1)*100</f>
        <v>21.1855584324217</v>
      </c>
      <c r="E184" s="24" t="n">
        <f aca="false">((AVERAGE(B182:B184)/AVERAGE(B179:B181))^4-1)*100</f>
        <v>115.676821129409</v>
      </c>
      <c r="F184" s="24" t="n">
        <f aca="false">IFERROR(('SA Data'!V184/'SA Data'!V172-1)*100,"")</f>
        <v>1.58098588177376</v>
      </c>
      <c r="G184" s="24" t="n">
        <f aca="false">IFERROR((AVERAGE('SA Data'!V175:V184)/AVERAGE('SA Data'!V163:V172)-1)*100,"")</f>
        <v>-17.6717801136879</v>
      </c>
      <c r="H184" s="23" t="n">
        <f aca="false">'SA Data'!S184</f>
        <v>121.658040396791</v>
      </c>
      <c r="I184" s="24" t="n">
        <f aca="false">(H184/H183-1)*100</f>
        <v>0.244993812344063</v>
      </c>
      <c r="J184" s="24" t="n">
        <f aca="false">(AVERAGE(H182:H184)/AVERAGE(H179:H181)-1)*100</f>
        <v>-3.1543536389078</v>
      </c>
      <c r="K184" s="24" t="n">
        <f aca="false">((AVERAGE(H182:H184)/AVERAGE(H179:H181))^4-1)*100</f>
        <v>-12.0328730018891</v>
      </c>
      <c r="L184" s="24" t="n">
        <f aca="false">IFERROR(('SA Data'!W184/'SA Data'!W172-1)*100,"")</f>
        <v>-6.39282966909449</v>
      </c>
      <c r="M184" s="24" t="n">
        <f aca="false">IFERROR((AVERAGE('SA Data'!W175:W184)/AVERAGE('SA Data'!W163:W172)-1)*100,"")</f>
        <v>-0.964545155829977</v>
      </c>
      <c r="N184" s="23" t="n">
        <f aca="false">'SA Data'!T184</f>
        <v>158.611872583597</v>
      </c>
      <c r="O184" s="24" t="n">
        <f aca="false">(N184/N183-1)*100</f>
        <v>-0.14901497048172</v>
      </c>
      <c r="P184" s="24" t="n">
        <f aca="false">(AVERAGE(N182:N184)/AVERAGE(N179:N181)-1)*100</f>
        <v>-1.81985603543564</v>
      </c>
      <c r="Q184" s="24" t="n">
        <f aca="false">((AVERAGE(N182:N184)/AVERAGE(N179:N181))^4-1)*100</f>
        <v>-7.0831114688407</v>
      </c>
      <c r="R184" s="24" t="n">
        <f aca="false">IFERROR(('SA Data'!X184/'SA Data'!X172-1)*100,"")</f>
        <v>-3.40352754917653</v>
      </c>
      <c r="S184" s="24" t="n">
        <f aca="false">IFERROR((AVERAGE('SA Data'!X175:X184)/AVERAGE('SA Data'!X163:X172)-1)*100,"")</f>
        <v>0.29259978364875</v>
      </c>
    </row>
    <row r="185" customFormat="false" ht="15" hidden="false" customHeight="false" outlineLevel="0" collapsed="false">
      <c r="A185" s="20" t="n">
        <v>43434</v>
      </c>
      <c r="B185" s="23" t="n">
        <f aca="false">'SA Data'!R185</f>
        <v>113.642251593507</v>
      </c>
      <c r="C185" s="24" t="n">
        <f aca="false">(B185/B184-1)*100</f>
        <v>-0.421221695726903</v>
      </c>
      <c r="D185" s="24" t="n">
        <f aca="false">(AVERAGE(B183:B185)/AVERAGE(B180:B182)-1)*100</f>
        <v>11.690792007264</v>
      </c>
      <c r="E185" s="24" t="n">
        <f aca="false">((AVERAGE(B183:B185)/AVERAGE(B180:B182))^4-1)*100</f>
        <v>55.6214588571696</v>
      </c>
      <c r="F185" s="24" t="n">
        <f aca="false">IFERROR(('SA Data'!V185/'SA Data'!V173-1)*100,"")</f>
        <v>1.27488922928689</v>
      </c>
      <c r="G185" s="24" t="n">
        <f aca="false">IFERROR((AVERAGE('SA Data'!V175:V185)/AVERAGE('SA Data'!V163:V173)-1)*100,"")</f>
        <v>-16.5404680505608</v>
      </c>
      <c r="H185" s="23" t="n">
        <f aca="false">'SA Data'!S185</f>
        <v>118.659078543438</v>
      </c>
      <c r="I185" s="24" t="n">
        <f aca="false">(H185/H184-1)*100</f>
        <v>-2.46507492934447</v>
      </c>
      <c r="J185" s="24" t="n">
        <f aca="false">(AVERAGE(H183:H185)/AVERAGE(H180:H182)-1)*100</f>
        <v>-4.17224567555448</v>
      </c>
      <c r="K185" s="24" t="n">
        <f aca="false">((AVERAGE(H183:H185)/AVERAGE(H180:H182))^4-1)*100</f>
        <v>-15.6732732080994</v>
      </c>
      <c r="L185" s="24" t="n">
        <f aca="false">IFERROR(('SA Data'!W185/'SA Data'!W173-1)*100,"")</f>
        <v>-11.875663280057</v>
      </c>
      <c r="M185" s="24" t="n">
        <f aca="false">IFERROR((AVERAGE('SA Data'!W175:W185)/AVERAGE('SA Data'!W163:W173)-1)*100,"")</f>
        <v>-2.03630532790623</v>
      </c>
      <c r="N185" s="23" t="n">
        <f aca="false">'SA Data'!T185</f>
        <v>157.166930024387</v>
      </c>
      <c r="O185" s="24" t="n">
        <f aca="false">(N185/N184-1)*100</f>
        <v>-0.910992686532763</v>
      </c>
      <c r="P185" s="24" t="n">
        <f aca="false">(AVERAGE(N183:N185)/AVERAGE(N180:N182)-1)*100</f>
        <v>-2.37433043727709</v>
      </c>
      <c r="Q185" s="24" t="n">
        <f aca="false">((AVERAGE(N183:N185)/AVERAGE(N180:N182))^4-1)*100</f>
        <v>-9.16439732972403</v>
      </c>
      <c r="R185" s="24" t="n">
        <f aca="false">IFERROR(('SA Data'!X185/'SA Data'!X173-1)*100,"")</f>
        <v>-5.61200431840834</v>
      </c>
      <c r="S185" s="24" t="n">
        <f aca="false">IFERROR((AVERAGE('SA Data'!X175:X185)/AVERAGE('SA Data'!X163:X173)-1)*100,"")</f>
        <v>-0.260916751622331</v>
      </c>
    </row>
    <row r="186" customFormat="false" ht="15" hidden="false" customHeight="false" outlineLevel="0" collapsed="false">
      <c r="A186" s="20" t="n">
        <v>43465</v>
      </c>
      <c r="B186" s="23" t="n">
        <f aca="false">'SA Data'!R186</f>
        <v>113.991428658199</v>
      </c>
      <c r="C186" s="24" t="n">
        <f aca="false">(B186/B185-1)*100</f>
        <v>0.307259896557599</v>
      </c>
      <c r="D186" s="24" t="n">
        <f aca="false">(AVERAGE(B184:B186)/AVERAGE(B181:B183)-1)*100</f>
        <v>5.01074794983221</v>
      </c>
      <c r="E186" s="24" t="n">
        <f aca="false">((AVERAGE(B184:B186)/AVERAGE(B181:B183))^4-1)*100</f>
        <v>21.6004010237634</v>
      </c>
      <c r="F186" s="24" t="n">
        <f aca="false">IFERROR(('SA Data'!V186/'SA Data'!V174-1)*100,"")</f>
        <v>5.14310343217883</v>
      </c>
      <c r="G186" s="24" t="n">
        <f aca="false">IFERROR((AVERAGE('SA Data'!V175:V186)/AVERAGE('SA Data'!V163:V174)-1)*100,"")</f>
        <v>-15.2259058898997</v>
      </c>
      <c r="H186" s="23" t="n">
        <f aca="false">'SA Data'!S186</f>
        <v>114.862609567658</v>
      </c>
      <c r="I186" s="24" t="n">
        <f aca="false">(H186/H185-1)*100</f>
        <v>-3.19947619885691</v>
      </c>
      <c r="J186" s="24" t="n">
        <f aca="false">(AVERAGE(H184:H186)/AVERAGE(H181:H183)-1)*100</f>
        <v>-4.3853976963467</v>
      </c>
      <c r="K186" s="24" t="n">
        <f aca="false">((AVERAGE(H184:H186)/AVERAGE(H181:H183))^4-1)*100</f>
        <v>-16.4210536331723</v>
      </c>
      <c r="L186" s="24" t="n">
        <f aca="false">IFERROR(('SA Data'!W186/'SA Data'!W174-1)*100,"")</f>
        <v>-13.0797449241609</v>
      </c>
      <c r="M186" s="24" t="n">
        <f aca="false">IFERROR((AVERAGE('SA Data'!W175:W186)/AVERAGE('SA Data'!W163:W174)-1)*100,"")</f>
        <v>-2.95710468627607</v>
      </c>
      <c r="N186" s="23" t="n">
        <f aca="false">'SA Data'!T186</f>
        <v>155.85612528467</v>
      </c>
      <c r="O186" s="24" t="n">
        <f aca="false">(N186/N185-1)*100</f>
        <v>-0.834020706209537</v>
      </c>
      <c r="P186" s="24" t="n">
        <f aca="false">(AVERAGE(N184:N186)/AVERAGE(N181:N183)-1)*100</f>
        <v>-2.28941869699792</v>
      </c>
      <c r="Q186" s="24" t="n">
        <f aca="false">((AVERAGE(N184:N186)/AVERAGE(N181:N183))^4-1)*100</f>
        <v>-8.8479609755451</v>
      </c>
      <c r="R186" s="24" t="n">
        <f aca="false">IFERROR(('SA Data'!X186/'SA Data'!X174-1)*100,"")</f>
        <v>-4.32104058261882</v>
      </c>
      <c r="S186" s="24" t="n">
        <f aca="false">IFERROR((AVERAGE('SA Data'!X175:X186)/AVERAGE('SA Data'!X163:X174)-1)*100,"")</f>
        <v>-0.597561609934605</v>
      </c>
    </row>
    <row r="187" customFormat="false" ht="15" hidden="false" customHeight="false" outlineLevel="0" collapsed="false">
      <c r="A187" s="20" t="n">
        <v>43496</v>
      </c>
      <c r="B187" s="23" t="n">
        <f aca="false">'SA Data'!R187</f>
        <v>110.455617105282</v>
      </c>
      <c r="C187" s="24" t="n">
        <f aca="false">(B187/B186-1)*100</f>
        <v>-3.10182229886732</v>
      </c>
      <c r="D187" s="24" t="n">
        <f aca="false">(AVERAGE(B185:B187)/AVERAGE(B182:B184)-1)*100</f>
        <v>0.759620254682947</v>
      </c>
      <c r="E187" s="24" t="n">
        <f aca="false">((AVERAGE(B185:B187)/AVERAGE(B182:B184))^4-1)*100</f>
        <v>3.07327805488915</v>
      </c>
      <c r="F187" s="24" t="n">
        <f aca="false">IFERROR(('SA Data'!V187/'SA Data'!V175-1)*100,"")</f>
        <v>7.27093359925015</v>
      </c>
      <c r="G187" s="24" t="n">
        <f aca="false">IFERROR((AVERAGE('SA Data'!V187:V187)/AVERAGE('SA Data'!V175:V175)-1)*100,"")</f>
        <v>7.27093359925015</v>
      </c>
      <c r="H187" s="23" t="n">
        <f aca="false">'SA Data'!S187</f>
        <v>118.629192754398</v>
      </c>
      <c r="I187" s="24" t="n">
        <f aca="false">(H187/H186-1)*100</f>
        <v>3.27920739474521</v>
      </c>
      <c r="J187" s="24" t="n">
        <f aca="false">(AVERAGE(H185:H187)/AVERAGE(H182:H184)-1)*100</f>
        <v>-4.57702142176573</v>
      </c>
      <c r="K187" s="24" t="n">
        <f aca="false">((AVERAGE(H185:H187)/AVERAGE(H182:H184))^4-1)*100</f>
        <v>-17.0890531532339</v>
      </c>
      <c r="L187" s="24" t="n">
        <f aca="false">IFERROR(('SA Data'!W187/'SA Data'!W175-1)*100,"")</f>
        <v>-9.17426638406703</v>
      </c>
      <c r="M187" s="24" t="n">
        <f aca="false">IFERROR((AVERAGE('SA Data'!W187:W187)/AVERAGE('SA Data'!W175:W175)-1)*100,"")</f>
        <v>-9.17426638406703</v>
      </c>
      <c r="N187" s="23" t="n">
        <f aca="false">'SA Data'!T187</f>
        <v>155.779028884451</v>
      </c>
      <c r="O187" s="24" t="n">
        <f aca="false">(N187/N186-1)*100</f>
        <v>-0.0494663909286763</v>
      </c>
      <c r="P187" s="24" t="n">
        <f aca="false">(AVERAGE(N185:N187)/AVERAGE(N182:N184)-1)*100</f>
        <v>-2.25321636910104</v>
      </c>
      <c r="Q187" s="24" t="n">
        <f aca="false">((AVERAGE(N185:N187)/AVERAGE(N182:N184))^4-1)*100</f>
        <v>-8.71279647766565</v>
      </c>
      <c r="R187" s="24" t="n">
        <f aca="false">IFERROR(('SA Data'!X187/'SA Data'!X175-1)*100,"")</f>
        <v>-4.44714501091046</v>
      </c>
      <c r="S187" s="24" t="n">
        <f aca="false">IFERROR((AVERAGE('SA Data'!X187:X187)/AVERAGE('SA Data'!X175:X175)-1)*100,"")</f>
        <v>-4.44714501091046</v>
      </c>
    </row>
    <row r="188" customFormat="false" ht="15" hidden="false" customHeight="false" outlineLevel="0" collapsed="false">
      <c r="A188" s="20" t="n">
        <v>43524</v>
      </c>
      <c r="B188" s="23" t="n">
        <f aca="false">'SA Data'!R188</f>
        <v>118.32334370242</v>
      </c>
      <c r="C188" s="24" t="n">
        <f aca="false">(B188/B187-1)*100</f>
        <v>7.12297554739945</v>
      </c>
      <c r="D188" s="24" t="n">
        <f aca="false">(AVERAGE(B186:B188)/AVERAGE(B183:B185)-1)*100</f>
        <v>1.58061537063789</v>
      </c>
      <c r="E188" s="24" t="n">
        <f aca="false">((AVERAGE(B186:B188)/AVERAGE(B183:B185))^4-1)*100</f>
        <v>6.47394799024446</v>
      </c>
      <c r="F188" s="24" t="n">
        <f aca="false">IFERROR(('SA Data'!V188/'SA Data'!V176-1)*100,"")</f>
        <v>3.35414961368234</v>
      </c>
      <c r="G188" s="24" t="n">
        <f aca="false">IFERROR((AVERAGE('SA Data'!V187:V188)/AVERAGE('SA Data'!V175:V176)-1)*100,"")</f>
        <v>5.22199415481432</v>
      </c>
      <c r="H188" s="23" t="n">
        <f aca="false">'SA Data'!S188</f>
        <v>120.58664606682</v>
      </c>
      <c r="I188" s="24" t="n">
        <f aca="false">(H188/H187-1)*100</f>
        <v>1.65006038309228</v>
      </c>
      <c r="J188" s="24" t="n">
        <f aca="false">(AVERAGE(H186:H188)/AVERAGE(H183:H185)-1)*100</f>
        <v>-2.10114748885155</v>
      </c>
      <c r="K188" s="24" t="n">
        <f aca="false">((AVERAGE(H186:H188)/AVERAGE(H183:H185))^4-1)*100</f>
        <v>-8.14339169439912</v>
      </c>
      <c r="L188" s="24" t="n">
        <f aca="false">IFERROR(('SA Data'!W188/'SA Data'!W176-1)*100,"")</f>
        <v>-5.77778431649873</v>
      </c>
      <c r="M188" s="24" t="n">
        <f aca="false">IFERROR((AVERAGE('SA Data'!W187:W188)/AVERAGE('SA Data'!W175:W176)-1)*100,"")</f>
        <v>-7.50923122207422</v>
      </c>
      <c r="N188" s="23" t="n">
        <f aca="false">'SA Data'!T188</f>
        <v>156.891991154384</v>
      </c>
      <c r="O188" s="24" t="n">
        <f aca="false">(N188/N187-1)*100</f>
        <v>0.714449356825075</v>
      </c>
      <c r="P188" s="24" t="n">
        <f aca="false">(AVERAGE(N186:N188)/AVERAGE(N183:N185)-1)*100</f>
        <v>-1.28526887568939</v>
      </c>
      <c r="Q188" s="24" t="n">
        <f aca="false">((AVERAGE(N186:N188)/AVERAGE(N183:N185))^4-1)*100</f>
        <v>-5.04280707149247</v>
      </c>
      <c r="R188" s="24" t="n">
        <f aca="false">IFERROR(('SA Data'!X188/'SA Data'!X176-1)*100,"")</f>
        <v>-4.05906642430608</v>
      </c>
      <c r="S188" s="24" t="n">
        <f aca="false">IFERROR((AVERAGE('SA Data'!X187:X188)/AVERAGE('SA Data'!X175:X176)-1)*100,"")</f>
        <v>-4.25454022440439</v>
      </c>
    </row>
    <row r="189" customFormat="false" ht="15" hidden="false" customHeight="false" outlineLevel="0" collapsed="false">
      <c r="A189" s="20" t="n">
        <v>43555</v>
      </c>
      <c r="B189" s="23" t="n">
        <f aca="false">'SA Data'!R189</f>
        <v>122.698238335962</v>
      </c>
      <c r="C189" s="24" t="n">
        <f aca="false">(B189/B188-1)*100</f>
        <v>3.69740618938654</v>
      </c>
      <c r="D189" s="24" t="n">
        <f aca="false">(AVERAGE(B187:B189)/AVERAGE(B184:B186)-1)*100</f>
        <v>2.84429193528633</v>
      </c>
      <c r="E189" s="24" t="n">
        <f aca="false">((AVERAGE(B187:B189)/AVERAGE(B184:B186))^4-1)*100</f>
        <v>11.8718371108279</v>
      </c>
      <c r="F189" s="24" t="n">
        <f aca="false">IFERROR(('SA Data'!V189/'SA Data'!V177-1)*100,"")</f>
        <v>10.8448789523729</v>
      </c>
      <c r="G189" s="24" t="n">
        <f aca="false">IFERROR((AVERAGE('SA Data'!V187:V189)/AVERAGE('SA Data'!V175:V177)-1)*100,"")</f>
        <v>8.0317511143668</v>
      </c>
      <c r="H189" s="23" t="n">
        <f aca="false">'SA Data'!S189</f>
        <v>119.658012281594</v>
      </c>
      <c r="I189" s="24" t="n">
        <f aca="false">(H189/H188-1)*100</f>
        <v>-0.770096702674872</v>
      </c>
      <c r="J189" s="24" t="n">
        <f aca="false">(AVERAGE(H187:H189)/AVERAGE(H184:H186)-1)*100</f>
        <v>1.0400713493542</v>
      </c>
      <c r="K189" s="24" t="n">
        <f aca="false">((AVERAGE(H187:H189)/AVERAGE(H184:H186))^4-1)*100</f>
        <v>4.22564151051337</v>
      </c>
      <c r="L189" s="24" t="n">
        <f aca="false">IFERROR(('SA Data'!W189/'SA Data'!W177-1)*100,"")</f>
        <v>-10.9676187601705</v>
      </c>
      <c r="M189" s="24" t="n">
        <f aca="false">IFERROR((AVERAGE('SA Data'!W187:W189)/AVERAGE('SA Data'!W175:W177)-1)*100,"")</f>
        <v>-8.74789945048758</v>
      </c>
      <c r="N189" s="23" t="n">
        <f aca="false">'SA Data'!T189</f>
        <v>156.311044808237</v>
      </c>
      <c r="O189" s="24" t="n">
        <f aca="false">(N189/N188-1)*100</f>
        <v>-0.370284258534714</v>
      </c>
      <c r="P189" s="24" t="n">
        <f aca="false">(AVERAGE(N187:N189)/AVERAGE(N184:N186)-1)*100</f>
        <v>-0.562482311782075</v>
      </c>
      <c r="Q189" s="24" t="n">
        <f aca="false">((AVERAGE(N187:N189)/AVERAGE(N184:N186))^4-1)*100</f>
        <v>-2.23101715065438</v>
      </c>
      <c r="R189" s="24" t="n">
        <f aca="false">IFERROR(('SA Data'!X189/'SA Data'!X177-1)*100,"")</f>
        <v>-5.85424129177611</v>
      </c>
      <c r="S189" s="24" t="n">
        <f aca="false">IFERROR((AVERAGE('SA Data'!X187:X189)/AVERAGE('SA Data'!X175:X177)-1)*100,"")</f>
        <v>-4.80511731603504</v>
      </c>
    </row>
    <row r="190" customFormat="false" ht="15" hidden="false" customHeight="false" outlineLevel="0" collapsed="false">
      <c r="A190" s="20" t="n">
        <v>43585</v>
      </c>
      <c r="B190" s="23" t="n">
        <f aca="false">'SA Data'!R190</f>
        <v>126.855699195951</v>
      </c>
      <c r="C190" s="24" t="n">
        <f aca="false">(B190/B189-1)*100</f>
        <v>3.3883623077011</v>
      </c>
      <c r="D190" s="24" t="n">
        <f aca="false">(AVERAGE(B188:B190)/AVERAGE(B185:B187)-1)*100</f>
        <v>8.81068525688729</v>
      </c>
      <c r="E190" s="24" t="n">
        <f aca="false">((AVERAGE(B188:B190)/AVERAGE(B185:B187))^4-1)*100</f>
        <v>40.1800406085366</v>
      </c>
      <c r="F190" s="24" t="n">
        <f aca="false">IFERROR(('SA Data'!V190/'SA Data'!V178-1)*100,"")</f>
        <v>41.4362978848054</v>
      </c>
      <c r="G190" s="24" t="n">
        <f aca="false">IFERROR((AVERAGE('SA Data'!V187:V190)/AVERAGE('SA Data'!V175:V178)-1)*100,"")</f>
        <v>20.0428924417294</v>
      </c>
      <c r="H190" s="23" t="n">
        <f aca="false">'SA Data'!S190</f>
        <v>122.338834194047</v>
      </c>
      <c r="I190" s="24" t="n">
        <f aca="false">(H190/H189-1)*100</f>
        <v>2.24040318014356</v>
      </c>
      <c r="J190" s="24" t="n">
        <f aca="false">(AVERAGE(H188:H190)/AVERAGE(H185:H187)-1)*100</f>
        <v>2.9625402757268</v>
      </c>
      <c r="K190" s="24" t="n">
        <f aca="false">((AVERAGE(H188:H190)/AVERAGE(H185:H187))^4-1)*100</f>
        <v>12.3872372911042</v>
      </c>
      <c r="L190" s="24" t="n">
        <f aca="false">IFERROR(('SA Data'!W190/'SA Data'!W178-1)*100,"")</f>
        <v>-6.89642606302189</v>
      </c>
      <c r="M190" s="24" t="n">
        <f aca="false">IFERROR((AVERAGE('SA Data'!W187:W190)/AVERAGE('SA Data'!W175:W178)-1)*100,"")</f>
        <v>-8.27857107583903</v>
      </c>
      <c r="N190" s="23" t="n">
        <f aca="false">'SA Data'!T190</f>
        <v>159.013102816493</v>
      </c>
      <c r="O190" s="24" t="n">
        <f aca="false">(N190/N189-1)*100</f>
        <v>1.72864176780978</v>
      </c>
      <c r="P190" s="24" t="n">
        <f aca="false">(AVERAGE(N188:N190)/AVERAGE(N185:N187)-1)*100</f>
        <v>0.728250726845436</v>
      </c>
      <c r="Q190" s="24" t="n">
        <f aca="false">((AVERAGE(N188:N190)/AVERAGE(N185:N187))^4-1)*100</f>
        <v>2.94497862677416</v>
      </c>
      <c r="R190" s="24" t="n">
        <f aca="false">IFERROR(('SA Data'!X190/'SA Data'!X178-1)*100,"")</f>
        <v>-3.88469446326544</v>
      </c>
      <c r="S190" s="24" t="n">
        <f aca="false">IFERROR((AVERAGE('SA Data'!X187:X190)/AVERAGE('SA Data'!X175:X178)-1)*100,"")</f>
        <v>-4.57441983862155</v>
      </c>
    </row>
    <row r="191" customFormat="false" ht="15" hidden="false" customHeight="false" outlineLevel="0" collapsed="false">
      <c r="A191" s="20" t="n">
        <v>43616</v>
      </c>
      <c r="B191" s="23" t="n">
        <f aca="false">'SA Data'!R191</f>
        <v>131.455616754831</v>
      </c>
      <c r="C191" s="24" t="n">
        <f aca="false">(B191/B190-1)*100</f>
        <v>3.62610240457082</v>
      </c>
      <c r="D191" s="24" t="n">
        <f aca="false">(AVERAGE(B189:B191)/AVERAGE(B186:B188)-1)*100</f>
        <v>11.1559125280418</v>
      </c>
      <c r="E191" s="24" t="n">
        <f aca="false">((AVERAGE(B189:B191)/AVERAGE(B186:B188))^4-1)*100</f>
        <v>52.6617629560876</v>
      </c>
      <c r="F191" s="24" t="n">
        <f aca="false">IFERROR(('SA Data'!V191/'SA Data'!V179-1)*100,"")</f>
        <v>52.2210680259358</v>
      </c>
      <c r="G191" s="24" t="n">
        <f aca="false">IFERROR((AVERAGE('SA Data'!V187:V191)/AVERAGE('SA Data'!V175:V179)-1)*100,"")</f>
        <v>30.6538313757298</v>
      </c>
      <c r="H191" s="23" t="n">
        <f aca="false">'SA Data'!S191</f>
        <v>125.004712127356</v>
      </c>
      <c r="I191" s="24" t="n">
        <f aca="false">(H191/H190-1)*100</f>
        <v>2.17909378560921</v>
      </c>
      <c r="J191" s="24" t="n">
        <f aca="false">(AVERAGE(H189:H191)/AVERAGE(H186:H188)-1)*100</f>
        <v>3.64978729231422</v>
      </c>
      <c r="K191" s="24" t="n">
        <f aca="false">((AVERAGE(H189:H191)/AVERAGE(H186:H188))^4-1)*100</f>
        <v>15.418030903282</v>
      </c>
      <c r="L191" s="24" t="n">
        <f aca="false">IFERROR(('SA Data'!W191/'SA Data'!W179-1)*100,"")</f>
        <v>-4.87211559365484</v>
      </c>
      <c r="M191" s="24" t="n">
        <f aca="false">IFERROR((AVERAGE('SA Data'!W187:W191)/AVERAGE('SA Data'!W175:W179)-1)*100,"")</f>
        <v>-7.56470644516694</v>
      </c>
      <c r="N191" s="23" t="n">
        <f aca="false">'SA Data'!T191</f>
        <v>159.996948097921</v>
      </c>
      <c r="O191" s="24" t="n">
        <f aca="false">(N191/N190-1)*100</f>
        <v>0.618719630019426</v>
      </c>
      <c r="P191" s="24" t="n">
        <f aca="false">(AVERAGE(N189:N191)/AVERAGE(N186:N188)-1)*100</f>
        <v>1.45006548008133</v>
      </c>
      <c r="Q191" s="24" t="n">
        <f aca="false">((AVERAGE(N189:N191)/AVERAGE(N186:N188))^4-1)*100</f>
        <v>5.92764735063525</v>
      </c>
      <c r="R191" s="24" t="n">
        <f aca="false">IFERROR(('SA Data'!X191/'SA Data'!X179-1)*100,"")</f>
        <v>-3.3798687649138</v>
      </c>
      <c r="S191" s="24" t="n">
        <f aca="false">IFERROR((AVERAGE('SA Data'!X187:X191)/AVERAGE('SA Data'!X175:X179)-1)*100,"")</f>
        <v>-4.33101786251988</v>
      </c>
    </row>
    <row r="192" customFormat="false" ht="15" hidden="false" customHeight="false" outlineLevel="0" collapsed="false">
      <c r="A192" s="20" t="n">
        <v>43646</v>
      </c>
      <c r="B192" s="23" t="n">
        <f aca="false">'SA Data'!R192</f>
        <v>128.574038518169</v>
      </c>
      <c r="C192" s="24" t="n">
        <f aca="false">(B192/B191-1)*100</f>
        <v>-2.19205409992937</v>
      </c>
      <c r="D192" s="24" t="n">
        <f aca="false">(AVERAGE(B190:B192)/AVERAGE(B187:B189)-1)*100</f>
        <v>10.0740973842843</v>
      </c>
      <c r="E192" s="24" t="n">
        <f aca="false">((AVERAGE(B190:B192)/AVERAGE(B187:B189))^4-1)*100</f>
        <v>46.8048932576263</v>
      </c>
      <c r="F192" s="24" t="n">
        <f aca="false">IFERROR(('SA Data'!V192/'SA Data'!V180-1)*100,"")</f>
        <v>47.6788899530256</v>
      </c>
      <c r="G192" s="24" t="n">
        <f aca="false">IFERROR((AVERAGE('SA Data'!V187:V192)/AVERAGE('SA Data'!V175:V180)-1)*100,"")</f>
        <v>33.7586975163512</v>
      </c>
      <c r="H192" s="23" t="n">
        <f aca="false">'SA Data'!S192</f>
        <v>119.402647341898</v>
      </c>
      <c r="I192" s="24" t="n">
        <f aca="false">(H192/H191-1)*100</f>
        <v>-4.48148288982182</v>
      </c>
      <c r="J192" s="24" t="n">
        <f aca="false">(AVERAGE(H190:H192)/AVERAGE(H187:H189)-1)*100</f>
        <v>2.19362389772826</v>
      </c>
      <c r="K192" s="24" t="n">
        <f aca="false">((AVERAGE(H190:H192)/AVERAGE(H187:H189))^4-1)*100</f>
        <v>9.06746016922417</v>
      </c>
      <c r="L192" s="24" t="n">
        <f aca="false">IFERROR(('SA Data'!W192/'SA Data'!W180-1)*100,"")</f>
        <v>-6.35543695209164</v>
      </c>
      <c r="M192" s="24" t="n">
        <f aca="false">IFERROR((AVERAGE('SA Data'!W187:W192)/AVERAGE('SA Data'!W175:W180)-1)*100,"")</f>
        <v>-7.35907919420203</v>
      </c>
      <c r="N192" s="23" t="n">
        <f aca="false">'SA Data'!T192</f>
        <v>158.049406971831</v>
      </c>
      <c r="O192" s="24" t="n">
        <f aca="false">(N192/N191-1)*100</f>
        <v>-1.21723642184626</v>
      </c>
      <c r="P192" s="24" t="n">
        <f aca="false">(AVERAGE(N190:N192)/AVERAGE(N187:N189)-1)*100</f>
        <v>1.7223245076134</v>
      </c>
      <c r="Q192" s="24" t="n">
        <f aca="false">((AVERAGE(N190:N192)/AVERAGE(N187:N189))^4-1)*100</f>
        <v>7.06933457510977</v>
      </c>
      <c r="R192" s="24" t="n">
        <f aca="false">IFERROR(('SA Data'!X192/'SA Data'!X180-1)*100,"")</f>
        <v>-3.0925199825976</v>
      </c>
      <c r="S192" s="24" t="n">
        <f aca="false">IFERROR((AVERAGE('SA Data'!X187:X192)/AVERAGE('SA Data'!X175:X180)-1)*100,"")</f>
        <v>-4.1235914580795</v>
      </c>
    </row>
    <row r="193" customFormat="false" ht="15" hidden="false" customHeight="false" outlineLevel="0" collapsed="false">
      <c r="A193" s="20" t="n">
        <v>43677</v>
      </c>
      <c r="B193" s="23" t="n">
        <f aca="false">'SA Data'!R193</f>
        <v>124.151607541434</v>
      </c>
      <c r="C193" s="24" t="n">
        <f aca="false">(B193/B192-1)*100</f>
        <v>-3.43959871503174</v>
      </c>
      <c r="D193" s="24" t="n">
        <f aca="false">(AVERAGE(B191:B193)/AVERAGE(B188:B190)-1)*100</f>
        <v>4.43190770721031</v>
      </c>
      <c r="E193" s="24" t="n">
        <f aca="false">((AVERAGE(B191:B193)/AVERAGE(B188:B190))^4-1)*100</f>
        <v>18.9413452533205</v>
      </c>
      <c r="F193" s="24" t="n">
        <f aca="false">IFERROR(('SA Data'!V193/'SA Data'!V181-1)*100,"")</f>
        <v>19.2267819902628</v>
      </c>
      <c r="G193" s="24" t="n">
        <f aca="false">IFERROR((AVERAGE('SA Data'!V187:V193)/AVERAGE('SA Data'!V175:V181)-1)*100,"")</f>
        <v>32.0816608492977</v>
      </c>
      <c r="H193" s="23" t="n">
        <f aca="false">'SA Data'!S193</f>
        <v>122.042204003317</v>
      </c>
      <c r="I193" s="24" t="n">
        <f aca="false">(H193/H192-1)*100</f>
        <v>2.21063495674565</v>
      </c>
      <c r="J193" s="24" t="n">
        <f aca="false">(AVERAGE(H191:H193)/AVERAGE(H188:H190)-1)*100</f>
        <v>1.06625674075818</v>
      </c>
      <c r="K193" s="24" t="n">
        <f aca="false">((AVERAGE(H191:H193)/AVERAGE(H188:H190))^4-1)*100</f>
        <v>4.33372735419628</v>
      </c>
      <c r="L193" s="24" t="n">
        <f aca="false">IFERROR(('SA Data'!W193/'SA Data'!W181-1)*100,"")</f>
        <v>-0.731004770846044</v>
      </c>
      <c r="M193" s="24" t="n">
        <f aca="false">IFERROR((AVERAGE('SA Data'!W187:W193)/AVERAGE('SA Data'!W175:W181)-1)*100,"")</f>
        <v>-6.41343204783916</v>
      </c>
      <c r="N193" s="23" t="n">
        <f aca="false">'SA Data'!T193</f>
        <v>159.969473209736</v>
      </c>
      <c r="O193" s="24" t="n">
        <f aca="false">(N193/N192-1)*100</f>
        <v>1.21485190909147</v>
      </c>
      <c r="P193" s="24" t="n">
        <f aca="false">(AVERAGE(N191:N193)/AVERAGE(N188:N190)-1)*100</f>
        <v>1.2281853634585</v>
      </c>
      <c r="Q193" s="24" t="n">
        <f aca="false">((AVERAGE(N191:N193)/AVERAGE(N188:N190))^4-1)*100</f>
        <v>5.0039911436655</v>
      </c>
      <c r="R193" s="24" t="n">
        <f aca="false">IFERROR(('SA Data'!X193/'SA Data'!X181-1)*100,"")</f>
        <v>-1.31956192561976</v>
      </c>
      <c r="S193" s="24" t="n">
        <f aca="false">IFERROR((AVERAGE('SA Data'!X187:X193)/AVERAGE('SA Data'!X175:X181)-1)*100,"")</f>
        <v>-3.72319288394863</v>
      </c>
    </row>
    <row r="194" customFormat="false" ht="15" hidden="false" customHeight="false" outlineLevel="0" collapsed="false">
      <c r="A194" s="20" t="n">
        <v>43708</v>
      </c>
      <c r="B194" s="23" t="n">
        <f aca="false">'SA Data'!R194</f>
        <v>117.607797617014</v>
      </c>
      <c r="C194" s="24" t="n">
        <f aca="false">(B194/B193-1)*100</f>
        <v>-5.27082174287269</v>
      </c>
      <c r="D194" s="24" t="n">
        <f aca="false">(AVERAGE(B192:B194)/AVERAGE(B189:B191)-1)*100</f>
        <v>-2.80205850221092</v>
      </c>
      <c r="E194" s="24" t="n">
        <f aca="false">((AVERAGE(B192:B194)/AVERAGE(B189:B191))^4-1)*100</f>
        <v>-10.7458806319326</v>
      </c>
      <c r="F194" s="24" t="n">
        <f aca="false">IFERROR(('SA Data'!V194/'SA Data'!V182-1)*100,"")</f>
        <v>4.40369851623181</v>
      </c>
      <c r="G194" s="24" t="n">
        <f aca="false">IFERROR((AVERAGE('SA Data'!V187:V194)/AVERAGE('SA Data'!V175:V182)-1)*100,"")</f>
        <v>29.9661538507674</v>
      </c>
      <c r="H194" s="23" t="n">
        <f aca="false">'SA Data'!S194</f>
        <v>120.438285392845</v>
      </c>
      <c r="I194" s="24" t="n">
        <f aca="false">(H194/H193-1)*100</f>
        <v>-1.31423274724618</v>
      </c>
      <c r="J194" s="24" t="n">
        <f aca="false">(AVERAGE(H192:H194)/AVERAGE(H189:H191)-1)*100</f>
        <v>-1.39465943534961</v>
      </c>
      <c r="K194" s="24" t="n">
        <f aca="false">((AVERAGE(H192:H194)/AVERAGE(H189:H191))^4-1)*100</f>
        <v>-5.46301454849268</v>
      </c>
      <c r="L194" s="24" t="n">
        <f aca="false">IFERROR(('SA Data'!W194/'SA Data'!W182-1)*100,"")</f>
        <v>-5.01149282547701</v>
      </c>
      <c r="M194" s="24" t="n">
        <f aca="false">IFERROR((AVERAGE('SA Data'!W187:W194)/AVERAGE('SA Data'!W175:W182)-1)*100,"")</f>
        <v>-6.22867798800304</v>
      </c>
      <c r="N194" s="23" t="n">
        <f aca="false">'SA Data'!T194</f>
        <v>157.410980290415</v>
      </c>
      <c r="O194" s="24" t="n">
        <f aca="false">(N194/N193-1)*100</f>
        <v>-1.59936322098554</v>
      </c>
      <c r="P194" s="24" t="n">
        <f aca="false">(AVERAGE(N192:N194)/AVERAGE(N189:N191)-1)*100</f>
        <v>0.0228823736857731</v>
      </c>
      <c r="Q194" s="24" t="n">
        <f aca="false">((AVERAGE(N192:N194)/AVERAGE(N189:N191))^4-1)*100</f>
        <v>0.0915609157174036</v>
      </c>
      <c r="R194" s="24" t="n">
        <f aca="false">IFERROR(('SA Data'!X194/'SA Data'!X182-1)*100,"")</f>
        <v>-3.41799750101571</v>
      </c>
      <c r="S194" s="24" t="n">
        <f aca="false">IFERROR((AVERAGE('SA Data'!X187:X194)/AVERAGE('SA Data'!X175:X182)-1)*100,"")</f>
        <v>-3.68506802979802</v>
      </c>
    </row>
    <row r="195" customFormat="false" ht="15" hidden="false" customHeight="false" outlineLevel="0" collapsed="false">
      <c r="A195" s="20" t="n">
        <v>43738</v>
      </c>
      <c r="B195" s="23" t="n">
        <f aca="false">'SA Data'!R195</f>
        <v>115.650798964712</v>
      </c>
      <c r="C195" s="24" t="n">
        <f aca="false">(B195/B194-1)*100</f>
        <v>-1.66400416635172</v>
      </c>
      <c r="D195" s="24" t="n">
        <f aca="false">(AVERAGE(B193:B195)/AVERAGE(B190:B192)-1)*100</f>
        <v>-7.61857485824183</v>
      </c>
      <c r="E195" s="24" t="n">
        <f aca="false">((AVERAGE(B193:B195)/AVERAGE(B190:B192))^4-1)*100</f>
        <v>-27.1652505174637</v>
      </c>
      <c r="F195" s="24" t="n">
        <f aca="false">IFERROR(('SA Data'!V195/'SA Data'!V183-1)*100,"")</f>
        <v>5.54896220969403</v>
      </c>
      <c r="G195" s="24" t="n">
        <f aca="false">IFERROR((AVERAGE('SA Data'!V187:V195)/AVERAGE('SA Data'!V175:V183)-1)*100,"")</f>
        <v>28.4231305669295</v>
      </c>
      <c r="H195" s="23" t="n">
        <f aca="false">'SA Data'!S195</f>
        <v>116.4095206122</v>
      </c>
      <c r="I195" s="24" t="n">
        <f aca="false">(H195/H194-1)*100</f>
        <v>-3.34508646275068</v>
      </c>
      <c r="J195" s="24" t="n">
        <f aca="false">(AVERAGE(H193:H195)/AVERAGE(H190:H192)-1)*100</f>
        <v>-2.14213093160318</v>
      </c>
      <c r="K195" s="24" t="n">
        <f aca="false">((AVERAGE(H193:H195)/AVERAGE(H190:H192))^4-1)*100</f>
        <v>-8.29711103417046</v>
      </c>
      <c r="L195" s="24" t="n">
        <f aca="false">IFERROR(('SA Data'!W195/'SA Data'!W183-1)*100,"")</f>
        <v>-4.03189712382205</v>
      </c>
      <c r="M195" s="24" t="n">
        <f aca="false">IFERROR((AVERAGE('SA Data'!W187:W195)/AVERAGE('SA Data'!W175:W183)-1)*100,"")</f>
        <v>-5.9922088377328</v>
      </c>
      <c r="N195" s="23" t="n">
        <f aca="false">'SA Data'!T195</f>
        <v>155.929709689293</v>
      </c>
      <c r="O195" s="24" t="n">
        <f aca="false">(N195/N194-1)*100</f>
        <v>-0.941021139941756</v>
      </c>
      <c r="P195" s="24" t="n">
        <f aca="false">(AVERAGE(N193:N195)/AVERAGE(N190:N192)-1)*100</f>
        <v>-0.785917695335758</v>
      </c>
      <c r="Q195" s="24" t="n">
        <f aca="false">((AVERAGE(N193:N195)/AVERAGE(N190:N192))^4-1)*100</f>
        <v>-3.10680457645226</v>
      </c>
      <c r="R195" s="24" t="n">
        <f aca="false">IFERROR(('SA Data'!X195/'SA Data'!X183-1)*100,"")</f>
        <v>-1.78141575139176</v>
      </c>
      <c r="S195" s="24" t="n">
        <f aca="false">IFERROR((AVERAGE('SA Data'!X187:X195)/AVERAGE('SA Data'!X175:X183)-1)*100,"")</f>
        <v>-3.48209564944966</v>
      </c>
    </row>
    <row r="196" customFormat="false" ht="15" hidden="false" customHeight="false" outlineLevel="0" collapsed="false">
      <c r="A196" s="20" t="n">
        <v>43769</v>
      </c>
      <c r="B196" s="23" t="n">
        <f aca="false">'SA Data'!R196</f>
        <v>118.947498765849</v>
      </c>
      <c r="C196" s="24" t="n">
        <f aca="false">(B196/B195-1)*100</f>
        <v>2.85056379259649</v>
      </c>
      <c r="D196" s="24" t="n">
        <f aca="false">(AVERAGE(B194:B196)/AVERAGE(B191:B193)-1)*100</f>
        <v>-8.32293778010281</v>
      </c>
      <c r="E196" s="24" t="n">
        <f aca="false">((AVERAGE(B194:B196)/AVERAGE(B191:B193))^4-1)*100</f>
        <v>-29.3612912764541</v>
      </c>
      <c r="F196" s="24" t="n">
        <f aca="false">IFERROR(('SA Data'!V196/'SA Data'!V184-1)*100,"")</f>
        <v>1.17500424379942</v>
      </c>
      <c r="G196" s="24" t="n">
        <f aca="false">IFERROR((AVERAGE('SA Data'!V187:V196)/AVERAGE('SA Data'!V175:V184)-1)*100,"")</f>
        <v>26.5109081332896</v>
      </c>
      <c r="H196" s="23" t="n">
        <f aca="false">'SA Data'!S196</f>
        <v>118.020015107597</v>
      </c>
      <c r="I196" s="24" t="n">
        <f aca="false">(H196/H195-1)*100</f>
        <v>1.38347317893572</v>
      </c>
      <c r="J196" s="24" t="n">
        <f aca="false">(AVERAGE(H194:H196)/AVERAGE(H191:H193)-1)*100</f>
        <v>-3.16052835489227</v>
      </c>
      <c r="K196" s="24" t="n">
        <f aca="false">((AVERAGE(H194:H196)/AVERAGE(H191:H193))^4-1)*100</f>
        <v>-12.0553054023198</v>
      </c>
      <c r="L196" s="24" t="n">
        <f aca="false">IFERROR(('SA Data'!W196/'SA Data'!W184-1)*100,"")</f>
        <v>-2.31348102970391</v>
      </c>
      <c r="M196" s="24" t="n">
        <f aca="false">IFERROR((AVERAGE('SA Data'!W187:W196)/AVERAGE('SA Data'!W175:W184)-1)*100,"")</f>
        <v>-5.61869938668858</v>
      </c>
      <c r="N196" s="23" t="n">
        <f aca="false">'SA Data'!T196</f>
        <v>156.630274607684</v>
      </c>
      <c r="O196" s="24" t="n">
        <f aca="false">(N196/N195-1)*100</f>
        <v>0.449282513118776</v>
      </c>
      <c r="P196" s="24" t="n">
        <f aca="false">(AVERAGE(N194:N196)/AVERAGE(N191:N193)-1)*100</f>
        <v>-1.6829701478824</v>
      </c>
      <c r="Q196" s="24" t="n">
        <f aca="false">((AVERAGE(N194:N196)/AVERAGE(N191:N193))^4-1)*100</f>
        <v>-6.56383598811473</v>
      </c>
      <c r="R196" s="24" t="n">
        <f aca="false">IFERROR(('SA Data'!X196/'SA Data'!X184-1)*100,"")</f>
        <v>-1.15912007373898</v>
      </c>
      <c r="S196" s="24" t="n">
        <f aca="false">IFERROR((AVERAGE('SA Data'!X187:X196)/AVERAGE('SA Data'!X175:X184)-1)*100,"")</f>
        <v>-3.25394874725036</v>
      </c>
    </row>
    <row r="197" customFormat="false" ht="15" hidden="false" customHeight="false" outlineLevel="0" collapsed="false">
      <c r="A197" s="20" t="n">
        <v>43799</v>
      </c>
      <c r="B197" s="23" t="n">
        <f aca="false">'SA Data'!R197</f>
        <v>116.037153052193</v>
      </c>
      <c r="C197" s="24" t="n">
        <f aca="false">(B197/B196-1)*100</f>
        <v>-2.4467481400221</v>
      </c>
      <c r="D197" s="24" t="n">
        <f aca="false">(AVERAGE(B195:B197)/AVERAGE(B192:B194)-1)*100</f>
        <v>-5.31898839551298</v>
      </c>
      <c r="E197" s="24" t="n">
        <f aca="false">((AVERAGE(B195:B197)/AVERAGE(B192:B194))^4-1)*100</f>
        <v>-19.6378480689313</v>
      </c>
      <c r="F197" s="24" t="n">
        <f aca="false">IFERROR(('SA Data'!V197/'SA Data'!V185-1)*100,"")</f>
        <v>0.484888812043605</v>
      </c>
      <c r="G197" s="24" t="n">
        <f aca="false">IFERROR((AVERAGE('SA Data'!V187:V197)/AVERAGE('SA Data'!V175:V185)-1)*100,"")</f>
        <v>24.6251624509155</v>
      </c>
      <c r="H197" s="23" t="n">
        <f aca="false">'SA Data'!S197</f>
        <v>114.082569609461</v>
      </c>
      <c r="I197" s="24" t="n">
        <f aca="false">(H197/H196-1)*100</f>
        <v>-3.33625232512197</v>
      </c>
      <c r="J197" s="24" t="n">
        <f aca="false">(AVERAGE(H195:H197)/AVERAGE(H192:H194)-1)*100</f>
        <v>-3.69484788081756</v>
      </c>
      <c r="K197" s="24" t="n">
        <f aca="false">((AVERAGE(H195:H197)/AVERAGE(H192:H194))^4-1)*100</f>
        <v>-13.9802677759184</v>
      </c>
      <c r="L197" s="24" t="n">
        <f aca="false">IFERROR(('SA Data'!W197/'SA Data'!W185-1)*100,"")</f>
        <v>-3.8497125735517</v>
      </c>
      <c r="M197" s="24" t="n">
        <f aca="false">IFERROR((AVERAGE('SA Data'!W187:W197)/AVERAGE('SA Data'!W175:W185)-1)*100,"")</f>
        <v>-5.46239050452075</v>
      </c>
      <c r="N197" s="23" t="n">
        <f aca="false">'SA Data'!T197</f>
        <v>154.71223753344</v>
      </c>
      <c r="O197" s="24" t="n">
        <f aca="false">(N197/N196-1)*100</f>
        <v>-1.22456343708013</v>
      </c>
      <c r="P197" s="24" t="n">
        <f aca="false">(AVERAGE(N195:N197)/AVERAGE(N192:N194)-1)*100</f>
        <v>-1.71584482166675</v>
      </c>
      <c r="Q197" s="24" t="n">
        <f aca="false">((AVERAGE(N195:N197)/AVERAGE(N192:N194))^4-1)*100</f>
        <v>-6.68874387527346</v>
      </c>
      <c r="R197" s="24" t="n">
        <f aca="false">IFERROR(('SA Data'!X197/'SA Data'!X185-1)*100,"")</f>
        <v>-1.66434267614461</v>
      </c>
      <c r="S197" s="24" t="n">
        <f aca="false">IFERROR((AVERAGE('SA Data'!X187:X197)/AVERAGE('SA Data'!X175:X185)-1)*100,"")</f>
        <v>-3.11292874413542</v>
      </c>
    </row>
    <row r="198" customFormat="false" ht="15" hidden="false" customHeight="false" outlineLevel="0" collapsed="false">
      <c r="A198" s="20" t="n">
        <v>43830</v>
      </c>
      <c r="B198" s="23" t="n">
        <f aca="false">'SA Data'!R198</f>
        <v>109.254639959966</v>
      </c>
      <c r="C198" s="24" t="n">
        <f aca="false">(B198/B197-1)*100</f>
        <v>-5.8451219405355</v>
      </c>
      <c r="D198" s="24" t="n">
        <f aca="false">(AVERAGE(B196:B198)/AVERAGE(B193:B195)-1)*100</f>
        <v>-3.68509689796476</v>
      </c>
      <c r="E198" s="24" t="n">
        <f aca="false">((AVERAGE(B196:B198)/AVERAGE(B193:B195))^4-1)*100</f>
        <v>-13.9454241849191</v>
      </c>
      <c r="F198" s="24" t="n">
        <f aca="false">IFERROR(('SA Data'!V198/'SA Data'!V186-1)*100,"")</f>
        <v>-1.00068011353494</v>
      </c>
      <c r="G198" s="24" t="n">
        <f aca="false">IFERROR((AVERAGE('SA Data'!V187:V198)/AVERAGE('SA Data'!V175:V186)-1)*100,"")</f>
        <v>22.6983204753393</v>
      </c>
      <c r="H198" s="23" t="n">
        <f aca="false">'SA Data'!S198</f>
        <v>113.959049499135</v>
      </c>
      <c r="I198" s="24" t="n">
        <f aca="false">(H198/H197-1)*100</f>
        <v>-0.108272552721245</v>
      </c>
      <c r="J198" s="24" t="n">
        <f aca="false">(AVERAGE(H196:H198)/AVERAGE(H193:H195)-1)*100</f>
        <v>-3.57445886885251</v>
      </c>
      <c r="K198" s="24" t="n">
        <f aca="false">((AVERAGE(H196:H198)/AVERAGE(H193:H195))^4-1)*100</f>
        <v>-13.5493348534169</v>
      </c>
      <c r="L198" s="24" t="n">
        <f aca="false">IFERROR(('SA Data'!W198/'SA Data'!W186-1)*100,"")</f>
        <v>0.00941456636751603</v>
      </c>
      <c r="M198" s="24" t="n">
        <f aca="false">IFERROR((AVERAGE('SA Data'!W187:W198)/AVERAGE('SA Data'!W175:W186)-1)*100,"")</f>
        <v>-5.05374331894393</v>
      </c>
      <c r="N198" s="23" t="n">
        <f aca="false">'SA Data'!T198</f>
        <v>154.048812412124</v>
      </c>
      <c r="O198" s="24" t="n">
        <f aca="false">(N198/N197-1)*100</f>
        <v>-0.428812311096016</v>
      </c>
      <c r="P198" s="24" t="n">
        <f aca="false">(AVERAGE(N196:N198)/AVERAGE(N193:N195)-1)*100</f>
        <v>-1.67307597682553</v>
      </c>
      <c r="Q198" s="24" t="n">
        <f aca="false">((AVERAGE(N196:N198)/AVERAGE(N193:N195))^4-1)*100</f>
        <v>-6.52621837690445</v>
      </c>
      <c r="R198" s="24" t="n">
        <f aca="false">IFERROR(('SA Data'!X198/'SA Data'!X186-1)*100,"")</f>
        <v>-0.418559759143233</v>
      </c>
      <c r="S198" s="24" t="n">
        <f aca="false">IFERROR((AVERAGE('SA Data'!X187:X198)/AVERAGE('SA Data'!X175:X186)-1)*100,"")</f>
        <v>-2.89789372974237</v>
      </c>
    </row>
    <row r="199" customFormat="false" ht="15" hidden="false" customHeight="false" outlineLevel="0" collapsed="false">
      <c r="A199" s="20" t="n">
        <v>43861</v>
      </c>
      <c r="B199" s="23" t="n">
        <f aca="false">'SA Data'!R199</f>
        <v>117.802183079798</v>
      </c>
      <c r="C199" s="24" t="n">
        <f aca="false">(B199/B198-1)*100</f>
        <v>7.82350582360987</v>
      </c>
      <c r="D199" s="24" t="n">
        <f aca="false">(AVERAGE(B197:B199)/AVERAGE(B194:B196)-1)*100</f>
        <v>-2.58715546834182</v>
      </c>
      <c r="E199" s="24" t="n">
        <f aca="false">((AVERAGE(B197:B199)/AVERAGE(B194:B196))^4-1)*100</f>
        <v>-9.95390138613267</v>
      </c>
      <c r="F199" s="24" t="n">
        <f aca="false">IFERROR(('SA Data'!V199/'SA Data'!V187-1)*100,"")</f>
        <v>14.6282643748599</v>
      </c>
      <c r="G199" s="24" t="n">
        <f aca="false">IFERROR((AVERAGE('SA Data'!V199:V199)/AVERAGE('SA Data'!V187:V187)-1)*100,"")</f>
        <v>14.6282643748599</v>
      </c>
      <c r="H199" s="23" t="n">
        <f aca="false">'SA Data'!S199</f>
        <v>113.811480739839</v>
      </c>
      <c r="I199" s="24" t="n">
        <f aca="false">(H199/H198-1)*100</f>
        <v>-0.129492795827868</v>
      </c>
      <c r="J199" s="24" t="n">
        <f aca="false">(AVERAGE(H197:H199)/AVERAGE(H194:H196)-1)*100</f>
        <v>-3.667484198314</v>
      </c>
      <c r="K199" s="24" t="n">
        <f aca="false">((AVERAGE(H197:H199)/AVERAGE(H194:H196))^4-1)*100</f>
        <v>-13.8824611691876</v>
      </c>
      <c r="L199" s="24" t="n">
        <f aca="false">IFERROR(('SA Data'!W199/'SA Data'!W187-1)*100,"")</f>
        <v>-4.23105274767623</v>
      </c>
      <c r="M199" s="24" t="n">
        <f aca="false">IFERROR((AVERAGE('SA Data'!W199:W199)/AVERAGE('SA Data'!W187:W187)-1)*100,"")</f>
        <v>-4.23105274767623</v>
      </c>
      <c r="N199" s="23" t="n">
        <f aca="false">'SA Data'!T199</f>
        <v>153.887331855641</v>
      </c>
      <c r="O199" s="24" t="n">
        <f aca="false">(N199/N198-1)*100</f>
        <v>-0.104824278717175</v>
      </c>
      <c r="P199" s="24" t="n">
        <f aca="false">(AVERAGE(N197:N199)/AVERAGE(N194:N196)-1)*100</f>
        <v>-1.5580925925106</v>
      </c>
      <c r="Q199" s="24" t="n">
        <f aca="false">((AVERAGE(N197:N199)/AVERAGE(N194:N196))^4-1)*100</f>
        <v>-6.08821832790311</v>
      </c>
      <c r="R199" s="24" t="n">
        <f aca="false">IFERROR(('SA Data'!X199/'SA Data'!X187-1)*100,"")</f>
        <v>-0.352975611647721</v>
      </c>
      <c r="S199" s="24" t="n">
        <f aca="false">IFERROR((AVERAGE('SA Data'!X199:X199)/AVERAGE('SA Data'!X187:X187)-1)*100,"")</f>
        <v>-0.352975611647721</v>
      </c>
    </row>
    <row r="200" customFormat="false" ht="15" hidden="false" customHeight="false" outlineLevel="0" collapsed="false">
      <c r="A200" s="20" t="n">
        <v>43890</v>
      </c>
      <c r="B200" s="23" t="n">
        <f aca="false">'SA Data'!R200</f>
        <v>108.013269703555</v>
      </c>
      <c r="C200" s="24" t="n">
        <f aca="false">(B200/B199-1)*100</f>
        <v>-8.30961966945278</v>
      </c>
      <c r="D200" s="24" t="n">
        <f aca="false">(AVERAGE(B198:B200)/AVERAGE(B195:B197)-1)*100</f>
        <v>-4.43918548586207</v>
      </c>
      <c r="E200" s="24" t="n">
        <f aca="false">((AVERAGE(B198:B200)/AVERAGE(B195:B197))^4-1)*100</f>
        <v>-16.6089636245714</v>
      </c>
      <c r="F200" s="24" t="n">
        <f aca="false">IFERROR(('SA Data'!V200/'SA Data'!V188-1)*100,"")</f>
        <v>-10.7524062005861</v>
      </c>
      <c r="G200" s="24" t="n">
        <f aca="false">IFERROR((AVERAGE('SA Data'!V199:V200)/AVERAGE('SA Data'!V187:V188)-1)*100,"")</f>
        <v>1.58687130567585</v>
      </c>
      <c r="H200" s="23" t="n">
        <f aca="false">'SA Data'!S200</f>
        <v>114.02260561507</v>
      </c>
      <c r="I200" s="24" t="n">
        <f aca="false">(H200/H199-1)*100</f>
        <v>0.185504022843963</v>
      </c>
      <c r="J200" s="24" t="n">
        <f aca="false">(AVERAGE(H198:H200)/AVERAGE(H195:H197)-1)*100</f>
        <v>-1.92790131891292</v>
      </c>
      <c r="K200" s="24" t="n">
        <f aca="false">((AVERAGE(H198:H200)/AVERAGE(H195:H197))^4-1)*100</f>
        <v>-7.4914495034399</v>
      </c>
      <c r="L200" s="24" t="n">
        <f aca="false">IFERROR(('SA Data'!W200/'SA Data'!W188-1)*100,"")</f>
        <v>-4.74206356586229</v>
      </c>
      <c r="M200" s="24" t="n">
        <f aca="false">IFERROR((AVERAGE('SA Data'!W199:W200)/AVERAGE('SA Data'!W187:W188)-1)*100,"")</f>
        <v>-4.48625182569418</v>
      </c>
      <c r="N200" s="23" t="n">
        <f aca="false">'SA Data'!T200</f>
        <v>153.702452736808</v>
      </c>
      <c r="O200" s="24" t="n">
        <f aca="false">(N200/N199-1)*100</f>
        <v>-0.120139271117159</v>
      </c>
      <c r="P200" s="24" t="n">
        <f aca="false">(AVERAGE(N198:N200)/AVERAGE(N195:N197)-1)*100</f>
        <v>-1.20564085829346</v>
      </c>
      <c r="Q200" s="24" t="n">
        <f aca="false">((AVERAGE(N198:N200)/AVERAGE(N195:N197))^4-1)*100</f>
        <v>-4.73604812085192</v>
      </c>
      <c r="R200" s="24" t="n">
        <f aca="false">IFERROR(('SA Data'!X200/'SA Data'!X188-1)*100,"")</f>
        <v>-1.32183817873046</v>
      </c>
      <c r="S200" s="24" t="n">
        <f aca="false">IFERROR((AVERAGE('SA Data'!X199:X200)/AVERAGE('SA Data'!X187:X188)-1)*100,"")</f>
        <v>-0.834807261466131</v>
      </c>
    </row>
    <row r="201" customFormat="false" ht="15" hidden="false" customHeight="false" outlineLevel="0" collapsed="false">
      <c r="A201" s="20" t="n">
        <v>43921</v>
      </c>
      <c r="B201" s="23" t="n">
        <f aca="false">'SA Data'!R201</f>
        <v>107.547822418865</v>
      </c>
      <c r="C201" s="24" t="n">
        <f aca="false">(B201/B200-1)*100</f>
        <v>-0.430916762326339</v>
      </c>
      <c r="D201" s="24" t="n">
        <f aca="false">(AVERAGE(B199:B201)/AVERAGE(B196:B198)-1)*100</f>
        <v>-3.15943497315926</v>
      </c>
      <c r="E201" s="24" t="n">
        <f aca="false">((AVERAGE(B199:B201)/AVERAGE(B196:B198))^4-1)*100</f>
        <v>-12.0513335198019</v>
      </c>
      <c r="F201" s="24" t="n">
        <f aca="false">IFERROR(('SA Data'!V201/'SA Data'!V189-1)*100,"")</f>
        <v>-13.9408059499509</v>
      </c>
      <c r="G201" s="24" t="n">
        <f aca="false">IFERROR((AVERAGE('SA Data'!V199:V201)/AVERAGE('SA Data'!V187:V189)-1)*100,"")</f>
        <v>-6.374360753839</v>
      </c>
      <c r="H201" s="23" t="n">
        <f aca="false">'SA Data'!S201</f>
        <v>98.3128581683377</v>
      </c>
      <c r="I201" s="24" t="n">
        <f aca="false">(H201/H200-1)*100</f>
        <v>-13.7777481596648</v>
      </c>
      <c r="J201" s="24" t="n">
        <f aca="false">(AVERAGE(H199:H201)/AVERAGE(H196:H198)-1)*100</f>
        <v>-5.75466556356384</v>
      </c>
      <c r="K201" s="24" t="n">
        <f aca="false">((AVERAGE(H199:H201)/AVERAGE(H196:H198))^4-1)*100</f>
        <v>-21.1068240347218</v>
      </c>
      <c r="L201" s="24" t="n">
        <f aca="false">IFERROR(('SA Data'!W201/'SA Data'!W189-1)*100,"")</f>
        <v>-18.1817250620793</v>
      </c>
      <c r="M201" s="24" t="n">
        <f aca="false">IFERROR((AVERAGE('SA Data'!W199:W201)/AVERAGE('SA Data'!W187:W189)-1)*100,"")</f>
        <v>-9.27215053568058</v>
      </c>
      <c r="N201" s="23" t="n">
        <f aca="false">'SA Data'!T201</f>
        <v>141.276504924637</v>
      </c>
      <c r="O201" s="24" t="n">
        <f aca="false">(N201/N200-1)*100</f>
        <v>-8.08441738626527</v>
      </c>
      <c r="P201" s="24" t="n">
        <f aca="false">(AVERAGE(N199:N201)/AVERAGE(N196:N198)-1)*100</f>
        <v>-3.55078278522379</v>
      </c>
      <c r="Q201" s="24" t="n">
        <f aca="false">((AVERAGE(N199:N201)/AVERAGE(N196:N198))^4-1)*100</f>
        <v>-13.4643960651598</v>
      </c>
      <c r="R201" s="24" t="n">
        <f aca="false">IFERROR(('SA Data'!X201/'SA Data'!X189-1)*100,"")</f>
        <v>-9.69323365069702</v>
      </c>
      <c r="S201" s="24" t="n">
        <f aca="false">IFERROR((AVERAGE('SA Data'!X199:X201)/AVERAGE('SA Data'!X187:X189)-1)*100,"")</f>
        <v>-3.85005527595326</v>
      </c>
    </row>
    <row r="202" customFormat="false" ht="15" hidden="false" customHeight="false" outlineLevel="0" collapsed="false">
      <c r="A202" s="20" t="n">
        <v>43951</v>
      </c>
      <c r="B202" s="23" t="n">
        <f aca="false">'SA Data'!R202</f>
        <v>116.406036930531</v>
      </c>
      <c r="C202" s="24" t="n">
        <f aca="false">(B202/B201-1)*100</f>
        <v>8.23653544296392</v>
      </c>
      <c r="D202" s="24" t="n">
        <f aca="false">(AVERAGE(B200:B202)/AVERAGE(B197:B199)-1)*100</f>
        <v>-3.24309017772568</v>
      </c>
      <c r="E202" s="24" t="n">
        <f aca="false">((AVERAGE(B200:B202)/AVERAGE(B197:B199))^4-1)*100</f>
        <v>-12.3548359103069</v>
      </c>
      <c r="F202" s="24" t="n">
        <f aca="false">IFERROR(('SA Data'!V202/'SA Data'!V190-1)*100,"")</f>
        <v>-8.93680428842193</v>
      </c>
      <c r="G202" s="24" t="n">
        <f aca="false">IFERROR((AVERAGE('SA Data'!V199:V202)/AVERAGE('SA Data'!V187:V190)-1)*100,"")</f>
        <v>-7.45992973758873</v>
      </c>
      <c r="H202" s="23" t="n">
        <f aca="false">'SA Data'!S202</f>
        <v>72.654446883139</v>
      </c>
      <c r="I202" s="24" t="n">
        <f aca="false">(H202/H201-1)*100</f>
        <v>-26.0987339430868</v>
      </c>
      <c r="J202" s="24" t="n">
        <f aca="false">(AVERAGE(H200:H202)/AVERAGE(H197:H199)-1)*100</f>
        <v>-16.6338082665036</v>
      </c>
      <c r="K202" s="24" t="n">
        <f aca="false">((AVERAGE(H200:H202)/AVERAGE(H197:H199))^4-1)*100</f>
        <v>-51.6985852482737</v>
      </c>
      <c r="L202" s="24" t="n">
        <f aca="false">IFERROR(('SA Data'!W202/'SA Data'!W190-1)*100,"")</f>
        <v>-40.5924361476359</v>
      </c>
      <c r="M202" s="24" t="n">
        <f aca="false">IFERROR((AVERAGE('SA Data'!W199:W202)/AVERAGE('SA Data'!W187:W190)-1)*100,"")</f>
        <v>-17.3311400701803</v>
      </c>
      <c r="N202" s="23" t="n">
        <f aca="false">'SA Data'!T202</f>
        <v>119.062131807841</v>
      </c>
      <c r="O202" s="24" t="n">
        <f aca="false">(N202/N201-1)*100</f>
        <v>-15.7240392722389</v>
      </c>
      <c r="P202" s="24" t="n">
        <f aca="false">(AVERAGE(N200:N202)/AVERAGE(N197:N199)-1)*100</f>
        <v>-10.5063141348682</v>
      </c>
      <c r="Q202" s="24" t="n">
        <f aca="false">((AVERAGE(N200:N202)/AVERAGE(N197:N199))^4-1)*100</f>
        <v>-35.8539998734403</v>
      </c>
      <c r="R202" s="24" t="n">
        <f aca="false">IFERROR(('SA Data'!X202/'SA Data'!X190-1)*100,"")</f>
        <v>-24.8591580463707</v>
      </c>
      <c r="S202" s="24" t="n">
        <f aca="false">IFERROR((AVERAGE('SA Data'!X199:X202)/AVERAGE('SA Data'!X187:X190)-1)*100,"")</f>
        <v>-9.15389876505097</v>
      </c>
    </row>
    <row r="203" customFormat="false" ht="15" hidden="false" customHeight="false" outlineLevel="0" collapsed="false">
      <c r="A203" s="20" t="n">
        <v>43982</v>
      </c>
      <c r="B203" s="23" t="n">
        <f aca="false">'SA Data'!R203</f>
        <v>116.411153477624</v>
      </c>
      <c r="C203" s="24" t="n">
        <f aca="false">(B203/B202-1)*100</f>
        <v>0.00439543105137386</v>
      </c>
      <c r="D203" s="24" t="n">
        <f aca="false">(AVERAGE(B201:B203)/AVERAGE(B198:B200)-1)*100</f>
        <v>1.58024252190032</v>
      </c>
      <c r="E203" s="24" t="n">
        <f aca="false">((AVERAGE(B201:B203)/AVERAGE(B198:B200))^4-1)*100</f>
        <v>6.4723847605523</v>
      </c>
      <c r="F203" s="24" t="n">
        <f aca="false">IFERROR(('SA Data'!V203/'SA Data'!V191-1)*100,"")</f>
        <v>-13.5802057996679</v>
      </c>
      <c r="G203" s="24" t="n">
        <f aca="false">IFERROR((AVERAGE('SA Data'!V199:V203)/AVERAGE('SA Data'!V187:V191)-1)*100,"")</f>
        <v>-9.81127294817835</v>
      </c>
      <c r="H203" s="23" t="n">
        <f aca="false">'SA Data'!S203</f>
        <v>87.9887421089288</v>
      </c>
      <c r="I203" s="24" t="n">
        <f aca="false">(H203/H202-1)*100</f>
        <v>21.1057903316698</v>
      </c>
      <c r="J203" s="24" t="n">
        <f aca="false">(AVERAGE(H201:H203)/AVERAGE(H198:H200)-1)*100</f>
        <v>-24.2360305120382</v>
      </c>
      <c r="K203" s="24" t="n">
        <f aca="false">((AVERAGE(H201:H203)/AVERAGE(H198:H200))^4-1)*100</f>
        <v>-67.0503442147971</v>
      </c>
      <c r="L203" s="24" t="n">
        <f aca="false">IFERROR(('SA Data'!W203/'SA Data'!W191-1)*100,"")</f>
        <v>-30.696652503197</v>
      </c>
      <c r="M203" s="24" t="n">
        <f aca="false">IFERROR((AVERAGE('SA Data'!W199:W203)/AVERAGE('SA Data'!W187:W191)-1)*100,"")</f>
        <v>-20.2136364795712</v>
      </c>
      <c r="N203" s="23" t="n">
        <f aca="false">'SA Data'!T203</f>
        <v>127.405367351497</v>
      </c>
      <c r="O203" s="24" t="n">
        <f aca="false">(N203/N202-1)*100</f>
        <v>7.0074635965041</v>
      </c>
      <c r="P203" s="24" t="n">
        <f aca="false">(AVERAGE(N201:N203)/AVERAGE(N198:N200)-1)*100</f>
        <v>-16.0070222464233</v>
      </c>
      <c r="Q203" s="24" t="n">
        <f aca="false">((AVERAGE(N201:N203)/AVERAGE(N198:N200))^4-1)*100</f>
        <v>-50.2295103666221</v>
      </c>
      <c r="R203" s="24" t="n">
        <f aca="false">IFERROR(('SA Data'!X203/'SA Data'!X191-1)*100,"")</f>
        <v>-20.7302398855852</v>
      </c>
      <c r="S203" s="24" t="n">
        <f aca="false">IFERROR((AVERAGE('SA Data'!X199:X203)/AVERAGE('SA Data'!X187:X191)-1)*100,"")</f>
        <v>-11.536147813662</v>
      </c>
    </row>
    <row r="204" customFormat="false" ht="15" hidden="false" customHeight="false" outlineLevel="0" collapsed="false">
      <c r="A204" s="20" t="n">
        <v>44012</v>
      </c>
      <c r="B204" s="23" t="n">
        <f aca="false">'SA Data'!R204</f>
        <v>116.245763304892</v>
      </c>
      <c r="C204" s="24" t="n">
        <f aca="false">(B204/B203-1)*100</f>
        <v>-0.142074163678396</v>
      </c>
      <c r="D204" s="24" t="n">
        <f aca="false">(AVERAGE(B202:B204)/AVERAGE(B199:B201)-1)*100</f>
        <v>4.70948052130382</v>
      </c>
      <c r="E204" s="24" t="n">
        <f aca="false">((AVERAGE(B202:B204)/AVERAGE(B199:B201))^4-1)*100</f>
        <v>20.2109474261855</v>
      </c>
      <c r="F204" s="24" t="n">
        <f aca="false">IFERROR(('SA Data'!V204/'SA Data'!V192-1)*100,"")</f>
        <v>-10.2485293849539</v>
      </c>
      <c r="G204" s="24" t="n">
        <f aca="false">IFERROR((AVERAGE('SA Data'!V199:V204)/AVERAGE('SA Data'!V187:V192)-1)*100,"")</f>
        <v>-9.8993143331783</v>
      </c>
      <c r="H204" s="23" t="n">
        <f aca="false">'SA Data'!S204</f>
        <v>103.171106572784</v>
      </c>
      <c r="I204" s="24" t="n">
        <f aca="false">(H204/H203-1)*100</f>
        <v>17.2548943193888</v>
      </c>
      <c r="J204" s="24" t="n">
        <f aca="false">(AVERAGE(H202:H204)/AVERAGE(H199:H201)-1)*100</f>
        <v>-19.111829807117</v>
      </c>
      <c r="K204" s="24" t="n">
        <f aca="false">((AVERAGE(H202:H204)/AVERAGE(H199:H201))^4-1)*100</f>
        <v>-57.1905109235783</v>
      </c>
      <c r="L204" s="24" t="n">
        <f aca="false">IFERROR(('SA Data'!W204/'SA Data'!W192-1)*100,"")</f>
        <v>-13.1897811407646</v>
      </c>
      <c r="M204" s="24" t="n">
        <f aca="false">IFERROR((AVERAGE('SA Data'!W199:W204)/AVERAGE('SA Data'!W187:W192)-1)*100,"")</f>
        <v>-19.006343054409</v>
      </c>
      <c r="N204" s="23" t="n">
        <f aca="false">'SA Data'!T204</f>
        <v>133.364182996721</v>
      </c>
      <c r="O204" s="24" t="n">
        <f aca="false">(N204/N203-1)*100</f>
        <v>4.67705228523461</v>
      </c>
      <c r="P204" s="24" t="n">
        <f aca="false">(AVERAGE(N202:N204)/AVERAGE(N199:N201)-1)*100</f>
        <v>-15.3797709859874</v>
      </c>
      <c r="Q204" s="24" t="n">
        <f aca="false">((AVERAGE(N202:N204)/AVERAGE(N199:N201))^4-1)*100</f>
        <v>-48.7260488318682</v>
      </c>
      <c r="R204" s="24" t="n">
        <f aca="false">IFERROR(('SA Data'!X204/'SA Data'!X192-1)*100,"")</f>
        <v>-15.4003931285206</v>
      </c>
      <c r="S204" s="24" t="n">
        <f aca="false">IFERROR((AVERAGE('SA Data'!X199:X204)/AVERAGE('SA Data'!X187:X192)-1)*100,"")</f>
        <v>-12.1903003111764</v>
      </c>
    </row>
    <row r="205" customFormat="false" ht="15" hidden="false" customHeight="false" outlineLevel="0" collapsed="false">
      <c r="A205" s="20" t="n">
        <v>44043</v>
      </c>
      <c r="B205" s="23" t="n">
        <f aca="false">'SA Data'!R205</f>
        <v>114.111926647286</v>
      </c>
      <c r="C205" s="24" t="n">
        <f aca="false">(B205/B204-1)*100</f>
        <v>-1.83562531393864</v>
      </c>
      <c r="D205" s="24" t="n">
        <f aca="false">(AVERAGE(B203:B205)/AVERAGE(B200:B202)-1)*100</f>
        <v>4.45878916357732</v>
      </c>
      <c r="E205" s="24" t="n">
        <f aca="false">((AVERAGE(B203:B205)/AVERAGE(B200:B202))^4-1)*100</f>
        <v>19.0638576685414</v>
      </c>
      <c r="F205" s="24" t="n">
        <f aca="false">IFERROR(('SA Data'!V205/'SA Data'!V193-1)*100,"")</f>
        <v>-9.11930821377124</v>
      </c>
      <c r="G205" s="24" t="n">
        <f aca="false">IFERROR((AVERAGE('SA Data'!V199:V205)/AVERAGE('SA Data'!V187:V193)-1)*100,"")</f>
        <v>-9.81805953716259</v>
      </c>
      <c r="H205" s="23" t="n">
        <f aca="false">'SA Data'!S205</f>
        <v>106.878105326259</v>
      </c>
      <c r="I205" s="24" t="n">
        <f aca="false">(H205/H204-1)*100</f>
        <v>3.59305902264433</v>
      </c>
      <c r="J205" s="24" t="n">
        <f aca="false">(AVERAGE(H203:H205)/AVERAGE(H200:H202)-1)*100</f>
        <v>4.57842290308037</v>
      </c>
      <c r="K205" s="24" t="n">
        <f aca="false">((AVERAGE(H203:H205)/AVERAGE(H200:H202))^4-1)*100</f>
        <v>19.6102374729889</v>
      </c>
      <c r="L205" s="24" t="n">
        <f aca="false">IFERROR(('SA Data'!W205/'SA Data'!W193-1)*100,"")</f>
        <v>-12.1136958760556</v>
      </c>
      <c r="M205" s="24" t="n">
        <f aca="false">IFERROR((AVERAGE('SA Data'!W199:W205)/AVERAGE('SA Data'!W187:W193)-1)*100,"")</f>
        <v>-17.963238375137</v>
      </c>
      <c r="N205" s="23" t="n">
        <f aca="false">'SA Data'!T205</f>
        <v>135.383132619095</v>
      </c>
      <c r="O205" s="24" t="n">
        <f aca="false">(N205/N204-1)*100</f>
        <v>1.51386195079286</v>
      </c>
      <c r="P205" s="24" t="n">
        <f aca="false">(AVERAGE(N203:N205)/AVERAGE(N200:N202)-1)*100</f>
        <v>-4.32044233216127</v>
      </c>
      <c r="Q205" s="24" t="n">
        <f aca="false">((AVERAGE(N203:N205)/AVERAGE(N200:N202))^4-1)*100</f>
        <v>-16.1937061182615</v>
      </c>
      <c r="R205" s="24" t="n">
        <f aca="false">IFERROR(('SA Data'!X205/'SA Data'!X193-1)*100,"")</f>
        <v>-15.8250961710425</v>
      </c>
      <c r="S205" s="24" t="n">
        <f aca="false">IFERROR((AVERAGE('SA Data'!X199:X205)/AVERAGE('SA Data'!X187:X193)-1)*100,"")</f>
        <v>-12.7222852699023</v>
      </c>
    </row>
    <row r="206" customFormat="false" ht="15" hidden="false" customHeight="false" outlineLevel="0" collapsed="false">
      <c r="A206" s="20" t="n">
        <v>44074</v>
      </c>
      <c r="B206" s="23" t="n">
        <f aca="false">'SA Data'!R206</f>
        <v>113.629914589535</v>
      </c>
      <c r="C206" s="24" t="n">
        <f aca="false">(B206/B205-1)*100</f>
        <v>-0.422402874014161</v>
      </c>
      <c r="D206" s="24" t="n">
        <f aca="false">(AVERAGE(B204:B206)/AVERAGE(B201:B203)-1)*100</f>
        <v>1.06432552647084</v>
      </c>
      <c r="E206" s="24" t="n">
        <f aca="false">((AVERAGE(B204:B206)/AVERAGE(B201:B203))^4-1)*100</f>
        <v>4.32575298109732</v>
      </c>
      <c r="F206" s="24" t="n">
        <f aca="false">IFERROR(('SA Data'!V206/'SA Data'!V194-1)*100,"")</f>
        <v>-3.08838220186916</v>
      </c>
      <c r="G206" s="24" t="n">
        <f aca="false">IFERROR((AVERAGE('SA Data'!V199:V206)/AVERAGE('SA Data'!V187:V194)-1)*100,"")</f>
        <v>-9.4048596337894</v>
      </c>
      <c r="H206" s="23" t="n">
        <f aca="false">'SA Data'!S206</f>
        <v>105.320400386799</v>
      </c>
      <c r="I206" s="24" t="n">
        <f aca="false">(H206/H205-1)*100</f>
        <v>-1.45745935026228</v>
      </c>
      <c r="J206" s="24" t="n">
        <f aca="false">(AVERAGE(H204:H206)/AVERAGE(H201:H203)-1)*100</f>
        <v>21.7849962354778</v>
      </c>
      <c r="K206" s="24" t="n">
        <f aca="false">((AVERAGE(H204:H206)/AVERAGE(H201:H203))^4-1)*100</f>
        <v>119.975922750716</v>
      </c>
      <c r="L206" s="24" t="n">
        <f aca="false">IFERROR(('SA Data'!W206/'SA Data'!W194-1)*100,"")</f>
        <v>-13.0956321019911</v>
      </c>
      <c r="M206" s="24" t="n">
        <f aca="false">IFERROR((AVERAGE('SA Data'!W199:W206)/AVERAGE('SA Data'!W187:W194)-1)*100,"")</f>
        <v>-17.3134360366812</v>
      </c>
      <c r="N206" s="23" t="n">
        <f aca="false">'SA Data'!T206</f>
        <v>136.437342601611</v>
      </c>
      <c r="O206" s="24" t="n">
        <f aca="false">(N206/N205-1)*100</f>
        <v>0.778686356359315</v>
      </c>
      <c r="P206" s="24" t="n">
        <f aca="false">(AVERAGE(N204:N206)/AVERAGE(N201:N203)-1)*100</f>
        <v>4.49798164504325</v>
      </c>
      <c r="Q206" s="24" t="n">
        <f aca="false">((AVERAGE(N204:N206)/AVERAGE(N201:N203))^4-1)*100</f>
        <v>19.2426472161957</v>
      </c>
      <c r="R206" s="24" t="n">
        <f aca="false">IFERROR(('SA Data'!X206/'SA Data'!X194-1)*100,"")</f>
        <v>-13.3581029124791</v>
      </c>
      <c r="S206" s="24" t="n">
        <f aca="false">IFERROR((AVERAGE('SA Data'!X199:X206)/AVERAGE('SA Data'!X187:X194)-1)*100,"")</f>
        <v>-12.8019315303567</v>
      </c>
    </row>
    <row r="207" customFormat="false" ht="15" hidden="false" customHeight="false" outlineLevel="0" collapsed="false">
      <c r="A207" s="20" t="n">
        <v>44104</v>
      </c>
      <c r="B207" s="23" t="n">
        <f aca="false">'SA Data'!R207</f>
        <v>118.096684490545</v>
      </c>
      <c r="C207" s="24" t="n">
        <f aca="false">(B207/B206-1)*100</f>
        <v>3.93098060237476</v>
      </c>
      <c r="D207" s="24" t="n">
        <f aca="false">(AVERAGE(B205:B207)/AVERAGE(B202:B204)-1)*100</f>
        <v>-0.923738240160288</v>
      </c>
      <c r="E207" s="24" t="n">
        <f aca="false">((AVERAGE(B205:B207)/AVERAGE(B202:B204))^4-1)*100</f>
        <v>-3.64406997985772</v>
      </c>
      <c r="F207" s="24" t="n">
        <f aca="false">IFERROR(('SA Data'!V207/'SA Data'!V195-1)*100,"")</f>
        <v>5.36209433981305</v>
      </c>
      <c r="G207" s="24" t="n">
        <f aca="false">IFERROR((AVERAGE('SA Data'!V199:V207)/AVERAGE('SA Data'!V187:V195)-1)*100,"")</f>
        <v>-8.63788958589897</v>
      </c>
      <c r="H207" s="23" t="n">
        <f aca="false">'SA Data'!S207</f>
        <v>110.213260950743</v>
      </c>
      <c r="I207" s="24" t="n">
        <f aca="false">(H207/H206-1)*100</f>
        <v>4.64569119180605</v>
      </c>
      <c r="J207" s="24" t="n">
        <f aca="false">(AVERAGE(H205:H207)/AVERAGE(H202:H204)-1)*100</f>
        <v>22.2116360197564</v>
      </c>
      <c r="K207" s="24" t="n">
        <f aca="false">((AVERAGE(H205:H207)/AVERAGE(H202:H204))^4-1)*100</f>
        <v>123.074655909368</v>
      </c>
      <c r="L207" s="24" t="n">
        <f aca="false">IFERROR(('SA Data'!W207/'SA Data'!W195-1)*100,"")</f>
        <v>-3.88790619240942</v>
      </c>
      <c r="M207" s="24" t="n">
        <f aca="false">IFERROR((AVERAGE('SA Data'!W199:W207)/AVERAGE('SA Data'!W187:W195)-1)*100,"")</f>
        <v>-15.8381295585433</v>
      </c>
      <c r="N207" s="23" t="n">
        <f aca="false">'SA Data'!T207</f>
        <v>139.608195309435</v>
      </c>
      <c r="O207" s="24" t="n">
        <f aca="false">(N207/N206-1)*100</f>
        <v>2.32403581553338</v>
      </c>
      <c r="P207" s="24" t="n">
        <f aca="false">(AVERAGE(N205:N207)/AVERAGE(N202:N204)-1)*100</f>
        <v>8.31868163148639</v>
      </c>
      <c r="Q207" s="24" t="n">
        <f aca="false">((AVERAGE(N205:N207)/AVERAGE(N202:N204))^4-1)*100</f>
        <v>37.6618057271301</v>
      </c>
      <c r="R207" s="24" t="n">
        <f aca="false">IFERROR(('SA Data'!X207/'SA Data'!X195-1)*100,"")</f>
        <v>-9.71806768611698</v>
      </c>
      <c r="S207" s="24" t="n">
        <f aca="false">IFERROR((AVERAGE('SA Data'!X199:X207)/AVERAGE('SA Data'!X187:X195)-1)*100,"")</f>
        <v>-12.4673281660522</v>
      </c>
    </row>
    <row r="208" customFormat="false" ht="15" hidden="false" customHeight="false" outlineLevel="0" collapsed="false">
      <c r="A208" s="20" t="n">
        <v>44135</v>
      </c>
      <c r="B208" s="23" t="n">
        <f aca="false">'SA Data'!R208</f>
        <v>112.663035113485</v>
      </c>
      <c r="C208" s="24" t="n">
        <f aca="false">(B208/B207-1)*100</f>
        <v>-4.60101771738958</v>
      </c>
      <c r="D208" s="24" t="n">
        <f aca="false">(AVERAGE(B206:B208)/AVERAGE(B203:B205)-1)*100</f>
        <v>-0.686108132640961</v>
      </c>
      <c r="E208" s="24" t="n">
        <f aca="false">((AVERAGE(B206:B208)/AVERAGE(B203:B205))^4-1)*100</f>
        <v>-2.71631683939919</v>
      </c>
      <c r="F208" s="24" t="n">
        <f aca="false">IFERROR(('SA Data'!V208/'SA Data'!V196-1)*100,"")</f>
        <v>-9.63265083060958</v>
      </c>
      <c r="G208" s="24" t="n">
        <f aca="false">IFERROR((AVERAGE('SA Data'!V199:V208)/AVERAGE('SA Data'!V187:V196)-1)*100,"")</f>
        <v>-8.69371936120711</v>
      </c>
      <c r="H208" s="23" t="n">
        <f aca="false">'SA Data'!S208</f>
        <v>115.446040027203</v>
      </c>
      <c r="I208" s="24" t="n">
        <f aca="false">(H208/H207-1)*100</f>
        <v>4.74786702736141</v>
      </c>
      <c r="J208" s="24" t="n">
        <f aca="false">(AVERAGE(H206:H208)/AVERAGE(H203:H205)-1)*100</f>
        <v>11.0528699159878</v>
      </c>
      <c r="K208" s="24" t="n">
        <f aca="false">((AVERAGE(H206:H208)/AVERAGE(H203:H205))^4-1)*100</f>
        <v>52.0964738499393</v>
      </c>
      <c r="L208" s="24" t="n">
        <f aca="false">IFERROR(('SA Data'!W208/'SA Data'!W196-1)*100,"")</f>
        <v>-2.70894023826525</v>
      </c>
      <c r="M208" s="24" t="n">
        <f aca="false">IFERROR((AVERAGE('SA Data'!W199:W208)/AVERAGE('SA Data'!W187:W196)-1)*100,"")</f>
        <v>-14.4584109329948</v>
      </c>
      <c r="N208" s="23" t="n">
        <f aca="false">'SA Data'!T208</f>
        <v>142.384738960654</v>
      </c>
      <c r="O208" s="24" t="n">
        <f aca="false">(N208/N207-1)*100</f>
        <v>1.9888113624458</v>
      </c>
      <c r="P208" s="24" t="n">
        <f aca="false">(AVERAGE(N206:N208)/AVERAGE(N203:N205)-1)*100</f>
        <v>5.6234868176384</v>
      </c>
      <c r="Q208" s="24" t="n">
        <f aca="false">((AVERAGE(N206:N208)/AVERAGE(N203:N205))^4-1)*100</f>
        <v>24.4634975302334</v>
      </c>
      <c r="R208" s="24" t="n">
        <f aca="false">IFERROR(('SA Data'!X208/'SA Data'!X196-1)*100,"")</f>
        <v>-9.38619672615346</v>
      </c>
      <c r="S208" s="24" t="n">
        <f aca="false">IFERROR((AVERAGE('SA Data'!X199:X208)/AVERAGE('SA Data'!X187:X196)-1)*100,"")</f>
        <v>-12.1581680132905</v>
      </c>
    </row>
    <row r="209" customFormat="false" ht="15" hidden="false" customHeight="false" outlineLevel="0" collapsed="false">
      <c r="A209" s="20" t="n">
        <v>44165</v>
      </c>
      <c r="B209" s="23" t="n">
        <f aca="false">'SA Data'!R209</f>
        <v>113.048716586676</v>
      </c>
      <c r="C209" s="24" t="n">
        <f aca="false">(B209/B208-1)*100</f>
        <v>0.342331868480827</v>
      </c>
      <c r="D209" s="24" t="n">
        <f aca="false">(AVERAGE(B207:B209)/AVERAGE(B204:B206)-1)*100</f>
        <v>-0.0520856997872965</v>
      </c>
      <c r="E209" s="24" t="n">
        <f aca="false">((AVERAGE(B207:B209)/AVERAGE(B204:B206))^4-1)*100</f>
        <v>-0.208180080456222</v>
      </c>
      <c r="F209" s="24" t="n">
        <f aca="false">IFERROR(('SA Data'!V209/'SA Data'!V197-1)*100,"")</f>
        <v>-4.48372046737488</v>
      </c>
      <c r="G209" s="24" t="n">
        <f aca="false">IFERROR((AVERAGE('SA Data'!V199:V209)/AVERAGE('SA Data'!V187:V197)-1)*100,"")</f>
        <v>-8.44776621932125</v>
      </c>
      <c r="H209" s="23" t="n">
        <f aca="false">'SA Data'!S209</f>
        <v>116.764068029479</v>
      </c>
      <c r="I209" s="24" t="n">
        <f aca="false">(H209/H208-1)*100</f>
        <v>1.14168316381029</v>
      </c>
      <c r="J209" s="24" t="n">
        <f aca="false">(AVERAGE(H207:H209)/AVERAGE(H204:H206)-1)*100</f>
        <v>8.57842850663204</v>
      </c>
      <c r="K209" s="24" t="n">
        <f aca="false">((AVERAGE(H207:H209)/AVERAGE(H204:H206))^4-1)*100</f>
        <v>38.9870082551744</v>
      </c>
      <c r="L209" s="24" t="n">
        <f aca="false">IFERROR(('SA Data'!W209/'SA Data'!W197-1)*100,"")</f>
        <v>2.39467174655301</v>
      </c>
      <c r="M209" s="24" t="n">
        <f aca="false">IFERROR((AVERAGE('SA Data'!W199:W209)/AVERAGE('SA Data'!W187:W197)-1)*100,"")</f>
        <v>-12.9438582536965</v>
      </c>
      <c r="N209" s="23" t="n">
        <f aca="false">'SA Data'!T209</f>
        <v>143.113188953595</v>
      </c>
      <c r="O209" s="24" t="n">
        <f aca="false">(N209/N208-1)*100</f>
        <v>0.511606790346919</v>
      </c>
      <c r="P209" s="24" t="n">
        <f aca="false">(AVERAGE(N207:N209)/AVERAGE(N204:N206)-1)*100</f>
        <v>4.91663852572779</v>
      </c>
      <c r="Q209" s="24" t="n">
        <f aca="false">((AVERAGE(N207:N209)/AVERAGE(N204:N206))^4-1)*100</f>
        <v>21.1650791354352</v>
      </c>
      <c r="R209" s="24" t="n">
        <f aca="false">IFERROR(('SA Data'!X209/'SA Data'!X197-1)*100,"")</f>
        <v>-7.7048670941458</v>
      </c>
      <c r="S209" s="24" t="n">
        <f aca="false">IFERROR((AVERAGE('SA Data'!X199:X209)/AVERAGE('SA Data'!X187:X197)-1)*100,"")</f>
        <v>-11.7571919510294</v>
      </c>
    </row>
    <row r="210" customFormat="false" ht="15" hidden="false" customHeight="false" outlineLevel="0" collapsed="false">
      <c r="A210" s="20" t="n">
        <v>44196</v>
      </c>
      <c r="B210" s="23" t="n">
        <f aca="false">'SA Data'!R210</f>
        <v>116.558816915326</v>
      </c>
      <c r="C210" s="24" t="n">
        <f aca="false">(B210/B209-1)*100</f>
        <v>3.10494487211497</v>
      </c>
      <c r="D210" s="24" t="n">
        <f aca="false">(AVERAGE(B208:B210)/AVERAGE(B205:B207)-1)*100</f>
        <v>-1.0316829521449</v>
      </c>
      <c r="E210" s="24" t="n">
        <f aca="false">((AVERAGE(B208:B210)/AVERAGE(B205:B207))^4-1)*100</f>
        <v>-4.0633077297073</v>
      </c>
      <c r="F210" s="24" t="n">
        <f aca="false">IFERROR(('SA Data'!V210/'SA Data'!V198-1)*100,"")</f>
        <v>11.4160546846429</v>
      </c>
      <c r="G210" s="24" t="n">
        <f aca="false">IFERROR((AVERAGE('SA Data'!V199:V210)/AVERAGE('SA Data'!V187:V198)-1)*100,"")</f>
        <v>-7.24266277165464</v>
      </c>
      <c r="H210" s="23" t="n">
        <f aca="false">'SA Data'!S210</f>
        <v>119.151444949078</v>
      </c>
      <c r="I210" s="24" t="n">
        <f aca="false">(H210/H209-1)*100</f>
        <v>2.04461608771298</v>
      </c>
      <c r="J210" s="24" t="n">
        <f aca="false">(AVERAGE(H208:H210)/AVERAGE(H205:H207)-1)*100</f>
        <v>8.97913455253869</v>
      </c>
      <c r="K210" s="24" t="n">
        <f aca="false">((AVERAGE(H208:H210)/AVERAGE(H205:H207))^4-1)*100</f>
        <v>41.0501065933627</v>
      </c>
      <c r="L210" s="24" t="n">
        <f aca="false">IFERROR(('SA Data'!W210/'SA Data'!W198-1)*100,"")</f>
        <v>4.45081572939283</v>
      </c>
      <c r="M210" s="24" t="n">
        <f aca="false">IFERROR((AVERAGE('SA Data'!W199:W210)/AVERAGE('SA Data'!W187:W198)-1)*100,"")</f>
        <v>-11.5755081606331</v>
      </c>
      <c r="N210" s="23" t="n">
        <f aca="false">'SA Data'!T210</f>
        <v>145.216373915108</v>
      </c>
      <c r="O210" s="24" t="n">
        <f aca="false">(N210/N209-1)*100</f>
        <v>1.46959548375043</v>
      </c>
      <c r="P210" s="24" t="n">
        <f aca="false">(AVERAGE(N208:N210)/AVERAGE(N205:N207)-1)*100</f>
        <v>4.6874787005889</v>
      </c>
      <c r="Q210" s="24" t="n">
        <f aca="false">((AVERAGE(N208:N210)/AVERAGE(N205:N207))^4-1)*100</f>
        <v>20.1099431541775</v>
      </c>
      <c r="R210" s="24" t="n">
        <f aca="false">IFERROR(('SA Data'!X210/'SA Data'!X198-1)*100,"")</f>
        <v>-5.69326254541926</v>
      </c>
      <c r="S210" s="24" t="n">
        <f aca="false">IFERROR((AVERAGE('SA Data'!X199:X210)/AVERAGE('SA Data'!X187:X198)-1)*100,"")</f>
        <v>-11.2608785507554</v>
      </c>
    </row>
    <row r="211" customFormat="false" ht="15" hidden="false" customHeight="false" outlineLevel="0" collapsed="false">
      <c r="A211" s="20" t="n">
        <v>44227</v>
      </c>
      <c r="B211" s="23" t="n">
        <f aca="false">'SA Data'!R211</f>
        <v>112.620991943316</v>
      </c>
      <c r="C211" s="24" t="n">
        <f aca="false">(B211/B210-1)*100</f>
        <v>-3.37840163123047</v>
      </c>
      <c r="D211" s="24" t="n">
        <f aca="false">(AVERAGE(B209:B211)/AVERAGE(B206:B208)-1)*100</f>
        <v>-0.627518523694026</v>
      </c>
      <c r="E211" s="24" t="n">
        <f aca="false">((AVERAGE(B209:B211)/AVERAGE(B206:B208))^4-1)*100</f>
        <v>-2.48654601143066</v>
      </c>
      <c r="F211" s="24" t="n">
        <f aca="false">IFERROR(('SA Data'!V211/'SA Data'!V199-1)*100,"")</f>
        <v>2.90868832986961</v>
      </c>
      <c r="G211" s="24" t="n">
        <f aca="false">IFERROR((AVERAGE('SA Data'!V211:V211)/AVERAGE('SA Data'!V199:V199)-1)*100,"")</f>
        <v>2.90868832986961</v>
      </c>
      <c r="H211" s="23" t="n">
        <f aca="false">'SA Data'!S211</f>
        <v>120.997298899862</v>
      </c>
      <c r="I211" s="24" t="n">
        <f aca="false">(H211/H210-1)*100</f>
        <v>1.54916623258141</v>
      </c>
      <c r="J211" s="24" t="n">
        <f aca="false">(AVERAGE(H209:H211)/AVERAGE(H206:H208)-1)*100</f>
        <v>7.83525708880148</v>
      </c>
      <c r="K211" s="24" t="n">
        <f aca="false">((AVERAGE(H209:H211)/AVERAGE(H206:H208))^4-1)*100</f>
        <v>35.2206789622203</v>
      </c>
      <c r="L211" s="24" t="n">
        <f aca="false">IFERROR(('SA Data'!W211/'SA Data'!W199-1)*100,"")</f>
        <v>4.9999521144342</v>
      </c>
      <c r="M211" s="24" t="n">
        <f aca="false">IFERROR((AVERAGE('SA Data'!W211:W211)/AVERAGE('SA Data'!W199:W199)-1)*100,"")</f>
        <v>4.9999521144342</v>
      </c>
      <c r="N211" s="23" t="n">
        <f aca="false">'SA Data'!T211</f>
        <v>147.06868670296</v>
      </c>
      <c r="O211" s="24" t="n">
        <f aca="false">(N211/N210-1)*100</f>
        <v>1.2755536706454</v>
      </c>
      <c r="P211" s="24" t="n">
        <f aca="false">(AVERAGE(N209:N211)/AVERAGE(N206:N208)-1)*100</f>
        <v>4.05514936127949</v>
      </c>
      <c r="Q211" s="24" t="n">
        <f aca="false">((AVERAGE(N209:N211)/AVERAGE(N206:N208))^4-1)*100</f>
        <v>17.234195572364</v>
      </c>
      <c r="R211" s="24" t="n">
        <f aca="false">IFERROR(('SA Data'!X211/'SA Data'!X199-1)*100,"")</f>
        <v>-4.97209650006704</v>
      </c>
      <c r="S211" s="24" t="n">
        <f aca="false">IFERROR((AVERAGE('SA Data'!X211:X211)/AVERAGE('SA Data'!X199:X199)-1)*100,"")</f>
        <v>-4.97209650006704</v>
      </c>
    </row>
    <row r="212" customFormat="false" ht="15" hidden="false" customHeight="false" outlineLevel="0" collapsed="false">
      <c r="A212" s="20" t="n">
        <v>44255</v>
      </c>
      <c r="B212" s="23" t="n">
        <f aca="false">'SA Data'!R212</f>
        <v>111.22523098914</v>
      </c>
      <c r="C212" s="24" t="n">
        <f aca="false">(B212/B211-1)*100</f>
        <v>-1.2393435096704</v>
      </c>
      <c r="D212" s="24" t="n">
        <f aca="false">(AVERAGE(B210:B212)/AVERAGE(B207:B209)-1)*100</f>
        <v>-0.989910655082504</v>
      </c>
      <c r="E212" s="24" t="n">
        <f aca="false">((AVERAGE(B210:B212)/AVERAGE(B207:B209))^4-1)*100</f>
        <v>-3.90123428830711</v>
      </c>
      <c r="F212" s="24" t="n">
        <f aca="false">IFERROR(('SA Data'!V212/'SA Data'!V200-1)*100,"")</f>
        <v>4.21866375460125</v>
      </c>
      <c r="G212" s="24" t="n">
        <f aca="false">IFERROR((AVERAGE('SA Data'!V211:V212)/AVERAGE('SA Data'!V199:V200)-1)*100,"")</f>
        <v>3.50003611123519</v>
      </c>
      <c r="H212" s="23" t="n">
        <f aca="false">'SA Data'!S212</f>
        <v>118.229019414111</v>
      </c>
      <c r="I212" s="24" t="n">
        <f aca="false">(H212/H211-1)*100</f>
        <v>-2.2878853585336</v>
      </c>
      <c r="J212" s="24" t="n">
        <f aca="false">(AVERAGE(H210:H212)/AVERAGE(H207:H209)-1)*100</f>
        <v>4.65925976427155</v>
      </c>
      <c r="K212" s="24" t="n">
        <f aca="false">((AVERAGE(H210:H212)/AVERAGE(H207:H209))^4-1)*100</f>
        <v>19.9804910097352</v>
      </c>
      <c r="L212" s="24" t="n">
        <f aca="false">IFERROR(('SA Data'!W212/'SA Data'!W200-1)*100,"")</f>
        <v>2.882615575336</v>
      </c>
      <c r="M212" s="24" t="n">
        <f aca="false">IFERROR((AVERAGE('SA Data'!W211:W212)/AVERAGE('SA Data'!W199:W200)-1)*100,"")</f>
        <v>3.94538510716791</v>
      </c>
      <c r="N212" s="23" t="n">
        <f aca="false">'SA Data'!T212</f>
        <v>147.501062115503</v>
      </c>
      <c r="O212" s="24" t="n">
        <f aca="false">(N212/N211-1)*100</f>
        <v>0.293995562369931</v>
      </c>
      <c r="P212" s="24" t="n">
        <f aca="false">(AVERAGE(N210:N212)/AVERAGE(N207:N209)-1)*100</f>
        <v>3.45325524802258</v>
      </c>
      <c r="Q212" s="24" t="n">
        <f aca="false">((AVERAGE(N210:N212)/AVERAGE(N207:N209))^4-1)*100</f>
        <v>14.5451334941141</v>
      </c>
      <c r="R212" s="24" t="n">
        <f aca="false">IFERROR(('SA Data'!X212/'SA Data'!X200-1)*100,"")</f>
        <v>-4.61160940501479</v>
      </c>
      <c r="S212" s="24" t="n">
        <f aca="false">IFERROR((AVERAGE('SA Data'!X211:X212)/AVERAGE('SA Data'!X199:X200)-1)*100,"")</f>
        <v>-4.79370068600675</v>
      </c>
    </row>
    <row r="213" customFormat="false" ht="15" hidden="false" customHeight="false" outlineLevel="0" collapsed="false">
      <c r="A213" s="20" t="n">
        <v>44286</v>
      </c>
      <c r="B213" s="23" t="n">
        <f aca="false">'SA Data'!R213</f>
        <v>115.383931068884</v>
      </c>
      <c r="C213" s="24" t="n">
        <f aca="false">(B213/B212-1)*100</f>
        <v>3.73898983419547</v>
      </c>
      <c r="D213" s="24" t="n">
        <f aca="false">(AVERAGE(B211:B213)/AVERAGE(B208:B210)-1)*100</f>
        <v>-0.888307348904216</v>
      </c>
      <c r="E213" s="24" t="n">
        <f aca="false">((AVERAGE(B211:B213)/AVERAGE(B208:B210))^4-1)*100</f>
        <v>-3.50616375794612</v>
      </c>
      <c r="F213" s="24" t="n">
        <f aca="false">IFERROR(('SA Data'!V213/'SA Data'!V201-1)*100,"")</f>
        <v>6.92831301567058</v>
      </c>
      <c r="G213" s="24" t="n">
        <f aca="false">IFERROR((AVERAGE('SA Data'!V211:V213)/AVERAGE('SA Data'!V199:V201)-1)*100,"")</f>
        <v>5.11570424432335</v>
      </c>
      <c r="H213" s="23" t="n">
        <f aca="false">'SA Data'!S213</f>
        <v>127.709908581463</v>
      </c>
      <c r="I213" s="24" t="n">
        <f aca="false">(H213/H212-1)*100</f>
        <v>8.01908804990048</v>
      </c>
      <c r="J213" s="24" t="n">
        <f aca="false">(AVERAGE(H211:H213)/AVERAGE(H208:H210)-1)*100</f>
        <v>4.4326630948776</v>
      </c>
      <c r="K213" s="24" t="n">
        <f aca="false">((AVERAGE(H211:H213)/AVERAGE(H208:H210))^4-1)*100</f>
        <v>18.9447866459809</v>
      </c>
      <c r="L213" s="24" t="n">
        <f aca="false">IFERROR(('SA Data'!W213/'SA Data'!W201-1)*100,"")</f>
        <v>32.6998130559574</v>
      </c>
      <c r="M213" s="24" t="n">
        <f aca="false">IFERROR((AVERAGE('SA Data'!W211:W213)/AVERAGE('SA Data'!W199:W201)-1)*100,"")</f>
        <v>13.0069017621099</v>
      </c>
      <c r="N213" s="23" t="n">
        <f aca="false">'SA Data'!T213</f>
        <v>150.776680405545</v>
      </c>
      <c r="O213" s="24" t="n">
        <f aca="false">(N213/N212-1)*100</f>
        <v>2.22074217165753</v>
      </c>
      <c r="P213" s="24" t="n">
        <f aca="false">(AVERAGE(N211:N213)/AVERAGE(N208:N210)-1)*100</f>
        <v>3.39717704578277</v>
      </c>
      <c r="Q213" s="24" t="n">
        <f aca="false">((AVERAGE(N211:N213)/AVERAGE(N208:N210))^4-1)*100</f>
        <v>14.2969725587775</v>
      </c>
      <c r="R213" s="24" t="n">
        <f aca="false">IFERROR(('SA Data'!X213/'SA Data'!X201-1)*100,"")</f>
        <v>7.16544531793386</v>
      </c>
      <c r="S213" s="24" t="n">
        <f aca="false">IFERROR((AVERAGE('SA Data'!X211:X213)/AVERAGE('SA Data'!X199:X201)-1)*100,"")</f>
        <v>-0.970405057841572</v>
      </c>
    </row>
    <row r="214" customFormat="false" ht="15" hidden="false" customHeight="false" outlineLevel="0" collapsed="false">
      <c r="A214" s="20" t="n">
        <v>44316</v>
      </c>
      <c r="B214" s="23" t="n">
        <f aca="false">'SA Data'!R214</f>
        <v>118.508814979638</v>
      </c>
      <c r="C214" s="24" t="n">
        <f aca="false">(B214/B213-1)*100</f>
        <v>2.70824878456253</v>
      </c>
      <c r="D214" s="24" t="n">
        <f aca="false">(AVERAGE(B212:B214)/AVERAGE(B209:B211)-1)*100</f>
        <v>0.844304719655931</v>
      </c>
      <c r="E214" s="24" t="n">
        <f aca="false">((AVERAGE(B212:B214)/AVERAGE(B209:B211))^4-1)*100</f>
        <v>3.42023115956049</v>
      </c>
      <c r="F214" s="24" t="n">
        <f aca="false">IFERROR(('SA Data'!V214/'SA Data'!V202-1)*100,"")</f>
        <v>-1.28300413670815</v>
      </c>
      <c r="G214" s="24" t="n">
        <f aca="false">IFERROR((AVERAGE('SA Data'!V211:V214)/AVERAGE('SA Data'!V199:V202)-1)*100,"")</f>
        <v>2.44817922026881</v>
      </c>
      <c r="H214" s="23" t="n">
        <f aca="false">'SA Data'!S214</f>
        <v>125.268114999128</v>
      </c>
      <c r="I214" s="24" t="n">
        <f aca="false">(H214/H213-1)*100</f>
        <v>-1.91198444150265</v>
      </c>
      <c r="J214" s="24" t="n">
        <f aca="false">(AVERAGE(H212:H214)/AVERAGE(H209:H211)-1)*100</f>
        <v>4.00496441723446</v>
      </c>
      <c r="K214" s="24" t="n">
        <f aca="false">((AVERAGE(H212:H214)/AVERAGE(H209:H211))^4-1)*100</f>
        <v>17.0081947763534</v>
      </c>
      <c r="L214" s="24" t="n">
        <f aca="false">IFERROR(('SA Data'!W214/'SA Data'!W202-1)*100,"")</f>
        <v>73.7735183817446</v>
      </c>
      <c r="M214" s="24" t="n">
        <f aca="false">IFERROR((AVERAGE('SA Data'!W211:W214)/AVERAGE('SA Data'!W199:W202)-1)*100,"")</f>
        <v>24.2431087082697</v>
      </c>
      <c r="N214" s="23" t="n">
        <f aca="false">'SA Data'!T214</f>
        <v>152.023946673464</v>
      </c>
      <c r="O214" s="24" t="n">
        <f aca="false">(N214/N213-1)*100</f>
        <v>0.827227568987921</v>
      </c>
      <c r="P214" s="24" t="n">
        <f aca="false">(AVERAGE(N212:N214)/AVERAGE(N209:N211)-1)*100</f>
        <v>3.42294431305357</v>
      </c>
      <c r="Q214" s="24" t="n">
        <f aca="false">((AVERAGE(N212:N214)/AVERAGE(N209:N211))^4-1)*100</f>
        <v>14.4109494321454</v>
      </c>
      <c r="R214" s="24" t="n">
        <f aca="false">IFERROR(('SA Data'!X214/'SA Data'!X202-1)*100,"")</f>
        <v>27.9960085644303</v>
      </c>
      <c r="S214" s="24" t="n">
        <f aca="false">IFERROR((AVERAGE('SA Data'!X211:X214)/AVERAGE('SA Data'!X199:X202)-1)*100,"")</f>
        <v>5.07809495025284</v>
      </c>
    </row>
    <row r="215" customFormat="false" ht="15" hidden="false" customHeight="false" outlineLevel="0" collapsed="false">
      <c r="A215" s="20" t="n">
        <v>44347</v>
      </c>
      <c r="B215" s="23" t="n">
        <f aca="false">'SA Data'!R215</f>
        <v>117.874936495734</v>
      </c>
      <c r="C215" s="24" t="n">
        <f aca="false">(B215/B214-1)*100</f>
        <v>-0.534878763248448</v>
      </c>
      <c r="D215" s="24" t="n">
        <f aca="false">(AVERAGE(B213:B215)/AVERAGE(B210:B212)-1)*100</f>
        <v>3.3379772231209</v>
      </c>
      <c r="E215" s="24" t="n">
        <f aca="false">((AVERAGE(B213:B215)/AVERAGE(B210:B212))^4-1)*100</f>
        <v>14.0354353748691</v>
      </c>
      <c r="F215" s="24" t="n">
        <f aca="false">IFERROR(('SA Data'!V215/'SA Data'!V203-1)*100,"")</f>
        <v>-4.17732670139149</v>
      </c>
      <c r="G215" s="24" t="n">
        <f aca="false">IFERROR((AVERAGE('SA Data'!V211:V215)/AVERAGE('SA Data'!V199:V203)-1)*100,"")</f>
        <v>0.00910492106580563</v>
      </c>
      <c r="H215" s="23" t="n">
        <f aca="false">'SA Data'!S215</f>
        <v>120.567728716865</v>
      </c>
      <c r="I215" s="24" t="n">
        <f aca="false">(H215/H214-1)*100</f>
        <v>-3.75226072675833</v>
      </c>
      <c r="J215" s="24" t="n">
        <f aca="false">(AVERAGE(H213:H215)/AVERAGE(H210:H212)-1)*100</f>
        <v>4.23240239469616</v>
      </c>
      <c r="K215" s="24" t="n">
        <f aca="false">((AVERAGE(H213:H215)/AVERAGE(H210:H212))^4-1)*100</f>
        <v>18.0350506635039</v>
      </c>
      <c r="L215" s="24" t="n">
        <f aca="false">IFERROR(('SA Data'!W215/'SA Data'!W203-1)*100,"")</f>
        <v>36.2899133133428</v>
      </c>
      <c r="M215" s="24" t="n">
        <f aca="false">IFERROR((AVERAGE('SA Data'!W211:W215)/AVERAGE('SA Data'!W199:W203)-1)*100,"")</f>
        <v>26.4998437271304</v>
      </c>
      <c r="N215" s="23" t="n">
        <f aca="false">'SA Data'!T215</f>
        <v>150.315786406368</v>
      </c>
      <c r="O215" s="24" t="n">
        <f aca="false">(N215/N214-1)*100</f>
        <v>-1.12361263108468</v>
      </c>
      <c r="P215" s="24" t="n">
        <f aca="false">(AVERAGE(N213:N215)/AVERAGE(N210:N212)-1)*100</f>
        <v>3.03108489848385</v>
      </c>
      <c r="Q215" s="24" t="n">
        <f aca="false">((AVERAGE(N213:N215)/AVERAGE(N210:N212))^4-1)*100</f>
        <v>12.6868117508469</v>
      </c>
      <c r="R215" s="24" t="n">
        <f aca="false">IFERROR(('SA Data'!X215/'SA Data'!X203-1)*100,"")</f>
        <v>17.725695430705</v>
      </c>
      <c r="S215" s="24" t="n">
        <f aca="false">IFERROR((AVERAGE('SA Data'!X211:X215)/AVERAGE('SA Data'!X199:X203)-1)*100,"")</f>
        <v>7.41029436433185</v>
      </c>
    </row>
    <row r="216" customFormat="false" ht="15" hidden="false" customHeight="false" outlineLevel="0" collapsed="false">
      <c r="A216" s="20" t="n">
        <v>44377</v>
      </c>
      <c r="B216" s="23" t="n">
        <f aca="false">'SA Data'!R216</f>
        <v>116.732729125367</v>
      </c>
      <c r="C216" s="24" t="n">
        <f aca="false">(B216/B215-1)*100</f>
        <v>-0.968999351621136</v>
      </c>
      <c r="D216" s="24" t="n">
        <f aca="false">(AVERAGE(B214:B216)/AVERAGE(B211:B213)-1)*100</f>
        <v>4.09348238521987</v>
      </c>
      <c r="E216" s="24" t="n">
        <f aca="false">((AVERAGE(B214:B216)/AVERAGE(B211:B213))^4-1)*100</f>
        <v>17.4070433423057</v>
      </c>
      <c r="F216" s="24" t="n">
        <f aca="false">IFERROR(('SA Data'!V216/'SA Data'!V204-1)*100,"")</f>
        <v>-3.37363235213021</v>
      </c>
      <c r="G216" s="24" t="n">
        <f aca="false">IFERROR((AVERAGE('SA Data'!V211:V216)/AVERAGE('SA Data'!V199:V204)-1)*100,"")</f>
        <v>-0.66936781535083</v>
      </c>
      <c r="H216" s="23" t="n">
        <f aca="false">'SA Data'!S216</f>
        <v>125.469641892182</v>
      </c>
      <c r="I216" s="24" t="n">
        <f aca="false">(H216/H215-1)*100</f>
        <v>4.06569255926561</v>
      </c>
      <c r="J216" s="24" t="n">
        <f aca="false">(AVERAGE(H214:H216)/AVERAGE(H211:H213)-1)*100</f>
        <v>1.19074062261622</v>
      </c>
      <c r="K216" s="24" t="n">
        <f aca="false">((AVERAGE(H214:H216)/AVERAGE(H211:H213))^4-1)*100</f>
        <v>4.84871161756018</v>
      </c>
      <c r="L216" s="24" t="n">
        <f aca="false">IFERROR(('SA Data'!W216/'SA Data'!W204-1)*100,"")</f>
        <v>21.9712884618093</v>
      </c>
      <c r="M216" s="24" t="n">
        <f aca="false">IFERROR((AVERAGE('SA Data'!W211:W216)/AVERAGE('SA Data'!W199:W204)-1)*100,"")</f>
        <v>25.6655541995722</v>
      </c>
      <c r="N216" s="23" t="n">
        <f aca="false">'SA Data'!T216</f>
        <v>151.752820512573</v>
      </c>
      <c r="O216" s="24" t="n">
        <f aca="false">(N216/N215-1)*100</f>
        <v>0.956010104168881</v>
      </c>
      <c r="P216" s="24" t="n">
        <f aca="false">(AVERAGE(N214:N216)/AVERAGE(N211:N213)-1)*100</f>
        <v>1.9638923306597</v>
      </c>
      <c r="Q216" s="24" t="n">
        <f aca="false">((AVERAGE(N214:N216)/AVERAGE(N211:N213))^4-1)*100</f>
        <v>8.09002637668415</v>
      </c>
      <c r="R216" s="24" t="n">
        <f aca="false">IFERROR(('SA Data'!X216/'SA Data'!X204-1)*100,"")</f>
        <v>14.1551143300175</v>
      </c>
      <c r="S216" s="24" t="n">
        <f aca="false">IFERROR((AVERAGE('SA Data'!X211:X216)/AVERAGE('SA Data'!X199:X204)-1)*100,"")</f>
        <v>8.51033956274072</v>
      </c>
    </row>
    <row r="217" customFormat="false" ht="15" hidden="false" customHeight="false" outlineLevel="0" collapsed="false">
      <c r="A217" s="20" t="n">
        <v>44408</v>
      </c>
      <c r="B217" s="23" t="n">
        <f aca="false">'SA Data'!R217</f>
        <v>115.764381681777</v>
      </c>
      <c r="C217" s="24" t="n">
        <f aca="false">(B217/B216-1)*100</f>
        <v>-0.829542366434766</v>
      </c>
      <c r="D217" s="24" t="n">
        <f aca="false">(AVERAGE(B215:B217)/AVERAGE(B212:B214)-1)*100</f>
        <v>1.5223983144298</v>
      </c>
      <c r="E217" s="24" t="n">
        <f aca="false">((AVERAGE(B215:B217)/AVERAGE(B212:B214))^4-1)*100</f>
        <v>6.23007181007935</v>
      </c>
      <c r="F217" s="24" t="n">
        <f aca="false">IFERROR(('SA Data'!V217/'SA Data'!V205-1)*100,"")</f>
        <v>0.906284172831962</v>
      </c>
      <c r="G217" s="24" t="n">
        <f aca="false">IFERROR((AVERAGE('SA Data'!V211:V217)/AVERAGE('SA Data'!V199:V205)-1)*100,"")</f>
        <v>-0.503957212428774</v>
      </c>
      <c r="H217" s="23" t="n">
        <f aca="false">'SA Data'!S217</f>
        <v>123.727214886574</v>
      </c>
      <c r="I217" s="24" t="n">
        <f aca="false">(H217/H216-1)*100</f>
        <v>-1.38872398082207</v>
      </c>
      <c r="J217" s="24" t="n">
        <f aca="false">(AVERAGE(H215:H217)/AVERAGE(H212:H214)-1)*100</f>
        <v>-0.388585703397049</v>
      </c>
      <c r="K217" s="24" t="n">
        <f aca="false">((AVERAGE(H215:H217)/AVERAGE(H212:H214))^4-1)*100</f>
        <v>-1.54530633025203</v>
      </c>
      <c r="L217" s="24" t="n">
        <f aca="false">IFERROR(('SA Data'!W217/'SA Data'!W205-1)*100,"")</f>
        <v>15.2807182118842</v>
      </c>
      <c r="M217" s="24" t="n">
        <f aca="false">IFERROR((AVERAGE('SA Data'!W211:W217)/AVERAGE('SA Data'!W199:W205)-1)*100,"")</f>
        <v>23.9818950286526</v>
      </c>
      <c r="N217" s="23" t="n">
        <f aca="false">'SA Data'!T217</f>
        <v>152.086799853875</v>
      </c>
      <c r="O217" s="24" t="n">
        <f aca="false">(N217/N216-1)*100</f>
        <v>0.220081142593154</v>
      </c>
      <c r="P217" s="24" t="n">
        <f aca="false">(AVERAGE(N215:N217)/AVERAGE(N212:N214)-1)*100</f>
        <v>0.855807932943309</v>
      </c>
      <c r="Q217" s="24" t="n">
        <f aca="false">((AVERAGE(N215:N217)/AVERAGE(N212:N214))^4-1)*100</f>
        <v>3.46742742124184</v>
      </c>
      <c r="R217" s="24" t="n">
        <f aca="false">IFERROR(('SA Data'!X217/'SA Data'!X205-1)*100,"")</f>
        <v>12.049502548752</v>
      </c>
      <c r="S217" s="24" t="n">
        <f aca="false">IFERROR((AVERAGE('SA Data'!X211:X217)/AVERAGE('SA Data'!X199:X205)-1)*100,"")</f>
        <v>9.0099127883551</v>
      </c>
    </row>
    <row r="218" customFormat="false" ht="15" hidden="false" customHeight="false" outlineLevel="0" collapsed="false">
      <c r="A218" s="20" t="n">
        <v>44439</v>
      </c>
      <c r="B218" s="23" t="n">
        <f aca="false">'SA Data'!R218</f>
        <v>115.967422738562</v>
      </c>
      <c r="C218" s="24" t="n">
        <f aca="false">(B218/B217-1)*100</f>
        <v>0.175391647962875</v>
      </c>
      <c r="D218" s="24" t="n">
        <f aca="false">(AVERAGE(B216:B218)/AVERAGE(B213:B215)-1)*100</f>
        <v>-0.939014344541311</v>
      </c>
      <c r="E218" s="24" t="n">
        <f aca="false">((AVERAGE(B216:B218)/AVERAGE(B213:B215))^4-1)*100</f>
        <v>-3.70348291391585</v>
      </c>
      <c r="F218" s="24" t="n">
        <f aca="false">IFERROR(('SA Data'!V218/'SA Data'!V206-1)*100,"")</f>
        <v>3.65739651192387</v>
      </c>
      <c r="G218" s="24" t="n">
        <f aca="false">IFERROR((AVERAGE('SA Data'!V211:V218)/AVERAGE('SA Data'!V199:V206)-1)*100,"")</f>
        <v>-0.230637129280509</v>
      </c>
      <c r="H218" s="23" t="n">
        <f aca="false">'SA Data'!S218</f>
        <v>123.472563224322</v>
      </c>
      <c r="I218" s="24" t="n">
        <f aca="false">(H218/H217-1)*100</f>
        <v>-0.20581701647856</v>
      </c>
      <c r="J218" s="24" t="n">
        <f aca="false">(AVERAGE(H216:H218)/AVERAGE(H213:H215)-1)*100</f>
        <v>-0.234598382925599</v>
      </c>
      <c r="K218" s="24" t="n">
        <f aca="false">((AVERAGE(H216:H218)/AVERAGE(H213:H215))^4-1)*100</f>
        <v>-0.935096509177413</v>
      </c>
      <c r="L218" s="24" t="n">
        <f aca="false">IFERROR(('SA Data'!W218/'SA Data'!W206-1)*100,"")</f>
        <v>17.0359595335024</v>
      </c>
      <c r="M218" s="24" t="n">
        <f aca="false">IFERROR((AVERAGE('SA Data'!W211:W218)/AVERAGE('SA Data'!W199:W206)-1)*100,"")</f>
        <v>23.0073470310994</v>
      </c>
      <c r="N218" s="23" t="n">
        <f aca="false">'SA Data'!T218</f>
        <v>153.241404887703</v>
      </c>
      <c r="O218" s="24" t="n">
        <f aca="false">(N218/N217-1)*100</f>
        <v>0.759175046708327</v>
      </c>
      <c r="P218" s="24" t="n">
        <f aca="false">(AVERAGE(N216:N218)/AVERAGE(N213:N215)-1)*100</f>
        <v>0.874965384343218</v>
      </c>
      <c r="Q218" s="24" t="n">
        <f aca="false">((AVERAGE(N216:N218)/AVERAGE(N213:N215))^4-1)*100</f>
        <v>3.54606392583781</v>
      </c>
      <c r="R218" s="24" t="n">
        <f aca="false">IFERROR(('SA Data'!X218/'SA Data'!X206-1)*100,"")</f>
        <v>12.3493955662386</v>
      </c>
      <c r="S218" s="24" t="n">
        <f aca="false">IFERROR((AVERAGE('SA Data'!X211:X218)/AVERAGE('SA Data'!X199:X206)-1)*100,"")</f>
        <v>9.42556788610958</v>
      </c>
    </row>
    <row r="219" customFormat="false" ht="15" hidden="false" customHeight="false" outlineLevel="0" collapsed="false">
      <c r="A219" s="20" t="n">
        <v>44469</v>
      </c>
      <c r="B219" s="23" t="n">
        <f aca="false">'SA Data'!R219</f>
        <v>114.85935068119</v>
      </c>
      <c r="C219" s="24" t="n">
        <f aca="false">(B219/B218-1)*100</f>
        <v>-0.955502874173986</v>
      </c>
      <c r="D219" s="24" t="n">
        <f aca="false">(AVERAGE(B217:B219)/AVERAGE(B214:B216)-1)*100</f>
        <v>-1.84792436991603</v>
      </c>
      <c r="E219" s="24" t="n">
        <f aca="false">((AVERAGE(B217:B219)/AVERAGE(B214:B216))^4-1)*100</f>
        <v>-7.18932048497011</v>
      </c>
      <c r="F219" s="24" t="n">
        <f aca="false">IFERROR(('SA Data'!V219/'SA Data'!V207-1)*100,"")</f>
        <v>0.226493332627875</v>
      </c>
      <c r="G219" s="24" t="n">
        <f aca="false">IFERROR((AVERAGE('SA Data'!V211:V219)/AVERAGE('SA Data'!V199:V207)-1)*100,"")</f>
        <v>-0.203256342902647</v>
      </c>
      <c r="H219" s="23" t="n">
        <f aca="false">'SA Data'!S219</f>
        <v>125.738427531233</v>
      </c>
      <c r="I219" s="24" t="n">
        <f aca="false">(H219/H218-1)*100</f>
        <v>1.83511563034</v>
      </c>
      <c r="J219" s="24" t="n">
        <f aca="false">(AVERAGE(H217:H219)/AVERAGE(H214:H216)-1)*100</f>
        <v>0.439724188636803</v>
      </c>
      <c r="K219" s="24" t="n">
        <f aca="false">((AVERAGE(H217:H219)/AVERAGE(H214:H216))^4-1)*100</f>
        <v>1.77053224322228</v>
      </c>
      <c r="L219" s="24" t="n">
        <f aca="false">IFERROR(('SA Data'!W219/'SA Data'!W207-1)*100,"")</f>
        <v>15.012163334716</v>
      </c>
      <c r="M219" s="24" t="n">
        <f aca="false">IFERROR((AVERAGE('SA Data'!W211:W219)/AVERAGE('SA Data'!W199:W207)-1)*100,"")</f>
        <v>22.0040213669214</v>
      </c>
      <c r="N219" s="23" t="n">
        <f aca="false">'SA Data'!T219</f>
        <v>154.639024728771</v>
      </c>
      <c r="O219" s="24" t="n">
        <f aca="false">(N219/N218-1)*100</f>
        <v>0.91203799788504</v>
      </c>
      <c r="P219" s="24" t="n">
        <f aca="false">(AVERAGE(N217:N219)/AVERAGE(N214:N216)-1)*100</f>
        <v>1.29371773033233</v>
      </c>
      <c r="Q219" s="24" t="n">
        <f aca="false">((AVERAGE(N217:N219)/AVERAGE(N214:N216))^4-1)*100</f>
        <v>5.27616217759255</v>
      </c>
      <c r="R219" s="24" t="n">
        <f aca="false">IFERROR(('SA Data'!X219/'SA Data'!X207-1)*100,"")</f>
        <v>11.016304180343</v>
      </c>
      <c r="S219" s="24" t="n">
        <f aca="false">IFERROR((AVERAGE('SA Data'!X211:X219)/AVERAGE('SA Data'!X199:X207)-1)*100,"")</f>
        <v>9.6035859030555</v>
      </c>
    </row>
    <row r="220" customFormat="false" ht="15" hidden="false" customHeight="false" outlineLevel="0" collapsed="false">
      <c r="A220" s="20" t="n">
        <v>44500</v>
      </c>
      <c r="B220" s="23" t="n">
        <f aca="false">'SA Data'!R220</f>
        <v>118.459981262465</v>
      </c>
      <c r="C220" s="24" t="n">
        <f aca="false">(B220/B219-1)*100</f>
        <v>3.13481711320913</v>
      </c>
      <c r="D220" s="24" t="n">
        <f aca="false">(AVERAGE(B218:B220)/AVERAGE(B215:B217)-1)*100</f>
        <v>-0.309754339427426</v>
      </c>
      <c r="E220" s="24" t="n">
        <f aca="false">((AVERAGE(B218:B220)/AVERAGE(B215:B217))^4-1)*100</f>
        <v>-1.23327237154895</v>
      </c>
      <c r="F220" s="24" t="n">
        <f aca="false">IFERROR(('SA Data'!V220/'SA Data'!V208-1)*100,"")</f>
        <v>2.32059420984556</v>
      </c>
      <c r="G220" s="24" t="n">
        <f aca="false">IFERROR((AVERAGE('SA Data'!V211:V220)/AVERAGE('SA Data'!V199:V208)-1)*100,"")</f>
        <v>-0.0630648861202343</v>
      </c>
      <c r="H220" s="23" t="n">
        <f aca="false">'SA Data'!S220</f>
        <v>123.647257374846</v>
      </c>
      <c r="I220" s="24" t="n">
        <f aca="false">(H220/H219-1)*100</f>
        <v>-1.66311142698838</v>
      </c>
      <c r="J220" s="24" t="n">
        <f aca="false">(AVERAGE(H218:H220)/AVERAGE(H215:H217)-1)*100</f>
        <v>0.836657364207438</v>
      </c>
      <c r="K220" s="24" t="n">
        <f aca="false">((AVERAGE(H218:H220)/AVERAGE(H215:H217))^4-1)*100</f>
        <v>3.38886394209954</v>
      </c>
      <c r="L220" s="24" t="n">
        <f aca="false">IFERROR(('SA Data'!W220/'SA Data'!W208-1)*100,"")</f>
        <v>5.91033588005887</v>
      </c>
      <c r="M220" s="24" t="n">
        <f aca="false">IFERROR((AVERAGE('SA Data'!W211:W220)/AVERAGE('SA Data'!W199:W208)-1)*100,"")</f>
        <v>20.080470185208</v>
      </c>
      <c r="N220" s="23" t="n">
        <f aca="false">'SA Data'!T220</f>
        <v>153.875888189904</v>
      </c>
      <c r="O220" s="24" t="n">
        <f aca="false">(N220/N219-1)*100</f>
        <v>-0.493495442179504</v>
      </c>
      <c r="P220" s="24" t="n">
        <f aca="false">(AVERAGE(N218:N220)/AVERAGE(N215:N217)-1)*100</f>
        <v>1.67363658347122</v>
      </c>
      <c r="Q220" s="24" t="n">
        <f aca="false">((AVERAGE(N218:N220)/AVERAGE(N215:N217))^4-1)*100</f>
        <v>6.86449292683349</v>
      </c>
      <c r="R220" s="24" t="n">
        <f aca="false">IFERROR(('SA Data'!X220/'SA Data'!X208-1)*100,"")</f>
        <v>7.51773327252319</v>
      </c>
      <c r="S220" s="24" t="n">
        <f aca="false">IFERROR((AVERAGE('SA Data'!X211:X220)/AVERAGE('SA Data'!X199:X208)-1)*100,"")</f>
        <v>9.38768727448607</v>
      </c>
    </row>
    <row r="221" customFormat="false" ht="15" hidden="false" customHeight="false" outlineLevel="0" collapsed="false">
      <c r="A221" s="20" t="n">
        <v>44530</v>
      </c>
      <c r="B221" s="23" t="n">
        <f aca="false">'SA Data'!R221</f>
        <v>120.939010768074</v>
      </c>
      <c r="C221" s="24" t="n">
        <f aca="false">(B221/B220-1)*100</f>
        <v>2.09271475412132</v>
      </c>
      <c r="D221" s="24" t="n">
        <f aca="false">(AVERAGE(B219:B221)/AVERAGE(B216:B218)-1)*100</f>
        <v>1.66266825121881</v>
      </c>
      <c r="E221" s="24" t="n">
        <f aca="false">((AVERAGE(B219:B221)/AVERAGE(B216:B218))^4-1)*100</f>
        <v>6.81838714571204</v>
      </c>
      <c r="F221" s="24" t="n">
        <f aca="false">IFERROR(('SA Data'!V221/'SA Data'!V209-1)*100,"")</f>
        <v>6.37031005564512</v>
      </c>
      <c r="G221" s="24" t="n">
        <f aca="false">IFERROR((AVERAGE('SA Data'!V211:V221)/AVERAGE('SA Data'!V199:V209)-1)*100,"")</f>
        <v>0.329053953613845</v>
      </c>
      <c r="H221" s="23" t="n">
        <f aca="false">'SA Data'!S221</f>
        <v>127.716658466217</v>
      </c>
      <c r="I221" s="24" t="n">
        <f aca="false">(H221/H220-1)*100</f>
        <v>3.2911373675151</v>
      </c>
      <c r="J221" s="24" t="n">
        <f aca="false">(AVERAGE(H219:H221)/AVERAGE(H216:H218)-1)*100</f>
        <v>1.18950553259269</v>
      </c>
      <c r="K221" s="24" t="n">
        <f aca="false">((AVERAGE(H219:H221)/AVERAGE(H216:H218))^4-1)*100</f>
        <v>4.84359276079389</v>
      </c>
      <c r="L221" s="24" t="n">
        <f aca="false">IFERROR(('SA Data'!W221/'SA Data'!W209-1)*100,"")</f>
        <v>9.87055523423719</v>
      </c>
      <c r="M221" s="24" t="n">
        <f aca="false">IFERROR((AVERAGE('SA Data'!W211:W221)/AVERAGE('SA Data'!W199:W209)-1)*100,"")</f>
        <v>19.0012623268887</v>
      </c>
      <c r="N221" s="23" t="n">
        <f aca="false">'SA Data'!T221</f>
        <v>156.685429966218</v>
      </c>
      <c r="O221" s="24" t="n">
        <f aca="false">(N221/N220-1)*100</f>
        <v>1.82584926681111</v>
      </c>
      <c r="P221" s="24" t="n">
        <f aca="false">(AVERAGE(N219:N221)/AVERAGE(N216:N218)-1)*100</f>
        <v>1.77634099473469</v>
      </c>
      <c r="Q221" s="24" t="n">
        <f aca="false">((AVERAGE(N219:N221)/AVERAGE(N216:N218))^4-1)*100</f>
        <v>7.2969391927296</v>
      </c>
      <c r="R221" s="24" t="n">
        <f aca="false">IFERROR(('SA Data'!X221/'SA Data'!X209-1)*100,"")</f>
        <v>9.42214512700139</v>
      </c>
      <c r="S221" s="24" t="n">
        <f aca="false">IFERROR((AVERAGE('SA Data'!X211:X221)/AVERAGE('SA Data'!X199:X209)-1)*100,"")</f>
        <v>9.3909323446536</v>
      </c>
    </row>
    <row r="222" customFormat="false" ht="15" hidden="false" customHeight="false" outlineLevel="0" collapsed="false">
      <c r="A222" s="20" t="n">
        <v>44561</v>
      </c>
      <c r="B222" s="23" t="n">
        <f aca="false">'SA Data'!R222</f>
        <v>129.712852321548</v>
      </c>
      <c r="C222" s="24" t="n">
        <f aca="false">(B222/B221-1)*100</f>
        <v>7.2547654373494</v>
      </c>
      <c r="D222" s="24" t="n">
        <f aca="false">(AVERAGE(B220:B222)/AVERAGE(B217:B219)-1)*100</f>
        <v>6.49776802410333</v>
      </c>
      <c r="E222" s="24" t="n">
        <f aca="false">((AVERAGE(B220:B222)/AVERAGE(B217:B219))^4-1)*100</f>
        <v>28.635850943729</v>
      </c>
      <c r="F222" s="24" t="n">
        <f aca="false">IFERROR(('SA Data'!V222/'SA Data'!V210-1)*100,"")</f>
        <v>15.1731621824919</v>
      </c>
      <c r="G222" s="24" t="n">
        <f aca="false">IFERROR((AVERAGE('SA Data'!V211:V222)/AVERAGE('SA Data'!V199:V210)-1)*100,"")</f>
        <v>1.41077468471973</v>
      </c>
      <c r="H222" s="23" t="n">
        <f aca="false">'SA Data'!S222</f>
        <v>130.425566226303</v>
      </c>
      <c r="I222" s="24" t="n">
        <f aca="false">(H222/H221-1)*100</f>
        <v>2.12102931020719</v>
      </c>
      <c r="J222" s="24" t="n">
        <f aca="false">(AVERAGE(H220:H222)/AVERAGE(H217:H219)-1)*100</f>
        <v>2.37338955658772</v>
      </c>
      <c r="K222" s="24" t="n">
        <f aca="false">((AVERAGE(H220:H222)/AVERAGE(H217:H219))^4-1)*100</f>
        <v>9.83691633648212</v>
      </c>
      <c r="L222" s="24" t="n">
        <f aca="false">IFERROR(('SA Data'!W222/'SA Data'!W210-1)*100,"")</f>
        <v>9.20679967180265</v>
      </c>
      <c r="M222" s="24" t="n">
        <f aca="false">IFERROR((AVERAGE('SA Data'!W211:W222)/AVERAGE('SA Data'!W199:W210)-1)*100,"")</f>
        <v>18.0911378160683</v>
      </c>
      <c r="N222" s="23" t="n">
        <f aca="false">'SA Data'!T222</f>
        <v>158.474782924539</v>
      </c>
      <c r="O222" s="24" t="n">
        <f aca="false">(N222/N221-1)*100</f>
        <v>1.14200341327642</v>
      </c>
      <c r="P222" s="24" t="n">
        <f aca="false">(AVERAGE(N220:N222)/AVERAGE(N217:N219)-1)*100</f>
        <v>1.97163428811136</v>
      </c>
      <c r="Q222" s="24" t="n">
        <f aca="false">((AVERAGE(N220:N222)/AVERAGE(N217:N219))^4-1)*100</f>
        <v>8.12285853636103</v>
      </c>
      <c r="R222" s="24" t="n">
        <f aca="false">IFERROR(('SA Data'!X222/'SA Data'!X210-1)*100,"")</f>
        <v>8.76272195107648</v>
      </c>
      <c r="S222" s="24" t="n">
        <f aca="false">IFERROR((AVERAGE('SA Data'!X211:X222)/AVERAGE('SA Data'!X199:X210)-1)*100,"")</f>
        <v>9.33628933925683</v>
      </c>
    </row>
    <row r="223" customFormat="false" ht="15" hidden="false" customHeight="false" outlineLevel="0" collapsed="false">
      <c r="A223" s="20" t="n">
        <v>44592</v>
      </c>
      <c r="B223" s="23" t="n">
        <f aca="false">'SA Data'!R223</f>
        <v>124.140800739205</v>
      </c>
      <c r="C223" s="24" t="n">
        <f aca="false">(B223/B222-1)*100</f>
        <v>-4.29568194871693</v>
      </c>
      <c r="D223" s="24" t="n">
        <f aca="false">(AVERAGE(B221:B223)/AVERAGE(B218:B220)-1)*100</f>
        <v>7.3022835262722</v>
      </c>
      <c r="E223" s="24" t="n">
        <f aca="false">((AVERAGE(B221:B223)/AVERAGE(B218:B220))^4-1)*100</f>
        <v>32.5671310386843</v>
      </c>
      <c r="F223" s="24" t="n">
        <f aca="false">IFERROR(('SA Data'!V223/'SA Data'!V211-1)*100,"")</f>
        <v>17.84479794951</v>
      </c>
      <c r="G223" s="24" t="n">
        <f aca="false">IFERROR((AVERAGE('SA Data'!V223:V223)/AVERAGE('SA Data'!V211:V211)-1)*100,"")</f>
        <v>17.84479794951</v>
      </c>
      <c r="H223" s="23" t="n">
        <f aca="false">'SA Data'!S223</f>
        <v>124.085727932632</v>
      </c>
      <c r="I223" s="24" t="n">
        <f aca="false">(H223/H222-1)*100</f>
        <v>-4.8608861568374</v>
      </c>
      <c r="J223" s="24" t="n">
        <f aca="false">(AVERAGE(H221:H223)/AVERAGE(H218:H220)-1)*100</f>
        <v>2.51294011644683</v>
      </c>
      <c r="K223" s="24" t="n">
        <f aca="false">((AVERAGE(H221:H223)/AVERAGE(H218:H220))^4-1)*100</f>
        <v>10.4370399791563</v>
      </c>
      <c r="L223" s="24" t="n">
        <f aca="false">IFERROR(('SA Data'!W223/'SA Data'!W211-1)*100,"")</f>
        <v>1.22633558338672</v>
      </c>
      <c r="M223" s="24" t="n">
        <f aca="false">IFERROR((AVERAGE('SA Data'!W223:W223)/AVERAGE('SA Data'!W211:W211)-1)*100,"")</f>
        <v>1.22633558338672</v>
      </c>
      <c r="N223" s="23" t="n">
        <f aca="false">'SA Data'!T223</f>
        <v>157.273227488108</v>
      </c>
      <c r="O223" s="24" t="n">
        <f aca="false">(N223/N222-1)*100</f>
        <v>-0.758199767974133</v>
      </c>
      <c r="P223" s="24" t="n">
        <f aca="false">(AVERAGE(N221:N223)/AVERAGE(N218:N220)-1)*100</f>
        <v>2.31228510813037</v>
      </c>
      <c r="Q223" s="24" t="n">
        <f aca="false">((AVERAGE(N221:N223)/AVERAGE(N218:N220))^4-1)*100</f>
        <v>9.57491396775541</v>
      </c>
      <c r="R223" s="24" t="n">
        <f aca="false">IFERROR(('SA Data'!X223/'SA Data'!X211-1)*100,"")</f>
        <v>6.85573737730139</v>
      </c>
      <c r="S223" s="24" t="n">
        <f aca="false">IFERROR((AVERAGE('SA Data'!X223:X223)/AVERAGE('SA Data'!X211:X211)-1)*100,"")</f>
        <v>6.85573737730139</v>
      </c>
    </row>
    <row r="224" customFormat="false" ht="15" hidden="false" customHeight="false" outlineLevel="0" collapsed="false">
      <c r="A224" s="20" t="n">
        <v>44620</v>
      </c>
      <c r="B224" s="23" t="n">
        <f aca="false">'SA Data'!R224</f>
        <v>118.023669729311</v>
      </c>
      <c r="C224" s="24" t="n">
        <f aca="false">(B224/B223-1)*100</f>
        <v>-4.92757495800655</v>
      </c>
      <c r="D224" s="24" t="n">
        <f aca="false">(AVERAGE(B222:B224)/AVERAGE(B219:B221)-1)*100</f>
        <v>4.97348345940696</v>
      </c>
      <c r="E224" s="24" t="n">
        <f aca="false">((AVERAGE(B222:B224)/AVERAGE(B219:B221))^4-1)*100</f>
        <v>21.4278866627998</v>
      </c>
      <c r="F224" s="24" t="n">
        <f aca="false">IFERROR(('SA Data'!V224/'SA Data'!V212-1)*100,"")</f>
        <v>9.41779412008108</v>
      </c>
      <c r="G224" s="24" t="n">
        <f aca="false">IFERROR((AVERAGE('SA Data'!V223:V224)/AVERAGE('SA Data'!V211:V212)-1)*100,"")</f>
        <v>14.014275482621</v>
      </c>
      <c r="H224" s="23" t="n">
        <f aca="false">'SA Data'!S224</f>
        <v>130.555599357693</v>
      </c>
      <c r="I224" s="24" t="n">
        <f aca="false">(H224/H223-1)*100</f>
        <v>5.21403350155938</v>
      </c>
      <c r="J224" s="24" t="n">
        <f aca="false">(AVERAGE(H222:H224)/AVERAGE(H219:H221)-1)*100</f>
        <v>2.11203941961922</v>
      </c>
      <c r="K224" s="24" t="n">
        <f aca="false">((AVERAGE(H222:H224)/AVERAGE(H219:H221))^4-1)*100</f>
        <v>8.71958868559133</v>
      </c>
      <c r="L224" s="24" t="n">
        <f aca="false">IFERROR(('SA Data'!W224/'SA Data'!W212-1)*100,"")</f>
        <v>9.43904930042621</v>
      </c>
      <c r="M224" s="24" t="n">
        <f aca="false">IFERROR((AVERAGE('SA Data'!W223:W224)/AVERAGE('SA Data'!W211:W212)-1)*100,"")</f>
        <v>5.27496248206421</v>
      </c>
      <c r="N224" s="23" t="n">
        <f aca="false">'SA Data'!T224</f>
        <v>159.881201933644</v>
      </c>
      <c r="O224" s="24" t="n">
        <f aca="false">(N224/N223-1)*100</f>
        <v>1.65824437330424</v>
      </c>
      <c r="P224" s="24" t="n">
        <f aca="false">(AVERAGE(N222:N224)/AVERAGE(N219:N221)-1)*100</f>
        <v>2.24180175722226</v>
      </c>
      <c r="Q224" s="24" t="n">
        <f aca="false">((AVERAGE(N222:N224)/AVERAGE(N219:N221))^4-1)*100</f>
        <v>9.27327942034546</v>
      </c>
      <c r="R224" s="24" t="n">
        <f aca="false">IFERROR(('SA Data'!X224/'SA Data'!X212-1)*100,"")</f>
        <v>8.34072943657953</v>
      </c>
      <c r="S224" s="24" t="n">
        <f aca="false">IFERROR((AVERAGE('SA Data'!X223:X224)/AVERAGE('SA Data'!X211:X212)-1)*100,"")</f>
        <v>7.59202738372944</v>
      </c>
    </row>
    <row r="225" customFormat="false" ht="15" hidden="false" customHeight="false" outlineLevel="0" collapsed="false">
      <c r="A225" s="20" t="n">
        <v>44651</v>
      </c>
      <c r="B225" s="23" t="n">
        <f aca="false">'SA Data'!R225</f>
        <v>116.965334168329</v>
      </c>
      <c r="C225" s="24" t="n">
        <f aca="false">(B225/B224-1)*100</f>
        <v>-0.896714670379362</v>
      </c>
      <c r="D225" s="24" t="n">
        <f aca="false">(AVERAGE(B223:B225)/AVERAGE(B220:B222)-1)*100</f>
        <v>-2.70434012562298</v>
      </c>
      <c r="E225" s="24" t="n">
        <f aca="false">((AVERAGE(B223:B225)/AVERAGE(B220:B222))^4-1)*100</f>
        <v>-10.3864109134396</v>
      </c>
      <c r="F225" s="24" t="n">
        <f aca="false">IFERROR(('SA Data'!V225/'SA Data'!V213-1)*100,"")</f>
        <v>1.69521793048135</v>
      </c>
      <c r="G225" s="24" t="n">
        <f aca="false">IFERROR((AVERAGE('SA Data'!V223:V225)/AVERAGE('SA Data'!V211:V213)-1)*100,"")</f>
        <v>8.10847377308719</v>
      </c>
      <c r="H225" s="23" t="n">
        <f aca="false">'SA Data'!S225</f>
        <v>132.011453789556</v>
      </c>
      <c r="I225" s="24" t="n">
        <f aca="false">(H225/H224-1)*100</f>
        <v>1.11512216942518</v>
      </c>
      <c r="J225" s="24" t="n">
        <f aca="false">(AVERAGE(H223:H225)/AVERAGE(H220:H222)-1)*100</f>
        <v>1.27381691768473</v>
      </c>
      <c r="K225" s="24" t="n">
        <f aca="false">((AVERAGE(H223:H225)/AVERAGE(H220:H222))^4-1)*100</f>
        <v>5.19345363898047</v>
      </c>
      <c r="L225" s="24" t="n">
        <f aca="false">IFERROR(('SA Data'!W225/'SA Data'!W213-1)*100,"")</f>
        <v>4.24560473821611</v>
      </c>
      <c r="M225" s="24" t="n">
        <f aca="false">IFERROR((AVERAGE('SA Data'!W223:W225)/AVERAGE('SA Data'!W211:W213)-1)*100,"")</f>
        <v>4.89404768837332</v>
      </c>
      <c r="N225" s="23" t="n">
        <f aca="false">'SA Data'!T225</f>
        <v>160.546614102482</v>
      </c>
      <c r="O225" s="24" t="n">
        <f aca="false">(N225/N224-1)*100</f>
        <v>0.41619162277422</v>
      </c>
      <c r="P225" s="24" t="n">
        <f aca="false">(AVERAGE(N223:N225)/AVERAGE(N220:N222)-1)*100</f>
        <v>1.84739349990501</v>
      </c>
      <c r="Q225" s="24" t="n">
        <f aca="false">((AVERAGE(N223:N225)/AVERAGE(N220:N222))^4-1)*100</f>
        <v>7.59687937204101</v>
      </c>
      <c r="R225" s="24" t="n">
        <f aca="false">IFERROR(('SA Data'!X225/'SA Data'!X213-1)*100,"")</f>
        <v>6.32877669716385</v>
      </c>
      <c r="S225" s="24" t="n">
        <f aca="false">IFERROR((AVERAGE('SA Data'!X223:X225)/AVERAGE('SA Data'!X211:X213)-1)*100,"")</f>
        <v>7.15499157209352</v>
      </c>
    </row>
    <row r="226" customFormat="false" ht="15" hidden="false" customHeight="false" outlineLevel="0" collapsed="false">
      <c r="A226" s="20" t="n">
        <v>44681</v>
      </c>
      <c r="B226" s="23" t="n">
        <f aca="false">'SA Data'!R226</f>
        <v>122.487272300249</v>
      </c>
      <c r="C226" s="24" t="n">
        <f aca="false">(B226/B225-1)*100</f>
        <v>4.7210040232724</v>
      </c>
      <c r="D226" s="24" t="n">
        <f aca="false">(AVERAGE(B224:B226)/AVERAGE(B221:B223)-1)*100</f>
        <v>-4.62025789246662</v>
      </c>
      <c r="E226" s="24" t="n">
        <f aca="false">((AVERAGE(B224:B226)/AVERAGE(B221:B223))^4-1)*100</f>
        <v>-17.239219962189</v>
      </c>
      <c r="F226" s="24" t="n">
        <f aca="false">IFERROR(('SA Data'!V226/'SA Data'!V214-1)*100,"")</f>
        <v>-1.82912645585815</v>
      </c>
      <c r="G226" s="24" t="n">
        <f aca="false">IFERROR((AVERAGE('SA Data'!V223:V226)/AVERAGE('SA Data'!V211:V214)-1)*100,"")</f>
        <v>4.11652101902524</v>
      </c>
      <c r="H226" s="23" t="n">
        <f aca="false">'SA Data'!S226</f>
        <v>133.085197897615</v>
      </c>
      <c r="I226" s="24" t="n">
        <f aca="false">(H226/H225-1)*100</f>
        <v>0.813371928901141</v>
      </c>
      <c r="J226" s="24" t="n">
        <f aca="false">(AVERAGE(H224:H226)/AVERAGE(H221:H223)-1)*100</f>
        <v>3.51211844333055</v>
      </c>
      <c r="K226" s="24" t="n">
        <f aca="false">((AVERAGE(H224:H226)/AVERAGE(H221:H223))^4-1)*100</f>
        <v>14.8060532411799</v>
      </c>
      <c r="L226" s="24" t="n">
        <f aca="false">IFERROR(('SA Data'!W226/'SA Data'!W214-1)*100,"")</f>
        <v>6.76400322161379</v>
      </c>
      <c r="M226" s="24" t="n">
        <f aca="false">IFERROR((AVERAGE('SA Data'!W223:W226)/AVERAGE('SA Data'!W211:W214)-1)*100,"")</f>
        <v>5.3776598762844</v>
      </c>
      <c r="N226" s="23" t="n">
        <f aca="false">'SA Data'!T226</f>
        <v>162.286190681023</v>
      </c>
      <c r="O226" s="24" t="n">
        <f aca="false">(N226/N225-1)*100</f>
        <v>1.08353364427225</v>
      </c>
      <c r="P226" s="24" t="n">
        <f aca="false">(AVERAGE(N224:N226)/AVERAGE(N221:N223)-1)*100</f>
        <v>2.17608777440437</v>
      </c>
      <c r="Q226" s="24" t="n">
        <f aca="false">((AVERAGE(N224:N226)/AVERAGE(N221:N223))^4-1)*100</f>
        <v>8.99261682320976</v>
      </c>
      <c r="R226" s="24" t="n">
        <f aca="false">IFERROR(('SA Data'!X226/'SA Data'!X214-1)*100,"")</f>
        <v>7.02375277862919</v>
      </c>
      <c r="S226" s="24" t="n">
        <f aca="false">IFERROR((AVERAGE('SA Data'!X223:X226)/AVERAGE('SA Data'!X211:X214)-1)*100,"")</f>
        <v>7.12161056591927</v>
      </c>
    </row>
    <row r="227" customFormat="false" ht="15" hidden="false" customHeight="false" outlineLevel="0" collapsed="false">
      <c r="A227" s="20" t="n">
        <v>44712</v>
      </c>
      <c r="B227" s="23" t="n">
        <f aca="false">'SA Data'!R227</f>
        <v>122.148202860183</v>
      </c>
      <c r="C227" s="24" t="n">
        <f aca="false">(B227/B226-1)*100</f>
        <v>-0.276820141145195</v>
      </c>
      <c r="D227" s="24" t="n">
        <f aca="false">(AVERAGE(B225:B227)/AVERAGE(B222:B224)-1)*100</f>
        <v>-2.76341493054825</v>
      </c>
      <c r="E227" s="24" t="n">
        <f aca="false">((AVERAGE(B225:B227)/AVERAGE(B222:B224))^4-1)*100</f>
        <v>-10.6038547672669</v>
      </c>
      <c r="F227" s="24" t="n">
        <f aca="false">IFERROR(('SA Data'!V227/'SA Data'!V215-1)*100,"")</f>
        <v>-3.48124933236269</v>
      </c>
      <c r="G227" s="24" t="n">
        <f aca="false">IFERROR((AVERAGE('SA Data'!V223:V227)/AVERAGE('SA Data'!V211:V215)-1)*100,"")</f>
        <v>1.43660682763351</v>
      </c>
      <c r="H227" s="23" t="n">
        <f aca="false">'SA Data'!S227</f>
        <v>135.060943198131</v>
      </c>
      <c r="I227" s="24" t="n">
        <f aca="false">(H227/H226-1)*100</f>
        <v>1.48457178689072</v>
      </c>
      <c r="J227" s="24" t="n">
        <f aca="false">(AVERAGE(H225:H227)/AVERAGE(H222:H224)-1)*100</f>
        <v>3.91898177245487</v>
      </c>
      <c r="K227" s="24" t="n">
        <f aca="false">((AVERAGE(H225:H227)/AVERAGE(H222:H224))^4-1)*100</f>
        <v>16.6217438030835</v>
      </c>
      <c r="L227" s="24" t="n">
        <f aca="false">IFERROR(('SA Data'!W227/'SA Data'!W215-1)*100,"")</f>
        <v>12.605862815022</v>
      </c>
      <c r="M227" s="24" t="n">
        <f aca="false">IFERROR((AVERAGE('SA Data'!W223:W227)/AVERAGE('SA Data'!W211:W215)-1)*100,"")</f>
        <v>6.83651701678159</v>
      </c>
      <c r="N227" s="23" t="n">
        <f aca="false">'SA Data'!T227</f>
        <v>163.837226660968</v>
      </c>
      <c r="O227" s="24" t="n">
        <f aca="false">(N227/N226-1)*100</f>
        <v>0.955741196115789</v>
      </c>
      <c r="P227" s="24" t="n">
        <f aca="false">(AVERAGE(N225:N227)/AVERAGE(N222:N224)-1)*100</f>
        <v>2.32130802978163</v>
      </c>
      <c r="Q227" s="24" t="n">
        <f aca="false">((AVERAGE(N225:N227)/AVERAGE(N222:N224))^4-1)*100</f>
        <v>9.6135727332652</v>
      </c>
      <c r="R227" s="24" t="n">
        <f aca="false">IFERROR(('SA Data'!X227/'SA Data'!X215-1)*100,"")</f>
        <v>9.40476974061413</v>
      </c>
      <c r="S227" s="24" t="n">
        <f aca="false">IFERROR((AVERAGE('SA Data'!X223:X227)/AVERAGE('SA Data'!X211:X215)-1)*100,"")</f>
        <v>7.58305465954898</v>
      </c>
    </row>
    <row r="228" customFormat="false" ht="15" hidden="false" customHeight="false" outlineLevel="0" collapsed="false">
      <c r="A228" s="20" t="n">
        <v>44742</v>
      </c>
      <c r="B228" s="23" t="n">
        <f aca="false">'SA Data'!R228</f>
        <v>121.058947884249</v>
      </c>
      <c r="C228" s="24" t="n">
        <f aca="false">(B228/B227-1)*100</f>
        <v>-0.891748671227477</v>
      </c>
      <c r="D228" s="24" t="n">
        <f aca="false">(AVERAGE(B226:B228)/AVERAGE(B223:B225)-1)*100</f>
        <v>1.82792358725954</v>
      </c>
      <c r="E228" s="24" t="n">
        <f aca="false">((AVERAGE(B226:B228)/AVERAGE(B223:B225))^4-1)*100</f>
        <v>7.51462685163256</v>
      </c>
      <c r="F228" s="24" t="n">
        <f aca="false">IFERROR(('SA Data'!V228/'SA Data'!V216-1)*100,"")</f>
        <v>-1.06681238799248</v>
      </c>
      <c r="G228" s="24" t="n">
        <f aca="false">IFERROR((AVERAGE('SA Data'!V223:V228)/AVERAGE('SA Data'!V211:V216)-1)*100,"")</f>
        <v>0.94816801382831</v>
      </c>
      <c r="H228" s="23" t="n">
        <f aca="false">'SA Data'!S228</f>
        <v>135.710259865582</v>
      </c>
      <c r="I228" s="24" t="n">
        <f aca="false">(H228/H227-1)*100</f>
        <v>0.480758279985216</v>
      </c>
      <c r="J228" s="24" t="n">
        <f aca="false">(AVERAGE(H226:H228)/AVERAGE(H223:H225)-1)*100</f>
        <v>4.44937181969791</v>
      </c>
      <c r="K228" s="24" t="n">
        <f aca="false">((AVERAGE(H226:H228)/AVERAGE(H223:H225))^4-1)*100</f>
        <v>19.0209272964749</v>
      </c>
      <c r="L228" s="24" t="n">
        <f aca="false">IFERROR(('SA Data'!W228/'SA Data'!W216-1)*100,"")</f>
        <v>7.5271175291606</v>
      </c>
      <c r="M228" s="24" t="n">
        <f aca="false">IFERROR((AVERAGE('SA Data'!W223:W228)/AVERAGE('SA Data'!W211:W216)-1)*100,"")</f>
        <v>6.96000519308597</v>
      </c>
      <c r="N228" s="23" t="n">
        <f aca="false">'SA Data'!T228</f>
        <v>165.13757655238</v>
      </c>
      <c r="O228" s="24" t="n">
        <f aca="false">(N228/N227-1)*100</f>
        <v>0.793684022802865</v>
      </c>
      <c r="P228" s="24" t="n">
        <f aca="false">(AVERAGE(N226:N228)/AVERAGE(N223:N225)-1)*100</f>
        <v>2.83858504266554</v>
      </c>
      <c r="Q228" s="24" t="n">
        <f aca="false">((AVERAGE(N226:N228)/AVERAGE(N223:N225))^4-1)*100</f>
        <v>11.8470078311295</v>
      </c>
      <c r="R228" s="24" t="n">
        <f aca="false">IFERROR(('SA Data'!X228/'SA Data'!X216-1)*100,"")</f>
        <v>8.98055907754078</v>
      </c>
      <c r="S228" s="24" t="n">
        <f aca="false">IFERROR((AVERAGE('SA Data'!X223:X228)/AVERAGE('SA Data'!X211:X216)-1)*100,"")</f>
        <v>7.82283722817105</v>
      </c>
    </row>
    <row r="229" customFormat="false" ht="15" hidden="false" customHeight="false" outlineLevel="0" collapsed="false">
      <c r="A229" s="20" t="n">
        <v>44773</v>
      </c>
      <c r="B229" s="23" t="n">
        <f aca="false">'SA Data'!R229</f>
        <v>108.459006819546</v>
      </c>
      <c r="C229" s="24" t="n">
        <f aca="false">(B229/B228-1)*100</f>
        <v>-10.4081038906355</v>
      </c>
      <c r="D229" s="24" t="n">
        <f aca="false">(AVERAGE(B227:B229)/AVERAGE(B224:B226)-1)*100</f>
        <v>-1.62531586591078</v>
      </c>
      <c r="E229" s="24" t="n">
        <f aca="false">((AVERAGE(B227:B229)/AVERAGE(B224:B226))^4-1)*100</f>
        <v>-6.34447479282541</v>
      </c>
      <c r="F229" s="24" t="n">
        <f aca="false">IFERROR(('SA Data'!V229/'SA Data'!V217-1)*100,"")</f>
        <v>-6.20417456105634</v>
      </c>
      <c r="G229" s="24" t="n">
        <f aca="false">IFERROR((AVERAGE('SA Data'!V223:V229)/AVERAGE('SA Data'!V211:V217)-1)*100,"")</f>
        <v>0.186678799883322</v>
      </c>
      <c r="H229" s="23" t="n">
        <f aca="false">'SA Data'!S229</f>
        <v>131.840275777864</v>
      </c>
      <c r="I229" s="24" t="n">
        <f aca="false">(H229/H228-1)*100</f>
        <v>-2.85165181435119</v>
      </c>
      <c r="J229" s="24" t="n">
        <f aca="false">(AVERAGE(H227:H229)/AVERAGE(H224:H226)-1)*100</f>
        <v>1.75892536396141</v>
      </c>
      <c r="K229" s="24" t="n">
        <f aca="false">((AVERAGE(H227:H229)/AVERAGE(H224:H226))^4-1)*100</f>
        <v>7.22351685200475</v>
      </c>
      <c r="L229" s="24" t="n">
        <f aca="false">IFERROR(('SA Data'!W229/'SA Data'!W217-1)*100,"")</f>
        <v>6.67807461889551</v>
      </c>
      <c r="M229" s="24" t="n">
        <f aca="false">IFERROR((AVERAGE('SA Data'!W223:W229)/AVERAGE('SA Data'!W211:W217)-1)*100,"")</f>
        <v>6.91750458756903</v>
      </c>
      <c r="N229" s="23" t="n">
        <f aca="false">'SA Data'!T229</f>
        <v>162.470812549582</v>
      </c>
      <c r="O229" s="24" t="n">
        <f aca="false">(N229/N228-1)*100</f>
        <v>-1.61487413008703</v>
      </c>
      <c r="P229" s="24" t="n">
        <f aca="false">(AVERAGE(N227:N229)/AVERAGE(N224:N226)-1)*100</f>
        <v>1.80885761015384</v>
      </c>
      <c r="Q229" s="24" t="n">
        <f aca="false">((AVERAGE(N227:N229)/AVERAGE(N224:N226))^4-1)*100</f>
        <v>7.43412650573851</v>
      </c>
      <c r="R229" s="24" t="n">
        <f aca="false">IFERROR(('SA Data'!X229/'SA Data'!X217-1)*100,"")</f>
        <v>6.93862505203435</v>
      </c>
      <c r="S229" s="24" t="n">
        <f aca="false">IFERROR((AVERAGE('SA Data'!X223:X229)/AVERAGE('SA Data'!X211:X217)-1)*100,"")</f>
        <v>7.69454539142431</v>
      </c>
    </row>
    <row r="230" customFormat="false" ht="15" hidden="false" customHeight="false" outlineLevel="0" collapsed="false">
      <c r="A230" s="20" t="n">
        <v>44804</v>
      </c>
      <c r="B230" s="23" t="n">
        <f aca="false">'SA Data'!R230</f>
        <v>109.324689611562</v>
      </c>
      <c r="C230" s="24" t="n">
        <f aca="false">(B230/B229-1)*100</f>
        <v>0.798165885343161</v>
      </c>
      <c r="D230" s="24" t="n">
        <f aca="false">(AVERAGE(B228:B230)/AVERAGE(B225:B227)-1)*100</f>
        <v>-6.29372623796114</v>
      </c>
      <c r="E230" s="24" t="n">
        <f aca="false">((AVERAGE(B228:B230)/AVERAGE(B225:B227))^4-1)*100</f>
        <v>-22.8963968145402</v>
      </c>
      <c r="F230" s="24" t="n">
        <f aca="false">IFERROR(('SA Data'!V230/'SA Data'!V218-1)*100,"")</f>
        <v>-2.27979652203354</v>
      </c>
      <c r="G230" s="24" t="n">
        <f aca="false">IFERROR((AVERAGE('SA Data'!V223:V230)/AVERAGE('SA Data'!V211:V218)-1)*100,"")</f>
        <v>0.0183661399994595</v>
      </c>
      <c r="H230" s="23" t="n">
        <f aca="false">'SA Data'!S230</f>
        <v>132.885538901262</v>
      </c>
      <c r="I230" s="24" t="n">
        <f aca="false">(H230/H229-1)*100</f>
        <v>0.792825346602921</v>
      </c>
      <c r="J230" s="24" t="n">
        <f aca="false">(AVERAGE(H228:H230)/AVERAGE(H225:H227)-1)*100</f>
        <v>0.0695924962978767</v>
      </c>
      <c r="K230" s="24" t="n">
        <f aca="false">((AVERAGE(H228:H230)/AVERAGE(H225:H227))^4-1)*100</f>
        <v>0.278660706965228</v>
      </c>
      <c r="L230" s="24" t="n">
        <f aca="false">IFERROR(('SA Data'!W230/'SA Data'!W218-1)*100,"")</f>
        <v>8.49616321428279</v>
      </c>
      <c r="M230" s="24" t="n">
        <f aca="false">IFERROR((AVERAGE('SA Data'!W223:W230)/AVERAGE('SA Data'!W211:W218)-1)*100,"")</f>
        <v>7.12824556159337</v>
      </c>
      <c r="N230" s="23" t="n">
        <f aca="false">'SA Data'!T230</f>
        <v>162.264524416448</v>
      </c>
      <c r="O230" s="24" t="n">
        <f aca="false">(N230/N229-1)*100</f>
        <v>-0.126969349076866</v>
      </c>
      <c r="P230" s="24" t="n">
        <f aca="false">(AVERAGE(N228:N230)/AVERAGE(N225:N227)-1)*100</f>
        <v>0.658121903342002</v>
      </c>
      <c r="Q230" s="24" t="n">
        <f aca="false">((AVERAGE(N228:N230)/AVERAGE(N225:N227))^4-1)*100</f>
        <v>2.65858928681655</v>
      </c>
      <c r="R230" s="24" t="n">
        <f aca="false">IFERROR(('SA Data'!X230/'SA Data'!X218-1)*100,"")</f>
        <v>6.32536754498851</v>
      </c>
      <c r="S230" s="24" t="n">
        <f aca="false">IFERROR((AVERAGE('SA Data'!X223:X230)/AVERAGE('SA Data'!X211:X218)-1)*100,"")</f>
        <v>7.51957454295387</v>
      </c>
    </row>
    <row r="231" customFormat="false" ht="15" hidden="false" customHeight="false" outlineLevel="0" collapsed="false">
      <c r="A231" s="20" t="n">
        <v>44834</v>
      </c>
      <c r="B231" s="23" t="n">
        <f aca="false">'SA Data'!R231</f>
        <v>107.534026674072</v>
      </c>
      <c r="C231" s="24" t="n">
        <f aca="false">(B231/B230-1)*100</f>
        <v>-1.63793095946742</v>
      </c>
      <c r="D231" s="24" t="n">
        <f aca="false">(AVERAGE(B229:B231)/AVERAGE(B226:B228)-1)*100</f>
        <v>-11.0411035539822</v>
      </c>
      <c r="E231" s="24" t="n">
        <f aca="false">((AVERAGE(B229:B231)/AVERAGE(B226:B228))^4-1)*100</f>
        <v>-37.3735856548295</v>
      </c>
      <c r="F231" s="24" t="n">
        <f aca="false">IFERROR(('SA Data'!V231/'SA Data'!V219-1)*100,"")</f>
        <v>-2.25029328682391</v>
      </c>
      <c r="G231" s="24" t="n">
        <f aca="false">IFERROR((AVERAGE('SA Data'!V223:V231)/AVERAGE('SA Data'!V211:V219)-1)*100,"")</f>
        <v>-0.118105127071722</v>
      </c>
      <c r="H231" s="23" t="n">
        <f aca="false">'SA Data'!S231</f>
        <v>131.436467509908</v>
      </c>
      <c r="I231" s="24" t="n">
        <f aca="false">(H231/H230-1)*100</f>
        <v>-1.09046582746012</v>
      </c>
      <c r="J231" s="24" t="n">
        <f aca="false">(AVERAGE(H229:H231)/AVERAGE(H226:H228)-1)*100</f>
        <v>-1.90516202144581</v>
      </c>
      <c r="K231" s="24" t="n">
        <f aca="false">((AVERAGE(H229:H231)/AVERAGE(H226:H228))^4-1)*100</f>
        <v>-7.40562239448809</v>
      </c>
      <c r="L231" s="24" t="n">
        <f aca="false">IFERROR(('SA Data'!W231/'SA Data'!W219-1)*100,"")</f>
        <v>5.15970733407256</v>
      </c>
      <c r="M231" s="24" t="n">
        <f aca="false">IFERROR((AVERAGE('SA Data'!W223:W231)/AVERAGE('SA Data'!W211:W219)-1)*100,"")</f>
        <v>6.8953683703378</v>
      </c>
      <c r="N231" s="23" t="n">
        <f aca="false">'SA Data'!T231</f>
        <v>161.543104139802</v>
      </c>
      <c r="O231" s="24" t="n">
        <f aca="false">(N231/N230-1)*100</f>
        <v>-0.444595193706387</v>
      </c>
      <c r="P231" s="24" t="n">
        <f aca="false">(AVERAGE(N229:N231)/AVERAGE(N226:N228)-1)*100</f>
        <v>-1.01423741157196</v>
      </c>
      <c r="Q231" s="24" t="n">
        <f aca="false">((AVERAGE(N229:N231)/AVERAGE(N226:N228))^4-1)*100</f>
        <v>-3.9956452657814</v>
      </c>
      <c r="R231" s="24" t="n">
        <f aca="false">IFERROR(('SA Data'!X231/'SA Data'!X219-1)*100,"")</f>
        <v>4.61585482974696</v>
      </c>
      <c r="S231" s="24" t="n">
        <f aca="false">IFERROR((AVERAGE('SA Data'!X223:X231)/AVERAGE('SA Data'!X211:X219)-1)*100,"")</f>
        <v>7.19043317952282</v>
      </c>
    </row>
    <row r="232" customFormat="false" ht="15" hidden="false" customHeight="false" outlineLevel="0" collapsed="false">
      <c r="A232" s="20" t="n">
        <v>44865</v>
      </c>
      <c r="B232" s="23" t="n">
        <f aca="false">'SA Data'!R232</f>
        <v>101.734067532531</v>
      </c>
      <c r="C232" s="24" t="n">
        <f aca="false">(B232/B231-1)*100</f>
        <v>-5.39360360708938</v>
      </c>
      <c r="D232" s="24" t="n">
        <f aca="false">(AVERAGE(B230:B232)/AVERAGE(B227:B229)-1)*100</f>
        <v>-9.40476444333315</v>
      </c>
      <c r="E232" s="24" t="n">
        <f aca="false">((AVERAGE(B230:B232)/AVERAGE(B227:B229))^4-1)*100</f>
        <v>-32.6369978280912</v>
      </c>
      <c r="F232" s="24" t="n">
        <f aca="false">IFERROR(('SA Data'!V232/'SA Data'!V220-1)*100,"")</f>
        <v>-14.9350176000688</v>
      </c>
      <c r="G232" s="24" t="n">
        <f aca="false">IFERROR((AVERAGE('SA Data'!V223:V232)/AVERAGE('SA Data'!V211:V220)-1)*100,"")</f>
        <v>-0.960765665225116</v>
      </c>
      <c r="H232" s="23" t="n">
        <f aca="false">'SA Data'!S232</f>
        <v>129.1739392293</v>
      </c>
      <c r="I232" s="24" t="n">
        <f aca="false">(H232/H231-1)*100</f>
        <v>-1.72138549024592</v>
      </c>
      <c r="J232" s="24" t="n">
        <f aca="false">(AVERAGE(H230:H232)/AVERAGE(H227:H229)-1)*100</f>
        <v>-2.26410166628481</v>
      </c>
      <c r="K232" s="24" t="n">
        <f aca="false">((AVERAGE(H230:H232)/AVERAGE(H227:H229))^4-1)*100</f>
        <v>-8.75345346200209</v>
      </c>
      <c r="L232" s="24" t="n">
        <f aca="false">IFERROR(('SA Data'!W232/'SA Data'!W220-1)*100,"")</f>
        <v>4.27777907829212</v>
      </c>
      <c r="M232" s="24" t="n">
        <f aca="false">IFERROR((AVERAGE('SA Data'!W223:W232)/AVERAGE('SA Data'!W211:W220)-1)*100,"")</f>
        <v>6.61942770466106</v>
      </c>
      <c r="N232" s="23" t="n">
        <f aca="false">'SA Data'!T232</f>
        <v>160.911264968334</v>
      </c>
      <c r="O232" s="24" t="n">
        <f aca="false">(N232/N231-1)*100</f>
        <v>-0.391127293753801</v>
      </c>
      <c r="P232" s="24" t="n">
        <f aca="false">(AVERAGE(N230:N232)/AVERAGE(N227:N229)-1)*100</f>
        <v>-1.36876228469397</v>
      </c>
      <c r="Q232" s="24" t="n">
        <f aca="false">((AVERAGE(N230:N232)/AVERAGE(N227:N229))^4-1)*100</f>
        <v>-5.36366077325172</v>
      </c>
      <c r="R232" s="24" t="n">
        <f aca="false">IFERROR(('SA Data'!X232/'SA Data'!X220-1)*100,"")</f>
        <v>4.47063223945747</v>
      </c>
      <c r="S232" s="24" t="n">
        <f aca="false">IFERROR((AVERAGE('SA Data'!X223:X232)/AVERAGE('SA Data'!X211:X220)-1)*100,"")</f>
        <v>6.91372943188255</v>
      </c>
    </row>
    <row r="233" customFormat="false" ht="15" hidden="false" customHeight="false" outlineLevel="0" collapsed="false">
      <c r="A233" s="20" t="n">
        <v>44895</v>
      </c>
      <c r="B233" s="23" t="n">
        <f aca="false">'SA Data'!R233</f>
        <v>99.032859682761</v>
      </c>
      <c r="C233" s="24" t="n">
        <f aca="false">(B233/B232-1)*100</f>
        <v>-2.65516548712291</v>
      </c>
      <c r="D233" s="24" t="n">
        <f aca="false">(AVERAGE(B231:B233)/AVERAGE(B228:B230)-1)*100</f>
        <v>-9.01353207407025</v>
      </c>
      <c r="E233" s="24" t="n">
        <f aca="false">((AVERAGE(B231:B233)/AVERAGE(B228:B230))^4-1)*100</f>
        <v>-31.465819416906</v>
      </c>
      <c r="F233" s="24" t="n">
        <f aca="false">IFERROR(('SA Data'!V233/'SA Data'!V221-1)*100,"")</f>
        <v>-18.5451610418272</v>
      </c>
      <c r="G233" s="24" t="n">
        <f aca="false">IFERROR((AVERAGE('SA Data'!V223:V233)/AVERAGE('SA Data'!V211:V221)-1)*100,"")</f>
        <v>-2.09708394693499</v>
      </c>
      <c r="H233" s="23" t="n">
        <f aca="false">'SA Data'!S233</f>
        <v>130.643447476516</v>
      </c>
      <c r="I233" s="24" t="n">
        <f aca="false">(H233/H232-1)*100</f>
        <v>1.13761975208255</v>
      </c>
      <c r="J233" s="24" t="n">
        <f aca="false">(AVERAGE(H231:H233)/AVERAGE(H228:H230)-1)*100</f>
        <v>-2.29305522471321</v>
      </c>
      <c r="K233" s="24" t="n">
        <f aca="false">((AVERAGE(H231:H233)/AVERAGE(H228:H230))^4-1)*100</f>
        <v>-8.8615299629454</v>
      </c>
      <c r="L233" s="24" t="n">
        <f aca="false">IFERROR(('SA Data'!W233/'SA Data'!W221-1)*100,"")</f>
        <v>2.37208241823876</v>
      </c>
      <c r="M233" s="24" t="n">
        <f aca="false">IFERROR((AVERAGE('SA Data'!W223:W233)/AVERAGE('SA Data'!W211:W221)-1)*100,"")</f>
        <v>6.20492220817621</v>
      </c>
      <c r="N233" s="23" t="n">
        <f aca="false">'SA Data'!T233</f>
        <v>161.392688519445</v>
      </c>
      <c r="O233" s="24" t="n">
        <f aca="false">(N233/N232-1)*100</f>
        <v>0.299185735197294</v>
      </c>
      <c r="P233" s="24" t="n">
        <f aca="false">(AVERAGE(N231:N233)/AVERAGE(N228:N230)-1)*100</f>
        <v>-1.23008554352373</v>
      </c>
      <c r="Q233" s="24" t="n">
        <f aca="false">((AVERAGE(N231:N233)/AVERAGE(N228:N230))^4-1)*100</f>
        <v>-4.83029776004189</v>
      </c>
      <c r="R233" s="24" t="n">
        <f aca="false">IFERROR(('SA Data'!X233/'SA Data'!X221-1)*100,"")</f>
        <v>2.85586682580485</v>
      </c>
      <c r="S233" s="24" t="n">
        <f aca="false">IFERROR((AVERAGE('SA Data'!X223:X233)/AVERAGE('SA Data'!X211:X221)-1)*100,"")</f>
        <v>6.53147095675843</v>
      </c>
    </row>
    <row r="234" customFormat="false" ht="15" hidden="false" customHeight="false" outlineLevel="0" collapsed="false">
      <c r="A234" s="20" t="n">
        <v>44926</v>
      </c>
      <c r="B234" s="23" t="n">
        <f aca="false">'SA Data'!R234</f>
        <v>92.8565959593108</v>
      </c>
      <c r="C234" s="24" t="n">
        <f aca="false">(B234/B233-1)*100</f>
        <v>-6.23658020503002</v>
      </c>
      <c r="D234" s="24" t="n">
        <f aca="false">(AVERAGE(B232:B234)/AVERAGE(B229:B231)-1)*100</f>
        <v>-9.74253711972836</v>
      </c>
      <c r="E234" s="24" t="n">
        <f aca="false">((AVERAGE(B232:B234)/AVERAGE(B229:B231))^4-1)*100</f>
        <v>-33.636010538055</v>
      </c>
      <c r="F234" s="24" t="n">
        <f aca="false">IFERROR(('SA Data'!V234/'SA Data'!V222-1)*100,"")</f>
        <v>-28.5110389737076</v>
      </c>
      <c r="G234" s="24" t="n">
        <f aca="false">IFERROR((AVERAGE('SA Data'!V223:V234)/AVERAGE('SA Data'!V211:V222)-1)*100,"")</f>
        <v>-4.28314187227753</v>
      </c>
      <c r="H234" s="23" t="n">
        <f aca="false">'SA Data'!S234</f>
        <v>131.249602013788</v>
      </c>
      <c r="I234" s="24" t="n">
        <f aca="false">(H234/H233-1)*100</f>
        <v>0.463976226117846</v>
      </c>
      <c r="J234" s="24" t="n">
        <f aca="false">(AVERAGE(H232:H234)/AVERAGE(H229:H231)-1)*100</f>
        <v>-1.28616319586896</v>
      </c>
      <c r="K234" s="24" t="n">
        <f aca="false">((AVERAGE(H232:H234)/AVERAGE(H229:H231))^4-1)*100</f>
        <v>-5.04624813763629</v>
      </c>
      <c r="L234" s="24" t="n">
        <f aca="false">IFERROR(('SA Data'!W234/'SA Data'!W222-1)*100,"")</f>
        <v>-0.313490178529507</v>
      </c>
      <c r="M234" s="24" t="n">
        <f aca="false">IFERROR((AVERAGE('SA Data'!W223:W234)/AVERAGE('SA Data'!W211:W222)-1)*100,"")</f>
        <v>5.64478502680821</v>
      </c>
      <c r="N234" s="23" t="n">
        <f aca="false">'SA Data'!T234</f>
        <v>161.808684622106</v>
      </c>
      <c r="O234" s="24" t="n">
        <f aca="false">(N234/N233-1)*100</f>
        <v>0.25775399522574</v>
      </c>
      <c r="P234" s="24" t="n">
        <f aca="false">(AVERAGE(N232:N234)/AVERAGE(N229:N231)-1)*100</f>
        <v>-0.445383305709002</v>
      </c>
      <c r="Q234" s="24" t="n">
        <f aca="false">((AVERAGE(N232:N234)/AVERAGE(N229:N231))^4-1)*100</f>
        <v>-1.76966654575998</v>
      </c>
      <c r="R234" s="24" t="n">
        <f aca="false">IFERROR(('SA Data'!X234/'SA Data'!X222-1)*100,"")</f>
        <v>1.43103025832643</v>
      </c>
      <c r="S234" s="24" t="n">
        <f aca="false">IFERROR((AVERAGE('SA Data'!X223:X234)/AVERAGE('SA Data'!X211:X222)-1)*100,"")</f>
        <v>6.09015167764964</v>
      </c>
    </row>
    <row r="235" customFormat="false" ht="15" hidden="false" customHeight="false" outlineLevel="0" collapsed="false">
      <c r="A235" s="20" t="n">
        <v>44957</v>
      </c>
      <c r="B235" s="23" t="n">
        <f aca="false">'SA Data'!R235</f>
        <v>96.7127001172562</v>
      </c>
      <c r="C235" s="24" t="n">
        <f aca="false">(B235/B234-1)*100</f>
        <v>4.15275201304508</v>
      </c>
      <c r="D235" s="24" t="n">
        <f aca="false">(AVERAGE(B233:B235)/AVERAGE(B230:B232)-1)*100</f>
        <v>-9.41346746759779</v>
      </c>
      <c r="E235" s="24" t="n">
        <f aca="false">((AVERAGE(B233:B235)/AVERAGE(B230:B232))^4-1)*100</f>
        <v>-32.6628789846643</v>
      </c>
      <c r="F235" s="24" t="n">
        <f aca="false">IFERROR(('SA Data'!V235/'SA Data'!V223-1)*100,"")</f>
        <v>-20.1295513331995</v>
      </c>
      <c r="G235" s="24" t="n">
        <f aca="false">IFERROR((AVERAGE('SA Data'!V235:V235)/AVERAGE('SA Data'!V223:V223)-1)*100,"")</f>
        <v>-20.1295513331995</v>
      </c>
      <c r="H235" s="23" t="n">
        <f aca="false">'SA Data'!S235</f>
        <v>133.887199779139</v>
      </c>
      <c r="I235" s="24" t="n">
        <f aca="false">(H235/H234-1)*100</f>
        <v>2.00960439108551</v>
      </c>
      <c r="J235" s="24" t="n">
        <f aca="false">(AVERAGE(H233:H235)/AVERAGE(H230:H232)-1)*100</f>
        <v>0.580515162679673</v>
      </c>
      <c r="K235" s="24" t="n">
        <f aca="false">((AVERAGE(H233:H235)/AVERAGE(H230:H232))^4-1)*100</f>
        <v>2.34235888847794</v>
      </c>
      <c r="L235" s="24" t="n">
        <f aca="false">IFERROR(('SA Data'!W235/'SA Data'!W223-1)*100,"")</f>
        <v>7.5794910094442</v>
      </c>
      <c r="M235" s="24" t="n">
        <f aca="false">IFERROR((AVERAGE('SA Data'!W235:W235)/AVERAGE('SA Data'!W223:W223)-1)*100,"")</f>
        <v>7.5794910094442</v>
      </c>
      <c r="N235" s="23" t="n">
        <f aca="false">'SA Data'!T235</f>
        <v>162.709861673654</v>
      </c>
      <c r="O235" s="24" t="n">
        <f aca="false">(N235/N234-1)*100</f>
        <v>0.556939853785909</v>
      </c>
      <c r="P235" s="24" t="n">
        <f aca="false">(AVERAGE(N233:N235)/AVERAGE(N230:N232)-1)*100</f>
        <v>0.245986138883492</v>
      </c>
      <c r="Q235" s="24" t="n">
        <f aca="false">((AVERAGE(N233:N235)/AVERAGE(N230:N232))^4-1)*100</f>
        <v>0.987581063794574</v>
      </c>
      <c r="R235" s="24" t="n">
        <f aca="false">IFERROR(('SA Data'!X235/'SA Data'!X223-1)*100,"")</f>
        <v>3.16634834416125</v>
      </c>
      <c r="S235" s="24" t="n">
        <f aca="false">IFERROR((AVERAGE('SA Data'!X235:X235)/AVERAGE('SA Data'!X223:X223)-1)*100,"")</f>
        <v>3.16634834416125</v>
      </c>
    </row>
    <row r="236" customFormat="false" ht="15" hidden="false" customHeight="false" outlineLevel="0" collapsed="false">
      <c r="A236" s="20" t="n">
        <v>44985</v>
      </c>
      <c r="B236" s="23" t="n">
        <f aca="false">'SA Data'!R236</f>
        <v>100.747998994416</v>
      </c>
      <c r="C236" s="24" t="n">
        <f aca="false">(B236/B235-1)*100</f>
        <v>4.17246015494082</v>
      </c>
      <c r="D236" s="24" t="n">
        <f aca="false">(AVERAGE(B234:B236)/AVERAGE(B231:B233)-1)*100</f>
        <v>-5.83315056003196</v>
      </c>
      <c r="E236" s="24" t="n">
        <f aca="false">((AVERAGE(B234:B236)/AVERAGE(B231:B233))^4-1)*100</f>
        <v>-21.3692964533579</v>
      </c>
      <c r="F236" s="24" t="n">
        <f aca="false">IFERROR(('SA Data'!V236/'SA Data'!V224-1)*100,"")</f>
        <v>-12.197586921446</v>
      </c>
      <c r="G236" s="24" t="n">
        <f aca="false">IFERROR((AVERAGE('SA Data'!V235:V236)/AVERAGE('SA Data'!V223:V224)-1)*100,"")</f>
        <v>-16.6694062990279</v>
      </c>
      <c r="H236" s="23" t="n">
        <f aca="false">'SA Data'!S236</f>
        <v>131.258596867813</v>
      </c>
      <c r="I236" s="24" t="n">
        <f aca="false">(H236/H235-1)*100</f>
        <v>-1.96329665245203</v>
      </c>
      <c r="J236" s="24" t="n">
        <f aca="false">(AVERAGE(H234:H236)/AVERAGE(H231:H233)-1)*100</f>
        <v>1.31411982006482</v>
      </c>
      <c r="K236" s="24" t="n">
        <f aca="false">((AVERAGE(H234:H236)/AVERAGE(H231:H233))^4-1)*100</f>
        <v>5.36100466370701</v>
      </c>
      <c r="L236" s="24" t="n">
        <f aca="false">IFERROR(('SA Data'!W236/'SA Data'!W224-1)*100,"")</f>
        <v>-0.034718862081573</v>
      </c>
      <c r="M236" s="24" t="n">
        <f aca="false">IFERROR((AVERAGE('SA Data'!W235:W236)/AVERAGE('SA Data'!W223:W224)-1)*100,"")</f>
        <v>3.67743830121503</v>
      </c>
      <c r="N236" s="23" t="n">
        <f aca="false">'SA Data'!T236</f>
        <v>162.116198330979</v>
      </c>
      <c r="O236" s="24" t="n">
        <f aca="false">(N236/N235-1)*100</f>
        <v>-0.364860086886043</v>
      </c>
      <c r="P236" s="24" t="n">
        <f aca="false">(AVERAGE(N234:N236)/AVERAGE(N231:N233)-1)*100</f>
        <v>0.576150449860213</v>
      </c>
      <c r="Q236" s="24" t="n">
        <f aca="false">((AVERAGE(N234:N236)/AVERAGE(N231:N233))^4-1)*100</f>
        <v>2.3245953711885</v>
      </c>
      <c r="R236" s="24" t="n">
        <f aca="false">IFERROR(('SA Data'!X236/'SA Data'!X224-1)*100,"")</f>
        <v>1.20078980377525</v>
      </c>
      <c r="S236" s="24" t="n">
        <f aca="false">IFERROR((AVERAGE('SA Data'!X235:X236)/AVERAGE('SA Data'!X223:X224)-1)*100,"")</f>
        <v>2.18500174519303</v>
      </c>
    </row>
    <row r="237" customFormat="false" ht="15" hidden="false" customHeight="false" outlineLevel="0" collapsed="false">
      <c r="A237" s="20" t="n">
        <v>45016</v>
      </c>
      <c r="B237" s="23" t="n">
        <f aca="false">'SA Data'!R237</f>
        <v>94.9852467745967</v>
      </c>
      <c r="C237" s="24" t="n">
        <f aca="false">(B237/B236-1)*100</f>
        <v>-5.71996692474145</v>
      </c>
      <c r="D237" s="24" t="n">
        <f aca="false">(AVERAGE(B235:B237)/AVERAGE(B232:B234)-1)*100</f>
        <v>-0.401050050623364</v>
      </c>
      <c r="E237" s="24" t="n">
        <f aca="false">((AVERAGE(B235:B237)/AVERAGE(B232:B234))^4-1)*100</f>
        <v>-1.59457551017672</v>
      </c>
      <c r="F237" s="24" t="n">
        <f aca="false">IFERROR(('SA Data'!V237/'SA Data'!V225-1)*100,"")</f>
        <v>-17.8327311350162</v>
      </c>
      <c r="G237" s="24" t="n">
        <f aca="false">IFERROR((AVERAGE('SA Data'!V235:V237)/AVERAGE('SA Data'!V223:V225)-1)*100,"")</f>
        <v>-17.1940242805698</v>
      </c>
      <c r="H237" s="23" t="n">
        <f aca="false">'SA Data'!S237</f>
        <v>137.543076774367</v>
      </c>
      <c r="I237" s="24" t="n">
        <f aca="false">(H237/H236-1)*100</f>
        <v>4.78786156222766</v>
      </c>
      <c r="J237" s="24" t="n">
        <f aca="false">(AVERAGE(H235:H237)/AVERAGE(H232:H234)-1)*100</f>
        <v>2.97183987320606</v>
      </c>
      <c r="K237" s="24" t="n">
        <f aca="false">((AVERAGE(H235:H237)/AVERAGE(H232:H234))^4-1)*100</f>
        <v>12.4278461444757</v>
      </c>
      <c r="L237" s="24" t="n">
        <f aca="false">IFERROR(('SA Data'!W237/'SA Data'!W225-1)*100,"")</f>
        <v>4.02539624490341</v>
      </c>
      <c r="M237" s="24" t="n">
        <f aca="false">IFERROR((AVERAGE('SA Data'!W235:W237)/AVERAGE('SA Data'!W223:W225)-1)*100,"")</f>
        <v>3.80540447009672</v>
      </c>
      <c r="N237" s="23" t="n">
        <f aca="false">'SA Data'!T237</f>
        <v>164.740925675764</v>
      </c>
      <c r="O237" s="24" t="n">
        <f aca="false">(N237/N236-1)*100</f>
        <v>1.6190407694034</v>
      </c>
      <c r="P237" s="24" t="n">
        <f aca="false">(AVERAGE(N235:N237)/AVERAGE(N232:N234)-1)*100</f>
        <v>1.12666911399095</v>
      </c>
      <c r="Q237" s="24" t="n">
        <f aca="false">((AVERAGE(N235:N237)/AVERAGE(N232:N234))^4-1)*100</f>
        <v>4.58341313482278</v>
      </c>
      <c r="R237" s="24" t="n">
        <f aca="false">IFERROR(('SA Data'!X237/'SA Data'!X225-1)*100,"")</f>
        <v>2.20459299756817</v>
      </c>
      <c r="S237" s="24" t="n">
        <f aca="false">IFERROR((AVERAGE('SA Data'!X235:X237)/AVERAGE('SA Data'!X223:X225)-1)*100,"")</f>
        <v>2.19172729963641</v>
      </c>
    </row>
    <row r="238" customFormat="false" ht="15" hidden="false" customHeight="false" outlineLevel="0" collapsed="false">
      <c r="A238" s="20" t="n">
        <v>45046</v>
      </c>
      <c r="B238" s="23" t="n">
        <f aca="false">'SA Data'!R238</f>
        <v>74.5269067800164</v>
      </c>
      <c r="C238" s="24" t="n">
        <f aca="false">(B238/B237-1)*100</f>
        <v>-21.5384395885486</v>
      </c>
      <c r="D238" s="24" t="n">
        <f aca="false">(AVERAGE(B236:B238)/AVERAGE(B233:B235)-1)*100</f>
        <v>-6.35546299439103</v>
      </c>
      <c r="E238" s="24" t="n">
        <f aca="false">((AVERAGE(B236:B238)/AVERAGE(B233:B235))^4-1)*100</f>
        <v>-23.0993895941849</v>
      </c>
      <c r="F238" s="24" t="n">
        <f aca="false">IFERROR(('SA Data'!V238/'SA Data'!V226-1)*100,"")</f>
        <v>-40.3478977422302</v>
      </c>
      <c r="G238" s="24" t="n">
        <f aca="false">IFERROR((AVERAGE('SA Data'!V235:V238)/AVERAGE('SA Data'!V223:V226)-1)*100,"")</f>
        <v>-25.9638413335785</v>
      </c>
      <c r="H238" s="23" t="n">
        <f aca="false">'SA Data'!S238</f>
        <v>134.457370250376</v>
      </c>
      <c r="I238" s="24" t="n">
        <f aca="false">(H238/H237-1)*100</f>
        <v>-2.24344735944286</v>
      </c>
      <c r="J238" s="24" t="n">
        <f aca="false">(AVERAGE(H236:H238)/AVERAGE(H233:H235)-1)*100</f>
        <v>1.88963310749291</v>
      </c>
      <c r="K238" s="24" t="n">
        <f aca="false">((AVERAGE(H236:H238)/AVERAGE(H233:H235))^4-1)*100</f>
        <v>7.77548691203416</v>
      </c>
      <c r="L238" s="24" t="n">
        <f aca="false">IFERROR(('SA Data'!W238/'SA Data'!W226-1)*100,"")</f>
        <v>1.54089422649972</v>
      </c>
      <c r="M238" s="24" t="n">
        <f aca="false">IFERROR((AVERAGE('SA Data'!W235:W238)/AVERAGE('SA Data'!W223:W226)-1)*100,"")</f>
        <v>3.21204681821414</v>
      </c>
      <c r="N238" s="23" t="n">
        <f aca="false">'SA Data'!T238</f>
        <v>162.070843393855</v>
      </c>
      <c r="O238" s="24" t="n">
        <f aca="false">(N238/N237-1)*100</f>
        <v>-1.6207765441141</v>
      </c>
      <c r="P238" s="24" t="n">
        <f aca="false">(AVERAGE(N236:N238)/AVERAGE(N233:N235)-1)*100</f>
        <v>0.62084026242788</v>
      </c>
      <c r="Q238" s="24" t="n">
        <f aca="false">((AVERAGE(N236:N238)/AVERAGE(N233:N235))^4-1)*100</f>
        <v>2.50658347548642</v>
      </c>
      <c r="R238" s="24" t="n">
        <f aca="false">IFERROR(('SA Data'!X238/'SA Data'!X226-1)*100,"")</f>
        <v>0.0937599570714598</v>
      </c>
      <c r="S238" s="24" t="n">
        <f aca="false">IFERROR((AVERAGE('SA Data'!X235:X238)/AVERAGE('SA Data'!X223:X226)-1)*100,"")</f>
        <v>1.6585900841638</v>
      </c>
    </row>
    <row r="239" customFormat="false" ht="15" hidden="false" customHeight="false" outlineLevel="0" collapsed="false">
      <c r="A239" s="20" t="n">
        <v>45077</v>
      </c>
      <c r="B239" s="23" t="n">
        <f aca="false">'SA Data'!R239</f>
        <v>65.5896205390877</v>
      </c>
      <c r="C239" s="24" t="n">
        <f aca="false">(B239/B238-1)*100</f>
        <v>-11.9920262722149</v>
      </c>
      <c r="D239" s="24" t="n">
        <f aca="false">(AVERAGE(B237:B239)/AVERAGE(B234:B236)-1)*100</f>
        <v>-19.0190257055757</v>
      </c>
      <c r="E239" s="24" t="n">
        <f aca="false">((AVERAGE(B237:B239)/AVERAGE(B234:B236))^4-1)*100</f>
        <v>-56.9937089126135</v>
      </c>
      <c r="F239" s="24" t="n">
        <f aca="false">IFERROR(('SA Data'!V239/'SA Data'!V227-1)*100,"")</f>
        <v>-48.8166003705915</v>
      </c>
      <c r="G239" s="24" t="n">
        <f aca="false">IFERROR((AVERAGE('SA Data'!V235:V239)/AVERAGE('SA Data'!V223:V227)-1)*100,"")</f>
        <v>-33.6337526960027</v>
      </c>
      <c r="H239" s="23" t="n">
        <f aca="false">'SA Data'!S239</f>
        <v>134.787125886026</v>
      </c>
      <c r="I239" s="24" t="n">
        <f aca="false">(H239/H238-1)*100</f>
        <v>0.245249208009724</v>
      </c>
      <c r="J239" s="24" t="n">
        <f aca="false">(AVERAGE(H237:H239)/AVERAGE(H234:H236)-1)*100</f>
        <v>2.62166873912741</v>
      </c>
      <c r="K239" s="24" t="n">
        <f aca="false">((AVERAGE(H237:H239)/AVERAGE(H234:H236))^4-1)*100</f>
        <v>10.9063186611505</v>
      </c>
      <c r="L239" s="24" t="n">
        <f aca="false">IFERROR(('SA Data'!W239/'SA Data'!W227-1)*100,"")</f>
        <v>0.511026156028893</v>
      </c>
      <c r="M239" s="24" t="n">
        <f aca="false">IFERROR((AVERAGE('SA Data'!W235:W239)/AVERAGE('SA Data'!W223:W227)-1)*100,"")</f>
        <v>2.63746534823128</v>
      </c>
      <c r="N239" s="23" t="n">
        <f aca="false">'SA Data'!T239</f>
        <v>163.728220867253</v>
      </c>
      <c r="O239" s="24" t="n">
        <f aca="false">(N239/N238-1)*100</f>
        <v>1.02262531538124</v>
      </c>
      <c r="P239" s="24" t="n">
        <f aca="false">(AVERAGE(N237:N239)/AVERAGE(N234:N236)-1)*100</f>
        <v>0.802500305054998</v>
      </c>
      <c r="Q239" s="24" t="n">
        <f aca="false">((AVERAGE(N237:N239)/AVERAGE(N234:N236))^4-1)*100</f>
        <v>3.24884876558347</v>
      </c>
      <c r="R239" s="24" t="n">
        <f aca="false">IFERROR(('SA Data'!X239/'SA Data'!X227-1)*100,"")</f>
        <v>0.361214437871871</v>
      </c>
      <c r="S239" s="24" t="n">
        <f aca="false">IFERROR((AVERAGE('SA Data'!X235:X239)/AVERAGE('SA Data'!X223:X227)-1)*100,"")</f>
        <v>1.39194042814472</v>
      </c>
    </row>
    <row r="240" customFormat="false" ht="15" hidden="false" customHeight="false" outlineLevel="0" collapsed="false">
      <c r="A240" s="20" t="n">
        <v>45107</v>
      </c>
      <c r="B240" s="23" t="n">
        <f aca="false">'SA Data'!R240</f>
        <v>71.147395991892</v>
      </c>
      <c r="C240" s="24" t="n">
        <f aca="false">(B240/B239-1)*100</f>
        <v>8.4735593941913</v>
      </c>
      <c r="D240" s="24" t="n">
        <f aca="false">(AVERAGE(B238:B240)/AVERAGE(B235:B237)-1)*100</f>
        <v>-27.7596676299436</v>
      </c>
      <c r="E240" s="24" t="n">
        <f aca="false">((AVERAGE(B238:B240)/AVERAGE(B235:B237))^4-1)*100</f>
        <v>-72.7655291368584</v>
      </c>
      <c r="F240" s="24" t="n">
        <f aca="false">IFERROR(('SA Data'!V240/'SA Data'!V228-1)*100,"")</f>
        <v>-43.3020068327326</v>
      </c>
      <c r="G240" s="24" t="n">
        <f aca="false">IFERROR((AVERAGE('SA Data'!V235:V240)/AVERAGE('SA Data'!V223:V228)-1)*100,"")</f>
        <v>-35.4824602013984</v>
      </c>
      <c r="H240" s="23" t="n">
        <f aca="false">'SA Data'!S240</f>
        <v>134.374482624486</v>
      </c>
      <c r="I240" s="24" t="n">
        <f aca="false">(H240/H239-1)*100</f>
        <v>-0.306144417597098</v>
      </c>
      <c r="J240" s="24" t="n">
        <f aca="false">(AVERAGE(H238:H240)/AVERAGE(H235:H237)-1)*100</f>
        <v>0.230973687369507</v>
      </c>
      <c r="K240" s="24" t="n">
        <f aca="false">((AVERAGE(H238:H240)/AVERAGE(H235:H237))^4-1)*100</f>
        <v>0.927100611851262</v>
      </c>
      <c r="L240" s="24" t="n">
        <f aca="false">IFERROR(('SA Data'!W240/'SA Data'!W228-1)*100,"")</f>
        <v>-2.6904202638432</v>
      </c>
      <c r="M240" s="24" t="n">
        <f aca="false">IFERROR((AVERAGE('SA Data'!W235:W240)/AVERAGE('SA Data'!W223:W228)-1)*100,"")</f>
        <v>1.67972019838922</v>
      </c>
      <c r="N240" s="23" t="n">
        <f aca="false">'SA Data'!T240</f>
        <v>165.478879725741</v>
      </c>
      <c r="O240" s="24" t="n">
        <f aca="false">(N240/N239-1)*100</f>
        <v>1.06924685873684</v>
      </c>
      <c r="P240" s="24" t="n">
        <f aca="false">(AVERAGE(N238:N240)/AVERAGE(N235:N237)-1)*100</f>
        <v>0.34948400453807</v>
      </c>
      <c r="Q240" s="24" t="n">
        <f aca="false">((AVERAGE(N238:N240)/AVERAGE(N235:N237))^4-1)*100</f>
        <v>1.40528145149634</v>
      </c>
      <c r="R240" s="24" t="n">
        <f aca="false">IFERROR(('SA Data'!X240/'SA Data'!X228-1)*100,"")</f>
        <v>0.142419193694865</v>
      </c>
      <c r="S240" s="24" t="n">
        <f aca="false">IFERROR((AVERAGE('SA Data'!X235:X240)/AVERAGE('SA Data'!X223:X228)-1)*100,"")</f>
        <v>1.17524670297713</v>
      </c>
    </row>
    <row r="241" customFormat="false" ht="15" hidden="false" customHeight="false" outlineLevel="0" collapsed="false">
      <c r="A241" s="20" t="n">
        <v>45138</v>
      </c>
      <c r="B241" s="23" t="n">
        <f aca="false">'SA Data'!R241</f>
        <v>93.1321071412454</v>
      </c>
      <c r="C241" s="24" t="n">
        <f aca="false">(B241/B240-1)*100</f>
        <v>30.9002330202763</v>
      </c>
      <c r="D241" s="24" t="n">
        <f aca="false">(AVERAGE(B239:B241)/AVERAGE(B236:B238)-1)*100</f>
        <v>-14.9452401679809</v>
      </c>
      <c r="E241" s="24" t="n">
        <f aca="false">((AVERAGE(B239:B241)/AVERAGE(B236:B238))^4-1)*100</f>
        <v>-47.6647274257971</v>
      </c>
      <c r="F241" s="24" t="n">
        <f aca="false">IFERROR(('SA Data'!V241/'SA Data'!V229-1)*100,"")</f>
        <v>-12.9606652156191</v>
      </c>
      <c r="G241" s="24" t="n">
        <f aca="false">IFERROR((AVERAGE('SA Data'!V235:V241)/AVERAGE('SA Data'!V223:V229)-1)*100,"")</f>
        <v>-33.237586154189</v>
      </c>
      <c r="H241" s="23" t="n">
        <f aca="false">'SA Data'!S241</f>
        <v>129.678592780516</v>
      </c>
      <c r="I241" s="24" t="n">
        <f aca="false">(H241/H240-1)*100</f>
        <v>-3.49462915298644</v>
      </c>
      <c r="J241" s="24" t="n">
        <f aca="false">(AVERAGE(H239:H241)/AVERAGE(H236:H238)-1)*100</f>
        <v>-1.09578264107226</v>
      </c>
      <c r="K241" s="24" t="n">
        <f aca="false">((AVERAGE(H239:H241)/AVERAGE(H236:H238))^4-1)*100</f>
        <v>-4.31161104656747</v>
      </c>
      <c r="L241" s="24" t="n">
        <f aca="false">IFERROR(('SA Data'!W241/'SA Data'!W229-1)*100,"")</f>
        <v>-1.30395583436617</v>
      </c>
      <c r="M241" s="24" t="n">
        <f aca="false">IFERROR((AVERAGE('SA Data'!W235:W241)/AVERAGE('SA Data'!W223:W229)-1)*100,"")</f>
        <v>1.23094281482417</v>
      </c>
      <c r="N241" s="23" t="n">
        <f aca="false">'SA Data'!T241</f>
        <v>162.860870554867</v>
      </c>
      <c r="O241" s="24" t="n">
        <f aca="false">(N241/N240-1)*100</f>
        <v>-1.58208055022705</v>
      </c>
      <c r="P241" s="24" t="n">
        <f aca="false">(AVERAGE(N239:N241)/AVERAGE(N236:N238)-1)*100</f>
        <v>0.642222158809269</v>
      </c>
      <c r="Q241" s="24" t="n">
        <f aca="false">((AVERAGE(N239:N241)/AVERAGE(N236:N238))^4-1)*100</f>
        <v>2.59374171705971</v>
      </c>
      <c r="R241" s="24" t="n">
        <f aca="false">IFERROR(('SA Data'!X241/'SA Data'!X229-1)*100,"")</f>
        <v>0.529660845180779</v>
      </c>
      <c r="S241" s="24" t="n">
        <f aca="false">IFERROR((AVERAGE('SA Data'!X235:X241)/AVERAGE('SA Data'!X223:X229)-1)*100,"")</f>
        <v>1.08223503586566</v>
      </c>
    </row>
    <row r="242" customFormat="false" ht="15" hidden="false" customHeight="false" outlineLevel="0" collapsed="false">
      <c r="A242" s="20" t="n">
        <v>45169</v>
      </c>
      <c r="B242" s="23" t="n">
        <f aca="false">'SA Data'!R242</f>
        <v>104.263698923864</v>
      </c>
      <c r="C242" s="24" t="n">
        <f aca="false">(B242/B241-1)*100</f>
        <v>11.9524749566075</v>
      </c>
      <c r="D242" s="24" t="n">
        <f aca="false">(AVERAGE(B240:B242)/AVERAGE(B237:B239)-1)*100</f>
        <v>14.2242346286898</v>
      </c>
      <c r="E242" s="24" t="n">
        <f aca="false">((AVERAGE(B240:B242)/AVERAGE(B237:B239))^4-1)*100</f>
        <v>70.2287957431486</v>
      </c>
      <c r="F242" s="24" t="n">
        <f aca="false">IFERROR(('SA Data'!V242/'SA Data'!V230-1)*100,"")</f>
        <v>-3.66993777499829</v>
      </c>
      <c r="G242" s="24" t="n">
        <f aca="false">IFERROR((AVERAGE('SA Data'!V235:V242)/AVERAGE('SA Data'!V223:V230)-1)*100,"")</f>
        <v>-31.266246761004</v>
      </c>
      <c r="H242" s="23" t="n">
        <f aca="false">'SA Data'!S242</f>
        <v>131.141921838341</v>
      </c>
      <c r="I242" s="24" t="n">
        <f aca="false">(H242/H241-1)*100</f>
        <v>1.12842761973997</v>
      </c>
      <c r="J242" s="24" t="n">
        <f aca="false">(AVERAGE(H240:H242)/AVERAGE(H237:H239)-1)*100</f>
        <v>-2.84978608969648</v>
      </c>
      <c r="K242" s="24" t="n">
        <f aca="false">((AVERAGE(H240:H242)/AVERAGE(H237:H239))^4-1)*100</f>
        <v>-10.9210591233359</v>
      </c>
      <c r="L242" s="24" t="n">
        <f aca="false">IFERROR(('SA Data'!W242/'SA Data'!W230-1)*100,"")</f>
        <v>-0.823574958167994</v>
      </c>
      <c r="M242" s="24" t="n">
        <f aca="false">IFERROR((AVERAGE('SA Data'!W235:W242)/AVERAGE('SA Data'!W223:W230)-1)*100,"")</f>
        <v>0.953175560329056</v>
      </c>
      <c r="N242" s="23" t="n">
        <f aca="false">'SA Data'!T242</f>
        <v>164.18236060729</v>
      </c>
      <c r="O242" s="24" t="n">
        <f aca="false">(N242/N241-1)*100</f>
        <v>0.811422687303876</v>
      </c>
      <c r="P242" s="24" t="n">
        <f aca="false">(AVERAGE(N240:N242)/AVERAGE(N237:N239)-1)*100</f>
        <v>0.404069187362444</v>
      </c>
      <c r="Q242" s="24" t="n">
        <f aca="false">((AVERAGE(N240:N242)/AVERAGE(N237:N239))^4-1)*100</f>
        <v>1.62609947985695</v>
      </c>
      <c r="R242" s="24" t="n">
        <f aca="false">IFERROR(('SA Data'!X242/'SA Data'!X230-1)*100,"")</f>
        <v>1.43063441974989</v>
      </c>
      <c r="S242" s="24" t="n">
        <f aca="false">IFERROR((AVERAGE('SA Data'!X235:X242)/AVERAGE('SA Data'!X223:X230)-1)*100,"")</f>
        <v>1.12626340186597</v>
      </c>
    </row>
    <row r="243" customFormat="false" ht="15" hidden="false" customHeight="false" outlineLevel="0" collapsed="false">
      <c r="A243" s="20" t="n">
        <v>45199</v>
      </c>
      <c r="B243" s="23" t="n">
        <f aca="false">'SA Data'!R243</f>
        <v>103.623917600055</v>
      </c>
      <c r="C243" s="24" t="n">
        <f aca="false">(B243/B242-1)*100</f>
        <v>-0.613618479309819</v>
      </c>
      <c r="D243" s="24" t="n">
        <f aca="false">(AVERAGE(B241:B243)/AVERAGE(B238:B240)-1)*100</f>
        <v>42.4851526694601</v>
      </c>
      <c r="E243" s="24" t="n">
        <f aca="false">((AVERAGE(B241:B243)/AVERAGE(B238:B240))^4-1)*100</f>
        <v>312.171964563593</v>
      </c>
      <c r="F243" s="24" t="n">
        <f aca="false">IFERROR(('SA Data'!V243/'SA Data'!V231-1)*100,"")</f>
        <v>-1.37618001777388</v>
      </c>
      <c r="G243" s="24" t="n">
        <f aca="false">IFERROR((AVERAGE('SA Data'!V235:V243)/AVERAGE('SA Data'!V223:V231)-1)*100,"")</f>
        <v>-29.5065918954937</v>
      </c>
      <c r="H243" s="23" t="n">
        <f aca="false">'SA Data'!S243</f>
        <v>129.407026695402</v>
      </c>
      <c r="I243" s="24" t="n">
        <f aca="false">(H243/H242-1)*100</f>
        <v>-1.32291422805109</v>
      </c>
      <c r="J243" s="24" t="n">
        <f aca="false">(AVERAGE(H241:H243)/AVERAGE(H238:H240)-1)*100</f>
        <v>-3.31784136804948</v>
      </c>
      <c r="K243" s="24" t="n">
        <f aca="false">((AVERAGE(H241:H243)/AVERAGE(H238:H240))^4-1)*100</f>
        <v>-12.6253692277452</v>
      </c>
      <c r="L243" s="24" t="n">
        <f aca="false">IFERROR(('SA Data'!W243/'SA Data'!W231-1)*100,"")</f>
        <v>-1.37813710525946</v>
      </c>
      <c r="M243" s="24" t="n">
        <f aca="false">IFERROR((AVERAGE('SA Data'!W235:W243)/AVERAGE('SA Data'!W223:W231)-1)*100,"")</f>
        <v>0.681860372760257</v>
      </c>
      <c r="N243" s="23" t="n">
        <f aca="false">'SA Data'!T243</f>
        <v>163.341421067251</v>
      </c>
      <c r="O243" s="24" t="n">
        <f aca="false">(N243/N242-1)*100</f>
        <v>-0.512198470607861</v>
      </c>
      <c r="P243" s="24" t="n">
        <f aca="false">(AVERAGE(N241:N243)/AVERAGE(N238:N240)-1)*100</f>
        <v>-0.181830218184054</v>
      </c>
      <c r="Q243" s="24" t="n">
        <f aca="false">((AVERAGE(N241:N243)/AVERAGE(N238:N240))^4-1)*100</f>
        <v>-0.725339542633285</v>
      </c>
      <c r="R243" s="24" t="n">
        <f aca="false">IFERROR(('SA Data'!X243/'SA Data'!X231-1)*100,"")</f>
        <v>1.07746233017891</v>
      </c>
      <c r="S243" s="24" t="n">
        <f aca="false">IFERROR((AVERAGE('SA Data'!X235:X243)/AVERAGE('SA Data'!X223:X231)-1)*100,"")</f>
        <v>1.12086458479732</v>
      </c>
    </row>
    <row r="244" customFormat="false" ht="15" hidden="false" customHeight="false" outlineLevel="0" collapsed="false">
      <c r="A244" s="20" t="n">
        <v>45230</v>
      </c>
      <c r="B244" s="23" t="n">
        <f aca="false">'SA Data'!R244</f>
        <v>103.207750499712</v>
      </c>
      <c r="C244" s="24" t="n">
        <f aca="false">(B244/B243-1)*100</f>
        <v>-0.401612976986043</v>
      </c>
      <c r="D244" s="24" t="n">
        <f aca="false">(AVERAGE(B242:B244)/AVERAGE(B239:B241)-1)*100</f>
        <v>35.3358650582524</v>
      </c>
      <c r="E244" s="24" t="n">
        <f aca="false">((AVERAGE(B242:B244)/AVERAGE(B239:B241))^4-1)*100</f>
        <v>235.468396706337</v>
      </c>
      <c r="F244" s="24" t="n">
        <f aca="false">IFERROR(('SA Data'!V244/'SA Data'!V232-1)*100,"")</f>
        <v>1.42251289922326</v>
      </c>
      <c r="G244" s="24" t="n">
        <f aca="false">IFERROR((AVERAGE('SA Data'!V235:V244)/AVERAGE('SA Data'!V223:V232)-1)*100,"")</f>
        <v>-27.9957958711689</v>
      </c>
      <c r="H244" s="23" t="n">
        <f aca="false">'SA Data'!S244</f>
        <v>128.189882326302</v>
      </c>
      <c r="I244" s="24" t="n">
        <f aca="false">(H244/H243-1)*100</f>
        <v>-0.940555084358075</v>
      </c>
      <c r="J244" s="24" t="n">
        <f aca="false">(AVERAGE(H242:H244)/AVERAGE(H239:H241)-1)*100</f>
        <v>-2.53268612298455</v>
      </c>
      <c r="K244" s="24" t="n">
        <f aca="false">((AVERAGE(H242:H244)/AVERAGE(H239:H241))^4-1)*100</f>
        <v>-9.75233177132611</v>
      </c>
      <c r="L244" s="24" t="n">
        <f aca="false">IFERROR(('SA Data'!W244/'SA Data'!W232-1)*100,"")</f>
        <v>0.274421314253814</v>
      </c>
      <c r="M244" s="24" t="n">
        <f aca="false">IFERROR((AVERAGE('SA Data'!W235:W244)/AVERAGE('SA Data'!W223:W232)-1)*100,"")</f>
        <v>0.639852345437841</v>
      </c>
      <c r="N244" s="23" t="n">
        <f aca="false">'SA Data'!T244</f>
        <v>162.751726167585</v>
      </c>
      <c r="O244" s="24" t="n">
        <f aca="false">(N244/N243-1)*100</f>
        <v>-0.361019817149577</v>
      </c>
      <c r="P244" s="24" t="n">
        <f aca="false">(AVERAGE(N242:N244)/AVERAGE(N239:N241)-1)*100</f>
        <v>-0.36427148500523</v>
      </c>
      <c r="Q244" s="24" t="n">
        <f aca="false">((AVERAGE(N242:N244)/AVERAGE(N239:N241))^4-1)*100</f>
        <v>-1.44914363414064</v>
      </c>
      <c r="R244" s="24" t="n">
        <f aca="false">IFERROR(('SA Data'!X244/'SA Data'!X232-1)*100,"")</f>
        <v>1.66925140689027</v>
      </c>
      <c r="S244" s="24" t="n">
        <f aca="false">IFERROR((AVERAGE('SA Data'!X235:X244)/AVERAGE('SA Data'!X223:X232)-1)*100,"")</f>
        <v>1.17538079727317</v>
      </c>
    </row>
    <row r="245" customFormat="false" ht="15" hidden="false" customHeight="false" outlineLevel="0" collapsed="false">
      <c r="A245" s="20" t="n">
        <v>45260</v>
      </c>
      <c r="B245" s="23" t="n">
        <f aca="false">'SA Data'!R245</f>
        <v>103.837548329832</v>
      </c>
      <c r="C245" s="24" t="n">
        <f aca="false">(B245/B244-1)*100</f>
        <v>0.610223386394027</v>
      </c>
      <c r="D245" s="24" t="n">
        <f aca="false">(AVERAGE(B243:B245)/AVERAGE(B240:B242)-1)*100</f>
        <v>15.6868667871384</v>
      </c>
      <c r="E245" s="24" t="n">
        <f aca="false">((AVERAGE(B243:B245)/AVERAGE(B240:B242))^4-1)*100</f>
        <v>79.1167646048073</v>
      </c>
      <c r="F245" s="24" t="n">
        <f aca="false">IFERROR(('SA Data'!V245/'SA Data'!V233-1)*100,"")</f>
        <v>4.27140747001771</v>
      </c>
      <c r="G245" s="24" t="n">
        <f aca="false">IFERROR((AVERAGE('SA Data'!V235:V245)/AVERAGE('SA Data'!V223:V233)-1)*100,"")</f>
        <v>-26.2609729899051</v>
      </c>
      <c r="H245" s="23" t="n">
        <f aca="false">'SA Data'!S245</f>
        <v>127.167544237187</v>
      </c>
      <c r="I245" s="24" t="n">
        <f aca="false">(H245/H244-1)*100</f>
        <v>-0.79751854870509</v>
      </c>
      <c r="J245" s="24" t="n">
        <f aca="false">(AVERAGE(H243:H245)/AVERAGE(H240:H242)-1)*100</f>
        <v>-2.63934109925725</v>
      </c>
      <c r="K245" s="24" t="n">
        <f aca="false">((AVERAGE(H243:H245)/AVERAGE(H240:H242))^4-1)*100</f>
        <v>-10.1467029721331</v>
      </c>
      <c r="L245" s="24" t="n">
        <f aca="false">IFERROR(('SA Data'!W245/'SA Data'!W233-1)*100,"")</f>
        <v>-2.7128342546426</v>
      </c>
      <c r="M245" s="24" t="n">
        <f aca="false">IFERROR((AVERAGE('SA Data'!W235:W245)/AVERAGE('SA Data'!W223:W233)-1)*100,"")</f>
        <v>0.324466225132225</v>
      </c>
      <c r="N245" s="23" t="n">
        <f aca="false">'SA Data'!T245</f>
        <v>161.891708046703</v>
      </c>
      <c r="O245" s="24" t="n">
        <f aca="false">(N245/N244-1)*100</f>
        <v>-0.528423348331175</v>
      </c>
      <c r="P245" s="24" t="n">
        <f aca="false">(AVERAGE(N243:N245)/AVERAGE(N240:N242)-1)*100</f>
        <v>-0.921228815124509</v>
      </c>
      <c r="Q245" s="24" t="n">
        <f aca="false">((AVERAGE(N243:N245)/AVERAGE(N240:N242))^4-1)*100</f>
        <v>-3.63430751343171</v>
      </c>
      <c r="R245" s="24" t="n">
        <f aca="false">IFERROR(('SA Data'!X245/'SA Data'!X233-1)*100,"")</f>
        <v>0.322437853369872</v>
      </c>
      <c r="S245" s="24" t="n">
        <f aca="false">IFERROR((AVERAGE('SA Data'!X235:X245)/AVERAGE('SA Data'!X223:X233)-1)*100,"")</f>
        <v>1.09780416711571</v>
      </c>
    </row>
    <row r="246" customFormat="false" ht="15" hidden="false" customHeight="false" outlineLevel="0" collapsed="false">
      <c r="A246" s="20" t="n">
        <v>45291</v>
      </c>
      <c r="B246" s="23" t="n">
        <f aca="false">'SA Data'!R246</f>
        <v>101.558595436614</v>
      </c>
      <c r="C246" s="24" t="n">
        <f aca="false">(B246/B245-1)*100</f>
        <v>-2.19472910317439</v>
      </c>
      <c r="D246" s="24" t="n">
        <f aca="false">(AVERAGE(B244:B246)/AVERAGE(B241:B243)-1)*100</f>
        <v>2.51949291184344</v>
      </c>
      <c r="E246" s="24" t="n">
        <f aca="false">((AVERAGE(B244:B246)/AVERAGE(B241:B243))^4-1)*100</f>
        <v>10.4652799541961</v>
      </c>
      <c r="F246" s="24" t="n">
        <f aca="false">IFERROR(('SA Data'!V246/'SA Data'!V234-1)*100,"")</f>
        <v>9.59588012005785</v>
      </c>
      <c r="G246" s="24" t="n">
        <f aca="false">IFERROR((AVERAGE('SA Data'!V235:V246)/AVERAGE('SA Data'!V223:V234)-1)*100,"")</f>
        <v>-24.044558634718</v>
      </c>
      <c r="H246" s="23" t="n">
        <f aca="false">'SA Data'!S246</f>
        <v>119.612068043683</v>
      </c>
      <c r="I246" s="24" t="n">
        <f aca="false">(H246/H245-1)*100</f>
        <v>-5.94135574357846</v>
      </c>
      <c r="J246" s="24" t="n">
        <f aca="false">(AVERAGE(H244:H246)/AVERAGE(H241:H243)-1)*100</f>
        <v>-3.91003839854563</v>
      </c>
      <c r="K246" s="24" t="n">
        <f aca="false">((AVERAGE(H244:H246)/AVERAGE(H241:H243))^4-1)*100</f>
        <v>-14.7465271351693</v>
      </c>
      <c r="L246" s="24" t="n">
        <f aca="false">IFERROR(('SA Data'!W246/'SA Data'!W234-1)*100,"")</f>
        <v>-8.89338442952732</v>
      </c>
      <c r="M246" s="24" t="n">
        <f aca="false">IFERROR((AVERAGE('SA Data'!W235:W246)/AVERAGE('SA Data'!W223:W234)-1)*100,"")</f>
        <v>-0.422963841036572</v>
      </c>
      <c r="N246" s="23" t="n">
        <f aca="false">'SA Data'!T246</f>
        <v>158.365066673165</v>
      </c>
      <c r="O246" s="24" t="n">
        <f aca="false">(N246/N245-1)*100</f>
        <v>-2.17839530886935</v>
      </c>
      <c r="P246" s="24" t="n">
        <f aca="false">(AVERAGE(N244:N246)/AVERAGE(N241:N243)-1)*100</f>
        <v>-1.50415623907085</v>
      </c>
      <c r="Q246" s="24" t="n">
        <f aca="false">((AVERAGE(N244:N246)/AVERAGE(N241:N243))^4-1)*100</f>
        <v>-5.88223193091639</v>
      </c>
      <c r="R246" s="24" t="n">
        <f aca="false">IFERROR(('SA Data'!X246/'SA Data'!X234-1)*100,"")</f>
        <v>-2.26348910605415</v>
      </c>
      <c r="S246" s="24" t="n">
        <f aca="false">IFERROR((AVERAGE('SA Data'!X235:X246)/AVERAGE('SA Data'!X223:X234)-1)*100,"")</f>
        <v>0.819738499542599</v>
      </c>
    </row>
    <row r="247" customFormat="false" ht="15" hidden="false" customHeight="false" outlineLevel="0" collapsed="false">
      <c r="A247" s="20" t="n">
        <v>45322</v>
      </c>
      <c r="B247" s="23" t="n">
        <f aca="false">'SA Data'!R247</f>
        <v>106.519074359762</v>
      </c>
      <c r="C247" s="24" t="n">
        <f aca="false">(B247/B246-1)*100</f>
        <v>4.88435164135743</v>
      </c>
      <c r="D247" s="24" t="n">
        <f aca="false">(AVERAGE(B245:B247)/AVERAGE(B242:B244)-1)*100</f>
        <v>0.263536905233508</v>
      </c>
      <c r="E247" s="24" t="n">
        <f aca="false">((AVERAGE(B245:B247)/AVERAGE(B242:B244))^4-1)*100</f>
        <v>1.05832204901726</v>
      </c>
      <c r="F247" s="24" t="n">
        <f aca="false">IFERROR(('SA Data'!V247/'SA Data'!V235-1)*100,"")</f>
        <v>9.55380226133449</v>
      </c>
      <c r="G247" s="24" t="n">
        <f aca="false">IFERROR((AVERAGE('SA Data'!V247:V247)/AVERAGE('SA Data'!V235:V235)-1)*100,"")</f>
        <v>9.55380226133449</v>
      </c>
      <c r="H247" s="23" t="n">
        <f aca="false">'SA Data'!S247</f>
        <v>118.688928756397</v>
      </c>
      <c r="I247" s="24" t="n">
        <f aca="false">(H247/H246-1)*100</f>
        <v>-0.771777716399347</v>
      </c>
      <c r="J247" s="24" t="n">
        <f aca="false">(AVERAGE(H245:H247)/AVERAGE(H242:H244)-1)*100</f>
        <v>-5.98609862855634</v>
      </c>
      <c r="K247" s="24" t="n">
        <f aca="false">((AVERAGE(H245:H247)/AVERAGE(H242:H244))^4-1)*100</f>
        <v>-21.8789087269505</v>
      </c>
      <c r="L247" s="24" t="n">
        <f aca="false">IFERROR(('SA Data'!W247/'SA Data'!W235-1)*100,"")</f>
        <v>-10.5857071376649</v>
      </c>
      <c r="M247" s="24" t="n">
        <f aca="false">IFERROR((AVERAGE('SA Data'!W247:W247)/AVERAGE('SA Data'!W235:W235)-1)*100,"")</f>
        <v>-10.5857071376649</v>
      </c>
      <c r="N247" s="23" t="n">
        <f aca="false">'SA Data'!T247</f>
        <v>158.560332006462</v>
      </c>
      <c r="O247" s="24" t="n">
        <f aca="false">(N247/N246-1)*100</f>
        <v>0.123300761587752</v>
      </c>
      <c r="P247" s="24" t="n">
        <f aca="false">(AVERAGE(N245:N247)/AVERAGE(N242:N244)-1)*100</f>
        <v>-2.33713512759942</v>
      </c>
      <c r="Q247" s="24" t="n">
        <f aca="false">((AVERAGE(N245:N247)/AVERAGE(N242:N244))^4-1)*100</f>
        <v>-9.02588499884555</v>
      </c>
      <c r="R247" s="24" t="n">
        <f aca="false">IFERROR(('SA Data'!X247/'SA Data'!X235-1)*100,"")</f>
        <v>-2.40486294349785</v>
      </c>
      <c r="S247" s="24" t="n">
        <f aca="false">IFERROR((AVERAGE('SA Data'!X247:X247)/AVERAGE('SA Data'!X235:X235)-1)*100,"")</f>
        <v>-2.40486294349785</v>
      </c>
    </row>
    <row r="248" customFormat="false" ht="15" hidden="false" customHeight="false" outlineLevel="0" collapsed="false">
      <c r="A248" s="20" t="n">
        <v>45351</v>
      </c>
      <c r="B248" s="23" t="n">
        <f aca="false">'SA Data'!R248</f>
        <v>105.887740706318</v>
      </c>
      <c r="C248" s="24" t="n">
        <f aca="false">(B248/B247-1)*100</f>
        <v>-0.59269539961615</v>
      </c>
      <c r="D248" s="24" t="n">
        <f aca="false">(AVERAGE(B246:B248)/AVERAGE(B243:B245)-1)*100</f>
        <v>1.06099796786387</v>
      </c>
      <c r="E248" s="24" t="n">
        <f aca="false">((AVERAGE(B246:B248)/AVERAGE(B243:B245))^4-1)*100</f>
        <v>4.3120138932095</v>
      </c>
      <c r="F248" s="24" t="n">
        <f aca="false">IFERROR(('SA Data'!V248/'SA Data'!V236-1)*100,"")</f>
        <v>2.76430723459202</v>
      </c>
      <c r="G248" s="24" t="n">
        <f aca="false">IFERROR((AVERAGE('SA Data'!V247:V248)/AVERAGE('SA Data'!V235:V236)-1)*100,"")</f>
        <v>6.43309525334805</v>
      </c>
      <c r="H248" s="23" t="n">
        <f aca="false">'SA Data'!S248</f>
        <v>119.230791634206</v>
      </c>
      <c r="I248" s="24" t="n">
        <f aca="false">(H248/H247-1)*100</f>
        <v>0.456540372793346</v>
      </c>
      <c r="J248" s="24" t="n">
        <f aca="false">(AVERAGE(H246:H248)/AVERAGE(H243:H245)-1)*100</f>
        <v>-7.07774967098666</v>
      </c>
      <c r="K248" s="24" t="n">
        <f aca="false">((AVERAGE(H246:H248)/AVERAGE(H243:H245))^4-1)*100</f>
        <v>-25.4446394434074</v>
      </c>
      <c r="L248" s="24" t="n">
        <f aca="false">IFERROR(('SA Data'!W248/'SA Data'!W236-1)*100,"")</f>
        <v>-9.04516857085076</v>
      </c>
      <c r="M248" s="24" t="n">
        <f aca="false">IFERROR((AVERAGE('SA Data'!W247:W248)/AVERAGE('SA Data'!W235:W236)-1)*100,"")</f>
        <v>-9.82449483754776</v>
      </c>
      <c r="N248" s="23" t="n">
        <f aca="false">'SA Data'!T248</f>
        <v>159.359689062926</v>
      </c>
      <c r="O248" s="24" t="n">
        <f aca="false">(N248/N247-1)*100</f>
        <v>0.504134323098371</v>
      </c>
      <c r="P248" s="24" t="n">
        <f aca="false">(AVERAGE(N246:N248)/AVERAGE(N243:N245)-1)*100</f>
        <v>-2.39756775489187</v>
      </c>
      <c r="Q248" s="24" t="n">
        <f aca="false">((AVERAGE(N246:N248)/AVERAGE(N243:N245))^4-1)*100</f>
        <v>-9.25085091325237</v>
      </c>
      <c r="R248" s="24" t="n">
        <f aca="false">IFERROR(('SA Data'!X248/'SA Data'!X236-1)*100,"")</f>
        <v>-1.55383577276871</v>
      </c>
      <c r="S248" s="24" t="n">
        <f aca="false">IFERROR((AVERAGE('SA Data'!X247:X248)/AVERAGE('SA Data'!X235:X236)-1)*100,"")</f>
        <v>-1.98406209201444</v>
      </c>
    </row>
    <row r="249" customFormat="false" ht="15" hidden="false" customHeight="false" outlineLevel="0" collapsed="false">
      <c r="A249" s="20" t="n">
        <v>45382</v>
      </c>
      <c r="B249" s="23" t="n">
        <f aca="false">'SA Data'!R249</f>
        <v>106.286907443189</v>
      </c>
      <c r="C249" s="24" t="n">
        <f aca="false">(B249/B248-1)*100</f>
        <v>0.376971625051703</v>
      </c>
      <c r="D249" s="24" t="n">
        <f aca="false">(AVERAGE(B247:B249)/AVERAGE(B244:B246)-1)*100</f>
        <v>3.26950775106221</v>
      </c>
      <c r="E249" s="24" t="n">
        <f aca="false">((AVERAGE(B247:B249)/AVERAGE(B244:B246))^4-1)*100</f>
        <v>13.733506127451</v>
      </c>
      <c r="F249" s="24" t="n">
        <f aca="false">IFERROR(('SA Data'!V249/'SA Data'!V237-1)*100,"")</f>
        <v>11.213328668607</v>
      </c>
      <c r="G249" s="24" t="n">
        <f aca="false">IFERROR((AVERAGE('SA Data'!V247:V249)/AVERAGE('SA Data'!V235:V237)-1)*100,"")</f>
        <v>8.5721822538944</v>
      </c>
      <c r="H249" s="23" t="n">
        <f aca="false">'SA Data'!S249</f>
        <v>112.689304604068</v>
      </c>
      <c r="I249" s="24" t="n">
        <f aca="false">(H249/H248-1)*100</f>
        <v>-5.48640744599506</v>
      </c>
      <c r="J249" s="24" t="n">
        <f aca="false">(AVERAGE(H247:H249)/AVERAGE(H244:H246)-1)*100</f>
        <v>-6.49665371792992</v>
      </c>
      <c r="K249" s="24" t="n">
        <f aca="false">((AVERAGE(H247:H249)/AVERAGE(H244:H246))^4-1)*100</f>
        <v>-23.5621233412567</v>
      </c>
      <c r="L249" s="24" t="n">
        <f aca="false">IFERROR(('SA Data'!W249/'SA Data'!W237-1)*100,"")</f>
        <v>-19.3110905837329</v>
      </c>
      <c r="M249" s="24" t="n">
        <f aca="false">IFERROR((AVERAGE('SA Data'!W247:W249)/AVERAGE('SA Data'!W235:W237)-1)*100,"")</f>
        <v>-13.3207105514888</v>
      </c>
      <c r="N249" s="23" t="n">
        <f aca="false">'SA Data'!T249</f>
        <v>156.883408518722</v>
      </c>
      <c r="O249" s="24" t="n">
        <f aca="false">(N249/N248-1)*100</f>
        <v>-1.55389393563997</v>
      </c>
      <c r="P249" s="24" t="n">
        <f aca="false">(AVERAGE(N247:N249)/AVERAGE(N244:N246)-1)*100</f>
        <v>-1.69874262756612</v>
      </c>
      <c r="Q249" s="24" t="n">
        <f aca="false">((AVERAGE(N247:N249)/AVERAGE(N244:N246))^4-1)*100</f>
        <v>-6.62377943462116</v>
      </c>
      <c r="R249" s="24" t="n">
        <f aca="false">IFERROR(('SA Data'!X249/'SA Data'!X237-1)*100,"")</f>
        <v>-5.43448110265843</v>
      </c>
      <c r="S249" s="24" t="n">
        <f aca="false">IFERROR((AVERAGE('SA Data'!X247:X249)/AVERAGE('SA Data'!X235:X237)-1)*100,"")</f>
        <v>-3.16871849082926</v>
      </c>
    </row>
    <row r="250" customFormat="false" ht="15" hidden="false" customHeight="false" outlineLevel="0" collapsed="false">
      <c r="A250" s="20" t="n">
        <v>45412</v>
      </c>
      <c r="B250" s="23" t="n">
        <f aca="false">'SA Data'!R250</f>
        <v>118.786950672167</v>
      </c>
      <c r="C250" s="24" t="n">
        <f aca="false">(B250/B249-1)*100</f>
        <v>11.7606613360714</v>
      </c>
      <c r="D250" s="24" t="n">
        <f aca="false">(AVERAGE(B248:B250)/AVERAGE(B245:B247)-1)*100</f>
        <v>6.10626849497251</v>
      </c>
      <c r="E250" s="24" t="n">
        <f aca="false">((AVERAGE(B248:B250)/AVERAGE(B245:B247))^4-1)*100</f>
        <v>26.7547277486158</v>
      </c>
      <c r="F250" s="24" t="n">
        <f aca="false">IFERROR(('SA Data'!V250/'SA Data'!V238-1)*100,"")</f>
        <v>64.916749455497</v>
      </c>
      <c r="G250" s="24" t="n">
        <f aca="false">IFERROR((AVERAGE('SA Data'!V247:V250)/AVERAGE('SA Data'!V235:V238)-1)*100,"")</f>
        <v>25.7671276743557</v>
      </c>
      <c r="H250" s="23" t="n">
        <f aca="false">'SA Data'!S250</f>
        <v>113.504300593803</v>
      </c>
      <c r="I250" s="24" t="n">
        <f aca="false">(H250/H249-1)*100</f>
        <v>0.723223905408466</v>
      </c>
      <c r="J250" s="24" t="n">
        <f aca="false">(AVERAGE(H248:H250)/AVERAGE(H245:H247)-1)*100</f>
        <v>-5.48450603937072</v>
      </c>
      <c r="K250" s="24" t="n">
        <f aca="false">((AVERAGE(H248:H250)/AVERAGE(H245:H247))^4-1)*100</f>
        <v>-20.1983201251263</v>
      </c>
      <c r="L250" s="24" t="n">
        <f aca="false">IFERROR(('SA Data'!W250/'SA Data'!W238-1)*100,"")</f>
        <v>-15.7540694534217</v>
      </c>
      <c r="M250" s="24" t="n">
        <f aca="false">IFERROR((AVERAGE('SA Data'!W247:W250)/AVERAGE('SA Data'!W235:W238)-1)*100,"")</f>
        <v>-13.9479870543128</v>
      </c>
      <c r="N250" s="23" t="n">
        <f aca="false">'SA Data'!T250</f>
        <v>155.775506053364</v>
      </c>
      <c r="O250" s="24" t="n">
        <f aca="false">(N250/N249-1)*100</f>
        <v>-0.706194795114623</v>
      </c>
      <c r="P250" s="24" t="n">
        <f aca="false">(AVERAGE(N248:N250)/AVERAGE(N245:N247)-1)*100</f>
        <v>-1.41985384310931</v>
      </c>
      <c r="Q250" s="24" t="n">
        <f aca="false">((AVERAGE(N248:N250)/AVERAGE(N245:N247))^4-1)*100</f>
        <v>-5.55959717367793</v>
      </c>
      <c r="R250" s="24" t="n">
        <f aca="false">IFERROR(('SA Data'!X250/'SA Data'!X238-1)*100,"")</f>
        <v>-4.07318683062228</v>
      </c>
      <c r="S250" s="24" t="n">
        <f aca="false">IFERROR((AVERAGE('SA Data'!X247:X250)/AVERAGE('SA Data'!X235:X238)-1)*100,"")</f>
        <v>-3.39502475036998</v>
      </c>
    </row>
    <row r="251" customFormat="false" ht="15" hidden="false" customHeight="false" outlineLevel="0" collapsed="false">
      <c r="A251" s="20" t="n">
        <v>45443</v>
      </c>
      <c r="B251" s="23" t="n">
        <f aca="false">'SA Data'!R251</f>
        <v>122.299961340833</v>
      </c>
      <c r="C251" s="24" t="n">
        <f aca="false">(B251/B250-1)*100</f>
        <v>2.95740453710389</v>
      </c>
      <c r="D251" s="24" t="n">
        <f aca="false">(AVERAGE(B249:B251)/AVERAGE(B246:B248)-1)*100</f>
        <v>10.640792850398</v>
      </c>
      <c r="E251" s="24" t="n">
        <f aca="false">((AVERAGE(B249:B251)/AVERAGE(B246:B248))^4-1)*100</f>
        <v>49.8515077603265</v>
      </c>
      <c r="F251" s="24" t="n">
        <f aca="false">IFERROR(('SA Data'!V251/'SA Data'!V239-1)*100,"")</f>
        <v>94.6525525487934</v>
      </c>
      <c r="G251" s="24" t="n">
        <f aca="false">IFERROR((AVERAGE('SA Data'!V247:V251)/AVERAGE('SA Data'!V235:V239)-1)*100,"")</f>
        <v>43.5975205934221</v>
      </c>
      <c r="H251" s="23" t="n">
        <f aca="false">'SA Data'!S251</f>
        <v>115.701902710153</v>
      </c>
      <c r="I251" s="24" t="n">
        <f aca="false">(H251/H250-1)*100</f>
        <v>1.9361399566826</v>
      </c>
      <c r="J251" s="24" t="n">
        <f aca="false">(AVERAGE(H249:H251)/AVERAGE(H246:H248)-1)*100</f>
        <v>-4.37339588592565</v>
      </c>
      <c r="K251" s="24" t="n">
        <f aca="false">((AVERAGE(H249:H251)/AVERAGE(H246:H248))^4-1)*100</f>
        <v>-16.3790814854578</v>
      </c>
      <c r="L251" s="24" t="n">
        <f aca="false">IFERROR(('SA Data'!W251/'SA Data'!W239-1)*100,"")</f>
        <v>-14.1884634713802</v>
      </c>
      <c r="M251" s="24" t="n">
        <f aca="false">IFERROR((AVERAGE('SA Data'!W247:W251)/AVERAGE('SA Data'!W235:W239)-1)*100,"")</f>
        <v>-13.9980831627788</v>
      </c>
      <c r="N251" s="23" t="n">
        <f aca="false">'SA Data'!T251</f>
        <v>158.67527703982</v>
      </c>
      <c r="O251" s="24" t="n">
        <f aca="false">(N251/N250-1)*100</f>
        <v>1.86150638179448</v>
      </c>
      <c r="P251" s="24" t="n">
        <f aca="false">(AVERAGE(N249:N251)/AVERAGE(N246:N248)-1)*100</f>
        <v>-1.03948165879221</v>
      </c>
      <c r="Q251" s="24" t="n">
        <f aca="false">((AVERAGE(N249:N251)/AVERAGE(N246:N248))^4-1)*100</f>
        <v>-4.09354341367268</v>
      </c>
      <c r="R251" s="24" t="n">
        <f aca="false">IFERROR(('SA Data'!X251/'SA Data'!X239-1)*100,"")</f>
        <v>-3.13424365951226</v>
      </c>
      <c r="S251" s="24" t="n">
        <f aca="false">IFERROR((AVERAGE('SA Data'!X247:X251)/AVERAGE('SA Data'!X235:X239)-1)*100,"")</f>
        <v>-3.34197127268093</v>
      </c>
    </row>
    <row r="252" customFormat="false" ht="15" hidden="false" customHeight="false" outlineLevel="0" collapsed="false">
      <c r="A252" s="20" t="n">
        <v>45473</v>
      </c>
      <c r="B252" s="23" t="n">
        <f aca="false">'SA Data'!R252</f>
        <v>120.748137750883</v>
      </c>
      <c r="C252" s="24" t="n">
        <f aca="false">(B252/B251-1)*100</f>
        <v>-1.2688667869853</v>
      </c>
      <c r="D252" s="24" t="n">
        <f aca="false">(AVERAGE(B250:B252)/AVERAGE(B247:B249)-1)*100</f>
        <v>13.5369240771152</v>
      </c>
      <c r="E252" s="24" t="n">
        <f aca="false">((AVERAGE(B250:B252)/AVERAGE(B247:B249))^4-1)*100</f>
        <v>66.1684224637041</v>
      </c>
      <c r="F252" s="24" t="n">
        <f aca="false">IFERROR(('SA Data'!V252/'SA Data'!V240-1)*100,"")</f>
        <v>75.2244166003378</v>
      </c>
      <c r="G252" s="24" t="n">
        <f aca="false">IFERROR((AVERAGE('SA Data'!V247:V252)/AVERAGE('SA Data'!V235:V240)-1)*100,"")</f>
        <v>48.9120719258817</v>
      </c>
      <c r="H252" s="23" t="n">
        <f aca="false">'SA Data'!S252</f>
        <v>111.933364005965</v>
      </c>
      <c r="I252" s="24" t="n">
        <f aca="false">(H252/H251-1)*100</f>
        <v>-3.25711039828667</v>
      </c>
      <c r="J252" s="24" t="n">
        <f aca="false">(AVERAGE(H250:H252)/AVERAGE(H247:H249)-1)*100</f>
        <v>-2.70085964983182</v>
      </c>
      <c r="K252" s="24" t="n">
        <f aca="false">((AVERAGE(H250:H252)/AVERAGE(H247:H249))^4-1)*100</f>
        <v>-10.373587539239</v>
      </c>
      <c r="L252" s="24" t="n">
        <f aca="false">IFERROR(('SA Data'!W252/'SA Data'!W240-1)*100,"")</f>
        <v>-18.4052692861147</v>
      </c>
      <c r="M252" s="24" t="n">
        <f aca="false">IFERROR((AVERAGE('SA Data'!W247:W252)/AVERAGE('SA Data'!W235:W240)-1)*100,"")</f>
        <v>-14.7562725753643</v>
      </c>
      <c r="N252" s="23" t="n">
        <f aca="false">'SA Data'!T252</f>
        <v>157.373690769582</v>
      </c>
      <c r="O252" s="24" t="n">
        <f aca="false">(N252/N251-1)*100</f>
        <v>-0.820282966899588</v>
      </c>
      <c r="P252" s="24" t="n">
        <f aca="false">(AVERAGE(N250:N252)/AVERAGE(N247:N249)-1)*100</f>
        <v>-0.627408215632985</v>
      </c>
      <c r="Q252" s="24" t="n">
        <f aca="false">((AVERAGE(N250:N252)/AVERAGE(N247:N249))^4-1)*100</f>
        <v>-2.48611303289231</v>
      </c>
      <c r="R252" s="24" t="n">
        <f aca="false">IFERROR(('SA Data'!X252/'SA Data'!X240-1)*100,"")</f>
        <v>-5.33557741623502</v>
      </c>
      <c r="S252" s="24" t="n">
        <f aca="false">IFERROR((AVERAGE('SA Data'!X247:X252)/AVERAGE('SA Data'!X235:X240)-1)*100,"")</f>
        <v>-3.68417588956533</v>
      </c>
    </row>
    <row r="253" customFormat="false" ht="15" hidden="false" customHeight="false" outlineLevel="0" collapsed="false">
      <c r="A253" s="20" t="n">
        <v>45504</v>
      </c>
      <c r="B253" s="23" t="n">
        <f aca="false">'SA Data'!R253</f>
        <v>116.314844820837</v>
      </c>
      <c r="C253" s="24" t="n">
        <f aca="false">(B253/B252-1)*100</f>
        <v>-3.67152074775017</v>
      </c>
      <c r="D253" s="24" t="n">
        <f aca="false">(AVERAGE(B251:B253)/AVERAGE(B248:B250)-1)*100</f>
        <v>8.58146237871589</v>
      </c>
      <c r="E253" s="24" t="n">
        <f aca="false">((AVERAGE(B251:B253)/AVERAGE(B248:B250))^4-1)*100</f>
        <v>39.0025430712053</v>
      </c>
      <c r="F253" s="24" t="n">
        <f aca="false">IFERROR(('SA Data'!V253/'SA Data'!V241-1)*100,"")</f>
        <v>24.0672898262767</v>
      </c>
      <c r="G253" s="24" t="n">
        <f aca="false">IFERROR((AVERAGE('SA Data'!V247:V253)/AVERAGE('SA Data'!V235:V241)-1)*100,"")</f>
        <v>45.6835205396842</v>
      </c>
      <c r="H253" s="23" t="n">
        <f aca="false">'SA Data'!S253</f>
        <v>120.394737227346</v>
      </c>
      <c r="I253" s="24" t="n">
        <f aca="false">(H253/H252-1)*100</f>
        <v>7.55929502925485</v>
      </c>
      <c r="J253" s="24" t="n">
        <f aca="false">(AVERAGE(H251:H253)/AVERAGE(H248:H250)-1)*100</f>
        <v>0.754320521446328</v>
      </c>
      <c r="K253" s="24" t="n">
        <f aca="false">((AVERAGE(H251:H253)/AVERAGE(H248:H250))^4-1)*100</f>
        <v>3.05159405967463</v>
      </c>
      <c r="L253" s="24" t="n">
        <f aca="false">IFERROR(('SA Data'!W253/'SA Data'!W241-1)*100,"")</f>
        <v>-6.24696156447369</v>
      </c>
      <c r="M253" s="24" t="n">
        <f aca="false">IFERROR((AVERAGE('SA Data'!W247:W253)/AVERAGE('SA Data'!W235:W241)-1)*100,"")</f>
        <v>-13.5084289690866</v>
      </c>
      <c r="N253" s="23" t="n">
        <f aca="false">'SA Data'!T253</f>
        <v>161.168885099421</v>
      </c>
      <c r="O253" s="24" t="n">
        <f aca="false">(N253/N252-1)*100</f>
        <v>2.41158119332405</v>
      </c>
      <c r="P253" s="24" t="n">
        <f aca="false">(AVERAGE(N251:N253)/AVERAGE(N248:N250)-1)*100</f>
        <v>1.10149244834257</v>
      </c>
      <c r="Q253" s="24" t="n">
        <f aca="false">((AVERAGE(N251:N253)/AVERAGE(N248:N250))^4-1)*100</f>
        <v>4.47930297223409</v>
      </c>
      <c r="R253" s="24" t="n">
        <f aca="false">IFERROR(('SA Data'!X253/'SA Data'!X241-1)*100,"")</f>
        <v>-0.817135244980649</v>
      </c>
      <c r="S253" s="24" t="n">
        <f aca="false">IFERROR((AVERAGE('SA Data'!X247:X253)/AVERAGE('SA Data'!X235:X241)-1)*100,"")</f>
        <v>-3.2733700092342</v>
      </c>
    </row>
    <row r="254" customFormat="false" ht="15" hidden="false" customHeight="false" outlineLevel="0" collapsed="false">
      <c r="A254" s="20" t="n">
        <v>45535</v>
      </c>
      <c r="B254" s="23" t="n">
        <f aca="false">'SA Data'!R254</f>
        <v>113.49955346767</v>
      </c>
      <c r="C254" s="24" t="n">
        <f aca="false">(B254/B253-1)*100</f>
        <v>-2.42040588843457</v>
      </c>
      <c r="D254" s="24" t="n">
        <f aca="false">(AVERAGE(B252:B254)/AVERAGE(B249:B251)-1)*100</f>
        <v>0.917949599136092</v>
      </c>
      <c r="E254" s="24" t="n">
        <f aca="false">((AVERAGE(B252:B254)/AVERAGE(B249:B251))^4-1)*100</f>
        <v>3.72266639185217</v>
      </c>
      <c r="F254" s="24" t="n">
        <f aca="false">IFERROR(('SA Data'!V254/'SA Data'!V242-1)*100,"")</f>
        <v>6.66496572008539</v>
      </c>
      <c r="G254" s="24" t="n">
        <f aca="false">IFERROR((AVERAGE('SA Data'!V247:V254)/AVERAGE('SA Data'!V235:V242)-1)*100,"")</f>
        <v>42.0375968304843</v>
      </c>
      <c r="H254" s="23" t="n">
        <f aca="false">'SA Data'!S254</f>
        <v>121.191544413978</v>
      </c>
      <c r="I254" s="24" t="n">
        <f aca="false">(H254/H253-1)*100</f>
        <v>0.661828917926277</v>
      </c>
      <c r="J254" s="24" t="n">
        <f aca="false">(AVERAGE(H252:H254)/AVERAGE(H249:H251)-1)*100</f>
        <v>3.3999094666056</v>
      </c>
      <c r="K254" s="24" t="n">
        <f aca="false">((AVERAGE(H252:H254)/AVERAGE(H249:H251))^4-1)*100</f>
        <v>14.3090548928107</v>
      </c>
      <c r="L254" s="24" t="n">
        <f aca="false">IFERROR(('SA Data'!W254/'SA Data'!W242-1)*100,"")</f>
        <v>-7.70855293295871</v>
      </c>
      <c r="M254" s="24" t="n">
        <f aca="false">IFERROR((AVERAGE('SA Data'!W247:W254)/AVERAGE('SA Data'!W235:W242)-1)*100,"")</f>
        <v>-12.7380962937827</v>
      </c>
      <c r="N254" s="23" t="n">
        <f aca="false">'SA Data'!T254</f>
        <v>161.136441483372</v>
      </c>
      <c r="O254" s="24" t="n">
        <f aca="false">(N254/N253-1)*100</f>
        <v>-0.0201301982263091</v>
      </c>
      <c r="P254" s="24" t="n">
        <f aca="false">(AVERAGE(N252:N254)/AVERAGE(N249:N251)-1)*100</f>
        <v>1.77046899821327</v>
      </c>
      <c r="Q254" s="24" t="n">
        <f aca="false">((AVERAGE(N252:N254)/AVERAGE(N249:N251))^4-1)*100</f>
        <v>7.27217930359714</v>
      </c>
      <c r="R254" s="24" t="n">
        <f aca="false">IFERROR(('SA Data'!X254/'SA Data'!X242-1)*100,"")</f>
        <v>-1.98024672686327</v>
      </c>
      <c r="S254" s="24" t="n">
        <f aca="false">IFERROR((AVERAGE('SA Data'!X247:X254)/AVERAGE('SA Data'!X235:X242)-1)*100,"")</f>
        <v>-3.10946195215627</v>
      </c>
    </row>
    <row r="255" customFormat="false" ht="15" hidden="false" customHeight="false" outlineLevel="0" collapsed="false">
      <c r="A255" s="20" t="n">
        <v>45565</v>
      </c>
      <c r="B255" s="23" t="n">
        <f aca="false">'SA Data'!R255</f>
        <v>110.974575470388</v>
      </c>
      <c r="C255" s="24" t="n">
        <f aca="false">(B255/B254-1)*100</f>
        <v>-2.22465897013567</v>
      </c>
      <c r="D255" s="24" t="n">
        <f aca="false">(AVERAGE(B253:B255)/AVERAGE(B250:B252)-1)*100</f>
        <v>-5.81648351057218</v>
      </c>
      <c r="E255" s="24" t="n">
        <f aca="false">((AVERAGE(B253:B255)/AVERAGE(B250:B252))^4-1)*100</f>
        <v>-21.3136127467161</v>
      </c>
      <c r="F255" s="24" t="n">
        <f aca="false">IFERROR(('SA Data'!V255/'SA Data'!V243-1)*100,"")</f>
        <v>3.51599501483701</v>
      </c>
      <c r="G255" s="24" t="n">
        <f aca="false">IFERROR((AVERAGE('SA Data'!V247:V255)/AVERAGE('SA Data'!V235:V243)-1)*100,"")</f>
        <v>38.8648292445212</v>
      </c>
      <c r="H255" s="23" t="n">
        <f aca="false">'SA Data'!S255</f>
        <v>120.005623028695</v>
      </c>
      <c r="I255" s="24" t="n">
        <f aca="false">(H255/H254-1)*100</f>
        <v>-0.97855126033557</v>
      </c>
      <c r="J255" s="24" t="n">
        <f aca="false">(AVERAGE(H253:H255)/AVERAGE(H250:H252)-1)*100</f>
        <v>5.9952990857598</v>
      </c>
      <c r="K255" s="24" t="n">
        <f aca="false">((AVERAGE(H253:H255)/AVERAGE(H250:H252))^4-1)*100</f>
        <v>26.225302033456</v>
      </c>
      <c r="L255" s="24" t="n">
        <f aca="false">IFERROR(('SA Data'!W255/'SA Data'!W243-1)*100,"")</f>
        <v>-7.06192346889761</v>
      </c>
      <c r="M255" s="24" t="n">
        <f aca="false">IFERROR((AVERAGE('SA Data'!W247:W255)/AVERAGE('SA Data'!W235:W243)-1)*100,"")</f>
        <v>-12.0910264471089</v>
      </c>
      <c r="N255" s="23" t="n">
        <f aca="false">'SA Data'!T255</f>
        <v>160.530078440946</v>
      </c>
      <c r="O255" s="24" t="n">
        <f aca="false">(N255/N254-1)*100</f>
        <v>-0.376304104051906</v>
      </c>
      <c r="P255" s="24" t="n">
        <f aca="false">(AVERAGE(N253:N255)/AVERAGE(N250:N252)-1)*100</f>
        <v>2.33369224593785</v>
      </c>
      <c r="Q255" s="24" t="n">
        <f aca="false">((AVERAGE(N253:N255)/AVERAGE(N250:N252))^4-1)*100</f>
        <v>9.66664964063189</v>
      </c>
      <c r="R255" s="24" t="n">
        <f aca="false">IFERROR(('SA Data'!X255/'SA Data'!X243-1)*100,"")</f>
        <v>-1.6577282183284</v>
      </c>
      <c r="S255" s="24" t="n">
        <f aca="false">IFERROR((AVERAGE('SA Data'!X247:X255)/AVERAGE('SA Data'!X235:X243)-1)*100,"")</f>
        <v>-2.94892693556922</v>
      </c>
    </row>
    <row r="256" customFormat="false" ht="15" hidden="false" customHeight="false" outlineLevel="0" collapsed="false">
      <c r="A256" s="20" t="n">
        <v>45596</v>
      </c>
      <c r="B256" s="23" t="n">
        <f aca="false">'SA Data'!R256</f>
        <v>110.488816930863</v>
      </c>
      <c r="C256" s="24" t="n">
        <f aca="false">(B256/B255-1)*100</f>
        <v>-0.437720565693689</v>
      </c>
      <c r="D256" s="24" t="n">
        <f aca="false">(AVERAGE(B254:B256)/AVERAGE(B251:B253)-1)*100</f>
        <v>-6.78979245271592</v>
      </c>
      <c r="E256" s="24" t="n">
        <f aca="false">((AVERAGE(B254:B256)/AVERAGE(B251:B253))^4-1)*100</f>
        <v>-24.5161748430596</v>
      </c>
      <c r="F256" s="24" t="n">
        <f aca="false">IFERROR(('SA Data'!V256/'SA Data'!V244-1)*100,"")</f>
        <v>3.34843124760651</v>
      </c>
      <c r="G256" s="24" t="n">
        <f aca="false">IFERROR((AVERAGE('SA Data'!V247:V256)/AVERAGE('SA Data'!V235:V244)-1)*100,"")</f>
        <v>36.4211516353178</v>
      </c>
      <c r="H256" s="23" t="n">
        <f aca="false">'SA Data'!S256</f>
        <v>122.025467270255</v>
      </c>
      <c r="I256" s="24" t="n">
        <f aca="false">(H256/H255-1)*100</f>
        <v>1.683124665814</v>
      </c>
      <c r="J256" s="24" t="n">
        <f aca="false">(AVERAGE(H254:H256)/AVERAGE(H251:H253)-1)*100</f>
        <v>4.36532212663212</v>
      </c>
      <c r="K256" s="24" t="n">
        <f aca="false">((AVERAGE(H254:H256)/AVERAGE(H251:H253))^4-1)*100</f>
        <v>18.6382881716957</v>
      </c>
      <c r="L256" s="24" t="n">
        <f aca="false">IFERROR(('SA Data'!W256/'SA Data'!W244-1)*100,"")</f>
        <v>-3.65067905312305</v>
      </c>
      <c r="M256" s="24" t="n">
        <f aca="false">IFERROR((AVERAGE('SA Data'!W247:W256)/AVERAGE('SA Data'!W235:W244)-1)*100,"")</f>
        <v>-11.2239645062694</v>
      </c>
      <c r="N256" s="23" t="n">
        <f aca="false">'SA Data'!T256</f>
        <v>162.659195633162</v>
      </c>
      <c r="O256" s="24" t="n">
        <f aca="false">(N256/N255-1)*100</f>
        <v>1.32630421220363</v>
      </c>
      <c r="P256" s="24" t="n">
        <f aca="false">(AVERAGE(N254:N256)/AVERAGE(N251:N253)-1)*100</f>
        <v>1.48943770760708</v>
      </c>
      <c r="Q256" s="24" t="n">
        <f aca="false">((AVERAGE(N254:N256)/AVERAGE(N251:N253))^4-1)*100</f>
        <v>6.09218291507774</v>
      </c>
      <c r="R256" s="24" t="n">
        <f aca="false">IFERROR(('SA Data'!X256/'SA Data'!X244-1)*100,"")</f>
        <v>0.643921672125125</v>
      </c>
      <c r="S256" s="24" t="n">
        <f aca="false">IFERROR((AVERAGE('SA Data'!X247:X256)/AVERAGE('SA Data'!X235:X244)-1)*100,"")</f>
        <v>-2.59001131378357</v>
      </c>
    </row>
    <row r="257" customFormat="false" ht="15" hidden="false" customHeight="false" outlineLevel="0" collapsed="false">
      <c r="A257" s="20" t="n">
        <v>45626</v>
      </c>
      <c r="B257" s="23" t="n">
        <f aca="false">'SA Data'!R257</f>
        <v>111.177833707827</v>
      </c>
      <c r="C257" s="24" t="n">
        <f aca="false">(B257/B256-1)*100</f>
        <v>0.623607706285534</v>
      </c>
      <c r="D257" s="24" t="n">
        <f aca="false">(AVERAGE(B255:B257)/AVERAGE(B252:B254)-1)*100</f>
        <v>-5.11215777155927</v>
      </c>
      <c r="E257" s="24" t="n">
        <f aca="false">((AVERAGE(B255:B257)/AVERAGE(B252:B254))^4-1)*100</f>
        <v>-18.9333394408824</v>
      </c>
      <c r="F257" s="24" t="n">
        <f aca="false">IFERROR(('SA Data'!V257/'SA Data'!V245-1)*100,"")</f>
        <v>4.16328140745634</v>
      </c>
      <c r="G257" s="24" t="n">
        <f aca="false">IFERROR((AVERAGE('SA Data'!V247:V257)/AVERAGE('SA Data'!V235:V245)-1)*100,"")</f>
        <v>33.968717575336</v>
      </c>
      <c r="H257" s="23" t="n">
        <f aca="false">'SA Data'!S257</f>
        <v>123.762250168812</v>
      </c>
      <c r="I257" s="24" t="n">
        <f aca="false">(H257/H256-1)*100</f>
        <v>1.42329542956046</v>
      </c>
      <c r="J257" s="24" t="n">
        <f aca="false">(AVERAGE(H255:H257)/AVERAGE(H252:H254)-1)*100</f>
        <v>3.47185650687076</v>
      </c>
      <c r="K257" s="24" t="n">
        <f aca="false">((AVERAGE(H255:H257)/AVERAGE(H252:H254))^4-1)*100</f>
        <v>14.6275381859073</v>
      </c>
      <c r="L257" s="24" t="n">
        <f aca="false">IFERROR(('SA Data'!W257/'SA Data'!W245-1)*100,"")</f>
        <v>-3.61830181025483</v>
      </c>
      <c r="M257" s="24" t="n">
        <f aca="false">IFERROR((AVERAGE('SA Data'!W247:W257)/AVERAGE('SA Data'!W235:W245)-1)*100,"")</f>
        <v>-10.5301627855963</v>
      </c>
      <c r="N257" s="23" t="n">
        <f aca="false">'SA Data'!T257</f>
        <v>164.273865967506</v>
      </c>
      <c r="O257" s="24" t="n">
        <f aca="false">(N257/N256-1)*100</f>
        <v>0.992670797404838</v>
      </c>
      <c r="P257" s="24" t="n">
        <f aca="false">(AVERAGE(N255:N257)/AVERAGE(N252:N254)-1)*100</f>
        <v>1.62277740064718</v>
      </c>
      <c r="Q257" s="24" t="n">
        <f aca="false">((AVERAGE(N255:N257)/AVERAGE(N252:N254))^4-1)*100</f>
        <v>6.65083029995834</v>
      </c>
      <c r="R257" s="24" t="n">
        <f aca="false">IFERROR(('SA Data'!X257/'SA Data'!X245-1)*100,"")</f>
        <v>1.3031267821382</v>
      </c>
      <c r="S257" s="24" t="n">
        <f aca="false">IFERROR((AVERAGE('SA Data'!X247:X257)/AVERAGE('SA Data'!X235:X245)-1)*100,"")</f>
        <v>-2.23863936048176</v>
      </c>
    </row>
    <row r="258" customFormat="false" ht="15" hidden="false" customHeight="false" outlineLevel="0" collapsed="false">
      <c r="A258" s="20" t="n">
        <v>45657</v>
      </c>
      <c r="B258" s="23" t="n">
        <f aca="false">'SA Data'!R258</f>
        <v>107.977928174775</v>
      </c>
      <c r="C258" s="24" t="n">
        <f aca="false">(B258/B257-1)*100</f>
        <v>-2.87818661898193</v>
      </c>
      <c r="D258" s="24" t="n">
        <f aca="false">(AVERAGE(B256:B258)/AVERAGE(B253:B255)-1)*100</f>
        <v>-3.27017474260055</v>
      </c>
      <c r="E258" s="24" t="n">
        <f aca="false">((AVERAGE(B256:B258)/AVERAGE(B253:B255))^4-1)*100</f>
        <v>-12.4529305925472</v>
      </c>
      <c r="F258" s="24" t="n">
        <f aca="false">IFERROR(('SA Data'!V258/'SA Data'!V246-1)*100,"")</f>
        <v>9.23709128811474</v>
      </c>
      <c r="G258" s="24" t="n">
        <f aca="false">IFERROR((AVERAGE('SA Data'!V247:V258)/AVERAGE('SA Data'!V235:V246)-1)*100,"")</f>
        <v>31.7629142121821</v>
      </c>
      <c r="H258" s="23" t="n">
        <f aca="false">'SA Data'!S258</f>
        <v>124.164998293655</v>
      </c>
      <c r="I258" s="24" t="n">
        <f aca="false">(H258/H257-1)*100</f>
        <v>0.325420816358468</v>
      </c>
      <c r="J258" s="24" t="n">
        <f aca="false">(AVERAGE(H256:H258)/AVERAGE(H253:H255)-1)*100</f>
        <v>2.31222296592408</v>
      </c>
      <c r="K258" s="24" t="n">
        <f aca="false">((AVERAGE(H256:H258)/AVERAGE(H253:H255))^4-1)*100</f>
        <v>9.57464775453585</v>
      </c>
      <c r="L258" s="24" t="n">
        <f aca="false">IFERROR(('SA Data'!W258/'SA Data'!W246-1)*100,"")</f>
        <v>4.33558926570696</v>
      </c>
      <c r="M258" s="24" t="n">
        <f aca="false">IFERROR((AVERAGE('SA Data'!W247:W258)/AVERAGE('SA Data'!W235:W246)-1)*100,"")</f>
        <v>-9.427307575399</v>
      </c>
      <c r="N258" s="23" t="n">
        <f aca="false">'SA Data'!T258</f>
        <v>165.144323327622</v>
      </c>
      <c r="O258" s="24" t="n">
        <f aca="false">(N258/N257-1)*100</f>
        <v>0.529881825687206</v>
      </c>
      <c r="P258" s="24" t="n">
        <f aca="false">(AVERAGE(N256:N258)/AVERAGE(N253:N255)-1)*100</f>
        <v>1.91410567833101</v>
      </c>
      <c r="Q258" s="24" t="n">
        <f aca="false">((AVERAGE(N256:N258)/AVERAGE(N253:N255))^4-1)*100</f>
        <v>7.87906933020079</v>
      </c>
      <c r="R258" s="24" t="n">
        <f aca="false">IFERROR(('SA Data'!X258/'SA Data'!X246-1)*100,"")</f>
        <v>4.65261590974551</v>
      </c>
      <c r="S258" s="24" t="n">
        <f aca="false">IFERROR((AVERAGE('SA Data'!X247:X258)/AVERAGE('SA Data'!X235:X246)-1)*100,"")</f>
        <v>-1.68598886208325</v>
      </c>
    </row>
    <row r="259" customFormat="false" ht="15" hidden="false" customHeight="false" outlineLevel="0" collapsed="false">
      <c r="A259" s="20" t="n">
        <v>45688</v>
      </c>
      <c r="B259" s="23" t="n">
        <f aca="false">'SA Data'!R259</f>
        <v>109.268883215593</v>
      </c>
      <c r="C259" s="24" t="n">
        <f aca="false">(B259/B258-1)*100</f>
        <v>1.19557307927716</v>
      </c>
      <c r="D259" s="24" t="n">
        <f aca="false">(AVERAGE(B257:B259)/AVERAGE(B254:B256)-1)*100</f>
        <v>-1.95194747698575</v>
      </c>
      <c r="E259" s="24" t="n">
        <f aca="false">((AVERAGE(B257:B259)/AVERAGE(B254:B256))^4-1)*100</f>
        <v>-7.58214429912959</v>
      </c>
      <c r="F259" s="24" t="n">
        <f aca="false">IFERROR(('SA Data'!V259/'SA Data'!V247-1)*100,"")</f>
        <v>2.77680647603473</v>
      </c>
      <c r="G259" s="24" t="n">
        <f aca="false">IFERROR((AVERAGE('SA Data'!V259:V259)/AVERAGE('SA Data'!V247:V247)-1)*100,"")</f>
        <v>2.77680647603473</v>
      </c>
      <c r="H259" s="23" t="n">
        <f aca="false">'SA Data'!S259</f>
        <v>123.732430026818</v>
      </c>
      <c r="I259" s="24" t="n">
        <f aca="false">(H259/H258-1)*100</f>
        <v>-0.348381808707365</v>
      </c>
      <c r="J259" s="24" t="n">
        <f aca="false">(AVERAGE(H257:H259)/AVERAGE(H254:H256)-1)*100</f>
        <v>2.32282984870298</v>
      </c>
      <c r="K259" s="24" t="n">
        <f aca="false">((AVERAGE(H257:H259)/AVERAGE(H254:H256))^4-1)*100</f>
        <v>9.62009398416586</v>
      </c>
      <c r="L259" s="24" t="n">
        <f aca="false">IFERROR(('SA Data'!W259/'SA Data'!W247-1)*100,"")</f>
        <v>5.57934695683453</v>
      </c>
      <c r="M259" s="24" t="n">
        <f aca="false">IFERROR((AVERAGE('SA Data'!W259:W259)/AVERAGE('SA Data'!W247:W247)-1)*100,"")</f>
        <v>5.57934695683453</v>
      </c>
      <c r="N259" s="23" t="n">
        <f aca="false">'SA Data'!T259</f>
        <v>166.125929081943</v>
      </c>
      <c r="O259" s="24" t="n">
        <f aca="false">(N259/N258-1)*100</f>
        <v>0.594392670932487</v>
      </c>
      <c r="P259" s="24" t="n">
        <f aca="false">(AVERAGE(N257:N259)/AVERAGE(N254:N256)-1)*100</f>
        <v>2.31629303570589</v>
      </c>
      <c r="Q259" s="24" t="n">
        <f aca="false">((AVERAGE(N257:N259)/AVERAGE(N254:N256))^4-1)*100</f>
        <v>9.59208469657289</v>
      </c>
      <c r="R259" s="24" t="n">
        <f aca="false">IFERROR(('SA Data'!X259/'SA Data'!X247-1)*100,"")</f>
        <v>5.06962882694824</v>
      </c>
      <c r="S259" s="24" t="n">
        <f aca="false">IFERROR((AVERAGE('SA Data'!X259:X259)/AVERAGE('SA Data'!X247:X247)-1)*100,"")</f>
        <v>5.06962882694824</v>
      </c>
    </row>
    <row r="260" customFormat="false" ht="15" hidden="false" customHeight="false" outlineLevel="0" collapsed="false">
      <c r="A260" s="20" t="n">
        <v>45716</v>
      </c>
      <c r="B260" s="23" t="n">
        <f aca="false">'SA Data'!R260</f>
        <v>115.410751016827</v>
      </c>
      <c r="C260" s="24" t="n">
        <f aca="false">(B260/B259-1)*100</f>
        <v>5.62087542261707</v>
      </c>
      <c r="D260" s="24" t="n">
        <f aca="false">(AVERAGE(B258:B260)/AVERAGE(B255:B257)-1)*100</f>
        <v>0.0049110864303259</v>
      </c>
      <c r="E260" s="24" t="n">
        <f aca="false">((AVERAGE(B258:B260)/AVERAGE(B255:B257))^4-1)*100</f>
        <v>0.0196457928948846</v>
      </c>
      <c r="F260" s="24" t="n">
        <f aca="false">IFERROR(('SA Data'!V260/'SA Data'!V248-1)*100,"")</f>
        <v>6.89489075033365</v>
      </c>
      <c r="G260" s="24" t="n">
        <f aca="false">IFERROR((AVERAGE('SA Data'!V259:V260)/AVERAGE('SA Data'!V247:V248)-1)*100,"")</f>
        <v>4.60438631378064</v>
      </c>
      <c r="H260" s="23" t="n">
        <f aca="false">'SA Data'!S260</f>
        <v>125.299017680691</v>
      </c>
      <c r="I260" s="24" t="n">
        <f aca="false">(H260/H259-1)*100</f>
        <v>1.26610917892194</v>
      </c>
      <c r="J260" s="24" t="n">
        <f aca="false">(AVERAGE(H258:H260)/AVERAGE(H255:H257)-1)*100</f>
        <v>2.02384918323972</v>
      </c>
      <c r="K260" s="24" t="n">
        <f aca="false">((AVERAGE(H258:H260)/AVERAGE(H255:H257))^4-1)*100</f>
        <v>8.34448728746846</v>
      </c>
      <c r="L260" s="24" t="n">
        <f aca="false">IFERROR(('SA Data'!W260/'SA Data'!W248-1)*100,"")</f>
        <v>4.9548604411342</v>
      </c>
      <c r="M260" s="24" t="n">
        <f aca="false">IFERROR((AVERAGE('SA Data'!W259:W260)/AVERAGE('SA Data'!W247:W248)-1)*100,"")</f>
        <v>5.26810833993106</v>
      </c>
      <c r="N260" s="23" t="n">
        <f aca="false">'SA Data'!T260</f>
        <v>166.970389769608</v>
      </c>
      <c r="O260" s="24" t="n">
        <f aca="false">(N260/N259-1)*100</f>
        <v>0.508325637263218</v>
      </c>
      <c r="P260" s="24" t="n">
        <f aca="false">(AVERAGE(N258:N260)/AVERAGE(N255:N257)-1)*100</f>
        <v>2.21093683855498</v>
      </c>
      <c r="Q260" s="24" t="n">
        <f aca="false">((AVERAGE(N258:N260)/AVERAGE(N255:N257))^4-1)*100</f>
        <v>9.14138878883537</v>
      </c>
      <c r="R260" s="24" t="n">
        <f aca="false">IFERROR(('SA Data'!X260/'SA Data'!X248-1)*100,"")</f>
        <v>4.70265225589177</v>
      </c>
      <c r="S260" s="24" t="n">
        <f aca="false">IFERROR((AVERAGE('SA Data'!X259:X260)/AVERAGE('SA Data'!X247:X248)-1)*100,"")</f>
        <v>4.88737627353131</v>
      </c>
    </row>
    <row r="261" customFormat="false" ht="15" hidden="false" customHeight="false" outlineLevel="0" collapsed="false">
      <c r="A261" s="20" t="n">
        <v>45747</v>
      </c>
      <c r="B261" s="23" t="n">
        <f aca="false">'SA Data'!R261</f>
        <v>112.890368560009</v>
      </c>
      <c r="C261" s="24" t="n">
        <f aca="false">(B261/B260-1)*100</f>
        <v>-2.18383680429389</v>
      </c>
      <c r="D261" s="24" t="n">
        <f aca="false">(AVERAGE(B259:B261)/AVERAGE(B256:B258)-1)*100</f>
        <v>2.4042330705065</v>
      </c>
      <c r="E261" s="24" t="n">
        <f aca="false">((AVERAGE(B259:B261)/AVERAGE(B256:B258))^4-1)*100</f>
        <v>9.96934480437697</v>
      </c>
      <c r="F261" s="24" t="n">
        <f aca="false">IFERROR(('SA Data'!V261/'SA Data'!V249-1)*100,"")</f>
        <v>7.7120298470299</v>
      </c>
      <c r="G261" s="24" t="n">
        <f aca="false">IFERROR((AVERAGE('SA Data'!V259:V261)/AVERAGE('SA Data'!V247:V249)-1)*100,"")</f>
        <v>6.02884157694001</v>
      </c>
      <c r="H261" s="23" t="n">
        <f aca="false">'SA Data'!S261</f>
        <v>118.784064755</v>
      </c>
      <c r="I261" s="24" t="n">
        <f aca="false">(H261/H260-1)*100</f>
        <v>-5.19952434287453</v>
      </c>
      <c r="J261" s="24" t="n">
        <f aca="false">(AVERAGE(H259:H261)/AVERAGE(H256:H258)-1)*100</f>
        <v>-0.577696332348687</v>
      </c>
      <c r="K261" s="24" t="n">
        <f aca="false">((AVERAGE(H259:H261)/AVERAGE(H256:H258))^4-1)*100</f>
        <v>-2.29083835341659</v>
      </c>
      <c r="L261" s="24" t="n">
        <f aca="false">IFERROR(('SA Data'!W261/'SA Data'!W249-1)*100,"")</f>
        <v>5.94706528045286</v>
      </c>
      <c r="M261" s="24" t="n">
        <f aca="false">IFERROR((AVERAGE('SA Data'!W259:W261)/AVERAGE('SA Data'!W247:W249)-1)*100,"")</f>
        <v>5.50104002120426</v>
      </c>
      <c r="N261" s="23" t="n">
        <f aca="false">'SA Data'!T261</f>
        <v>164.419605632887</v>
      </c>
      <c r="O261" s="24" t="n">
        <f aca="false">(N261/N260-1)*100</f>
        <v>-1.5276865198914</v>
      </c>
      <c r="P261" s="24" t="n">
        <f aca="false">(AVERAGE(N259:N261)/AVERAGE(N256:N258)-1)*100</f>
        <v>1.10522038254999</v>
      </c>
      <c r="Q261" s="24" t="n">
        <f aca="false">((AVERAGE(N259:N261)/AVERAGE(N256:N258))^4-1)*100</f>
        <v>4.49471376395751</v>
      </c>
      <c r="R261" s="24" t="n">
        <f aca="false">IFERROR(('SA Data'!X261/'SA Data'!X249-1)*100,"")</f>
        <v>4.7545172400596</v>
      </c>
      <c r="S261" s="24" t="n">
        <f aca="false">IFERROR((AVERAGE('SA Data'!X259:X261)/AVERAGE('SA Data'!X247:X249)-1)*100,"")</f>
        <v>4.8428282145782</v>
      </c>
    </row>
    <row r="262" customFormat="false" ht="15" hidden="false" customHeight="false" outlineLevel="0" collapsed="false">
      <c r="A262" s="20" t="n">
        <v>45777</v>
      </c>
      <c r="B262" s="23" t="n">
        <f aca="false">'SA Data'!R262</f>
        <v>121.493948388102</v>
      </c>
      <c r="C262" s="24" t="n">
        <f aca="false">(B262/B261-1)*100</f>
        <v>7.62118145049675</v>
      </c>
      <c r="D262" s="24" t="n">
        <f aca="false">(AVERAGE(B260:B262)/AVERAGE(B257:B259)-1)*100</f>
        <v>6.50694860623315</v>
      </c>
      <c r="E262" s="24" t="n">
        <f aca="false">((AVERAGE(B260:B262)/AVERAGE(B257:B259))^4-1)*100</f>
        <v>28.6802126136533</v>
      </c>
      <c r="F262" s="24" t="n">
        <f aca="false">IFERROR(('SA Data'!V262/'SA Data'!V250-1)*100,"")</f>
        <v>6.76297430162283</v>
      </c>
      <c r="G262" s="24" t="n">
        <f aca="false">IFERROR((AVERAGE('SA Data'!V259:V262)/AVERAGE('SA Data'!V247:V250)-1)*100,"")</f>
        <v>6.32262072136591</v>
      </c>
      <c r="H262" s="23" t="n">
        <f aca="false">'SA Data'!S262</f>
        <v>123.48012118393</v>
      </c>
      <c r="I262" s="24" t="n">
        <f aca="false">(H262/H261-1)*100</f>
        <v>3.95343974683438</v>
      </c>
      <c r="J262" s="24" t="n">
        <f aca="false">(AVERAGE(H260:H262)/AVERAGE(H257:H259)-1)*100</f>
        <v>-1.1022112719665</v>
      </c>
      <c r="K262" s="24" t="n">
        <f aca="false">((AVERAGE(H260:H262)/AVERAGE(H257:H259))^4-1)*100</f>
        <v>-4.33648704790031</v>
      </c>
      <c r="L262" s="24" t="n">
        <f aca="false">IFERROR(('SA Data'!W262/'SA Data'!W250-1)*100,"")</f>
        <v>9.51396576150976</v>
      </c>
      <c r="M262" s="24" t="n">
        <f aca="false">IFERROR((AVERAGE('SA Data'!W259:W262)/AVERAGE('SA Data'!W247:W250)-1)*100,"")</f>
        <v>6.51378913480136</v>
      </c>
      <c r="N262" s="23" t="n">
        <f aca="false">'SA Data'!T262</f>
        <v>166.262378240631</v>
      </c>
      <c r="O262" s="24" t="n">
        <f aca="false">(N262/N261-1)*100</f>
        <v>1.12077425356352</v>
      </c>
      <c r="P262" s="24" t="n">
        <f aca="false">(AVERAGE(N260:N262)/AVERAGE(N257:N259)-1)*100</f>
        <v>0.42544249601022</v>
      </c>
      <c r="Q262" s="24" t="n">
        <f aca="false">((AVERAGE(N260:N262)/AVERAGE(N257:N259))^4-1)*100</f>
        <v>1.71266089810795</v>
      </c>
      <c r="R262" s="24" t="n">
        <f aca="false">IFERROR(('SA Data'!X262/'SA Data'!X250-1)*100,"")</f>
        <v>6.7737307095787</v>
      </c>
      <c r="S262" s="24" t="n">
        <f aca="false">IFERROR((AVERAGE('SA Data'!X259:X262)/AVERAGE('SA Data'!X247:X250)-1)*100,"")</f>
        <v>5.32256615260931</v>
      </c>
    </row>
    <row r="263" customFormat="false" ht="15" hidden="false" customHeight="false" outlineLevel="0" collapsed="false">
      <c r="A263" s="20" t="n">
        <v>45808</v>
      </c>
      <c r="B263" s="23" t="n">
        <f aca="false">'SA Data'!R263</f>
        <v>124.857870890144</v>
      </c>
      <c r="C263" s="24" t="n">
        <f aca="false">(B263/B262-1)*100</f>
        <v>2.7687984024487</v>
      </c>
      <c r="D263" s="24" t="n">
        <f aca="false">(AVERAGE(B261:B263)/AVERAGE(B258:B260)-1)*100</f>
        <v>7.99158907997988</v>
      </c>
      <c r="E263" s="24" t="n">
        <f aca="false">((AVERAGE(B261:B263)/AVERAGE(B258:B260))^4-1)*100</f>
        <v>36.0065196031398</v>
      </c>
      <c r="F263" s="24" t="n">
        <f aca="false">IFERROR(('SA Data'!V263/'SA Data'!V251-1)*100,"")</f>
        <v>4.86863766519752</v>
      </c>
      <c r="G263" s="24" t="n">
        <f aca="false">IFERROR((AVERAGE('SA Data'!V259:V263)/AVERAGE('SA Data'!V247:V251)-1)*100,"")</f>
        <v>5.81246110240352</v>
      </c>
      <c r="H263" s="23" t="n">
        <f aca="false">'SA Data'!S263</f>
        <v>122.7391518145</v>
      </c>
      <c r="I263" s="24" t="n">
        <f aca="false">(H263/H262-1)*100</f>
        <v>-0.600071786717893</v>
      </c>
      <c r="J263" s="24" t="n">
        <f aca="false">(AVERAGE(H261:H263)/AVERAGE(H258:H260)-1)*100</f>
        <v>-2.19538753263125</v>
      </c>
      <c r="K263" s="24" t="n">
        <f aca="false">((AVERAGE(H261:H263)/AVERAGE(H258:H260))^4-1)*100</f>
        <v>-8.49657578257219</v>
      </c>
      <c r="L263" s="24" t="n">
        <f aca="false">IFERROR(('SA Data'!W263/'SA Data'!W251-1)*100,"")</f>
        <v>5.567368655035</v>
      </c>
      <c r="M263" s="24" t="n">
        <f aca="false">IFERROR((AVERAGE('SA Data'!W259:W263)/AVERAGE('SA Data'!W247:W251)-1)*100,"")</f>
        <v>6.31706702435182</v>
      </c>
      <c r="N263" s="23" t="n">
        <f aca="false">'SA Data'!T263</f>
        <v>167.043076004204</v>
      </c>
      <c r="O263" s="24" t="n">
        <f aca="false">(N263/N262-1)*100</f>
        <v>0.469557678552168</v>
      </c>
      <c r="P263" s="24" t="n">
        <f aca="false">(AVERAGE(N261:N263)/AVERAGE(N258:N260)-1)*100</f>
        <v>-0.103480579021997</v>
      </c>
      <c r="Q263" s="24" t="n">
        <f aca="false">((AVERAGE(N261:N263)/AVERAGE(N258:N260))^4-1)*100</f>
        <v>-0.413280265396787</v>
      </c>
      <c r="R263" s="24" t="n">
        <f aca="false">IFERROR(('SA Data'!X263/'SA Data'!X251-1)*100,"")</f>
        <v>4.64744120645315</v>
      </c>
      <c r="S263" s="24" t="n">
        <f aca="false">IFERROR((AVERAGE('SA Data'!X259:X263)/AVERAGE('SA Data'!X247:X251)-1)*100,"")</f>
        <v>5.1849231127411</v>
      </c>
    </row>
    <row r="264" customFormat="false" ht="15" hidden="false" customHeight="false" outlineLevel="0" collapsed="false">
      <c r="A264" s="20" t="n">
        <v>45838</v>
      </c>
      <c r="B264" s="23" t="n">
        <f aca="false">'SA Data'!R264</f>
        <v>121.063840379067</v>
      </c>
      <c r="C264" s="24" t="n">
        <f aca="false">(B264/B263-1)*100</f>
        <v>-3.03867948734651</v>
      </c>
      <c r="D264" s="24" t="n">
        <f aca="false">(AVERAGE(B262:B264)/AVERAGE(B259:B261)-1)*100</f>
        <v>8.84132376040412</v>
      </c>
      <c r="E264" s="24" t="n">
        <f aca="false">((AVERAGE(B262:B264)/AVERAGE(B259:B261))^4-1)*100</f>
        <v>40.3379927807181</v>
      </c>
      <c r="F264" s="24" t="n">
        <f aca="false">IFERROR(('SA Data'!V264/'SA Data'!V252-1)*100,"")</f>
        <v>3.74366588994024</v>
      </c>
      <c r="G264" s="24" t="n">
        <f aca="false">IFERROR((AVERAGE('SA Data'!V259:V264)/AVERAGE('SA Data'!V247:V252)-1)*100,"")</f>
        <v>5.40339616638947</v>
      </c>
      <c r="H264" s="23" t="n">
        <f aca="false">'SA Data'!S264</f>
        <v>123.409216968041</v>
      </c>
      <c r="I264" s="24" t="n">
        <f aca="false">(H264/H263-1)*100</f>
        <v>0.545926172403211</v>
      </c>
      <c r="J264" s="24" t="n">
        <f aca="false">(AVERAGE(H262:H264)/AVERAGE(H259:H261)-1)*100</f>
        <v>0.492904035456521</v>
      </c>
      <c r="K264" s="24" t="n">
        <f aca="false">((AVERAGE(H262:H264)/AVERAGE(H259:H261))^4-1)*100</f>
        <v>1.98624136542243</v>
      </c>
      <c r="L264" s="24" t="n">
        <f aca="false">IFERROR(('SA Data'!W264/'SA Data'!W252-1)*100,"")</f>
        <v>8.82460043058824</v>
      </c>
      <c r="M264" s="24" t="n">
        <f aca="false">IFERROR((AVERAGE('SA Data'!W259:W264)/AVERAGE('SA Data'!W247:W252)-1)*100,"")</f>
        <v>6.72998399547187</v>
      </c>
      <c r="N264" s="23" t="n">
        <f aca="false">'SA Data'!T264</f>
        <v>167.51111640977</v>
      </c>
      <c r="O264" s="24" t="n">
        <f aca="false">(N264/N263-1)*100</f>
        <v>0.280191443286659</v>
      </c>
      <c r="P264" s="24" t="n">
        <f aca="false">(AVERAGE(N262:N264)/AVERAGE(N259:N261)-1)*100</f>
        <v>0.663425230777914</v>
      </c>
      <c r="Q264" s="24" t="n">
        <f aca="false">((AVERAGE(N262:N264)/AVERAGE(N259:N261))^4-1)*100</f>
        <v>2.68022589718333</v>
      </c>
      <c r="R264" s="24" t="n">
        <f aca="false">IFERROR(('SA Data'!X264/'SA Data'!X252-1)*100,"")</f>
        <v>5.93148073905654</v>
      </c>
      <c r="S264" s="24" t="n">
        <f aca="false">IFERROR((AVERAGE('SA Data'!X259:X264)/AVERAGE('SA Data'!X247:X252)-1)*100,"")</f>
        <v>5.31087334792417</v>
      </c>
    </row>
    <row r="265" customFormat="false" ht="15" hidden="false" customHeight="false" outlineLevel="0" collapsed="false">
      <c r="A265" s="20" t="n">
        <v>45869</v>
      </c>
      <c r="B265" s="23" t="n">
        <f aca="false">'SA Data'!R265</f>
        <v>116.980443506212</v>
      </c>
      <c r="C265" s="24" t="n">
        <f aca="false">(B265/B264-1)*100</f>
        <v>-3.3729285805487</v>
      </c>
      <c r="D265" s="24" t="n">
        <f aca="false">(AVERAGE(B263:B265)/AVERAGE(B260:B262)-1)*100</f>
        <v>3.74707593412913</v>
      </c>
      <c r="E265" s="24" t="n">
        <f aca="false">((AVERAGE(B263:B265)/AVERAGE(B260:B262))^4-1)*100</f>
        <v>15.8519800025706</v>
      </c>
      <c r="F265" s="24" t="n">
        <f aca="false">IFERROR(('SA Data'!V265/'SA Data'!V253-1)*100,"")</f>
        <v>-0.740080095680196</v>
      </c>
      <c r="G265" s="24" t="n">
        <f aca="false">IFERROR((AVERAGE('SA Data'!V259:V265)/AVERAGE('SA Data'!V247:V253)-1)*100,"")</f>
        <v>4.72351413553458</v>
      </c>
      <c r="H265" s="23" t="n">
        <f aca="false">'SA Data'!S265</f>
        <v>121.308403889094</v>
      </c>
      <c r="I265" s="24" t="n">
        <f aca="false">(H265/H264-1)*100</f>
        <v>-1.70231456819901</v>
      </c>
      <c r="J265" s="24" t="n">
        <f aca="false">(AVERAGE(H263:H265)/AVERAGE(H260:H262)-1)*100</f>
        <v>-0.0289558222742237</v>
      </c>
      <c r="K265" s="24" t="n">
        <f aca="false">((AVERAGE(H263:H265)/AVERAGE(H260:H262))^4-1)*100</f>
        <v>-0.115772992428664</v>
      </c>
      <c r="L265" s="24" t="n">
        <f aca="false">IFERROR(('SA Data'!W265/'SA Data'!W253-1)*100,"")</f>
        <v>0.91326101611442</v>
      </c>
      <c r="M265" s="24" t="n">
        <f aca="false">IFERROR((AVERAGE('SA Data'!W259:W265)/AVERAGE('SA Data'!W247:W253)-1)*100,"")</f>
        <v>5.80538012317706</v>
      </c>
      <c r="N265" s="23" t="n">
        <f aca="false">'SA Data'!T265</f>
        <v>165.788907595789</v>
      </c>
      <c r="O265" s="24" t="n">
        <f aca="false">(N265/N264-1)*100</f>
        <v>-1.02811613395779</v>
      </c>
      <c r="P265" s="24" t="n">
        <f aca="false">(AVERAGE(N263:N265)/AVERAGE(N260:N262)-1)*100</f>
        <v>0.540683920974483</v>
      </c>
      <c r="Q265" s="24" t="n">
        <f aca="false">((AVERAGE(N263:N265)/AVERAGE(N260:N262))^4-1)*100</f>
        <v>2.18033934072497</v>
      </c>
      <c r="R265" s="24" t="n">
        <f aca="false">IFERROR(('SA Data'!X265/'SA Data'!X253-1)*100,"")</f>
        <v>2.84079571117932</v>
      </c>
      <c r="S265" s="24" t="n">
        <f aca="false">IFERROR((AVERAGE('SA Data'!X259:X265)/AVERAGE('SA Data'!X247:X253)-1)*100,"")</f>
        <v>4.94795911855339</v>
      </c>
    </row>
    <row r="266" customFormat="false" ht="15" hidden="false" customHeight="false" outlineLevel="0" collapsed="false">
      <c r="A266" s="20" t="n">
        <v>45900</v>
      </c>
      <c r="B266" s="23" t="n">
        <f aca="false">'SA Data'!R266</f>
        <v>116.452160217614</v>
      </c>
      <c r="C266" s="24" t="n">
        <f aca="false">(B266/B265-1)*100</f>
        <v>-0.451599662955216</v>
      </c>
      <c r="D266" s="24" t="n">
        <f aca="false">(AVERAGE(B264:B266)/AVERAGE(B261:B263)-1)*100</f>
        <v>-1.32104298883131</v>
      </c>
      <c r="E266" s="24" t="n">
        <f aca="false">((AVERAGE(B264:B266)/AVERAGE(B261:B263))^4-1)*100</f>
        <v>-5.18038180474838</v>
      </c>
      <c r="F266" s="24" t="n">
        <f aca="false">IFERROR(('SA Data'!V266/'SA Data'!V254-1)*100,"")</f>
        <v>-0.45148657088524</v>
      </c>
      <c r="G266" s="24" t="n">
        <f aca="false">IFERROR((AVERAGE('SA Data'!V259:V266)/AVERAGE('SA Data'!V247:V254)-1)*100,"")</f>
        <v>4.36038149072433</v>
      </c>
      <c r="H266" s="23" t="n">
        <f aca="false">'SA Data'!S266</f>
        <v>119.387788040638</v>
      </c>
      <c r="I266" s="24" t="n">
        <f aca="false">(H266/H265-1)*100</f>
        <v>-1.58325044834665</v>
      </c>
      <c r="J266" s="24" t="n">
        <f aca="false">(AVERAGE(H264:H266)/AVERAGE(H261:H263)-1)*100</f>
        <v>-0.24600565605355</v>
      </c>
      <c r="K266" s="24" t="n">
        <f aca="false">((AVERAGE(H264:H266)/AVERAGE(H261:H263))^4-1)*100</f>
        <v>-0.9803974487682</v>
      </c>
      <c r="L266" s="24" t="n">
        <f aca="false">IFERROR(('SA Data'!W266/'SA Data'!W254-1)*100,"")</f>
        <v>-2.25341758739137</v>
      </c>
      <c r="M266" s="24" t="n">
        <f aca="false">IFERROR((AVERAGE('SA Data'!W259:W266)/AVERAGE('SA Data'!W247:W254)-1)*100,"")</f>
        <v>4.6733274487067</v>
      </c>
      <c r="N266" s="23" t="n">
        <f aca="false">'SA Data'!T266</f>
        <v>165.525891136215</v>
      </c>
      <c r="O266" s="24" t="n">
        <f aca="false">(N266/N265-1)*100</f>
        <v>-0.158645390326795</v>
      </c>
      <c r="P266" s="24" t="n">
        <f aca="false">(AVERAGE(N264:N266)/AVERAGE(N261:N263)-1)*100</f>
        <v>0.221177383417626</v>
      </c>
      <c r="Q266" s="24" t="n">
        <f aca="false">((AVERAGE(N264:N266)/AVERAGE(N261:N263))^4-1)*100</f>
        <v>0.887649030108784</v>
      </c>
      <c r="R266" s="24" t="n">
        <f aca="false">IFERROR(('SA Data'!X266/'SA Data'!X254-1)*100,"")</f>
        <v>2.51420923707655</v>
      </c>
      <c r="S266" s="24" t="n">
        <f aca="false">IFERROR((AVERAGE('SA Data'!X259:X266)/AVERAGE('SA Data'!X247:X254)-1)*100,"")</f>
        <v>4.63587723969692</v>
      </c>
    </row>
    <row r="267" customFormat="false" ht="15" hidden="false" customHeight="false" outlineLevel="0" collapsed="false">
      <c r="A267" s="20" t="n">
        <v>45930</v>
      </c>
      <c r="B267" s="23" t="n">
        <f aca="false">'SA Data'!R267</f>
        <v>117.54926758748</v>
      </c>
      <c r="C267" s="24" t="n">
        <f aca="false">(B267/B266-1)*100</f>
        <v>0.94210993408379</v>
      </c>
      <c r="D267" s="24" t="n">
        <f aca="false">(AVERAGE(B265:B267)/AVERAGE(B262:B264)-1)*100</f>
        <v>-4.47280563962214</v>
      </c>
      <c r="E267" s="24" t="n">
        <f aca="false">((AVERAGE(B265:B267)/AVERAGE(B262:B264))^4-1)*100</f>
        <v>-16.7262560639288</v>
      </c>
      <c r="F267" s="24" t="n">
        <f aca="false">IFERROR(('SA Data'!V267/'SA Data'!V255-1)*100,"")</f>
        <v>3.0065337901841</v>
      </c>
      <c r="G267" s="24" t="n">
        <f aca="false">IFERROR((AVERAGE('SA Data'!V259:V267)/AVERAGE('SA Data'!V247:V255)-1)*100,"")</f>
        <v>4.2772589268387</v>
      </c>
      <c r="H267" s="23" t="n">
        <f aca="false">'SA Data'!S267</f>
        <v>121.195437415296</v>
      </c>
      <c r="I267" s="24" t="n">
        <f aca="false">(H267/H266-1)*100</f>
        <v>1.5140990584753</v>
      </c>
      <c r="J267" s="24" t="n">
        <f aca="false">(AVERAGE(H265:H267)/AVERAGE(H262:H264)-1)*100</f>
        <v>-2.09314509878449</v>
      </c>
      <c r="K267" s="24" t="n">
        <f aca="false">((AVERAGE(H265:H267)/AVERAGE(H262:H264))^4-1)*100</f>
        <v>-8.11335405760423</v>
      </c>
      <c r="L267" s="24" t="n">
        <f aca="false">IFERROR(('SA Data'!W267/'SA Data'!W255-1)*100,"")</f>
        <v>0.928935389998342</v>
      </c>
      <c r="M267" s="24" t="n">
        <f aca="false">IFERROR((AVERAGE('SA Data'!W259:W267)/AVERAGE('SA Data'!W247:W255)-1)*100,"")</f>
        <v>4.22205653904664</v>
      </c>
      <c r="N267" s="23" t="n">
        <f aca="false">'SA Data'!T267</f>
        <v>168.104681108495</v>
      </c>
      <c r="O267" s="24" t="n">
        <f aca="false">(N267/N266-1)*100</f>
        <v>1.55793752540971</v>
      </c>
      <c r="P267" s="24" t="n">
        <f aca="false">(AVERAGE(N265:N267)/AVERAGE(N262:N264)-1)*100</f>
        <v>-0.278962577512398</v>
      </c>
      <c r="Q267" s="24" t="n">
        <f aca="false">((AVERAGE(N265:N267)/AVERAGE(N262:N264))^4-1)*100</f>
        <v>-1.11118978037494</v>
      </c>
      <c r="R267" s="24" t="n">
        <f aca="false">IFERROR(('SA Data'!X267/'SA Data'!X255-1)*100,"")</f>
        <v>4.93338453528076</v>
      </c>
      <c r="S267" s="24" t="n">
        <f aca="false">IFERROR((AVERAGE('SA Data'!X259:X267)/AVERAGE('SA Data'!X247:X255)-1)*100,"")</f>
        <v>4.66921376444871</v>
      </c>
    </row>
    <row r="268" customFormat="false" ht="15" hidden="false" customHeight="false" outlineLevel="0" collapsed="false">
      <c r="A268" s="20" t="n">
        <v>45961</v>
      </c>
      <c r="B268" s="23" t="n">
        <f aca="false">'SA Data'!R268</f>
        <v>120.989814563438</v>
      </c>
      <c r="C268" s="24" t="n">
        <f aca="false">(B268/B267-1)*100</f>
        <v>2.9268978417049</v>
      </c>
      <c r="D268" s="24" t="n">
        <f aca="false">(AVERAGE(B266:B268)/AVERAGE(B263:B265)-1)*100</f>
        <v>-2.17990229674634</v>
      </c>
      <c r="E268" s="24" t="n">
        <f aca="false">((AVERAGE(B266:B268)/AVERAGE(B263:B265))^4-1)*100</f>
        <v>-8.43861169996169</v>
      </c>
      <c r="F268" s="24" t="n">
        <f aca="false">IFERROR(('SA Data'!V268/'SA Data'!V256-1)*100,"")</f>
        <v>6.45166719941674</v>
      </c>
      <c r="G268" s="24" t="n">
        <f aca="false">IFERROR((AVERAGE('SA Data'!V259:V268)/AVERAGE('SA Data'!V247:V256)-1)*100,"")</f>
        <v>4.39059763662699</v>
      </c>
      <c r="H268" s="23" t="n">
        <f aca="false">'SA Data'!S268</f>
        <v>121.26099894089</v>
      </c>
      <c r="I268" s="24" t="n">
        <f aca="false">(H268/H267-1)*100</f>
        <v>0.0540957044200097</v>
      </c>
      <c r="J268" s="24" t="n">
        <f aca="false">(AVERAGE(H266:H268)/AVERAGE(H263:H265)-1)*100</f>
        <v>-1.52740368180054</v>
      </c>
      <c r="K268" s="24" t="n">
        <f aca="false">((AVERAGE(H266:H268)/AVERAGE(H263:H265))^4-1)*100</f>
        <v>-5.97105691396348</v>
      </c>
      <c r="L268" s="24" t="n">
        <f aca="false">IFERROR(('SA Data'!W268/'SA Data'!W256-1)*100,"")</f>
        <v>-0.379406365952129</v>
      </c>
      <c r="M268" s="24" t="n">
        <f aca="false">IFERROR((AVERAGE('SA Data'!W259:W268)/AVERAGE('SA Data'!W247:W256)-1)*100,"")</f>
        <v>3.70903140994388</v>
      </c>
      <c r="N268" s="23" t="n">
        <f aca="false">'SA Data'!T268</f>
        <v>166.999640125627</v>
      </c>
      <c r="O268" s="24" t="n">
        <f aca="false">(N268/N267-1)*100</f>
        <v>-0.657352892007945</v>
      </c>
      <c r="P268" s="24" t="n">
        <f aca="false">(AVERAGE(N266:N268)/AVERAGE(N263:N265)-1)*100</f>
        <v>0.057383095833341</v>
      </c>
      <c r="Q268" s="24" t="n">
        <f aca="false">((AVERAGE(N266:N268)/AVERAGE(N263:N265))^4-1)*100</f>
        <v>0.229730028106334</v>
      </c>
      <c r="R268" s="24" t="n">
        <f aca="false">IFERROR(('SA Data'!X268/'SA Data'!X256-1)*100,"")</f>
        <v>3.13867530470253</v>
      </c>
      <c r="S268" s="24" t="n">
        <f aca="false">IFERROR((AVERAGE('SA Data'!X259:X268)/AVERAGE('SA Data'!X247:X256)-1)*100,"")</f>
        <v>4.51124117065029</v>
      </c>
    </row>
    <row r="269" customFormat="false" ht="15" hidden="false" customHeight="false" outlineLevel="0" collapsed="false">
      <c r="A269" s="20" t="n">
        <v>45991</v>
      </c>
      <c r="B269" s="23" t="n">
        <f aca="false">'SA Data'!R269</f>
        <v>125.072821354058</v>
      </c>
      <c r="C269" s="24" t="n">
        <f aca="false">(B269/B268-1)*100</f>
        <v>3.37466984750143</v>
      </c>
      <c r="D269" s="24" t="n">
        <f aca="false">(AVERAGE(B267:B269)/AVERAGE(B264:B266)-1)*100</f>
        <v>2.57138246482258</v>
      </c>
      <c r="E269" s="24" t="n">
        <f aca="false">((AVERAGE(B267:B269)/AVERAGE(B264:B266))^4-1)*100</f>
        <v>10.6890948451065</v>
      </c>
      <c r="F269" s="24" t="n">
        <f aca="false">IFERROR(('SA Data'!V269/'SA Data'!V257-1)*100,"")</f>
        <v>10.8439369946707</v>
      </c>
      <c r="G269" s="24" t="n">
        <f aca="false">IFERROR((AVERAGE('SA Data'!V259:V269)/AVERAGE('SA Data'!V247:V257)-1)*100,"")</f>
        <v>4.77206501536145</v>
      </c>
      <c r="H269" s="23" t="n">
        <f aca="false">'SA Data'!S269</f>
        <v>118.565562455619</v>
      </c>
      <c r="I269" s="24" t="n">
        <f aca="false">(H269/H268-1)*100</f>
        <v>-2.22283876004151</v>
      </c>
      <c r="J269" s="24" t="n">
        <f aca="false">(AVERAGE(H267:H269)/AVERAGE(H264:H266)-1)*100</f>
        <v>-0.846845449317213</v>
      </c>
      <c r="K269" s="24" t="n">
        <f aca="false">((AVERAGE(H267:H269)/AVERAGE(H264:H266))^4-1)*100</f>
        <v>-3.34459537520918</v>
      </c>
      <c r="L269" s="24" t="n">
        <f aca="false">IFERROR(('SA Data'!W269/'SA Data'!W257-1)*100,"")</f>
        <v>-5.39589999591394</v>
      </c>
      <c r="M269" s="24" t="n">
        <f aca="false">IFERROR((AVERAGE('SA Data'!W259:W269)/AVERAGE('SA Data'!W247:W257)-1)*100,"")</f>
        <v>2.81429951979222</v>
      </c>
      <c r="N269" s="23" t="n">
        <f aca="false">'SA Data'!T269</f>
        <v>165.403739956172</v>
      </c>
      <c r="O269" s="24" t="n">
        <f aca="false">(N269/N268-1)*100</f>
        <v>-0.95563090330919</v>
      </c>
      <c r="P269" s="24" t="n">
        <f aca="false">(AVERAGE(N267:N269)/AVERAGE(N264:N266)-1)*100</f>
        <v>0.337221061989479</v>
      </c>
      <c r="Q269" s="24" t="n">
        <f aca="false">((AVERAGE(N267:N269)/AVERAGE(N264:N266))^4-1)*100</f>
        <v>1.35572268281658</v>
      </c>
      <c r="R269" s="24" t="n">
        <f aca="false">IFERROR(('SA Data'!X269/'SA Data'!X257-1)*100,"")</f>
        <v>0.467452561930837</v>
      </c>
      <c r="S269" s="24" t="n">
        <f aca="false">IFERROR((AVERAGE('SA Data'!X259:X269)/AVERAGE('SA Data'!X247:X257)-1)*100,"")</f>
        <v>4.13305003853597</v>
      </c>
    </row>
    <row r="270" customFormat="false" ht="15" hidden="false" customHeight="false" outlineLevel="0" collapsed="false">
      <c r="A270" s="20" t="n">
        <v>46022</v>
      </c>
      <c r="B270" s="23" t="n">
        <f aca="false">'SA Data'!R270</f>
        <v>137.042762859312</v>
      </c>
      <c r="C270" s="24" t="n">
        <f aca="false">(B270/B269-1)*100</f>
        <v>9.57037778125243</v>
      </c>
      <c r="D270" s="24" t="n">
        <f aca="false">(AVERAGE(B268:B270)/AVERAGE(B265:B267)-1)*100</f>
        <v>9.15247484022022</v>
      </c>
      <c r="E270" s="24" t="n">
        <f aca="false">((AVERAGE(B268:B270)/AVERAGE(B265:B267))^4-1)*100</f>
        <v>41.9496572035584</v>
      </c>
      <c r="F270" s="24" t="n">
        <f aca="false">IFERROR(('SA Data'!V270/'SA Data'!V258-1)*100,"")</f>
        <v>31.8504506709312</v>
      </c>
      <c r="G270" s="24" t="n">
        <f aca="false">IFERROR((AVERAGE('SA Data'!V259:V270)/AVERAGE('SA Data'!V247:V258)-1)*100,"")</f>
        <v>6.77429437002548</v>
      </c>
      <c r="H270" s="23" t="n">
        <f aca="false">'SA Data'!S270</f>
        <v>121.487897205204</v>
      </c>
      <c r="I270" s="24" t="n">
        <f aca="false">(H270/H269-1)*100</f>
        <v>2.46474160714179</v>
      </c>
      <c r="J270" s="24" t="n">
        <f aca="false">(AVERAGE(H268:H270)/AVERAGE(H265:H267)-1)*100</f>
        <v>-0.159487176964856</v>
      </c>
      <c r="K270" s="24" t="n">
        <f aca="false">((AVERAGE(H268:H270)/AVERAGE(H265:H267))^4-1)*100</f>
        <v>-0.636424160331972</v>
      </c>
      <c r="L270" s="24" t="n">
        <f aca="false">IFERROR(('SA Data'!W270/'SA Data'!W258-1)*100,"")</f>
        <v>-1.70000599079897</v>
      </c>
      <c r="M270" s="24" t="n">
        <f aca="false">IFERROR((AVERAGE('SA Data'!W259:W270)/AVERAGE('SA Data'!W247:W258)-1)*100,"")</f>
        <v>2.4285034876842</v>
      </c>
      <c r="N270" s="23" t="n">
        <f aca="false">'SA Data'!T270</f>
        <v>167.523259225952</v>
      </c>
      <c r="O270" s="24" t="n">
        <f aca="false">(N270/N269-1)*100</f>
        <v>1.28142161135076</v>
      </c>
      <c r="P270" s="24" t="n">
        <f aca="false">(AVERAGE(N268:N270)/AVERAGE(N265:N267)-1)*100</f>
        <v>0.101549796859191</v>
      </c>
      <c r="Q270" s="24" t="n">
        <f aca="false">((AVERAGE(N268:N270)/AVERAGE(N265:N267))^4-1)*100</f>
        <v>0.40681834810492</v>
      </c>
      <c r="R270" s="24" t="n">
        <f aca="false">IFERROR(('SA Data'!X270/'SA Data'!X258-1)*100,"")</f>
        <v>1.83808016672458</v>
      </c>
      <c r="S270" s="24" t="n">
        <f aca="false">IFERROR((AVERAGE('SA Data'!X259:X270)/AVERAGE('SA Data'!X247:X258)-1)*100,"")</f>
        <v>3.93713675205141</v>
      </c>
    </row>
    <row r="271" customFormat="false" ht="15" hidden="false" customHeight="false" outlineLevel="0" collapsed="false">
      <c r="A271" s="20" t="n">
        <v>46053</v>
      </c>
      <c r="B271" s="23" t="n">
        <f aca="false">'SA Data'!R271</f>
        <v>128.472534461243</v>
      </c>
      <c r="C271" s="24" t="n">
        <f aca="false">(B271/B270-1)*100</f>
        <v>-6.25368915457943</v>
      </c>
      <c r="D271" s="24" t="n">
        <f aca="false">(AVERAGE(B269:B271)/AVERAGE(B266:B268)-1)*100</f>
        <v>10.0275364734567</v>
      </c>
      <c r="E271" s="24" t="n">
        <f aca="false">((AVERAGE(B269:B271)/AVERAGE(B266:B268))^4-1)*100</f>
        <v>46.556659243356</v>
      </c>
      <c r="F271" s="24" t="n">
        <f aca="false">IFERROR(('SA Data'!V271/'SA Data'!V259-1)*100,"")</f>
        <v>24.1006427366928</v>
      </c>
      <c r="G271" s="24" t="n">
        <f aca="false">IFERROR((AVERAGE('SA Data'!V271:V271)/AVERAGE('SA Data'!V259:V259)-1)*100,"")</f>
        <v>24.1006427366928</v>
      </c>
      <c r="H271" s="23" t="n">
        <f aca="false">'SA Data'!S271</f>
        <v>122.79645932816</v>
      </c>
      <c r="I271" s="24" t="n">
        <f aca="false">(H271/H270-1)*100</f>
        <v>1.07711315535093</v>
      </c>
      <c r="J271" s="24" t="n">
        <f aca="false">(AVERAGE(H269:H271)/AVERAGE(H266:H268)-1)*100</f>
        <v>0.277935786825356</v>
      </c>
      <c r="K271" s="24" t="n">
        <f aca="false">((AVERAGE(H269:H271)/AVERAGE(H266:H268))^4-1)*100</f>
        <v>1.11638663939162</v>
      </c>
      <c r="L271" s="24" t="n">
        <f aca="false">IFERROR(('SA Data'!W271/'SA Data'!W259-1)*100,"")</f>
        <v>-0.248925514821807</v>
      </c>
      <c r="M271" s="24" t="n">
        <f aca="false">IFERROR((AVERAGE('SA Data'!W271:W271)/AVERAGE('SA Data'!W259:W259)-1)*100,"")</f>
        <v>-0.248925514821807</v>
      </c>
      <c r="N271" s="23" t="n">
        <f aca="false">'SA Data'!T271</f>
        <v>166.979350865301</v>
      </c>
      <c r="O271" s="24" t="n">
        <f aca="false">(N271/N270-1)*100</f>
        <v>-0.324676324448803</v>
      </c>
      <c r="P271" s="24" t="n">
        <f aca="false">(AVERAGE(N269:N271)/AVERAGE(N266:N268)-1)*100</f>
        <v>-0.14459021949248</v>
      </c>
      <c r="Q271" s="24" t="n">
        <f aca="false">((AVERAGE(N269:N271)/AVERAGE(N266:N268))^4-1)*100</f>
        <v>-0.577107706778901</v>
      </c>
      <c r="R271" s="24" t="n">
        <f aca="false">IFERROR(('SA Data'!X271/'SA Data'!X259-1)*100,"")</f>
        <v>0.695627990545278</v>
      </c>
      <c r="S271" s="24" t="n">
        <f aca="false">IFERROR((AVERAGE('SA Data'!X271:X271)/AVERAGE('SA Data'!X259:X259)-1)*100,"")</f>
        <v>0.695627990545278</v>
      </c>
    </row>
    <row r="272" customFormat="false" ht="15" hidden="false" customHeight="false" outlineLevel="0" collapsed="false">
      <c r="A272" s="20" t="n">
        <v>46081</v>
      </c>
      <c r="B272" s="23" t="n">
        <f aca="false">'SA Data'!R272</f>
        <v>120.857960946207</v>
      </c>
      <c r="C272" s="24" t="n">
        <f aca="false">(B272/B271-1)*100</f>
        <v>-5.92700497967788</v>
      </c>
      <c r="D272" s="24" t="n">
        <f aca="false">(AVERAGE(B270:B272)/AVERAGE(B267:B269)-1)*100</f>
        <v>6.25979362677158</v>
      </c>
      <c r="E272" s="24" t="n">
        <f aca="false">((AVERAGE(B270:B272)/AVERAGE(B267:B269))^4-1)*100</f>
        <v>27.4899269935651</v>
      </c>
      <c r="F272" s="24" t="n">
        <f aca="false">IFERROR(('SA Data'!V272/'SA Data'!V260-1)*100,"")</f>
        <v>7.68058584439806</v>
      </c>
      <c r="G272" s="24" t="n">
        <f aca="false">IFERROR((AVERAGE('SA Data'!V271:V272)/AVERAGE('SA Data'!V259:V260)-1)*100,"")</f>
        <v>16.6539602349434</v>
      </c>
      <c r="H272" s="23" t="n">
        <f aca="false">'SA Data'!S272</f>
        <v>119.886678077389</v>
      </c>
      <c r="I272" s="24" t="n">
        <f aca="false">(H272/H271-1)*100</f>
        <v>-2.3695970280339</v>
      </c>
      <c r="J272" s="24" t="n">
        <f aca="false">(AVERAGE(H270:H272)/AVERAGE(H267:H269)-1)*100</f>
        <v>0.872255931581312</v>
      </c>
      <c r="K272" s="24" t="n">
        <f aca="false">((AVERAGE(H270:H272)/AVERAGE(H267:H269))^4-1)*100</f>
        <v>3.53493958533417</v>
      </c>
      <c r="L272" s="24" t="n">
        <f aca="false">IFERROR(('SA Data'!W272/'SA Data'!W260-1)*100,"")</f>
        <v>-4.28701149190936</v>
      </c>
      <c r="M272" s="24" t="n">
        <f aca="false">IFERROR((AVERAGE('SA Data'!W271:W272)/AVERAGE('SA Data'!W259:W260)-1)*100,"")</f>
        <v>-2.25548347809509</v>
      </c>
      <c r="N272" s="23" t="n">
        <f aca="false">'SA Data'!T272</f>
        <v>166.305820856957</v>
      </c>
      <c r="O272" s="24" t="n">
        <f aca="false">(N272/N271-1)*100</f>
        <v>-0.403361256858037</v>
      </c>
      <c r="P272" s="24" t="n">
        <f aca="false">(AVERAGE(N270:N272)/AVERAGE(N267:N269)-1)*100</f>
        <v>0.0600129710603081</v>
      </c>
      <c r="Q272" s="24" t="n">
        <f aca="false">((AVERAGE(N270:N272)/AVERAGE(N267:N269))^4-1)*100</f>
        <v>0.24026806411197</v>
      </c>
      <c r="R272" s="24" t="n">
        <f aca="false">IFERROR(('SA Data'!X272/'SA Data'!X260-1)*100,"")</f>
        <v>-0.334696378415356</v>
      </c>
      <c r="S272" s="24" t="n">
        <f aca="false">IFERROR((AVERAGE('SA Data'!X271:X272)/AVERAGE('SA Data'!X259:X260)-1)*100,"")</f>
        <v>0.184836426280199</v>
      </c>
    </row>
    <row r="273" customFormat="false" ht="15" hidden="false" customHeight="false" outlineLevel="0" collapsed="false">
      <c r="A273" s="20" t="n">
        <v>46112</v>
      </c>
      <c r="B273" s="23" t="n">
        <f aca="false">'SA Data'!R273</f>
        <v>132.862696312943</v>
      </c>
      <c r="C273" s="24" t="n">
        <f aca="false">(B273/B272-1)*100</f>
        <v>9.93292892975333</v>
      </c>
      <c r="D273" s="24" t="n">
        <f aca="false">(AVERAGE(B271:B273)/AVERAGE(B268:B270)-1)*100</f>
        <v>-0.238108640422963</v>
      </c>
      <c r="E273" s="24" t="n">
        <f aca="false">((AVERAGE(B271:B273)/AVERAGE(B268:B270))^4-1)*100</f>
        <v>-0.94903821489557</v>
      </c>
      <c r="F273" s="24" t="n">
        <f aca="false">IFERROR(('SA Data'!V273/'SA Data'!V261-1)*100,"")</f>
        <v>20.2376141846084</v>
      </c>
      <c r="G273" s="24" t="n">
        <f aca="false">IFERROR((AVERAGE('SA Data'!V271:V273)/AVERAGE('SA Data'!V259:V261)-1)*100,"")</f>
        <v>18.3226817960359</v>
      </c>
      <c r="H273" s="23" t="n">
        <f aca="false">'SA Data'!S273</f>
        <v>125.309677864503</v>
      </c>
      <c r="I273" s="24" t="n">
        <f aca="false">(H273/H272-1)*100</f>
        <v>4.52343819520331</v>
      </c>
      <c r="J273" s="24" t="n">
        <f aca="false">(AVERAGE(H271:H273)/AVERAGE(H268:H270)-1)*100</f>
        <v>1.84835024155543</v>
      </c>
      <c r="K273" s="24" t="n">
        <f aca="false">((AVERAGE(H271:H273)/AVERAGE(H268:H270))^4-1)*100</f>
        <v>7.60092243541115</v>
      </c>
      <c r="L273" s="24" t="n">
        <f aca="false">IFERROR(('SA Data'!W273/'SA Data'!W261-1)*100,"")</f>
        <v>7.23825227133772</v>
      </c>
      <c r="M273" s="24" t="n">
        <f aca="false">IFERROR((AVERAGE('SA Data'!W271:W273)/AVERAGE('SA Data'!W259:W261)-1)*100,"")</f>
        <v>1.01532909807194</v>
      </c>
      <c r="N273" s="23" t="n">
        <f aca="false">'SA Data'!T273</f>
        <v>168.953185542302</v>
      </c>
      <c r="O273" s="24" t="n">
        <f aca="false">(N273/N272-1)*100</f>
        <v>1.59186531878655</v>
      </c>
      <c r="P273" s="24" t="n">
        <f aca="false">(AVERAGE(N271:N273)/AVERAGE(N268:N270)-1)*100</f>
        <v>0.462411437008003</v>
      </c>
      <c r="Q273" s="24" t="n">
        <f aca="false">((AVERAGE(N271:N273)/AVERAGE(N268:N270))^4-1)*100</f>
        <v>1.862514803905</v>
      </c>
      <c r="R273" s="24" t="n">
        <f aca="false">IFERROR(('SA Data'!X273/'SA Data'!X261-1)*100,"")</f>
        <v>3.18009600428582</v>
      </c>
      <c r="S273" s="24" t="n">
        <f aca="false">IFERROR((AVERAGE('SA Data'!X271:X273)/AVERAGE('SA Data'!X259:X261)-1)*100,"")</f>
        <v>1.18831058828015</v>
      </c>
    </row>
    <row r="274" customFormat="false" ht="15" hidden="false" customHeight="false" outlineLevel="0" collapsed="false">
      <c r="A274" s="20" t="n">
        <v>46142</v>
      </c>
      <c r="B274" s="23" t="n">
        <f aca="false">'SA Data'!R274</f>
        <v>135.667385768109</v>
      </c>
      <c r="C274" s="24" t="n">
        <f aca="false">(B274/B273-1)*100</f>
        <v>2.11096834024833</v>
      </c>
      <c r="D274" s="24" t="n">
        <f aca="false">(AVERAGE(B272:B274)/AVERAGE(B269:B271)-1)*100</f>
        <v>-0.307248374944513</v>
      </c>
      <c r="E274" s="24" t="n">
        <f aca="false">((AVERAGE(B272:B274)/AVERAGE(B269:B271))^4-1)*100</f>
        <v>-1.22334099892287</v>
      </c>
      <c r="F274" s="24" t="n">
        <f aca="false">IFERROR(('SA Data'!V274/'SA Data'!V262-1)*100,"")</f>
        <v>10.6049045461629</v>
      </c>
      <c r="G274" s="24" t="n">
        <f aca="false">IFERROR((AVERAGE('SA Data'!V271:V274)/AVERAGE('SA Data'!V259:V262)-1)*100,"")</f>
        <v>15.2214544181879</v>
      </c>
      <c r="H274" s="23" t="n">
        <f aca="false">'SA Data'!S274</f>
        <v>120.97304368655</v>
      </c>
      <c r="I274" s="24" t="n">
        <f aca="false">(H274/H273-1)*100</f>
        <v>-3.46073364153193</v>
      </c>
      <c r="J274" s="24" t="n">
        <f aca="false">(AVERAGE(H272:H274)/AVERAGE(H269:H271)-1)*100</f>
        <v>0.914835711885642</v>
      </c>
      <c r="K274" s="24" t="n">
        <f aca="false">((AVERAGE(H272:H274)/AVERAGE(H269:H271))^4-1)*100</f>
        <v>3.70986527009376</v>
      </c>
      <c r="L274" s="24" t="n">
        <f aca="false">IFERROR(('SA Data'!W274/'SA Data'!W262-1)*100,"")</f>
        <v>-0.199857273003512</v>
      </c>
      <c r="M274" s="24" t="n">
        <f aca="false">IFERROR((AVERAGE('SA Data'!W271:W274)/AVERAGE('SA Data'!W259:W262)-1)*100,"")</f>
        <v>0.700012153101182</v>
      </c>
      <c r="N274" s="23" t="n">
        <f aca="false">'SA Data'!T274</f>
        <v>165.788705939412</v>
      </c>
      <c r="O274" s="24" t="n">
        <f aca="false">(N274/N273-1)*100</f>
        <v>-1.87299197273682</v>
      </c>
      <c r="P274" s="24" t="n">
        <f aca="false">(AVERAGE(N272:N274)/AVERAGE(N269:N271)-1)*100</f>
        <v>0.22831522166864</v>
      </c>
      <c r="Q274" s="24" t="n">
        <f aca="false">((AVERAGE(N272:N274)/AVERAGE(N269:N271))^4-1)*100</f>
        <v>0.916393320450393</v>
      </c>
      <c r="R274" s="24" t="n">
        <f aca="false">IFERROR(('SA Data'!X274/'SA Data'!X262-1)*100,"")</f>
        <v>0.0549631483666158</v>
      </c>
      <c r="S274" s="24" t="n">
        <f aca="false">IFERROR((AVERAGE('SA Data'!X271:X274)/AVERAGE('SA Data'!X259:X262)-1)*100,"")</f>
        <v>0.902847622354819</v>
      </c>
    </row>
    <row r="275" customFormat="false" ht="15" hidden="false" customHeight="false" outlineLevel="0" collapsed="false">
      <c r="A275" s="20" t="n">
        <v>46173</v>
      </c>
      <c r="B275" s="23" t="n">
        <f aca="false">'SA Data'!R275</f>
        <v>144.185327441084</v>
      </c>
      <c r="C275" s="24" t="n">
        <f aca="false">(B275/B274-1)*100</f>
        <v>6.27854780627499</v>
      </c>
      <c r="D275" s="24" t="n">
        <f aca="false">(AVERAGE(B273:B275)/AVERAGE(B270:B272)-1)*100</f>
        <v>6.81779877146307</v>
      </c>
      <c r="E275" s="24" t="n">
        <f aca="false">((AVERAGE(B273:B275)/AVERAGE(B270:B272))^4-1)*100</f>
        <v>30.1890615083446</v>
      </c>
      <c r="F275" s="24" t="n">
        <f aca="false">IFERROR(('SA Data'!V275/'SA Data'!V263-1)*100,"")</f>
        <v>4.37626772786128</v>
      </c>
      <c r="G275" s="24" t="n">
        <f aca="false">IFERROR((AVERAGE('SA Data'!V271:V275)/AVERAGE('SA Data'!V259:V263)-1)*100,"")</f>
        <v>11.4501414296118</v>
      </c>
      <c r="H275" s="23" t="n">
        <f aca="false">'SA Data'!S275</f>
        <v>118.28642060301</v>
      </c>
      <c r="I275" s="24" t="n">
        <f aca="false">(H275/H274-1)*100</f>
        <v>-2.22084441431566</v>
      </c>
      <c r="J275" s="24" t="n">
        <f aca="false">(AVERAGE(H273:H275)/AVERAGE(H270:H272)-1)*100</f>
        <v>0.10931883798353</v>
      </c>
      <c r="K275" s="24" t="n">
        <f aca="false">((AVERAGE(H273:H275)/AVERAGE(H270:H272))^4-1)*100</f>
        <v>0.437992911147878</v>
      </c>
      <c r="L275" s="24" t="n">
        <f aca="false">IFERROR(('SA Data'!W275/'SA Data'!W263-1)*100,"")</f>
        <v>-1.43744898179198</v>
      </c>
      <c r="M275" s="24" t="n">
        <f aca="false">IFERROR((AVERAGE('SA Data'!W271:W275)/AVERAGE('SA Data'!W259:W263)-1)*100,"")</f>
        <v>0.258854333525305</v>
      </c>
      <c r="N275" s="23" t="n">
        <f aca="false">'SA Data'!T275</f>
        <v>165.683622195333</v>
      </c>
      <c r="O275" s="24" t="n">
        <f aca="false">(N275/N274-1)*100</f>
        <v>-0.063384139156808</v>
      </c>
      <c r="P275" s="24" t="n">
        <f aca="false">(AVERAGE(N273:N275)/AVERAGE(N270:N272)-1)*100</f>
        <v>-0.0764598292481211</v>
      </c>
      <c r="Q275" s="24" t="n">
        <f aca="false">((AVERAGE(N273:N275)/AVERAGE(N270:N272))^4-1)*100</f>
        <v>-0.305488729425885</v>
      </c>
      <c r="R275" s="24" t="n">
        <f aca="false">IFERROR(('SA Data'!X275/'SA Data'!X263-1)*100,"")</f>
        <v>-0.539267438113456</v>
      </c>
      <c r="S275" s="24" t="n">
        <f aca="false">IFERROR((AVERAGE('SA Data'!X271:X275)/AVERAGE('SA Data'!X259:X263)-1)*100,"")</f>
        <v>0.610334649266564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2" min="2" style="0" width="13"/>
  </cols>
  <sheetData>
    <row r="1" customFormat="false" ht="17.35" hidden="false" customHeight="false" outlineLevel="0" collapsed="false">
      <c r="A1" s="4" t="s">
        <v>428</v>
      </c>
    </row>
    <row r="2" customFormat="false" ht="15" hidden="false" customHeight="false" outlineLevel="0" collapsed="false">
      <c r="A2" s="5" t="s">
        <v>429</v>
      </c>
    </row>
    <row r="4" customFormat="false" ht="15" hidden="false" customHeight="false" outlineLevel="0" collapsed="false">
      <c r="A4" s="5" t="s">
        <v>430</v>
      </c>
    </row>
    <row r="6" customFormat="false" ht="23.85" hidden="false" customHeight="false" outlineLevel="0" collapsed="false">
      <c r="A6" s="7" t="s">
        <v>369</v>
      </c>
      <c r="B6" s="7" t="s">
        <v>431</v>
      </c>
      <c r="C6" s="7" t="s">
        <v>338</v>
      </c>
      <c r="D6" s="7" t="s">
        <v>339</v>
      </c>
      <c r="E6" s="7" t="s">
        <v>340</v>
      </c>
      <c r="F6" s="7" t="s">
        <v>0</v>
      </c>
      <c r="G6" s="7" t="s">
        <v>432</v>
      </c>
      <c r="H6" s="7" t="s">
        <v>433</v>
      </c>
      <c r="I6" s="7" t="s">
        <v>434</v>
      </c>
      <c r="J6" s="7" t="s">
        <v>435</v>
      </c>
      <c r="K6" s="7" t="s">
        <v>436</v>
      </c>
    </row>
    <row r="7" customFormat="false" ht="15" hidden="false" customHeight="false" outlineLevel="0" collapsed="false">
      <c r="A7" s="20" t="n">
        <v>38017</v>
      </c>
      <c r="B7" s="25" t="s">
        <v>437</v>
      </c>
      <c r="C7" s="23" t="n">
        <f aca="false">'SA Data'!R7</f>
        <v>122.271003647106</v>
      </c>
      <c r="D7" s="23" t="n">
        <f aca="false">'SA Data'!S7</f>
        <v>96.4182886250338</v>
      </c>
      <c r="E7" s="23" t="n">
        <f aca="false">'SA Data'!T7</f>
        <v>96.9902889398585</v>
      </c>
      <c r="F7" s="22" t="n">
        <f aca="false">C7*'Weights &amp; Assumptions'!$B$25/'Weights &amp; Assumptions'!$B$28+D7*'Weights &amp; Assumptions'!$B$26/'Weights &amp; Assumptions'!$B$28+E7*'Weights &amp; Assumptions'!$B$27/'Weights &amp; Assumptions'!$B$28</f>
        <v>98.9592570668574</v>
      </c>
    </row>
    <row r="8" customFormat="false" ht="15" hidden="false" customHeight="false" outlineLevel="0" collapsed="false">
      <c r="A8" s="20" t="n">
        <v>38046</v>
      </c>
      <c r="B8" s="25" t="s">
        <v>437</v>
      </c>
      <c r="C8" s="23" t="n">
        <f aca="false">'SA Data'!R8</f>
        <v>115.464796860099</v>
      </c>
      <c r="D8" s="23" t="n">
        <f aca="false">'SA Data'!S8</f>
        <v>97.5102687739221</v>
      </c>
      <c r="E8" s="23" t="n">
        <f aca="false">'SA Data'!T8</f>
        <v>97.5693131731017</v>
      </c>
      <c r="F8" s="22" t="n">
        <f aca="false">C8*'Weights &amp; Assumptions'!$B$25/'Weights &amp; Assumptions'!$B$28+D8*'Weights &amp; Assumptions'!$B$26/'Weights &amp; Assumptions'!$B$28+E8*'Weights &amp; Assumptions'!$B$27/'Weights &amp; Assumptions'!$B$28</f>
        <v>99.0550582098934</v>
      </c>
      <c r="G8" s="24" t="n">
        <f aca="false">(F8/F7-1)*100</f>
        <v>0.0968086724531858</v>
      </c>
      <c r="I8" s="24" t="n">
        <f aca="false">(C8/C7-1)*100</f>
        <v>-5.56649294108196</v>
      </c>
      <c r="J8" s="24" t="n">
        <f aca="false">(D8/D7-1)*100</f>
        <v>1.13254462868027</v>
      </c>
      <c r="K8" s="24" t="n">
        <f aca="false">(E8/E7-1)*100</f>
        <v>0.596991966486726</v>
      </c>
    </row>
    <row r="9" customFormat="false" ht="15" hidden="false" customHeight="false" outlineLevel="0" collapsed="false">
      <c r="A9" s="20" t="n">
        <v>38077</v>
      </c>
      <c r="B9" s="25" t="s">
        <v>437</v>
      </c>
      <c r="C9" s="23" t="n">
        <f aca="false">'SA Data'!R9</f>
        <v>100.885593988849</v>
      </c>
      <c r="D9" s="23" t="n">
        <f aca="false">'SA Data'!S9</f>
        <v>97.8632230118885</v>
      </c>
      <c r="E9" s="23" t="n">
        <f aca="false">'SA Data'!T9</f>
        <v>98.1603673343293</v>
      </c>
      <c r="F9" s="22" t="n">
        <f aca="false">C9*'Weights &amp; Assumptions'!$B$25/'Weights &amp; Assumptions'!$B$28+D9*'Weights &amp; Assumptions'!$B$26/'Weights &amp; Assumptions'!$B$28+E9*'Weights &amp; Assumptions'!$B$27/'Weights &amp; Assumptions'!$B$28</f>
        <v>98.3100002526695</v>
      </c>
      <c r="G9" s="24" t="n">
        <f aca="false">(F9/F8-1)*100</f>
        <v>-0.752165483205425</v>
      </c>
      <c r="I9" s="24" t="n">
        <f aca="false">(C9/C8-1)*100</f>
        <v>-12.6265348986972</v>
      </c>
      <c r="J9" s="24" t="n">
        <f aca="false">(D9/D8-1)*100</f>
        <v>0.361966224075072</v>
      </c>
      <c r="K9" s="24" t="n">
        <f aca="false">(E9/E8-1)*100</f>
        <v>0.605778745392005</v>
      </c>
    </row>
    <row r="10" customFormat="false" ht="15" hidden="false" customHeight="false" outlineLevel="0" collapsed="false">
      <c r="A10" s="20" t="n">
        <v>38107</v>
      </c>
      <c r="B10" s="25" t="s">
        <v>437</v>
      </c>
      <c r="C10" s="23" t="n">
        <f aca="false">'SA Data'!R10</f>
        <v>90.4107011787294</v>
      </c>
      <c r="D10" s="23" t="n">
        <f aca="false">'SA Data'!S10</f>
        <v>97.5890937267519</v>
      </c>
      <c r="E10" s="23" t="n">
        <f aca="false">'SA Data'!T10</f>
        <v>98.241863657927</v>
      </c>
      <c r="F10" s="22" t="n">
        <f aca="false">C10*'Weights &amp; Assumptions'!$B$25/'Weights &amp; Assumptions'!$B$28+D10*'Weights &amp; Assumptions'!$B$26/'Weights &amp; Assumptions'!$B$28+E10*'Weights &amp; Assumptions'!$B$27/'Weights &amp; Assumptions'!$B$28</f>
        <v>97.4112396814495</v>
      </c>
      <c r="G10" s="24" t="n">
        <f aca="false">(F10/F9-1)*100</f>
        <v>-0.914210730251297</v>
      </c>
      <c r="I10" s="24" t="n">
        <f aca="false">(C10/C9-1)*100</f>
        <v>-10.3829420990251</v>
      </c>
      <c r="J10" s="24" t="n">
        <f aca="false">(D10/D9-1)*100</f>
        <v>-0.280114711839552</v>
      </c>
      <c r="K10" s="24" t="n">
        <f aca="false">(E10/E9-1)*100</f>
        <v>0.0830236538541973</v>
      </c>
    </row>
    <row r="11" customFormat="false" ht="15" hidden="false" customHeight="false" outlineLevel="0" collapsed="false">
      <c r="A11" s="20" t="n">
        <v>38138</v>
      </c>
      <c r="B11" s="25" t="s">
        <v>437</v>
      </c>
      <c r="C11" s="23" t="n">
        <f aca="false">'SA Data'!R11</f>
        <v>85.0619589326564</v>
      </c>
      <c r="D11" s="23" t="n">
        <f aca="false">'SA Data'!S11</f>
        <v>98.5573594361852</v>
      </c>
      <c r="E11" s="23" t="n">
        <f aca="false">'SA Data'!T11</f>
        <v>98.4173819514406</v>
      </c>
      <c r="F11" s="22" t="n">
        <f aca="false">C11*'Weights &amp; Assumptions'!$B$25/'Weights &amp; Assumptions'!$B$28+D11*'Weights &amp; Assumptions'!$B$26/'Weights &amp; Assumptions'!$B$28+E11*'Weights &amp; Assumptions'!$B$27/'Weights &amp; Assumptions'!$B$28</f>
        <v>97.3340733041472</v>
      </c>
      <c r="G11" s="24" t="n">
        <f aca="false">(F11/F10-1)*100</f>
        <v>-0.0792171186350665</v>
      </c>
      <c r="I11" s="24" t="n">
        <f aca="false">(C11/C10-1)*100</f>
        <v>-5.91604995463906</v>
      </c>
      <c r="J11" s="24" t="n">
        <f aca="false">(D11/D10-1)*100</f>
        <v>0.992186393434968</v>
      </c>
      <c r="K11" s="24" t="n">
        <f aca="false">(E11/E10-1)*100</f>
        <v>0.178659368805123</v>
      </c>
    </row>
    <row r="12" customFormat="false" ht="15" hidden="false" customHeight="false" outlineLevel="0" collapsed="false">
      <c r="A12" s="20" t="n">
        <v>38168</v>
      </c>
      <c r="B12" s="25" t="s">
        <v>437</v>
      </c>
      <c r="C12" s="23" t="n">
        <f aca="false">'SA Data'!R12</f>
        <v>85.021263338882</v>
      </c>
      <c r="D12" s="23" t="n">
        <f aca="false">'SA Data'!S12</f>
        <v>99.8230427258324</v>
      </c>
      <c r="E12" s="23" t="n">
        <f aca="false">'SA Data'!T12</f>
        <v>99.4693792133017</v>
      </c>
      <c r="F12" s="22" t="n">
        <f aca="false">C12*'Weights &amp; Assumptions'!$B$25/'Weights &amp; Assumptions'!$B$28+D12*'Weights &amp; Assumptions'!$B$26/'Weights &amp; Assumptions'!$B$28+E12*'Weights &amp; Assumptions'!$B$27/'Weights &amp; Assumptions'!$B$28</f>
        <v>98.3512155735745</v>
      </c>
      <c r="G12" s="24" t="n">
        <f aca="false">(F12/F11-1)*100</f>
        <v>1.04500123635936</v>
      </c>
      <c r="I12" s="24" t="n">
        <f aca="false">(C12/C11-1)*100</f>
        <v>-0.0478422955278779</v>
      </c>
      <c r="J12" s="24" t="n">
        <f aca="false">(D12/D11-1)*100</f>
        <v>1.28420982145601</v>
      </c>
      <c r="K12" s="24" t="n">
        <f aca="false">(E12/E11-1)*100</f>
        <v>1.06891408915977</v>
      </c>
    </row>
    <row r="13" customFormat="false" ht="15" hidden="false" customHeight="false" outlineLevel="0" collapsed="false">
      <c r="A13" s="20" t="n">
        <v>38199</v>
      </c>
      <c r="B13" s="25" t="s">
        <v>437</v>
      </c>
      <c r="C13" s="23" t="n">
        <f aca="false">'SA Data'!R13</f>
        <v>95.6231073086497</v>
      </c>
      <c r="D13" s="23" t="n">
        <f aca="false">'SA Data'!S13</f>
        <v>100.482995571248</v>
      </c>
      <c r="E13" s="23" t="n">
        <f aca="false">'SA Data'!T13</f>
        <v>100.41219682459</v>
      </c>
      <c r="F13" s="22" t="n">
        <f aca="false">C13*'Weights &amp; Assumptions'!$B$25/'Weights &amp; Assumptions'!$B$28+D13*'Weights &amp; Assumptions'!$B$26/'Weights &amp; Assumptions'!$B$28+E13*'Weights &amp; Assumptions'!$B$27/'Weights &amp; Assumptions'!$B$28</f>
        <v>100.029214852191</v>
      </c>
      <c r="G13" s="24" t="n">
        <f aca="false">(F13/F12-1)*100</f>
        <v>1.70612967905939</v>
      </c>
      <c r="I13" s="24" t="n">
        <f aca="false">(C13/C12-1)*100</f>
        <v>12.4696382450945</v>
      </c>
      <c r="J13" s="24" t="n">
        <f aca="false">(D13/D12-1)*100</f>
        <v>0.661122750213106</v>
      </c>
      <c r="K13" s="24" t="n">
        <f aca="false">(E13/E12-1)*100</f>
        <v>0.94784708494724</v>
      </c>
    </row>
    <row r="14" customFormat="false" ht="15" hidden="false" customHeight="false" outlineLevel="0" collapsed="false">
      <c r="A14" s="20" t="n">
        <v>38230</v>
      </c>
      <c r="B14" s="25" t="s">
        <v>437</v>
      </c>
      <c r="C14" s="23" t="n">
        <f aca="false">'SA Data'!R14</f>
        <v>96.5352215493299</v>
      </c>
      <c r="D14" s="23" t="n">
        <f aca="false">'SA Data'!S14</f>
        <v>100.452155470503</v>
      </c>
      <c r="E14" s="23" t="n">
        <f aca="false">'SA Data'!T14</f>
        <v>100.689701105785</v>
      </c>
      <c r="F14" s="22" t="n">
        <f aca="false">C14*'Weights &amp; Assumptions'!$B$25/'Weights &amp; Assumptions'!$B$28+D14*'Weights &amp; Assumptions'!$B$26/'Weights &amp; Assumptions'!$B$28+E14*'Weights &amp; Assumptions'!$B$27/'Weights &amp; Assumptions'!$B$28</f>
        <v>100.27796927974</v>
      </c>
      <c r="G14" s="24" t="n">
        <f aca="false">(F14/F13-1)*100</f>
        <v>0.248681775535564</v>
      </c>
      <c r="I14" s="24" t="n">
        <f aca="false">(C14/C13-1)*100</f>
        <v>0.953863837258639</v>
      </c>
      <c r="J14" s="24" t="n">
        <f aca="false">(D14/D13-1)*100</f>
        <v>-0.030691860418719</v>
      </c>
      <c r="K14" s="24" t="n">
        <f aca="false">(E14/E13-1)*100</f>
        <v>0.276365112975086</v>
      </c>
    </row>
    <row r="15" customFormat="false" ht="15" hidden="false" customHeight="false" outlineLevel="0" collapsed="false">
      <c r="A15" s="20" t="n">
        <v>38260</v>
      </c>
      <c r="B15" s="25" t="s">
        <v>437</v>
      </c>
      <c r="C15" s="23" t="n">
        <f aca="false">'SA Data'!R15</f>
        <v>96.4359450740561</v>
      </c>
      <c r="D15" s="23" t="n">
        <f aca="false">'SA Data'!S15</f>
        <v>101.999172130323</v>
      </c>
      <c r="E15" s="23" t="n">
        <f aca="false">'SA Data'!T15</f>
        <v>101.627320610243</v>
      </c>
      <c r="F15" s="22" t="n">
        <f aca="false">C15*'Weights &amp; Assumptions'!$B$25/'Weights &amp; Assumptions'!$B$28+D15*'Weights &amp; Assumptions'!$B$26/'Weights &amp; Assumptions'!$B$28+E15*'Weights &amp; Assumptions'!$B$27/'Weights &amp; Assumptions'!$B$28</f>
        <v>101.290641697256</v>
      </c>
      <c r="G15" s="24" t="n">
        <f aca="false">(F15/F14-1)*100</f>
        <v>1.0098653022091</v>
      </c>
      <c r="I15" s="24" t="n">
        <f aca="false">(C15/C14-1)*100</f>
        <v>-0.102839640993735</v>
      </c>
      <c r="J15" s="24" t="n">
        <f aca="false">(D15/D14-1)*100</f>
        <v>1.54005322491528</v>
      </c>
      <c r="K15" s="24" t="n">
        <f aca="false">(E15/E14-1)*100</f>
        <v>0.93119702825657</v>
      </c>
    </row>
    <row r="16" customFormat="false" ht="15" hidden="false" customHeight="false" outlineLevel="0" collapsed="false">
      <c r="A16" s="20" t="n">
        <v>38291</v>
      </c>
      <c r="B16" s="25" t="s">
        <v>437</v>
      </c>
      <c r="C16" s="23" t="n">
        <f aca="false">'SA Data'!R16</f>
        <v>98.3839937010436</v>
      </c>
      <c r="D16" s="23" t="n">
        <f aca="false">'SA Data'!S16</f>
        <v>101.636564393941</v>
      </c>
      <c r="E16" s="23" t="n">
        <f aca="false">'SA Data'!T16</f>
        <v>102.366769163811</v>
      </c>
      <c r="F16" s="22" t="n">
        <f aca="false">C16*'Weights &amp; Assumptions'!$B$25/'Weights &amp; Assumptions'!$B$28+D16*'Weights &amp; Assumptions'!$B$26/'Weights &amp; Assumptions'!$B$28+E16*'Weights &amp; Assumptions'!$B$27/'Weights &amp; Assumptions'!$B$28</f>
        <v>101.83843678438</v>
      </c>
      <c r="G16" s="24" t="n">
        <f aca="false">(F16/F15-1)*100</f>
        <v>0.54081510191395</v>
      </c>
      <c r="I16" s="24" t="n">
        <f aca="false">(C16/C15-1)*100</f>
        <v>2.02004410854435</v>
      </c>
      <c r="J16" s="24" t="n">
        <f aca="false">(D16/D15-1)*100</f>
        <v>-0.355500666141773</v>
      </c>
      <c r="K16" s="24" t="n">
        <f aca="false">(E16/E15-1)*100</f>
        <v>0.727608038004446</v>
      </c>
    </row>
    <row r="17" customFormat="false" ht="15" hidden="false" customHeight="false" outlineLevel="0" collapsed="false">
      <c r="A17" s="20" t="n">
        <v>38321</v>
      </c>
      <c r="B17" s="25" t="s">
        <v>437</v>
      </c>
      <c r="C17" s="23" t="n">
        <f aca="false">'SA Data'!R17</f>
        <v>98.0098797412493</v>
      </c>
      <c r="D17" s="23" t="n">
        <f aca="false">'SA Data'!S17</f>
        <v>102.203591507175</v>
      </c>
      <c r="E17" s="23" t="n">
        <f aca="false">'SA Data'!T17</f>
        <v>102.838031432622</v>
      </c>
      <c r="F17" s="22" t="n">
        <f aca="false">C17*'Weights &amp; Assumptions'!$B$25/'Weights &amp; Assumptions'!$B$28+D17*'Weights &amp; Assumptions'!$B$26/'Weights &amp; Assumptions'!$B$28+E17*'Weights &amp; Assumptions'!$B$27/'Weights &amp; Assumptions'!$B$28</f>
        <v>102.264236829058</v>
      </c>
      <c r="G17" s="24" t="n">
        <f aca="false">(F17/F16-1)*100</f>
        <v>0.418113296043665</v>
      </c>
      <c r="I17" s="24" t="n">
        <f aca="false">(C17/C16-1)*100</f>
        <v>-0.380258968680558</v>
      </c>
      <c r="J17" s="24" t="n">
        <f aca="false">(D17/D16-1)*100</f>
        <v>0.557896773288147</v>
      </c>
      <c r="K17" s="24" t="n">
        <f aca="false">(E17/E16-1)*100</f>
        <v>0.46036645745513</v>
      </c>
    </row>
    <row r="18" customFormat="false" ht="15" hidden="false" customHeight="false" outlineLevel="0" collapsed="false">
      <c r="A18" s="20" t="n">
        <v>38352</v>
      </c>
      <c r="B18" s="25" t="s">
        <v>437</v>
      </c>
      <c r="C18" s="23" t="n">
        <f aca="false">'SA Data'!R18</f>
        <v>96.7747695515707</v>
      </c>
      <c r="D18" s="23" t="n">
        <f aca="false">'SA Data'!S18</f>
        <v>103.212512925594</v>
      </c>
      <c r="E18" s="23" t="n">
        <f aca="false">'SA Data'!T18</f>
        <v>103.736396337837</v>
      </c>
      <c r="F18" s="22" t="n">
        <f aca="false">C18*'Weights &amp; Assumptions'!$B$25/'Weights &amp; Assumptions'!$B$28+D18*'Weights &amp; Assumptions'!$B$26/'Weights &amp; Assumptions'!$B$28+E18*'Weights &amp; Assumptions'!$B$27/'Weights &amp; Assumptions'!$B$28</f>
        <v>103.013000306418</v>
      </c>
      <c r="G18" s="24" t="n">
        <f aca="false">(F18/F17-1)*100</f>
        <v>0.732185073273262</v>
      </c>
      <c r="I18" s="24" t="n">
        <f aca="false">(C18/C17-1)*100</f>
        <v>-1.26018947573386</v>
      </c>
      <c r="J18" s="24" t="n">
        <f aca="false">(D18/D17-1)*100</f>
        <v>0.987168262426574</v>
      </c>
      <c r="K18" s="24" t="n">
        <f aca="false">(E18/E17-1)*100</f>
        <v>0.873572639129461</v>
      </c>
    </row>
    <row r="19" customFormat="false" ht="15" hidden="false" customHeight="false" outlineLevel="0" collapsed="false">
      <c r="A19" s="20" t="n">
        <v>38383</v>
      </c>
      <c r="B19" s="25" t="s">
        <v>437</v>
      </c>
      <c r="C19" s="23" t="n">
        <f aca="false">'SA Data'!R19</f>
        <v>96.0059667499202</v>
      </c>
      <c r="D19" s="23" t="n">
        <f aca="false">'SA Data'!S19</f>
        <v>103.62723141018</v>
      </c>
      <c r="E19" s="23" t="n">
        <f aca="false">'SA Data'!T19</f>
        <v>104.104014223814</v>
      </c>
      <c r="F19" s="22" t="n">
        <f aca="false">C19*'Weights &amp; Assumptions'!$B$25/'Weights &amp; Assumptions'!$B$28+D19*'Weights &amp; Assumptions'!$B$26/'Weights &amp; Assumptions'!$B$28+E19*'Weights &amp; Assumptions'!$B$27/'Weights &amp; Assumptions'!$B$28</f>
        <v>103.297796422906</v>
      </c>
      <c r="G19" s="24" t="n">
        <f aca="false">(F19/F18-1)*100</f>
        <v>0.276466189356306</v>
      </c>
      <c r="H19" s="24" t="n">
        <f aca="false">(F19/F7-1)*100</f>
        <v>4.38416726705799</v>
      </c>
      <c r="I19" s="24" t="n">
        <f aca="false">(C19/C18-1)*100</f>
        <v>-0.794424833262741</v>
      </c>
      <c r="J19" s="24" t="n">
        <f aca="false">(D19/D18-1)*100</f>
        <v>0.401810277485182</v>
      </c>
      <c r="K19" s="24" t="n">
        <f aca="false">(E19/E18-1)*100</f>
        <v>0.354376958285507</v>
      </c>
    </row>
    <row r="20" customFormat="false" ht="15" hidden="false" customHeight="false" outlineLevel="0" collapsed="false">
      <c r="A20" s="20" t="n">
        <v>38411</v>
      </c>
      <c r="B20" s="25" t="s">
        <v>437</v>
      </c>
      <c r="C20" s="23" t="n">
        <f aca="false">'SA Data'!R20</f>
        <v>101.412423173975</v>
      </c>
      <c r="D20" s="23" t="n">
        <f aca="false">'SA Data'!S20</f>
        <v>103.926598690131</v>
      </c>
      <c r="E20" s="23" t="n">
        <f aca="false">'SA Data'!T20</f>
        <v>105.055083045692</v>
      </c>
      <c r="F20" s="22" t="n">
        <f aca="false">C20*'Weights &amp; Assumptions'!$B$25/'Weights &amp; Assumptions'!$B$28+D20*'Weights &amp; Assumptions'!$B$26/'Weights &amp; Assumptions'!$B$28+E20*'Weights &amp; Assumptions'!$B$27/'Weights &amp; Assumptions'!$B$28</f>
        <v>104.449377148345</v>
      </c>
      <c r="G20" s="24" t="n">
        <f aca="false">(F20/F19-1)*100</f>
        <v>1.11481635167126</v>
      </c>
      <c r="H20" s="24" t="n">
        <f aca="false">(F20/F8-1)*100</f>
        <v>5.44577837410514</v>
      </c>
      <c r="I20" s="24" t="n">
        <f aca="false">(C20/C19-1)*100</f>
        <v>5.63137543121433</v>
      </c>
      <c r="J20" s="24" t="n">
        <f aca="false">(D20/D19-1)*100</f>
        <v>0.288888621144268</v>
      </c>
      <c r="K20" s="24" t="n">
        <f aca="false">(E20/E19-1)*100</f>
        <v>0.913575551307666</v>
      </c>
    </row>
    <row r="21" customFormat="false" ht="15" hidden="false" customHeight="false" outlineLevel="0" collapsed="false">
      <c r="A21" s="20" t="n">
        <v>38442</v>
      </c>
      <c r="B21" s="25" t="s">
        <v>437</v>
      </c>
      <c r="C21" s="23" t="n">
        <f aca="false">'SA Data'!R21</f>
        <v>108.683955444092</v>
      </c>
      <c r="D21" s="23" t="n">
        <f aca="false">'SA Data'!S21</f>
        <v>104.430963169115</v>
      </c>
      <c r="E21" s="23" t="n">
        <f aca="false">'SA Data'!T21</f>
        <v>106.039984147401</v>
      </c>
      <c r="F21" s="22" t="n">
        <f aca="false">C21*'Weights &amp; Assumptions'!$B$25/'Weights &amp; Assumptions'!$B$28+D21*'Weights &amp; Assumptions'!$B$26/'Weights &amp; Assumptions'!$B$28+E21*'Weights &amp; Assumptions'!$B$27/'Weights &amp; Assumptions'!$B$28</f>
        <v>105.833948754732</v>
      </c>
      <c r="G21" s="24" t="n">
        <f aca="false">(F21/F20-1)*100</f>
        <v>1.32559106065331</v>
      </c>
      <c r="H21" s="24" t="n">
        <f aca="false">(F21/F9-1)*100</f>
        <v>7.65328906797322</v>
      </c>
      <c r="I21" s="24" t="n">
        <f aca="false">(C21/C20-1)*100</f>
        <v>7.1702578861004</v>
      </c>
      <c r="J21" s="24" t="n">
        <f aca="false">(D21/D20-1)*100</f>
        <v>0.485308367002824</v>
      </c>
      <c r="K21" s="24" t="n">
        <f aca="false">(E21/E20-1)*100</f>
        <v>0.937509231495093</v>
      </c>
    </row>
    <row r="22" customFormat="false" ht="15" hidden="false" customHeight="false" outlineLevel="0" collapsed="false">
      <c r="A22" s="20" t="n">
        <v>38472</v>
      </c>
      <c r="B22" s="25" t="s">
        <v>437</v>
      </c>
      <c r="C22" s="23" t="n">
        <f aca="false">'SA Data'!R22</f>
        <v>111.81223063323</v>
      </c>
      <c r="D22" s="23" t="n">
        <f aca="false">'SA Data'!S22</f>
        <v>106.492604190122</v>
      </c>
      <c r="E22" s="23" t="n">
        <f aca="false">'SA Data'!T22</f>
        <v>107.667181219196</v>
      </c>
      <c r="F22" s="22" t="n">
        <f aca="false">C22*'Weights &amp; Assumptions'!$B$25/'Weights &amp; Assumptions'!$B$28+D22*'Weights &amp; Assumptions'!$B$26/'Weights &amp; Assumptions'!$B$28+E22*'Weights &amp; Assumptions'!$B$27/'Weights &amp; Assumptions'!$B$28</f>
        <v>107.7026137648</v>
      </c>
      <c r="G22" s="24" t="n">
        <f aca="false">(F22/F21-1)*100</f>
        <v>1.76565745874167</v>
      </c>
      <c r="H22" s="24" t="n">
        <f aca="false">(F22/F10-1)*100</f>
        <v>10.5648733318713</v>
      </c>
      <c r="I22" s="24" t="n">
        <f aca="false">(C22/C21-1)*100</f>
        <v>2.87832291008832</v>
      </c>
      <c r="J22" s="24" t="n">
        <f aca="false">(D22/D21-1)*100</f>
        <v>1.97416643344341</v>
      </c>
      <c r="K22" s="24" t="n">
        <f aca="false">(E22/E21-1)*100</f>
        <v>1.53451274524266</v>
      </c>
    </row>
    <row r="23" customFormat="false" ht="15" hidden="false" customHeight="false" outlineLevel="0" collapsed="false">
      <c r="A23" s="20" t="n">
        <v>38503</v>
      </c>
      <c r="B23" s="25" t="s">
        <v>437</v>
      </c>
      <c r="C23" s="23" t="n">
        <f aca="false">'SA Data'!R23</f>
        <v>111.221203010982</v>
      </c>
      <c r="D23" s="23" t="n">
        <f aca="false">'SA Data'!S23</f>
        <v>106.935086289398</v>
      </c>
      <c r="E23" s="23" t="n">
        <f aca="false">'SA Data'!T23</f>
        <v>108.421533270753</v>
      </c>
      <c r="F23" s="22" t="n">
        <f aca="false">C23*'Weights &amp; Assumptions'!$B$25/'Weights &amp; Assumptions'!$B$28+D23*'Weights &amp; Assumptions'!$B$26/'Weights &amp; Assumptions'!$B$28+E23*'Weights &amp; Assumptions'!$B$27/'Weights &amp; Assumptions'!$B$28</f>
        <v>108.261155673995</v>
      </c>
      <c r="G23" s="24" t="n">
        <f aca="false">(F23/F22-1)*100</f>
        <v>0.51859642925185</v>
      </c>
      <c r="H23" s="24" t="n">
        <f aca="false">(F23/F11-1)*100</f>
        <v>11.2263691417738</v>
      </c>
      <c r="I23" s="24" t="n">
        <f aca="false">(C23/C22-1)*100</f>
        <v>-0.528589420764014</v>
      </c>
      <c r="J23" s="24" t="n">
        <f aca="false">(D23/D22-1)*100</f>
        <v>0.415505003977823</v>
      </c>
      <c r="K23" s="24" t="n">
        <f aca="false">(E23/E22-1)*100</f>
        <v>0.70063323197973</v>
      </c>
    </row>
    <row r="24" customFormat="false" ht="15" hidden="false" customHeight="false" outlineLevel="0" collapsed="false">
      <c r="A24" s="20" t="n">
        <v>38533</v>
      </c>
      <c r="B24" s="25" t="s">
        <v>437</v>
      </c>
      <c r="C24" s="23" t="n">
        <f aca="false">'SA Data'!R24</f>
        <v>110.040658308453</v>
      </c>
      <c r="D24" s="23" t="n">
        <f aca="false">'SA Data'!S24</f>
        <v>107.42571718436</v>
      </c>
      <c r="E24" s="23" t="n">
        <f aca="false">'SA Data'!T24</f>
        <v>108.737955632002</v>
      </c>
      <c r="F24" s="22" t="n">
        <f aca="false">C24*'Weights &amp; Assumptions'!$B$25/'Weights &amp; Assumptions'!$B$28+D24*'Weights &amp; Assumptions'!$B$26/'Weights &amp; Assumptions'!$B$28+E24*'Weights &amp; Assumptions'!$B$27/'Weights &amp; Assumptions'!$B$28</f>
        <v>108.498306345037</v>
      </c>
      <c r="G24" s="24" t="n">
        <f aca="false">(F24/F23-1)*100</f>
        <v>0.219054257794982</v>
      </c>
      <c r="H24" s="24" t="n">
        <f aca="false">(F24/F12-1)*100</f>
        <v>10.3171991441957</v>
      </c>
      <c r="I24" s="24" t="n">
        <f aca="false">(C24/C23-1)*100</f>
        <v>-1.06143853021726</v>
      </c>
      <c r="J24" s="24" t="n">
        <f aca="false">(D24/D23-1)*100</f>
        <v>0.458811894193523</v>
      </c>
      <c r="K24" s="24" t="n">
        <f aca="false">(E24/E23-1)*100</f>
        <v>0.291844573400835</v>
      </c>
    </row>
    <row r="25" customFormat="false" ht="15" hidden="false" customHeight="false" outlineLevel="0" collapsed="false">
      <c r="A25" s="20" t="n">
        <v>38564</v>
      </c>
      <c r="B25" s="25" t="s">
        <v>437</v>
      </c>
      <c r="C25" s="23" t="n">
        <f aca="false">'SA Data'!R25</f>
        <v>99.1775235635913</v>
      </c>
      <c r="D25" s="23" t="n">
        <f aca="false">'SA Data'!S25</f>
        <v>107.309774396988</v>
      </c>
      <c r="E25" s="23" t="n">
        <f aca="false">'SA Data'!T25</f>
        <v>109.563748903938</v>
      </c>
      <c r="F25" s="22" t="n">
        <f aca="false">C25*'Weights &amp; Assumptions'!$B$25/'Weights &amp; Assumptions'!$B$28+D25*'Weights &amp; Assumptions'!$B$26/'Weights &amp; Assumptions'!$B$28+E25*'Weights &amp; Assumptions'!$B$27/'Weights &amp; Assumptions'!$B$28</f>
        <v>108.092964760286</v>
      </c>
      <c r="G25" s="24" t="n">
        <f aca="false">(F25/F24-1)*100</f>
        <v>-0.373592545732393</v>
      </c>
      <c r="H25" s="24" t="n">
        <f aca="false">(F25/F13-1)*100</f>
        <v>8.06139478352499</v>
      </c>
      <c r="I25" s="24" t="n">
        <f aca="false">(C25/C24-1)*100</f>
        <v>-9.87192816896023</v>
      </c>
      <c r="J25" s="24" t="n">
        <f aca="false">(D25/D24-1)*100</f>
        <v>-0.107928334490814</v>
      </c>
      <c r="K25" s="24" t="n">
        <f aca="false">(E25/E24-1)*100</f>
        <v>0.759434244589108</v>
      </c>
    </row>
    <row r="26" customFormat="false" ht="15" hidden="false" customHeight="false" outlineLevel="0" collapsed="false">
      <c r="A26" s="20" t="n">
        <v>38595</v>
      </c>
      <c r="B26" s="25" t="s">
        <v>437</v>
      </c>
      <c r="C26" s="23" t="n">
        <f aca="false">'SA Data'!R26</f>
        <v>95.6039984365283</v>
      </c>
      <c r="D26" s="23" t="n">
        <f aca="false">'SA Data'!S26</f>
        <v>108.520596004306</v>
      </c>
      <c r="E26" s="23" t="n">
        <f aca="false">'SA Data'!T26</f>
        <v>110.52469579387</v>
      </c>
      <c r="F26" s="22" t="n">
        <f aca="false">C26*'Weights &amp; Assumptions'!$B$25/'Weights &amp; Assumptions'!$B$28+D26*'Weights &amp; Assumptions'!$B$26/'Weights &amp; Assumptions'!$B$28+E26*'Weights &amp; Assumptions'!$B$27/'Weights &amp; Assumptions'!$B$28</f>
        <v>108.739911726619</v>
      </c>
      <c r="G26" s="24" t="n">
        <f aca="false">(F26/F25-1)*100</f>
        <v>0.598509780693801</v>
      </c>
      <c r="H26" s="24" t="n">
        <f aca="false">(F26/F14-1)*100</f>
        <v>8.43848604799049</v>
      </c>
      <c r="I26" s="24" t="n">
        <f aca="false">(C26/C25-1)*100</f>
        <v>-3.60316027126013</v>
      </c>
      <c r="J26" s="24" t="n">
        <f aca="false">(D26/D25-1)*100</f>
        <v>1.12834232866721</v>
      </c>
      <c r="K26" s="24" t="n">
        <f aca="false">(E26/E25-1)*100</f>
        <v>0.877066456328524</v>
      </c>
    </row>
    <row r="27" customFormat="false" ht="15" hidden="false" customHeight="false" outlineLevel="0" collapsed="false">
      <c r="A27" s="20" t="n">
        <v>38625</v>
      </c>
      <c r="B27" s="25" t="s">
        <v>437</v>
      </c>
      <c r="C27" s="23" t="n">
        <f aca="false">'SA Data'!R27</f>
        <v>95.1372384721311</v>
      </c>
      <c r="D27" s="23" t="n">
        <f aca="false">'SA Data'!S27</f>
        <v>108.125915651811</v>
      </c>
      <c r="E27" s="23" t="n">
        <f aca="false">'SA Data'!T27</f>
        <v>111.590569006179</v>
      </c>
      <c r="F27" s="22" t="n">
        <f aca="false">C27*'Weights &amp; Assumptions'!$B$25/'Weights &amp; Assumptions'!$B$28+D27*'Weights &amp; Assumptions'!$B$26/'Weights &amp; Assumptions'!$B$28+E27*'Weights &amp; Assumptions'!$B$27/'Weights &amp; Assumptions'!$B$28</f>
        <v>109.288809033875</v>
      </c>
      <c r="G27" s="24" t="n">
        <f aca="false">(F27/F26-1)*100</f>
        <v>0.504779982382408</v>
      </c>
      <c r="H27" s="24" t="n">
        <f aca="false">(F27/F15-1)*100</f>
        <v>7.89625497735986</v>
      </c>
      <c r="I27" s="24" t="n">
        <f aca="false">(C27/C26-1)*100</f>
        <v>-0.48822222085938</v>
      </c>
      <c r="J27" s="24" t="n">
        <f aca="false">(D27/D26-1)*100</f>
        <v>-0.363691655802934</v>
      </c>
      <c r="K27" s="24" t="n">
        <f aca="false">(E27/E26-1)*100</f>
        <v>0.964375612756019</v>
      </c>
    </row>
    <row r="28" customFormat="false" ht="15" hidden="false" customHeight="false" outlineLevel="0" collapsed="false">
      <c r="A28" s="20" t="n">
        <v>38656</v>
      </c>
      <c r="B28" s="25" t="s">
        <v>437</v>
      </c>
      <c r="C28" s="23" t="n">
        <f aca="false">'SA Data'!R28</f>
        <v>96.9887172302538</v>
      </c>
      <c r="D28" s="23" t="n">
        <f aca="false">'SA Data'!S28</f>
        <v>109.373998044871</v>
      </c>
      <c r="E28" s="23" t="n">
        <f aca="false">'SA Data'!T28</f>
        <v>111.051621647687</v>
      </c>
      <c r="F28" s="22" t="n">
        <f aca="false">C28*'Weights &amp; Assumptions'!$B$25/'Weights &amp; Assumptions'!$B$28+D28*'Weights &amp; Assumptions'!$B$26/'Weights &amp; Assumptions'!$B$28+E28*'Weights &amp; Assumptions'!$B$27/'Weights &amp; Assumptions'!$B$28</f>
        <v>109.425622842944</v>
      </c>
      <c r="G28" s="24" t="n">
        <f aca="false">(F28/F27-1)*100</f>
        <v>0.125185561338514</v>
      </c>
      <c r="H28" s="24" t="n">
        <f aca="false">(F28/F16-1)*100</f>
        <v>7.45021850112289</v>
      </c>
      <c r="I28" s="24" t="n">
        <f aca="false">(C28/C27-1)*100</f>
        <v>1.94611362265371</v>
      </c>
      <c r="J28" s="24" t="n">
        <f aca="false">(D28/D27-1)*100</f>
        <v>1.1542860798321</v>
      </c>
      <c r="K28" s="24" t="n">
        <f aca="false">(E28/E27-1)*100</f>
        <v>-0.482968554862062</v>
      </c>
    </row>
    <row r="29" customFormat="false" ht="15" hidden="false" customHeight="false" outlineLevel="0" collapsed="false">
      <c r="A29" s="20" t="n">
        <v>38686</v>
      </c>
      <c r="B29" s="25" t="s">
        <v>437</v>
      </c>
      <c r="C29" s="23" t="n">
        <f aca="false">'SA Data'!R29</f>
        <v>100.74580168644</v>
      </c>
      <c r="D29" s="23" t="n">
        <f aca="false">'SA Data'!S29</f>
        <v>111.090139300936</v>
      </c>
      <c r="E29" s="23" t="n">
        <f aca="false">'SA Data'!T29</f>
        <v>112.605783873198</v>
      </c>
      <c r="F29" s="22" t="n">
        <f aca="false">C29*'Weights &amp; Assumptions'!$B$25/'Weights &amp; Assumptions'!$B$28+D29*'Weights &amp; Assumptions'!$B$26/'Weights &amp; Assumptions'!$B$28+E29*'Weights &amp; Assumptions'!$B$27/'Weights &amp; Assumptions'!$B$28</f>
        <v>111.207685130577</v>
      </c>
      <c r="G29" s="24" t="n">
        <f aca="false">(F29/F28-1)*100</f>
        <v>1.62856033288561</v>
      </c>
      <c r="H29" s="24" t="n">
        <f aca="false">(F29/F17-1)*100</f>
        <v>8.74543103124945</v>
      </c>
      <c r="I29" s="24" t="n">
        <f aca="false">(C29/C28-1)*100</f>
        <v>3.87373352641254</v>
      </c>
      <c r="J29" s="24" t="n">
        <f aca="false">(D29/D28-1)*100</f>
        <v>1.56905780783512</v>
      </c>
      <c r="K29" s="24" t="n">
        <f aca="false">(E29/E28-1)*100</f>
        <v>1.39949529997969</v>
      </c>
    </row>
    <row r="30" customFormat="false" ht="15" hidden="false" customHeight="false" outlineLevel="0" collapsed="false">
      <c r="A30" s="20" t="n">
        <v>38717</v>
      </c>
      <c r="B30" s="25" t="s">
        <v>437</v>
      </c>
      <c r="C30" s="23" t="n">
        <f aca="false">'SA Data'!R30</f>
        <v>106.91859011196</v>
      </c>
      <c r="D30" s="23" t="n">
        <f aca="false">'SA Data'!S30</f>
        <v>111.588765297084</v>
      </c>
      <c r="E30" s="23" t="n">
        <f aca="false">'SA Data'!T30</f>
        <v>113.931640670348</v>
      </c>
      <c r="F30" s="22" t="n">
        <f aca="false">C30*'Weights &amp; Assumptions'!$B$25/'Weights &amp; Assumptions'!$B$28+D30*'Weights &amp; Assumptions'!$B$26/'Weights &amp; Assumptions'!$B$28+E30*'Weights &amp; Assumptions'!$B$27/'Weights &amp; Assumptions'!$B$28</f>
        <v>112.720228404765</v>
      </c>
      <c r="G30" s="24" t="n">
        <f aca="false">(F30/F29-1)*100</f>
        <v>1.36010678795442</v>
      </c>
      <c r="H30" s="24" t="n">
        <f aca="false">(F30/F18-1)*100</f>
        <v>9.42330392229431</v>
      </c>
      <c r="I30" s="24" t="n">
        <f aca="false">(C30/C29-1)*100</f>
        <v>6.12709246657461</v>
      </c>
      <c r="J30" s="24" t="n">
        <f aca="false">(D30/D29-1)*100</f>
        <v>0.448848114950651</v>
      </c>
      <c r="K30" s="24" t="n">
        <f aca="false">(E30/E29-1)*100</f>
        <v>1.17743223442479</v>
      </c>
    </row>
    <row r="31" customFormat="false" ht="15" hidden="false" customHeight="false" outlineLevel="0" collapsed="false">
      <c r="A31" s="20" t="n">
        <v>38748</v>
      </c>
      <c r="B31" s="25" t="s">
        <v>437</v>
      </c>
      <c r="C31" s="23" t="n">
        <f aca="false">'SA Data'!R31</f>
        <v>104.331700328236</v>
      </c>
      <c r="D31" s="23" t="n">
        <f aca="false">'SA Data'!S31</f>
        <v>113.357870563521</v>
      </c>
      <c r="E31" s="23" t="n">
        <f aca="false">'SA Data'!T31</f>
        <v>113.495463539517</v>
      </c>
      <c r="F31" s="22" t="n">
        <f aca="false">C31*'Weights &amp; Assumptions'!$B$25/'Weights &amp; Assumptions'!$B$28+D31*'Weights &amp; Assumptions'!$B$26/'Weights &amp; Assumptions'!$B$28+E31*'Weights &amp; Assumptions'!$B$27/'Weights &amp; Assumptions'!$B$28</f>
        <v>112.690027804208</v>
      </c>
      <c r="G31" s="24" t="n">
        <f aca="false">(F31/F30-1)*100</f>
        <v>-0.026792529597286</v>
      </c>
      <c r="H31" s="24" t="n">
        <f aca="false">(F31/F19-1)*100</f>
        <v>9.09238309677893</v>
      </c>
      <c r="I31" s="24" t="n">
        <f aca="false">(C31/C30-1)*100</f>
        <v>-2.41949485212473</v>
      </c>
      <c r="J31" s="24" t="n">
        <f aca="false">(D31/D30-1)*100</f>
        <v>1.58537937195349</v>
      </c>
      <c r="K31" s="24" t="n">
        <f aca="false">(E31/E30-1)*100</f>
        <v>-0.382841086343178</v>
      </c>
    </row>
    <row r="32" customFormat="false" ht="15" hidden="false" customHeight="false" outlineLevel="0" collapsed="false">
      <c r="A32" s="20" t="n">
        <v>38776</v>
      </c>
      <c r="B32" s="25" t="s">
        <v>437</v>
      </c>
      <c r="C32" s="23" t="n">
        <f aca="false">'SA Data'!R32</f>
        <v>101.929108664951</v>
      </c>
      <c r="D32" s="23" t="n">
        <f aca="false">'SA Data'!S32</f>
        <v>113.507257811259</v>
      </c>
      <c r="E32" s="23" t="n">
        <f aca="false">'SA Data'!T32</f>
        <v>114.4435384934</v>
      </c>
      <c r="F32" s="22" t="n">
        <f aca="false">C32*'Weights &amp; Assumptions'!$B$25/'Weights &amp; Assumptions'!$B$28+D32*'Weights &amp; Assumptions'!$B$26/'Weights &amp; Assumptions'!$B$28+E32*'Weights &amp; Assumptions'!$B$27/'Weights &amp; Assumptions'!$B$28</f>
        <v>113.144594027819</v>
      </c>
      <c r="G32" s="24" t="n">
        <f aca="false">(F32/F31-1)*100</f>
        <v>0.403377505949831</v>
      </c>
      <c r="H32" s="24" t="n">
        <f aca="false">(F32/F20-1)*100</f>
        <v>8.32481448608751</v>
      </c>
      <c r="I32" s="24" t="n">
        <f aca="false">(C32/C31-1)*100</f>
        <v>-2.30283955473466</v>
      </c>
      <c r="J32" s="24" t="n">
        <f aca="false">(D32/D31-1)*100</f>
        <v>0.13178374557945</v>
      </c>
      <c r="K32" s="24" t="n">
        <f aca="false">(E32/E31-1)*100</f>
        <v>0.835341717030969</v>
      </c>
    </row>
    <row r="33" customFormat="false" ht="15" hidden="false" customHeight="false" outlineLevel="0" collapsed="false">
      <c r="A33" s="20" t="n">
        <v>38807</v>
      </c>
      <c r="B33" s="25" t="s">
        <v>437</v>
      </c>
      <c r="C33" s="23" t="n">
        <f aca="false">'SA Data'!R33</f>
        <v>100.991423606809</v>
      </c>
      <c r="D33" s="23" t="n">
        <f aca="false">'SA Data'!S33</f>
        <v>115.358830604447</v>
      </c>
      <c r="E33" s="23" t="n">
        <f aca="false">'SA Data'!T33</f>
        <v>115.432171467149</v>
      </c>
      <c r="F33" s="22" t="n">
        <f aca="false">C33*'Weights &amp; Assumptions'!$B$25/'Weights &amp; Assumptions'!$B$28+D33*'Weights &amp; Assumptions'!$B$26/'Weights &amp; Assumptions'!$B$28+E33*'Weights &amp; Assumptions'!$B$27/'Weights &amp; Assumptions'!$B$28</f>
        <v>114.201078087577</v>
      </c>
      <c r="G33" s="24" t="n">
        <f aca="false">(F33/F32-1)*100</f>
        <v>0.933746829741589</v>
      </c>
      <c r="H33" s="24" t="n">
        <f aca="false">(F33/F21-1)*100</f>
        <v>7.90590300304919</v>
      </c>
      <c r="I33" s="24" t="n">
        <f aca="false">(C33/C32-1)*100</f>
        <v>-0.919938445869706</v>
      </c>
      <c r="J33" s="24" t="n">
        <f aca="false">(D33/D32-1)*100</f>
        <v>1.63123735776141</v>
      </c>
      <c r="K33" s="24" t="n">
        <f aca="false">(E33/E32-1)*100</f>
        <v>0.863860893121582</v>
      </c>
    </row>
    <row r="34" customFormat="false" ht="15" hidden="false" customHeight="false" outlineLevel="0" collapsed="false">
      <c r="A34" s="20" t="n">
        <v>38837</v>
      </c>
      <c r="B34" s="25" t="s">
        <v>437</v>
      </c>
      <c r="C34" s="23" t="n">
        <f aca="false">'SA Data'!R34</f>
        <v>99.4785236871123</v>
      </c>
      <c r="D34" s="23" t="n">
        <f aca="false">'SA Data'!S34</f>
        <v>115.192388993552</v>
      </c>
      <c r="E34" s="23" t="n">
        <f aca="false">'SA Data'!T34</f>
        <v>115.562982490933</v>
      </c>
      <c r="F34" s="22" t="n">
        <f aca="false">C34*'Weights &amp; Assumptions'!$B$25/'Weights &amp; Assumptions'!$B$28+D34*'Weights &amp; Assumptions'!$B$26/'Weights &amp; Assumptions'!$B$28+E34*'Weights &amp; Assumptions'!$B$27/'Weights &amp; Assumptions'!$B$28</f>
        <v>114.114935727291</v>
      </c>
      <c r="G34" s="24" t="n">
        <f aca="false">(F34/F33-1)*100</f>
        <v>-0.0754304265153327</v>
      </c>
      <c r="H34" s="24" t="n">
        <f aca="false">(F34/F22-1)*100</f>
        <v>5.95372919778314</v>
      </c>
      <c r="I34" s="24" t="n">
        <f aca="false">(C34/C33-1)*100</f>
        <v>-1.49804791898697</v>
      </c>
      <c r="J34" s="24" t="n">
        <f aca="false">(D34/D33-1)*100</f>
        <v>-0.144281638451438</v>
      </c>
      <c r="K34" s="24" t="n">
        <f aca="false">(E34/E33-1)*100</f>
        <v>0.113322847626929</v>
      </c>
    </row>
    <row r="35" customFormat="false" ht="15" hidden="false" customHeight="false" outlineLevel="0" collapsed="false">
      <c r="A35" s="20" t="n">
        <v>38868</v>
      </c>
      <c r="B35" s="25" t="s">
        <v>437</v>
      </c>
      <c r="C35" s="23" t="n">
        <f aca="false">'SA Data'!R35</f>
        <v>100.824326523288</v>
      </c>
      <c r="D35" s="23" t="n">
        <f aca="false">'SA Data'!S35</f>
        <v>116.226828522063</v>
      </c>
      <c r="E35" s="23" t="n">
        <f aca="false">'SA Data'!T35</f>
        <v>116.886266438969</v>
      </c>
      <c r="F35" s="22" t="n">
        <f aca="false">C35*'Weights &amp; Assumptions'!$B$25/'Weights &amp; Assumptions'!$B$28+D35*'Weights &amp; Assumptions'!$B$26/'Weights &amp; Assumptions'!$B$28+E35*'Weights &amp; Assumptions'!$B$27/'Weights &amp; Assumptions'!$B$28</f>
        <v>115.363300252048</v>
      </c>
      <c r="G35" s="24" t="n">
        <f aca="false">(F35/F34-1)*100</f>
        <v>1.09395366767828</v>
      </c>
      <c r="H35" s="24" t="n">
        <f aca="false">(F35/F23-1)*100</f>
        <v>6.56019653017499</v>
      </c>
      <c r="I35" s="24" t="n">
        <f aca="false">(C35/C34-1)*100</f>
        <v>1.35285766846431</v>
      </c>
      <c r="J35" s="24" t="n">
        <f aca="false">(D35/D34-1)*100</f>
        <v>0.89801030914296</v>
      </c>
      <c r="K35" s="24" t="n">
        <f aca="false">(E35/E34-1)*100</f>
        <v>1.14507597460123</v>
      </c>
    </row>
    <row r="36" customFormat="false" ht="15" hidden="false" customHeight="false" outlineLevel="0" collapsed="false">
      <c r="A36" s="20" t="n">
        <v>38898</v>
      </c>
      <c r="B36" s="25" t="s">
        <v>437</v>
      </c>
      <c r="C36" s="23" t="n">
        <f aca="false">'SA Data'!R36</f>
        <v>101.249190367772</v>
      </c>
      <c r="D36" s="23" t="n">
        <f aca="false">'SA Data'!S36</f>
        <v>117.635287469428</v>
      </c>
      <c r="E36" s="23" t="n">
        <f aca="false">'SA Data'!T36</f>
        <v>117.808787561056</v>
      </c>
      <c r="F36" s="22" t="n">
        <f aca="false">C36*'Weights &amp; Assumptions'!$B$25/'Weights &amp; Assumptions'!$B$28+D36*'Weights &amp; Assumptions'!$B$26/'Weights &amp; Assumptions'!$B$28+E36*'Weights &amp; Assumptions'!$B$27/'Weights &amp; Assumptions'!$B$28</f>
        <v>116.373286870578</v>
      </c>
      <c r="G36" s="24" t="n">
        <f aca="false">(F36/F35-1)*100</f>
        <v>0.875483465125337</v>
      </c>
      <c r="H36" s="24" t="n">
        <f aca="false">(F36/F24-1)*100</f>
        <v>7.2581598651845</v>
      </c>
      <c r="I36" s="24" t="n">
        <f aca="false">(C36/C35-1)*100</f>
        <v>0.421390213189921</v>
      </c>
      <c r="J36" s="24" t="n">
        <f aca="false">(D36/D35-1)*100</f>
        <v>1.21181913442436</v>
      </c>
      <c r="K36" s="24" t="n">
        <f aca="false">(E36/E35-1)*100</f>
        <v>0.789246803915944</v>
      </c>
    </row>
    <row r="37" customFormat="false" ht="15" hidden="false" customHeight="false" outlineLevel="0" collapsed="false">
      <c r="A37" s="20" t="n">
        <v>38929</v>
      </c>
      <c r="B37" s="25" t="s">
        <v>437</v>
      </c>
      <c r="C37" s="23" t="n">
        <f aca="false">'SA Data'!R37</f>
        <v>104.531586297755</v>
      </c>
      <c r="D37" s="23" t="n">
        <f aca="false">'SA Data'!S37</f>
        <v>118.927463573122</v>
      </c>
      <c r="E37" s="23" t="n">
        <f aca="false">'SA Data'!T37</f>
        <v>118.568022851998</v>
      </c>
      <c r="F37" s="22" t="n">
        <f aca="false">C37*'Weights &amp; Assumptions'!$B$25/'Weights &amp; Assumptions'!$B$28+D37*'Weights &amp; Assumptions'!$B$26/'Weights &amp; Assumptions'!$B$28+E37*'Weights &amp; Assumptions'!$B$27/'Weights &amp; Assumptions'!$B$28</f>
        <v>117.485935710515</v>
      </c>
      <c r="G37" s="24" t="n">
        <f aca="false">(F37/F36-1)*100</f>
        <v>0.95610330330751</v>
      </c>
      <c r="H37" s="24" t="n">
        <f aca="false">(F37/F25-1)*100</f>
        <v>8.68971534924492</v>
      </c>
      <c r="I37" s="24" t="n">
        <f aca="false">(C37/C36-1)*100</f>
        <v>3.24189844685134</v>
      </c>
      <c r="J37" s="24" t="n">
        <f aca="false">(D37/D36-1)*100</f>
        <v>1.09845959617383</v>
      </c>
      <c r="K37" s="24" t="n">
        <f aca="false">(E37/E36-1)*100</f>
        <v>0.644464056256711</v>
      </c>
    </row>
    <row r="38" customFormat="false" ht="15" hidden="false" customHeight="false" outlineLevel="0" collapsed="false">
      <c r="A38" s="20" t="n">
        <v>38960</v>
      </c>
      <c r="B38" s="25" t="s">
        <v>437</v>
      </c>
      <c r="C38" s="23" t="n">
        <f aca="false">'SA Data'!R38</f>
        <v>108.085467770028</v>
      </c>
      <c r="D38" s="23" t="n">
        <f aca="false">'SA Data'!S38</f>
        <v>118.818218035893</v>
      </c>
      <c r="E38" s="23" t="n">
        <f aca="false">'SA Data'!T38</f>
        <v>120.035426908073</v>
      </c>
      <c r="F38" s="22" t="n">
        <f aca="false">C38*'Weights &amp; Assumptions'!$B$25/'Weights &amp; Assumptions'!$B$28+D38*'Weights &amp; Assumptions'!$B$26/'Weights &amp; Assumptions'!$B$28+E38*'Weights &amp; Assumptions'!$B$27/'Weights &amp; Assumptions'!$B$28</f>
        <v>118.709138290137</v>
      </c>
      <c r="G38" s="24" t="n">
        <f aca="false">(F38/F37-1)*100</f>
        <v>1.04114809336471</v>
      </c>
      <c r="H38" s="24" t="n">
        <f aca="false">(F38/F26-1)*100</f>
        <v>9.16795535808552</v>
      </c>
      <c r="I38" s="24" t="n">
        <f aca="false">(C38/C37-1)*100</f>
        <v>3.39981588163236</v>
      </c>
      <c r="J38" s="24" t="n">
        <f aca="false">(D38/D37-1)*100</f>
        <v>-0.0918589650757307</v>
      </c>
      <c r="K38" s="24" t="n">
        <f aca="false">(E38/E37-1)*100</f>
        <v>1.23760523350041</v>
      </c>
    </row>
    <row r="39" customFormat="false" ht="15" hidden="false" customHeight="false" outlineLevel="0" collapsed="false">
      <c r="A39" s="20" t="n">
        <v>38990</v>
      </c>
      <c r="B39" s="25" t="s">
        <v>437</v>
      </c>
      <c r="C39" s="23" t="n">
        <f aca="false">'SA Data'!R39</f>
        <v>108.573522918957</v>
      </c>
      <c r="D39" s="23" t="n">
        <f aca="false">'SA Data'!S39</f>
        <v>118.409546082489</v>
      </c>
      <c r="E39" s="23" t="n">
        <f aca="false">'SA Data'!T39</f>
        <v>120.42099557935</v>
      </c>
      <c r="F39" s="22" t="n">
        <f aca="false">C39*'Weights &amp; Assumptions'!$B$25/'Weights &amp; Assumptions'!$B$28+D39*'Weights &amp; Assumptions'!$B$26/'Weights &amp; Assumptions'!$B$28+E39*'Weights &amp; Assumptions'!$B$27/'Weights &amp; Assumptions'!$B$28</f>
        <v>118.892103206149</v>
      </c>
      <c r="G39" s="24" t="n">
        <f aca="false">(F39/F38-1)*100</f>
        <v>0.154128754236926</v>
      </c>
      <c r="H39" s="24" t="n">
        <f aca="false">(F39/F27-1)*100</f>
        <v>8.78707916864303</v>
      </c>
      <c r="I39" s="24" t="n">
        <f aca="false">(C39/C38-1)*100</f>
        <v>0.451545576845791</v>
      </c>
      <c r="J39" s="24" t="n">
        <f aca="false">(D39/D38-1)*100</f>
        <v>-0.34394721630997</v>
      </c>
      <c r="K39" s="24" t="n">
        <f aca="false">(E39/E38-1)*100</f>
        <v>0.321212396380277</v>
      </c>
    </row>
    <row r="40" customFormat="false" ht="15" hidden="false" customHeight="false" outlineLevel="0" collapsed="false">
      <c r="A40" s="20" t="n">
        <v>39021</v>
      </c>
      <c r="B40" s="25" t="s">
        <v>437</v>
      </c>
      <c r="C40" s="23" t="n">
        <f aca="false">'SA Data'!R40</f>
        <v>102.666139473435</v>
      </c>
      <c r="D40" s="23" t="n">
        <f aca="false">'SA Data'!S40</f>
        <v>119.12083758259</v>
      </c>
      <c r="E40" s="23" t="n">
        <f aca="false">'SA Data'!T40</f>
        <v>121.161417698126</v>
      </c>
      <c r="F40" s="22" t="n">
        <f aca="false">C40*'Weights &amp; Assumptions'!$B$25/'Weights &amp; Assumptions'!$B$28+D40*'Weights &amp; Assumptions'!$B$26/'Weights &amp; Assumptions'!$B$28+E40*'Weights &amp; Assumptions'!$B$27/'Weights &amp; Assumptions'!$B$28</f>
        <v>119.067022565423</v>
      </c>
      <c r="G40" s="24" t="n">
        <f aca="false">(F40/F39-1)*100</f>
        <v>0.147124455331715</v>
      </c>
      <c r="H40" s="24" t="n">
        <f aca="false">(F40/F28-1)*100</f>
        <v>8.81091601033606</v>
      </c>
      <c r="I40" s="24" t="n">
        <f aca="false">(C40/C39-1)*100</f>
        <v>-5.44090611293028</v>
      </c>
      <c r="J40" s="24" t="n">
        <f aca="false">(D40/D39-1)*100</f>
        <v>0.600704523944851</v>
      </c>
      <c r="K40" s="24" t="n">
        <f aca="false">(E40/E39-1)*100</f>
        <v>0.614861316512072</v>
      </c>
    </row>
    <row r="41" customFormat="false" ht="15" hidden="false" customHeight="false" outlineLevel="0" collapsed="false">
      <c r="A41" s="20" t="n">
        <v>39051</v>
      </c>
      <c r="B41" s="25" t="s">
        <v>437</v>
      </c>
      <c r="C41" s="23" t="n">
        <f aca="false">'SA Data'!R41</f>
        <v>102.672933649458</v>
      </c>
      <c r="D41" s="23" t="n">
        <f aca="false">'SA Data'!S41</f>
        <v>120.462928856224</v>
      </c>
      <c r="E41" s="23" t="n">
        <f aca="false">'SA Data'!T41</f>
        <v>122.630973172102</v>
      </c>
      <c r="F41" s="22" t="n">
        <f aca="false">C41*'Weights &amp; Assumptions'!$B$25/'Weights &amp; Assumptions'!$B$28+D41*'Weights &amp; Assumptions'!$B$26/'Weights &amp; Assumptions'!$B$28+E41*'Weights &amp; Assumptions'!$B$27/'Weights &amp; Assumptions'!$B$28</f>
        <v>120.379956191757</v>
      </c>
      <c r="G41" s="24" t="n">
        <f aca="false">(F41/F40-1)*100</f>
        <v>1.10268452006701</v>
      </c>
      <c r="H41" s="24" t="n">
        <f aca="false">(F41/F29-1)*100</f>
        <v>8.24787518093688</v>
      </c>
      <c r="I41" s="24" t="n">
        <f aca="false">(C41/C40-1)*100</f>
        <v>0.00661773790058273</v>
      </c>
      <c r="J41" s="24" t="n">
        <f aca="false">(D41/D40-1)*100</f>
        <v>1.12666373144283</v>
      </c>
      <c r="K41" s="24" t="n">
        <f aca="false">(E41/E40-1)*100</f>
        <v>1.21289062301786</v>
      </c>
    </row>
    <row r="42" customFormat="false" ht="15" hidden="false" customHeight="false" outlineLevel="0" collapsed="false">
      <c r="A42" s="20" t="n">
        <v>39082</v>
      </c>
      <c r="B42" s="25" t="s">
        <v>437</v>
      </c>
      <c r="C42" s="23" t="n">
        <f aca="false">'SA Data'!R42</f>
        <v>105.996381210025</v>
      </c>
      <c r="D42" s="23" t="n">
        <f aca="false">'SA Data'!S42</f>
        <v>121.526689094341</v>
      </c>
      <c r="E42" s="23" t="n">
        <f aca="false">'SA Data'!T42</f>
        <v>123.224562936012</v>
      </c>
      <c r="F42" s="22" t="n">
        <f aca="false">C42*'Weights &amp; Assumptions'!$B$25/'Weights &amp; Assumptions'!$B$28+D42*'Weights &amp; Assumptions'!$B$26/'Weights &amp; Assumptions'!$B$28+E42*'Weights &amp; Assumptions'!$B$27/'Weights &amp; Assumptions'!$B$28</f>
        <v>121.327609838697</v>
      </c>
      <c r="G42" s="24" t="n">
        <f aca="false">(F42/F41-1)*100</f>
        <v>0.787218800304523</v>
      </c>
      <c r="H42" s="24" t="n">
        <f aca="false">(F42/F30-1)*100</f>
        <v>7.63605748120302</v>
      </c>
      <c r="I42" s="24" t="n">
        <f aca="false">(C42/C41-1)*100</f>
        <v>3.2369266586983</v>
      </c>
      <c r="J42" s="24" t="n">
        <f aca="false">(D42/D41-1)*100</f>
        <v>0.883060247843726</v>
      </c>
      <c r="K42" s="24" t="n">
        <f aca="false">(E42/E41-1)*100</f>
        <v>0.48404554620709</v>
      </c>
    </row>
    <row r="43" customFormat="false" ht="15" hidden="false" customHeight="false" outlineLevel="0" collapsed="false">
      <c r="A43" s="20" t="n">
        <v>39113</v>
      </c>
      <c r="B43" s="25" t="s">
        <v>437</v>
      </c>
      <c r="C43" s="23" t="n">
        <f aca="false">'SA Data'!R43</f>
        <v>107.987555687397</v>
      </c>
      <c r="D43" s="23" t="n">
        <f aca="false">'SA Data'!S43</f>
        <v>120.93754686173</v>
      </c>
      <c r="E43" s="23" t="n">
        <f aca="false">'SA Data'!T43</f>
        <v>124.596962613354</v>
      </c>
      <c r="F43" s="22" t="n">
        <f aca="false">C43*'Weights &amp; Assumptions'!$B$25/'Weights &amp; Assumptions'!$B$28+D43*'Weights &amp; Assumptions'!$B$26/'Weights &amp; Assumptions'!$B$28+E43*'Weights &amp; Assumptions'!$B$27/'Weights &amp; Assumptions'!$B$28</f>
        <v>122.23031697831</v>
      </c>
      <c r="G43" s="24" t="n">
        <f aca="false">(F43/F42-1)*100</f>
        <v>0.744024497650164</v>
      </c>
      <c r="H43" s="24" t="n">
        <f aca="false">(F43/F31-1)*100</f>
        <v>8.46595689077092</v>
      </c>
      <c r="I43" s="24" t="n">
        <f aca="false">(C43/C42-1)*100</f>
        <v>1.87853062023553</v>
      </c>
      <c r="J43" s="24" t="n">
        <f aca="false">(D43/D42-1)*100</f>
        <v>-0.484784237110292</v>
      </c>
      <c r="K43" s="24" t="n">
        <f aca="false">(E43/E42-1)*100</f>
        <v>1.11373872598317</v>
      </c>
    </row>
    <row r="44" customFormat="false" ht="15" hidden="false" customHeight="false" outlineLevel="0" collapsed="false">
      <c r="A44" s="20" t="n">
        <v>39141</v>
      </c>
      <c r="B44" s="25" t="s">
        <v>437</v>
      </c>
      <c r="C44" s="23" t="n">
        <f aca="false">'SA Data'!R44</f>
        <v>106.290294976754</v>
      </c>
      <c r="D44" s="23" t="n">
        <f aca="false">'SA Data'!S44</f>
        <v>122.550988996317</v>
      </c>
      <c r="E44" s="23" t="n">
        <f aca="false">'SA Data'!T44</f>
        <v>125.067085573328</v>
      </c>
      <c r="F44" s="22" t="n">
        <f aca="false">C44*'Weights &amp; Assumptions'!$B$25/'Weights &amp; Assumptions'!$B$28+D44*'Weights &amp; Assumptions'!$B$26/'Weights &amp; Assumptions'!$B$28+E44*'Weights &amp; Assumptions'!$B$27/'Weights &amp; Assumptions'!$B$28</f>
        <v>122.822623184844</v>
      </c>
      <c r="G44" s="24" t="n">
        <f aca="false">(F44/F43-1)*100</f>
        <v>0.484582075197948</v>
      </c>
      <c r="H44" s="24" t="n">
        <f aca="false">(F44/F32-1)*100</f>
        <v>8.55368233911928</v>
      </c>
      <c r="I44" s="24" t="n">
        <f aca="false">(C44/C43-1)*100</f>
        <v>-1.57171879652199</v>
      </c>
      <c r="J44" s="24" t="n">
        <f aca="false">(D44/D43-1)*100</f>
        <v>1.3341118423978</v>
      </c>
      <c r="K44" s="24" t="n">
        <f aca="false">(E44/E43-1)*100</f>
        <v>0.377314944212337</v>
      </c>
    </row>
    <row r="45" customFormat="false" ht="15" hidden="false" customHeight="false" outlineLevel="0" collapsed="false">
      <c r="A45" s="20" t="n">
        <v>39172</v>
      </c>
      <c r="B45" s="25" t="s">
        <v>437</v>
      </c>
      <c r="C45" s="23" t="n">
        <f aca="false">'SA Data'!R45</f>
        <v>108.17119906644</v>
      </c>
      <c r="D45" s="23" t="n">
        <f aca="false">'SA Data'!S45</f>
        <v>124.843213826163</v>
      </c>
      <c r="E45" s="23" t="n">
        <f aca="false">'SA Data'!T45</f>
        <v>127.262621334116</v>
      </c>
      <c r="F45" s="22" t="n">
        <f aca="false">C45*'Weights &amp; Assumptions'!$B$25/'Weights &amp; Assumptions'!$B$28+D45*'Weights &amp; Assumptions'!$B$26/'Weights &amp; Assumptions'!$B$28+E45*'Weights &amp; Assumptions'!$B$27/'Weights &amp; Assumptions'!$B$28</f>
        <v>125.017472399034</v>
      </c>
      <c r="G45" s="24" t="n">
        <f aca="false">(F45/F44-1)*100</f>
        <v>1.78700727706034</v>
      </c>
      <c r="H45" s="24" t="n">
        <f aca="false">(F45/F33-1)*100</f>
        <v>9.47135919606799</v>
      </c>
      <c r="I45" s="24" t="n">
        <f aca="false">(C45/C44-1)*100</f>
        <v>1.76959156063883</v>
      </c>
      <c r="J45" s="24" t="n">
        <f aca="false">(D45/D44-1)*100</f>
        <v>1.87042540302502</v>
      </c>
      <c r="K45" s="24" t="n">
        <f aca="false">(E45/E44-1)*100</f>
        <v>1.75548646610193</v>
      </c>
    </row>
    <row r="46" customFormat="false" ht="15" hidden="false" customHeight="false" outlineLevel="0" collapsed="false">
      <c r="A46" s="20" t="n">
        <v>39202</v>
      </c>
      <c r="B46" s="25" t="s">
        <v>437</v>
      </c>
      <c r="C46" s="23" t="n">
        <f aca="false">'SA Data'!R46</f>
        <v>115.292233689491</v>
      </c>
      <c r="D46" s="23" t="n">
        <f aca="false">'SA Data'!S46</f>
        <v>123.272404377157</v>
      </c>
      <c r="E46" s="23" t="n">
        <f aca="false">'SA Data'!T46</f>
        <v>125.874604569415</v>
      </c>
      <c r="F46" s="22" t="n">
        <f aca="false">C46*'Weights &amp; Assumptions'!$B$25/'Weights &amp; Assumptions'!$B$28+D46*'Weights &amp; Assumptions'!$B$26/'Weights &amp; Assumptions'!$B$28+E46*'Weights &amp; Assumptions'!$B$27/'Weights &amp; Assumptions'!$B$28</f>
        <v>124.294764359174</v>
      </c>
      <c r="G46" s="24" t="n">
        <f aca="false">(F46/F45-1)*100</f>
        <v>-0.578085627546099</v>
      </c>
      <c r="H46" s="24" t="n">
        <f aca="false">(F46/F34-1)*100</f>
        <v>8.92068033601703</v>
      </c>
      <c r="I46" s="24" t="n">
        <f aca="false">(C46/C45-1)*100</f>
        <v>6.58311517715253</v>
      </c>
      <c r="J46" s="24" t="n">
        <f aca="false">(D46/D45-1)*100</f>
        <v>-1.25822573839965</v>
      </c>
      <c r="K46" s="24" t="n">
        <f aca="false">(E46/E45-1)*100</f>
        <v>-1.09067120427895</v>
      </c>
    </row>
    <row r="47" customFormat="false" ht="15" hidden="false" customHeight="false" outlineLevel="0" collapsed="false">
      <c r="A47" s="20" t="n">
        <v>39233</v>
      </c>
      <c r="B47" s="25" t="s">
        <v>437</v>
      </c>
      <c r="C47" s="23" t="n">
        <f aca="false">'SA Data'!R47</f>
        <v>117.285706085309</v>
      </c>
      <c r="D47" s="23" t="n">
        <f aca="false">'SA Data'!S47</f>
        <v>125.139429705348</v>
      </c>
      <c r="E47" s="23" t="n">
        <f aca="false">'SA Data'!T47</f>
        <v>128.039195918006</v>
      </c>
      <c r="F47" s="22" t="n">
        <f aca="false">C47*'Weights &amp; Assumptions'!$B$25/'Weights &amp; Assumptions'!$B$28+D47*'Weights &amp; Assumptions'!$B$26/'Weights &amp; Assumptions'!$B$28+E47*'Weights &amp; Assumptions'!$B$27/'Weights &amp; Assumptions'!$B$28</f>
        <v>126.365870682466</v>
      </c>
      <c r="G47" s="24" t="n">
        <f aca="false">(F47/F46-1)*100</f>
        <v>1.66628605313339</v>
      </c>
      <c r="H47" s="24" t="n">
        <f aca="false">(F47/F35-1)*100</f>
        <v>9.53732288030833</v>
      </c>
      <c r="I47" s="24" t="n">
        <f aca="false">(C47/C46-1)*100</f>
        <v>1.72906043366852</v>
      </c>
      <c r="J47" s="24" t="n">
        <f aca="false">(D47/D46-1)*100</f>
        <v>1.51455253722415</v>
      </c>
      <c r="K47" s="24" t="n">
        <f aca="false">(E47/E46-1)*100</f>
        <v>1.71964103164073</v>
      </c>
    </row>
    <row r="48" customFormat="false" ht="15" hidden="false" customHeight="false" outlineLevel="0" collapsed="false">
      <c r="A48" s="20" t="n">
        <v>39263</v>
      </c>
      <c r="B48" s="25" t="s">
        <v>437</v>
      </c>
      <c r="C48" s="23" t="n">
        <f aca="false">'SA Data'!R48</f>
        <v>116.682980438266</v>
      </c>
      <c r="D48" s="23" t="n">
        <f aca="false">'SA Data'!S48</f>
        <v>125.005539729227</v>
      </c>
      <c r="E48" s="23" t="n">
        <f aca="false">'SA Data'!T48</f>
        <v>129.072262958564</v>
      </c>
      <c r="F48" s="22" t="n">
        <f aca="false">C48*'Weights &amp; Assumptions'!$B$25/'Weights &amp; Assumptions'!$B$28+D48*'Weights &amp; Assumptions'!$B$26/'Weights &amp; Assumptions'!$B$28+E48*'Weights &amp; Assumptions'!$B$27/'Weights &amp; Assumptions'!$B$28</f>
        <v>126.951379099898</v>
      </c>
      <c r="G48" s="24" t="n">
        <f aca="false">(F48/F47-1)*100</f>
        <v>0.463343792330906</v>
      </c>
      <c r="H48" s="24" t="n">
        <f aca="false">(F48/F36-1)*100</f>
        <v>9.08979415618305</v>
      </c>
      <c r="I48" s="24" t="n">
        <f aca="false">(C48/C47-1)*100</f>
        <v>-0.51389522829336</v>
      </c>
      <c r="J48" s="24" t="n">
        <f aca="false">(D48/D47-1)*100</f>
        <v>-0.106992637281733</v>
      </c>
      <c r="K48" s="24" t="n">
        <f aca="false">(E48/E47-1)*100</f>
        <v>0.806836557471291</v>
      </c>
    </row>
    <row r="49" customFormat="false" ht="15" hidden="false" customHeight="false" outlineLevel="0" collapsed="false">
      <c r="A49" s="20" t="n">
        <v>39294</v>
      </c>
      <c r="B49" s="25" t="s">
        <v>437</v>
      </c>
      <c r="C49" s="23" t="n">
        <f aca="false">'SA Data'!R49</f>
        <v>108.550985987907</v>
      </c>
      <c r="D49" s="23" t="n">
        <f aca="false">'SA Data'!S49</f>
        <v>123.135949598508</v>
      </c>
      <c r="E49" s="23" t="n">
        <f aca="false">'SA Data'!T49</f>
        <v>129.115058995781</v>
      </c>
      <c r="F49" s="22" t="n">
        <f aca="false">C49*'Weights &amp; Assumptions'!$B$25/'Weights &amp; Assumptions'!$B$28+D49*'Weights &amp; Assumptions'!$B$26/'Weights &amp; Assumptions'!$B$28+E49*'Weights &amp; Assumptions'!$B$27/'Weights &amp; Assumptions'!$B$28</f>
        <v>125.799766524228</v>
      </c>
      <c r="G49" s="24" t="n">
        <f aca="false">(F49/F48-1)*100</f>
        <v>-0.907128842423544</v>
      </c>
      <c r="H49" s="24" t="n">
        <f aca="false">(F49/F37-1)*100</f>
        <v>7.07644771557887</v>
      </c>
      <c r="I49" s="24" t="n">
        <f aca="false">(C49/C48-1)*100</f>
        <v>-6.96930642310937</v>
      </c>
      <c r="J49" s="24" t="n">
        <f aca="false">(D49/D48-1)*100</f>
        <v>-1.49560582256532</v>
      </c>
      <c r="K49" s="24" t="n">
        <f aca="false">(E49/E48-1)*100</f>
        <v>0.0331566490239466</v>
      </c>
    </row>
    <row r="50" customFormat="false" ht="15" hidden="false" customHeight="false" outlineLevel="0" collapsed="false">
      <c r="A50" s="20" t="n">
        <v>39325</v>
      </c>
      <c r="B50" s="25" t="s">
        <v>437</v>
      </c>
      <c r="C50" s="23" t="n">
        <f aca="false">'SA Data'!R50</f>
        <v>104.776229537325</v>
      </c>
      <c r="D50" s="23" t="n">
        <f aca="false">'SA Data'!S50</f>
        <v>126.254333191216</v>
      </c>
      <c r="E50" s="23" t="n">
        <f aca="false">'SA Data'!T50</f>
        <v>130.689140123243</v>
      </c>
      <c r="F50" s="22" t="n">
        <f aca="false">C50*'Weights &amp; Assumptions'!$B$25/'Weights &amp; Assumptions'!$B$28+D50*'Weights &amp; Assumptions'!$B$26/'Weights &amp; Assumptions'!$B$28+E50*'Weights &amp; Assumptions'!$B$27/'Weights &amp; Assumptions'!$B$28</f>
        <v>127.335732729238</v>
      </c>
      <c r="G50" s="24" t="n">
        <f aca="false">(F50/F49-1)*100</f>
        <v>1.22096109352798</v>
      </c>
      <c r="H50" s="24" t="n">
        <f aca="false">(F50/F38-1)*100</f>
        <v>7.26700114528427</v>
      </c>
      <c r="I50" s="24" t="n">
        <f aca="false">(C50/C49-1)*100</f>
        <v>-3.47740411220386</v>
      </c>
      <c r="J50" s="24" t="n">
        <f aca="false">(D50/D49-1)*100</f>
        <v>2.5324721195362</v>
      </c>
      <c r="K50" s="24" t="n">
        <f aca="false">(E50/E49-1)*100</f>
        <v>1.21913054891107</v>
      </c>
    </row>
    <row r="51" customFormat="false" ht="15" hidden="false" customHeight="false" outlineLevel="0" collapsed="false">
      <c r="A51" s="20" t="n">
        <v>39355</v>
      </c>
      <c r="B51" s="25" t="s">
        <v>437</v>
      </c>
      <c r="C51" s="23" t="n">
        <f aca="false">'SA Data'!R51</f>
        <v>102.351617157073</v>
      </c>
      <c r="D51" s="23" t="n">
        <f aca="false">'SA Data'!S51</f>
        <v>126.661310904959</v>
      </c>
      <c r="E51" s="23" t="n">
        <f aca="false">'SA Data'!T51</f>
        <v>129.669718580701</v>
      </c>
      <c r="F51" s="22" t="n">
        <f aca="false">C51*'Weights &amp; Assumptions'!$B$25/'Weights &amp; Assumptions'!$B$28+D51*'Weights &amp; Assumptions'!$B$26/'Weights &amp; Assumptions'!$B$28+E51*'Weights &amp; Assumptions'!$B$27/'Weights &amp; Assumptions'!$B$28</f>
        <v>126.577718984839</v>
      </c>
      <c r="G51" s="24" t="n">
        <f aca="false">(F51/F50-1)*100</f>
        <v>-0.595287534891131</v>
      </c>
      <c r="H51" s="24" t="n">
        <f aca="false">(F51/F39-1)*100</f>
        <v>6.46436186376798</v>
      </c>
      <c r="I51" s="24" t="n">
        <f aca="false">(C51/C50-1)*100</f>
        <v>-2.31408630655923</v>
      </c>
      <c r="J51" s="24" t="n">
        <f aca="false">(D51/D50-1)*100</f>
        <v>0.322347521432054</v>
      </c>
      <c r="K51" s="24" t="n">
        <f aca="false">(E51/E50-1)*100</f>
        <v>-0.780035389000433</v>
      </c>
    </row>
    <row r="52" customFormat="false" ht="15" hidden="false" customHeight="false" outlineLevel="0" collapsed="false">
      <c r="A52" s="20" t="n">
        <v>39386</v>
      </c>
      <c r="B52" s="25" t="s">
        <v>437</v>
      </c>
      <c r="C52" s="23" t="n">
        <f aca="false">'SA Data'!R52</f>
        <v>105.874479663934</v>
      </c>
      <c r="D52" s="23" t="n">
        <f aca="false">'SA Data'!S52</f>
        <v>129.473571478446</v>
      </c>
      <c r="E52" s="23" t="n">
        <f aca="false">'SA Data'!T52</f>
        <v>132.181560489157</v>
      </c>
      <c r="F52" s="22" t="n">
        <f aca="false">C52*'Weights &amp; Assumptions'!$B$25/'Weights &amp; Assumptions'!$B$28+D52*'Weights &amp; Assumptions'!$B$26/'Weights &amp; Assumptions'!$B$28+E52*'Weights &amp; Assumptions'!$B$27/'Weights &amp; Assumptions'!$B$28</f>
        <v>129.254272933665</v>
      </c>
      <c r="G52" s="24" t="n">
        <f aca="false">(F52/F51-1)*100</f>
        <v>2.11455378584222</v>
      </c>
      <c r="H52" s="24" t="n">
        <f aca="false">(F52/F40-1)*100</f>
        <v>8.55589578772289</v>
      </c>
      <c r="I52" s="24" t="n">
        <f aca="false">(C52/C51-1)*100</f>
        <v>3.44192168596129</v>
      </c>
      <c r="J52" s="24" t="n">
        <f aca="false">(D52/D51-1)*100</f>
        <v>2.22029959535</v>
      </c>
      <c r="K52" s="24" t="n">
        <f aca="false">(E52/E51-1)*100</f>
        <v>1.93710754981913</v>
      </c>
    </row>
    <row r="53" customFormat="false" ht="15" hidden="false" customHeight="false" outlineLevel="0" collapsed="false">
      <c r="A53" s="20" t="n">
        <v>39416</v>
      </c>
      <c r="B53" s="25" t="s">
        <v>437</v>
      </c>
      <c r="C53" s="23" t="n">
        <f aca="false">'SA Data'!R53</f>
        <v>106.184395388554</v>
      </c>
      <c r="D53" s="23" t="n">
        <f aca="false">'SA Data'!S53</f>
        <v>130.711105000073</v>
      </c>
      <c r="E53" s="23" t="n">
        <f aca="false">'SA Data'!T53</f>
        <v>133.532078628011</v>
      </c>
      <c r="F53" s="22" t="n">
        <f aca="false">C53*'Weights &amp; Assumptions'!$B$25/'Weights &amp; Assumptions'!$B$28+D53*'Weights &amp; Assumptions'!$B$26/'Weights &amp; Assumptions'!$B$28+E53*'Weights &amp; Assumptions'!$B$27/'Weights &amp; Assumptions'!$B$28</f>
        <v>130.487439080622</v>
      </c>
      <c r="G53" s="24" t="n">
        <f aca="false">(F53/F52-1)*100</f>
        <v>0.954062189951799</v>
      </c>
      <c r="H53" s="24" t="n">
        <f aca="false">(F53/F41-1)*100</f>
        <v>8.39631713502633</v>
      </c>
      <c r="I53" s="24" t="n">
        <f aca="false">(C53/C52-1)*100</f>
        <v>0.292719950646903</v>
      </c>
      <c r="J53" s="24" t="n">
        <f aca="false">(D53/D52-1)*100</f>
        <v>0.955819405841329</v>
      </c>
      <c r="K53" s="24" t="n">
        <f aca="false">(E53/E52-1)*100</f>
        <v>1.02171447655459</v>
      </c>
    </row>
    <row r="54" customFormat="false" ht="15" hidden="false" customHeight="false" outlineLevel="0" collapsed="false">
      <c r="A54" s="20" t="n">
        <v>39447</v>
      </c>
      <c r="B54" s="25" t="s">
        <v>437</v>
      </c>
      <c r="C54" s="23" t="n">
        <f aca="false">'SA Data'!R54</f>
        <v>108.587187153734</v>
      </c>
      <c r="D54" s="23" t="n">
        <f aca="false">'SA Data'!S54</f>
        <v>131.143084111442</v>
      </c>
      <c r="E54" s="23" t="n">
        <f aca="false">'SA Data'!T54</f>
        <v>132.789108722233</v>
      </c>
      <c r="F54" s="22" t="n">
        <f aca="false">C54*'Weights &amp; Assumptions'!$B$25/'Weights &amp; Assumptions'!$B$28+D54*'Weights &amp; Assumptions'!$B$26/'Weights &amp; Assumptions'!$B$28+E54*'Weights &amp; Assumptions'!$B$27/'Weights &amp; Assumptions'!$B$28</f>
        <v>130.320840664798</v>
      </c>
      <c r="G54" s="24" t="n">
        <f aca="false">(F54/F53-1)*100</f>
        <v>-0.12767391022307</v>
      </c>
      <c r="H54" s="24" t="n">
        <f aca="false">(F54/F42-1)*100</f>
        <v>7.41235308109836</v>
      </c>
      <c r="I54" s="24" t="n">
        <f aca="false">(C54/C53-1)*100</f>
        <v>2.26284828047185</v>
      </c>
      <c r="J54" s="24" t="n">
        <f aca="false">(D54/D53-1)*100</f>
        <v>0.330483864679354</v>
      </c>
      <c r="K54" s="24" t="n">
        <f aca="false">(E54/E53-1)*100</f>
        <v>-0.556398068098474</v>
      </c>
    </row>
    <row r="55" customFormat="false" ht="15" hidden="false" customHeight="false" outlineLevel="0" collapsed="false">
      <c r="A55" s="20" t="n">
        <v>39478</v>
      </c>
      <c r="B55" s="25" t="s">
        <v>437</v>
      </c>
      <c r="C55" s="23" t="n">
        <f aca="false">'SA Data'!R55</f>
        <v>104.999962291975</v>
      </c>
      <c r="D55" s="23" t="n">
        <f aca="false">'SA Data'!S55</f>
        <v>133.277239238915</v>
      </c>
      <c r="E55" s="23" t="n">
        <f aca="false">'SA Data'!T55</f>
        <v>134.960995665557</v>
      </c>
      <c r="F55" s="22" t="n">
        <f aca="false">C55*'Weights &amp; Assumptions'!$B$25/'Weights &amp; Assumptions'!$B$28+D55*'Weights &amp; Assumptions'!$B$26/'Weights &amp; Assumptions'!$B$28+E55*'Weights &amp; Assumptions'!$B$27/'Weights &amp; Assumptions'!$B$28</f>
        <v>131.999499786012</v>
      </c>
      <c r="G55" s="24" t="n">
        <f aca="false">(F55/F54-1)*100</f>
        <v>1.28809721657019</v>
      </c>
      <c r="H55" s="24" t="n">
        <f aca="false">(F55/F43-1)*100</f>
        <v>7.99243841397876</v>
      </c>
      <c r="I55" s="24" t="n">
        <f aca="false">(C55/C54-1)*100</f>
        <v>-3.30354340671849</v>
      </c>
      <c r="J55" s="24" t="n">
        <f aca="false">(D55/D54-1)*100</f>
        <v>1.62734858794291</v>
      </c>
      <c r="K55" s="24" t="n">
        <f aca="false">(E55/E54-1)*100</f>
        <v>1.63559117477601</v>
      </c>
    </row>
    <row r="56" customFormat="false" ht="15" hidden="false" customHeight="false" outlineLevel="0" collapsed="false">
      <c r="A56" s="20" t="n">
        <v>39507</v>
      </c>
      <c r="B56" s="25" t="s">
        <v>437</v>
      </c>
      <c r="C56" s="23" t="n">
        <f aca="false">'SA Data'!R56</f>
        <v>104.46361054939</v>
      </c>
      <c r="D56" s="23" t="n">
        <f aca="false">'SA Data'!S56</f>
        <v>133.657883514551</v>
      </c>
      <c r="E56" s="23" t="n">
        <f aca="false">'SA Data'!T56</f>
        <v>136.029465308039</v>
      </c>
      <c r="F56" s="22" t="n">
        <f aca="false">C56*'Weights &amp; Assumptions'!$B$25/'Weights &amp; Assumptions'!$B$28+D56*'Weights &amp; Assumptions'!$B$26/'Weights &amp; Assumptions'!$B$28+E56*'Weights &amp; Assumptions'!$B$27/'Weights &amp; Assumptions'!$B$28</f>
        <v>132.750418798666</v>
      </c>
      <c r="G56" s="24" t="n">
        <f aca="false">(F56/F55-1)*100</f>
        <v>0.568880195660837</v>
      </c>
      <c r="H56" s="24" t="n">
        <f aca="false">(F56/F44-1)*100</f>
        <v>8.08303499501137</v>
      </c>
      <c r="I56" s="24" t="n">
        <f aca="false">(C56/C55-1)*100</f>
        <v>-0.510811366858965</v>
      </c>
      <c r="J56" s="24" t="n">
        <f aca="false">(D56/D55-1)*100</f>
        <v>0.285603361691944</v>
      </c>
      <c r="K56" s="24" t="n">
        <f aca="false">(E56/E55-1)*100</f>
        <v>0.791687729638424</v>
      </c>
    </row>
    <row r="57" customFormat="false" ht="15" hidden="false" customHeight="false" outlineLevel="0" collapsed="false">
      <c r="A57" s="20" t="n">
        <v>39538</v>
      </c>
      <c r="B57" s="25" t="s">
        <v>437</v>
      </c>
      <c r="C57" s="23" t="n">
        <f aca="false">'SA Data'!R57</f>
        <v>108.13136242974</v>
      </c>
      <c r="D57" s="23" t="n">
        <f aca="false">'SA Data'!S57</f>
        <v>130.025983241168</v>
      </c>
      <c r="E57" s="23" t="n">
        <f aca="false">'SA Data'!T57</f>
        <v>133.107488228642</v>
      </c>
      <c r="F57" s="22" t="n">
        <f aca="false">C57*'Weights &amp; Assumptions'!$B$25/'Weights &amp; Assumptions'!$B$28+D57*'Weights &amp; Assumptions'!$B$26/'Weights &amp; Assumptions'!$B$28+E57*'Weights &amp; Assumptions'!$B$27/'Weights &amp; Assumptions'!$B$28</f>
        <v>130.192544484617</v>
      </c>
      <c r="G57" s="24" t="n">
        <f aca="false">(F57/F56-1)*100</f>
        <v>-1.92682956272144</v>
      </c>
      <c r="H57" s="24" t="n">
        <f aca="false">(F57/F45-1)*100</f>
        <v>4.13947905542769</v>
      </c>
      <c r="I57" s="24" t="n">
        <f aca="false">(C57/C56-1)*100</f>
        <v>3.51103303921854</v>
      </c>
      <c r="J57" s="24" t="n">
        <f aca="false">(D57/D56-1)*100</f>
        <v>-2.7173109268843</v>
      </c>
      <c r="K57" s="24" t="n">
        <f aca="false">(E57/E56-1)*100</f>
        <v>-2.14804716961884</v>
      </c>
    </row>
    <row r="58" customFormat="false" ht="15" hidden="false" customHeight="false" outlineLevel="0" collapsed="false">
      <c r="A58" s="20" t="n">
        <v>39568</v>
      </c>
      <c r="B58" s="25" t="s">
        <v>437</v>
      </c>
      <c r="C58" s="23" t="n">
        <f aca="false">'SA Data'!R58</f>
        <v>115.71479188178</v>
      </c>
      <c r="D58" s="23" t="n">
        <f aca="false">'SA Data'!S58</f>
        <v>134.462847870124</v>
      </c>
      <c r="E58" s="23" t="n">
        <f aca="false">'SA Data'!T58</f>
        <v>137.874926818728</v>
      </c>
      <c r="F58" s="22" t="n">
        <f aca="false">C58*'Weights &amp; Assumptions'!$B$25/'Weights &amp; Assumptions'!$B$28+D58*'Weights &amp; Assumptions'!$B$26/'Weights &amp; Assumptions'!$B$28+E58*'Weights &amp; Assumptions'!$B$27/'Weights &amp; Assumptions'!$B$28</f>
        <v>135.108341660698</v>
      </c>
      <c r="G58" s="24" t="n">
        <f aca="false">(F58/F57-1)*100</f>
        <v>3.77579007733597</v>
      </c>
      <c r="H58" s="24" t="n">
        <f aca="false">(F58/F46-1)*100</f>
        <v>8.69994593680294</v>
      </c>
      <c r="I58" s="24" t="n">
        <f aca="false">(C58/C57-1)*100</f>
        <v>7.01316369426823</v>
      </c>
      <c r="J58" s="24" t="n">
        <f aca="false">(D58/D57-1)*100</f>
        <v>3.41229077324194</v>
      </c>
      <c r="K58" s="24" t="n">
        <f aca="false">(E58/E57-1)*100</f>
        <v>3.58164567112578</v>
      </c>
    </row>
    <row r="59" customFormat="false" ht="15" hidden="false" customHeight="false" outlineLevel="0" collapsed="false">
      <c r="A59" s="20" t="n">
        <v>39599</v>
      </c>
      <c r="B59" s="25" t="s">
        <v>437</v>
      </c>
      <c r="C59" s="23" t="n">
        <f aca="false">'SA Data'!R59</f>
        <v>115.555867190809</v>
      </c>
      <c r="D59" s="23" t="n">
        <f aca="false">'SA Data'!S59</f>
        <v>132.176014626943</v>
      </c>
      <c r="E59" s="23" t="n">
        <f aca="false">'SA Data'!T59</f>
        <v>137.107996787573</v>
      </c>
      <c r="F59" s="22" t="n">
        <f aca="false">C59*'Weights &amp; Assumptions'!$B$25/'Weights &amp; Assumptions'!$B$28+D59*'Weights &amp; Assumptions'!$B$26/'Weights &amp; Assumptions'!$B$28+E59*'Weights &amp; Assumptions'!$B$27/'Weights &amp; Assumptions'!$B$28</f>
        <v>133.988254969568</v>
      </c>
      <c r="G59" s="24" t="n">
        <f aca="false">(F59/F58-1)*100</f>
        <v>-0.829028524340125</v>
      </c>
      <c r="H59" s="24" t="n">
        <f aca="false">(F59/F47-1)*100</f>
        <v>6.03199601754525</v>
      </c>
      <c r="I59" s="24" t="n">
        <f aca="false">(C59/C58-1)*100</f>
        <v>-0.137341724758844</v>
      </c>
      <c r="J59" s="24" t="n">
        <f aca="false">(D59/D58-1)*100</f>
        <v>-1.70071754347301</v>
      </c>
      <c r="K59" s="24" t="n">
        <f aca="false">(E59/E58-1)*100</f>
        <v>-0.556250544497405</v>
      </c>
    </row>
    <row r="60" customFormat="false" ht="15" hidden="false" customHeight="false" outlineLevel="0" collapsed="false">
      <c r="A60" s="20" t="n">
        <v>39629</v>
      </c>
      <c r="B60" s="25" t="s">
        <v>437</v>
      </c>
      <c r="C60" s="23" t="n">
        <f aca="false">'SA Data'!R60</f>
        <v>113.800447954632</v>
      </c>
      <c r="D60" s="23" t="n">
        <f aca="false">'SA Data'!S60</f>
        <v>130.220141304419</v>
      </c>
      <c r="E60" s="23" t="n">
        <f aca="false">'SA Data'!T60</f>
        <v>134.779318308605</v>
      </c>
      <c r="F60" s="22" t="n">
        <f aca="false">C60*'Weights &amp; Assumptions'!$B$25/'Weights &amp; Assumptions'!$B$28+D60*'Weights &amp; Assumptions'!$B$26/'Weights &amp; Assumptions'!$B$28+E60*'Weights &amp; Assumptions'!$B$27/'Weights &amp; Assumptions'!$B$28</f>
        <v>131.806808821456</v>
      </c>
      <c r="G60" s="24" t="n">
        <f aca="false">(F60/F59-1)*100</f>
        <v>-1.62808758768294</v>
      </c>
      <c r="H60" s="24" t="n">
        <f aca="false">(F60/F48-1)*100</f>
        <v>3.82463723985018</v>
      </c>
      <c r="I60" s="24" t="n">
        <f aca="false">(C60/C59-1)*100</f>
        <v>-1.51910870373865</v>
      </c>
      <c r="J60" s="24" t="n">
        <f aca="false">(D60/D59-1)*100</f>
        <v>-1.47974905132732</v>
      </c>
      <c r="K60" s="24" t="n">
        <f aca="false">(E60/E59-1)*100</f>
        <v>-1.69842644742058</v>
      </c>
    </row>
    <row r="61" customFormat="false" ht="15" hidden="false" customHeight="false" outlineLevel="0" collapsed="false">
      <c r="A61" s="20" t="n">
        <v>39660</v>
      </c>
      <c r="B61" s="25" t="s">
        <v>437</v>
      </c>
      <c r="C61" s="23" t="n">
        <f aca="false">'SA Data'!R61</f>
        <v>108.316329998412</v>
      </c>
      <c r="D61" s="23" t="n">
        <f aca="false">'SA Data'!S61</f>
        <v>132.868824788376</v>
      </c>
      <c r="E61" s="23" t="n">
        <f aca="false">'SA Data'!T61</f>
        <v>137.482500021559</v>
      </c>
      <c r="F61" s="22" t="n">
        <f aca="false">C61*'Weights &amp; Assumptions'!$B$25/'Weights &amp; Assumptions'!$B$28+D61*'Weights &amp; Assumptions'!$B$26/'Weights &amp; Assumptions'!$B$28+E61*'Weights &amp; Assumptions'!$B$27/'Weights &amp; Assumptions'!$B$28</f>
        <v>133.808577247635</v>
      </c>
      <c r="G61" s="24" t="n">
        <f aca="false">(F61/F60-1)*100</f>
        <v>1.51871397545997</v>
      </c>
      <c r="H61" s="24" t="n">
        <f aca="false">(F61/F49-1)*100</f>
        <v>6.36631604706877</v>
      </c>
      <c r="I61" s="24" t="n">
        <f aca="false">(C61/C60-1)*100</f>
        <v>-4.81906535060986</v>
      </c>
      <c r="J61" s="24" t="n">
        <f aca="false">(D61/D60-1)*100</f>
        <v>2.03400446154156</v>
      </c>
      <c r="K61" s="24" t="n">
        <f aca="false">(E61/E60-1)*100</f>
        <v>2.00563539486454</v>
      </c>
    </row>
    <row r="62" customFormat="false" ht="15" hidden="false" customHeight="false" outlineLevel="0" collapsed="false">
      <c r="A62" s="20" t="n">
        <v>39691</v>
      </c>
      <c r="B62" s="25" t="s">
        <v>437</v>
      </c>
      <c r="C62" s="23" t="n">
        <f aca="false">'SA Data'!R62</f>
        <v>104.643812380026</v>
      </c>
      <c r="D62" s="23" t="n">
        <f aca="false">'SA Data'!S62</f>
        <v>129.992333930642</v>
      </c>
      <c r="E62" s="23" t="n">
        <f aca="false">'SA Data'!T62</f>
        <v>136.033201082372</v>
      </c>
      <c r="F62" s="22" t="n">
        <f aca="false">C62*'Weights &amp; Assumptions'!$B$25/'Weights &amp; Assumptions'!$B$28+D62*'Weights &amp; Assumptions'!$B$26/'Weights &amp; Assumptions'!$B$28+E62*'Weights &amp; Assumptions'!$B$27/'Weights &amp; Assumptions'!$B$28</f>
        <v>131.793233149538</v>
      </c>
      <c r="G62" s="24" t="n">
        <f aca="false">(F62/F61-1)*100</f>
        <v>-1.50613969563914</v>
      </c>
      <c r="H62" s="24" t="n">
        <f aca="false">(F62/F50-1)*100</f>
        <v>3.50058881726374</v>
      </c>
      <c r="I62" s="24" t="n">
        <f aca="false">(C62/C61-1)*100</f>
        <v>-3.39054842279052</v>
      </c>
      <c r="J62" s="24" t="n">
        <f aca="false">(D62/D61-1)*100</f>
        <v>-2.1649102882607</v>
      </c>
      <c r="K62" s="24" t="n">
        <f aca="false">(E62/E61-1)*100</f>
        <v>-1.05416975903108</v>
      </c>
    </row>
    <row r="63" customFormat="false" ht="15" hidden="false" customHeight="false" outlineLevel="0" collapsed="false">
      <c r="A63" s="20" t="n">
        <v>39721</v>
      </c>
      <c r="B63" s="25" t="s">
        <v>437</v>
      </c>
      <c r="C63" s="23" t="n">
        <f aca="false">'SA Data'!R63</f>
        <v>104.444836027565</v>
      </c>
      <c r="D63" s="23" t="n">
        <f aca="false">'SA Data'!S63</f>
        <v>132.236836972444</v>
      </c>
      <c r="E63" s="23" t="n">
        <f aca="false">'SA Data'!T63</f>
        <v>136.848869788357</v>
      </c>
      <c r="F63" s="22" t="n">
        <f aca="false">C63*'Weights &amp; Assumptions'!$B$25/'Weights &amp; Assumptions'!$B$28+D63*'Weights &amp; Assumptions'!$B$26/'Weights &amp; Assumptions'!$B$28+E63*'Weights &amp; Assumptions'!$B$27/'Weights &amp; Assumptions'!$B$28</f>
        <v>132.903724299742</v>
      </c>
      <c r="G63" s="24" t="n">
        <f aca="false">(F63/F62-1)*100</f>
        <v>0.842601037750645</v>
      </c>
      <c r="H63" s="24" t="n">
        <f aca="false">(F63/F51-1)*100</f>
        <v>4.99772421689857</v>
      </c>
      <c r="I63" s="24" t="n">
        <f aca="false">(C63/C62-1)*100</f>
        <v>-0.190146314374229</v>
      </c>
      <c r="J63" s="24" t="n">
        <f aca="false">(D63/D62-1)*100</f>
        <v>1.72664262109516</v>
      </c>
      <c r="K63" s="24" t="n">
        <f aca="false">(E63/E62-1)*100</f>
        <v>0.599610021299646</v>
      </c>
    </row>
    <row r="64" customFormat="false" ht="15" hidden="false" customHeight="false" outlineLevel="0" collapsed="false">
      <c r="A64" s="20" t="n">
        <v>39752</v>
      </c>
      <c r="B64" s="25" t="s">
        <v>437</v>
      </c>
      <c r="C64" s="23" t="n">
        <f aca="false">'SA Data'!R64</f>
        <v>103.388244473148</v>
      </c>
      <c r="D64" s="23" t="n">
        <f aca="false">'SA Data'!S64</f>
        <v>126.908654879358</v>
      </c>
      <c r="E64" s="23" t="n">
        <f aca="false">'SA Data'!T64</f>
        <v>135.935312076253</v>
      </c>
      <c r="F64" s="22" t="n">
        <f aca="false">C64*'Weights &amp; Assumptions'!$B$25/'Weights &amp; Assumptions'!$B$28+D64*'Weights &amp; Assumptions'!$B$26/'Weights &amp; Assumptions'!$B$28+E64*'Weights &amp; Assumptions'!$B$27/'Weights &amp; Assumptions'!$B$28</f>
        <v>130.804240190945</v>
      </c>
      <c r="G64" s="24" t="n">
        <f aca="false">(F64/F63-1)*100</f>
        <v>-1.57970299166471</v>
      </c>
      <c r="H64" s="24" t="n">
        <f aca="false">(F64/F52-1)*100</f>
        <v>1.19916132913849</v>
      </c>
      <c r="I64" s="24" t="n">
        <f aca="false">(C64/C63-1)*100</f>
        <v>-1.01162641888595</v>
      </c>
      <c r="J64" s="24" t="n">
        <f aca="false">(D64/D63-1)*100</f>
        <v>-4.02927218699045</v>
      </c>
      <c r="K64" s="24" t="n">
        <f aca="false">(E64/E63-1)*100</f>
        <v>-0.667566866658254</v>
      </c>
    </row>
    <row r="65" customFormat="false" ht="15" hidden="false" customHeight="false" outlineLevel="0" collapsed="false">
      <c r="A65" s="20" t="n">
        <v>39782</v>
      </c>
      <c r="B65" s="25" t="s">
        <v>437</v>
      </c>
      <c r="C65" s="23" t="n">
        <f aca="false">'SA Data'!R65</f>
        <v>100.043314820948</v>
      </c>
      <c r="D65" s="23" t="n">
        <f aca="false">'SA Data'!S65</f>
        <v>122.953976383968</v>
      </c>
      <c r="E65" s="23" t="n">
        <f aca="false">'SA Data'!T65</f>
        <v>132.812792484122</v>
      </c>
      <c r="F65" s="22" t="n">
        <f aca="false">C65*'Weights &amp; Assumptions'!$B$25/'Weights &amp; Assumptions'!$B$28+D65*'Weights &amp; Assumptions'!$B$26/'Weights &amp; Assumptions'!$B$28+E65*'Weights &amp; Assumptions'!$B$27/'Weights &amp; Assumptions'!$B$28</f>
        <v>127.441774621019</v>
      </c>
      <c r="G65" s="24" t="n">
        <f aca="false">(F65/F64-1)*100</f>
        <v>-2.57060899938507</v>
      </c>
      <c r="H65" s="24" t="n">
        <f aca="false">(F65/F53-1)*100</f>
        <v>-2.33406715700923</v>
      </c>
      <c r="I65" s="24" t="n">
        <f aca="false">(C65/C64-1)*100</f>
        <v>-3.23530945829061</v>
      </c>
      <c r="J65" s="24" t="n">
        <f aca="false">(D65/D64-1)*100</f>
        <v>-3.11616138327966</v>
      </c>
      <c r="K65" s="24" t="n">
        <f aca="false">(E65/E64-1)*100</f>
        <v>-2.29706287824554</v>
      </c>
    </row>
    <row r="66" customFormat="false" ht="15" hidden="false" customHeight="false" outlineLevel="0" collapsed="false">
      <c r="A66" s="20" t="n">
        <v>39813</v>
      </c>
      <c r="B66" s="25" t="s">
        <v>437</v>
      </c>
      <c r="C66" s="23" t="n">
        <f aca="false">'SA Data'!R66</f>
        <v>93.4603425329705</v>
      </c>
      <c r="D66" s="23" t="n">
        <f aca="false">'SA Data'!S66</f>
        <v>121.298017388775</v>
      </c>
      <c r="E66" s="23" t="n">
        <f aca="false">'SA Data'!T66</f>
        <v>133.418229705405</v>
      </c>
      <c r="F66" s="22" t="n">
        <f aca="false">C66*'Weights &amp; Assumptions'!$B$25/'Weights &amp; Assumptions'!$B$28+D66*'Weights &amp; Assumptions'!$B$26/'Weights &amp; Assumptions'!$B$28+E66*'Weights &amp; Assumptions'!$B$27/'Weights &amp; Assumptions'!$B$28</f>
        <v>126.842753545889</v>
      </c>
      <c r="G66" s="24" t="n">
        <f aca="false">(F66/F65-1)*100</f>
        <v>-0.470035101842625</v>
      </c>
      <c r="H66" s="24" t="n">
        <f aca="false">(F66/F54-1)*100</f>
        <v>-2.6688648578128</v>
      </c>
      <c r="I66" s="24" t="n">
        <f aca="false">(C66/C65-1)*100</f>
        <v>-6.5801221198627</v>
      </c>
      <c r="J66" s="24" t="n">
        <f aca="false">(D66/D65-1)*100</f>
        <v>-1.34681207057593</v>
      </c>
      <c r="K66" s="24" t="n">
        <f aca="false">(E66/E65-1)*100</f>
        <v>0.455857609766541</v>
      </c>
    </row>
    <row r="67" customFormat="false" ht="15" hidden="false" customHeight="false" outlineLevel="0" collapsed="false">
      <c r="A67" s="20" t="n">
        <v>39844</v>
      </c>
      <c r="B67" s="25" t="s">
        <v>437</v>
      </c>
      <c r="C67" s="23" t="n">
        <f aca="false">'SA Data'!R67</f>
        <v>94.2554039918236</v>
      </c>
      <c r="D67" s="23" t="n">
        <f aca="false">'SA Data'!S67</f>
        <v>118.024631860018</v>
      </c>
      <c r="E67" s="23" t="n">
        <f aca="false">'SA Data'!T67</f>
        <v>131.95026651994</v>
      </c>
      <c r="F67" s="22" t="n">
        <f aca="false">C67*'Weights &amp; Assumptions'!$B$25/'Weights &amp; Assumptions'!$B$28+D67*'Weights &amp; Assumptions'!$B$26/'Weights &amp; Assumptions'!$B$28+E67*'Weights &amp; Assumptions'!$B$27/'Weights &amp; Assumptions'!$B$28</f>
        <v>125.084566672871</v>
      </c>
      <c r="G67" s="24" t="n">
        <f aca="false">(F67/F66-1)*100</f>
        <v>-1.38611534665367</v>
      </c>
      <c r="H67" s="24" t="n">
        <f aca="false">(F67/F55-1)*100</f>
        <v>-5.23860554346857</v>
      </c>
      <c r="I67" s="24" t="n">
        <f aca="false">(C67/C66-1)*100</f>
        <v>0.850693927825685</v>
      </c>
      <c r="J67" s="24" t="n">
        <f aca="false">(D67/D66-1)*100</f>
        <v>-2.69863069423899</v>
      </c>
      <c r="K67" s="24" t="n">
        <f aca="false">(E67/E66-1)*100</f>
        <v>-1.10027182095398</v>
      </c>
    </row>
    <row r="68" customFormat="false" ht="15" hidden="false" customHeight="false" outlineLevel="0" collapsed="false">
      <c r="A68" s="20" t="n">
        <v>39872</v>
      </c>
      <c r="B68" s="25" t="s">
        <v>437</v>
      </c>
      <c r="C68" s="23" t="n">
        <f aca="false">'SA Data'!R68</f>
        <v>94.4264333979289</v>
      </c>
      <c r="D68" s="23" t="n">
        <f aca="false">'SA Data'!S68</f>
        <v>118.024106449744</v>
      </c>
      <c r="E68" s="23" t="n">
        <f aca="false">'SA Data'!T68</f>
        <v>131.994621019864</v>
      </c>
      <c r="F68" s="22" t="n">
        <f aca="false">C68*'Weights &amp; Assumptions'!$B$25/'Weights &amp; Assumptions'!$B$28+D68*'Weights &amp; Assumptions'!$B$26/'Weights &amp; Assumptions'!$B$28+E68*'Weights &amp; Assumptions'!$B$27/'Weights &amp; Assumptions'!$B$28</f>
        <v>125.127614950751</v>
      </c>
      <c r="G68" s="24" t="n">
        <f aca="false">(F68/F67-1)*100</f>
        <v>0.0344153391775626</v>
      </c>
      <c r="H68" s="24" t="n">
        <f aca="false">(F68/F56-1)*100</f>
        <v>-5.74220700537038</v>
      </c>
      <c r="I68" s="24" t="n">
        <f aca="false">(C68/C67-1)*100</f>
        <v>0.181453156914158</v>
      </c>
      <c r="J68" s="24" t="n">
        <f aca="false">(D68/D67-1)*100</f>
        <v>-0.000445170017571162</v>
      </c>
      <c r="K68" s="24" t="n">
        <f aca="false">(E68/E67-1)*100</f>
        <v>0.0336145587977565</v>
      </c>
    </row>
    <row r="69" customFormat="false" ht="15" hidden="false" customHeight="false" outlineLevel="0" collapsed="false">
      <c r="A69" s="20" t="n">
        <v>39903</v>
      </c>
      <c r="B69" s="25" t="s">
        <v>437</v>
      </c>
      <c r="C69" s="23" t="n">
        <f aca="false">'SA Data'!R69</f>
        <v>85.3558243409207</v>
      </c>
      <c r="D69" s="23" t="n">
        <f aca="false">'SA Data'!S69</f>
        <v>117.669658952396</v>
      </c>
      <c r="E69" s="23" t="n">
        <f aca="false">'SA Data'!T69</f>
        <v>132.236368041534</v>
      </c>
      <c r="F69" s="22" t="n">
        <f aca="false">C69*'Weights &amp; Assumptions'!$B$25/'Weights &amp; Assumptions'!$B$28+D69*'Weights &amp; Assumptions'!$B$26/'Weights &amp; Assumptions'!$B$28+E69*'Weights &amp; Assumptions'!$B$27/'Weights &amp; Assumptions'!$B$28</f>
        <v>124.429509010661</v>
      </c>
      <c r="G69" s="24" t="n">
        <f aca="false">(F69/F68-1)*100</f>
        <v>-0.557915165540557</v>
      </c>
      <c r="H69" s="24" t="n">
        <f aca="false">(F69/F57-1)*100</f>
        <v>-4.42654799994071</v>
      </c>
      <c r="I69" s="24" t="n">
        <f aca="false">(C69/C68-1)*100</f>
        <v>-9.60600621097605</v>
      </c>
      <c r="J69" s="24" t="n">
        <f aca="false">(D69/D68-1)*100</f>
        <v>-0.300317882516066</v>
      </c>
      <c r="K69" s="24" t="n">
        <f aca="false">(E69/E68-1)*100</f>
        <v>0.183149146383665</v>
      </c>
    </row>
    <row r="70" customFormat="false" ht="15" hidden="false" customHeight="false" outlineLevel="0" collapsed="false">
      <c r="A70" s="20" t="n">
        <v>39933</v>
      </c>
      <c r="B70" s="25" t="s">
        <v>437</v>
      </c>
      <c r="C70" s="23" t="n">
        <f aca="false">'SA Data'!R70</f>
        <v>69.9984739969282</v>
      </c>
      <c r="D70" s="23" t="n">
        <f aca="false">'SA Data'!S70</f>
        <v>117.479606475771</v>
      </c>
      <c r="E70" s="23" t="n">
        <f aca="false">'SA Data'!T70</f>
        <v>131.654557819922</v>
      </c>
      <c r="F70" s="22" t="n">
        <f aca="false">C70*'Weights &amp; Assumptions'!$B$25/'Weights &amp; Assumptions'!$B$28+D70*'Weights &amp; Assumptions'!$B$26/'Weights &amp; Assumptions'!$B$28+E70*'Weights &amp; Assumptions'!$B$27/'Weights &amp; Assumptions'!$B$28</f>
        <v>122.712193904283</v>
      </c>
      <c r="G70" s="24" t="n">
        <f aca="false">(F70/F69-1)*100</f>
        <v>-1.38015099475396</v>
      </c>
      <c r="H70" s="24" t="n">
        <f aca="false">(F70/F58-1)*100</f>
        <v>-9.17496847644392</v>
      </c>
      <c r="I70" s="24" t="n">
        <f aca="false">(C70/C69-1)*100</f>
        <v>-17.9921528057108</v>
      </c>
      <c r="J70" s="24" t="n">
        <f aca="false">(D70/D69-1)*100</f>
        <v>-0.161513578195471</v>
      </c>
      <c r="K70" s="24" t="n">
        <f aca="false">(E70/E69-1)*100</f>
        <v>-0.439977466281216</v>
      </c>
    </row>
    <row r="71" customFormat="false" ht="15" hidden="false" customHeight="false" outlineLevel="0" collapsed="false">
      <c r="A71" s="20" t="n">
        <v>39964</v>
      </c>
      <c r="B71" s="25" t="s">
        <v>437</v>
      </c>
      <c r="C71" s="23" t="n">
        <f aca="false">'SA Data'!R71</f>
        <v>68.2376285124753</v>
      </c>
      <c r="D71" s="23" t="n">
        <f aca="false">'SA Data'!S71</f>
        <v>117.033947416046</v>
      </c>
      <c r="E71" s="23" t="n">
        <f aca="false">'SA Data'!T71</f>
        <v>131.020287389094</v>
      </c>
      <c r="F71" s="22" t="n">
        <f aca="false">C71*'Weights &amp; Assumptions'!$B$25/'Weights &amp; Assumptions'!$B$28+D71*'Weights &amp; Assumptions'!$B$26/'Weights &amp; Assumptions'!$B$28+E71*'Weights &amp; Assumptions'!$B$27/'Weights &amp; Assumptions'!$B$28</f>
        <v>122.033557947193</v>
      </c>
      <c r="G71" s="24" t="n">
        <f aca="false">(F71/F70-1)*100</f>
        <v>-0.553030579519842</v>
      </c>
      <c r="H71" s="24" t="n">
        <f aca="false">(F71/F59-1)*100</f>
        <v>-8.92219771433748</v>
      </c>
      <c r="I71" s="24" t="n">
        <f aca="false">(C71/C70-1)*100</f>
        <v>-2.51554838828368</v>
      </c>
      <c r="J71" s="24" t="n">
        <f aca="false">(D71/D70-1)*100</f>
        <v>-0.379350146884816</v>
      </c>
      <c r="K71" s="24" t="n">
        <f aca="false">(E71/E70-1)*100</f>
        <v>-0.481768684146611</v>
      </c>
    </row>
    <row r="72" customFormat="false" ht="15" hidden="false" customHeight="false" outlineLevel="0" collapsed="false">
      <c r="A72" s="20" t="n">
        <v>39994</v>
      </c>
      <c r="B72" s="25" t="s">
        <v>437</v>
      </c>
      <c r="C72" s="23" t="n">
        <f aca="false">'SA Data'!R72</f>
        <v>70.113670123094</v>
      </c>
      <c r="D72" s="23" t="n">
        <f aca="false">'SA Data'!S72</f>
        <v>118.68437617063</v>
      </c>
      <c r="E72" s="23" t="n">
        <f aca="false">'SA Data'!T72</f>
        <v>132.873696056219</v>
      </c>
      <c r="F72" s="22" t="n">
        <f aca="false">C72*'Weights &amp; Assumptions'!$B$25/'Weights &amp; Assumptions'!$B$28+D72*'Weights &amp; Assumptions'!$B$26/'Weights &amp; Assumptions'!$B$28+E72*'Weights &amp; Assumptions'!$B$27/'Weights &amp; Assumptions'!$B$28</f>
        <v>123.834889632681</v>
      </c>
      <c r="G72" s="24" t="n">
        <f aca="false">(F72/F71-1)*100</f>
        <v>1.47609535916975</v>
      </c>
      <c r="H72" s="24" t="n">
        <f aca="false">(F72/F60-1)*100</f>
        <v>-6.04818465757214</v>
      </c>
      <c r="I72" s="24" t="n">
        <f aca="false">(C72/C71-1)*100</f>
        <v>2.74927727049561</v>
      </c>
      <c r="J72" s="24" t="n">
        <f aca="false">(D72/D71-1)*100</f>
        <v>1.41021369527738</v>
      </c>
      <c r="K72" s="24" t="n">
        <f aca="false">(E72/E71-1)*100</f>
        <v>1.4145967041127</v>
      </c>
    </row>
    <row r="73" customFormat="false" ht="15" hidden="false" customHeight="false" outlineLevel="0" collapsed="false">
      <c r="A73" s="20" t="n">
        <v>40025</v>
      </c>
      <c r="B73" s="25" t="s">
        <v>437</v>
      </c>
      <c r="C73" s="23" t="n">
        <f aca="false">'SA Data'!R73</f>
        <v>86.7799293365066</v>
      </c>
      <c r="D73" s="23" t="n">
        <f aca="false">'SA Data'!S73</f>
        <v>120.617926064597</v>
      </c>
      <c r="E73" s="23" t="n">
        <f aca="false">'SA Data'!T73</f>
        <v>133.112451667403</v>
      </c>
      <c r="F73" s="22" t="n">
        <f aca="false">C73*'Weights &amp; Assumptions'!$B$25/'Weights &amp; Assumptions'!$B$28+D73*'Weights &amp; Assumptions'!$B$26/'Weights &amp; Assumptions'!$B$28+E73*'Weights &amp; Assumptions'!$B$27/'Weights &amp; Assumptions'!$B$28</f>
        <v>125.902601871771</v>
      </c>
      <c r="G73" s="24" t="n">
        <f aca="false">(F73/F72-1)*100</f>
        <v>1.66973317877004</v>
      </c>
      <c r="H73" s="24" t="n">
        <f aca="false">(F73/F61-1)*100</f>
        <v>-5.90842197001509</v>
      </c>
      <c r="I73" s="24" t="n">
        <f aca="false">(C73/C72-1)*100</f>
        <v>23.7703420519177</v>
      </c>
      <c r="J73" s="24" t="n">
        <f aca="false">(D73/D72-1)*100</f>
        <v>1.62915284753804</v>
      </c>
      <c r="K73" s="24" t="n">
        <f aca="false">(E73/E72-1)*100</f>
        <v>0.179686136737511</v>
      </c>
    </row>
    <row r="74" customFormat="false" ht="15" hidden="false" customHeight="false" outlineLevel="0" collapsed="false">
      <c r="A74" s="20" t="n">
        <v>40056</v>
      </c>
      <c r="B74" s="25" t="s">
        <v>437</v>
      </c>
      <c r="C74" s="23" t="n">
        <f aca="false">'SA Data'!R74</f>
        <v>95.5736170412799</v>
      </c>
      <c r="D74" s="23" t="n">
        <f aca="false">'SA Data'!S74</f>
        <v>119.061960438224</v>
      </c>
      <c r="E74" s="23" t="n">
        <f aca="false">'SA Data'!T74</f>
        <v>133.151516625742</v>
      </c>
      <c r="F74" s="22" t="n">
        <f aca="false">C74*'Weights &amp; Assumptions'!$B$25/'Weights &amp; Assumptions'!$B$28+D74*'Weights &amp; Assumptions'!$B$26/'Weights &amp; Assumptions'!$B$28+E74*'Weights &amp; Assumptions'!$B$27/'Weights &amp; Assumptions'!$B$28</f>
        <v>126.252040469386</v>
      </c>
      <c r="G74" s="24" t="n">
        <f aca="false">(F74/F73-1)*100</f>
        <v>0.277546764260195</v>
      </c>
      <c r="H74" s="24" t="n">
        <f aca="false">(F74/F62-1)*100</f>
        <v>-4.20445917269934</v>
      </c>
      <c r="I74" s="24" t="n">
        <f aca="false">(C74/C73-1)*100</f>
        <v>10.133319734191</v>
      </c>
      <c r="J74" s="24" t="n">
        <f aca="false">(D74/D73-1)*100</f>
        <v>-1.28999534077564</v>
      </c>
      <c r="K74" s="24" t="n">
        <f aca="false">(E74/E73-1)*100</f>
        <v>0.0293473359173291</v>
      </c>
    </row>
    <row r="75" customFormat="false" ht="15" hidden="false" customHeight="false" outlineLevel="0" collapsed="false">
      <c r="A75" s="20" t="n">
        <v>40086</v>
      </c>
      <c r="B75" s="25" t="s">
        <v>437</v>
      </c>
      <c r="C75" s="23" t="n">
        <f aca="false">'SA Data'!R75</f>
        <v>98.006693193524</v>
      </c>
      <c r="D75" s="23" t="n">
        <f aca="false">'SA Data'!S75</f>
        <v>119.581432157637</v>
      </c>
      <c r="E75" s="23" t="n">
        <f aca="false">'SA Data'!T75</f>
        <v>135.148514225384</v>
      </c>
      <c r="F75" s="22" t="n">
        <f aca="false">C75*'Weights &amp; Assumptions'!$B$25/'Weights &amp; Assumptions'!$B$28+D75*'Weights &amp; Assumptions'!$B$26/'Weights &amp; Assumptions'!$B$28+E75*'Weights &amp; Assumptions'!$B$27/'Weights &amp; Assumptions'!$B$28</f>
        <v>127.892725481277</v>
      </c>
      <c r="G75" s="24" t="n">
        <f aca="false">(F75/F74-1)*100</f>
        <v>1.2995314814644</v>
      </c>
      <c r="H75" s="24" t="n">
        <f aca="false">(F75/F63-1)*100</f>
        <v>-3.77039759033661</v>
      </c>
      <c r="I75" s="24" t="n">
        <f aca="false">(C75/C74-1)*100</f>
        <v>2.54576129643942</v>
      </c>
      <c r="J75" s="24" t="n">
        <f aca="false">(D75/D74-1)*100</f>
        <v>0.436303683814332</v>
      </c>
      <c r="K75" s="24" t="n">
        <f aca="false">(E75/E74-1)*100</f>
        <v>1.49979335590724</v>
      </c>
    </row>
    <row r="76" customFormat="false" ht="15" hidden="false" customHeight="false" outlineLevel="0" collapsed="false">
      <c r="A76" s="20" t="n">
        <v>40117</v>
      </c>
      <c r="B76" s="25" t="s">
        <v>437</v>
      </c>
      <c r="C76" s="23" t="n">
        <f aca="false">'SA Data'!R76</f>
        <v>95.5183372393267</v>
      </c>
      <c r="D76" s="23" t="n">
        <f aca="false">'SA Data'!S76</f>
        <v>123.509935939516</v>
      </c>
      <c r="E76" s="23" t="n">
        <f aca="false">'SA Data'!T76</f>
        <v>135.619491209269</v>
      </c>
      <c r="F76" s="22" t="n">
        <f aca="false">C76*'Weights &amp; Assumptions'!$B$25/'Weights &amp; Assumptions'!$B$28+D76*'Weights &amp; Assumptions'!$B$26/'Weights &amp; Assumptions'!$B$28+E76*'Weights &amp; Assumptions'!$B$27/'Weights &amp; Assumptions'!$B$28</f>
        <v>129.03482874114</v>
      </c>
      <c r="G76" s="24" t="n">
        <f aca="false">(F76/F75-1)*100</f>
        <v>0.893016593058893</v>
      </c>
      <c r="H76" s="24" t="n">
        <f aca="false">(F76/F64-1)*100</f>
        <v>-1.35271719572869</v>
      </c>
      <c r="I76" s="24" t="n">
        <f aca="false">(C76/C75-1)*100</f>
        <v>-2.53896532279055</v>
      </c>
      <c r="J76" s="24" t="n">
        <f aca="false">(D76/D75-1)*100</f>
        <v>3.2852121863707</v>
      </c>
      <c r="K76" s="24" t="n">
        <f aca="false">(E76/E75-1)*100</f>
        <v>0.348488465880537</v>
      </c>
    </row>
    <row r="77" customFormat="false" ht="15" hidden="false" customHeight="false" outlineLevel="0" collapsed="false">
      <c r="A77" s="20" t="n">
        <v>40147</v>
      </c>
      <c r="B77" s="25" t="s">
        <v>437</v>
      </c>
      <c r="C77" s="23" t="n">
        <f aca="false">'SA Data'!R77</f>
        <v>94.5060136040198</v>
      </c>
      <c r="D77" s="23" t="n">
        <f aca="false">'SA Data'!S77</f>
        <v>124.197597993083</v>
      </c>
      <c r="E77" s="23" t="n">
        <f aca="false">'SA Data'!T77</f>
        <v>136.195987602956</v>
      </c>
      <c r="F77" s="22" t="n">
        <f aca="false">C77*'Weights &amp; Assumptions'!$B$25/'Weights &amp; Assumptions'!$B$28+D77*'Weights &amp; Assumptions'!$B$26/'Weights &amp; Assumptions'!$B$28+E77*'Weights &amp; Assumptions'!$B$27/'Weights &amp; Assumptions'!$B$28</f>
        <v>129.507582703003</v>
      </c>
      <c r="G77" s="24" t="n">
        <f aca="false">(F77/F76-1)*100</f>
        <v>0.366377021208364</v>
      </c>
      <c r="H77" s="24" t="n">
        <f aca="false">(F77/F65-1)*100</f>
        <v>1.62098188614122</v>
      </c>
      <c r="I77" s="24" t="n">
        <f aca="false">(C77/C76-1)*100</f>
        <v>-1.05982124957896</v>
      </c>
      <c r="J77" s="24" t="n">
        <f aca="false">(D77/D76-1)*100</f>
        <v>0.5567665858911</v>
      </c>
      <c r="K77" s="24" t="n">
        <f aca="false">(E77/E76-1)*100</f>
        <v>0.425083731362319</v>
      </c>
    </row>
    <row r="78" customFormat="false" ht="15" hidden="false" customHeight="false" outlineLevel="0" collapsed="false">
      <c r="A78" s="20" t="n">
        <v>40178</v>
      </c>
      <c r="B78" s="25" t="s">
        <v>437</v>
      </c>
      <c r="C78" s="23" t="n">
        <f aca="false">'SA Data'!R78</f>
        <v>86.1225341631735</v>
      </c>
      <c r="D78" s="23" t="n">
        <f aca="false">'SA Data'!S78</f>
        <v>125.915335628367</v>
      </c>
      <c r="E78" s="23" t="n">
        <f aca="false">'SA Data'!T78</f>
        <v>137.379851722741</v>
      </c>
      <c r="F78" s="22" t="n">
        <f aca="false">C78*'Weights &amp; Assumptions'!$B$25/'Weights &amp; Assumptions'!$B$28+D78*'Weights &amp; Assumptions'!$B$26/'Weights &amp; Assumptions'!$B$28+E78*'Weights &amp; Assumptions'!$B$27/'Weights &amp; Assumptions'!$B$28</f>
        <v>130.030705029686</v>
      </c>
      <c r="G78" s="24" t="n">
        <f aca="false">(F78/F77-1)*100</f>
        <v>0.40393181292151</v>
      </c>
      <c r="H78" s="24" t="n">
        <f aca="false">(F78/F66-1)*100</f>
        <v>2.51330990117877</v>
      </c>
      <c r="I78" s="24" t="n">
        <f aca="false">(C78/C77-1)*100</f>
        <v>-8.87084231059945</v>
      </c>
      <c r="J78" s="24" t="n">
        <f aca="false">(D78/D77-1)*100</f>
        <v>1.38306832260933</v>
      </c>
      <c r="K78" s="24" t="n">
        <f aca="false">(E78/E77-1)*100</f>
        <v>0.869235680596536</v>
      </c>
    </row>
    <row r="79" customFormat="false" ht="15" hidden="false" customHeight="false" outlineLevel="0" collapsed="false">
      <c r="A79" s="20" t="n">
        <v>40209</v>
      </c>
      <c r="B79" s="25" t="s">
        <v>437</v>
      </c>
      <c r="C79" s="23" t="n">
        <f aca="false">'SA Data'!R79</f>
        <v>90.4533526670743</v>
      </c>
      <c r="D79" s="23" t="n">
        <f aca="false">'SA Data'!S79</f>
        <v>127.122226831571</v>
      </c>
      <c r="E79" s="23" t="n">
        <f aca="false">'SA Data'!T79</f>
        <v>137.934673772136</v>
      </c>
      <c r="F79" s="22" t="n">
        <f aca="false">C79*'Weights &amp; Assumptions'!$B$25/'Weights &amp; Assumptions'!$B$28+D79*'Weights &amp; Assumptions'!$B$26/'Weights &amp; Assumptions'!$B$28+E79*'Weights &amp; Assumptions'!$B$27/'Weights &amp; Assumptions'!$B$28</f>
        <v>131.075732902441</v>
      </c>
      <c r="G79" s="24" t="n">
        <f aca="false">(F79/F78-1)*100</f>
        <v>0.803677771736155</v>
      </c>
      <c r="H79" s="24" t="n">
        <f aca="false">(F79/F67-1)*100</f>
        <v>4.78969259671989</v>
      </c>
      <c r="I79" s="24" t="n">
        <f aca="false">(C79/C78-1)*100</f>
        <v>5.02867054015774</v>
      </c>
      <c r="J79" s="24" t="n">
        <f aca="false">(D79/D78-1)*100</f>
        <v>0.958494211353589</v>
      </c>
      <c r="K79" s="24" t="n">
        <f aca="false">(E79/E78-1)*100</f>
        <v>0.4038598400256</v>
      </c>
    </row>
    <row r="80" customFormat="false" ht="15" hidden="false" customHeight="false" outlineLevel="0" collapsed="false">
      <c r="A80" s="20" t="n">
        <v>40237</v>
      </c>
      <c r="B80" s="25" t="s">
        <v>437</v>
      </c>
      <c r="C80" s="23" t="n">
        <f aca="false">'SA Data'!R80</f>
        <v>98.0775514534396</v>
      </c>
      <c r="D80" s="23" t="n">
        <f aca="false">'SA Data'!S80</f>
        <v>126.822108677345</v>
      </c>
      <c r="E80" s="23" t="n">
        <f aca="false">'SA Data'!T80</f>
        <v>138.925548692962</v>
      </c>
      <c r="F80" s="22" t="n">
        <f aca="false">C80*'Weights &amp; Assumptions'!$B$25/'Weights &amp; Assumptions'!$B$28+D80*'Weights &amp; Assumptions'!$B$26/'Weights &amp; Assumptions'!$B$28+E80*'Weights &amp; Assumptions'!$B$27/'Weights &amp; Assumptions'!$B$28</f>
        <v>132.27985160589</v>
      </c>
      <c r="G80" s="24" t="n">
        <f aca="false">(F80/F79-1)*100</f>
        <v>0.918643502337235</v>
      </c>
      <c r="H80" s="24" t="n">
        <f aca="false">(F80/F68-1)*100</f>
        <v>5.71595379481553</v>
      </c>
      <c r="I80" s="24" t="n">
        <f aca="false">(C80/C79-1)*100</f>
        <v>8.42887362553284</v>
      </c>
      <c r="J80" s="24" t="n">
        <f aca="false">(D80/D79-1)*100</f>
        <v>-0.236086294039117</v>
      </c>
      <c r="K80" s="24" t="n">
        <f aca="false">(E80/E79-1)*100</f>
        <v>0.718365363637918</v>
      </c>
    </row>
    <row r="81" customFormat="false" ht="15" hidden="false" customHeight="false" outlineLevel="0" collapsed="false">
      <c r="A81" s="20" t="n">
        <v>40268</v>
      </c>
      <c r="B81" s="25" t="s">
        <v>437</v>
      </c>
      <c r="C81" s="23" t="n">
        <f aca="false">'SA Data'!R81</f>
        <v>104.868788336862</v>
      </c>
      <c r="D81" s="23" t="n">
        <f aca="false">'SA Data'!S81</f>
        <v>129.403387542369</v>
      </c>
      <c r="E81" s="23" t="n">
        <f aca="false">'SA Data'!T81</f>
        <v>140.621908762666</v>
      </c>
      <c r="F81" s="22" t="n">
        <f aca="false">C81*'Weights &amp; Assumptions'!$B$25/'Weights &amp; Assumptions'!$B$28+D81*'Weights &amp; Assumptions'!$B$26/'Weights &amp; Assumptions'!$B$28+E81*'Weights &amp; Assumptions'!$B$27/'Weights &amp; Assumptions'!$B$28</f>
        <v>134.638991445796</v>
      </c>
      <c r="G81" s="24" t="n">
        <f aca="false">(F81/F80-1)*100</f>
        <v>1.78344608892882</v>
      </c>
      <c r="H81" s="24" t="n">
        <f aca="false">(F81/F69-1)*100</f>
        <v>8.20503312784138</v>
      </c>
      <c r="I81" s="24" t="n">
        <f aca="false">(C81/C80-1)*100</f>
        <v>6.92435402676923</v>
      </c>
      <c r="J81" s="24" t="n">
        <f aca="false">(D81/D80-1)*100</f>
        <v>2.03535400250408</v>
      </c>
      <c r="K81" s="24" t="n">
        <f aca="false">(E81/E80-1)*100</f>
        <v>1.22105695148469</v>
      </c>
    </row>
    <row r="82" customFormat="false" ht="15" hidden="false" customHeight="false" outlineLevel="0" collapsed="false">
      <c r="A82" s="20" t="n">
        <v>40298</v>
      </c>
      <c r="B82" s="25" t="s">
        <v>437</v>
      </c>
      <c r="C82" s="23" t="n">
        <f aca="false">'SA Data'!R82</f>
        <v>121.025170471104</v>
      </c>
      <c r="D82" s="23" t="n">
        <f aca="false">'SA Data'!S82</f>
        <v>130.987734889461</v>
      </c>
      <c r="E82" s="23" t="n">
        <f aca="false">'SA Data'!T82</f>
        <v>141.027304199983</v>
      </c>
      <c r="F82" s="22" t="n">
        <f aca="false">C82*'Weights &amp; Assumptions'!$B$25/'Weights &amp; Assumptions'!$B$28+D82*'Weights &amp; Assumptions'!$B$26/'Weights &amp; Assumptions'!$B$28+E82*'Weights &amp; Assumptions'!$B$27/'Weights &amp; Assumptions'!$B$28</f>
        <v>136.679411681866</v>
      </c>
      <c r="G82" s="24" t="n">
        <f aca="false">(F82/F81-1)*100</f>
        <v>1.51547498548443</v>
      </c>
      <c r="H82" s="24" t="n">
        <f aca="false">(F82/F70-1)*100</f>
        <v>11.382094422073</v>
      </c>
      <c r="I82" s="24" t="n">
        <f aca="false">(C82/C81-1)*100</f>
        <v>15.4062828325466</v>
      </c>
      <c r="J82" s="24" t="n">
        <f aca="false">(D82/D81-1)*100</f>
        <v>1.22434765981183</v>
      </c>
      <c r="K82" s="24" t="n">
        <f aca="false">(E82/E81-1)*100</f>
        <v>0.288287537044463</v>
      </c>
    </row>
    <row r="83" customFormat="false" ht="15" hidden="false" customHeight="false" outlineLevel="0" collapsed="false">
      <c r="A83" s="20" t="n">
        <v>40329</v>
      </c>
      <c r="B83" s="25" t="s">
        <v>437</v>
      </c>
      <c r="C83" s="23" t="n">
        <f aca="false">'SA Data'!R83</f>
        <v>124.928482053906</v>
      </c>
      <c r="D83" s="23" t="n">
        <f aca="false">'SA Data'!S83</f>
        <v>130.713654159404</v>
      </c>
      <c r="E83" s="23" t="n">
        <f aca="false">'SA Data'!T83</f>
        <v>141.342770628502</v>
      </c>
      <c r="F83" s="22" t="n">
        <f aca="false">C83*'Weights &amp; Assumptions'!$B$25/'Weights &amp; Assumptions'!$B$28+D83*'Weights &amp; Assumptions'!$B$26/'Weights &amp; Assumptions'!$B$28+E83*'Weights &amp; Assumptions'!$B$27/'Weights &amp; Assumptions'!$B$28</f>
        <v>137.139130416856</v>
      </c>
      <c r="G83" s="24" t="n">
        <f aca="false">(F83/F82-1)*100</f>
        <v>0.336348195630154</v>
      </c>
      <c r="H83" s="24" t="n">
        <f aca="false">(F83/F71-1)*100</f>
        <v>12.3782119637941</v>
      </c>
      <c r="I83" s="24" t="n">
        <f aca="false">(C83/C82-1)*100</f>
        <v>3.22520643235409</v>
      </c>
      <c r="J83" s="24" t="n">
        <f aca="false">(D83/D82-1)*100</f>
        <v>-0.209241521955117</v>
      </c>
      <c r="K83" s="24" t="n">
        <f aca="false">(E83/E82-1)*100</f>
        <v>0.223691738496368</v>
      </c>
    </row>
    <row r="84" customFormat="false" ht="15" hidden="false" customHeight="false" outlineLevel="0" collapsed="false">
      <c r="A84" s="20" t="n">
        <v>40359</v>
      </c>
      <c r="B84" s="25" t="s">
        <v>437</v>
      </c>
      <c r="C84" s="23" t="n">
        <f aca="false">'SA Data'!R84</f>
        <v>123.164924399534</v>
      </c>
      <c r="D84" s="23" t="n">
        <f aca="false">'SA Data'!S84</f>
        <v>132.280811970924</v>
      </c>
      <c r="E84" s="23" t="n">
        <f aca="false">'SA Data'!T84</f>
        <v>142.563251115156</v>
      </c>
      <c r="F84" s="22" t="n">
        <f aca="false">C84*'Weights &amp; Assumptions'!$B$25/'Weights &amp; Assumptions'!$B$28+D84*'Weights &amp; Assumptions'!$B$26/'Weights &amp; Assumptions'!$B$28+E84*'Weights &amp; Assumptions'!$B$27/'Weights &amp; Assumptions'!$B$28</f>
        <v>138.201435176664</v>
      </c>
      <c r="G84" s="24" t="n">
        <f aca="false">(F84/F83-1)*100</f>
        <v>0.774618270204464</v>
      </c>
      <c r="H84" s="24" t="n">
        <f aca="false">(F84/F72-1)*100</f>
        <v>11.6013714604966</v>
      </c>
      <c r="I84" s="24" t="n">
        <f aca="false">(C84/C83-1)*100</f>
        <v>-1.41165379213551</v>
      </c>
      <c r="J84" s="24" t="n">
        <f aca="false">(D84/D83-1)*100</f>
        <v>1.19892433701583</v>
      </c>
      <c r="K84" s="24" t="n">
        <f aca="false">(E84/E83-1)*100</f>
        <v>0.863489856061417</v>
      </c>
    </row>
    <row r="85" customFormat="false" ht="15" hidden="false" customHeight="false" outlineLevel="0" collapsed="false">
      <c r="A85" s="20" t="n">
        <v>40390</v>
      </c>
      <c r="B85" s="25" t="s">
        <v>437</v>
      </c>
      <c r="C85" s="23" t="n">
        <f aca="false">'SA Data'!R85</f>
        <v>107.584268885533</v>
      </c>
      <c r="D85" s="23" t="n">
        <f aca="false">'SA Data'!S85</f>
        <v>131.461921421012</v>
      </c>
      <c r="E85" s="23" t="n">
        <f aca="false">'SA Data'!T85</f>
        <v>142.878131955055</v>
      </c>
      <c r="F85" s="22" t="n">
        <f aca="false">C85*'Weights &amp; Assumptions'!$B$25/'Weights &amp; Assumptions'!$B$28+D85*'Weights &amp; Assumptions'!$B$26/'Weights &amp; Assumptions'!$B$28+E85*'Weights &amp; Assumptions'!$B$27/'Weights &amp; Assumptions'!$B$28</f>
        <v>136.881177670776</v>
      </c>
      <c r="G85" s="24" t="n">
        <f aca="false">(F85/F84-1)*100</f>
        <v>-0.955313889613951</v>
      </c>
      <c r="H85" s="24" t="n">
        <f aca="false">(F85/F73-1)*100</f>
        <v>8.71989588442825</v>
      </c>
      <c r="I85" s="24" t="n">
        <f aca="false">(C85/C84-1)*100</f>
        <v>-12.6502375493364</v>
      </c>
      <c r="J85" s="24" t="n">
        <f aca="false">(D85/D84-1)*100</f>
        <v>-0.619054674454578</v>
      </c>
      <c r="K85" s="24" t="n">
        <f aca="false">(E85/E84-1)*100</f>
        <v>0.220870973014797</v>
      </c>
    </row>
    <row r="86" customFormat="false" ht="15" hidden="false" customHeight="false" outlineLevel="0" collapsed="false">
      <c r="A86" s="20" t="n">
        <v>40421</v>
      </c>
      <c r="B86" s="25" t="s">
        <v>437</v>
      </c>
      <c r="C86" s="23" t="n">
        <f aca="false">'SA Data'!R86</f>
        <v>99.5091857754933</v>
      </c>
      <c r="D86" s="23" t="n">
        <f aca="false">'SA Data'!S86</f>
        <v>133.729058486464</v>
      </c>
      <c r="E86" s="23" t="n">
        <f aca="false">'SA Data'!T86</f>
        <v>143.46596198271</v>
      </c>
      <c r="F86" s="22" t="n">
        <f aca="false">C86*'Weights &amp; Assumptions'!$B$25/'Weights &amp; Assumptions'!$B$28+D86*'Weights &amp; Assumptions'!$B$26/'Weights &amp; Assumptions'!$B$28+E86*'Weights &amp; Assumptions'!$B$27/'Weights &amp; Assumptions'!$B$28</f>
        <v>137.188739152679</v>
      </c>
      <c r="G86" s="24" t="n">
        <f aca="false">(F86/F85-1)*100</f>
        <v>0.224692311343788</v>
      </c>
      <c r="H86" s="24" t="n">
        <f aca="false">(F86/F74-1)*100</f>
        <v>8.66259162436684</v>
      </c>
      <c r="I86" s="24" t="n">
        <f aca="false">(C86/C85-1)*100</f>
        <v>-7.50582143066961</v>
      </c>
      <c r="J86" s="24" t="n">
        <f aca="false">(D86/D85-1)*100</f>
        <v>1.72455798678897</v>
      </c>
      <c r="K86" s="24" t="n">
        <f aca="false">(E86/E85-1)*100</f>
        <v>0.411420571931487</v>
      </c>
    </row>
    <row r="87" customFormat="false" ht="15" hidden="false" customHeight="false" outlineLevel="0" collapsed="false">
      <c r="A87" s="20" t="n">
        <v>40451</v>
      </c>
      <c r="B87" s="25" t="s">
        <v>437</v>
      </c>
      <c r="C87" s="23" t="n">
        <f aca="false">'SA Data'!R87</f>
        <v>98.8685188441891</v>
      </c>
      <c r="D87" s="23" t="n">
        <f aca="false">'SA Data'!S87</f>
        <v>133.022277490882</v>
      </c>
      <c r="E87" s="23" t="n">
        <f aca="false">'SA Data'!T87</f>
        <v>143.638599797106</v>
      </c>
      <c r="F87" s="22" t="n">
        <f aca="false">C87*'Weights &amp; Assumptions'!$B$25/'Weights &amp; Assumptions'!$B$28+D87*'Weights &amp; Assumptions'!$B$26/'Weights &amp; Assumptions'!$B$28+E87*'Weights &amp; Assumptions'!$B$27/'Weights &amp; Assumptions'!$B$28</f>
        <v>137.059287198674</v>
      </c>
      <c r="G87" s="24" t="n">
        <f aca="false">(F87/F86-1)*100</f>
        <v>-0.0943604809000576</v>
      </c>
      <c r="H87" s="24" t="n">
        <f aca="false">(F87/F75-1)*100</f>
        <v>7.16738319783417</v>
      </c>
      <c r="I87" s="24" t="n">
        <f aca="false">(C87/C86-1)*100</f>
        <v>-0.643826925435453</v>
      </c>
      <c r="J87" s="24" t="n">
        <f aca="false">(D87/D86-1)*100</f>
        <v>-0.528517140239704</v>
      </c>
      <c r="K87" s="24" t="n">
        <f aca="false">(E87/E86-1)*100</f>
        <v>0.120333640126313</v>
      </c>
    </row>
    <row r="88" customFormat="false" ht="15" hidden="false" customHeight="false" outlineLevel="0" collapsed="false">
      <c r="A88" s="20" t="n">
        <v>40482</v>
      </c>
      <c r="B88" s="25" t="s">
        <v>437</v>
      </c>
      <c r="C88" s="23" t="n">
        <f aca="false">'SA Data'!R88</f>
        <v>102.135283146323</v>
      </c>
      <c r="D88" s="23" t="n">
        <f aca="false">'SA Data'!S88</f>
        <v>132.842086873816</v>
      </c>
      <c r="E88" s="23" t="n">
        <f aca="false">'SA Data'!T88</f>
        <v>143.455646528542</v>
      </c>
      <c r="F88" s="22" t="n">
        <f aca="false">C88*'Weights &amp; Assumptions'!$B$25/'Weights &amp; Assumptions'!$B$28+D88*'Weights &amp; Assumptions'!$B$26/'Weights &amp; Assumptions'!$B$28+E88*'Weights &amp; Assumptions'!$B$27/'Weights &amp; Assumptions'!$B$28</f>
        <v>137.166502742433</v>
      </c>
      <c r="G88" s="24" t="n">
        <f aca="false">(F88/F87-1)*100</f>
        <v>0.0782256685775362</v>
      </c>
      <c r="H88" s="24" t="n">
        <f aca="false">(F88/F76-1)*100</f>
        <v>6.30192179942835</v>
      </c>
      <c r="I88" s="24" t="n">
        <f aca="false">(C88/C87-1)*100</f>
        <v>3.30415013830883</v>
      </c>
      <c r="J88" s="24" t="n">
        <f aca="false">(D88/D87-1)*100</f>
        <v>-0.135458977597169</v>
      </c>
      <c r="K88" s="24" t="n">
        <f aca="false">(E88/E87-1)*100</f>
        <v>-0.127370545815886</v>
      </c>
    </row>
    <row r="89" customFormat="false" ht="15" hidden="false" customHeight="false" outlineLevel="0" collapsed="false">
      <c r="A89" s="20" t="n">
        <v>40512</v>
      </c>
      <c r="B89" s="25" t="s">
        <v>437</v>
      </c>
      <c r="C89" s="23" t="n">
        <f aca="false">'SA Data'!R89</f>
        <v>106.102009816561</v>
      </c>
      <c r="D89" s="23" t="n">
        <f aca="false">'SA Data'!S89</f>
        <v>135.927674381628</v>
      </c>
      <c r="E89" s="23" t="n">
        <f aca="false">'SA Data'!T89</f>
        <v>146.677166517095</v>
      </c>
      <c r="F89" s="22" t="n">
        <f aca="false">C89*'Weights &amp; Assumptions'!$B$25/'Weights &amp; Assumptions'!$B$28+D89*'Weights &amp; Assumptions'!$B$26/'Weights &amp; Assumptions'!$B$28+E89*'Weights &amp; Assumptions'!$B$27/'Weights &amp; Assumptions'!$B$28</f>
        <v>140.414399370619</v>
      </c>
      <c r="G89" s="24" t="n">
        <f aca="false">(F89/F88-1)*100</f>
        <v>2.36784970327999</v>
      </c>
      <c r="H89" s="24" t="n">
        <f aca="false">(F89/F77-1)*100</f>
        <v>8.42175912790251</v>
      </c>
      <c r="I89" s="24" t="n">
        <f aca="false">(C89/C88-1)*100</f>
        <v>3.88379661566649</v>
      </c>
      <c r="J89" s="24" t="n">
        <f aca="false">(D89/D88-1)*100</f>
        <v>2.32274844548552</v>
      </c>
      <c r="K89" s="24" t="n">
        <f aca="false">(E89/E88-1)*100</f>
        <v>2.24565575947004</v>
      </c>
    </row>
    <row r="90" customFormat="false" ht="15" hidden="false" customHeight="false" outlineLevel="0" collapsed="false">
      <c r="A90" s="20" t="n">
        <v>40543</v>
      </c>
      <c r="B90" s="25" t="s">
        <v>437</v>
      </c>
      <c r="C90" s="23" t="n">
        <f aca="false">'SA Data'!R90</f>
        <v>117.53678641724</v>
      </c>
      <c r="D90" s="23" t="n">
        <f aca="false">'SA Data'!S90</f>
        <v>135.079955909669</v>
      </c>
      <c r="E90" s="23" t="n">
        <f aca="false">'SA Data'!T90</f>
        <v>146.662969188197</v>
      </c>
      <c r="F90" s="22" t="n">
        <f aca="false">C90*'Weights &amp; Assumptions'!$B$25/'Weights &amp; Assumptions'!$B$28+D90*'Weights &amp; Assumptions'!$B$26/'Weights &amp; Assumptions'!$B$28+E90*'Weights &amp; Assumptions'!$B$27/'Weights &amp; Assumptions'!$B$28</f>
        <v>141.139132650204</v>
      </c>
      <c r="G90" s="24" t="n">
        <f aca="false">(F90/F89-1)*100</f>
        <v>0.516138859571358</v>
      </c>
      <c r="H90" s="24" t="n">
        <f aca="false">(F90/F78-1)*100</f>
        <v>8.54292654798912</v>
      </c>
      <c r="I90" s="24" t="n">
        <f aca="false">(C90/C89-1)*100</f>
        <v>10.7771536283316</v>
      </c>
      <c r="J90" s="24" t="n">
        <f aca="false">(D90/D89-1)*100</f>
        <v>-0.623654068838908</v>
      </c>
      <c r="K90" s="24" t="n">
        <f aca="false">(E90/E89-1)*100</f>
        <v>-0.00967930403580342</v>
      </c>
    </row>
    <row r="91" customFormat="false" ht="15" hidden="false" customHeight="false" outlineLevel="0" collapsed="false">
      <c r="A91" s="20" t="n">
        <v>40574</v>
      </c>
      <c r="B91" s="25" t="s">
        <v>437</v>
      </c>
      <c r="C91" s="23" t="n">
        <f aca="false">'SA Data'!R91</f>
        <v>111.964890482158</v>
      </c>
      <c r="D91" s="23" t="n">
        <f aca="false">'SA Data'!S91</f>
        <v>139.334958579976</v>
      </c>
      <c r="E91" s="23" t="n">
        <f aca="false">'SA Data'!T91</f>
        <v>148.060414269618</v>
      </c>
      <c r="F91" s="22" t="n">
        <f aca="false">C91*'Weights &amp; Assumptions'!$B$25/'Weights &amp; Assumptions'!$B$28+D91*'Weights &amp; Assumptions'!$B$26/'Weights &amp; Assumptions'!$B$28+E91*'Weights &amp; Assumptions'!$B$27/'Weights &amp; Assumptions'!$B$28</f>
        <v>142.711718699639</v>
      </c>
      <c r="G91" s="24" t="n">
        <f aca="false">(F91/F90-1)*100</f>
        <v>1.11420980128349</v>
      </c>
      <c r="H91" s="24" t="n">
        <f aca="false">(F91/F79-1)*100</f>
        <v>8.87729981709027</v>
      </c>
      <c r="I91" s="24" t="n">
        <f aca="false">(C91/C90-1)*100</f>
        <v>-4.74055494022284</v>
      </c>
      <c r="J91" s="24" t="n">
        <f aca="false">(D91/D90-1)*100</f>
        <v>3.1499881989544</v>
      </c>
      <c r="K91" s="24" t="n">
        <f aca="false">(E91/E90-1)*100</f>
        <v>0.95282748546297</v>
      </c>
    </row>
    <row r="92" customFormat="false" ht="15" hidden="false" customHeight="false" outlineLevel="0" collapsed="false">
      <c r="A92" s="20" t="n">
        <v>40602</v>
      </c>
      <c r="B92" s="25" t="s">
        <v>437</v>
      </c>
      <c r="C92" s="23" t="n">
        <f aca="false">'SA Data'!R92</f>
        <v>107.172569841034</v>
      </c>
      <c r="D92" s="23" t="n">
        <f aca="false">'SA Data'!S92</f>
        <v>139.770410861762</v>
      </c>
      <c r="E92" s="23" t="n">
        <f aca="false">'SA Data'!T92</f>
        <v>148.218992161793</v>
      </c>
      <c r="F92" s="22" t="n">
        <f aca="false">C92*'Weights &amp; Assumptions'!$B$25/'Weights &amp; Assumptions'!$B$28+D92*'Weights &amp; Assumptions'!$B$26/'Weights &amp; Assumptions'!$B$28+E92*'Weights &amp; Assumptions'!$B$27/'Weights &amp; Assumptions'!$B$28</f>
        <v>142.528537821426</v>
      </c>
      <c r="G92" s="24" t="n">
        <f aca="false">(F92/F91-1)*100</f>
        <v>-0.128357278492741</v>
      </c>
      <c r="H92" s="24" t="n">
        <f aca="false">(F92/F80-1)*100</f>
        <v>7.74773035433276</v>
      </c>
      <c r="I92" s="24" t="n">
        <f aca="false">(C92/C91-1)*100</f>
        <v>-4.28019946296313</v>
      </c>
      <c r="J92" s="24" t="n">
        <f aca="false">(D92/D91-1)*100</f>
        <v>0.312521915694042</v>
      </c>
      <c r="K92" s="24" t="n">
        <f aca="false">(E92/E91-1)*100</f>
        <v>0.107103504307782</v>
      </c>
    </row>
    <row r="93" customFormat="false" ht="15" hidden="false" customHeight="false" outlineLevel="0" collapsed="false">
      <c r="A93" s="20" t="n">
        <v>40633</v>
      </c>
      <c r="B93" s="25" t="s">
        <v>437</v>
      </c>
      <c r="C93" s="23" t="n">
        <f aca="false">'SA Data'!R93</f>
        <v>109.842146599865</v>
      </c>
      <c r="D93" s="23" t="n">
        <f aca="false">'SA Data'!S93</f>
        <v>139.745222867372</v>
      </c>
      <c r="E93" s="23" t="n">
        <f aca="false">'SA Data'!T93</f>
        <v>149.029111323479</v>
      </c>
      <c r="F93" s="22" t="n">
        <f aca="false">C93*'Weights &amp; Assumptions'!$B$25/'Weights &amp; Assumptions'!$B$28+D93*'Weights &amp; Assumptions'!$B$26/'Weights &amp; Assumptions'!$B$28+E93*'Weights &amp; Assumptions'!$B$27/'Weights &amp; Assumptions'!$B$28</f>
        <v>143.272544258866</v>
      </c>
      <c r="G93" s="24" t="n">
        <f aca="false">(F93/F92-1)*100</f>
        <v>0.522005241064316</v>
      </c>
      <c r="H93" s="24" t="n">
        <f aca="false">(F93/F81-1)*100</f>
        <v>6.4123718696643</v>
      </c>
      <c r="I93" s="24" t="n">
        <f aca="false">(C93/C92-1)*100</f>
        <v>2.49091419827947</v>
      </c>
      <c r="J93" s="24" t="n">
        <f aca="false">(D93/D92-1)*100</f>
        <v>-0.018020977569233</v>
      </c>
      <c r="K93" s="24" t="n">
        <f aca="false">(E93/E92-1)*100</f>
        <v>0.546569066399893</v>
      </c>
    </row>
    <row r="94" customFormat="false" ht="15" hidden="false" customHeight="false" outlineLevel="0" collapsed="false">
      <c r="A94" s="20" t="n">
        <v>40663</v>
      </c>
      <c r="B94" s="25" t="s">
        <v>437</v>
      </c>
      <c r="C94" s="23" t="n">
        <f aca="false">'SA Data'!R94</f>
        <v>113.981737174511</v>
      </c>
      <c r="D94" s="23" t="n">
        <f aca="false">'SA Data'!S94</f>
        <v>138.612033726556</v>
      </c>
      <c r="E94" s="23" t="n">
        <f aca="false">'SA Data'!T94</f>
        <v>150.135734003216</v>
      </c>
      <c r="F94" s="22" t="n">
        <f aca="false">C94*'Weights &amp; Assumptions'!$B$25/'Weights &amp; Assumptions'!$B$28+D94*'Weights &amp; Assumptions'!$B$26/'Weights &amp; Assumptions'!$B$28+E94*'Weights &amp; Assumptions'!$B$27/'Weights &amp; Assumptions'!$B$28</f>
        <v>144.038030380529</v>
      </c>
      <c r="G94" s="24" t="n">
        <f aca="false">(F94/F93-1)*100</f>
        <v>0.534286681110086</v>
      </c>
      <c r="H94" s="24" t="n">
        <f aca="false">(F94/F82-1)*100</f>
        <v>5.38385306763753</v>
      </c>
      <c r="I94" s="24" t="n">
        <f aca="false">(C94/C93-1)*100</f>
        <v>3.76867232003941</v>
      </c>
      <c r="J94" s="24" t="n">
        <f aca="false">(D94/D93-1)*100</f>
        <v>-0.810896514073545</v>
      </c>
      <c r="K94" s="24" t="n">
        <f aca="false">(E94/E93-1)*100</f>
        <v>0.742554706197152</v>
      </c>
    </row>
    <row r="95" customFormat="false" ht="15" hidden="false" customHeight="false" outlineLevel="0" collapsed="false">
      <c r="A95" s="20" t="n">
        <v>40694</v>
      </c>
      <c r="B95" s="25" t="s">
        <v>437</v>
      </c>
      <c r="C95" s="23" t="n">
        <f aca="false">'SA Data'!R95</f>
        <v>114.025037427225</v>
      </c>
      <c r="D95" s="23" t="n">
        <f aca="false">'SA Data'!S95</f>
        <v>141.865523058187</v>
      </c>
      <c r="E95" s="23" t="n">
        <f aca="false">'SA Data'!T95</f>
        <v>151.710578183924</v>
      </c>
      <c r="F95" s="22" t="n">
        <f aca="false">C95*'Weights &amp; Assumptions'!$B$25/'Weights &amp; Assumptions'!$B$28+D95*'Weights &amp; Assumptions'!$B$26/'Weights &amp; Assumptions'!$B$28+E95*'Weights &amp; Assumptions'!$B$27/'Weights &amp; Assumptions'!$B$28</f>
        <v>145.930757819611</v>
      </c>
      <c r="G95" s="24" t="n">
        <f aca="false">(F95/F94-1)*100</f>
        <v>1.31404701527917</v>
      </c>
      <c r="H95" s="24" t="n">
        <f aca="false">(F95/F83-1)*100</f>
        <v>6.41073585345913</v>
      </c>
      <c r="I95" s="24" t="n">
        <f aca="false">(C95/C94-1)*100</f>
        <v>0.0379887636279497</v>
      </c>
      <c r="J95" s="24" t="n">
        <f aca="false">(D95/D94-1)*100</f>
        <v>2.34719110899746</v>
      </c>
      <c r="K95" s="24" t="n">
        <f aca="false">(E95/E94-1)*100</f>
        <v>1.04894693536115</v>
      </c>
    </row>
    <row r="96" customFormat="false" ht="15" hidden="false" customHeight="false" outlineLevel="0" collapsed="false">
      <c r="A96" s="20" t="n">
        <v>40724</v>
      </c>
      <c r="B96" s="25" t="s">
        <v>437</v>
      </c>
      <c r="C96" s="23" t="n">
        <f aca="false">'SA Data'!R96</f>
        <v>114.466923825573</v>
      </c>
      <c r="D96" s="23" t="n">
        <f aca="false">'SA Data'!S96</f>
        <v>142.806921381098</v>
      </c>
      <c r="E96" s="23" t="n">
        <f aca="false">'SA Data'!T96</f>
        <v>152.224457178421</v>
      </c>
      <c r="F96" s="22" t="n">
        <f aca="false">C96*'Weights &amp; Assumptions'!$B$25/'Weights &amp; Assumptions'!$B$28+D96*'Weights &amp; Assumptions'!$B$26/'Weights &amp; Assumptions'!$B$28+E96*'Weights &amp; Assumptions'!$B$27/'Weights &amp; Assumptions'!$B$28</f>
        <v>146.552281432782</v>
      </c>
      <c r="G96" s="24" t="n">
        <f aca="false">(F96/F95-1)*100</f>
        <v>0.425903094356173</v>
      </c>
      <c r="H96" s="24" t="n">
        <f aca="false">(F96/F84-1)*100</f>
        <v>6.0425177534829</v>
      </c>
      <c r="I96" s="24" t="n">
        <f aca="false">(C96/C95-1)*100</f>
        <v>0.387534534798473</v>
      </c>
      <c r="J96" s="24" t="n">
        <f aca="false">(D96/D95-1)*100</f>
        <v>0.663584994167521</v>
      </c>
      <c r="K96" s="24" t="n">
        <f aca="false">(E96/E95-1)*100</f>
        <v>0.338723245701034</v>
      </c>
    </row>
    <row r="97" customFormat="false" ht="15" hidden="false" customHeight="false" outlineLevel="0" collapsed="false">
      <c r="A97" s="20" t="n">
        <v>40755</v>
      </c>
      <c r="B97" s="25" t="s">
        <v>437</v>
      </c>
      <c r="C97" s="23" t="n">
        <f aca="false">'SA Data'!R97</f>
        <v>106.051357971047</v>
      </c>
      <c r="D97" s="23" t="n">
        <f aca="false">'SA Data'!S97</f>
        <v>140.761402843287</v>
      </c>
      <c r="E97" s="23" t="n">
        <f aca="false">'SA Data'!T97</f>
        <v>150.999511546512</v>
      </c>
      <c r="F97" s="22" t="n">
        <f aca="false">C97*'Weights &amp; Assumptions'!$B$25/'Weights &amp; Assumptions'!$B$28+D97*'Weights &amp; Assumptions'!$B$26/'Weights &amp; Assumptions'!$B$28+E97*'Weights &amp; Assumptions'!$B$27/'Weights &amp; Assumptions'!$B$28</f>
        <v>144.505832110592</v>
      </c>
      <c r="G97" s="24" t="n">
        <f aca="false">(F97/F96-1)*100</f>
        <v>-1.39639540386763</v>
      </c>
      <c r="H97" s="24" t="n">
        <f aca="false">(F97/F85-1)*100</f>
        <v>5.57027238482324</v>
      </c>
      <c r="I97" s="24" t="n">
        <f aca="false">(C97/C96-1)*100</f>
        <v>-7.35196297172273</v>
      </c>
      <c r="J97" s="24" t="n">
        <f aca="false">(D97/D96-1)*100</f>
        <v>-1.43236652539567</v>
      </c>
      <c r="K97" s="24" t="n">
        <f aca="false">(E97/E96-1)*100</f>
        <v>-0.804696994565379</v>
      </c>
    </row>
    <row r="98" customFormat="false" ht="15" hidden="false" customHeight="false" outlineLevel="0" collapsed="false">
      <c r="A98" s="20" t="n">
        <v>40786</v>
      </c>
      <c r="B98" s="25" t="s">
        <v>437</v>
      </c>
      <c r="C98" s="23" t="n">
        <f aca="false">'SA Data'!R98</f>
        <v>104.536703362164</v>
      </c>
      <c r="D98" s="23" t="n">
        <f aca="false">'SA Data'!S98</f>
        <v>141.589144676014</v>
      </c>
      <c r="E98" s="23" t="n">
        <f aca="false">'SA Data'!T98</f>
        <v>152.80656713547</v>
      </c>
      <c r="F98" s="22" t="n">
        <f aca="false">C98*'Weights &amp; Assumptions'!$B$25/'Weights &amp; Assumptions'!$B$28+D98*'Weights &amp; Assumptions'!$B$26/'Weights &amp; Assumptions'!$B$28+E98*'Weights &amp; Assumptions'!$B$27/'Weights &amp; Assumptions'!$B$28</f>
        <v>145.773776815033</v>
      </c>
      <c r="G98" s="24" t="n">
        <f aca="false">(F98/F97-1)*100</f>
        <v>0.877434969870872</v>
      </c>
      <c r="H98" s="24" t="n">
        <f aca="false">(F98/F86-1)*100</f>
        <v>6.25782969898121</v>
      </c>
      <c r="I98" s="24" t="n">
        <f aca="false">(C98/C97-1)*100</f>
        <v>-1.42822745305783</v>
      </c>
      <c r="J98" s="24" t="n">
        <f aca="false">(D98/D97-1)*100</f>
        <v>0.588046023986255</v>
      </c>
      <c r="K98" s="24" t="n">
        <f aca="false">(E98/E97-1)*100</f>
        <v>1.19672942677118</v>
      </c>
    </row>
    <row r="99" customFormat="false" ht="15" hidden="false" customHeight="false" outlineLevel="0" collapsed="false">
      <c r="A99" s="20" t="n">
        <v>40816</v>
      </c>
      <c r="B99" s="25" t="s">
        <v>437</v>
      </c>
      <c r="C99" s="23" t="n">
        <f aca="false">'SA Data'!R99</f>
        <v>104.091994514489</v>
      </c>
      <c r="D99" s="23" t="n">
        <f aca="false">'SA Data'!S99</f>
        <v>143.059834346572</v>
      </c>
      <c r="E99" s="23" t="n">
        <f aca="false">'SA Data'!T99</f>
        <v>154.054353831096</v>
      </c>
      <c r="F99" s="22" t="n">
        <f aca="false">C99*'Weights &amp; Assumptions'!$B$25/'Weights &amp; Assumptions'!$B$28+D99*'Weights &amp; Assumptions'!$B$26/'Weights &amp; Assumptions'!$B$28+E99*'Weights &amp; Assumptions'!$B$27/'Weights &amp; Assumptions'!$B$28</f>
        <v>146.938835520824</v>
      </c>
      <c r="G99" s="24" t="n">
        <f aca="false">(F99/F98-1)*100</f>
        <v>0.799223791305903</v>
      </c>
      <c r="H99" s="24" t="n">
        <f aca="false">(F99/F87-1)*100</f>
        <v>7.20822975522224</v>
      </c>
      <c r="I99" s="24" t="n">
        <f aca="false">(C99/C98-1)*100</f>
        <v>-0.425409290107026</v>
      </c>
      <c r="J99" s="24" t="n">
        <f aca="false">(D99/D98-1)*100</f>
        <v>1.03870227758107</v>
      </c>
      <c r="K99" s="24" t="n">
        <f aca="false">(E99/E98-1)*100</f>
        <v>0.816579234136627</v>
      </c>
    </row>
    <row r="100" customFormat="false" ht="15" hidden="false" customHeight="false" outlineLevel="0" collapsed="false">
      <c r="A100" s="20" t="n">
        <v>40847</v>
      </c>
      <c r="B100" s="25" t="s">
        <v>437</v>
      </c>
      <c r="C100" s="23" t="n">
        <f aca="false">'SA Data'!R100</f>
        <v>104.612329187847</v>
      </c>
      <c r="D100" s="23" t="n">
        <f aca="false">'SA Data'!S100</f>
        <v>140.328636824109</v>
      </c>
      <c r="E100" s="23" t="n">
        <f aca="false">'SA Data'!T100</f>
        <v>152.765168626149</v>
      </c>
      <c r="F100" s="22" t="n">
        <f aca="false">C100*'Weights &amp; Assumptions'!$B$25/'Weights &amp; Assumptions'!$B$28+D100*'Weights &amp; Assumptions'!$B$26/'Weights &amp; Assumptions'!$B$28+E100*'Weights &amp; Assumptions'!$B$27/'Weights &amp; Assumptions'!$B$28</f>
        <v>145.41801427501</v>
      </c>
      <c r="G100" s="24" t="n">
        <f aca="false">(F100/F99-1)*100</f>
        <v>-1.03500292514493</v>
      </c>
      <c r="H100" s="24" t="n">
        <f aca="false">(F100/F88-1)*100</f>
        <v>6.01568995899207</v>
      </c>
      <c r="I100" s="24" t="n">
        <f aca="false">(C100/C99-1)*100</f>
        <v>0.499879626463851</v>
      </c>
      <c r="J100" s="24" t="n">
        <f aca="false">(D100/D99-1)*100</f>
        <v>-1.90912951558863</v>
      </c>
      <c r="K100" s="24" t="n">
        <f aca="false">(E100/E99-1)*100</f>
        <v>-0.836837890580189</v>
      </c>
    </row>
    <row r="101" customFormat="false" ht="15" hidden="false" customHeight="false" outlineLevel="0" collapsed="false">
      <c r="A101" s="20" t="n">
        <v>40877</v>
      </c>
      <c r="B101" s="25" t="s">
        <v>437</v>
      </c>
      <c r="C101" s="23" t="n">
        <f aca="false">'SA Data'!R101</f>
        <v>106.037183772022</v>
      </c>
      <c r="D101" s="23" t="n">
        <f aca="false">'SA Data'!S101</f>
        <v>139.981193907037</v>
      </c>
      <c r="E101" s="23" t="n">
        <f aca="false">'SA Data'!T101</f>
        <v>152.756153554523</v>
      </c>
      <c r="F101" s="22" t="n">
        <f aca="false">C101*'Weights &amp; Assumptions'!$B$25/'Weights &amp; Assumptions'!$B$28+D101*'Weights &amp; Assumptions'!$B$26/'Weights &amp; Assumptions'!$B$28+E101*'Weights &amp; Assumptions'!$B$27/'Weights &amp; Assumptions'!$B$28</f>
        <v>145.439308184952</v>
      </c>
      <c r="G101" s="24" t="n">
        <f aca="false">(F101/F100-1)*100</f>
        <v>0.0146432407626129</v>
      </c>
      <c r="H101" s="24" t="n">
        <f aca="false">(F101/F89-1)*100</f>
        <v>3.57862785929119</v>
      </c>
      <c r="I101" s="24" t="n">
        <f aca="false">(C101/C100-1)*100</f>
        <v>1.36203313245886</v>
      </c>
      <c r="J101" s="24" t="n">
        <f aca="false">(D101/D100-1)*100</f>
        <v>-0.247592312542122</v>
      </c>
      <c r="K101" s="24" t="n">
        <f aca="false">(E101/E100-1)*100</f>
        <v>-0.00590126120152412</v>
      </c>
    </row>
    <row r="102" customFormat="false" ht="15" hidden="false" customHeight="false" outlineLevel="0" collapsed="false">
      <c r="A102" s="20" t="n">
        <v>40908</v>
      </c>
      <c r="B102" s="25" t="s">
        <v>437</v>
      </c>
      <c r="C102" s="23" t="n">
        <f aca="false">'SA Data'!R102</f>
        <v>112.021277962321</v>
      </c>
      <c r="D102" s="23" t="n">
        <f aca="false">'SA Data'!S102</f>
        <v>139.533870262182</v>
      </c>
      <c r="E102" s="23" t="n">
        <f aca="false">'SA Data'!T102</f>
        <v>153.013852127745</v>
      </c>
      <c r="F102" s="22" t="n">
        <f aca="false">C102*'Weights &amp; Assumptions'!$B$25/'Weights &amp; Assumptions'!$B$28+D102*'Weights &amp; Assumptions'!$B$26/'Weights &amp; Assumptions'!$B$28+E102*'Weights &amp; Assumptions'!$B$27/'Weights &amp; Assumptions'!$B$28</f>
        <v>145.989978392712</v>
      </c>
      <c r="G102" s="24" t="n">
        <f aca="false">(F102/F101-1)*100</f>
        <v>0.378625431207191</v>
      </c>
      <c r="H102" s="24" t="n">
        <f aca="false">(F102/F90-1)*100</f>
        <v>3.43692472202599</v>
      </c>
      <c r="I102" s="24" t="n">
        <f aca="false">(C102/C101-1)*100</f>
        <v>5.64339223037447</v>
      </c>
      <c r="J102" s="24" t="n">
        <f aca="false">(D102/D101-1)*100</f>
        <v>-0.319559815408133</v>
      </c>
      <c r="K102" s="24" t="n">
        <f aca="false">(E102/E101-1)*100</f>
        <v>0.168699307507492</v>
      </c>
    </row>
    <row r="103" customFormat="false" ht="15" hidden="false" customHeight="false" outlineLevel="0" collapsed="false">
      <c r="A103" s="20" t="n">
        <v>40939</v>
      </c>
      <c r="B103" s="25" t="s">
        <v>437</v>
      </c>
      <c r="C103" s="23" t="n">
        <f aca="false">'SA Data'!R103</f>
        <v>109.947698669178</v>
      </c>
      <c r="D103" s="23" t="n">
        <f aca="false">'SA Data'!S103</f>
        <v>137.719070398275</v>
      </c>
      <c r="E103" s="23" t="n">
        <f aca="false">'SA Data'!T103</f>
        <v>152.774181082855</v>
      </c>
      <c r="F103" s="22" t="n">
        <f aca="false">C103*'Weights &amp; Assumptions'!$B$25/'Weights &amp; Assumptions'!$B$28+D103*'Weights &amp; Assumptions'!$B$26/'Weights &amp; Assumptions'!$B$28+E103*'Weights &amp; Assumptions'!$B$27/'Weights &amp; Assumptions'!$B$28</f>
        <v>145.177586652032</v>
      </c>
      <c r="G103" s="24" t="n">
        <f aca="false">(F103/F102-1)*100</f>
        <v>-0.556470895895944</v>
      </c>
      <c r="H103" s="24" t="n">
        <f aca="false">(F103/F91-1)*100</f>
        <v>1.72786648136616</v>
      </c>
      <c r="I103" s="24" t="n">
        <f aca="false">(C103/C102-1)*100</f>
        <v>-1.85105841574114</v>
      </c>
      <c r="J103" s="24" t="n">
        <f aca="false">(D103/D102-1)*100</f>
        <v>-1.30061601566489</v>
      </c>
      <c r="K103" s="24" t="n">
        <f aca="false">(E103/E102-1)*100</f>
        <v>-0.156633560659181</v>
      </c>
    </row>
    <row r="104" customFormat="false" ht="15" hidden="false" customHeight="false" outlineLevel="0" collapsed="false">
      <c r="A104" s="20" t="n">
        <v>40968</v>
      </c>
      <c r="B104" s="25" t="s">
        <v>437</v>
      </c>
      <c r="C104" s="23" t="n">
        <f aca="false">'SA Data'!R104</f>
        <v>102.569088514743</v>
      </c>
      <c r="D104" s="23" t="n">
        <f aca="false">'SA Data'!S104</f>
        <v>139.436247011654</v>
      </c>
      <c r="E104" s="23" t="n">
        <f aca="false">'SA Data'!T104</f>
        <v>153.037413917079</v>
      </c>
      <c r="F104" s="22" t="n">
        <f aca="false">C104*'Weights &amp; Assumptions'!$B$25/'Weights &amp; Assumptions'!$B$28+D104*'Weights &amp; Assumptions'!$B$26/'Weights &amp; Assumptions'!$B$28+E104*'Weights &amp; Assumptions'!$B$27/'Weights &amp; Assumptions'!$B$28</f>
        <v>145.186291548586</v>
      </c>
      <c r="G104" s="24" t="n">
        <f aca="false">(F104/F103-1)*100</f>
        <v>0.00599603337845256</v>
      </c>
      <c r="H104" s="24" t="n">
        <f aca="false">(F104/F92-1)*100</f>
        <v>1.86471689654832</v>
      </c>
      <c r="I104" s="24" t="n">
        <f aca="false">(C104/C103-1)*100</f>
        <v>-6.71101827846079</v>
      </c>
      <c r="J104" s="24" t="n">
        <f aca="false">(D104/D103-1)*100</f>
        <v>1.24686915792633</v>
      </c>
      <c r="K104" s="24" t="n">
        <f aca="false">(E104/E103-1)*100</f>
        <v>0.172301911460626</v>
      </c>
    </row>
    <row r="105" customFormat="false" ht="15" hidden="false" customHeight="false" outlineLevel="0" collapsed="false">
      <c r="A105" s="20" t="n">
        <v>40999</v>
      </c>
      <c r="B105" s="25" t="s">
        <v>437</v>
      </c>
      <c r="C105" s="23" t="n">
        <f aca="false">'SA Data'!R105</f>
        <v>98.389169019329</v>
      </c>
      <c r="D105" s="23" t="n">
        <f aca="false">'SA Data'!S105</f>
        <v>139.904994628857</v>
      </c>
      <c r="E105" s="23" t="n">
        <f aca="false">'SA Data'!T105</f>
        <v>153.358152589523</v>
      </c>
      <c r="F105" s="22" t="n">
        <f aca="false">C105*'Weights &amp; Assumptions'!$B$25/'Weights &amp; Assumptions'!$B$28+D105*'Weights &amp; Assumptions'!$B$26/'Weights &amp; Assumptions'!$B$28+E105*'Weights &amp; Assumptions'!$B$27/'Weights &amp; Assumptions'!$B$28</f>
        <v>145.168779419162</v>
      </c>
      <c r="G105" s="24" t="n">
        <f aca="false">(F105/F104-1)*100</f>
        <v>-0.0120618339630063</v>
      </c>
      <c r="H105" s="24" t="n">
        <f aca="false">(F105/F93-1)*100</f>
        <v>1.32351607916548</v>
      </c>
      <c r="I105" s="24" t="n">
        <f aca="false">(C105/C104-1)*100</f>
        <v>-4.07522339911698</v>
      </c>
      <c r="J105" s="24" t="n">
        <f aca="false">(D105/D104-1)*100</f>
        <v>0.336173432123665</v>
      </c>
      <c r="K105" s="24" t="n">
        <f aca="false">(E105/E104-1)*100</f>
        <v>0.209581869056663</v>
      </c>
    </row>
    <row r="106" customFormat="false" ht="15" hidden="false" customHeight="false" outlineLevel="0" collapsed="false">
      <c r="A106" s="20" t="n">
        <v>41029</v>
      </c>
      <c r="B106" s="25" t="s">
        <v>437</v>
      </c>
      <c r="C106" s="23" t="n">
        <f aca="false">'SA Data'!R106</f>
        <v>89.0300066457769</v>
      </c>
      <c r="D106" s="23" t="n">
        <f aca="false">'SA Data'!S106</f>
        <v>135.973765796827</v>
      </c>
      <c r="E106" s="23" t="n">
        <f aca="false">'SA Data'!T106</f>
        <v>150.628114845018</v>
      </c>
      <c r="F106" s="22" t="n">
        <f aca="false">C106*'Weights &amp; Assumptions'!$B$25/'Weights &amp; Assumptions'!$B$28+D106*'Weights &amp; Assumptions'!$B$26/'Weights &amp; Assumptions'!$B$28+E106*'Weights &amp; Assumptions'!$B$27/'Weights &amp; Assumptions'!$B$28</f>
        <v>141.563134908757</v>
      </c>
      <c r="G106" s="24" t="n">
        <f aca="false">(F106/F105-1)*100</f>
        <v>-2.4837602994473</v>
      </c>
      <c r="H106" s="24" t="n">
        <f aca="false">(F106/F94-1)*100</f>
        <v>-1.71822362832519</v>
      </c>
      <c r="I106" s="24" t="n">
        <f aca="false">(C106/C105-1)*100</f>
        <v>-9.5123909133875</v>
      </c>
      <c r="J106" s="24" t="n">
        <f aca="false">(D106/D105-1)*100</f>
        <v>-2.80992743858713</v>
      </c>
      <c r="K106" s="24" t="n">
        <f aca="false">(E106/E105-1)*100</f>
        <v>-1.78017125167891</v>
      </c>
    </row>
    <row r="107" customFormat="false" ht="15" hidden="false" customHeight="false" outlineLevel="0" collapsed="false">
      <c r="A107" s="20" t="n">
        <v>41060</v>
      </c>
      <c r="B107" s="25" t="s">
        <v>437</v>
      </c>
      <c r="C107" s="23" t="n">
        <f aca="false">'SA Data'!R107</f>
        <v>87.5156874817345</v>
      </c>
      <c r="D107" s="23" t="n">
        <f aca="false">'SA Data'!S107</f>
        <v>135.334338420837</v>
      </c>
      <c r="E107" s="23" t="n">
        <f aca="false">'SA Data'!T107</f>
        <v>151.994516458406</v>
      </c>
      <c r="F107" s="22" t="n">
        <f aca="false">C107*'Weights &amp; Assumptions'!$B$25/'Weights &amp; Assumptions'!$B$28+D107*'Weights &amp; Assumptions'!$B$26/'Weights &amp; Assumptions'!$B$28+E107*'Weights &amp; Assumptions'!$B$27/'Weights &amp; Assumptions'!$B$28</f>
        <v>142.15445668516</v>
      </c>
      <c r="G107" s="24" t="n">
        <f aca="false">(F107/F106-1)*100</f>
        <v>0.417708873700806</v>
      </c>
      <c r="H107" s="24" t="n">
        <f aca="false">(F107/F95-1)*100</f>
        <v>-2.5877348893917</v>
      </c>
      <c r="I107" s="24" t="n">
        <f aca="false">(C107/C106-1)*100</f>
        <v>-1.70090873975497</v>
      </c>
      <c r="J107" s="24" t="n">
        <f aca="false">(D107/D106-1)*100</f>
        <v>-0.470257900296334</v>
      </c>
      <c r="K107" s="24" t="n">
        <f aca="false">(E107/E106-1)*100</f>
        <v>0.907135839012319</v>
      </c>
    </row>
    <row r="108" customFormat="false" ht="15" hidden="false" customHeight="false" outlineLevel="0" collapsed="false">
      <c r="A108" s="20" t="n">
        <v>41090</v>
      </c>
      <c r="B108" s="25" t="s">
        <v>437</v>
      </c>
      <c r="C108" s="23" t="n">
        <f aca="false">'SA Data'!R108</f>
        <v>88.1383938018605</v>
      </c>
      <c r="D108" s="23" t="n">
        <f aca="false">'SA Data'!S108</f>
        <v>134.93726660207</v>
      </c>
      <c r="E108" s="23" t="n">
        <f aca="false">'SA Data'!T108</f>
        <v>152.059093319893</v>
      </c>
      <c r="F108" s="22" t="n">
        <f aca="false">C108*'Weights &amp; Assumptions'!$B$25/'Weights &amp; Assumptions'!$B$28+D108*'Weights &amp; Assumptions'!$B$26/'Weights &amp; Assumptions'!$B$28+E108*'Weights &amp; Assumptions'!$B$27/'Weights &amp; Assumptions'!$B$28</f>
        <v>142.143100624466</v>
      </c>
      <c r="G108" s="24" t="n">
        <f aca="false">(F108/F107-1)*100</f>
        <v>-0.00798853652465015</v>
      </c>
      <c r="H108" s="24" t="n">
        <f aca="false">(F108/F96-1)*100</f>
        <v>-3.0086060518539</v>
      </c>
      <c r="I108" s="24" t="n">
        <f aca="false">(C108/C107-1)*100</f>
        <v>0.711536797623835</v>
      </c>
      <c r="J108" s="24" t="n">
        <f aca="false">(D108/D107-1)*100</f>
        <v>-0.293400642734287</v>
      </c>
      <c r="K108" s="24" t="n">
        <f aca="false">(E108/E107-1)*100</f>
        <v>0.0424863100272344</v>
      </c>
    </row>
    <row r="109" customFormat="false" ht="15" hidden="false" customHeight="false" outlineLevel="0" collapsed="false">
      <c r="A109" s="20" t="n">
        <v>41121</v>
      </c>
      <c r="B109" s="25" t="s">
        <v>437</v>
      </c>
      <c r="C109" s="23" t="n">
        <f aca="false">'SA Data'!R109</f>
        <v>100.994962073818</v>
      </c>
      <c r="D109" s="23" t="n">
        <f aca="false">'SA Data'!S109</f>
        <v>137.442776636827</v>
      </c>
      <c r="E109" s="23" t="n">
        <f aca="false">'SA Data'!T109</f>
        <v>153.589944546033</v>
      </c>
      <c r="F109" s="22" t="n">
        <f aca="false">C109*'Weights &amp; Assumptions'!$B$25/'Weights &amp; Assumptions'!$B$28+D109*'Weights &amp; Assumptions'!$B$26/'Weights &amp; Assumptions'!$B$28+E109*'Weights &amp; Assumptions'!$B$27/'Weights &amp; Assumptions'!$B$28</f>
        <v>144.883367738705</v>
      </c>
      <c r="G109" s="24" t="n">
        <f aca="false">(F109/F108-1)*100</f>
        <v>1.92782280828325</v>
      </c>
      <c r="H109" s="24" t="n">
        <f aca="false">(F109/F97-1)*100</f>
        <v>0.261259786265522</v>
      </c>
      <c r="I109" s="24" t="n">
        <f aca="false">(C109/C108-1)*100</f>
        <v>14.5867966471681</v>
      </c>
      <c r="J109" s="24" t="n">
        <f aca="false">(D109/D108-1)*100</f>
        <v>1.85679619711407</v>
      </c>
      <c r="K109" s="24" t="n">
        <f aca="false">(E109/E108-1)*100</f>
        <v>1.00674756945969</v>
      </c>
    </row>
    <row r="110" customFormat="false" ht="15" hidden="false" customHeight="false" outlineLevel="0" collapsed="false">
      <c r="A110" s="20" t="n">
        <v>41152</v>
      </c>
      <c r="B110" s="25" t="s">
        <v>437</v>
      </c>
      <c r="C110" s="23" t="n">
        <f aca="false">'SA Data'!R110</f>
        <v>109.439719143844</v>
      </c>
      <c r="D110" s="23" t="n">
        <f aca="false">'SA Data'!S110</f>
        <v>135.769093631854</v>
      </c>
      <c r="E110" s="23" t="n">
        <f aca="false">'SA Data'!T110</f>
        <v>153.821603664407</v>
      </c>
      <c r="F110" s="22" t="n">
        <f aca="false">C110*'Weights &amp; Assumptions'!$B$25/'Weights &amp; Assumptions'!$B$28+D110*'Weights &amp; Assumptions'!$B$26/'Weights &amp; Assumptions'!$B$28+E110*'Weights &amp; Assumptions'!$B$27/'Weights &amp; Assumptions'!$B$28</f>
        <v>145.29744885672</v>
      </c>
      <c r="G110" s="24" t="n">
        <f aca="false">(F110/F109-1)*100</f>
        <v>0.285803073518975</v>
      </c>
      <c r="H110" s="24" t="n">
        <f aca="false">(F110/F98-1)*100</f>
        <v>-0.326758329735288</v>
      </c>
      <c r="I110" s="24" t="n">
        <f aca="false">(C110/C109-1)*100</f>
        <v>8.36156269245734</v>
      </c>
      <c r="J110" s="24" t="n">
        <f aca="false">(D110/D109-1)*100</f>
        <v>-1.21773078653328</v>
      </c>
      <c r="K110" s="24" t="n">
        <f aca="false">(E110/E109-1)*100</f>
        <v>0.150829612614367</v>
      </c>
    </row>
    <row r="111" customFormat="false" ht="15" hidden="false" customHeight="false" outlineLevel="0" collapsed="false">
      <c r="A111" s="20" t="n">
        <v>41182</v>
      </c>
      <c r="B111" s="25" t="s">
        <v>437</v>
      </c>
      <c r="C111" s="23" t="n">
        <f aca="false">'SA Data'!R111</f>
        <v>110.328428879153</v>
      </c>
      <c r="D111" s="23" t="n">
        <f aca="false">'SA Data'!S111</f>
        <v>134.284587014024</v>
      </c>
      <c r="E111" s="23" t="n">
        <f aca="false">'SA Data'!T111</f>
        <v>151.611774503077</v>
      </c>
      <c r="F111" s="22" t="n">
        <f aca="false">C111*'Weights &amp; Assumptions'!$B$25/'Weights &amp; Assumptions'!$B$28+D111*'Weights &amp; Assumptions'!$B$26/'Weights &amp; Assumptions'!$B$28+E111*'Weights &amp; Assumptions'!$B$27/'Weights &amp; Assumptions'!$B$28</f>
        <v>143.540465621788</v>
      </c>
      <c r="G111" s="24" t="n">
        <f aca="false">(F111/F110-1)*100</f>
        <v>-1.20923199186025</v>
      </c>
      <c r="H111" s="24" t="n">
        <f aca="false">(F111/F99-1)*100</f>
        <v>-2.31277857006998</v>
      </c>
      <c r="I111" s="24" t="n">
        <f aca="false">(C111/C110-1)*100</f>
        <v>0.812054108199201</v>
      </c>
      <c r="J111" s="24" t="n">
        <f aca="false">(D111/D110-1)*100</f>
        <v>-1.09340541217404</v>
      </c>
      <c r="K111" s="24" t="n">
        <f aca="false">(E111/E110-1)*100</f>
        <v>-1.43661820491137</v>
      </c>
    </row>
    <row r="112" customFormat="false" ht="15" hidden="false" customHeight="false" outlineLevel="0" collapsed="false">
      <c r="A112" s="20" t="n">
        <v>41213</v>
      </c>
      <c r="B112" s="25" t="s">
        <v>437</v>
      </c>
      <c r="C112" s="23" t="n">
        <f aca="false">'SA Data'!R112</f>
        <v>108.232822975072</v>
      </c>
      <c r="D112" s="23" t="n">
        <f aca="false">'SA Data'!S112</f>
        <v>137.155938602751</v>
      </c>
      <c r="E112" s="23" t="n">
        <f aca="false">'SA Data'!T112</f>
        <v>154.509067419321</v>
      </c>
      <c r="F112" s="22" t="n">
        <f aca="false">C112*'Weights &amp; Assumptions'!$B$25/'Weights &amp; Assumptions'!$B$28+D112*'Weights &amp; Assumptions'!$B$26/'Weights &amp; Assumptions'!$B$28+E112*'Weights &amp; Assumptions'!$B$27/'Weights &amp; Assumptions'!$B$28</f>
        <v>146.01195191979</v>
      </c>
      <c r="G112" s="24" t="n">
        <f aca="false">(F112/F111-1)*100</f>
        <v>1.72180457078526</v>
      </c>
      <c r="H112" s="24" t="n">
        <f aca="false">(F112/F100-1)*100</f>
        <v>0.408434709923622</v>
      </c>
      <c r="I112" s="24" t="n">
        <f aca="false">(C112/C111-1)*100</f>
        <v>-1.89942513037772</v>
      </c>
      <c r="J112" s="24" t="n">
        <f aca="false">(D112/D111-1)*100</f>
        <v>2.13825849457112</v>
      </c>
      <c r="K112" s="24" t="n">
        <f aca="false">(E112/E111-1)*100</f>
        <v>1.91099466102818</v>
      </c>
    </row>
    <row r="113" customFormat="false" ht="15" hidden="false" customHeight="false" outlineLevel="0" collapsed="false">
      <c r="A113" s="20" t="n">
        <v>41243</v>
      </c>
      <c r="B113" s="25" t="s">
        <v>437</v>
      </c>
      <c r="C113" s="23" t="n">
        <f aca="false">'SA Data'!R113</f>
        <v>105.405018606663</v>
      </c>
      <c r="D113" s="23" t="n">
        <f aca="false">'SA Data'!S113</f>
        <v>137.083933232652</v>
      </c>
      <c r="E113" s="23" t="n">
        <f aca="false">'SA Data'!T113</f>
        <v>154.835820761446</v>
      </c>
      <c r="F113" s="22" t="n">
        <f aca="false">C113*'Weights &amp; Assumptions'!$B$25/'Weights &amp; Assumptions'!$B$28+D113*'Weights &amp; Assumptions'!$B$26/'Weights &amp; Assumptions'!$B$28+E113*'Weights &amp; Assumptions'!$B$27/'Weights &amp; Assumptions'!$B$28</f>
        <v>145.967998337621</v>
      </c>
      <c r="G113" s="24" t="n">
        <f aca="false">(F113/F112-1)*100</f>
        <v>-0.030102728983461</v>
      </c>
      <c r="H113" s="24" t="n">
        <f aca="false">(F113/F101-1)*100</f>
        <v>0.363512560164359</v>
      </c>
      <c r="I113" s="24" t="n">
        <f aca="false">(C113/C112-1)*100</f>
        <v>-2.61270499159011</v>
      </c>
      <c r="J113" s="24" t="n">
        <f aca="false">(D113/D112-1)*100</f>
        <v>-0.0524989080553651</v>
      </c>
      <c r="K113" s="24" t="n">
        <f aca="false">(E113/E112-1)*100</f>
        <v>0.211478424912315</v>
      </c>
    </row>
    <row r="114" customFormat="false" ht="15" hidden="false" customHeight="false" outlineLevel="0" collapsed="false">
      <c r="A114" s="20" t="n">
        <v>41274</v>
      </c>
      <c r="B114" s="25" t="s">
        <v>437</v>
      </c>
      <c r="C114" s="23" t="n">
        <f aca="false">'SA Data'!R114</f>
        <v>97.2377115861067</v>
      </c>
      <c r="D114" s="23" t="n">
        <f aca="false">'SA Data'!S114</f>
        <v>137.681823079666</v>
      </c>
      <c r="E114" s="23" t="n">
        <f aca="false">'SA Data'!T114</f>
        <v>154.784525982052</v>
      </c>
      <c r="F114" s="22" t="n">
        <f aca="false">C114*'Weights &amp; Assumptions'!$B$25/'Weights &amp; Assumptions'!$B$28+D114*'Weights &amp; Assumptions'!$B$26/'Weights &amp; Assumptions'!$B$28+E114*'Weights &amp; Assumptions'!$B$27/'Weights &amp; Assumptions'!$B$28</f>
        <v>145.408392909287</v>
      </c>
      <c r="G114" s="24" t="n">
        <f aca="false">(F114/F113-1)*100</f>
        <v>-0.383375421124133</v>
      </c>
      <c r="H114" s="24" t="n">
        <f aca="false">(F114/F102-1)*100</f>
        <v>-0.398373566341959</v>
      </c>
      <c r="I114" s="24" t="n">
        <f aca="false">(C114/C113-1)*100</f>
        <v>-7.74849919720996</v>
      </c>
      <c r="J114" s="24" t="n">
        <f aca="false">(D114/D113-1)*100</f>
        <v>0.43614873961888</v>
      </c>
      <c r="K114" s="24" t="n">
        <f aca="false">(E114/E113-1)*100</f>
        <v>-0.0331284964563694</v>
      </c>
    </row>
    <row r="115" customFormat="false" ht="15" hidden="false" customHeight="false" outlineLevel="0" collapsed="false">
      <c r="A115" s="20" t="n">
        <v>41305</v>
      </c>
      <c r="B115" s="25" t="s">
        <v>437</v>
      </c>
      <c r="C115" s="23" t="n">
        <f aca="false">'SA Data'!R115</f>
        <v>102.893870188914</v>
      </c>
      <c r="D115" s="23" t="n">
        <f aca="false">'SA Data'!S115</f>
        <v>136.619415390884</v>
      </c>
      <c r="E115" s="23" t="n">
        <f aca="false">'SA Data'!T115</f>
        <v>154.309036794611</v>
      </c>
      <c r="F115" s="22" t="n">
        <f aca="false">C115*'Weights &amp; Assumptions'!$B$25/'Weights &amp; Assumptions'!$B$28+D115*'Weights &amp; Assumptions'!$B$26/'Weights &amp; Assumptions'!$B$28+E115*'Weights &amp; Assumptions'!$B$27/'Weights &amp; Assumptions'!$B$28</f>
        <v>145.291282192299</v>
      </c>
      <c r="G115" s="24" t="n">
        <f aca="false">(F115/F114-1)*100</f>
        <v>-0.0805391729081562</v>
      </c>
      <c r="H115" s="24" t="n">
        <f aca="false">(F115/F103-1)*100</f>
        <v>0.0783148025043756</v>
      </c>
      <c r="I115" s="24" t="n">
        <f aca="false">(C115/C114-1)*100</f>
        <v>5.81683640076096</v>
      </c>
      <c r="J115" s="24" t="n">
        <f aca="false">(D115/D114-1)*100</f>
        <v>-0.771639759714193</v>
      </c>
      <c r="K115" s="24" t="n">
        <f aca="false">(E115/E114-1)*100</f>
        <v>-0.307194265334065</v>
      </c>
    </row>
    <row r="116" customFormat="false" ht="15" hidden="false" customHeight="false" outlineLevel="0" collapsed="false">
      <c r="A116" s="20" t="n">
        <v>41333</v>
      </c>
      <c r="B116" s="25" t="s">
        <v>437</v>
      </c>
      <c r="C116" s="23" t="n">
        <f aca="false">'SA Data'!R116</f>
        <v>110.104471131257</v>
      </c>
      <c r="D116" s="23" t="n">
        <f aca="false">'SA Data'!S116</f>
        <v>135.319122739859</v>
      </c>
      <c r="E116" s="23" t="n">
        <f aca="false">'SA Data'!T116</f>
        <v>154.286191446201</v>
      </c>
      <c r="F116" s="22" t="n">
        <f aca="false">C116*'Weights &amp; Assumptions'!$B$25/'Weights &amp; Assumptions'!$B$28+D116*'Weights &amp; Assumptions'!$B$26/'Weights &amp; Assumptions'!$B$28+E116*'Weights &amp; Assumptions'!$B$27/'Weights &amp; Assumptions'!$B$28</f>
        <v>145.53563345492</v>
      </c>
      <c r="G116" s="24" t="n">
        <f aca="false">(F116/F115-1)*100</f>
        <v>0.168180264454909</v>
      </c>
      <c r="H116" s="24" t="n">
        <f aca="false">(F116/F104-1)*100</f>
        <v>0.240616316188147</v>
      </c>
      <c r="I116" s="24" t="n">
        <f aca="false">(C116/C115-1)*100</f>
        <v>7.00780418610372</v>
      </c>
      <c r="J116" s="24" t="n">
        <f aca="false">(D116/D115-1)*100</f>
        <v>-0.95176271052263</v>
      </c>
      <c r="K116" s="24" t="n">
        <f aca="false">(E116/E115-1)*100</f>
        <v>-0.0148049322865718</v>
      </c>
    </row>
    <row r="117" customFormat="false" ht="15" hidden="false" customHeight="false" outlineLevel="0" collapsed="false">
      <c r="A117" s="20" t="n">
        <v>41364</v>
      </c>
      <c r="B117" s="25" t="s">
        <v>437</v>
      </c>
      <c r="C117" s="23" t="n">
        <f aca="false">'SA Data'!R117</f>
        <v>109.912152420986</v>
      </c>
      <c r="D117" s="23" t="n">
        <f aca="false">'SA Data'!S117</f>
        <v>136.805821806726</v>
      </c>
      <c r="E117" s="23" t="n">
        <f aca="false">'SA Data'!T117</f>
        <v>155.739065487955</v>
      </c>
      <c r="F117" s="22" t="n">
        <f aca="false">C117*'Weights &amp; Assumptions'!$B$25/'Weights &amp; Assumptions'!$B$28+D117*'Weights &amp; Assumptions'!$B$26/'Weights &amp; Assumptions'!$B$28+E117*'Weights &amp; Assumptions'!$B$27/'Weights &amp; Assumptions'!$B$28</f>
        <v>146.859469120691</v>
      </c>
      <c r="G117" s="24" t="n">
        <f aca="false">(F117/F116-1)*100</f>
        <v>0.909629919727406</v>
      </c>
      <c r="H117" s="24" t="n">
        <f aca="false">(F117/F105-1)*100</f>
        <v>1.16463726449547</v>
      </c>
      <c r="I117" s="24" t="n">
        <f aca="false">(C117/C116-1)*100</f>
        <v>-0.174669301160335</v>
      </c>
      <c r="J117" s="24" t="n">
        <f aca="false">(D117/D116-1)*100</f>
        <v>1.09866147279487</v>
      </c>
      <c r="K117" s="24" t="n">
        <f aca="false">(E117/E116-1)*100</f>
        <v>0.941674707331286</v>
      </c>
    </row>
    <row r="118" customFormat="false" ht="15" hidden="false" customHeight="false" outlineLevel="0" collapsed="false">
      <c r="A118" s="20" t="n">
        <v>41394</v>
      </c>
      <c r="B118" s="25" t="s">
        <v>437</v>
      </c>
      <c r="C118" s="23" t="n">
        <f aca="false">'SA Data'!R118</f>
        <v>106.944783981036</v>
      </c>
      <c r="D118" s="23" t="n">
        <f aca="false">'SA Data'!S118</f>
        <v>139.937102629816</v>
      </c>
      <c r="E118" s="23" t="n">
        <f aca="false">'SA Data'!T118</f>
        <v>157.690296401833</v>
      </c>
      <c r="F118" s="22" t="n">
        <f aca="false">C118*'Weights &amp; Assumptions'!$B$25/'Weights &amp; Assumptions'!$B$28+D118*'Weights &amp; Assumptions'!$B$26/'Weights &amp; Assumptions'!$B$28+E118*'Weights &amp; Assumptions'!$B$27/'Weights &amp; Assumptions'!$B$28</f>
        <v>148.711821339699</v>
      </c>
      <c r="G118" s="24" t="n">
        <f aca="false">(F118/F117-1)*100</f>
        <v>1.26130935247053</v>
      </c>
      <c r="H118" s="24" t="n">
        <f aca="false">(F118/F106-1)*100</f>
        <v>5.04982207094356</v>
      </c>
      <c r="I118" s="24" t="n">
        <f aca="false">(C118/C117-1)*100</f>
        <v>-2.69976374276065</v>
      </c>
      <c r="J118" s="24" t="n">
        <f aca="false">(D118/D117-1)*100</f>
        <v>2.28885056332908</v>
      </c>
      <c r="K118" s="24" t="n">
        <f aca="false">(E118/E117-1)*100</f>
        <v>1.25288469387208</v>
      </c>
    </row>
    <row r="119" customFormat="false" ht="15" hidden="false" customHeight="false" outlineLevel="0" collapsed="false">
      <c r="A119" s="20" t="n">
        <v>41425</v>
      </c>
      <c r="B119" s="25" t="s">
        <v>437</v>
      </c>
      <c r="C119" s="23" t="n">
        <f aca="false">'SA Data'!R119</f>
        <v>106.353075879865</v>
      </c>
      <c r="D119" s="23" t="n">
        <f aca="false">'SA Data'!S119</f>
        <v>139.288358117276</v>
      </c>
      <c r="E119" s="23" t="n">
        <f aca="false">'SA Data'!T119</f>
        <v>157.034227795641</v>
      </c>
      <c r="F119" s="22" t="n">
        <f aca="false">C119*'Weights &amp; Assumptions'!$B$25/'Weights &amp; Assumptions'!$B$28+D119*'Weights &amp; Assumptions'!$B$26/'Weights &amp; Assumptions'!$B$28+E119*'Weights &amp; Assumptions'!$B$27/'Weights &amp; Assumptions'!$B$28</f>
        <v>148.063100237879</v>
      </c>
      <c r="G119" s="24" t="n">
        <f aca="false">(F119/F118-1)*100</f>
        <v>-0.436226989875643</v>
      </c>
      <c r="H119" s="24" t="n">
        <f aca="false">(F119/F107-1)*100</f>
        <v>4.15649547013919</v>
      </c>
      <c r="I119" s="24" t="n">
        <f aca="false">(C119/C118-1)*100</f>
        <v>-0.553283740585342</v>
      </c>
      <c r="J119" s="24" t="n">
        <f aca="false">(D119/D118-1)*100</f>
        <v>-0.463597216427081</v>
      </c>
      <c r="K119" s="24" t="n">
        <f aca="false">(E119/E118-1)*100</f>
        <v>-0.416048812870384</v>
      </c>
    </row>
    <row r="120" customFormat="false" ht="15" hidden="false" customHeight="false" outlineLevel="0" collapsed="false">
      <c r="A120" s="20" t="n">
        <v>41455</v>
      </c>
      <c r="B120" s="25" t="s">
        <v>437</v>
      </c>
      <c r="C120" s="23" t="n">
        <f aca="false">'SA Data'!R120</f>
        <v>106.285681826702</v>
      </c>
      <c r="D120" s="23" t="n">
        <f aca="false">'SA Data'!S120</f>
        <v>137.118821012532</v>
      </c>
      <c r="E120" s="23" t="n">
        <f aca="false">'SA Data'!T120</f>
        <v>155.82858814815</v>
      </c>
      <c r="F120" s="22" t="n">
        <f aca="false">C120*'Weights &amp; Assumptions'!$B$25/'Weights &amp; Assumptions'!$B$28+D120*'Weights &amp; Assumptions'!$B$26/'Weights &amp; Assumptions'!$B$28+E120*'Weights &amp; Assumptions'!$B$27/'Weights &amp; Assumptions'!$B$28</f>
        <v>146.696643171595</v>
      </c>
      <c r="G120" s="24" t="n">
        <f aca="false">(F120/F119-1)*100</f>
        <v>-0.922888325375226</v>
      </c>
      <c r="H120" s="24" t="n">
        <f aca="false">(F120/F108-1)*100</f>
        <v>3.20349178196102</v>
      </c>
      <c r="I120" s="24" t="n">
        <f aca="false">(C120/C119-1)*100</f>
        <v>-0.0633682219398635</v>
      </c>
      <c r="J120" s="24" t="n">
        <f aca="false">(D120/D119-1)*100</f>
        <v>-1.55758681778474</v>
      </c>
      <c r="K120" s="24" t="n">
        <f aca="false">(E120/E119-1)*100</f>
        <v>-0.767755962769934</v>
      </c>
    </row>
    <row r="121" customFormat="false" ht="15" hidden="false" customHeight="false" outlineLevel="0" collapsed="false">
      <c r="A121" s="20" t="n">
        <v>41486</v>
      </c>
      <c r="B121" s="25" t="s">
        <v>437</v>
      </c>
      <c r="C121" s="23" t="n">
        <f aca="false">'SA Data'!R121</f>
        <v>106.016721112484</v>
      </c>
      <c r="D121" s="23" t="n">
        <f aca="false">'SA Data'!S121</f>
        <v>137.233650634444</v>
      </c>
      <c r="E121" s="23" t="n">
        <f aca="false">'SA Data'!T121</f>
        <v>156.57680503294</v>
      </c>
      <c r="F121" s="22" t="n">
        <f aca="false">C121*'Weights &amp; Assumptions'!$B$25/'Weights &amp; Assumptions'!$B$28+D121*'Weights &amp; Assumptions'!$B$26/'Weights &amp; Assumptions'!$B$28+E121*'Weights &amp; Assumptions'!$B$27/'Weights &amp; Assumptions'!$B$28</f>
        <v>147.191089272022</v>
      </c>
      <c r="G121" s="24" t="n">
        <f aca="false">(F121/F120-1)*100</f>
        <v>0.337053452442304</v>
      </c>
      <c r="H121" s="24" t="n">
        <f aca="false">(F121/F109-1)*100</f>
        <v>1.59281328791214</v>
      </c>
      <c r="I121" s="24" t="n">
        <f aca="false">(C121/C120-1)*100</f>
        <v>-0.253054512700801</v>
      </c>
      <c r="J121" s="24" t="n">
        <f aca="false">(D121/D120-1)*100</f>
        <v>0.0837446100133032</v>
      </c>
      <c r="K121" s="24" t="n">
        <f aca="false">(E121/E120-1)*100</f>
        <v>0.48015379827353</v>
      </c>
    </row>
    <row r="122" customFormat="false" ht="15" hidden="false" customHeight="false" outlineLevel="0" collapsed="false">
      <c r="A122" s="20" t="n">
        <v>41517</v>
      </c>
      <c r="B122" s="25" t="s">
        <v>437</v>
      </c>
      <c r="C122" s="23" t="n">
        <f aca="false">'SA Data'!R122</f>
        <v>105.058966960932</v>
      </c>
      <c r="D122" s="23" t="n">
        <f aca="false">'SA Data'!S122</f>
        <v>139.046002815461</v>
      </c>
      <c r="E122" s="23" t="n">
        <f aca="false">'SA Data'!T122</f>
        <v>156.549749240669</v>
      </c>
      <c r="F122" s="22" t="n">
        <f aca="false">C122*'Weights &amp; Assumptions'!$B$25/'Weights &amp; Assumptions'!$B$28+D122*'Weights &amp; Assumptions'!$B$26/'Weights &amp; Assumptions'!$B$28+E122*'Weights &amp; Assumptions'!$B$27/'Weights &amp; Assumptions'!$B$28</f>
        <v>147.575077824061</v>
      </c>
      <c r="G122" s="24" t="n">
        <f aca="false">(F122/F121-1)*100</f>
        <v>0.260877580251728</v>
      </c>
      <c r="H122" s="24" t="n">
        <f aca="false">(F122/F110-1)*100</f>
        <v>1.56756294433407</v>
      </c>
      <c r="I122" s="24" t="n">
        <f aca="false">(C122/C121-1)*100</f>
        <v>-0.903399144495831</v>
      </c>
      <c r="J122" s="24" t="n">
        <f aca="false">(D122/D121-1)*100</f>
        <v>1.3206324925686</v>
      </c>
      <c r="K122" s="24" t="n">
        <f aca="false">(E122/E121-1)*100</f>
        <v>-0.0172795659389657</v>
      </c>
    </row>
    <row r="123" customFormat="false" ht="15" hidden="false" customHeight="false" outlineLevel="0" collapsed="false">
      <c r="A123" s="20" t="n">
        <v>41547</v>
      </c>
      <c r="B123" s="25" t="s">
        <v>437</v>
      </c>
      <c r="C123" s="23" t="n">
        <f aca="false">'SA Data'!R123</f>
        <v>104.774536884974</v>
      </c>
      <c r="D123" s="23" t="n">
        <f aca="false">'SA Data'!S123</f>
        <v>139.134123375434</v>
      </c>
      <c r="E123" s="23" t="n">
        <f aca="false">'SA Data'!T123</f>
        <v>156.504312337215</v>
      </c>
      <c r="F123" s="22" t="n">
        <f aca="false">C123*'Weights &amp; Assumptions'!$B$25/'Weights &amp; Assumptions'!$B$28+D123*'Weights &amp; Assumptions'!$B$26/'Weights &amp; Assumptions'!$B$28+E123*'Weights &amp; Assumptions'!$B$27/'Weights &amp; Assumptions'!$B$28</f>
        <v>147.545104457073</v>
      </c>
      <c r="G123" s="24" t="n">
        <f aca="false">(F123/F122-1)*100</f>
        <v>-0.0203105886371735</v>
      </c>
      <c r="H123" s="24" t="n">
        <f aca="false">(F123/F111-1)*100</f>
        <v>2.78990235815233</v>
      </c>
      <c r="I123" s="24" t="n">
        <f aca="false">(C123/C122-1)*100</f>
        <v>-0.270733745234564</v>
      </c>
      <c r="J123" s="24" t="n">
        <f aca="false">(D123/D122-1)*100</f>
        <v>0.0633751119692549</v>
      </c>
      <c r="K123" s="24" t="n">
        <f aca="false">(E123/E122-1)*100</f>
        <v>-0.0290239388274549</v>
      </c>
    </row>
    <row r="124" customFormat="false" ht="15" hidden="false" customHeight="false" outlineLevel="0" collapsed="false">
      <c r="A124" s="20" t="n">
        <v>41578</v>
      </c>
      <c r="B124" s="25" t="s">
        <v>437</v>
      </c>
      <c r="C124" s="23" t="n">
        <f aca="false">'SA Data'!R124</f>
        <v>106.139870656102</v>
      </c>
      <c r="D124" s="23" t="n">
        <f aca="false">'SA Data'!S124</f>
        <v>138.250643755083</v>
      </c>
      <c r="E124" s="23" t="n">
        <f aca="false">'SA Data'!T124</f>
        <v>155.932343330484</v>
      </c>
      <c r="F124" s="22" t="n">
        <f aca="false">C124*'Weights &amp; Assumptions'!$B$25/'Weights &amp; Assumptions'!$B$28+D124*'Weights &amp; Assumptions'!$B$26/'Weights &amp; Assumptions'!$B$28+E124*'Weights &amp; Assumptions'!$B$27/'Weights &amp; Assumptions'!$B$28</f>
        <v>147.052840651945</v>
      </c>
      <c r="G124" s="24" t="n">
        <f aca="false">(F124/F123-1)*100</f>
        <v>-0.33363614939288</v>
      </c>
      <c r="H124" s="24" t="n">
        <f aca="false">(F124/F112-1)*100</f>
        <v>0.712879129734678</v>
      </c>
      <c r="I124" s="24" t="n">
        <f aca="false">(C124/C123-1)*100</f>
        <v>1.30311601627673</v>
      </c>
      <c r="J124" s="24" t="n">
        <f aca="false">(D124/D123-1)*100</f>
        <v>-0.63498414257912</v>
      </c>
      <c r="K124" s="24" t="n">
        <f aca="false">(E124/E123-1)*100</f>
        <v>-0.365465333311688</v>
      </c>
    </row>
    <row r="125" customFormat="false" ht="15" hidden="false" customHeight="false" outlineLevel="0" collapsed="false">
      <c r="A125" s="20" t="n">
        <v>41608</v>
      </c>
      <c r="B125" s="25" t="s">
        <v>437</v>
      </c>
      <c r="C125" s="23" t="n">
        <f aca="false">'SA Data'!R125</f>
        <v>105.908581406586</v>
      </c>
      <c r="D125" s="23" t="n">
        <f aca="false">'SA Data'!S125</f>
        <v>136.996840642389</v>
      </c>
      <c r="E125" s="23" t="n">
        <f aca="false">'SA Data'!T125</f>
        <v>155.435751344408</v>
      </c>
      <c r="F125" s="22" t="n">
        <f aca="false">C125*'Weights &amp; Assumptions'!$B$25/'Weights &amp; Assumptions'!$B$28+D125*'Weights &amp; Assumptions'!$B$26/'Weights &amp; Assumptions'!$B$28+E125*'Weights &amp; Assumptions'!$B$27/'Weights &amp; Assumptions'!$B$28</f>
        <v>146.377152120594</v>
      </c>
      <c r="G125" s="24" t="n">
        <f aca="false">(F125/F124-1)*100</f>
        <v>-0.459486894884376</v>
      </c>
      <c r="H125" s="24" t="n">
        <f aca="false">(F125/F113-1)*100</f>
        <v>0.280303756736489</v>
      </c>
      <c r="I125" s="24" t="n">
        <f aca="false">(C125/C124-1)*100</f>
        <v>-0.217909865619403</v>
      </c>
      <c r="J125" s="24" t="n">
        <f aca="false">(D125/D124-1)*100</f>
        <v>-0.906905804297864</v>
      </c>
      <c r="K125" s="24" t="n">
        <f aca="false">(E125/E124-1)*100</f>
        <v>-0.318466313960075</v>
      </c>
    </row>
    <row r="126" customFormat="false" ht="15" hidden="false" customHeight="false" outlineLevel="0" collapsed="false">
      <c r="A126" s="20" t="n">
        <v>41639</v>
      </c>
      <c r="B126" s="25" t="s">
        <v>437</v>
      </c>
      <c r="C126" s="23" t="n">
        <f aca="false">'SA Data'!R126</f>
        <v>105.403886469887</v>
      </c>
      <c r="D126" s="23" t="n">
        <f aca="false">'SA Data'!S126</f>
        <v>136.917491285237</v>
      </c>
      <c r="E126" s="23" t="n">
        <f aca="false">'SA Data'!T126</f>
        <v>155.333028209962</v>
      </c>
      <c r="F126" s="22" t="n">
        <f aca="false">C126*'Weights &amp; Assumptions'!$B$25/'Weights &amp; Assumptions'!$B$28+D126*'Weights &amp; Assumptions'!$B$26/'Weights &amp; Assumptions'!$B$28+E126*'Weights &amp; Assumptions'!$B$27/'Weights &amp; Assumptions'!$B$28</f>
        <v>146.246918713098</v>
      </c>
      <c r="G126" s="24" t="n">
        <f aca="false">(F126/F125-1)*100</f>
        <v>-0.0889711308149299</v>
      </c>
      <c r="H126" s="24" t="n">
        <f aca="false">(F126/F114-1)*100</f>
        <v>0.576669466619784</v>
      </c>
      <c r="I126" s="24" t="n">
        <f aca="false">(C126/C125-1)*100</f>
        <v>-0.476538284241657</v>
      </c>
      <c r="J126" s="24" t="n">
        <f aca="false">(D126/D125-1)*100</f>
        <v>-0.0579205745040223</v>
      </c>
      <c r="K126" s="24" t="n">
        <f aca="false">(E126/E125-1)*100</f>
        <v>-0.0660871990891154</v>
      </c>
    </row>
    <row r="127" customFormat="false" ht="15" hidden="false" customHeight="false" outlineLevel="0" collapsed="false">
      <c r="A127" s="20" t="n">
        <v>41670</v>
      </c>
      <c r="B127" s="25" t="s">
        <v>437</v>
      </c>
      <c r="C127" s="23" t="n">
        <f aca="false">'SA Data'!R127</f>
        <v>108.636551412529</v>
      </c>
      <c r="D127" s="23" t="n">
        <f aca="false">'SA Data'!S127</f>
        <v>137.447001650963</v>
      </c>
      <c r="E127" s="23" t="n">
        <f aca="false">'SA Data'!T127</f>
        <v>156.535107319858</v>
      </c>
      <c r="F127" s="22" t="n">
        <f aca="false">C127*'Weights &amp; Assumptions'!$B$25/'Weights &amp; Assumptions'!$B$28+D127*'Weights &amp; Assumptions'!$B$26/'Weights &amp; Assumptions'!$B$28+E127*'Weights &amp; Assumptions'!$B$27/'Weights &amp; Assumptions'!$B$28</f>
        <v>147.440517886595</v>
      </c>
      <c r="G127" s="24" t="n">
        <f aca="false">(F127/F126-1)*100</f>
        <v>0.816153382239104</v>
      </c>
      <c r="H127" s="24" t="n">
        <f aca="false">(F127/F115-1)*100</f>
        <v>1.47925991282212</v>
      </c>
      <c r="I127" s="24" t="n">
        <f aca="false">(C127/C126-1)*100</f>
        <v>3.06693144902803</v>
      </c>
      <c r="J127" s="24" t="n">
        <f aca="false">(D127/D126-1)*100</f>
        <v>0.386736830156464</v>
      </c>
      <c r="K127" s="24" t="n">
        <f aca="false">(E127/E126-1)*100</f>
        <v>0.773872191734859</v>
      </c>
    </row>
    <row r="128" customFormat="false" ht="15" hidden="false" customHeight="false" outlineLevel="0" collapsed="false">
      <c r="A128" s="20" t="n">
        <v>41698</v>
      </c>
      <c r="B128" s="25" t="s">
        <v>437</v>
      </c>
      <c r="C128" s="23" t="n">
        <f aca="false">'SA Data'!R128</f>
        <v>105.888491878058</v>
      </c>
      <c r="D128" s="23" t="n">
        <f aca="false">'SA Data'!S128</f>
        <v>135.718203638844</v>
      </c>
      <c r="E128" s="23" t="n">
        <f aca="false">'SA Data'!T128</f>
        <v>154.757008253318</v>
      </c>
      <c r="F128" s="22" t="n">
        <f aca="false">C128*'Weights &amp; Assumptions'!$B$25/'Weights &amp; Assumptions'!$B$28+D128*'Weights &amp; Assumptions'!$B$26/'Weights &amp; Assumptions'!$B$28+E128*'Weights &amp; Assumptions'!$B$27/'Weights &amp; Assumptions'!$B$28</f>
        <v>145.594148341165</v>
      </c>
      <c r="G128" s="24" t="n">
        <f aca="false">(F128/F127-1)*100</f>
        <v>-1.25228096855284</v>
      </c>
      <c r="H128" s="24" t="n">
        <f aca="false">(F128/F116-1)*100</f>
        <v>0.0402065699350196</v>
      </c>
      <c r="I128" s="24" t="n">
        <f aca="false">(C128/C127-1)*100</f>
        <v>-2.52959017820398</v>
      </c>
      <c r="J128" s="24" t="n">
        <f aca="false">(D128/D127-1)*100</f>
        <v>-1.25779245189279</v>
      </c>
      <c r="K128" s="24" t="n">
        <f aca="false">(E128/E127-1)*100</f>
        <v>-1.13591072123335</v>
      </c>
    </row>
    <row r="129" customFormat="false" ht="15" hidden="false" customHeight="false" outlineLevel="0" collapsed="false">
      <c r="A129" s="20" t="n">
        <v>41729</v>
      </c>
      <c r="B129" s="25" t="s">
        <v>437</v>
      </c>
      <c r="C129" s="23" t="n">
        <f aca="false">'SA Data'!R129</f>
        <v>104.476729526629</v>
      </c>
      <c r="D129" s="23" t="n">
        <f aca="false">'SA Data'!S129</f>
        <v>133.371549733061</v>
      </c>
      <c r="E129" s="23" t="n">
        <f aca="false">'SA Data'!T129</f>
        <v>152.154743741081</v>
      </c>
      <c r="F129" s="22" t="n">
        <f aca="false">C129*'Weights &amp; Assumptions'!$B$25/'Weights &amp; Assumptions'!$B$28+D129*'Weights &amp; Assumptions'!$B$26/'Weights &amp; Assumptions'!$B$28+E129*'Weights &amp; Assumptions'!$B$27/'Weights &amp; Assumptions'!$B$28</f>
        <v>143.159739276258</v>
      </c>
      <c r="G129" s="24" t="n">
        <f aca="false">(F129/F128-1)*100</f>
        <v>-1.67205144756404</v>
      </c>
      <c r="H129" s="24" t="n">
        <f aca="false">(F129/F117-1)*100</f>
        <v>-2.51923138942565</v>
      </c>
      <c r="I129" s="24" t="n">
        <f aca="false">(C129/C128-1)*100</f>
        <v>-1.33325380916259</v>
      </c>
      <c r="J129" s="24" t="n">
        <f aca="false">(D129/D128-1)*100</f>
        <v>-1.7290634880698</v>
      </c>
      <c r="K129" s="24" t="n">
        <f aca="false">(E129/E128-1)*100</f>
        <v>-1.68151642475367</v>
      </c>
    </row>
    <row r="130" customFormat="false" ht="15" hidden="false" customHeight="false" outlineLevel="0" collapsed="false">
      <c r="A130" s="20" t="n">
        <v>41759</v>
      </c>
      <c r="B130" s="25" t="s">
        <v>437</v>
      </c>
      <c r="C130" s="23" t="n">
        <f aca="false">'SA Data'!R130</f>
        <v>108.623795571616</v>
      </c>
      <c r="D130" s="23" t="n">
        <f aca="false">'SA Data'!S130</f>
        <v>132.796413267135</v>
      </c>
      <c r="E130" s="23" t="n">
        <f aca="false">'SA Data'!T130</f>
        <v>153.898053885643</v>
      </c>
      <c r="F130" s="22" t="n">
        <f aca="false">C130*'Weights &amp; Assumptions'!$B$25/'Weights &amp; Assumptions'!$B$28+D130*'Weights &amp; Assumptions'!$B$26/'Weights &amp; Assumptions'!$B$28+E130*'Weights &amp; Assumptions'!$B$27/'Weights &amp; Assumptions'!$B$28</f>
        <v>144.488211088531</v>
      </c>
      <c r="G130" s="24" t="n">
        <f aca="false">(F130/F129-1)*100</f>
        <v>0.927964677072235</v>
      </c>
      <c r="H130" s="24" t="n">
        <f aca="false">(F130/F118-1)*100</f>
        <v>-2.84013080676341</v>
      </c>
      <c r="I130" s="24" t="n">
        <f aca="false">(C130/C129-1)*100</f>
        <v>3.96936816818125</v>
      </c>
      <c r="J130" s="24" t="n">
        <f aca="false">(D130/D129-1)*100</f>
        <v>-0.431228749367762</v>
      </c>
      <c r="K130" s="24" t="n">
        <f aca="false">(E130/E129-1)*100</f>
        <v>1.14574813883463</v>
      </c>
    </row>
    <row r="131" customFormat="false" ht="15" hidden="false" customHeight="false" outlineLevel="0" collapsed="false">
      <c r="A131" s="20" t="n">
        <v>41790</v>
      </c>
      <c r="B131" s="25" t="s">
        <v>437</v>
      </c>
      <c r="C131" s="23" t="n">
        <f aca="false">'SA Data'!R131</f>
        <v>110.20571359546</v>
      </c>
      <c r="D131" s="23" t="n">
        <f aca="false">'SA Data'!S131</f>
        <v>133.486258926083</v>
      </c>
      <c r="E131" s="23" t="n">
        <f aca="false">'SA Data'!T131</f>
        <v>154.276292316515</v>
      </c>
      <c r="F131" s="22" t="n">
        <f aca="false">C131*'Weights &amp; Assumptions'!$B$25/'Weights &amp; Assumptions'!$B$28+D131*'Weights &amp; Assumptions'!$B$26/'Weights &amp; Assumptions'!$B$28+E131*'Weights &amp; Assumptions'!$B$27/'Weights &amp; Assumptions'!$B$28</f>
        <v>145.050301044106</v>
      </c>
      <c r="G131" s="24" t="n">
        <f aca="false">(F131/F130-1)*100</f>
        <v>0.389021326612182</v>
      </c>
      <c r="H131" s="24" t="n">
        <f aca="false">(F131/F119-1)*100</f>
        <v>-2.03480758469405</v>
      </c>
      <c r="I131" s="24" t="n">
        <f aca="false">(C131/C130-1)*100</f>
        <v>1.45632733188839</v>
      </c>
      <c r="J131" s="24" t="n">
        <f aca="false">(D131/D130-1)*100</f>
        <v>0.51947612286849</v>
      </c>
      <c r="K131" s="24" t="n">
        <f aca="false">(E131/E130-1)*100</f>
        <v>0.245772068796568</v>
      </c>
    </row>
    <row r="132" customFormat="false" ht="15" hidden="false" customHeight="false" outlineLevel="0" collapsed="false">
      <c r="A132" s="20" t="n">
        <v>41820</v>
      </c>
      <c r="B132" s="25" t="s">
        <v>437</v>
      </c>
      <c r="C132" s="23" t="n">
        <f aca="false">'SA Data'!R132</f>
        <v>109.531530832917</v>
      </c>
      <c r="D132" s="23" t="n">
        <f aca="false">'SA Data'!S132</f>
        <v>132.800114777392</v>
      </c>
      <c r="E132" s="23" t="n">
        <f aca="false">'SA Data'!T132</f>
        <v>153.488853162366</v>
      </c>
      <c r="F132" s="22" t="n">
        <f aca="false">C132*'Weights &amp; Assumptions'!$B$25/'Weights &amp; Assumptions'!$B$28+D132*'Weights &amp; Assumptions'!$B$26/'Weights &amp; Assumptions'!$B$28+E132*'Weights &amp; Assumptions'!$B$27/'Weights &amp; Assumptions'!$B$28</f>
        <v>144.299300306853</v>
      </c>
      <c r="G132" s="24" t="n">
        <f aca="false">(F132/F131-1)*100</f>
        <v>-0.517751932844512</v>
      </c>
      <c r="H132" s="24" t="n">
        <f aca="false">(F132/F120-1)*100</f>
        <v>-1.63421794317266</v>
      </c>
      <c r="I132" s="24" t="n">
        <f aca="false">(C132/C131-1)*100</f>
        <v>-0.611749373556458</v>
      </c>
      <c r="J132" s="24" t="n">
        <f aca="false">(D132/D131-1)*100</f>
        <v>-0.514018562068985</v>
      </c>
      <c r="K132" s="24" t="n">
        <f aca="false">(E132/E131-1)*100</f>
        <v>-0.510408399324047</v>
      </c>
    </row>
    <row r="133" customFormat="false" ht="15" hidden="false" customHeight="false" outlineLevel="0" collapsed="false">
      <c r="A133" s="20" t="n">
        <v>41851</v>
      </c>
      <c r="B133" s="25" t="s">
        <v>437</v>
      </c>
      <c r="C133" s="23" t="n">
        <f aca="false">'SA Data'!R133</f>
        <v>107.693608779765</v>
      </c>
      <c r="D133" s="23" t="n">
        <f aca="false">'SA Data'!S133</f>
        <v>131.71316294926</v>
      </c>
      <c r="E133" s="23" t="n">
        <f aca="false">'SA Data'!T133</f>
        <v>153.39124428079</v>
      </c>
      <c r="F133" s="22" t="n">
        <f aca="false">C133*'Weights &amp; Assumptions'!$B$25/'Weights &amp; Assumptions'!$B$28+D133*'Weights &amp; Assumptions'!$B$26/'Weights &amp; Assumptions'!$B$28+E133*'Weights &amp; Assumptions'!$B$27/'Weights &amp; Assumptions'!$B$28</f>
        <v>143.792594130401</v>
      </c>
      <c r="G133" s="24" t="n">
        <f aca="false">(F133/F132-1)*100</f>
        <v>-0.351149434109754</v>
      </c>
      <c r="H133" s="24" t="n">
        <f aca="false">(F133/F121-1)*100</f>
        <v>-2.30890005531524</v>
      </c>
      <c r="I133" s="24" t="n">
        <f aca="false">(C133/C132-1)*100</f>
        <v>-1.67798444810854</v>
      </c>
      <c r="J133" s="24" t="n">
        <f aca="false">(D133/D132-1)*100</f>
        <v>-0.818487114979905</v>
      </c>
      <c r="K133" s="24" t="n">
        <f aca="false">(E133/E132-1)*100</f>
        <v>-0.063593465951961</v>
      </c>
    </row>
    <row r="134" customFormat="false" ht="15" hidden="false" customHeight="false" outlineLevel="0" collapsed="false">
      <c r="A134" s="20" t="n">
        <v>41882</v>
      </c>
      <c r="B134" s="25" t="s">
        <v>437</v>
      </c>
      <c r="C134" s="23" t="n">
        <f aca="false">'SA Data'!R134</f>
        <v>105.680652852726</v>
      </c>
      <c r="D134" s="23" t="n">
        <f aca="false">'SA Data'!S134</f>
        <v>129.514488633179</v>
      </c>
      <c r="E134" s="23" t="n">
        <f aca="false">'SA Data'!T134</f>
        <v>152.617043335825</v>
      </c>
      <c r="F134" s="22" t="n">
        <f aca="false">C134*'Weights &amp; Assumptions'!$B$25/'Weights &amp; Assumptions'!$B$28+D134*'Weights &amp; Assumptions'!$B$26/'Weights &amp; Assumptions'!$B$28+E134*'Weights &amp; Assumptions'!$B$27/'Weights &amp; Assumptions'!$B$28</f>
        <v>142.535668259234</v>
      </c>
      <c r="G134" s="24" t="n">
        <f aca="false">(F134/F133-1)*100</f>
        <v>-0.874124205608995</v>
      </c>
      <c r="H134" s="24" t="n">
        <f aca="false">(F134/F122-1)*100</f>
        <v>-3.41481071135518</v>
      </c>
      <c r="I134" s="24" t="n">
        <f aca="false">(C134/C133-1)*100</f>
        <v>-1.86915077862784</v>
      </c>
      <c r="J134" s="24" t="n">
        <f aca="false">(D134/D133-1)*100</f>
        <v>-1.66928974056149</v>
      </c>
      <c r="K134" s="24" t="n">
        <f aca="false">(E134/E133-1)*100</f>
        <v>-0.504723035917465</v>
      </c>
    </row>
    <row r="135" customFormat="false" ht="15" hidden="false" customHeight="false" outlineLevel="0" collapsed="false">
      <c r="A135" s="20" t="n">
        <v>41912</v>
      </c>
      <c r="B135" s="25" t="s">
        <v>437</v>
      </c>
      <c r="C135" s="23" t="n">
        <f aca="false">'SA Data'!R135</f>
        <v>108.639603492172</v>
      </c>
      <c r="D135" s="23" t="n">
        <f aca="false">'SA Data'!S135</f>
        <v>131.115382553312</v>
      </c>
      <c r="E135" s="23" t="n">
        <f aca="false">'SA Data'!T135</f>
        <v>154.675816470096</v>
      </c>
      <c r="F135" s="22" t="n">
        <f aca="false">C135*'Weights &amp; Assumptions'!$B$25/'Weights &amp; Assumptions'!$B$28+D135*'Weights &amp; Assumptions'!$B$26/'Weights &amp; Assumptions'!$B$28+E135*'Weights &amp; Assumptions'!$B$27/'Weights &amp; Assumptions'!$B$28</f>
        <v>144.548208953966</v>
      </c>
      <c r="G135" s="24" t="n">
        <f aca="false">(F135/F134-1)*100</f>
        <v>1.41195584186831</v>
      </c>
      <c r="H135" s="24" t="n">
        <f aca="false">(F135/F123-1)*100</f>
        <v>-2.03117244325689</v>
      </c>
      <c r="I135" s="24" t="n">
        <f aca="false">(C135/C134-1)*100</f>
        <v>2.79989814556709</v>
      </c>
      <c r="J135" s="24" t="n">
        <f aca="false">(D135/D134-1)*100</f>
        <v>1.2360732278121</v>
      </c>
      <c r="K135" s="24" t="n">
        <f aca="false">(E135/E134-1)*100</f>
        <v>1.34897983165663</v>
      </c>
    </row>
    <row r="136" customFormat="false" ht="15" hidden="false" customHeight="false" outlineLevel="0" collapsed="false">
      <c r="A136" s="20" t="n">
        <v>41943</v>
      </c>
      <c r="B136" s="25" t="s">
        <v>437</v>
      </c>
      <c r="C136" s="23" t="n">
        <f aca="false">'SA Data'!R136</f>
        <v>106.478968564751</v>
      </c>
      <c r="D136" s="23" t="n">
        <f aca="false">'SA Data'!S136</f>
        <v>131.344410767523</v>
      </c>
      <c r="E136" s="23" t="n">
        <f aca="false">'SA Data'!T136</f>
        <v>155.005656013748</v>
      </c>
      <c r="F136" s="22" t="n">
        <f aca="false">C136*'Weights &amp; Assumptions'!$B$25/'Weights &amp; Assumptions'!$B$28+D136*'Weights &amp; Assumptions'!$B$26/'Weights &amp; Assumptions'!$B$28+E136*'Weights &amp; Assumptions'!$B$27/'Weights &amp; Assumptions'!$B$28</f>
        <v>144.64228812344</v>
      </c>
      <c r="G136" s="24" t="n">
        <f aca="false">(F136/F135-1)*100</f>
        <v>0.0650849776377527</v>
      </c>
      <c r="H136" s="24" t="n">
        <f aca="false">(F136/F124-1)*100</f>
        <v>-1.63924240961137</v>
      </c>
      <c r="I136" s="24" t="n">
        <f aca="false">(C136/C135-1)*100</f>
        <v>-1.98880965869624</v>
      </c>
      <c r="J136" s="24" t="n">
        <f aca="false">(D136/D135-1)*100</f>
        <v>0.174676845501831</v>
      </c>
      <c r="K136" s="24" t="n">
        <f aca="false">(E136/E135-1)*100</f>
        <v>0.21324571040251</v>
      </c>
    </row>
    <row r="137" customFormat="false" ht="15" hidden="false" customHeight="false" outlineLevel="0" collapsed="false">
      <c r="A137" s="20" t="n">
        <v>41973</v>
      </c>
      <c r="B137" s="25" t="s">
        <v>437</v>
      </c>
      <c r="C137" s="23" t="n">
        <f aca="false">'SA Data'!R137</f>
        <v>107.049079316715</v>
      </c>
      <c r="D137" s="23" t="n">
        <f aca="false">'SA Data'!S137</f>
        <v>130.524982066873</v>
      </c>
      <c r="E137" s="23" t="n">
        <f aca="false">'SA Data'!T137</f>
        <v>153.739422413902</v>
      </c>
      <c r="F137" s="22" t="n">
        <f aca="false">C137*'Weights &amp; Assumptions'!$B$25/'Weights &amp; Assumptions'!$B$28+D137*'Weights &amp; Assumptions'!$B$26/'Weights &amp; Assumptions'!$B$28+E137*'Weights &amp; Assumptions'!$B$27/'Weights &amp; Assumptions'!$B$28</f>
        <v>143.648938570471</v>
      </c>
      <c r="G137" s="24" t="n">
        <f aca="false">(F137/F136-1)*100</f>
        <v>-0.686762886467007</v>
      </c>
      <c r="H137" s="24" t="n">
        <f aca="false">(F137/F125-1)*100</f>
        <v>-1.86382472305161</v>
      </c>
      <c r="I137" s="24" t="n">
        <f aca="false">(C137/C136-1)*100</f>
        <v>0.535420994069558</v>
      </c>
      <c r="J137" s="24" t="n">
        <f aca="false">(D137/D136-1)*100</f>
        <v>-0.623877861160249</v>
      </c>
      <c r="K137" s="24" t="n">
        <f aca="false">(E137/E136-1)*100</f>
        <v>-0.816895094288506</v>
      </c>
    </row>
    <row r="138" customFormat="false" ht="15" hidden="false" customHeight="false" outlineLevel="0" collapsed="false">
      <c r="A138" s="20" t="n">
        <v>42004</v>
      </c>
      <c r="B138" s="25" t="s">
        <v>437</v>
      </c>
      <c r="C138" s="23" t="n">
        <f aca="false">'SA Data'!R138</f>
        <v>109.945376916103</v>
      </c>
      <c r="D138" s="23" t="n">
        <f aca="false">'SA Data'!S138</f>
        <v>131.469316990141</v>
      </c>
      <c r="E138" s="23" t="n">
        <f aca="false">'SA Data'!T138</f>
        <v>155.236079874744</v>
      </c>
      <c r="F138" s="22" t="n">
        <f aca="false">C138*'Weights &amp; Assumptions'!$B$25/'Weights &amp; Assumptions'!$B$28+D138*'Weights &amp; Assumptions'!$B$26/'Weights &amp; Assumptions'!$B$28+E138*'Weights &amp; Assumptions'!$B$27/'Weights &amp; Assumptions'!$B$28</f>
        <v>145.116154792914</v>
      </c>
      <c r="G138" s="24" t="n">
        <f aca="false">(F138/F137-1)*100</f>
        <v>1.02139022887555</v>
      </c>
      <c r="H138" s="24" t="n">
        <f aca="false">(F138/F126-1)*100</f>
        <v>-0.773188201251729</v>
      </c>
      <c r="I138" s="24" t="n">
        <f aca="false">(C138/C137-1)*100</f>
        <v>2.70557917720948</v>
      </c>
      <c r="J138" s="24" t="n">
        <f aca="false">(D138/D137-1)*100</f>
        <v>0.723489793535603</v>
      </c>
      <c r="K138" s="24" t="n">
        <f aca="false">(E138/E137-1)*100</f>
        <v>0.973502721255892</v>
      </c>
    </row>
    <row r="139" customFormat="false" ht="15" hidden="false" customHeight="false" outlineLevel="0" collapsed="false">
      <c r="A139" s="20" t="n">
        <v>42035</v>
      </c>
      <c r="B139" s="25" t="s">
        <v>437</v>
      </c>
      <c r="C139" s="23" t="n">
        <f aca="false">'SA Data'!R139</f>
        <v>105.541874790019</v>
      </c>
      <c r="D139" s="23" t="n">
        <f aca="false">'SA Data'!S139</f>
        <v>132.503839773124</v>
      </c>
      <c r="E139" s="23" t="n">
        <f aca="false">'SA Data'!T139</f>
        <v>155.068011476737</v>
      </c>
      <c r="F139" s="22" t="n">
        <f aca="false">C139*'Weights &amp; Assumptions'!$B$25/'Weights &amp; Assumptions'!$B$28+D139*'Weights &amp; Assumptions'!$B$26/'Weights &amp; Assumptions'!$B$28+E139*'Weights &amp; Assumptions'!$B$27/'Weights &amp; Assumptions'!$B$28</f>
        <v>144.912519982486</v>
      </c>
      <c r="G139" s="24" t="n">
        <f aca="false">(F139/F138-1)*100</f>
        <v>-0.140325390180029</v>
      </c>
      <c r="H139" s="24" t="n">
        <f aca="false">(F139/F127-1)*100</f>
        <v>-1.71458832371515</v>
      </c>
      <c r="I139" s="24" t="n">
        <f aca="false">(C139/C138-1)*100</f>
        <v>-4.00517261352791</v>
      </c>
      <c r="J139" s="24" t="n">
        <f aca="false">(D139/D138-1)*100</f>
        <v>0.786892947089513</v>
      </c>
      <c r="K139" s="24" t="n">
        <f aca="false">(E139/E138-1)*100</f>
        <v>-0.108266324518669</v>
      </c>
    </row>
    <row r="140" customFormat="false" ht="15" hidden="false" customHeight="false" outlineLevel="0" collapsed="false">
      <c r="A140" s="20" t="n">
        <v>42063</v>
      </c>
      <c r="B140" s="25" t="s">
        <v>437</v>
      </c>
      <c r="C140" s="23" t="n">
        <f aca="false">'SA Data'!R140</f>
        <v>109.177702211066</v>
      </c>
      <c r="D140" s="23" t="n">
        <f aca="false">'SA Data'!S140</f>
        <v>133.609672277327</v>
      </c>
      <c r="E140" s="23" t="n">
        <f aca="false">'SA Data'!T140</f>
        <v>156.603307310406</v>
      </c>
      <c r="F140" s="22" t="n">
        <f aca="false">C140*'Weights &amp; Assumptions'!$B$25/'Weights &amp; Assumptions'!$B$28+D140*'Weights &amp; Assumptions'!$B$26/'Weights &amp; Assumptions'!$B$28+E140*'Weights &amp; Assumptions'!$B$27/'Weights &amp; Assumptions'!$B$28</f>
        <v>146.509850363154</v>
      </c>
      <c r="G140" s="24" t="n">
        <f aca="false">(F140/F139-1)*100</f>
        <v>1.10227217141823</v>
      </c>
      <c r="H140" s="24" t="n">
        <f aca="false">(F140/F128-1)*100</f>
        <v>0.628941501029945</v>
      </c>
      <c r="I140" s="24" t="n">
        <f aca="false">(C140/C139-1)*100</f>
        <v>3.44491456900911</v>
      </c>
      <c r="J140" s="24" t="n">
        <f aca="false">(D140/D139-1)*100</f>
        <v>0.834566383960467</v>
      </c>
      <c r="K140" s="24" t="n">
        <f aca="false">(E140/E139-1)*100</f>
        <v>0.990079010524725</v>
      </c>
    </row>
    <row r="141" customFormat="false" ht="15" hidden="false" customHeight="false" outlineLevel="0" collapsed="false">
      <c r="A141" s="20" t="n">
        <v>42094</v>
      </c>
      <c r="B141" s="25" t="s">
        <v>437</v>
      </c>
      <c r="C141" s="23" t="n">
        <f aca="false">'SA Data'!R141</f>
        <v>114.325731630717</v>
      </c>
      <c r="D141" s="23" t="n">
        <f aca="false">'SA Data'!S141</f>
        <v>133.503332689067</v>
      </c>
      <c r="E141" s="23" t="n">
        <f aca="false">'SA Data'!T141</f>
        <v>156.881300528252</v>
      </c>
      <c r="F141" s="22" t="n">
        <f aca="false">C141*'Weights &amp; Assumptions'!$B$25/'Weights &amp; Assumptions'!$B$28+D141*'Weights &amp; Assumptions'!$B$26/'Weights &amp; Assumptions'!$B$28+E141*'Weights &amp; Assumptions'!$B$27/'Weights &amp; Assumptions'!$B$28</f>
        <v>147.094242864435</v>
      </c>
      <c r="G141" s="24" t="n">
        <f aca="false">(F141/F140-1)*100</f>
        <v>0.398875911641494</v>
      </c>
      <c r="H141" s="24" t="n">
        <f aca="false">(F141/F129-1)*100</f>
        <v>2.74833106575012</v>
      </c>
      <c r="I141" s="24" t="n">
        <f aca="false">(C141/C140-1)*100</f>
        <v>4.71527547786204</v>
      </c>
      <c r="J141" s="24" t="n">
        <f aca="false">(D141/D140-1)*100</f>
        <v>-0.0795897381134947</v>
      </c>
      <c r="K141" s="24" t="n">
        <f aca="false">(E141/E140-1)*100</f>
        <v>0.177514270049417</v>
      </c>
    </row>
    <row r="142" customFormat="false" ht="15" hidden="false" customHeight="false" outlineLevel="0" collapsed="false">
      <c r="A142" s="20" t="n">
        <v>42124</v>
      </c>
      <c r="B142" s="25" t="s">
        <v>437</v>
      </c>
      <c r="C142" s="23" t="n">
        <f aca="false">'SA Data'!R142</f>
        <v>117.612994736774</v>
      </c>
      <c r="D142" s="23" t="n">
        <f aca="false">'SA Data'!S142</f>
        <v>136.441407558297</v>
      </c>
      <c r="E142" s="23" t="n">
        <f aca="false">'SA Data'!T142</f>
        <v>157.515883514932</v>
      </c>
      <c r="F142" s="22" t="n">
        <f aca="false">C142*'Weights &amp; Assumptions'!$B$25/'Weights &amp; Assumptions'!$B$28+D142*'Weights &amp; Assumptions'!$B$26/'Weights &amp; Assumptions'!$B$28+E142*'Weights &amp; Assumptions'!$B$27/'Weights &amp; Assumptions'!$B$28</f>
        <v>148.563926650033</v>
      </c>
      <c r="G142" s="24" t="n">
        <f aca="false">(F142/F141-1)*100</f>
        <v>0.999144328818313</v>
      </c>
      <c r="H142" s="24" t="n">
        <f aca="false">(F142/F130-1)*100</f>
        <v>2.82079453458306</v>
      </c>
      <c r="I142" s="24" t="n">
        <f aca="false">(C142/C141-1)*100</f>
        <v>2.8753484094683</v>
      </c>
      <c r="J142" s="24" t="n">
        <f aca="false">(D142/D141-1)*100</f>
        <v>2.20075020604344</v>
      </c>
      <c r="K142" s="24" t="n">
        <f aca="false">(E142/E141-1)*100</f>
        <v>0.404498805494025</v>
      </c>
    </row>
    <row r="143" customFormat="false" ht="15" hidden="false" customHeight="false" outlineLevel="0" collapsed="false">
      <c r="A143" s="20" t="n">
        <v>42155</v>
      </c>
      <c r="B143" s="25" t="s">
        <v>437</v>
      </c>
      <c r="C143" s="23" t="n">
        <f aca="false">'SA Data'!R143</f>
        <v>119.546192408771</v>
      </c>
      <c r="D143" s="23" t="n">
        <f aca="false">'SA Data'!S143</f>
        <v>134.361582597329</v>
      </c>
      <c r="E143" s="23" t="n">
        <f aca="false">'SA Data'!T143</f>
        <v>156.557866803261</v>
      </c>
      <c r="F143" s="22" t="n">
        <f aca="false">C143*'Weights &amp; Assumptions'!$B$25/'Weights &amp; Assumptions'!$B$28+D143*'Weights &amp; Assumptions'!$B$26/'Weights &amp; Assumptions'!$B$28+E143*'Weights &amp; Assumptions'!$B$27/'Weights &amp; Assumptions'!$B$28</f>
        <v>147.550176821796</v>
      </c>
      <c r="G143" s="24" t="n">
        <f aca="false">(F143/F142-1)*100</f>
        <v>-0.682366070348306</v>
      </c>
      <c r="H143" s="24" t="n">
        <f aca="false">(F143/F131-1)*100</f>
        <v>1.72345438768182</v>
      </c>
      <c r="I143" s="24" t="n">
        <f aca="false">(C143/C142-1)*100</f>
        <v>1.64369394412884</v>
      </c>
      <c r="J143" s="24" t="n">
        <f aca="false">(D143/D142-1)*100</f>
        <v>-1.52433560909921</v>
      </c>
      <c r="K143" s="24" t="n">
        <f aca="false">(E143/E142-1)*100</f>
        <v>-0.608203242932071</v>
      </c>
    </row>
    <row r="144" customFormat="false" ht="15" hidden="false" customHeight="false" outlineLevel="0" collapsed="false">
      <c r="A144" s="20" t="n">
        <v>42185</v>
      </c>
      <c r="B144" s="25" t="s">
        <v>437</v>
      </c>
      <c r="C144" s="23" t="n">
        <f aca="false">'SA Data'!R144</f>
        <v>118.713268208006</v>
      </c>
      <c r="D144" s="23" t="n">
        <f aca="false">'SA Data'!S144</f>
        <v>138.229629692488</v>
      </c>
      <c r="E144" s="23" t="n">
        <f aca="false">'SA Data'!T144</f>
        <v>159.894584157501</v>
      </c>
      <c r="F144" s="22" t="n">
        <f aca="false">C144*'Weights &amp; Assumptions'!$B$25/'Weights &amp; Assumptions'!$B$28+D144*'Weights &amp; Assumptions'!$B$26/'Weights &amp; Assumptions'!$B$28+E144*'Weights &amp; Assumptions'!$B$27/'Weights &amp; Assumptions'!$B$28</f>
        <v>150.678347639068</v>
      </c>
      <c r="G144" s="24" t="n">
        <f aca="false">(F144/F143-1)*100</f>
        <v>2.12007256423028</v>
      </c>
      <c r="H144" s="24" t="n">
        <f aca="false">(F144/F132-1)*100</f>
        <v>4.42070565737329</v>
      </c>
      <c r="I144" s="24" t="n">
        <f aca="false">(C144/C143-1)*100</f>
        <v>-0.696738377009165</v>
      </c>
      <c r="J144" s="24" t="n">
        <f aca="false">(D144/D143-1)*100</f>
        <v>2.87883412831671</v>
      </c>
      <c r="K144" s="24" t="n">
        <f aca="false">(E144/E143-1)*100</f>
        <v>2.13129970557988</v>
      </c>
    </row>
    <row r="145" customFormat="false" ht="15" hidden="false" customHeight="false" outlineLevel="0" collapsed="false">
      <c r="A145" s="20" t="n">
        <v>42216</v>
      </c>
      <c r="B145" s="25" t="s">
        <v>437</v>
      </c>
      <c r="C145" s="23" t="n">
        <f aca="false">'SA Data'!R145</f>
        <v>113.169740056964</v>
      </c>
      <c r="D145" s="23" t="n">
        <f aca="false">'SA Data'!S145</f>
        <v>137.68537087583</v>
      </c>
      <c r="E145" s="23" t="n">
        <f aca="false">'SA Data'!T145</f>
        <v>160.185656075831</v>
      </c>
      <c r="F145" s="22" t="n">
        <f aca="false">C145*'Weights &amp; Assumptions'!$B$25/'Weights &amp; Assumptions'!$B$28+D145*'Weights &amp; Assumptions'!$B$26/'Weights &amp; Assumptions'!$B$28+E145*'Weights &amp; Assumptions'!$B$27/'Weights &amp; Assumptions'!$B$28</f>
        <v>150.257762721905</v>
      </c>
      <c r="G145" s="24" t="n">
        <f aca="false">(F145/F144-1)*100</f>
        <v>-0.279127640933707</v>
      </c>
      <c r="H145" s="24" t="n">
        <f aca="false">(F145/F133-1)*100</f>
        <v>4.49617633689889</v>
      </c>
      <c r="I145" s="24" t="n">
        <f aca="false">(C145/C144-1)*100</f>
        <v>-4.66967865911014</v>
      </c>
      <c r="J145" s="24" t="n">
        <f aca="false">(D145/D144-1)*100</f>
        <v>-0.393735277934448</v>
      </c>
      <c r="K145" s="24" t="n">
        <f aca="false">(E145/E144-1)*100</f>
        <v>0.182039885756025</v>
      </c>
    </row>
    <row r="146" customFormat="false" ht="15" hidden="false" customHeight="false" outlineLevel="0" collapsed="false">
      <c r="A146" s="20" t="n">
        <v>42247</v>
      </c>
      <c r="B146" s="25" t="s">
        <v>437</v>
      </c>
      <c r="C146" s="23" t="n">
        <f aca="false">'SA Data'!R146</f>
        <v>109.049839362089</v>
      </c>
      <c r="D146" s="23" t="n">
        <f aca="false">'SA Data'!S146</f>
        <v>135.005299593451</v>
      </c>
      <c r="E146" s="23" t="n">
        <f aca="false">'SA Data'!T146</f>
        <v>158.969385020618</v>
      </c>
      <c r="F146" s="22" t="n">
        <f aca="false">C146*'Weights &amp; Assumptions'!$B$25/'Weights &amp; Assumptions'!$B$28+D146*'Weights &amp; Assumptions'!$B$26/'Weights &amp; Assumptions'!$B$28+E146*'Weights &amp; Assumptions'!$B$27/'Weights &amp; Assumptions'!$B$28</f>
        <v>148.408624673221</v>
      </c>
      <c r="G146" s="24" t="n">
        <f aca="false">(F146/F145-1)*100</f>
        <v>-1.23064393824798</v>
      </c>
      <c r="H146" s="24" t="n">
        <f aca="false">(F146/F134-1)*100</f>
        <v>4.12034158587282</v>
      </c>
      <c r="I146" s="24" t="n">
        <f aca="false">(C146/C145-1)*100</f>
        <v>-3.64046139259671</v>
      </c>
      <c r="J146" s="24" t="n">
        <f aca="false">(D146/D145-1)*100</f>
        <v>-1.94651854828916</v>
      </c>
      <c r="K146" s="24" t="n">
        <f aca="false">(E146/E145-1)*100</f>
        <v>-0.759288368889732</v>
      </c>
    </row>
    <row r="147" customFormat="false" ht="15" hidden="false" customHeight="false" outlineLevel="0" collapsed="false">
      <c r="A147" s="20" t="n">
        <v>42277</v>
      </c>
      <c r="B147" s="25" t="s">
        <v>437</v>
      </c>
      <c r="C147" s="23" t="n">
        <f aca="false">'SA Data'!R147</f>
        <v>110.211354674198</v>
      </c>
      <c r="D147" s="23" t="n">
        <f aca="false">'SA Data'!S147</f>
        <v>133.328960974601</v>
      </c>
      <c r="E147" s="23" t="n">
        <f aca="false">'SA Data'!T147</f>
        <v>159.340200302182</v>
      </c>
      <c r="F147" s="22" t="n">
        <f aca="false">C147*'Weights &amp; Assumptions'!$B$25/'Weights &amp; Assumptions'!$B$28+D147*'Weights &amp; Assumptions'!$B$26/'Weights &amp; Assumptions'!$B$28+E147*'Weights &amp; Assumptions'!$B$27/'Weights &amp; Assumptions'!$B$28</f>
        <v>148.301406363225</v>
      </c>
      <c r="G147" s="24" t="n">
        <f aca="false">(F147/F146-1)*100</f>
        <v>-0.0722453363020237</v>
      </c>
      <c r="H147" s="24" t="n">
        <f aca="false">(F147/F135-1)*100</f>
        <v>2.59650218872898</v>
      </c>
      <c r="I147" s="24" t="n">
        <f aca="false">(C147/C146-1)*100</f>
        <v>1.06512335910274</v>
      </c>
      <c r="J147" s="24" t="n">
        <f aca="false">(D147/D146-1)*100</f>
        <v>-1.2416835664219</v>
      </c>
      <c r="K147" s="24" t="n">
        <f aca="false">(E147/E146-1)*100</f>
        <v>0.233262072137985</v>
      </c>
    </row>
    <row r="148" customFormat="false" ht="15" hidden="false" customHeight="false" outlineLevel="0" collapsed="false">
      <c r="A148" s="20" t="n">
        <v>42308</v>
      </c>
      <c r="B148" s="25" t="s">
        <v>437</v>
      </c>
      <c r="C148" s="23" t="n">
        <f aca="false">'SA Data'!R148</f>
        <v>109.017124850272</v>
      </c>
      <c r="D148" s="23" t="n">
        <f aca="false">'SA Data'!S148</f>
        <v>134.169355380751</v>
      </c>
      <c r="E148" s="23" t="n">
        <f aca="false">'SA Data'!T148</f>
        <v>159.555138417614</v>
      </c>
      <c r="F148" s="22" t="n">
        <f aca="false">C148*'Weights &amp; Assumptions'!$B$25/'Weights &amp; Assumptions'!$B$28+D148*'Weights &amp; Assumptions'!$B$26/'Weights &amp; Assumptions'!$B$28+E148*'Weights &amp; Assumptions'!$B$27/'Weights &amp; Assumptions'!$B$28</f>
        <v>148.564433869113</v>
      </c>
      <c r="G148" s="24" t="n">
        <f aca="false">(F148/F147-1)*100</f>
        <v>0.177360088712786</v>
      </c>
      <c r="H148" s="24" t="n">
        <f aca="false">(F148/F136-1)*100</f>
        <v>2.71161760267906</v>
      </c>
      <c r="I148" s="24" t="n">
        <f aca="false">(C148/C147-1)*100</f>
        <v>-1.08358147620666</v>
      </c>
      <c r="J148" s="24" t="n">
        <f aca="false">(D148/D147-1)*100</f>
        <v>0.63031647438534</v>
      </c>
      <c r="K148" s="24" t="n">
        <f aca="false">(E148/E147-1)*100</f>
        <v>0.134892585188329</v>
      </c>
    </row>
    <row r="149" customFormat="false" ht="15" hidden="false" customHeight="false" outlineLevel="0" collapsed="false">
      <c r="A149" s="20" t="n">
        <v>42338</v>
      </c>
      <c r="B149" s="25" t="s">
        <v>437</v>
      </c>
      <c r="C149" s="23" t="n">
        <f aca="false">'SA Data'!R149</f>
        <v>111.155404662455</v>
      </c>
      <c r="D149" s="23" t="n">
        <f aca="false">'SA Data'!S149</f>
        <v>131.765709935009</v>
      </c>
      <c r="E149" s="23" t="n">
        <f aca="false">'SA Data'!T149</f>
        <v>159.317996293168</v>
      </c>
      <c r="F149" s="22" t="n">
        <f aca="false">C149*'Weights &amp; Assumptions'!$B$25/'Weights &amp; Assumptions'!$B$28+D149*'Weights &amp; Assumptions'!$B$26/'Weights &amp; Assumptions'!$B$28+E149*'Weights &amp; Assumptions'!$B$27/'Weights &amp; Assumptions'!$B$28</f>
        <v>147.950480544002</v>
      </c>
      <c r="G149" s="24" t="n">
        <f aca="false">(F149/F148-1)*100</f>
        <v>-0.413257271017786</v>
      </c>
      <c r="H149" s="24" t="n">
        <f aca="false">(F149/F137-1)*100</f>
        <v>2.99448225398522</v>
      </c>
      <c r="I149" s="24" t="n">
        <f aca="false">(C149/C148-1)*100</f>
        <v>1.96141644270988</v>
      </c>
      <c r="J149" s="24" t="n">
        <f aca="false">(D149/D148-1)*100</f>
        <v>-1.79150107632258</v>
      </c>
      <c r="K149" s="24" t="n">
        <f aca="false">(E149/E148-1)*100</f>
        <v>-0.148627068233331</v>
      </c>
    </row>
    <row r="150" customFormat="false" ht="15" hidden="false" customHeight="false" outlineLevel="0" collapsed="false">
      <c r="A150" s="20" t="n">
        <v>42369</v>
      </c>
      <c r="B150" s="25" t="s">
        <v>437</v>
      </c>
      <c r="C150" s="23" t="n">
        <f aca="false">'SA Data'!R150</f>
        <v>108.709507326528</v>
      </c>
      <c r="D150" s="23" t="n">
        <f aca="false">'SA Data'!S150</f>
        <v>130.425372607699</v>
      </c>
      <c r="E150" s="23" t="n">
        <f aca="false">'SA Data'!T150</f>
        <v>158.465654407664</v>
      </c>
      <c r="F150" s="22" t="n">
        <f aca="false">C150*'Weights &amp; Assumptions'!$B$25/'Weights &amp; Assumptions'!$B$28+D150*'Weights &amp; Assumptions'!$B$26/'Weights &amp; Assumptions'!$B$28+E150*'Weights &amp; Assumptions'!$B$27/'Weights &amp; Assumptions'!$B$28</f>
        <v>146.834671517692</v>
      </c>
      <c r="G150" s="24" t="n">
        <f aca="false">(F150/F149-1)*100</f>
        <v>-0.754177358672759</v>
      </c>
      <c r="H150" s="24" t="n">
        <f aca="false">(F150/F138-1)*100</f>
        <v>1.184235295671</v>
      </c>
      <c r="I150" s="24" t="n">
        <f aca="false">(C150/C149-1)*100</f>
        <v>-2.20043041843484</v>
      </c>
      <c r="J150" s="24" t="n">
        <f aca="false">(D150/D149-1)*100</f>
        <v>-1.01721254184549</v>
      </c>
      <c r="K150" s="24" t="n">
        <f aca="false">(E150/E149-1)*100</f>
        <v>-0.53499410319986</v>
      </c>
    </row>
    <row r="151" customFormat="false" ht="15" hidden="false" customHeight="false" outlineLevel="0" collapsed="false">
      <c r="A151" s="20" t="n">
        <v>42400</v>
      </c>
      <c r="B151" s="25" t="s">
        <v>437</v>
      </c>
      <c r="C151" s="23" t="n">
        <f aca="false">'SA Data'!R151</f>
        <v>108.556877496499</v>
      </c>
      <c r="D151" s="23" t="n">
        <f aca="false">'SA Data'!S151</f>
        <v>127.79167269958</v>
      </c>
      <c r="E151" s="23" t="n">
        <f aca="false">'SA Data'!T151</f>
        <v>157.611461844497</v>
      </c>
      <c r="F151" s="22" t="n">
        <f aca="false">C151*'Weights &amp; Assumptions'!$B$25/'Weights &amp; Assumptions'!$B$28+D151*'Weights &amp; Assumptions'!$B$26/'Weights &amp; Assumptions'!$B$28+E151*'Weights &amp; Assumptions'!$B$27/'Weights &amp; Assumptions'!$B$28</f>
        <v>145.566138563924</v>
      </c>
      <c r="G151" s="24" t="n">
        <f aca="false">(F151/F150-1)*100</f>
        <v>-0.86391922333865</v>
      </c>
      <c r="H151" s="24" t="n">
        <f aca="false">(F151/F139-1)*100</f>
        <v>0.451043554771635</v>
      </c>
      <c r="I151" s="24" t="n">
        <f aca="false">(C151/C150-1)*100</f>
        <v>-0.140401547005686</v>
      </c>
      <c r="J151" s="24" t="n">
        <f aca="false">(D151/D150-1)*100</f>
        <v>-2.0193156097323</v>
      </c>
      <c r="K151" s="24" t="n">
        <f aca="false">(E151/E150-1)*100</f>
        <v>-0.539039558041188</v>
      </c>
    </row>
    <row r="152" customFormat="false" ht="15" hidden="false" customHeight="false" outlineLevel="0" collapsed="false">
      <c r="A152" s="20" t="n">
        <v>42429</v>
      </c>
      <c r="B152" s="25" t="s">
        <v>437</v>
      </c>
      <c r="C152" s="23" t="n">
        <f aca="false">'SA Data'!R152</f>
        <v>106.789586935644</v>
      </c>
      <c r="D152" s="23" t="n">
        <f aca="false">'SA Data'!S152</f>
        <v>129.734739507274</v>
      </c>
      <c r="E152" s="23" t="n">
        <f aca="false">'SA Data'!T152</f>
        <v>159.298649335425</v>
      </c>
      <c r="F152" s="22" t="n">
        <f aca="false">C152*'Weights &amp; Assumptions'!$B$25/'Weights &amp; Assumptions'!$B$28+D152*'Weights &amp; Assumptions'!$B$26/'Weights &amp; Assumptions'!$B$28+E152*'Weights &amp; Assumptions'!$B$27/'Weights &amp; Assumptions'!$B$28</f>
        <v>147.031535251567</v>
      </c>
      <c r="G152" s="24" t="n">
        <f aca="false">(F152/F151-1)*100</f>
        <v>1.0066878891609</v>
      </c>
      <c r="H152" s="24" t="n">
        <f aca="false">(F152/F140-1)*100</f>
        <v>0.356074958181618</v>
      </c>
      <c r="I152" s="24" t="n">
        <f aca="false">(C152/C151-1)*100</f>
        <v>-1.62798580947794</v>
      </c>
      <c r="J152" s="24" t="n">
        <f aca="false">(D152/D151-1)*100</f>
        <v>1.52049563688081</v>
      </c>
      <c r="K152" s="24" t="n">
        <f aca="false">(E152/E151-1)*100</f>
        <v>1.07047258567512</v>
      </c>
    </row>
    <row r="153" customFormat="false" ht="15" hidden="false" customHeight="false" outlineLevel="0" collapsed="false">
      <c r="A153" s="20" t="n">
        <v>42460</v>
      </c>
      <c r="B153" s="25" t="s">
        <v>437</v>
      </c>
      <c r="C153" s="23" t="n">
        <f aca="false">'SA Data'!R153</f>
        <v>106.872401646407</v>
      </c>
      <c r="D153" s="23" t="n">
        <f aca="false">'SA Data'!S153</f>
        <v>126.883692586656</v>
      </c>
      <c r="E153" s="23" t="n">
        <f aca="false">'SA Data'!T153</f>
        <v>159.676787281624</v>
      </c>
      <c r="F153" s="22" t="n">
        <f aca="false">C153*'Weights &amp; Assumptions'!$B$25/'Weights &amp; Assumptions'!$B$28+D153*'Weights &amp; Assumptions'!$B$26/'Weights &amp; Assumptions'!$B$28+E153*'Weights &amp; Assumptions'!$B$27/'Weights &amp; Assumptions'!$B$28</f>
        <v>146.526198668525</v>
      </c>
      <c r="G153" s="24" t="n">
        <f aca="false">(F153/F152-1)*100</f>
        <v>-0.343692652176653</v>
      </c>
      <c r="H153" s="24" t="n">
        <f aca="false">(F153/F141-1)*100</f>
        <v>-0.386177041907565</v>
      </c>
      <c r="I153" s="24" t="n">
        <f aca="false">(C153/C152-1)*100</f>
        <v>0.077549425126211</v>
      </c>
      <c r="J153" s="24" t="n">
        <f aca="false">(D153/D152-1)*100</f>
        <v>-2.19759713662342</v>
      </c>
      <c r="K153" s="24" t="n">
        <f aca="false">(E153/E152-1)*100</f>
        <v>0.237376743479567</v>
      </c>
    </row>
    <row r="154" customFormat="false" ht="15" hidden="false" customHeight="false" outlineLevel="0" collapsed="false">
      <c r="A154" s="20" t="n">
        <v>42490</v>
      </c>
      <c r="B154" s="25" t="s">
        <v>437</v>
      </c>
      <c r="C154" s="23" t="n">
        <f aca="false">'SA Data'!R154</f>
        <v>110.336218830081</v>
      </c>
      <c r="D154" s="23" t="n">
        <f aca="false">'SA Data'!S154</f>
        <v>126.748696658494</v>
      </c>
      <c r="E154" s="23" t="n">
        <f aca="false">'SA Data'!T154</f>
        <v>158.928290852474</v>
      </c>
      <c r="F154" s="22" t="n">
        <f aca="false">C154*'Weights &amp; Assumptions'!$B$25/'Weights &amp; Assumptions'!$B$28+D154*'Weights &amp; Assumptions'!$B$26/'Weights &amp; Assumptions'!$B$28+E154*'Weights &amp; Assumptions'!$B$27/'Weights &amp; Assumptions'!$B$28</f>
        <v>146.294259356912</v>
      </c>
      <c r="G154" s="24" t="n">
        <f aca="false">(F154/F153-1)*100</f>
        <v>-0.158292041778574</v>
      </c>
      <c r="H154" s="24" t="n">
        <f aca="false">(F154/F142-1)*100</f>
        <v>-1.52773781920017</v>
      </c>
      <c r="I154" s="24" t="n">
        <f aca="false">(C154/C153-1)*100</f>
        <v>3.2410773317648</v>
      </c>
      <c r="J154" s="24" t="n">
        <f aca="false">(D154/D153-1)*100</f>
        <v>-0.106393442222508</v>
      </c>
      <c r="K154" s="24" t="n">
        <f aca="false">(E154/E153-1)*100</f>
        <v>-0.468757195014091</v>
      </c>
    </row>
    <row r="155" customFormat="false" ht="15" hidden="false" customHeight="false" outlineLevel="0" collapsed="false">
      <c r="A155" s="20" t="n">
        <v>42521</v>
      </c>
      <c r="B155" s="25" t="s">
        <v>437</v>
      </c>
      <c r="C155" s="23" t="n">
        <f aca="false">'SA Data'!R155</f>
        <v>111.844784350126</v>
      </c>
      <c r="D155" s="23" t="n">
        <f aca="false">'SA Data'!S155</f>
        <v>124.916152314894</v>
      </c>
      <c r="E155" s="23" t="n">
        <f aca="false">'SA Data'!T155</f>
        <v>158.148217637061</v>
      </c>
      <c r="F155" s="22" t="n">
        <f aca="false">C155*'Weights &amp; Assumptions'!$B$25/'Weights &amp; Assumptions'!$B$28+D155*'Weights &amp; Assumptions'!$B$26/'Weights &amp; Assumptions'!$B$28+E155*'Weights &amp; Assumptions'!$B$27/'Weights &amp; Assumptions'!$B$28</f>
        <v>145.42633437828</v>
      </c>
      <c r="G155" s="24" t="n">
        <f aca="false">(F155/F154-1)*100</f>
        <v>-0.593273435640274</v>
      </c>
      <c r="H155" s="24" t="n">
        <f aca="false">(F155/F143-1)*100</f>
        <v>-1.43940352310163</v>
      </c>
      <c r="I155" s="24" t="n">
        <f aca="false">(C155/C154-1)*100</f>
        <v>1.36724417062704</v>
      </c>
      <c r="J155" s="24" t="n">
        <f aca="false">(D155/D154-1)*100</f>
        <v>-1.44580922085374</v>
      </c>
      <c r="K155" s="24" t="n">
        <f aca="false">(E155/E154-1)*100</f>
        <v>-0.4908334515075</v>
      </c>
    </row>
    <row r="156" customFormat="false" ht="15" hidden="false" customHeight="false" outlineLevel="0" collapsed="false">
      <c r="A156" s="20" t="n">
        <v>42551</v>
      </c>
      <c r="B156" s="25" t="s">
        <v>437</v>
      </c>
      <c r="C156" s="23" t="n">
        <f aca="false">'SA Data'!R156</f>
        <v>112.351995369376</v>
      </c>
      <c r="D156" s="23" t="n">
        <f aca="false">'SA Data'!S156</f>
        <v>120.084284804871</v>
      </c>
      <c r="E156" s="23" t="n">
        <f aca="false">'SA Data'!T156</f>
        <v>157.551257158239</v>
      </c>
      <c r="F156" s="22" t="n">
        <f aca="false">C156*'Weights &amp; Assumptions'!$B$25/'Weights &amp; Assumptions'!$B$28+D156*'Weights &amp; Assumptions'!$B$26/'Weights &amp; Assumptions'!$B$28+E156*'Weights &amp; Assumptions'!$B$27/'Weights &amp; Assumptions'!$B$28</f>
        <v>143.795879051385</v>
      </c>
      <c r="G156" s="24" t="n">
        <f aca="false">(F156/F155-1)*100</f>
        <v>-1.12115548663593</v>
      </c>
      <c r="H156" s="24" t="n">
        <f aca="false">(F156/F144-1)*100</f>
        <v>-4.56765600069461</v>
      </c>
      <c r="I156" s="24" t="n">
        <f aca="false">(C156/C155-1)*100</f>
        <v>0.453495459977549</v>
      </c>
      <c r="J156" s="24" t="n">
        <f aca="false">(D156/D155-1)*100</f>
        <v>-3.8680886502514</v>
      </c>
      <c r="K156" s="24" t="n">
        <f aca="false">(E156/E155-1)*100</f>
        <v>-0.3774689893705</v>
      </c>
    </row>
    <row r="157" customFormat="false" ht="15" hidden="false" customHeight="false" outlineLevel="0" collapsed="false">
      <c r="A157" s="20" t="n">
        <v>42582</v>
      </c>
      <c r="B157" s="25" t="s">
        <v>437</v>
      </c>
      <c r="C157" s="23" t="n">
        <f aca="false">'SA Data'!R157</f>
        <v>111.381364000137</v>
      </c>
      <c r="D157" s="23" t="n">
        <f aca="false">'SA Data'!S157</f>
        <v>121.772023815686</v>
      </c>
      <c r="E157" s="23" t="n">
        <f aca="false">'SA Data'!T157</f>
        <v>157.030675007024</v>
      </c>
      <c r="F157" s="22" t="n">
        <f aca="false">C157*'Weights &amp; Assumptions'!$B$25/'Weights &amp; Assumptions'!$B$28+D157*'Weights &amp; Assumptions'!$B$26/'Weights &amp; Assumptions'!$B$28+E157*'Weights &amp; Assumptions'!$B$27/'Weights &amp; Assumptions'!$B$28</f>
        <v>143.82476856855</v>
      </c>
      <c r="G157" s="24" t="n">
        <f aca="false">(F157/F156-1)*100</f>
        <v>0.02009064331705</v>
      </c>
      <c r="H157" s="24" t="n">
        <f aca="false">(F157/F145-1)*100</f>
        <v>-4.28130569550794</v>
      </c>
      <c r="I157" s="24" t="n">
        <f aca="false">(C157/C156-1)*100</f>
        <v>-0.86392000965092</v>
      </c>
      <c r="J157" s="24" t="n">
        <f aca="false">(D157/D156-1)*100</f>
        <v>1.40546201658049</v>
      </c>
      <c r="K157" s="24" t="n">
        <f aca="false">(E157/E156-1)*100</f>
        <v>-0.330420817075638</v>
      </c>
    </row>
    <row r="158" customFormat="false" ht="15" hidden="false" customHeight="false" outlineLevel="0" collapsed="false">
      <c r="A158" s="20" t="n">
        <v>42613</v>
      </c>
      <c r="B158" s="25" t="s">
        <v>437</v>
      </c>
      <c r="C158" s="23" t="n">
        <f aca="false">'SA Data'!R158</f>
        <v>110.356130972135</v>
      </c>
      <c r="D158" s="23" t="n">
        <f aca="false">'SA Data'!S158</f>
        <v>123.657772234113</v>
      </c>
      <c r="E158" s="23" t="n">
        <f aca="false">'SA Data'!T158</f>
        <v>158.910616008054</v>
      </c>
      <c r="F158" s="22" t="n">
        <f aca="false">C158*'Weights &amp; Assumptions'!$B$25/'Weights &amp; Assumptions'!$B$28+D158*'Weights &amp; Assumptions'!$B$26/'Weights &amp; Assumptions'!$B$28+E158*'Weights &amp; Assumptions'!$B$27/'Weights &amp; Assumptions'!$B$28</f>
        <v>145.462507344594</v>
      </c>
      <c r="G158" s="24" t="n">
        <f aca="false">(F158/F157-1)*100</f>
        <v>1.13870426654896</v>
      </c>
      <c r="H158" s="24" t="n">
        <f aca="false">(F158/F146-1)*100</f>
        <v>-1.98513889277955</v>
      </c>
      <c r="I158" s="24" t="n">
        <f aca="false">(C158/C157-1)*100</f>
        <v>-0.920470885956159</v>
      </c>
      <c r="J158" s="24" t="n">
        <f aca="false">(D158/D157-1)*100</f>
        <v>1.5485892073879</v>
      </c>
      <c r="K158" s="24" t="n">
        <f aca="false">(E158/E157-1)*100</f>
        <v>1.19718074251804</v>
      </c>
    </row>
    <row r="159" customFormat="false" ht="15" hidden="false" customHeight="false" outlineLevel="0" collapsed="false">
      <c r="A159" s="20" t="n">
        <v>42643</v>
      </c>
      <c r="B159" s="25" t="s">
        <v>437</v>
      </c>
      <c r="C159" s="23" t="n">
        <f aca="false">'SA Data'!R159</f>
        <v>107.145335283516</v>
      </c>
      <c r="D159" s="23" t="n">
        <f aca="false">'SA Data'!S159</f>
        <v>125.906765331913</v>
      </c>
      <c r="E159" s="23" t="n">
        <f aca="false">'SA Data'!T159</f>
        <v>159.104734812618</v>
      </c>
      <c r="F159" s="22" t="n">
        <f aca="false">C159*'Weights &amp; Assumptions'!$B$25/'Weights &amp; Assumptions'!$B$28+D159*'Weights &amp; Assumptions'!$B$26/'Weights &amp; Assumptions'!$B$28+E159*'Weights &amp; Assumptions'!$B$27/'Weights &amp; Assumptions'!$B$28</f>
        <v>145.91737795907</v>
      </c>
      <c r="G159" s="24" t="n">
        <f aca="false">(F159/F158-1)*100</f>
        <v>0.312706430529919</v>
      </c>
      <c r="H159" s="24" t="n">
        <f aca="false">(F159/F147-1)*100</f>
        <v>-1.60755616727959</v>
      </c>
      <c r="I159" s="24" t="n">
        <f aca="false">(C159/C158-1)*100</f>
        <v>-2.90948555402903</v>
      </c>
      <c r="J159" s="24" t="n">
        <f aca="false">(D159/D158-1)*100</f>
        <v>1.81872360885014</v>
      </c>
      <c r="K159" s="24" t="n">
        <f aca="false">(E159/E158-1)*100</f>
        <v>0.122155970092197</v>
      </c>
    </row>
    <row r="160" customFormat="false" ht="15" hidden="false" customHeight="false" outlineLevel="0" collapsed="false">
      <c r="A160" s="20" t="n">
        <v>42674</v>
      </c>
      <c r="B160" s="25" t="s">
        <v>437</v>
      </c>
      <c r="C160" s="23" t="n">
        <f aca="false">'SA Data'!R160</f>
        <v>108.145145596999</v>
      </c>
      <c r="D160" s="23" t="n">
        <f aca="false">'SA Data'!S160</f>
        <v>121.978511241846</v>
      </c>
      <c r="E160" s="23" t="n">
        <f aca="false">'SA Data'!T160</f>
        <v>157.964775044433</v>
      </c>
      <c r="F160" s="22" t="n">
        <f aca="false">C160*'Weights &amp; Assumptions'!$B$25/'Weights &amp; Assumptions'!$B$28+D160*'Weights &amp; Assumptions'!$B$26/'Weights &amp; Assumptions'!$B$28+E160*'Weights &amp; Assumptions'!$B$27/'Weights &amp; Assumptions'!$B$28</f>
        <v>144.215490514876</v>
      </c>
      <c r="G160" s="24" t="n">
        <f aca="false">(F160/F159-1)*100</f>
        <v>-1.16633636650982</v>
      </c>
      <c r="H160" s="24" t="n">
        <f aca="false">(F160/F148-1)*100</f>
        <v>-2.92731122851934</v>
      </c>
      <c r="I160" s="24" t="n">
        <f aca="false">(C160/C159-1)*100</f>
        <v>0.93313470981975</v>
      </c>
      <c r="J160" s="24" t="n">
        <f aca="false">(D160/D159-1)*100</f>
        <v>-3.11997062247767</v>
      </c>
      <c r="K160" s="24" t="n">
        <f aca="false">(E160/E159-1)*100</f>
        <v>-0.716483874303275</v>
      </c>
    </row>
    <row r="161" customFormat="false" ht="15" hidden="false" customHeight="false" outlineLevel="0" collapsed="false">
      <c r="A161" s="20" t="n">
        <v>42704</v>
      </c>
      <c r="B161" s="25" t="s">
        <v>437</v>
      </c>
      <c r="C161" s="23" t="n">
        <f aca="false">'SA Data'!R161</f>
        <v>109.901477681292</v>
      </c>
      <c r="D161" s="23" t="n">
        <f aca="false">'SA Data'!S161</f>
        <v>125.352995655621</v>
      </c>
      <c r="E161" s="23" t="n">
        <f aca="false">'SA Data'!T161</f>
        <v>159.802559879609</v>
      </c>
      <c r="F161" s="22" t="n">
        <f aca="false">C161*'Weights &amp; Assumptions'!$B$25/'Weights &amp; Assumptions'!$B$28+D161*'Weights &amp; Assumptions'!$B$26/'Weights &amp; Assumptions'!$B$28+E161*'Weights &amp; Assumptions'!$B$27/'Weights &amp; Assumptions'!$B$28</f>
        <v>146.45507665774</v>
      </c>
      <c r="G161" s="24" t="n">
        <f aca="false">(F161/F160-1)*100</f>
        <v>1.5529442328756</v>
      </c>
      <c r="H161" s="24" t="n">
        <f aca="false">(F161/F149-1)*100</f>
        <v>-1.01074621776401</v>
      </c>
      <c r="I161" s="24" t="n">
        <f aca="false">(C161/C160-1)*100</f>
        <v>1.62405078341514</v>
      </c>
      <c r="J161" s="24" t="n">
        <f aca="false">(D161/D160-1)*100</f>
        <v>2.76645810759604</v>
      </c>
      <c r="K161" s="24" t="n">
        <f aca="false">(E161/E160-1)*100</f>
        <v>1.16341433377152</v>
      </c>
    </row>
    <row r="162" customFormat="false" ht="15" hidden="false" customHeight="false" outlineLevel="0" collapsed="false">
      <c r="A162" s="20" t="n">
        <v>42735</v>
      </c>
      <c r="B162" s="25" t="s">
        <v>437</v>
      </c>
      <c r="C162" s="23" t="n">
        <f aca="false">'SA Data'!R162</f>
        <v>110.394280464381</v>
      </c>
      <c r="D162" s="23" t="n">
        <f aca="false">'SA Data'!S162</f>
        <v>126.634611097483</v>
      </c>
      <c r="E162" s="23" t="n">
        <f aca="false">'SA Data'!T162</f>
        <v>160.984193496154</v>
      </c>
      <c r="F162" s="22" t="n">
        <f aca="false">C162*'Weights &amp; Assumptions'!$B$25/'Weights &amp; Assumptions'!$B$28+D162*'Weights &amp; Assumptions'!$B$26/'Weights &amp; Assumptions'!$B$28+E162*'Weights &amp; Assumptions'!$B$27/'Weights &amp; Assumptions'!$B$28</f>
        <v>147.605503707965</v>
      </c>
      <c r="G162" s="24" t="n">
        <f aca="false">(F162/F161-1)*100</f>
        <v>0.785515310550178</v>
      </c>
      <c r="H162" s="24" t="n">
        <f aca="false">(F162/F150-1)*100</f>
        <v>0.524966060335363</v>
      </c>
      <c r="I162" s="24" t="n">
        <f aca="false">(C162/C161-1)*100</f>
        <v>0.448404146592263</v>
      </c>
      <c r="J162" s="24" t="n">
        <f aca="false">(D162/D161-1)*100</f>
        <v>1.02240511697309</v>
      </c>
      <c r="K162" s="24" t="n">
        <f aca="false">(E162/E161-1)*100</f>
        <v>0.739433471800743</v>
      </c>
    </row>
    <row r="163" customFormat="false" ht="15" hidden="false" customHeight="false" outlineLevel="0" collapsed="false">
      <c r="A163" s="20" t="n">
        <v>42766</v>
      </c>
      <c r="B163" s="25" t="s">
        <v>437</v>
      </c>
      <c r="C163" s="23" t="n">
        <f aca="false">'SA Data'!R163</f>
        <v>110.287352203804</v>
      </c>
      <c r="D163" s="23" t="n">
        <f aca="false">'SA Data'!S163</f>
        <v>126.129896926639</v>
      </c>
      <c r="E163" s="23" t="n">
        <f aca="false">'SA Data'!T163</f>
        <v>160.265025976958</v>
      </c>
      <c r="F163" s="22" t="n">
        <f aca="false">C163*'Weights &amp; Assumptions'!$B$25/'Weights &amp; Assumptions'!$B$28+D163*'Weights &amp; Assumptions'!$B$26/'Weights &amp; Assumptions'!$B$28+E163*'Weights &amp; Assumptions'!$B$27/'Weights &amp; Assumptions'!$B$28</f>
        <v>146.994730463505</v>
      </c>
      <c r="G163" s="24" t="n">
        <f aca="false">(F163/F162-1)*100</f>
        <v>-0.413787581842429</v>
      </c>
      <c r="H163" s="24" t="n">
        <f aca="false">(F163/F151-1)*100</f>
        <v>0.981403995238495</v>
      </c>
      <c r="I163" s="24" t="n">
        <f aca="false">(C163/C162-1)*100</f>
        <v>-0.0968603265742107</v>
      </c>
      <c r="J163" s="24" t="n">
        <f aca="false">(D163/D162-1)*100</f>
        <v>-0.398559419473976</v>
      </c>
      <c r="K163" s="24" t="n">
        <f aca="false">(E163/E162-1)*100</f>
        <v>-0.446731758924268</v>
      </c>
    </row>
    <row r="164" customFormat="false" ht="15" hidden="false" customHeight="false" outlineLevel="0" collapsed="false">
      <c r="A164" s="20" t="n">
        <v>42794</v>
      </c>
      <c r="B164" s="25" t="s">
        <v>437</v>
      </c>
      <c r="C164" s="23" t="n">
        <f aca="false">'SA Data'!R164</f>
        <v>112.486505100505</v>
      </c>
      <c r="D164" s="23" t="n">
        <f aca="false">'SA Data'!S164</f>
        <v>123.395358257946</v>
      </c>
      <c r="E164" s="23" t="n">
        <f aca="false">'SA Data'!T164</f>
        <v>159.510212492737</v>
      </c>
      <c r="F164" s="22" t="n">
        <f aca="false">C164*'Weights &amp; Assumptions'!$B$25/'Weights &amp; Assumptions'!$B$28+D164*'Weights &amp; Assumptions'!$B$26/'Weights &amp; Assumptions'!$B$28+E164*'Weights &amp; Assumptions'!$B$27/'Weights &amp; Assumptions'!$B$28</f>
        <v>145.961313708212</v>
      </c>
      <c r="G164" s="24" t="n">
        <f aca="false">(F164/F163-1)*100</f>
        <v>-0.703029797078192</v>
      </c>
      <c r="H164" s="24" t="n">
        <f aca="false">(F164/F152-1)*100</f>
        <v>-0.727885716165266</v>
      </c>
      <c r="I164" s="24" t="n">
        <f aca="false">(C164/C163-1)*100</f>
        <v>1.99402093962424</v>
      </c>
      <c r="J164" s="24" t="n">
        <f aca="false">(D164/D163-1)*100</f>
        <v>-2.16803369805624</v>
      </c>
      <c r="K164" s="24" t="n">
        <f aca="false">(E164/E163-1)*100</f>
        <v>-0.470978293373603</v>
      </c>
    </row>
    <row r="165" customFormat="false" ht="15" hidden="false" customHeight="false" outlineLevel="0" collapsed="false">
      <c r="A165" s="20" t="n">
        <v>42825</v>
      </c>
      <c r="B165" s="25" t="s">
        <v>437</v>
      </c>
      <c r="C165" s="23" t="n">
        <f aca="false">'SA Data'!R165</f>
        <v>109.116054072847</v>
      </c>
      <c r="D165" s="23" t="n">
        <f aca="false">'SA Data'!S165</f>
        <v>128.349096820239</v>
      </c>
      <c r="E165" s="23" t="n">
        <f aca="false">'SA Data'!T165</f>
        <v>161.959109009929</v>
      </c>
      <c r="F165" s="22" t="n">
        <f aca="false">C165*'Weights &amp; Assumptions'!$B$25/'Weights &amp; Assumptions'!$B$28+D165*'Weights &amp; Assumptions'!$B$26/'Weights &amp; Assumptions'!$B$28+E165*'Weights &amp; Assumptions'!$B$27/'Weights &amp; Assumptions'!$B$28</f>
        <v>148.588043378326</v>
      </c>
      <c r="G165" s="24" t="n">
        <f aca="false">(F165/F164-1)*100</f>
        <v>1.79960676112108</v>
      </c>
      <c r="H165" s="24" t="n">
        <f aca="false">(F165/F153-1)*100</f>
        <v>1.40715089078778</v>
      </c>
      <c r="I165" s="24" t="n">
        <f aca="false">(C165/C164-1)*100</f>
        <v>-2.99631589109006</v>
      </c>
      <c r="J165" s="24" t="n">
        <f aca="false">(D165/D164-1)*100</f>
        <v>4.01452585593796</v>
      </c>
      <c r="K165" s="24" t="n">
        <f aca="false">(E165/E164-1)*100</f>
        <v>1.53526001810278</v>
      </c>
    </row>
    <row r="166" customFormat="false" ht="15" hidden="false" customHeight="false" outlineLevel="0" collapsed="false">
      <c r="A166" s="20" t="n">
        <v>42855</v>
      </c>
      <c r="B166" s="25" t="s">
        <v>437</v>
      </c>
      <c r="C166" s="23" t="n">
        <f aca="false">'SA Data'!R166</f>
        <v>119.752380915273</v>
      </c>
      <c r="D166" s="23" t="n">
        <f aca="false">'SA Data'!S166</f>
        <v>124.029319376089</v>
      </c>
      <c r="E166" s="23" t="n">
        <f aca="false">'SA Data'!T166</f>
        <v>159.837682519369</v>
      </c>
      <c r="F166" s="22" t="n">
        <f aca="false">C166*'Weights &amp; Assumptions'!$B$25/'Weights &amp; Assumptions'!$B$28+D166*'Weights &amp; Assumptions'!$B$26/'Weights &amp; Assumptions'!$B$28+E166*'Weights &amp; Assumptions'!$B$27/'Weights &amp; Assumptions'!$B$28</f>
        <v>146.952423089668</v>
      </c>
      <c r="G166" s="24" t="n">
        <f aca="false">(F166/F165-1)*100</f>
        <v>-1.10077517105056</v>
      </c>
      <c r="H166" s="24" t="n">
        <f aca="false">(F166/F154-1)*100</f>
        <v>0.449890334487013</v>
      </c>
      <c r="I166" s="24" t="n">
        <f aca="false">(C166/C165-1)*100</f>
        <v>9.74771946511657</v>
      </c>
      <c r="J166" s="24" t="n">
        <f aca="false">(D166/D165-1)*100</f>
        <v>-3.36564693571636</v>
      </c>
      <c r="K166" s="24" t="n">
        <f aca="false">(E166/E165-1)*100</f>
        <v>-1.30985314968002</v>
      </c>
    </row>
    <row r="167" customFormat="false" ht="15" hidden="false" customHeight="false" outlineLevel="0" collapsed="false">
      <c r="A167" s="20" t="n">
        <v>42886</v>
      </c>
      <c r="B167" s="25" t="s">
        <v>437</v>
      </c>
      <c r="C167" s="23" t="n">
        <f aca="false">'SA Data'!R167</f>
        <v>119.310785319808</v>
      </c>
      <c r="D167" s="23" t="n">
        <f aca="false">'SA Data'!S167</f>
        <v>127.814435187069</v>
      </c>
      <c r="E167" s="23" t="n">
        <f aca="false">'SA Data'!T167</f>
        <v>162.212357534406</v>
      </c>
      <c r="F167" s="22" t="n">
        <f aca="false">C167*'Weights &amp; Assumptions'!$B$25/'Weights &amp; Assumptions'!$B$28+D167*'Weights &amp; Assumptions'!$B$26/'Weights &amp; Assumptions'!$B$28+E167*'Weights &amp; Assumptions'!$B$27/'Weights &amp; Assumptions'!$B$28</f>
        <v>149.465871502242</v>
      </c>
      <c r="G167" s="24" t="n">
        <f aca="false">(F167/F166-1)*100</f>
        <v>1.71038242155452</v>
      </c>
      <c r="H167" s="24" t="n">
        <f aca="false">(F167/F155-1)*100</f>
        <v>2.77772051480985</v>
      </c>
      <c r="I167" s="24" t="n">
        <f aca="false">(C167/C166-1)*100</f>
        <v>-0.3687572573424</v>
      </c>
      <c r="J167" s="24" t="n">
        <f aca="false">(D167/D166-1)*100</f>
        <v>3.05179116520262</v>
      </c>
      <c r="K167" s="24" t="n">
        <f aca="false">(E167/E166-1)*100</f>
        <v>1.48567908243369</v>
      </c>
    </row>
    <row r="168" customFormat="false" ht="15" hidden="false" customHeight="false" outlineLevel="0" collapsed="false">
      <c r="A168" s="20" t="n">
        <v>42916</v>
      </c>
      <c r="B168" s="25" t="s">
        <v>437</v>
      </c>
      <c r="C168" s="23" t="n">
        <f aca="false">'SA Data'!R168</f>
        <v>122.032925964256</v>
      </c>
      <c r="D168" s="23" t="n">
        <f aca="false">'SA Data'!S168</f>
        <v>132.774158862517</v>
      </c>
      <c r="E168" s="23" t="n">
        <f aca="false">'SA Data'!T168</f>
        <v>163.407412082199</v>
      </c>
      <c r="F168" s="22" t="n">
        <f aca="false">C168*'Weights &amp; Assumptions'!$B$25/'Weights &amp; Assumptions'!$B$28+D168*'Weights &amp; Assumptions'!$B$26/'Weights &amp; Assumptions'!$B$28+E168*'Weights &amp; Assumptions'!$B$27/'Weights &amp; Assumptions'!$B$28</f>
        <v>151.790141127288</v>
      </c>
      <c r="G168" s="24" t="n">
        <f aca="false">(F168/F167-1)*100</f>
        <v>1.55505039490635</v>
      </c>
      <c r="H168" s="24" t="n">
        <f aca="false">(F168/F156-1)*100</f>
        <v>5.55945144509058</v>
      </c>
      <c r="I168" s="24" t="n">
        <f aca="false">(C168/C167-1)*100</f>
        <v>2.28155454442041</v>
      </c>
      <c r="J168" s="24" t="n">
        <f aca="false">(D168/D167-1)*100</f>
        <v>3.88040964871328</v>
      </c>
      <c r="K168" s="24" t="n">
        <f aca="false">(E168/E167-1)*100</f>
        <v>0.736722260842204</v>
      </c>
    </row>
    <row r="169" customFormat="false" ht="15" hidden="false" customHeight="false" outlineLevel="0" collapsed="false">
      <c r="A169" s="20" t="n">
        <v>42947</v>
      </c>
      <c r="B169" s="25" t="s">
        <v>437</v>
      </c>
      <c r="C169" s="23" t="n">
        <f aca="false">'SA Data'!R169</f>
        <v>110.41399199262</v>
      </c>
      <c r="D169" s="23" t="n">
        <f aca="false">'SA Data'!S169</f>
        <v>129.734745491193</v>
      </c>
      <c r="E169" s="23" t="n">
        <f aca="false">'SA Data'!T169</f>
        <v>162.906944363467</v>
      </c>
      <c r="F169" s="22" t="n">
        <f aca="false">C169*'Weights &amp; Assumptions'!$B$25/'Weights &amp; Assumptions'!$B$28+D169*'Weights &amp; Assumptions'!$B$26/'Weights &amp; Assumptions'!$B$28+E169*'Weights &amp; Assumptions'!$B$27/'Weights &amp; Assumptions'!$B$28</f>
        <v>149.681674837422</v>
      </c>
      <c r="G169" s="24" t="n">
        <f aca="false">(F169/F168-1)*100</f>
        <v>-1.38906669050231</v>
      </c>
      <c r="H169" s="24" t="n">
        <f aca="false">(F169/F157-1)*100</f>
        <v>4.07225148155268</v>
      </c>
      <c r="I169" s="24" t="n">
        <f aca="false">(C169/C168-1)*100</f>
        <v>-9.5211467559488</v>
      </c>
      <c r="J169" s="24" t="n">
        <f aca="false">(D169/D168-1)*100</f>
        <v>-2.28916032860786</v>
      </c>
      <c r="K169" s="24" t="n">
        <f aca="false">(E169/E168-1)*100</f>
        <v>-0.306269900707057</v>
      </c>
    </row>
    <row r="170" customFormat="false" ht="15" hidden="false" customHeight="false" outlineLevel="0" collapsed="false">
      <c r="A170" s="20" t="n">
        <v>42978</v>
      </c>
      <c r="B170" s="25" t="s">
        <v>437</v>
      </c>
      <c r="C170" s="23" t="n">
        <f aca="false">'SA Data'!R170</f>
        <v>112.135847505481</v>
      </c>
      <c r="D170" s="23" t="n">
        <f aca="false">'SA Data'!S170</f>
        <v>130.887861451846</v>
      </c>
      <c r="E170" s="23" t="n">
        <f aca="false">'SA Data'!T170</f>
        <v>163.29451514092</v>
      </c>
      <c r="F170" s="22" t="n">
        <f aca="false">C170*'Weights &amp; Assumptions'!$B$25/'Weights &amp; Assumptions'!$B$28+D170*'Weights &amp; Assumptions'!$B$26/'Weights &amp; Assumptions'!$B$28+E170*'Weights &amp; Assumptions'!$B$27/'Weights &amp; Assumptions'!$B$28</f>
        <v>150.384765051448</v>
      </c>
      <c r="G170" s="24" t="n">
        <f aca="false">(F170/F169-1)*100</f>
        <v>0.469723641715003</v>
      </c>
      <c r="H170" s="24" t="n">
        <f aca="false">(F170/F158-1)*100</f>
        <v>3.38386694737358</v>
      </c>
      <c r="I170" s="24" t="n">
        <f aca="false">(C170/C169-1)*100</f>
        <v>1.55945408891303</v>
      </c>
      <c r="J170" s="24" t="n">
        <f aca="false">(D170/D169-1)*100</f>
        <v>0.888825854852482</v>
      </c>
      <c r="K170" s="24" t="n">
        <f aca="false">(E170/E169-1)*100</f>
        <v>0.237909303970008</v>
      </c>
    </row>
    <row r="171" customFormat="false" ht="15" hidden="false" customHeight="false" outlineLevel="0" collapsed="false">
      <c r="A171" s="20" t="n">
        <v>43008</v>
      </c>
      <c r="B171" s="25" t="s">
        <v>437</v>
      </c>
      <c r="C171" s="23" t="n">
        <f aca="false">'SA Data'!R171</f>
        <v>112.192414786491</v>
      </c>
      <c r="D171" s="23" t="n">
        <f aca="false">'SA Data'!S171</f>
        <v>131.752411070052</v>
      </c>
      <c r="E171" s="23" t="n">
        <f aca="false">'SA Data'!T171</f>
        <v>164.356192722317</v>
      </c>
      <c r="F171" s="22" t="n">
        <f aca="false">C171*'Weights &amp; Assumptions'!$B$25/'Weights &amp; Assumptions'!$B$28+D171*'Weights &amp; Assumptions'!$B$26/'Weights &amp; Assumptions'!$B$28+E171*'Weights &amp; Assumptions'!$B$27/'Weights &amp; Assumptions'!$B$28</f>
        <v>151.309693273315</v>
      </c>
      <c r="G171" s="24" t="n">
        <f aca="false">(F171/F170-1)*100</f>
        <v>0.615041172255881</v>
      </c>
      <c r="H171" s="24" t="n">
        <f aca="false">(F171/F159-1)*100</f>
        <v>3.69545792945731</v>
      </c>
      <c r="I171" s="24" t="n">
        <f aca="false">(C171/C170-1)*100</f>
        <v>0.0504453145603989</v>
      </c>
      <c r="J171" s="24" t="n">
        <f aca="false">(D171/D170-1)*100</f>
        <v>0.660526964545261</v>
      </c>
      <c r="K171" s="24" t="n">
        <f aca="false">(E171/E170-1)*100</f>
        <v>0.650161201360744</v>
      </c>
    </row>
    <row r="172" customFormat="false" ht="15" hidden="false" customHeight="false" outlineLevel="0" collapsed="false">
      <c r="A172" s="20" t="n">
        <v>43039</v>
      </c>
      <c r="B172" s="25" t="s">
        <v>437</v>
      </c>
      <c r="C172" s="23" t="n">
        <f aca="false">'SA Data'!R172</f>
        <v>115.403676047957</v>
      </c>
      <c r="D172" s="23" t="n">
        <f aca="false">'SA Data'!S172</f>
        <v>131.294365829788</v>
      </c>
      <c r="E172" s="23" t="n">
        <f aca="false">'SA Data'!T172</f>
        <v>164.523158973437</v>
      </c>
      <c r="F172" s="22" t="n">
        <f aca="false">C172*'Weights &amp; Assumptions'!$B$25/'Weights &amp; Assumptions'!$B$28+D172*'Weights &amp; Assumptions'!$B$26/'Weights &amp; Assumptions'!$B$28+E172*'Weights &amp; Assumptions'!$B$27/'Weights &amp; Assumptions'!$B$28</f>
        <v>151.565876935898</v>
      </c>
      <c r="G172" s="24" t="n">
        <f aca="false">(F172/F171-1)*100</f>
        <v>0.169310806889156</v>
      </c>
      <c r="H172" s="24" t="n">
        <f aca="false">(F172/F160-1)*100</f>
        <v>5.09680783581512</v>
      </c>
      <c r="I172" s="24" t="n">
        <f aca="false">(C172/C171-1)*100</f>
        <v>2.86228018852968</v>
      </c>
      <c r="J172" s="24" t="n">
        <f aca="false">(D172/D171-1)*100</f>
        <v>-0.347656059227663</v>
      </c>
      <c r="K172" s="24" t="n">
        <f aca="false">(E172/E171-1)*100</f>
        <v>0.10158804992646</v>
      </c>
    </row>
    <row r="173" customFormat="false" ht="15" hidden="false" customHeight="false" outlineLevel="0" collapsed="false">
      <c r="A173" s="20" t="n">
        <v>43069</v>
      </c>
      <c r="B173" s="25" t="s">
        <v>437</v>
      </c>
      <c r="C173" s="23" t="n">
        <f aca="false">'SA Data'!R173</f>
        <v>111.905942610817</v>
      </c>
      <c r="D173" s="23" t="n">
        <f aca="false">'SA Data'!S173</f>
        <v>133.903360661343</v>
      </c>
      <c r="E173" s="23" t="n">
        <f aca="false">'SA Data'!T173</f>
        <v>165.920379990008</v>
      </c>
      <c r="F173" s="22" t="n">
        <f aca="false">C173*'Weights &amp; Assumptions'!$B$25/'Weights &amp; Assumptions'!$B$28+D173*'Weights &amp; Assumptions'!$B$26/'Weights &amp; Assumptions'!$B$28+E173*'Weights &amp; Assumptions'!$B$27/'Weights &amp; Assumptions'!$B$28</f>
        <v>152.874639025098</v>
      </c>
      <c r="G173" s="24" t="n">
        <f aca="false">(F173/F172-1)*100</f>
        <v>0.863493891672151</v>
      </c>
      <c r="H173" s="24" t="n">
        <f aca="false">(F173/F161-1)*100</f>
        <v>4.38329794627772</v>
      </c>
      <c r="I173" s="24" t="n">
        <f aca="false">(C173/C172-1)*100</f>
        <v>-3.03086830239904</v>
      </c>
      <c r="J173" s="24" t="n">
        <f aca="false">(D173/D172-1)*100</f>
        <v>1.98713388427989</v>
      </c>
      <c r="K173" s="24" t="n">
        <f aca="false">(E173/E172-1)*100</f>
        <v>0.84925491662653</v>
      </c>
    </row>
    <row r="174" customFormat="false" ht="15" hidden="false" customHeight="false" outlineLevel="0" collapsed="false">
      <c r="A174" s="20" t="n">
        <v>43100</v>
      </c>
      <c r="B174" s="25" t="s">
        <v>437</v>
      </c>
      <c r="C174" s="23" t="n">
        <f aca="false">'SA Data'!R174</f>
        <v>110.536041421471</v>
      </c>
      <c r="D174" s="23" t="n">
        <f aca="false">'SA Data'!S174</f>
        <v>131.829677680569</v>
      </c>
      <c r="E174" s="23" t="n">
        <f aca="false">'SA Data'!T174</f>
        <v>163.813230830158</v>
      </c>
      <c r="F174" s="22" t="n">
        <f aca="false">C174*'Weights &amp; Assumptions'!$B$25/'Weights &amp; Assumptions'!$B$28+D174*'Weights &amp; Assumptions'!$B$26/'Weights &amp; Assumptions'!$B$28+E174*'Weights &amp; Assumptions'!$B$27/'Weights &amp; Assumptions'!$B$28</f>
        <v>150.838244825119</v>
      </c>
      <c r="G174" s="24" t="n">
        <f aca="false">(F174/F173-1)*100</f>
        <v>-1.33206803493727</v>
      </c>
      <c r="H174" s="24" t="n">
        <f aca="false">(F174/F162-1)*100</f>
        <v>2.19012234364275</v>
      </c>
      <c r="I174" s="24" t="n">
        <f aca="false">(C174/C173-1)*100</f>
        <v>-1.22415410422808</v>
      </c>
      <c r="J174" s="24" t="n">
        <f aca="false">(D174/D173-1)*100</f>
        <v>-1.54864147586102</v>
      </c>
      <c r="K174" s="24" t="n">
        <f aca="false">(E174/E173-1)*100</f>
        <v>-1.26997609333893</v>
      </c>
    </row>
    <row r="175" customFormat="false" ht="15" hidden="false" customHeight="false" outlineLevel="0" collapsed="false">
      <c r="A175" s="20" t="n">
        <v>43131</v>
      </c>
      <c r="B175" s="25" t="s">
        <v>437</v>
      </c>
      <c r="C175" s="23" t="n">
        <f aca="false">'SA Data'!R175</f>
        <v>107.210296757519</v>
      </c>
      <c r="D175" s="23" t="n">
        <f aca="false">'SA Data'!S175</f>
        <v>131.612156880587</v>
      </c>
      <c r="E175" s="23" t="n">
        <f aca="false">'SA Data'!T175</f>
        <v>164.9456518453</v>
      </c>
      <c r="F175" s="22" t="n">
        <f aca="false">C175*'Weights &amp; Assumptions'!$B$25/'Weights &amp; Assumptions'!$B$28+D175*'Weights &amp; Assumptions'!$B$26/'Weights &amp; Assumptions'!$B$28+E175*'Weights &amp; Assumptions'!$B$27/'Weights &amp; Assumptions'!$B$28</f>
        <v>151.237648920059</v>
      </c>
      <c r="G175" s="24" t="n">
        <f aca="false">(F175/F174-1)*100</f>
        <v>0.264789672806831</v>
      </c>
      <c r="H175" s="24" t="n">
        <f aca="false">(F175/F163-1)*100</f>
        <v>2.88644255693744</v>
      </c>
      <c r="I175" s="24" t="n">
        <f aca="false">(C175/C174-1)*100</f>
        <v>-3.00874232619854</v>
      </c>
      <c r="J175" s="24" t="n">
        <f aca="false">(D175/D174-1)*100</f>
        <v>-0.165001389527286</v>
      </c>
      <c r="K175" s="24" t="n">
        <f aca="false">(E175/E174-1)*100</f>
        <v>0.691287882793912</v>
      </c>
    </row>
    <row r="176" customFormat="false" ht="15" hidden="false" customHeight="false" outlineLevel="0" collapsed="false">
      <c r="A176" s="20" t="n">
        <v>43159</v>
      </c>
      <c r="B176" s="25" t="s">
        <v>437</v>
      </c>
      <c r="C176" s="23" t="n">
        <f aca="false">'SA Data'!R176</f>
        <v>110.969041829949</v>
      </c>
      <c r="D176" s="23" t="n">
        <f aca="false">'SA Data'!S176</f>
        <v>129.714808798755</v>
      </c>
      <c r="E176" s="23" t="n">
        <f aca="false">'SA Data'!T176</f>
        <v>164.711109708368</v>
      </c>
      <c r="F176" s="22" t="n">
        <f aca="false">C176*'Weights &amp; Assumptions'!$B$25/'Weights &amp; Assumptions'!$B$28+D176*'Weights &amp; Assumptions'!$B$26/'Weights &amp; Assumptions'!$B$28+E176*'Weights &amp; Assumptions'!$B$27/'Weights &amp; Assumptions'!$B$28</f>
        <v>150.895977756282</v>
      </c>
      <c r="G176" s="24" t="n">
        <f aca="false">(F176/F175-1)*100</f>
        <v>-0.225916738468757</v>
      </c>
      <c r="H176" s="24" t="n">
        <f aca="false">(F176/F164-1)*100</f>
        <v>3.3808027090898</v>
      </c>
      <c r="I176" s="24" t="n">
        <f aca="false">(C176/C175-1)*100</f>
        <v>3.50595529171218</v>
      </c>
      <c r="J176" s="24" t="n">
        <f aca="false">(D176/D175-1)*100</f>
        <v>-1.44162068824207</v>
      </c>
      <c r="K176" s="24" t="n">
        <f aca="false">(E176/E175-1)*100</f>
        <v>-0.142193585770778</v>
      </c>
    </row>
    <row r="177" customFormat="false" ht="15" hidden="false" customHeight="false" outlineLevel="0" collapsed="false">
      <c r="A177" s="20" t="n">
        <v>43190</v>
      </c>
      <c r="B177" s="25" t="s">
        <v>437</v>
      </c>
      <c r="C177" s="23" t="n">
        <f aca="false">'SA Data'!R177</f>
        <v>109.624967814053</v>
      </c>
      <c r="D177" s="23" t="n">
        <f aca="false">'SA Data'!S177</f>
        <v>133.13459620636</v>
      </c>
      <c r="E177" s="23" t="n">
        <f aca="false">'SA Data'!T177</f>
        <v>165.269789312756</v>
      </c>
      <c r="F177" s="22" t="n">
        <f aca="false">C177*'Weights &amp; Assumptions'!$B$25/'Weights &amp; Assumptions'!$B$28+D177*'Weights &amp; Assumptions'!$B$26/'Weights &amp; Assumptions'!$B$28+E177*'Weights &amp; Assumptions'!$B$27/'Weights &amp; Assumptions'!$B$28</f>
        <v>152.055833291639</v>
      </c>
      <c r="G177" s="24" t="n">
        <f aca="false">(F177/F176-1)*100</f>
        <v>0.768645760213471</v>
      </c>
      <c r="H177" s="24" t="n">
        <f aca="false">(F177/F165-1)*100</f>
        <v>2.33382837169678</v>
      </c>
      <c r="I177" s="24" t="n">
        <f aca="false">(C177/C176-1)*100</f>
        <v>-1.2112153026933</v>
      </c>
      <c r="J177" s="24" t="n">
        <f aca="false">(D177/D176-1)*100</f>
        <v>2.63638935236037</v>
      </c>
      <c r="K177" s="24" t="n">
        <f aca="false">(E177/E176-1)*100</f>
        <v>0.339187566264898</v>
      </c>
    </row>
    <row r="178" customFormat="false" ht="15" hidden="false" customHeight="false" outlineLevel="0" collapsed="false">
      <c r="A178" s="20" t="n">
        <v>43220</v>
      </c>
      <c r="B178" s="25" t="s">
        <v>437</v>
      </c>
      <c r="C178" s="23" t="n">
        <f aca="false">'SA Data'!R178</f>
        <v>89.3484056802062</v>
      </c>
      <c r="D178" s="23" t="n">
        <f aca="false">'SA Data'!S178</f>
        <v>131.098490081169</v>
      </c>
      <c r="E178" s="23" t="n">
        <f aca="false">'SA Data'!T178</f>
        <v>165.227636053982</v>
      </c>
      <c r="F178" s="22" t="n">
        <f aca="false">C178*'Weights &amp; Assumptions'!$B$25/'Weights &amp; Assumptions'!$B$28+D178*'Weights &amp; Assumptions'!$B$26/'Weights &amp; Assumptions'!$B$28+E178*'Weights &amp; Assumptions'!$B$27/'Weights &amp; Assumptions'!$B$28</f>
        <v>149.785769391327</v>
      </c>
      <c r="G178" s="24" t="n">
        <f aca="false">(F178/F177-1)*100</f>
        <v>-1.49291470847945</v>
      </c>
      <c r="H178" s="24" t="n">
        <f aca="false">(F178/F166-1)*100</f>
        <v>1.9280704884534</v>
      </c>
      <c r="I178" s="24" t="n">
        <f aca="false">(C178/C177-1)*100</f>
        <v>-18.4962992812369</v>
      </c>
      <c r="J178" s="24" t="n">
        <f aca="false">(D178/D177-1)*100</f>
        <v>-1.52935914721607</v>
      </c>
      <c r="K178" s="24" t="n">
        <f aca="false">(E178/E177-1)*100</f>
        <v>-0.0255057254861302</v>
      </c>
    </row>
    <row r="179" customFormat="false" ht="15" hidden="false" customHeight="false" outlineLevel="0" collapsed="false">
      <c r="A179" s="20" t="n">
        <v>43251</v>
      </c>
      <c r="B179" s="25" t="s">
        <v>437</v>
      </c>
      <c r="C179" s="23" t="n">
        <f aca="false">'SA Data'!R179</f>
        <v>86.5105163069676</v>
      </c>
      <c r="D179" s="23" t="n">
        <f aca="false">'SA Data'!S179</f>
        <v>129.660387680946</v>
      </c>
      <c r="E179" s="23" t="n">
        <f aca="false">'SA Data'!T179</f>
        <v>164.476249654705</v>
      </c>
      <c r="F179" s="22" t="n">
        <f aca="false">C179*'Weights &amp; Assumptions'!$B$25/'Weights &amp; Assumptions'!$B$28+D179*'Weights &amp; Assumptions'!$B$26/'Weights &amp; Assumptions'!$B$28+E179*'Weights &amp; Assumptions'!$B$27/'Weights &amp; Assumptions'!$B$28</f>
        <v>148.67671387583</v>
      </c>
      <c r="G179" s="24" t="n">
        <f aca="false">(F179/F178-1)*100</f>
        <v>-0.740427825689527</v>
      </c>
      <c r="H179" s="24" t="n">
        <f aca="false">(F179/F167-1)*100</f>
        <v>-0.52798516375675</v>
      </c>
      <c r="I179" s="24" t="n">
        <f aca="false">(C179/C178-1)*100</f>
        <v>-3.17620594529235</v>
      </c>
      <c r="J179" s="24" t="n">
        <f aca="false">(D179/D178-1)*100</f>
        <v>-1.09696335886998</v>
      </c>
      <c r="K179" s="24" t="n">
        <f aca="false">(E179/E178-1)*100</f>
        <v>-0.454758306311154</v>
      </c>
    </row>
    <row r="180" customFormat="false" ht="15" hidden="false" customHeight="false" outlineLevel="0" collapsed="false">
      <c r="A180" s="20" t="n">
        <v>43281</v>
      </c>
      <c r="B180" s="25" t="s">
        <v>437</v>
      </c>
      <c r="C180" s="23" t="n">
        <f aca="false">'SA Data'!R180</f>
        <v>86.339341670623</v>
      </c>
      <c r="D180" s="23" t="n">
        <f aca="false">'SA Data'!S180</f>
        <v>127.315469591235</v>
      </c>
      <c r="E180" s="23" t="n">
        <f aca="false">'SA Data'!T180</f>
        <v>162.333639793994</v>
      </c>
      <c r="F180" s="22" t="n">
        <f aca="false">C180*'Weights &amp; Assumptions'!$B$25/'Weights &amp; Assumptions'!$B$28+D180*'Weights &amp; Assumptions'!$B$26/'Weights &amp; Assumptions'!$B$28+E180*'Weights &amp; Assumptions'!$B$27/'Weights &amp; Assumptions'!$B$28</f>
        <v>146.645711779024</v>
      </c>
      <c r="G180" s="24" t="n">
        <f aca="false">(F180/F179-1)*100</f>
        <v>-1.36605258742996</v>
      </c>
      <c r="H180" s="24" t="n">
        <f aca="false">(F180/F168-1)*100</f>
        <v>-3.38917225457353</v>
      </c>
      <c r="I180" s="24" t="n">
        <f aca="false">(C180/C179-1)*100</f>
        <v>-0.197865697318422</v>
      </c>
      <c r="J180" s="24" t="n">
        <f aca="false">(D180/D179-1)*100</f>
        <v>-1.80850769587498</v>
      </c>
      <c r="K180" s="24" t="n">
        <f aca="false">(E180/E179-1)*100</f>
        <v>-1.30268647613848</v>
      </c>
    </row>
    <row r="181" customFormat="false" ht="15" hidden="false" customHeight="false" outlineLevel="0" collapsed="false">
      <c r="A181" s="20" t="n">
        <v>43312</v>
      </c>
      <c r="B181" s="25" t="s">
        <v>437</v>
      </c>
      <c r="C181" s="23" t="n">
        <f aca="false">'SA Data'!R181</f>
        <v>104.031701483699</v>
      </c>
      <c r="D181" s="23" t="n">
        <f aca="false">'SA Data'!S181</f>
        <v>124.086200461336</v>
      </c>
      <c r="E181" s="23" t="n">
        <f aca="false">'SA Data'!T181</f>
        <v>161.688789305866</v>
      </c>
      <c r="F181" s="22" t="n">
        <f aca="false">C181*'Weights &amp; Assumptions'!$B$25/'Weights &amp; Assumptions'!$B$28+D181*'Weights &amp; Assumptions'!$B$26/'Weights &amp; Assumptions'!$B$28+E181*'Weights &amp; Assumptions'!$B$27/'Weights &amp; Assumptions'!$B$28</f>
        <v>146.852126433464</v>
      </c>
      <c r="G181" s="24" t="n">
        <f aca="false">(F181/F180-1)*100</f>
        <v>0.140757374993417</v>
      </c>
      <c r="H181" s="24" t="n">
        <f aca="false">(F181/F169-1)*100</f>
        <v>-1.89037730038175</v>
      </c>
      <c r="I181" s="24" t="n">
        <f aca="false">(C181/C180-1)*100</f>
        <v>20.491654755223</v>
      </c>
      <c r="J181" s="24" t="n">
        <f aca="false">(D181/D180-1)*100</f>
        <v>-2.53643107178326</v>
      </c>
      <c r="K181" s="24" t="n">
        <f aca="false">(E181/E180-1)*100</f>
        <v>-0.397237743788925</v>
      </c>
    </row>
    <row r="182" customFormat="false" ht="15" hidden="false" customHeight="false" outlineLevel="0" collapsed="false">
      <c r="A182" s="20" t="n">
        <v>43343</v>
      </c>
      <c r="B182" s="25" t="s">
        <v>437</v>
      </c>
      <c r="C182" s="23" t="n">
        <f aca="false">'SA Data'!R182</f>
        <v>111.745904263705</v>
      </c>
      <c r="D182" s="23" t="n">
        <f aca="false">'SA Data'!S182</f>
        <v>126.023258295621</v>
      </c>
      <c r="E182" s="23" t="n">
        <f aca="false">'SA Data'!T182</f>
        <v>162.148252733319</v>
      </c>
      <c r="F182" s="22" t="n">
        <f aca="false">C182*'Weights &amp; Assumptions'!$B$25/'Weights &amp; Assumptions'!$B$28+D182*'Weights &amp; Assumptions'!$B$26/'Weights &amp; Assumptions'!$B$28+E182*'Weights &amp; Assumptions'!$B$27/'Weights &amp; Assumptions'!$B$28</f>
        <v>148.313186693618</v>
      </c>
      <c r="G182" s="24" t="n">
        <f aca="false">(F182/F181-1)*100</f>
        <v>0.994919376135672</v>
      </c>
      <c r="H182" s="24" t="n">
        <f aca="false">(F182/F170-1)*100</f>
        <v>-1.37751876469779</v>
      </c>
      <c r="I182" s="24" t="n">
        <f aca="false">(C182/C181-1)*100</f>
        <v>7.41524234438709</v>
      </c>
      <c r="J182" s="24" t="n">
        <f aca="false">(D182/D181-1)*100</f>
        <v>1.56105822169041</v>
      </c>
      <c r="K182" s="24" t="n">
        <f aca="false">(E182/E181-1)*100</f>
        <v>0.284165296447281</v>
      </c>
    </row>
    <row r="183" customFormat="false" ht="15" hidden="false" customHeight="false" outlineLevel="0" collapsed="false">
      <c r="A183" s="20" t="n">
        <v>43373</v>
      </c>
      <c r="B183" s="25" t="s">
        <v>437</v>
      </c>
      <c r="C183" s="23" t="n">
        <f aca="false">'SA Data'!R183</f>
        <v>109.671597495461</v>
      </c>
      <c r="D183" s="23" t="n">
        <f aca="false">'SA Data'!S183</f>
        <v>121.360714156491</v>
      </c>
      <c r="E183" s="23" t="n">
        <f aca="false">'SA Data'!T183</f>
        <v>158.848580749311</v>
      </c>
      <c r="F183" s="22" t="n">
        <f aca="false">C183*'Weights &amp; Assumptions'!$B$25/'Weights &amp; Assumptions'!$B$28+D183*'Weights &amp; Assumptions'!$B$26/'Weights &amp; Assumptions'!$B$28+E183*'Weights &amp; Assumptions'!$B$27/'Weights &amp; Assumptions'!$B$28</f>
        <v>144.753912358037</v>
      </c>
      <c r="G183" s="24" t="n">
        <f aca="false">(F183/F182-1)*100</f>
        <v>-2.39983673396063</v>
      </c>
      <c r="H183" s="24" t="n">
        <f aca="false">(F183/F171-1)*100</f>
        <v>-4.33269063828993</v>
      </c>
      <c r="I183" s="24" t="n">
        <f aca="false">(C183/C182-1)*100</f>
        <v>-1.85627095857513</v>
      </c>
      <c r="J183" s="24" t="n">
        <f aca="false">(D183/D182-1)*100</f>
        <v>-3.69974892110212</v>
      </c>
      <c r="K183" s="24" t="n">
        <f aca="false">(E183/E182-1)*100</f>
        <v>-2.03497227283389</v>
      </c>
    </row>
    <row r="184" customFormat="false" ht="15" hidden="false" customHeight="false" outlineLevel="0" collapsed="false">
      <c r="A184" s="20" t="n">
        <v>43404</v>
      </c>
      <c r="B184" s="25" t="s">
        <v>437</v>
      </c>
      <c r="C184" s="23" t="n">
        <f aca="false">'SA Data'!R184</f>
        <v>114.122962270396</v>
      </c>
      <c r="D184" s="23" t="n">
        <f aca="false">'SA Data'!S184</f>
        <v>121.658040396791</v>
      </c>
      <c r="E184" s="23" t="n">
        <f aca="false">'SA Data'!T184</f>
        <v>158.611872583597</v>
      </c>
      <c r="F184" s="22" t="n">
        <f aca="false">C184*'Weights &amp; Assumptions'!$B$25/'Weights &amp; Assumptions'!$B$28+D184*'Weights &amp; Assumptions'!$B$26/'Weights &amp; Assumptions'!$B$28+E184*'Weights &amp; Assumptions'!$B$27/'Weights &amp; Assumptions'!$B$28</f>
        <v>145.05254649061</v>
      </c>
      <c r="G184" s="24" t="n">
        <f aca="false">(F184/F183-1)*100</f>
        <v>0.206304705488369</v>
      </c>
      <c r="H184" s="24" t="n">
        <f aca="false">(F184/F172-1)*100</f>
        <v>-4.29735939049278</v>
      </c>
      <c r="I184" s="24" t="n">
        <f aca="false">(C184/C183-1)*100</f>
        <v>4.05881274330826</v>
      </c>
      <c r="J184" s="24" t="n">
        <f aca="false">(D184/D183-1)*100</f>
        <v>0.244993812344063</v>
      </c>
      <c r="K184" s="24" t="n">
        <f aca="false">(E184/E183-1)*100</f>
        <v>-0.14901497048172</v>
      </c>
    </row>
    <row r="185" customFormat="false" ht="15" hidden="false" customHeight="false" outlineLevel="0" collapsed="false">
      <c r="A185" s="20" t="n">
        <v>43434</v>
      </c>
      <c r="B185" s="25" t="s">
        <v>437</v>
      </c>
      <c r="C185" s="23" t="n">
        <f aca="false">'SA Data'!R185</f>
        <v>113.642251593507</v>
      </c>
      <c r="D185" s="23" t="n">
        <f aca="false">'SA Data'!S185</f>
        <v>118.659078543438</v>
      </c>
      <c r="E185" s="23" t="n">
        <f aca="false">'SA Data'!T185</f>
        <v>157.166930024387</v>
      </c>
      <c r="F185" s="22" t="n">
        <f aca="false">C185*'Weights &amp; Assumptions'!$B$25/'Weights &amp; Assumptions'!$B$28+D185*'Weights &amp; Assumptions'!$B$26/'Weights &amp; Assumptions'!$B$28+E185*'Weights &amp; Assumptions'!$B$27/'Weights &amp; Assumptions'!$B$28</f>
        <v>143.275262912581</v>
      </c>
      <c r="G185" s="24" t="n">
        <f aca="false">(F185/F184-1)*100</f>
        <v>-1.22526878777951</v>
      </c>
      <c r="H185" s="24" t="n">
        <f aca="false">(F185/F173-1)*100</f>
        <v>-6.27924695275397</v>
      </c>
      <c r="I185" s="24" t="n">
        <f aca="false">(C185/C184-1)*100</f>
        <v>-0.421221695726903</v>
      </c>
      <c r="J185" s="24" t="n">
        <f aca="false">(D185/D184-1)*100</f>
        <v>-2.46507492934447</v>
      </c>
      <c r="K185" s="24" t="n">
        <f aca="false">(E185/E184-1)*100</f>
        <v>-0.910992686532763</v>
      </c>
    </row>
    <row r="186" customFormat="false" ht="15" hidden="false" customHeight="false" outlineLevel="0" collapsed="false">
      <c r="A186" s="20" t="n">
        <v>43465</v>
      </c>
      <c r="B186" s="25" t="s">
        <v>437</v>
      </c>
      <c r="C186" s="23" t="n">
        <f aca="false">'SA Data'!R186</f>
        <v>113.991428658199</v>
      </c>
      <c r="D186" s="23" t="n">
        <f aca="false">'SA Data'!S186</f>
        <v>114.862609567658</v>
      </c>
      <c r="E186" s="23" t="n">
        <f aca="false">'SA Data'!T186</f>
        <v>155.85612528467</v>
      </c>
      <c r="F186" s="22" t="n">
        <f aca="false">C186*'Weights &amp; Assumptions'!$B$25/'Weights &amp; Assumptions'!$B$28+D186*'Weights &amp; Assumptions'!$B$26/'Weights &amp; Assumptions'!$B$28+E186*'Weights &amp; Assumptions'!$B$27/'Weights &amp; Assumptions'!$B$28</f>
        <v>141.442750487326</v>
      </c>
      <c r="G186" s="24" t="n">
        <f aca="false">(F186/F185-1)*100</f>
        <v>-1.27901522426355</v>
      </c>
      <c r="H186" s="24" t="n">
        <f aca="false">(F186/F174-1)*100</f>
        <v>-6.22885419323638</v>
      </c>
      <c r="I186" s="24" t="n">
        <f aca="false">(C186/C185-1)*100</f>
        <v>0.307259896557599</v>
      </c>
      <c r="J186" s="24" t="n">
        <f aca="false">(D186/D185-1)*100</f>
        <v>-3.19947619885691</v>
      </c>
      <c r="K186" s="24" t="n">
        <f aca="false">(E186/E185-1)*100</f>
        <v>-0.834020706209537</v>
      </c>
    </row>
    <row r="187" customFormat="false" ht="15" hidden="false" customHeight="false" outlineLevel="0" collapsed="false">
      <c r="A187" s="20" t="n">
        <v>43496</v>
      </c>
      <c r="B187" s="25" t="s">
        <v>437</v>
      </c>
      <c r="C187" s="23" t="n">
        <f aca="false">'SA Data'!R187</f>
        <v>110.455617105282</v>
      </c>
      <c r="D187" s="23" t="n">
        <f aca="false">'SA Data'!S187</f>
        <v>118.629192754398</v>
      </c>
      <c r="E187" s="23" t="n">
        <f aca="false">'SA Data'!T187</f>
        <v>155.779028884451</v>
      </c>
      <c r="F187" s="22" t="n">
        <f aca="false">C187*'Weights &amp; Assumptions'!$B$25/'Weights &amp; Assumptions'!$B$28+D187*'Weights &amp; Assumptions'!$B$26/'Weights &amp; Assumptions'!$B$28+E187*'Weights &amp; Assumptions'!$B$27/'Weights &amp; Assumptions'!$B$28</f>
        <v>142.09756655166</v>
      </c>
      <c r="G187" s="24" t="n">
        <f aca="false">(F187/F186-1)*100</f>
        <v>0.462954843622576</v>
      </c>
      <c r="H187" s="24" t="n">
        <f aca="false">(F187/F175-1)*100</f>
        <v>-6.04352317935777</v>
      </c>
      <c r="I187" s="24" t="n">
        <f aca="false">(C187/C186-1)*100</f>
        <v>-3.10182229886732</v>
      </c>
      <c r="J187" s="24" t="n">
        <f aca="false">(D187/D186-1)*100</f>
        <v>3.27920739474521</v>
      </c>
      <c r="K187" s="24" t="n">
        <f aca="false">(E187/E186-1)*100</f>
        <v>-0.0494663909286763</v>
      </c>
    </row>
    <row r="188" customFormat="false" ht="15" hidden="false" customHeight="false" outlineLevel="0" collapsed="false">
      <c r="A188" s="20" t="n">
        <v>43524</v>
      </c>
      <c r="B188" s="25" t="s">
        <v>437</v>
      </c>
      <c r="C188" s="23" t="n">
        <f aca="false">'SA Data'!R188</f>
        <v>118.32334370242</v>
      </c>
      <c r="D188" s="23" t="n">
        <f aca="false">'SA Data'!S188</f>
        <v>120.58664606682</v>
      </c>
      <c r="E188" s="23" t="n">
        <f aca="false">'SA Data'!T188</f>
        <v>156.891991154384</v>
      </c>
      <c r="F188" s="22" t="n">
        <f aca="false">C188*'Weights &amp; Assumptions'!$B$25/'Weights &amp; Assumptions'!$B$28+D188*'Weights &amp; Assumptions'!$B$26/'Weights &amp; Assumptions'!$B$28+E188*'Weights &amp; Assumptions'!$B$27/'Weights &amp; Assumptions'!$B$28</f>
        <v>144.001824089856</v>
      </c>
      <c r="G188" s="24" t="n">
        <f aca="false">(F188/F187-1)*100</f>
        <v>1.34010566430349</v>
      </c>
      <c r="H188" s="24" t="n">
        <f aca="false">(F188/F176-1)*100</f>
        <v>-4.56881208428317</v>
      </c>
      <c r="I188" s="24" t="n">
        <f aca="false">(C188/C187-1)*100</f>
        <v>7.12297554739945</v>
      </c>
      <c r="J188" s="24" t="n">
        <f aca="false">(D188/D187-1)*100</f>
        <v>1.65006038309228</v>
      </c>
      <c r="K188" s="24" t="n">
        <f aca="false">(E188/E187-1)*100</f>
        <v>0.714449356825075</v>
      </c>
    </row>
    <row r="189" customFormat="false" ht="15" hidden="false" customHeight="false" outlineLevel="0" collapsed="false">
      <c r="A189" s="20" t="n">
        <v>43555</v>
      </c>
      <c r="B189" s="25" t="s">
        <v>437</v>
      </c>
      <c r="C189" s="23" t="n">
        <f aca="false">'SA Data'!R189</f>
        <v>122.698238335962</v>
      </c>
      <c r="D189" s="23" t="n">
        <f aca="false">'SA Data'!S189</f>
        <v>119.658012281594</v>
      </c>
      <c r="E189" s="23" t="n">
        <f aca="false">'SA Data'!T189</f>
        <v>156.311044808237</v>
      </c>
      <c r="F189" s="22" t="n">
        <f aca="false">C189*'Weights &amp; Assumptions'!$B$25/'Weights &amp; Assumptions'!$B$28+D189*'Weights &amp; Assumptions'!$B$26/'Weights &amp; Assumptions'!$B$28+E189*'Weights &amp; Assumptions'!$B$27/'Weights &amp; Assumptions'!$B$28</f>
        <v>143.744220762635</v>
      </c>
      <c r="G189" s="24" t="n">
        <f aca="false">(F189/F188-1)*100</f>
        <v>-0.178888933420851</v>
      </c>
      <c r="H189" s="24" t="n">
        <f aca="false">(F189/F177-1)*100</f>
        <v>-5.46615828480718</v>
      </c>
      <c r="I189" s="24" t="n">
        <f aca="false">(C189/C188-1)*100</f>
        <v>3.69740618938654</v>
      </c>
      <c r="J189" s="24" t="n">
        <f aca="false">(D189/D188-1)*100</f>
        <v>-0.770096702674872</v>
      </c>
      <c r="K189" s="24" t="n">
        <f aca="false">(E189/E188-1)*100</f>
        <v>-0.370284258534714</v>
      </c>
    </row>
    <row r="190" customFormat="false" ht="15" hidden="false" customHeight="false" outlineLevel="0" collapsed="false">
      <c r="A190" s="20" t="n">
        <v>43585</v>
      </c>
      <c r="B190" s="25" t="s">
        <v>437</v>
      </c>
      <c r="C190" s="23" t="n">
        <f aca="false">'SA Data'!R190</f>
        <v>126.855699195951</v>
      </c>
      <c r="D190" s="23" t="n">
        <f aca="false">'SA Data'!S190</f>
        <v>122.338834194047</v>
      </c>
      <c r="E190" s="23" t="n">
        <f aca="false">'SA Data'!T190</f>
        <v>159.013102816493</v>
      </c>
      <c r="F190" s="22" t="n">
        <f aca="false">C190*'Weights &amp; Assumptions'!$B$25/'Weights &amp; Assumptions'!$B$28+D190*'Weights &amp; Assumptions'!$B$26/'Weights &amp; Assumptions'!$B$28+E190*'Weights &amp; Assumptions'!$B$27/'Weights &amp; Assumptions'!$B$28</f>
        <v>146.562741232505</v>
      </c>
      <c r="G190" s="24" t="n">
        <f aca="false">(F190/F189-1)*100</f>
        <v>1.96078872243795</v>
      </c>
      <c r="H190" s="24" t="n">
        <f aca="false">(F190/F178-1)*100</f>
        <v>-2.15175858956345</v>
      </c>
      <c r="I190" s="24" t="n">
        <f aca="false">(C190/C189-1)*100</f>
        <v>3.3883623077011</v>
      </c>
      <c r="J190" s="24" t="n">
        <f aca="false">(D190/D189-1)*100</f>
        <v>2.24040318014356</v>
      </c>
      <c r="K190" s="24" t="n">
        <f aca="false">(E190/E189-1)*100</f>
        <v>1.72864176780978</v>
      </c>
    </row>
    <row r="191" customFormat="false" ht="15" hidden="false" customHeight="false" outlineLevel="0" collapsed="false">
      <c r="A191" s="20" t="n">
        <v>43616</v>
      </c>
      <c r="B191" s="25" t="s">
        <v>437</v>
      </c>
      <c r="C191" s="23" t="n">
        <f aca="false">'SA Data'!R191</f>
        <v>131.455616754831</v>
      </c>
      <c r="D191" s="23" t="n">
        <f aca="false">'SA Data'!S191</f>
        <v>125.004712127356</v>
      </c>
      <c r="E191" s="23" t="n">
        <f aca="false">'SA Data'!T191</f>
        <v>159.996948097921</v>
      </c>
      <c r="F191" s="22" t="n">
        <f aca="false">C191*'Weights &amp; Assumptions'!$B$25/'Weights &amp; Assumptions'!$B$28+D191*'Weights &amp; Assumptions'!$B$26/'Weights &amp; Assumptions'!$B$28+E191*'Weights &amp; Assumptions'!$B$27/'Weights &amp; Assumptions'!$B$28</f>
        <v>148.29725985146</v>
      </c>
      <c r="G191" s="24" t="n">
        <f aca="false">(F191/F190-1)*100</f>
        <v>1.18346491363963</v>
      </c>
      <c r="H191" s="24" t="n">
        <f aca="false">(F191/F179-1)*100</f>
        <v>-0.255220884614649</v>
      </c>
      <c r="I191" s="24" t="n">
        <f aca="false">(C191/C190-1)*100</f>
        <v>3.62610240457082</v>
      </c>
      <c r="J191" s="24" t="n">
        <f aca="false">(D191/D190-1)*100</f>
        <v>2.17909378560921</v>
      </c>
      <c r="K191" s="24" t="n">
        <f aca="false">(E191/E190-1)*100</f>
        <v>0.618719630019426</v>
      </c>
    </row>
    <row r="192" customFormat="false" ht="15" hidden="false" customHeight="false" outlineLevel="0" collapsed="false">
      <c r="A192" s="20" t="n">
        <v>43646</v>
      </c>
      <c r="B192" s="25" t="s">
        <v>437</v>
      </c>
      <c r="C192" s="23" t="n">
        <f aca="false">'SA Data'!R192</f>
        <v>128.574038518169</v>
      </c>
      <c r="D192" s="23" t="n">
        <f aca="false">'SA Data'!S192</f>
        <v>119.402647341898</v>
      </c>
      <c r="E192" s="23" t="n">
        <f aca="false">'SA Data'!T192</f>
        <v>158.049406971831</v>
      </c>
      <c r="F192" s="22" t="n">
        <f aca="false">C192*'Weights &amp; Assumptions'!$B$25/'Weights &amp; Assumptions'!$B$28+D192*'Weights &amp; Assumptions'!$B$26/'Weights &amp; Assumptions'!$B$28+E192*'Weights &amp; Assumptions'!$B$27/'Weights &amp; Assumptions'!$B$28</f>
        <v>145.29955055564</v>
      </c>
      <c r="G192" s="24" t="n">
        <f aca="false">(F192/F191-1)*100</f>
        <v>-2.0214192081651</v>
      </c>
      <c r="H192" s="24" t="n">
        <f aca="false">(F192/F180-1)*100</f>
        <v>-0.917968351786314</v>
      </c>
      <c r="I192" s="24" t="n">
        <f aca="false">(C192/C191-1)*100</f>
        <v>-2.19205409992937</v>
      </c>
      <c r="J192" s="24" t="n">
        <f aca="false">(D192/D191-1)*100</f>
        <v>-4.48148288982182</v>
      </c>
      <c r="K192" s="24" t="n">
        <f aca="false">(E192/E191-1)*100</f>
        <v>-1.21723642184626</v>
      </c>
    </row>
    <row r="193" customFormat="false" ht="15" hidden="false" customHeight="false" outlineLevel="0" collapsed="false">
      <c r="A193" s="20" t="n">
        <v>43677</v>
      </c>
      <c r="B193" s="25" t="s">
        <v>437</v>
      </c>
      <c r="C193" s="23" t="n">
        <f aca="false">'SA Data'!R193</f>
        <v>124.151607541434</v>
      </c>
      <c r="D193" s="23" t="n">
        <f aca="false">'SA Data'!S193</f>
        <v>122.042204003317</v>
      </c>
      <c r="E193" s="23" t="n">
        <f aca="false">'SA Data'!T193</f>
        <v>159.969473209736</v>
      </c>
      <c r="F193" s="22" t="n">
        <f aca="false">C193*'Weights &amp; Assumptions'!$B$25/'Weights &amp; Assumptions'!$B$28+D193*'Weights &amp; Assumptions'!$B$26/'Weights &amp; Assumptions'!$B$28+E193*'Weights &amp; Assumptions'!$B$27/'Weights &amp; Assumptions'!$B$28</f>
        <v>146.878801070812</v>
      </c>
      <c r="G193" s="24" t="n">
        <f aca="false">(F193/F192-1)*100</f>
        <v>1.08689291132142</v>
      </c>
      <c r="H193" s="24" t="n">
        <f aca="false">(F193/F181-1)*100</f>
        <v>0.0181642840285656</v>
      </c>
      <c r="I193" s="24" t="n">
        <f aca="false">(C193/C192-1)*100</f>
        <v>-3.43959871503174</v>
      </c>
      <c r="J193" s="24" t="n">
        <f aca="false">(D193/D192-1)*100</f>
        <v>2.21063495674565</v>
      </c>
      <c r="K193" s="24" t="n">
        <f aca="false">(E193/E192-1)*100</f>
        <v>1.21485190909147</v>
      </c>
    </row>
    <row r="194" customFormat="false" ht="15" hidden="false" customHeight="false" outlineLevel="0" collapsed="false">
      <c r="A194" s="20" t="n">
        <v>43708</v>
      </c>
      <c r="B194" s="25" t="s">
        <v>437</v>
      </c>
      <c r="C194" s="23" t="n">
        <f aca="false">'SA Data'!R194</f>
        <v>117.607797617014</v>
      </c>
      <c r="D194" s="23" t="n">
        <f aca="false">'SA Data'!S194</f>
        <v>120.438285392845</v>
      </c>
      <c r="E194" s="23" t="n">
        <f aca="false">'SA Data'!T194</f>
        <v>157.410980290415</v>
      </c>
      <c r="F194" s="22" t="n">
        <f aca="false">C194*'Weights &amp; Assumptions'!$B$25/'Weights &amp; Assumptions'!$B$28+D194*'Weights &amp; Assumptions'!$B$26/'Weights &amp; Assumptions'!$B$28+E194*'Weights &amp; Assumptions'!$B$27/'Weights &amp; Assumptions'!$B$28</f>
        <v>144.239774721573</v>
      </c>
      <c r="G194" s="24" t="n">
        <f aca="false">(F194/F193-1)*100</f>
        <v>-1.79673739845289</v>
      </c>
      <c r="H194" s="24" t="n">
        <f aca="false">(F194/F182-1)*100</f>
        <v>-2.74649345945193</v>
      </c>
      <c r="I194" s="24" t="n">
        <f aca="false">(C194/C193-1)*100</f>
        <v>-5.27082174287269</v>
      </c>
      <c r="J194" s="24" t="n">
        <f aca="false">(D194/D193-1)*100</f>
        <v>-1.31423274724618</v>
      </c>
      <c r="K194" s="24" t="n">
        <f aca="false">(E194/E193-1)*100</f>
        <v>-1.59936322098554</v>
      </c>
    </row>
    <row r="195" customFormat="false" ht="15" hidden="false" customHeight="false" outlineLevel="0" collapsed="false">
      <c r="A195" s="20" t="n">
        <v>43738</v>
      </c>
      <c r="B195" s="25" t="s">
        <v>437</v>
      </c>
      <c r="C195" s="23" t="n">
        <f aca="false">'SA Data'!R195</f>
        <v>115.650798964712</v>
      </c>
      <c r="D195" s="23" t="n">
        <f aca="false">'SA Data'!S195</f>
        <v>116.4095206122</v>
      </c>
      <c r="E195" s="23" t="n">
        <f aca="false">'SA Data'!T195</f>
        <v>155.929709689293</v>
      </c>
      <c r="F195" s="22" t="n">
        <f aca="false">C195*'Weights &amp; Assumptions'!$B$25/'Weights &amp; Assumptions'!$B$28+D195*'Weights &amp; Assumptions'!$B$26/'Weights &amp; Assumptions'!$B$28+E195*'Weights &amp; Assumptions'!$B$27/'Weights &amp; Assumptions'!$B$28</f>
        <v>142.041166938673</v>
      </c>
      <c r="G195" s="24" t="n">
        <f aca="false">(F195/F194-1)*100</f>
        <v>-1.52427289015411</v>
      </c>
      <c r="H195" s="24" t="n">
        <f aca="false">(F195/F183-1)*100</f>
        <v>-1.87403944748272</v>
      </c>
      <c r="I195" s="24" t="n">
        <f aca="false">(C195/C194-1)*100</f>
        <v>-1.66400416635172</v>
      </c>
      <c r="J195" s="24" t="n">
        <f aca="false">(D195/D194-1)*100</f>
        <v>-3.34508646275068</v>
      </c>
      <c r="K195" s="24" t="n">
        <f aca="false">(E195/E194-1)*100</f>
        <v>-0.941021139941756</v>
      </c>
    </row>
    <row r="196" customFormat="false" ht="15" hidden="false" customHeight="false" outlineLevel="0" collapsed="false">
      <c r="A196" s="20" t="n">
        <v>43769</v>
      </c>
      <c r="B196" s="25" t="s">
        <v>437</v>
      </c>
      <c r="C196" s="23" t="n">
        <f aca="false">'SA Data'!R196</f>
        <v>118.947498765849</v>
      </c>
      <c r="D196" s="23" t="n">
        <f aca="false">'SA Data'!S196</f>
        <v>118.020015107597</v>
      </c>
      <c r="E196" s="23" t="n">
        <f aca="false">'SA Data'!T196</f>
        <v>156.630274607684</v>
      </c>
      <c r="F196" s="22" t="n">
        <f aca="false">C196*'Weights &amp; Assumptions'!$B$25/'Weights &amp; Assumptions'!$B$28+D196*'Weights &amp; Assumptions'!$B$26/'Weights &amp; Assumptions'!$B$28+E196*'Weights &amp; Assumptions'!$B$27/'Weights &amp; Assumptions'!$B$28</f>
        <v>143.201515903551</v>
      </c>
      <c r="G196" s="24" t="n">
        <f aca="false">(F196/F195-1)*100</f>
        <v>0.816910329509946</v>
      </c>
      <c r="H196" s="24" t="n">
        <f aca="false">(F196/F184-1)*100</f>
        <v>-1.27611036954712</v>
      </c>
      <c r="I196" s="24" t="n">
        <f aca="false">(C196/C195-1)*100</f>
        <v>2.85056379259649</v>
      </c>
      <c r="J196" s="24" t="n">
        <f aca="false">(D196/D195-1)*100</f>
        <v>1.38347317893572</v>
      </c>
      <c r="K196" s="24" t="n">
        <f aca="false">(E196/E195-1)*100</f>
        <v>0.449282513118776</v>
      </c>
    </row>
    <row r="197" customFormat="false" ht="15" hidden="false" customHeight="false" outlineLevel="0" collapsed="false">
      <c r="A197" s="20" t="n">
        <v>43799</v>
      </c>
      <c r="B197" s="25" t="s">
        <v>437</v>
      </c>
      <c r="C197" s="23" t="n">
        <f aca="false">'SA Data'!R197</f>
        <v>116.037153052193</v>
      </c>
      <c r="D197" s="23" t="n">
        <f aca="false">'SA Data'!S197</f>
        <v>114.082569609461</v>
      </c>
      <c r="E197" s="23" t="n">
        <f aca="false">'SA Data'!T197</f>
        <v>154.71223753344</v>
      </c>
      <c r="F197" s="22" t="n">
        <f aca="false">C197*'Weights &amp; Assumptions'!$B$25/'Weights &amp; Assumptions'!$B$28+D197*'Weights &amp; Assumptions'!$B$26/'Weights &amp; Assumptions'!$B$28+E197*'Weights &amp; Assumptions'!$B$27/'Weights &amp; Assumptions'!$B$28</f>
        <v>140.66322733339</v>
      </c>
      <c r="G197" s="24" t="n">
        <f aca="false">(F197/F196-1)*100</f>
        <v>-1.77252912034153</v>
      </c>
      <c r="H197" s="24" t="n">
        <f aca="false">(F197/F185-1)*100</f>
        <v>-1.8230890148739</v>
      </c>
      <c r="I197" s="24" t="n">
        <f aca="false">(C197/C196-1)*100</f>
        <v>-2.4467481400221</v>
      </c>
      <c r="J197" s="24" t="n">
        <f aca="false">(D197/D196-1)*100</f>
        <v>-3.33625232512197</v>
      </c>
      <c r="K197" s="24" t="n">
        <f aca="false">(E197/E196-1)*100</f>
        <v>-1.22456343708013</v>
      </c>
    </row>
    <row r="198" customFormat="false" ht="15" hidden="false" customHeight="false" outlineLevel="0" collapsed="false">
      <c r="A198" s="20" t="n">
        <v>43830</v>
      </c>
      <c r="B198" s="25" t="s">
        <v>437</v>
      </c>
      <c r="C198" s="23" t="n">
        <f aca="false">'SA Data'!R198</f>
        <v>109.254639959966</v>
      </c>
      <c r="D198" s="23" t="n">
        <f aca="false">'SA Data'!S198</f>
        <v>113.959049499135</v>
      </c>
      <c r="E198" s="23" t="n">
        <f aca="false">'SA Data'!T198</f>
        <v>154.048812412124</v>
      </c>
      <c r="F198" s="22" t="n">
        <f aca="false">C198*'Weights &amp; Assumptions'!$B$25/'Weights &amp; Assumptions'!$B$28+D198*'Weights &amp; Assumptions'!$B$26/'Weights &amp; Assumptions'!$B$28+E198*'Weights &amp; Assumptions'!$B$27/'Weights &amp; Assumptions'!$B$28</f>
        <v>139.629975812592</v>
      </c>
      <c r="G198" s="24" t="n">
        <f aca="false">(F198/F197-1)*100</f>
        <v>-0.734556955919175</v>
      </c>
      <c r="H198" s="24" t="n">
        <f aca="false">(F198/F186-1)*100</f>
        <v>-1.28163137982508</v>
      </c>
      <c r="I198" s="24" t="n">
        <f aca="false">(C198/C197-1)*100</f>
        <v>-5.8451219405355</v>
      </c>
      <c r="J198" s="24" t="n">
        <f aca="false">(D198/D197-1)*100</f>
        <v>-0.108272552721245</v>
      </c>
      <c r="K198" s="24" t="n">
        <f aca="false">(E198/E197-1)*100</f>
        <v>-0.428812311096016</v>
      </c>
    </row>
    <row r="199" customFormat="false" ht="15" hidden="false" customHeight="false" outlineLevel="0" collapsed="false">
      <c r="A199" s="20" t="n">
        <v>43861</v>
      </c>
      <c r="B199" s="25" t="s">
        <v>437</v>
      </c>
      <c r="C199" s="23" t="n">
        <f aca="false">'SA Data'!R199</f>
        <v>117.802183079798</v>
      </c>
      <c r="D199" s="23" t="n">
        <f aca="false">'SA Data'!S199</f>
        <v>113.811480739839</v>
      </c>
      <c r="E199" s="23" t="n">
        <f aca="false">'SA Data'!T199</f>
        <v>153.887331855641</v>
      </c>
      <c r="F199" s="22" t="n">
        <f aca="false">C199*'Weights &amp; Assumptions'!$B$25/'Weights &amp; Assumptions'!$B$28+D199*'Weights &amp; Assumptions'!$B$26/'Weights &amp; Assumptions'!$B$28+E199*'Weights &amp; Assumptions'!$B$27/'Weights &amp; Assumptions'!$B$28</f>
        <v>140.202888980073</v>
      </c>
      <c r="G199" s="24" t="n">
        <f aca="false">(F199/F198-1)*100</f>
        <v>0.410308147764282</v>
      </c>
      <c r="H199" s="24" t="n">
        <f aca="false">(F199/F187-1)*100</f>
        <v>-1.33336384117329</v>
      </c>
      <c r="I199" s="24" t="n">
        <f aca="false">(C199/C198-1)*100</f>
        <v>7.82350582360987</v>
      </c>
      <c r="J199" s="24" t="n">
        <f aca="false">(D199/D198-1)*100</f>
        <v>-0.129492795827868</v>
      </c>
      <c r="K199" s="24" t="n">
        <f aca="false">(E199/E198-1)*100</f>
        <v>-0.104824278717175</v>
      </c>
    </row>
    <row r="200" customFormat="false" ht="15" hidden="false" customHeight="false" outlineLevel="0" collapsed="false">
      <c r="A200" s="20" t="n">
        <v>43890</v>
      </c>
      <c r="B200" s="25" t="s">
        <v>437</v>
      </c>
      <c r="C200" s="23" t="n">
        <f aca="false">'SA Data'!R200</f>
        <v>108.013269703555</v>
      </c>
      <c r="D200" s="23" t="n">
        <f aca="false">'SA Data'!S200</f>
        <v>114.02260561507</v>
      </c>
      <c r="E200" s="23" t="n">
        <f aca="false">'SA Data'!T200</f>
        <v>153.702452736808</v>
      </c>
      <c r="F200" s="22" t="n">
        <f aca="false">C200*'Weights &amp; Assumptions'!$B$25/'Weights &amp; Assumptions'!$B$28+D200*'Weights &amp; Assumptions'!$B$26/'Weights &amp; Assumptions'!$B$28+E200*'Weights &amp; Assumptions'!$B$27/'Weights &amp; Assumptions'!$B$28</f>
        <v>139.317527774066</v>
      </c>
      <c r="G200" s="24" t="n">
        <f aca="false">(F200/F199-1)*100</f>
        <v>-0.631485707924506</v>
      </c>
      <c r="H200" s="24" t="n">
        <f aca="false">(F200/F188-1)*100</f>
        <v>-3.25294234666546</v>
      </c>
      <c r="I200" s="24" t="n">
        <f aca="false">(C200/C199-1)*100</f>
        <v>-8.30961966945278</v>
      </c>
      <c r="J200" s="24" t="n">
        <f aca="false">(D200/D199-1)*100</f>
        <v>0.185504022843963</v>
      </c>
      <c r="K200" s="24" t="n">
        <f aca="false">(E200/E199-1)*100</f>
        <v>-0.120139271117159</v>
      </c>
    </row>
    <row r="201" customFormat="false" ht="15" hidden="false" customHeight="false" outlineLevel="0" collapsed="false">
      <c r="A201" s="20" t="n">
        <v>43921</v>
      </c>
      <c r="B201" s="25" t="s">
        <v>437</v>
      </c>
      <c r="C201" s="23" t="n">
        <f aca="false">'SA Data'!R201</f>
        <v>107.547822418865</v>
      </c>
      <c r="D201" s="23" t="n">
        <f aca="false">'SA Data'!S201</f>
        <v>98.3128581683377</v>
      </c>
      <c r="E201" s="23" t="n">
        <f aca="false">'SA Data'!T201</f>
        <v>141.276504924637</v>
      </c>
      <c r="F201" s="22" t="n">
        <f aca="false">C201*'Weights &amp; Assumptions'!$B$25/'Weights &amp; Assumptions'!$B$28+D201*'Weights &amp; Assumptions'!$B$26/'Weights &amp; Assumptions'!$B$28+E201*'Weights &amp; Assumptions'!$B$27/'Weights &amp; Assumptions'!$B$28</f>
        <v>127.021856224876</v>
      </c>
      <c r="G201" s="24" t="n">
        <f aca="false">(F201/F200-1)*100</f>
        <v>-8.82564580756154</v>
      </c>
      <c r="H201" s="24" t="n">
        <f aca="false">(F201/F189-1)*100</f>
        <v>-11.6334169464612</v>
      </c>
      <c r="I201" s="24" t="n">
        <f aca="false">(C201/C200-1)*100</f>
        <v>-0.430916762326339</v>
      </c>
      <c r="J201" s="24" t="n">
        <f aca="false">(D201/D200-1)*100</f>
        <v>-13.7777481596648</v>
      </c>
      <c r="K201" s="24" t="n">
        <f aca="false">(E201/E200-1)*100</f>
        <v>-8.08441738626527</v>
      </c>
    </row>
    <row r="202" customFormat="false" ht="15" hidden="false" customHeight="false" outlineLevel="0" collapsed="false">
      <c r="A202" s="20" t="n">
        <v>43951</v>
      </c>
      <c r="B202" s="25" t="s">
        <v>437</v>
      </c>
      <c r="C202" s="23" t="n">
        <f aca="false">'SA Data'!R202</f>
        <v>116.406036930531</v>
      </c>
      <c r="D202" s="23" t="n">
        <f aca="false">'SA Data'!S202</f>
        <v>72.654446883139</v>
      </c>
      <c r="E202" s="23" t="n">
        <f aca="false">'SA Data'!T202</f>
        <v>119.062131807841</v>
      </c>
      <c r="F202" s="22" t="n">
        <f aca="false">C202*'Weights &amp; Assumptions'!$B$25/'Weights &amp; Assumptions'!$B$28+D202*'Weights &amp; Assumptions'!$B$26/'Weights &amp; Assumptions'!$B$28+E202*'Weights &amp; Assumptions'!$B$27/'Weights &amp; Assumptions'!$B$28</f>
        <v>106.498669158658</v>
      </c>
      <c r="G202" s="24" t="n">
        <f aca="false">(F202/F201-1)*100</f>
        <v>-16.1572092206592</v>
      </c>
      <c r="H202" s="24" t="n">
        <f aca="false">(F202/F190-1)*100</f>
        <v>-27.3357824348346</v>
      </c>
      <c r="I202" s="24" t="n">
        <f aca="false">(C202/C201-1)*100</f>
        <v>8.23653544296392</v>
      </c>
      <c r="J202" s="24" t="n">
        <f aca="false">(D202/D201-1)*100</f>
        <v>-26.0987339430868</v>
      </c>
      <c r="K202" s="24" t="n">
        <f aca="false">(E202/E201-1)*100</f>
        <v>-15.7240392722389</v>
      </c>
    </row>
    <row r="203" customFormat="false" ht="15" hidden="false" customHeight="false" outlineLevel="0" collapsed="false">
      <c r="A203" s="20" t="n">
        <v>43982</v>
      </c>
      <c r="B203" s="25" t="s">
        <v>437</v>
      </c>
      <c r="C203" s="23" t="n">
        <f aca="false">'SA Data'!R203</f>
        <v>116.411153477624</v>
      </c>
      <c r="D203" s="23" t="n">
        <f aca="false">'SA Data'!S203</f>
        <v>87.9887421089288</v>
      </c>
      <c r="E203" s="23" t="n">
        <f aca="false">'SA Data'!T203</f>
        <v>127.405367351497</v>
      </c>
      <c r="F203" s="22" t="n">
        <f aca="false">C203*'Weights &amp; Assumptions'!$B$25/'Weights &amp; Assumptions'!$B$28+D203*'Weights &amp; Assumptions'!$B$26/'Weights &amp; Assumptions'!$B$28+E203*'Weights &amp; Assumptions'!$B$27/'Weights &amp; Assumptions'!$B$28</f>
        <v>116.001374469998</v>
      </c>
      <c r="G203" s="24" t="n">
        <f aca="false">(F203/F202-1)*100</f>
        <v>8.9228394931234</v>
      </c>
      <c r="H203" s="24" t="n">
        <f aca="false">(F203/F191-1)*100</f>
        <v>-21.7778031865265</v>
      </c>
      <c r="I203" s="24" t="n">
        <f aca="false">(C203/C202-1)*100</f>
        <v>0.00439543105137386</v>
      </c>
      <c r="J203" s="24" t="n">
        <f aca="false">(D203/D202-1)*100</f>
        <v>21.1057903316698</v>
      </c>
      <c r="K203" s="24" t="n">
        <f aca="false">(E203/E202-1)*100</f>
        <v>7.0074635965041</v>
      </c>
    </row>
    <row r="204" customFormat="false" ht="15" hidden="false" customHeight="false" outlineLevel="0" collapsed="false">
      <c r="A204" s="20" t="n">
        <v>44012</v>
      </c>
      <c r="B204" s="25" t="s">
        <v>437</v>
      </c>
      <c r="C204" s="23" t="n">
        <f aca="false">'SA Data'!R204</f>
        <v>116.245763304892</v>
      </c>
      <c r="D204" s="23" t="n">
        <f aca="false">'SA Data'!S204</f>
        <v>103.171106572784</v>
      </c>
      <c r="E204" s="23" t="n">
        <f aca="false">'SA Data'!T204</f>
        <v>133.364182996721</v>
      </c>
      <c r="F204" s="22" t="n">
        <f aca="false">C204*'Weights &amp; Assumptions'!$B$25/'Weights &amp; Assumptions'!$B$28+D204*'Weights &amp; Assumptions'!$B$26/'Weights &amp; Assumptions'!$B$28+E204*'Weights &amp; Assumptions'!$B$27/'Weights &amp; Assumptions'!$B$28</f>
        <v>123.899066899889</v>
      </c>
      <c r="G204" s="24" t="n">
        <f aca="false">(F204/F203-1)*100</f>
        <v>6.80827487258267</v>
      </c>
      <c r="H204" s="24" t="n">
        <f aca="false">(F204/F192-1)*100</f>
        <v>-14.7285270834727</v>
      </c>
      <c r="I204" s="24" t="n">
        <f aca="false">(C204/C203-1)*100</f>
        <v>-0.142074163678396</v>
      </c>
      <c r="J204" s="24" t="n">
        <f aca="false">(D204/D203-1)*100</f>
        <v>17.2548943193888</v>
      </c>
      <c r="K204" s="24" t="n">
        <f aca="false">(E204/E203-1)*100</f>
        <v>4.67705228523461</v>
      </c>
    </row>
    <row r="205" customFormat="false" ht="15" hidden="false" customHeight="false" outlineLevel="0" collapsed="false">
      <c r="A205" s="20" t="n">
        <v>44043</v>
      </c>
      <c r="B205" s="25" t="s">
        <v>437</v>
      </c>
      <c r="C205" s="23" t="n">
        <f aca="false">'SA Data'!R205</f>
        <v>114.111926647286</v>
      </c>
      <c r="D205" s="23" t="n">
        <f aca="false">'SA Data'!S205</f>
        <v>106.878105326259</v>
      </c>
      <c r="E205" s="23" t="n">
        <f aca="false">'SA Data'!T205</f>
        <v>135.383132619095</v>
      </c>
      <c r="F205" s="22" t="n">
        <f aca="false">C205*'Weights &amp; Assumptions'!$B$25/'Weights &amp; Assumptions'!$B$28+D205*'Weights &amp; Assumptions'!$B$26/'Weights &amp; Assumptions'!$B$28+E205*'Weights &amp; Assumptions'!$B$27/'Weights &amp; Assumptions'!$B$28</f>
        <v>126.018476048511</v>
      </c>
      <c r="G205" s="24" t="n">
        <f aca="false">(F205/F204-1)*100</f>
        <v>1.71059330925754</v>
      </c>
      <c r="H205" s="24" t="n">
        <f aca="false">(F205/F193-1)*100</f>
        <v>-14.202406930217</v>
      </c>
      <c r="I205" s="24" t="n">
        <f aca="false">(C205/C204-1)*100</f>
        <v>-1.83562531393864</v>
      </c>
      <c r="J205" s="24" t="n">
        <f aca="false">(D205/D204-1)*100</f>
        <v>3.59305902264433</v>
      </c>
      <c r="K205" s="24" t="n">
        <f aca="false">(E205/E204-1)*100</f>
        <v>1.51386195079286</v>
      </c>
    </row>
    <row r="206" customFormat="false" ht="15" hidden="false" customHeight="false" outlineLevel="0" collapsed="false">
      <c r="A206" s="20" t="n">
        <v>44074</v>
      </c>
      <c r="B206" s="25" t="s">
        <v>437</v>
      </c>
      <c r="C206" s="23" t="n">
        <f aca="false">'SA Data'!R206</f>
        <v>113.629914589535</v>
      </c>
      <c r="D206" s="23" t="n">
        <f aca="false">'SA Data'!S206</f>
        <v>105.320400386799</v>
      </c>
      <c r="E206" s="23" t="n">
        <f aca="false">'SA Data'!T206</f>
        <v>136.437342601611</v>
      </c>
      <c r="F206" s="22" t="n">
        <f aca="false">C206*'Weights &amp; Assumptions'!$B$25/'Weights &amp; Assumptions'!$B$28+D206*'Weights &amp; Assumptions'!$B$26/'Weights &amp; Assumptions'!$B$28+E206*'Weights &amp; Assumptions'!$B$27/'Weights &amp; Assumptions'!$B$28</f>
        <v>126.249241920293</v>
      </c>
      <c r="G206" s="24" t="n">
        <f aca="false">(F206/F205-1)*100</f>
        <v>0.183120665332592</v>
      </c>
      <c r="H206" s="24" t="n">
        <f aca="false">(F206/F194-1)*100</f>
        <v>-12.4726573069095</v>
      </c>
      <c r="I206" s="24" t="n">
        <f aca="false">(C206/C205-1)*100</f>
        <v>-0.422402874014161</v>
      </c>
      <c r="J206" s="24" t="n">
        <f aca="false">(D206/D205-1)*100</f>
        <v>-1.45745935026228</v>
      </c>
      <c r="K206" s="24" t="n">
        <f aca="false">(E206/E205-1)*100</f>
        <v>0.778686356359315</v>
      </c>
    </row>
    <row r="207" customFormat="false" ht="15" hidden="false" customHeight="false" outlineLevel="0" collapsed="false">
      <c r="A207" s="20" t="n">
        <v>44104</v>
      </c>
      <c r="B207" s="25" t="s">
        <v>437</v>
      </c>
      <c r="C207" s="23" t="n">
        <f aca="false">'SA Data'!R207</f>
        <v>118.096684490545</v>
      </c>
      <c r="D207" s="23" t="n">
        <f aca="false">'SA Data'!S207</f>
        <v>110.213260950743</v>
      </c>
      <c r="E207" s="23" t="n">
        <f aca="false">'SA Data'!T207</f>
        <v>139.608195309435</v>
      </c>
      <c r="F207" s="22" t="n">
        <f aca="false">C207*'Weights &amp; Assumptions'!$B$25/'Weights &amp; Assumptions'!$B$28+D207*'Weights &amp; Assumptions'!$B$26/'Weights &amp; Assumptions'!$B$28+E207*'Weights &amp; Assumptions'!$B$27/'Weights &amp; Assumptions'!$B$28</f>
        <v>129.986735128345</v>
      </c>
      <c r="G207" s="24" t="n">
        <f aca="false">(F207/F206-1)*100</f>
        <v>2.96040843588712</v>
      </c>
      <c r="H207" s="24" t="n">
        <f aca="false">(F207/F195-1)*100</f>
        <v>-8.48657615966538</v>
      </c>
      <c r="I207" s="24" t="n">
        <f aca="false">(C207/C206-1)*100</f>
        <v>3.93098060237476</v>
      </c>
      <c r="J207" s="24" t="n">
        <f aca="false">(D207/D206-1)*100</f>
        <v>4.64569119180605</v>
      </c>
      <c r="K207" s="24" t="n">
        <f aca="false">(E207/E206-1)*100</f>
        <v>2.32403581553338</v>
      </c>
    </row>
    <row r="208" customFormat="false" ht="15" hidden="false" customHeight="false" outlineLevel="0" collapsed="false">
      <c r="A208" s="20" t="n">
        <v>44135</v>
      </c>
      <c r="B208" s="25" t="s">
        <v>437</v>
      </c>
      <c r="C208" s="23" t="n">
        <f aca="false">'SA Data'!R208</f>
        <v>112.663035113485</v>
      </c>
      <c r="D208" s="23" t="n">
        <f aca="false">'SA Data'!S208</f>
        <v>115.446040027203</v>
      </c>
      <c r="E208" s="23" t="n">
        <f aca="false">'SA Data'!T208</f>
        <v>142.384738960654</v>
      </c>
      <c r="F208" s="22" t="n">
        <f aca="false">C208*'Weights &amp; Assumptions'!$B$25/'Weights &amp; Assumptions'!$B$28+D208*'Weights &amp; Assumptions'!$B$26/'Weights &amp; Assumptions'!$B$28+E208*'Weights &amp; Assumptions'!$B$27/'Weights &amp; Assumptions'!$B$28</f>
        <v>132.72759265748</v>
      </c>
      <c r="G208" s="24" t="n">
        <f aca="false">(F208/F207-1)*100</f>
        <v>2.10856709834972</v>
      </c>
      <c r="H208" s="24" t="n">
        <f aca="false">(F208/F196-1)*100</f>
        <v>-7.3141147843194</v>
      </c>
      <c r="I208" s="24" t="n">
        <f aca="false">(C208/C207-1)*100</f>
        <v>-4.60101771738958</v>
      </c>
      <c r="J208" s="24" t="n">
        <f aca="false">(D208/D207-1)*100</f>
        <v>4.74786702736141</v>
      </c>
      <c r="K208" s="24" t="n">
        <f aca="false">(E208/E207-1)*100</f>
        <v>1.9888113624458</v>
      </c>
    </row>
    <row r="209" customFormat="false" ht="15" hidden="false" customHeight="false" outlineLevel="0" collapsed="false">
      <c r="A209" s="20" t="n">
        <v>44165</v>
      </c>
      <c r="B209" s="25" t="s">
        <v>437</v>
      </c>
      <c r="C209" s="23" t="n">
        <f aca="false">'SA Data'!R209</f>
        <v>113.048716586676</v>
      </c>
      <c r="D209" s="23" t="n">
        <f aca="false">'SA Data'!S209</f>
        <v>116.764068029479</v>
      </c>
      <c r="E209" s="23" t="n">
        <f aca="false">'SA Data'!T209</f>
        <v>143.113188953595</v>
      </c>
      <c r="F209" s="22" t="n">
        <f aca="false">C209*'Weights &amp; Assumptions'!$B$25/'Weights &amp; Assumptions'!$B$28+D209*'Weights &amp; Assumptions'!$B$26/'Weights &amp; Assumptions'!$B$28+E209*'Weights &amp; Assumptions'!$B$27/'Weights &amp; Assumptions'!$B$28</f>
        <v>133.584063177891</v>
      </c>
      <c r="G209" s="24" t="n">
        <f aca="false">(F209/F208-1)*100</f>
        <v>0.645284453113493</v>
      </c>
      <c r="H209" s="24" t="n">
        <f aca="false">(F209/F197-1)*100</f>
        <v>-5.03270420400717</v>
      </c>
      <c r="I209" s="24" t="n">
        <f aca="false">(C209/C208-1)*100</f>
        <v>0.342331868480827</v>
      </c>
      <c r="J209" s="24" t="n">
        <f aca="false">(D209/D208-1)*100</f>
        <v>1.14168316381029</v>
      </c>
      <c r="K209" s="24" t="n">
        <f aca="false">(E209/E208-1)*100</f>
        <v>0.511606790346919</v>
      </c>
    </row>
    <row r="210" customFormat="false" ht="15" hidden="false" customHeight="false" outlineLevel="0" collapsed="false">
      <c r="A210" s="20" t="n">
        <v>44196</v>
      </c>
      <c r="B210" s="25" t="s">
        <v>437</v>
      </c>
      <c r="C210" s="23" t="n">
        <f aca="false">'SA Data'!R210</f>
        <v>116.558816915326</v>
      </c>
      <c r="D210" s="23" t="n">
        <f aca="false">'SA Data'!S210</f>
        <v>119.151444949078</v>
      </c>
      <c r="E210" s="23" t="n">
        <f aca="false">'SA Data'!T210</f>
        <v>145.216373915108</v>
      </c>
      <c r="F210" s="22" t="n">
        <f aca="false">C210*'Weights &amp; Assumptions'!$B$25/'Weights &amp; Assumptions'!$B$28+D210*'Weights &amp; Assumptions'!$B$26/'Weights &amp; Assumptions'!$B$28+E210*'Weights &amp; Assumptions'!$B$27/'Weights &amp; Assumptions'!$B$28</f>
        <v>135.880861115506</v>
      </c>
      <c r="G210" s="24" t="n">
        <f aca="false">(F210/F209-1)*100</f>
        <v>1.71936523188176</v>
      </c>
      <c r="H210" s="24" t="n">
        <f aca="false">(F210/F198-1)*100</f>
        <v>-2.68503569900936</v>
      </c>
      <c r="I210" s="24" t="n">
        <f aca="false">(C210/C209-1)*100</f>
        <v>3.10494487211497</v>
      </c>
      <c r="J210" s="24" t="n">
        <f aca="false">(D210/D209-1)*100</f>
        <v>2.04461608771298</v>
      </c>
      <c r="K210" s="24" t="n">
        <f aca="false">(E210/E209-1)*100</f>
        <v>1.46959548375043</v>
      </c>
    </row>
    <row r="211" customFormat="false" ht="15" hidden="false" customHeight="false" outlineLevel="0" collapsed="false">
      <c r="A211" s="20" t="n">
        <v>44227</v>
      </c>
      <c r="B211" s="25" t="s">
        <v>437</v>
      </c>
      <c r="C211" s="23" t="n">
        <f aca="false">'SA Data'!R211</f>
        <v>112.620991943316</v>
      </c>
      <c r="D211" s="23" t="n">
        <f aca="false">'SA Data'!S211</f>
        <v>120.997298899862</v>
      </c>
      <c r="E211" s="23" t="n">
        <f aca="false">'SA Data'!T211</f>
        <v>147.06868670296</v>
      </c>
      <c r="F211" s="22" t="n">
        <f aca="false">C211*'Weights &amp; Assumptions'!$B$25/'Weights &amp; Assumptions'!$B$28+D211*'Weights &amp; Assumptions'!$B$26/'Weights &amp; Assumptions'!$B$28+E211*'Weights &amp; Assumptions'!$B$27/'Weights &amp; Assumptions'!$B$28</f>
        <v>137.245659009163</v>
      </c>
      <c r="G211" s="24" t="n">
        <f aca="false">(F211/F210-1)*100</f>
        <v>1.00440774547064</v>
      </c>
      <c r="H211" s="24" t="n">
        <f aca="false">(F211/F199-1)*100</f>
        <v>-2.1092503816598</v>
      </c>
      <c r="I211" s="24" t="n">
        <f aca="false">(C211/C210-1)*100</f>
        <v>-3.37840163123047</v>
      </c>
      <c r="J211" s="24" t="n">
        <f aca="false">(D211/D210-1)*100</f>
        <v>1.54916623258141</v>
      </c>
      <c r="K211" s="24" t="n">
        <f aca="false">(E211/E210-1)*100</f>
        <v>1.2755536706454</v>
      </c>
    </row>
    <row r="212" customFormat="false" ht="15" hidden="false" customHeight="false" outlineLevel="0" collapsed="false">
      <c r="A212" s="20" t="n">
        <v>44255</v>
      </c>
      <c r="B212" s="25" t="s">
        <v>437</v>
      </c>
      <c r="C212" s="23" t="n">
        <f aca="false">'SA Data'!R212</f>
        <v>111.22523098914</v>
      </c>
      <c r="D212" s="23" t="n">
        <f aca="false">'SA Data'!S212</f>
        <v>118.229019414111</v>
      </c>
      <c r="E212" s="23" t="n">
        <f aca="false">'SA Data'!T212</f>
        <v>147.501062115503</v>
      </c>
      <c r="F212" s="22" t="n">
        <f aca="false">C212*'Weights &amp; Assumptions'!$B$25/'Weights &amp; Assumptions'!$B$28+D212*'Weights &amp; Assumptions'!$B$26/'Weights &amp; Assumptions'!$B$28+E212*'Weights &amp; Assumptions'!$B$27/'Weights &amp; Assumptions'!$B$28</f>
        <v>136.673542212141</v>
      </c>
      <c r="G212" s="24" t="n">
        <f aca="false">(F212/F211-1)*100</f>
        <v>-0.416856023827616</v>
      </c>
      <c r="H212" s="24" t="n">
        <f aca="false">(F212/F200-1)*100</f>
        <v>-1.89781257546662</v>
      </c>
      <c r="I212" s="24" t="n">
        <f aca="false">(C212/C211-1)*100</f>
        <v>-1.2393435096704</v>
      </c>
      <c r="J212" s="24" t="n">
        <f aca="false">(D212/D211-1)*100</f>
        <v>-2.2878853585336</v>
      </c>
      <c r="K212" s="24" t="n">
        <f aca="false">(E212/E211-1)*100</f>
        <v>0.293995562369931</v>
      </c>
    </row>
    <row r="213" customFormat="false" ht="15" hidden="false" customHeight="false" outlineLevel="0" collapsed="false">
      <c r="A213" s="20" t="n">
        <v>44286</v>
      </c>
      <c r="B213" s="25" t="s">
        <v>437</v>
      </c>
      <c r="C213" s="23" t="n">
        <f aca="false">'SA Data'!R213</f>
        <v>115.383931068884</v>
      </c>
      <c r="D213" s="23" t="n">
        <f aca="false">'SA Data'!S213</f>
        <v>127.709908581463</v>
      </c>
      <c r="E213" s="23" t="n">
        <f aca="false">'SA Data'!T213</f>
        <v>150.776680405545</v>
      </c>
      <c r="F213" s="22" t="n">
        <f aca="false">C213*'Weights &amp; Assumptions'!$B$25/'Weights &amp; Assumptions'!$B$28+D213*'Weights &amp; Assumptions'!$B$26/'Weights &amp; Assumptions'!$B$28+E213*'Weights &amp; Assumptions'!$B$27/'Weights &amp; Assumptions'!$B$28</f>
        <v>141.673341720211</v>
      </c>
      <c r="G213" s="24" t="n">
        <f aca="false">(F213/F212-1)*100</f>
        <v>3.65820584375358</v>
      </c>
      <c r="H213" s="24" t="n">
        <f aca="false">(F213/F201-1)*100</f>
        <v>11.5346176876803</v>
      </c>
      <c r="I213" s="24" t="n">
        <f aca="false">(C213/C212-1)*100</f>
        <v>3.73898983419547</v>
      </c>
      <c r="J213" s="24" t="n">
        <f aca="false">(D213/D212-1)*100</f>
        <v>8.01908804990048</v>
      </c>
      <c r="K213" s="24" t="n">
        <f aca="false">(E213/E212-1)*100</f>
        <v>2.22074217165753</v>
      </c>
    </row>
    <row r="214" customFormat="false" ht="15" hidden="false" customHeight="false" outlineLevel="0" collapsed="false">
      <c r="A214" s="20" t="n">
        <v>44316</v>
      </c>
      <c r="B214" s="25" t="s">
        <v>437</v>
      </c>
      <c r="C214" s="23" t="n">
        <f aca="false">'SA Data'!R214</f>
        <v>118.508814979638</v>
      </c>
      <c r="D214" s="23" t="n">
        <f aca="false">'SA Data'!S214</f>
        <v>125.268114999128</v>
      </c>
      <c r="E214" s="23" t="n">
        <f aca="false">'SA Data'!T214</f>
        <v>152.023946673464</v>
      </c>
      <c r="F214" s="22" t="n">
        <f aca="false">C214*'Weights &amp; Assumptions'!$B$25/'Weights &amp; Assumptions'!$B$28+D214*'Weights &amp; Assumptions'!$B$26/'Weights &amp; Assumptions'!$B$28+E214*'Weights &amp; Assumptions'!$B$27/'Weights &amp; Assumptions'!$B$28</f>
        <v>142.097156215625</v>
      </c>
      <c r="G214" s="24" t="n">
        <f aca="false">(F214/F213-1)*100</f>
        <v>0.299149077920058</v>
      </c>
      <c r="H214" s="24" t="n">
        <f aca="false">(F214/F202-1)*100</f>
        <v>33.426227142739</v>
      </c>
      <c r="I214" s="24" t="n">
        <f aca="false">(C214/C213-1)*100</f>
        <v>2.70824878456253</v>
      </c>
      <c r="J214" s="24" t="n">
        <f aca="false">(D214/D213-1)*100</f>
        <v>-1.91198444150265</v>
      </c>
      <c r="K214" s="24" t="n">
        <f aca="false">(E214/E213-1)*100</f>
        <v>0.827227568987921</v>
      </c>
    </row>
    <row r="215" customFormat="false" ht="15" hidden="false" customHeight="false" outlineLevel="0" collapsed="false">
      <c r="A215" s="20" t="n">
        <v>44347</v>
      </c>
      <c r="B215" s="25" t="s">
        <v>437</v>
      </c>
      <c r="C215" s="23" t="n">
        <f aca="false">'SA Data'!R215</f>
        <v>117.874936495734</v>
      </c>
      <c r="D215" s="23" t="n">
        <f aca="false">'SA Data'!S215</f>
        <v>120.567728716865</v>
      </c>
      <c r="E215" s="23" t="n">
        <f aca="false">'SA Data'!T215</f>
        <v>150.315786406368</v>
      </c>
      <c r="F215" s="22" t="n">
        <f aca="false">C215*'Weights &amp; Assumptions'!$B$25/'Weights &amp; Assumptions'!$B$28+D215*'Weights &amp; Assumptions'!$B$26/'Weights &amp; Assumptions'!$B$28+E215*'Weights &amp; Assumptions'!$B$27/'Weights &amp; Assumptions'!$B$28</f>
        <v>139.683443918023</v>
      </c>
      <c r="G215" s="24" t="n">
        <f aca="false">(F215/F214-1)*100</f>
        <v>-1.69863518868669</v>
      </c>
      <c r="H215" s="24" t="n">
        <f aca="false">(F215/F203-1)*100</f>
        <v>20.4153352115246</v>
      </c>
      <c r="I215" s="24" t="n">
        <f aca="false">(C215/C214-1)*100</f>
        <v>-0.534878763248448</v>
      </c>
      <c r="J215" s="24" t="n">
        <f aca="false">(D215/D214-1)*100</f>
        <v>-3.75226072675833</v>
      </c>
      <c r="K215" s="24" t="n">
        <f aca="false">(E215/E214-1)*100</f>
        <v>-1.12361263108468</v>
      </c>
    </row>
    <row r="216" customFormat="false" ht="15" hidden="false" customHeight="false" outlineLevel="0" collapsed="false">
      <c r="A216" s="20" t="n">
        <v>44377</v>
      </c>
      <c r="B216" s="25" t="s">
        <v>437</v>
      </c>
      <c r="C216" s="23" t="n">
        <f aca="false">'SA Data'!R216</f>
        <v>116.732729125367</v>
      </c>
      <c r="D216" s="23" t="n">
        <f aca="false">'SA Data'!S216</f>
        <v>125.469641892182</v>
      </c>
      <c r="E216" s="23" t="n">
        <f aca="false">'SA Data'!T216</f>
        <v>151.752820512573</v>
      </c>
      <c r="F216" s="22" t="n">
        <f aca="false">C216*'Weights &amp; Assumptions'!$B$25/'Weights &amp; Assumptions'!$B$28+D216*'Weights &amp; Assumptions'!$B$26/'Weights &amp; Assumptions'!$B$28+E216*'Weights &amp; Assumptions'!$B$27/'Weights &amp; Assumptions'!$B$28</f>
        <v>141.82544938746</v>
      </c>
      <c r="G216" s="24" t="n">
        <f aca="false">(F216/F215-1)*100</f>
        <v>1.53347126141457</v>
      </c>
      <c r="H216" s="24" t="n">
        <f aca="false">(F216/F204-1)*100</f>
        <v>14.468537121475</v>
      </c>
      <c r="I216" s="24" t="n">
        <f aca="false">(C216/C215-1)*100</f>
        <v>-0.968999351621136</v>
      </c>
      <c r="J216" s="24" t="n">
        <f aca="false">(D216/D215-1)*100</f>
        <v>4.06569255926561</v>
      </c>
      <c r="K216" s="24" t="n">
        <f aca="false">(E216/E215-1)*100</f>
        <v>0.956010104168881</v>
      </c>
    </row>
    <row r="217" customFormat="false" ht="15" hidden="false" customHeight="false" outlineLevel="0" collapsed="false">
      <c r="A217" s="20" t="n">
        <v>44408</v>
      </c>
      <c r="B217" s="25" t="s">
        <v>437</v>
      </c>
      <c r="C217" s="23" t="n">
        <f aca="false">'SA Data'!R217</f>
        <v>115.764381681777</v>
      </c>
      <c r="D217" s="23" t="n">
        <f aca="false">'SA Data'!S217</f>
        <v>123.727214886574</v>
      </c>
      <c r="E217" s="23" t="n">
        <f aca="false">'SA Data'!T217</f>
        <v>152.086799853875</v>
      </c>
      <c r="F217" s="22" t="n">
        <f aca="false">C217*'Weights &amp; Assumptions'!$B$25/'Weights &amp; Assumptions'!$B$28+D217*'Weights &amp; Assumptions'!$B$26/'Weights &amp; Assumptions'!$B$28+E217*'Weights &amp; Assumptions'!$B$27/'Weights &amp; Assumptions'!$B$28</f>
        <v>141.498009709063</v>
      </c>
      <c r="G217" s="24" t="n">
        <f aca="false">(F217/F216-1)*100</f>
        <v>-0.23087512136325</v>
      </c>
      <c r="H217" s="24" t="n">
        <f aca="false">(F217/F205-1)*100</f>
        <v>12.2835429739631</v>
      </c>
      <c r="I217" s="24" t="n">
        <f aca="false">(C217/C216-1)*100</f>
        <v>-0.829542366434766</v>
      </c>
      <c r="J217" s="24" t="n">
        <f aca="false">(D217/D216-1)*100</f>
        <v>-1.38872398082207</v>
      </c>
      <c r="K217" s="24" t="n">
        <f aca="false">(E217/E216-1)*100</f>
        <v>0.220081142593154</v>
      </c>
    </row>
    <row r="218" customFormat="false" ht="15" hidden="false" customHeight="false" outlineLevel="0" collapsed="false">
      <c r="A218" s="20" t="n">
        <v>44439</v>
      </c>
      <c r="B218" s="25" t="s">
        <v>437</v>
      </c>
      <c r="C218" s="23" t="n">
        <f aca="false">'SA Data'!R218</f>
        <v>115.967422738562</v>
      </c>
      <c r="D218" s="23" t="n">
        <f aca="false">'SA Data'!S218</f>
        <v>123.472563224322</v>
      </c>
      <c r="E218" s="23" t="n">
        <f aca="false">'SA Data'!T218</f>
        <v>153.241404887703</v>
      </c>
      <c r="F218" s="22" t="n">
        <f aca="false">C218*'Weights &amp; Assumptions'!$B$25/'Weights &amp; Assumptions'!$B$28+D218*'Weights &amp; Assumptions'!$B$26/'Weights &amp; Assumptions'!$B$28+E218*'Weights &amp; Assumptions'!$B$27/'Weights &amp; Assumptions'!$B$28</f>
        <v>142.198031760711</v>
      </c>
      <c r="G218" s="24" t="n">
        <f aca="false">(F218/F217-1)*100</f>
        <v>0.494722189440888</v>
      </c>
      <c r="H218" s="24" t="n">
        <f aca="false">(F218/F206-1)*100</f>
        <v>12.6327806787841</v>
      </c>
      <c r="I218" s="24" t="n">
        <f aca="false">(C218/C217-1)*100</f>
        <v>0.175391647962875</v>
      </c>
      <c r="J218" s="24" t="n">
        <f aca="false">(D218/D217-1)*100</f>
        <v>-0.20581701647856</v>
      </c>
      <c r="K218" s="24" t="n">
        <f aca="false">(E218/E217-1)*100</f>
        <v>0.759175046708327</v>
      </c>
    </row>
    <row r="219" customFormat="false" ht="15" hidden="false" customHeight="false" outlineLevel="0" collapsed="false">
      <c r="A219" s="20" t="n">
        <v>44469</v>
      </c>
      <c r="B219" s="25" t="s">
        <v>437</v>
      </c>
      <c r="C219" s="23" t="n">
        <f aca="false">'SA Data'!R219</f>
        <v>114.85935068119</v>
      </c>
      <c r="D219" s="23" t="n">
        <f aca="false">'SA Data'!S219</f>
        <v>125.738427531233</v>
      </c>
      <c r="E219" s="23" t="n">
        <f aca="false">'SA Data'!T219</f>
        <v>154.639024728771</v>
      </c>
      <c r="F219" s="22" t="n">
        <f aca="false">C219*'Weights &amp; Assumptions'!$B$25/'Weights &amp; Assumptions'!$B$28+D219*'Weights &amp; Assumptions'!$B$26/'Weights &amp; Assumptions'!$B$28+E219*'Weights &amp; Assumptions'!$B$27/'Weights &amp; Assumptions'!$B$28</f>
        <v>143.616303336373</v>
      </c>
      <c r="G219" s="24" t="n">
        <f aca="false">(F219/F218-1)*100</f>
        <v>0.997391847201246</v>
      </c>
      <c r="H219" s="24" t="n">
        <f aca="false">(F219/F207-1)*100</f>
        <v>10.4853531358956</v>
      </c>
      <c r="I219" s="24" t="n">
        <f aca="false">(C219/C218-1)*100</f>
        <v>-0.955502874173986</v>
      </c>
      <c r="J219" s="24" t="n">
        <f aca="false">(D219/D218-1)*100</f>
        <v>1.83511563034</v>
      </c>
      <c r="K219" s="24" t="n">
        <f aca="false">(E219/E218-1)*100</f>
        <v>0.91203799788504</v>
      </c>
    </row>
    <row r="220" customFormat="false" ht="15" hidden="false" customHeight="false" outlineLevel="0" collapsed="false">
      <c r="A220" s="20" t="n">
        <v>44500</v>
      </c>
      <c r="B220" s="25" t="s">
        <v>437</v>
      </c>
      <c r="C220" s="23" t="n">
        <f aca="false">'SA Data'!R220</f>
        <v>118.459981262465</v>
      </c>
      <c r="D220" s="23" t="n">
        <f aca="false">'SA Data'!S220</f>
        <v>123.647257374846</v>
      </c>
      <c r="E220" s="23" t="n">
        <f aca="false">'SA Data'!T220</f>
        <v>153.875888189904</v>
      </c>
      <c r="F220" s="22" t="n">
        <f aca="false">C220*'Weights &amp; Assumptions'!$B$25/'Weights &amp; Assumptions'!$B$28+D220*'Weights &amp; Assumptions'!$B$26/'Weights &amp; Assumptions'!$B$28+E220*'Weights &amp; Assumptions'!$B$27/'Weights &amp; Assumptions'!$B$28</f>
        <v>142.866143153196</v>
      </c>
      <c r="G220" s="24" t="n">
        <f aca="false">(F220/F219-1)*100</f>
        <v>-0.522336368329801</v>
      </c>
      <c r="H220" s="24" t="n">
        <f aca="false">(F220/F208-1)*100</f>
        <v>7.6386155227572</v>
      </c>
      <c r="I220" s="24" t="n">
        <f aca="false">(C220/C219-1)*100</f>
        <v>3.13481711320913</v>
      </c>
      <c r="J220" s="24" t="n">
        <f aca="false">(D220/D219-1)*100</f>
        <v>-1.66311142698838</v>
      </c>
      <c r="K220" s="24" t="n">
        <f aca="false">(E220/E219-1)*100</f>
        <v>-0.493495442179504</v>
      </c>
    </row>
    <row r="221" customFormat="false" ht="15" hidden="false" customHeight="false" outlineLevel="0" collapsed="false">
      <c r="A221" s="20" t="n">
        <v>44530</v>
      </c>
      <c r="B221" s="25" t="s">
        <v>437</v>
      </c>
      <c r="C221" s="23" t="n">
        <f aca="false">'SA Data'!R221</f>
        <v>120.939010768074</v>
      </c>
      <c r="D221" s="23" t="n">
        <f aca="false">'SA Data'!S221</f>
        <v>127.716658466217</v>
      </c>
      <c r="E221" s="23" t="n">
        <f aca="false">'SA Data'!T221</f>
        <v>156.685429966218</v>
      </c>
      <c r="F221" s="22" t="n">
        <f aca="false">C221*'Weights &amp; Assumptions'!$B$25/'Weights &amp; Assumptions'!$B$28+D221*'Weights &amp; Assumptions'!$B$26/'Weights &amp; Assumptions'!$B$28+E221*'Weights &amp; Assumptions'!$B$27/'Weights &amp; Assumptions'!$B$28</f>
        <v>145.982973274251</v>
      </c>
      <c r="G221" s="24" t="n">
        <f aca="false">(F221/F220-1)*100</f>
        <v>2.18164363666789</v>
      </c>
      <c r="H221" s="24" t="n">
        <f aca="false">(F221/F209-1)*100</f>
        <v>9.28172852464364</v>
      </c>
      <c r="I221" s="24" t="n">
        <f aca="false">(C221/C220-1)*100</f>
        <v>2.09271475412132</v>
      </c>
      <c r="J221" s="24" t="n">
        <f aca="false">(D221/D220-1)*100</f>
        <v>3.2911373675151</v>
      </c>
      <c r="K221" s="24" t="n">
        <f aca="false">(E221/E220-1)*100</f>
        <v>1.82584926681111</v>
      </c>
    </row>
    <row r="222" customFormat="false" ht="15" hidden="false" customHeight="false" outlineLevel="0" collapsed="false">
      <c r="A222" s="20" t="n">
        <v>44561</v>
      </c>
      <c r="B222" s="25" t="s">
        <v>437</v>
      </c>
      <c r="C222" s="23" t="n">
        <f aca="false">'SA Data'!R222</f>
        <v>129.712852321548</v>
      </c>
      <c r="D222" s="23" t="n">
        <f aca="false">'SA Data'!S222</f>
        <v>130.425566226303</v>
      </c>
      <c r="E222" s="23" t="n">
        <f aca="false">'SA Data'!T222</f>
        <v>158.474782924539</v>
      </c>
      <c r="F222" s="22" t="n">
        <f aca="false">C222*'Weights &amp; Assumptions'!$B$25/'Weights &amp; Assumptions'!$B$28+D222*'Weights &amp; Assumptions'!$B$26/'Weights &amp; Assumptions'!$B$28+E222*'Weights &amp; Assumptions'!$B$27/'Weights &amp; Assumptions'!$B$28</f>
        <v>148.602856322909</v>
      </c>
      <c r="G222" s="24" t="n">
        <f aca="false">(F222/F221-1)*100</f>
        <v>1.79464973886827</v>
      </c>
      <c r="H222" s="24" t="n">
        <f aca="false">(F222/F210-1)*100</f>
        <v>9.3626100857491</v>
      </c>
      <c r="I222" s="24" t="n">
        <f aca="false">(C222/C221-1)*100</f>
        <v>7.2547654373494</v>
      </c>
      <c r="J222" s="24" t="n">
        <f aca="false">(D222/D221-1)*100</f>
        <v>2.12102931020719</v>
      </c>
      <c r="K222" s="24" t="n">
        <f aca="false">(E222/E221-1)*100</f>
        <v>1.14200341327642</v>
      </c>
    </row>
    <row r="223" customFormat="false" ht="15" hidden="false" customHeight="false" outlineLevel="0" collapsed="false">
      <c r="A223" s="20" t="n">
        <v>44592</v>
      </c>
      <c r="B223" s="25" t="s">
        <v>437</v>
      </c>
      <c r="C223" s="23" t="n">
        <f aca="false">'SA Data'!R223</f>
        <v>124.140800739205</v>
      </c>
      <c r="D223" s="23" t="n">
        <f aca="false">'SA Data'!S223</f>
        <v>124.085727932632</v>
      </c>
      <c r="E223" s="23" t="n">
        <f aca="false">'SA Data'!T223</f>
        <v>157.273227488108</v>
      </c>
      <c r="F223" s="22" t="n">
        <f aca="false">C223*'Weights &amp; Assumptions'!$B$25/'Weights &amp; Assumptions'!$B$28+D223*'Weights &amp; Assumptions'!$B$26/'Weights &amp; Assumptions'!$B$28+E223*'Weights &amp; Assumptions'!$B$27/'Weights &amp; Assumptions'!$B$28</f>
        <v>145.668253454603</v>
      </c>
      <c r="G223" s="24" t="n">
        <f aca="false">(F223/F222-1)*100</f>
        <v>-1.97479573469929</v>
      </c>
      <c r="H223" s="24" t="n">
        <f aca="false">(F223/F211-1)*100</f>
        <v>6.13687493378452</v>
      </c>
      <c r="I223" s="24" t="n">
        <f aca="false">(C223/C222-1)*100</f>
        <v>-4.29568194871693</v>
      </c>
      <c r="J223" s="24" t="n">
        <f aca="false">(D223/D222-1)*100</f>
        <v>-4.8608861568374</v>
      </c>
      <c r="K223" s="24" t="n">
        <f aca="false">(E223/E222-1)*100</f>
        <v>-0.758199767974133</v>
      </c>
    </row>
    <row r="224" customFormat="false" ht="15" hidden="false" customHeight="false" outlineLevel="0" collapsed="false">
      <c r="A224" s="20" t="n">
        <v>44620</v>
      </c>
      <c r="B224" s="25" t="s">
        <v>437</v>
      </c>
      <c r="C224" s="23" t="n">
        <f aca="false">'SA Data'!R224</f>
        <v>118.023669729311</v>
      </c>
      <c r="D224" s="23" t="n">
        <f aca="false">'SA Data'!S224</f>
        <v>130.555599357693</v>
      </c>
      <c r="E224" s="23" t="n">
        <f aca="false">'SA Data'!T224</f>
        <v>159.881201933644</v>
      </c>
      <c r="F224" s="22" t="n">
        <f aca="false">C224*'Weights &amp; Assumptions'!$B$25/'Weights &amp; Assumptions'!$B$28+D224*'Weights &amp; Assumptions'!$B$26/'Weights &amp; Assumptions'!$B$28+E224*'Weights &amp; Assumptions'!$B$27/'Weights &amp; Assumptions'!$B$28</f>
        <v>148.57113015852</v>
      </c>
      <c r="G224" s="24" t="n">
        <f aca="false">(F224/F223-1)*100</f>
        <v>1.99279982774094</v>
      </c>
      <c r="H224" s="24" t="n">
        <f aca="false">(F224/F212-1)*100</f>
        <v>8.70511421143365</v>
      </c>
      <c r="I224" s="24" t="n">
        <f aca="false">(C224/C223-1)*100</f>
        <v>-4.92757495800655</v>
      </c>
      <c r="J224" s="24" t="n">
        <f aca="false">(D224/D223-1)*100</f>
        <v>5.21403350155938</v>
      </c>
      <c r="K224" s="24" t="n">
        <f aca="false">(E224/E223-1)*100</f>
        <v>1.65824437330424</v>
      </c>
    </row>
    <row r="225" customFormat="false" ht="15" hidden="false" customHeight="false" outlineLevel="0" collapsed="false">
      <c r="A225" s="20" t="n">
        <v>44651</v>
      </c>
      <c r="B225" s="25" t="s">
        <v>437</v>
      </c>
      <c r="C225" s="23" t="n">
        <f aca="false">'SA Data'!R225</f>
        <v>116.965334168329</v>
      </c>
      <c r="D225" s="23" t="n">
        <f aca="false">'SA Data'!S225</f>
        <v>132.011453789556</v>
      </c>
      <c r="E225" s="23" t="n">
        <f aca="false">'SA Data'!T225</f>
        <v>160.546614102482</v>
      </c>
      <c r="F225" s="22" t="n">
        <f aca="false">C225*'Weights &amp; Assumptions'!$B$25/'Weights &amp; Assumptions'!$B$28+D225*'Weights &amp; Assumptions'!$B$26/'Weights &amp; Assumptions'!$B$28+E225*'Weights &amp; Assumptions'!$B$27/'Weights &amp; Assumptions'!$B$28</f>
        <v>149.302110863641</v>
      </c>
      <c r="G225" s="24" t="n">
        <f aca="false">(F225/F224-1)*100</f>
        <v>0.492007232051672</v>
      </c>
      <c r="H225" s="24" t="n">
        <f aca="false">(F225/F213-1)*100</f>
        <v>5.38475979376283</v>
      </c>
      <c r="I225" s="24" t="n">
        <f aca="false">(C225/C224-1)*100</f>
        <v>-0.896714670379362</v>
      </c>
      <c r="J225" s="24" t="n">
        <f aca="false">(D225/D224-1)*100</f>
        <v>1.11512216942518</v>
      </c>
      <c r="K225" s="24" t="n">
        <f aca="false">(E225/E224-1)*100</f>
        <v>0.41619162277422</v>
      </c>
    </row>
    <row r="226" customFormat="false" ht="15" hidden="false" customHeight="false" outlineLevel="0" collapsed="false">
      <c r="A226" s="20" t="n">
        <v>44681</v>
      </c>
      <c r="B226" s="25" t="s">
        <v>437</v>
      </c>
      <c r="C226" s="23" t="n">
        <f aca="false">'SA Data'!R226</f>
        <v>122.487272300249</v>
      </c>
      <c r="D226" s="23" t="n">
        <f aca="false">'SA Data'!S226</f>
        <v>133.085197897615</v>
      </c>
      <c r="E226" s="23" t="n">
        <f aca="false">'SA Data'!T226</f>
        <v>162.286190681023</v>
      </c>
      <c r="F226" s="22" t="n">
        <f aca="false">C226*'Weights &amp; Assumptions'!$B$25/'Weights &amp; Assumptions'!$B$28+D226*'Weights &amp; Assumptions'!$B$26/'Weights &amp; Assumptions'!$B$28+E226*'Weights &amp; Assumptions'!$B$27/'Weights &amp; Assumptions'!$B$28</f>
        <v>151.181974239412</v>
      </c>
      <c r="G226" s="24" t="n">
        <f aca="false">(F226/F225-1)*100</f>
        <v>1.25910033347634</v>
      </c>
      <c r="H226" s="24" t="n">
        <f aca="false">(F226/F214-1)*100</f>
        <v>6.39338482608416</v>
      </c>
      <c r="I226" s="24" t="n">
        <f aca="false">(C226/C225-1)*100</f>
        <v>4.7210040232724</v>
      </c>
      <c r="J226" s="24" t="n">
        <f aca="false">(D226/D225-1)*100</f>
        <v>0.813371928901141</v>
      </c>
      <c r="K226" s="24" t="n">
        <f aca="false">(E226/E225-1)*100</f>
        <v>1.08353364427225</v>
      </c>
    </row>
    <row r="227" customFormat="false" ht="15" hidden="false" customHeight="false" outlineLevel="0" collapsed="false">
      <c r="A227" s="20" t="n">
        <v>44712</v>
      </c>
      <c r="B227" s="25" t="s">
        <v>437</v>
      </c>
      <c r="C227" s="23" t="n">
        <f aca="false">'SA Data'!R227</f>
        <v>122.148202860183</v>
      </c>
      <c r="D227" s="23" t="n">
        <f aca="false">'SA Data'!S227</f>
        <v>135.060943198131</v>
      </c>
      <c r="E227" s="23" t="n">
        <f aca="false">'SA Data'!T227</f>
        <v>163.837226660968</v>
      </c>
      <c r="F227" s="22" t="n">
        <f aca="false">C227*'Weights &amp; Assumptions'!$B$25/'Weights &amp; Assumptions'!$B$28+D227*'Weights &amp; Assumptions'!$B$26/'Weights &amp; Assumptions'!$B$28+E227*'Weights &amp; Assumptions'!$B$27/'Weights &amp; Assumptions'!$B$28</f>
        <v>152.687366428908</v>
      </c>
      <c r="G227" s="24" t="n">
        <f aca="false">(F227/F226-1)*100</f>
        <v>0.995748466091673</v>
      </c>
      <c r="H227" s="24" t="n">
        <f aca="false">(F227/F215-1)*100</f>
        <v>9.30956607750617</v>
      </c>
      <c r="I227" s="24" t="n">
        <f aca="false">(C227/C226-1)*100</f>
        <v>-0.276820141145195</v>
      </c>
      <c r="J227" s="24" t="n">
        <f aca="false">(D227/D226-1)*100</f>
        <v>1.48457178689072</v>
      </c>
      <c r="K227" s="24" t="n">
        <f aca="false">(E227/E226-1)*100</f>
        <v>0.955741196115789</v>
      </c>
    </row>
    <row r="228" customFormat="false" ht="15" hidden="false" customHeight="false" outlineLevel="0" collapsed="false">
      <c r="A228" s="20" t="n">
        <v>44742</v>
      </c>
      <c r="B228" s="25" t="s">
        <v>437</v>
      </c>
      <c r="C228" s="23" t="n">
        <f aca="false">'SA Data'!R228</f>
        <v>121.058947884249</v>
      </c>
      <c r="D228" s="23" t="n">
        <f aca="false">'SA Data'!S228</f>
        <v>135.710259865582</v>
      </c>
      <c r="E228" s="23" t="n">
        <f aca="false">'SA Data'!T228</f>
        <v>165.13757655238</v>
      </c>
      <c r="F228" s="22" t="n">
        <f aca="false">C228*'Weights &amp; Assumptions'!$B$25/'Weights &amp; Assumptions'!$B$28+D228*'Weights &amp; Assumptions'!$B$26/'Weights &amp; Assumptions'!$B$28+E228*'Weights &amp; Assumptions'!$B$27/'Weights &amp; Assumptions'!$B$28</f>
        <v>153.614105376717</v>
      </c>
      <c r="G228" s="24" t="n">
        <f aca="false">(F228/F227-1)*100</f>
        <v>0.606951949911716</v>
      </c>
      <c r="H228" s="24" t="n">
        <f aca="false">(F228/F216-1)*100</f>
        <v>8.3120878799761</v>
      </c>
      <c r="I228" s="24" t="n">
        <f aca="false">(C228/C227-1)*100</f>
        <v>-0.891748671227477</v>
      </c>
      <c r="J228" s="24" t="n">
        <f aca="false">(D228/D227-1)*100</f>
        <v>0.480758279985216</v>
      </c>
      <c r="K228" s="24" t="n">
        <f aca="false">(E228/E227-1)*100</f>
        <v>0.793684022802865</v>
      </c>
    </row>
    <row r="229" customFormat="false" ht="15" hidden="false" customHeight="false" outlineLevel="0" collapsed="false">
      <c r="A229" s="20" t="n">
        <v>44773</v>
      </c>
      <c r="B229" s="25" t="s">
        <v>437</v>
      </c>
      <c r="C229" s="23" t="n">
        <f aca="false">'SA Data'!R229</f>
        <v>108.459006819546</v>
      </c>
      <c r="D229" s="23" t="n">
        <f aca="false">'SA Data'!S229</f>
        <v>131.840275777864</v>
      </c>
      <c r="E229" s="23" t="n">
        <f aca="false">'SA Data'!T229</f>
        <v>162.470812549582</v>
      </c>
      <c r="F229" s="22" t="n">
        <f aca="false">C229*'Weights &amp; Assumptions'!$B$25/'Weights &amp; Assumptions'!$B$28+D229*'Weights &amp; Assumptions'!$B$26/'Weights &amp; Assumptions'!$B$28+E229*'Weights &amp; Assumptions'!$B$27/'Weights &amp; Assumptions'!$B$28</f>
        <v>149.793982313425</v>
      </c>
      <c r="G229" s="24" t="n">
        <f aca="false">(F229/F228-1)*100</f>
        <v>-2.48683091563984</v>
      </c>
      <c r="H229" s="24" t="n">
        <f aca="false">(F229/F217-1)*100</f>
        <v>5.86296063203982</v>
      </c>
      <c r="I229" s="24" t="n">
        <f aca="false">(C229/C228-1)*100</f>
        <v>-10.4081038906355</v>
      </c>
      <c r="J229" s="24" t="n">
        <f aca="false">(D229/D228-1)*100</f>
        <v>-2.85165181435119</v>
      </c>
      <c r="K229" s="24" t="n">
        <f aca="false">(E229/E228-1)*100</f>
        <v>-1.61487413008703</v>
      </c>
    </row>
    <row r="230" customFormat="false" ht="15" hidden="false" customHeight="false" outlineLevel="0" collapsed="false">
      <c r="A230" s="20" t="n">
        <v>44804</v>
      </c>
      <c r="B230" s="25" t="s">
        <v>437</v>
      </c>
      <c r="C230" s="23" t="n">
        <f aca="false">'SA Data'!R230</f>
        <v>109.324689611562</v>
      </c>
      <c r="D230" s="23" t="n">
        <f aca="false">'SA Data'!S230</f>
        <v>132.885538901262</v>
      </c>
      <c r="E230" s="23" t="n">
        <f aca="false">'SA Data'!T230</f>
        <v>162.264524416448</v>
      </c>
      <c r="F230" s="22" t="n">
        <f aca="false">C230*'Weights &amp; Assumptions'!$B$25/'Weights &amp; Assumptions'!$B$28+D230*'Weights &amp; Assumptions'!$B$26/'Weights &amp; Assumptions'!$B$28+E230*'Weights &amp; Assumptions'!$B$27/'Weights &amp; Assumptions'!$B$28</f>
        <v>150.01044277442</v>
      </c>
      <c r="G230" s="24" t="n">
        <f aca="false">(F230/F229-1)*100</f>
        <v>0.144505445179566</v>
      </c>
      <c r="H230" s="24" t="n">
        <f aca="false">(F230/F218-1)*100</f>
        <v>5.49403597010056</v>
      </c>
      <c r="I230" s="24" t="n">
        <f aca="false">(C230/C229-1)*100</f>
        <v>0.798165885343161</v>
      </c>
      <c r="J230" s="24" t="n">
        <f aca="false">(D230/D229-1)*100</f>
        <v>0.792825346602921</v>
      </c>
      <c r="K230" s="24" t="n">
        <f aca="false">(E230/E229-1)*100</f>
        <v>-0.126969349076866</v>
      </c>
    </row>
    <row r="231" customFormat="false" ht="15" hidden="false" customHeight="false" outlineLevel="0" collapsed="false">
      <c r="A231" s="20" t="n">
        <v>44834</v>
      </c>
      <c r="B231" s="25" t="s">
        <v>437</v>
      </c>
      <c r="C231" s="23" t="n">
        <f aca="false">'SA Data'!R231</f>
        <v>107.534026674072</v>
      </c>
      <c r="D231" s="23" t="n">
        <f aca="false">'SA Data'!S231</f>
        <v>131.436467509908</v>
      </c>
      <c r="E231" s="23" t="n">
        <f aca="false">'SA Data'!T231</f>
        <v>161.543104139802</v>
      </c>
      <c r="F231" s="22" t="n">
        <f aca="false">C231*'Weights &amp; Assumptions'!$B$25/'Weights &amp; Assumptions'!$B$28+D231*'Weights &amp; Assumptions'!$B$26/'Weights &amp; Assumptions'!$B$28+E231*'Weights &amp; Assumptions'!$B$27/'Weights &amp; Assumptions'!$B$28</f>
        <v>149.005817006576</v>
      </c>
      <c r="G231" s="24" t="n">
        <f aca="false">(F231/F230-1)*100</f>
        <v>-0.669703888118134</v>
      </c>
      <c r="H231" s="24" t="n">
        <f aca="false">(F231/F219-1)*100</f>
        <v>3.75271716720063</v>
      </c>
      <c r="I231" s="24" t="n">
        <f aca="false">(C231/C230-1)*100</f>
        <v>-1.63793095946742</v>
      </c>
      <c r="J231" s="24" t="n">
        <f aca="false">(D231/D230-1)*100</f>
        <v>-1.09046582746012</v>
      </c>
      <c r="K231" s="24" t="n">
        <f aca="false">(E231/E230-1)*100</f>
        <v>-0.444595193706387</v>
      </c>
    </row>
    <row r="232" customFormat="false" ht="15" hidden="false" customHeight="false" outlineLevel="0" collapsed="false">
      <c r="A232" s="20" t="n">
        <v>44865</v>
      </c>
      <c r="B232" s="25" t="s">
        <v>437</v>
      </c>
      <c r="C232" s="23" t="n">
        <f aca="false">'SA Data'!R232</f>
        <v>101.734067532531</v>
      </c>
      <c r="D232" s="23" t="n">
        <f aca="false">'SA Data'!S232</f>
        <v>129.1739392293</v>
      </c>
      <c r="E232" s="23" t="n">
        <f aca="false">'SA Data'!T232</f>
        <v>160.911264968334</v>
      </c>
      <c r="F232" s="22" t="n">
        <f aca="false">C232*'Weights &amp; Assumptions'!$B$25/'Weights &amp; Assumptions'!$B$28+D232*'Weights &amp; Assumptions'!$B$26/'Weights &amp; Assumptions'!$B$28+E232*'Weights &amp; Assumptions'!$B$27/'Weights &amp; Assumptions'!$B$28</f>
        <v>147.506739549451</v>
      </c>
      <c r="G232" s="24" t="n">
        <f aca="false">(F232/F231-1)*100</f>
        <v>-1.00605297648108</v>
      </c>
      <c r="H232" s="24" t="n">
        <f aca="false">(F232/F220-1)*100</f>
        <v>3.24821283323857</v>
      </c>
      <c r="I232" s="24" t="n">
        <f aca="false">(C232/C231-1)*100</f>
        <v>-5.39360360708938</v>
      </c>
      <c r="J232" s="24" t="n">
        <f aca="false">(D232/D231-1)*100</f>
        <v>-1.72138549024592</v>
      </c>
      <c r="K232" s="24" t="n">
        <f aca="false">(E232/E231-1)*100</f>
        <v>-0.391127293753801</v>
      </c>
    </row>
    <row r="233" customFormat="false" ht="15" hidden="false" customHeight="false" outlineLevel="0" collapsed="false">
      <c r="A233" s="20" t="n">
        <v>44895</v>
      </c>
      <c r="B233" s="25" t="s">
        <v>437</v>
      </c>
      <c r="C233" s="23" t="n">
        <f aca="false">'SA Data'!R233</f>
        <v>99.032859682761</v>
      </c>
      <c r="D233" s="23" t="n">
        <f aca="false">'SA Data'!S233</f>
        <v>130.643447476516</v>
      </c>
      <c r="E233" s="23" t="n">
        <f aca="false">'SA Data'!T233</f>
        <v>161.392688519445</v>
      </c>
      <c r="F233" s="22" t="n">
        <f aca="false">C233*'Weights &amp; Assumptions'!$B$25/'Weights &amp; Assumptions'!$B$28+D233*'Weights &amp; Assumptions'!$B$26/'Weights &amp; Assumptions'!$B$28+E233*'Weights &amp; Assumptions'!$B$27/'Weights &amp; Assumptions'!$B$28</f>
        <v>147.983886658169</v>
      </c>
      <c r="G233" s="24" t="n">
        <f aca="false">(F233/F232-1)*100</f>
        <v>0.323474785067157</v>
      </c>
      <c r="H233" s="24" t="n">
        <f aca="false">(F233/F221-1)*100</f>
        <v>1.37064846607744</v>
      </c>
      <c r="I233" s="24" t="n">
        <f aca="false">(C233/C232-1)*100</f>
        <v>-2.65516548712291</v>
      </c>
      <c r="J233" s="24" t="n">
        <f aca="false">(D233/D232-1)*100</f>
        <v>1.13761975208255</v>
      </c>
      <c r="K233" s="24" t="n">
        <f aca="false">(E233/E232-1)*100</f>
        <v>0.299185735197294</v>
      </c>
    </row>
    <row r="234" customFormat="false" ht="15" hidden="false" customHeight="false" outlineLevel="0" collapsed="false">
      <c r="A234" s="20" t="n">
        <v>44926</v>
      </c>
      <c r="B234" s="25" t="s">
        <v>437</v>
      </c>
      <c r="C234" s="23" t="n">
        <f aca="false">'SA Data'!R234</f>
        <v>92.8565959593108</v>
      </c>
      <c r="D234" s="23" t="n">
        <f aca="false">'SA Data'!S234</f>
        <v>131.249602013788</v>
      </c>
      <c r="E234" s="23" t="n">
        <f aca="false">'SA Data'!T234</f>
        <v>161.808684622106</v>
      </c>
      <c r="F234" s="22" t="n">
        <f aca="false">C234*'Weights &amp; Assumptions'!$B$25/'Weights &amp; Assumptions'!$B$28+D234*'Weights &amp; Assumptions'!$B$26/'Weights &amp; Assumptions'!$B$28+E234*'Weights &amp; Assumptions'!$B$27/'Weights &amp; Assumptions'!$B$28</f>
        <v>147.897353124833</v>
      </c>
      <c r="G234" s="24" t="n">
        <f aca="false">(F234/F233-1)*100</f>
        <v>-0.0584749700048626</v>
      </c>
      <c r="H234" s="24" t="n">
        <f aca="false">(F234/F222-1)*100</f>
        <v>-0.474757494932065</v>
      </c>
      <c r="I234" s="24" t="n">
        <f aca="false">(C234/C233-1)*100</f>
        <v>-6.23658020503002</v>
      </c>
      <c r="J234" s="24" t="n">
        <f aca="false">(D234/D233-1)*100</f>
        <v>0.463976226117846</v>
      </c>
      <c r="K234" s="24" t="n">
        <f aca="false">(E234/E233-1)*100</f>
        <v>0.25775399522574</v>
      </c>
    </row>
    <row r="235" customFormat="false" ht="15" hidden="false" customHeight="false" outlineLevel="0" collapsed="false">
      <c r="A235" s="20" t="n">
        <v>44957</v>
      </c>
      <c r="B235" s="25" t="s">
        <v>437</v>
      </c>
      <c r="C235" s="23" t="n">
        <f aca="false">'SA Data'!R235</f>
        <v>96.7127001172562</v>
      </c>
      <c r="D235" s="23" t="n">
        <f aca="false">'SA Data'!S235</f>
        <v>133.887199779139</v>
      </c>
      <c r="E235" s="23" t="n">
        <f aca="false">'SA Data'!T235</f>
        <v>162.709861673654</v>
      </c>
      <c r="F235" s="22" t="n">
        <f aca="false">C235*'Weights &amp; Assumptions'!$B$25/'Weights &amp; Assumptions'!$B$28+D235*'Weights &amp; Assumptions'!$B$26/'Weights &amp; Assumptions'!$B$28+E235*'Weights &amp; Assumptions'!$B$27/'Weights &amp; Assumptions'!$B$28</f>
        <v>149.508195619577</v>
      </c>
      <c r="G235" s="24" t="n">
        <f aca="false">(F235/F234-1)*100</f>
        <v>1.08916249054436</v>
      </c>
      <c r="H235" s="24" t="n">
        <f aca="false">(F235/F223-1)*100</f>
        <v>2.63608718708932</v>
      </c>
      <c r="I235" s="24" t="n">
        <f aca="false">(C235/C234-1)*100</f>
        <v>4.15275201304508</v>
      </c>
      <c r="J235" s="24" t="n">
        <f aca="false">(D235/D234-1)*100</f>
        <v>2.00960439108551</v>
      </c>
      <c r="K235" s="24" t="n">
        <f aca="false">(E235/E234-1)*100</f>
        <v>0.556939853785909</v>
      </c>
    </row>
    <row r="236" customFormat="false" ht="15" hidden="false" customHeight="false" outlineLevel="0" collapsed="false">
      <c r="A236" s="20" t="n">
        <v>44985</v>
      </c>
      <c r="B236" s="25" t="s">
        <v>437</v>
      </c>
      <c r="C236" s="23" t="n">
        <f aca="false">'SA Data'!R236</f>
        <v>100.747998994416</v>
      </c>
      <c r="D236" s="23" t="n">
        <f aca="false">'SA Data'!S236</f>
        <v>131.258596867813</v>
      </c>
      <c r="E236" s="23" t="n">
        <f aca="false">'SA Data'!T236</f>
        <v>162.116198330979</v>
      </c>
      <c r="F236" s="22" t="n">
        <f aca="false">C236*'Weights &amp; Assumptions'!$B$25/'Weights &amp; Assumptions'!$B$28+D236*'Weights &amp; Assumptions'!$B$26/'Weights &amp; Assumptions'!$B$28+E236*'Weights &amp; Assumptions'!$B$27/'Weights &amp; Assumptions'!$B$28</f>
        <v>148.761780081396</v>
      </c>
      <c r="G236" s="24" t="n">
        <f aca="false">(F236/F235-1)*100</f>
        <v>-0.49924723864615</v>
      </c>
      <c r="H236" s="24" t="n">
        <f aca="false">(F236/F224-1)*100</f>
        <v>0.128322321216223</v>
      </c>
      <c r="I236" s="24" t="n">
        <f aca="false">(C236/C235-1)*100</f>
        <v>4.17246015494082</v>
      </c>
      <c r="J236" s="24" t="n">
        <f aca="false">(D236/D235-1)*100</f>
        <v>-1.96329665245203</v>
      </c>
      <c r="K236" s="24" t="n">
        <f aca="false">(E236/E235-1)*100</f>
        <v>-0.364860086886043</v>
      </c>
    </row>
    <row r="237" customFormat="false" ht="15" hidden="false" customHeight="false" outlineLevel="0" collapsed="false">
      <c r="A237" s="20" t="n">
        <v>45016</v>
      </c>
      <c r="B237" s="25" t="s">
        <v>437</v>
      </c>
      <c r="C237" s="23" t="n">
        <f aca="false">'SA Data'!R237</f>
        <v>94.9852467745967</v>
      </c>
      <c r="D237" s="23" t="n">
        <f aca="false">'SA Data'!S237</f>
        <v>137.543076774367</v>
      </c>
      <c r="E237" s="23" t="n">
        <f aca="false">'SA Data'!T237</f>
        <v>164.740925675764</v>
      </c>
      <c r="F237" s="22" t="n">
        <f aca="false">C237*'Weights &amp; Assumptions'!$B$25/'Weights &amp; Assumptions'!$B$28+D237*'Weights &amp; Assumptions'!$B$26/'Weights &amp; Assumptions'!$B$28+E237*'Weights &amp; Assumptions'!$B$27/'Weights &amp; Assumptions'!$B$28</f>
        <v>151.655983046001</v>
      </c>
      <c r="G237" s="24" t="n">
        <f aca="false">(F237/F236-1)*100</f>
        <v>1.94552859143045</v>
      </c>
      <c r="H237" s="24" t="n">
        <f aca="false">(F237/F225-1)*100</f>
        <v>1.57658332406971</v>
      </c>
      <c r="I237" s="24" t="n">
        <f aca="false">(C237/C236-1)*100</f>
        <v>-5.71996692474145</v>
      </c>
      <c r="J237" s="24" t="n">
        <f aca="false">(D237/D236-1)*100</f>
        <v>4.78786156222766</v>
      </c>
      <c r="K237" s="24" t="n">
        <f aca="false">(E237/E236-1)*100</f>
        <v>1.6190407694034</v>
      </c>
    </row>
    <row r="238" customFormat="false" ht="15" hidden="false" customHeight="false" outlineLevel="0" collapsed="false">
      <c r="A238" s="20" t="n">
        <v>45046</v>
      </c>
      <c r="B238" s="25" t="s">
        <v>437</v>
      </c>
      <c r="C238" s="23" t="n">
        <f aca="false">'SA Data'!R238</f>
        <v>74.5269067800164</v>
      </c>
      <c r="D238" s="23" t="n">
        <f aca="false">'SA Data'!S238</f>
        <v>134.457370250376</v>
      </c>
      <c r="E238" s="23" t="n">
        <f aca="false">'SA Data'!T238</f>
        <v>162.070843393855</v>
      </c>
      <c r="F238" s="22" t="n">
        <f aca="false">C238*'Weights &amp; Assumptions'!$B$25/'Weights &amp; Assumptions'!$B$28+D238*'Weights &amp; Assumptions'!$B$26/'Weights &amp; Assumptions'!$B$28+E238*'Weights &amp; Assumptions'!$B$27/'Weights &amp; Assumptions'!$B$28</f>
        <v>147.382929392478</v>
      </c>
      <c r="G238" s="24" t="n">
        <f aca="false">(F238/F237-1)*100</f>
        <v>-2.8175964889081</v>
      </c>
      <c r="H238" s="24" t="n">
        <f aca="false">(F238/F226-1)*100</f>
        <v>-2.51289538058163</v>
      </c>
      <c r="I238" s="24" t="n">
        <f aca="false">(C238/C237-1)*100</f>
        <v>-21.5384395885486</v>
      </c>
      <c r="J238" s="24" t="n">
        <f aca="false">(D238/D237-1)*100</f>
        <v>-2.24344735944286</v>
      </c>
      <c r="K238" s="24" t="n">
        <f aca="false">(E238/E237-1)*100</f>
        <v>-1.6207765441141</v>
      </c>
    </row>
    <row r="239" customFormat="false" ht="15" hidden="false" customHeight="false" outlineLevel="0" collapsed="false">
      <c r="A239" s="20" t="n">
        <v>45077</v>
      </c>
      <c r="B239" s="25" t="s">
        <v>437</v>
      </c>
      <c r="C239" s="23" t="n">
        <f aca="false">'SA Data'!R239</f>
        <v>65.5896205390877</v>
      </c>
      <c r="D239" s="23" t="n">
        <f aca="false">'SA Data'!S239</f>
        <v>134.787125886026</v>
      </c>
      <c r="E239" s="23" t="n">
        <f aca="false">'SA Data'!T239</f>
        <v>163.728220867253</v>
      </c>
      <c r="F239" s="22" t="n">
        <f aca="false">C239*'Weights &amp; Assumptions'!$B$25/'Weights &amp; Assumptions'!$B$28+D239*'Weights &amp; Assumptions'!$B$26/'Weights &amp; Assumptions'!$B$28+E239*'Weights &amp; Assumptions'!$B$27/'Weights &amp; Assumptions'!$B$28</f>
        <v>147.798367925607</v>
      </c>
      <c r="G239" s="24" t="n">
        <f aca="false">(F239/F238-1)*100</f>
        <v>0.281876968277084</v>
      </c>
      <c r="H239" s="24" t="n">
        <f aca="false">(F239/F227-1)*100</f>
        <v>-3.20196661822524</v>
      </c>
      <c r="I239" s="24" t="n">
        <f aca="false">(C239/C238-1)*100</f>
        <v>-11.9920262722149</v>
      </c>
      <c r="J239" s="24" t="n">
        <f aca="false">(D239/D238-1)*100</f>
        <v>0.245249208009724</v>
      </c>
      <c r="K239" s="24" t="n">
        <f aca="false">(E239/E238-1)*100</f>
        <v>1.02262531538124</v>
      </c>
    </row>
    <row r="240" customFormat="false" ht="15" hidden="false" customHeight="false" outlineLevel="0" collapsed="false">
      <c r="A240" s="20" t="n">
        <v>45107</v>
      </c>
      <c r="B240" s="25" t="s">
        <v>437</v>
      </c>
      <c r="C240" s="23" t="n">
        <f aca="false">'SA Data'!R240</f>
        <v>71.147395991892</v>
      </c>
      <c r="D240" s="23" t="n">
        <f aca="false">'SA Data'!S240</f>
        <v>134.374482624486</v>
      </c>
      <c r="E240" s="23" t="n">
        <f aca="false">'SA Data'!T240</f>
        <v>165.478879725741</v>
      </c>
      <c r="F240" s="22" t="n">
        <f aca="false">C240*'Weights &amp; Assumptions'!$B$25/'Weights &amp; Assumptions'!$B$28+D240*'Weights &amp; Assumptions'!$B$26/'Weights &amp; Assumptions'!$B$28+E240*'Weights &amp; Assumptions'!$B$27/'Weights &amp; Assumptions'!$B$28</f>
        <v>149.293187212001</v>
      </c>
      <c r="G240" s="24" t="n">
        <f aca="false">(F240/F239-1)*100</f>
        <v>1.01139092898934</v>
      </c>
      <c r="H240" s="24" t="n">
        <f aca="false">(F240/F228-1)*100</f>
        <v>-2.81283945515266</v>
      </c>
      <c r="I240" s="24" t="n">
        <f aca="false">(C240/C239-1)*100</f>
        <v>8.4735593941913</v>
      </c>
      <c r="J240" s="24" t="n">
        <f aca="false">(D240/D239-1)*100</f>
        <v>-0.306144417597098</v>
      </c>
      <c r="K240" s="24" t="n">
        <f aca="false">(E240/E239-1)*100</f>
        <v>1.06924685873684</v>
      </c>
    </row>
    <row r="241" customFormat="false" ht="15" hidden="false" customHeight="false" outlineLevel="0" collapsed="false">
      <c r="A241" s="20" t="n">
        <v>45138</v>
      </c>
      <c r="B241" s="25" t="s">
        <v>437</v>
      </c>
      <c r="C241" s="23" t="n">
        <f aca="false">'SA Data'!R241</f>
        <v>93.1321071412454</v>
      </c>
      <c r="D241" s="23" t="n">
        <f aca="false">'SA Data'!S241</f>
        <v>129.678592780516</v>
      </c>
      <c r="E241" s="23" t="n">
        <f aca="false">'SA Data'!T241</f>
        <v>162.860870554867</v>
      </c>
      <c r="F241" s="22" t="n">
        <f aca="false">C241*'Weights &amp; Assumptions'!$B$25/'Weights &amp; Assumptions'!$B$28+D241*'Weights &amp; Assumptions'!$B$26/'Weights &amp; Assumptions'!$B$28+E241*'Weights &amp; Assumptions'!$B$27/'Weights &amp; Assumptions'!$B$28</f>
        <v>148.186821982598</v>
      </c>
      <c r="G241" s="24" t="n">
        <f aca="false">(F241/F240-1)*100</f>
        <v>-0.74106879896142</v>
      </c>
      <c r="H241" s="24" t="n">
        <f aca="false">(F241/F229-1)*100</f>
        <v>-1.07291381536592</v>
      </c>
      <c r="I241" s="24" t="n">
        <f aca="false">(C241/C240-1)*100</f>
        <v>30.9002330202763</v>
      </c>
      <c r="J241" s="24" t="n">
        <f aca="false">(D241/D240-1)*100</f>
        <v>-3.49462915298644</v>
      </c>
      <c r="K241" s="24" t="n">
        <f aca="false">(E241/E240-1)*100</f>
        <v>-1.58208055022705</v>
      </c>
    </row>
    <row r="242" customFormat="false" ht="15" hidden="false" customHeight="false" outlineLevel="0" collapsed="false">
      <c r="A242" s="20" t="n">
        <v>45169</v>
      </c>
      <c r="B242" s="25" t="s">
        <v>437</v>
      </c>
      <c r="C242" s="23" t="n">
        <f aca="false">'SA Data'!R242</f>
        <v>104.263698923864</v>
      </c>
      <c r="D242" s="23" t="n">
        <f aca="false">'SA Data'!S242</f>
        <v>131.141921838341</v>
      </c>
      <c r="E242" s="23" t="n">
        <f aca="false">'SA Data'!T242</f>
        <v>164.18236060729</v>
      </c>
      <c r="F242" s="22" t="n">
        <f aca="false">C242*'Weights &amp; Assumptions'!$B$25/'Weights &amp; Assumptions'!$B$28+D242*'Weights &amp; Assumptions'!$B$26/'Weights &amp; Assumptions'!$B$28+E242*'Weights &amp; Assumptions'!$B$27/'Weights &amp; Assumptions'!$B$28</f>
        <v>150.369105203338</v>
      </c>
      <c r="G242" s="24" t="n">
        <f aca="false">(F242/F241-1)*100</f>
        <v>1.47265673933983</v>
      </c>
      <c r="H242" s="24" t="n">
        <f aca="false">(F242/F230-1)*100</f>
        <v>0.239091640745204</v>
      </c>
      <c r="I242" s="24" t="n">
        <f aca="false">(C242/C241-1)*100</f>
        <v>11.9524749566075</v>
      </c>
      <c r="J242" s="24" t="n">
        <f aca="false">(D242/D241-1)*100</f>
        <v>1.12842761973997</v>
      </c>
      <c r="K242" s="24" t="n">
        <f aca="false">(E242/E241-1)*100</f>
        <v>0.811422687303876</v>
      </c>
    </row>
    <row r="243" customFormat="false" ht="15" hidden="false" customHeight="false" outlineLevel="0" collapsed="false">
      <c r="A243" s="20" t="n">
        <v>45199</v>
      </c>
      <c r="B243" s="25" t="s">
        <v>437</v>
      </c>
      <c r="C243" s="23" t="n">
        <f aca="false">'SA Data'!R243</f>
        <v>103.623917600055</v>
      </c>
      <c r="D243" s="23" t="n">
        <f aca="false">'SA Data'!S243</f>
        <v>129.407026695402</v>
      </c>
      <c r="E243" s="23" t="n">
        <f aca="false">'SA Data'!T243</f>
        <v>163.341421067251</v>
      </c>
      <c r="F243" s="22" t="n">
        <f aca="false">C243*'Weights &amp; Assumptions'!$B$25/'Weights &amp; Assumptions'!$B$28+D243*'Weights &amp; Assumptions'!$B$26/'Weights &amp; Assumptions'!$B$28+E243*'Weights &amp; Assumptions'!$B$27/'Weights &amp; Assumptions'!$B$28</f>
        <v>149.30732459447</v>
      </c>
      <c r="G243" s="24" t="n">
        <f aca="false">(F243/F242-1)*100</f>
        <v>-0.706116198159679</v>
      </c>
      <c r="H243" s="24" t="n">
        <f aca="false">(F243/F231-1)*100</f>
        <v>0.202346186176205</v>
      </c>
      <c r="I243" s="24" t="n">
        <f aca="false">(C243/C242-1)*100</f>
        <v>-0.613618479309819</v>
      </c>
      <c r="J243" s="24" t="n">
        <f aca="false">(D243/D242-1)*100</f>
        <v>-1.32291422805109</v>
      </c>
      <c r="K243" s="24" t="n">
        <f aca="false">(E243/E242-1)*100</f>
        <v>-0.512198470607861</v>
      </c>
    </row>
    <row r="244" customFormat="false" ht="15" hidden="false" customHeight="false" outlineLevel="0" collapsed="false">
      <c r="A244" s="20" t="n">
        <v>45230</v>
      </c>
      <c r="B244" s="25" t="s">
        <v>437</v>
      </c>
      <c r="C244" s="23" t="n">
        <f aca="false">'SA Data'!R244</f>
        <v>103.207750499712</v>
      </c>
      <c r="D244" s="23" t="n">
        <f aca="false">'SA Data'!S244</f>
        <v>128.189882326302</v>
      </c>
      <c r="E244" s="23" t="n">
        <f aca="false">'SA Data'!T244</f>
        <v>162.751726167585</v>
      </c>
      <c r="F244" s="22" t="n">
        <f aca="false">C244*'Weights &amp; Assumptions'!$B$25/'Weights &amp; Assumptions'!$B$28+D244*'Weights &amp; Assumptions'!$B$26/'Weights &amp; Assumptions'!$B$28+E244*'Weights &amp; Assumptions'!$B$27/'Weights &amp; Assumptions'!$B$28</f>
        <v>148.565339047262</v>
      </c>
      <c r="G244" s="24" t="n">
        <f aca="false">(F244/F243-1)*100</f>
        <v>-0.496951873742535</v>
      </c>
      <c r="H244" s="24" t="n">
        <f aca="false">(F244/F232-1)*100</f>
        <v>0.717661783484913</v>
      </c>
      <c r="I244" s="24" t="n">
        <f aca="false">(C244/C243-1)*100</f>
        <v>-0.401612976986043</v>
      </c>
      <c r="J244" s="24" t="n">
        <f aca="false">(D244/D243-1)*100</f>
        <v>-0.940555084358075</v>
      </c>
      <c r="K244" s="24" t="n">
        <f aca="false">(E244/E243-1)*100</f>
        <v>-0.361019817149577</v>
      </c>
    </row>
    <row r="245" customFormat="false" ht="15" hidden="false" customHeight="false" outlineLevel="0" collapsed="false">
      <c r="A245" s="20" t="n">
        <v>45260</v>
      </c>
      <c r="B245" s="25" t="s">
        <v>437</v>
      </c>
      <c r="C245" s="23" t="n">
        <f aca="false">'SA Data'!R245</f>
        <v>103.837548329832</v>
      </c>
      <c r="D245" s="23" t="n">
        <f aca="false">'SA Data'!S245</f>
        <v>127.167544237187</v>
      </c>
      <c r="E245" s="23" t="n">
        <f aca="false">'SA Data'!T245</f>
        <v>161.891708046703</v>
      </c>
      <c r="F245" s="22" t="n">
        <f aca="false">C245*'Weights &amp; Assumptions'!$B$25/'Weights &amp; Assumptions'!$B$28+D245*'Weights &amp; Assumptions'!$B$26/'Weights &amp; Assumptions'!$B$28+E245*'Weights &amp; Assumptions'!$B$27/'Weights &amp; Assumptions'!$B$28</f>
        <v>147.787154009507</v>
      </c>
      <c r="G245" s="24" t="n">
        <f aca="false">(F245/F244-1)*100</f>
        <v>-0.523799859877094</v>
      </c>
      <c r="H245" s="24" t="n">
        <f aca="false">(F245/F233-1)*100</f>
        <v>-0.132941939223463</v>
      </c>
      <c r="I245" s="24" t="n">
        <f aca="false">(C245/C244-1)*100</f>
        <v>0.610223386394027</v>
      </c>
      <c r="J245" s="24" t="n">
        <f aca="false">(D245/D244-1)*100</f>
        <v>-0.79751854870509</v>
      </c>
      <c r="K245" s="24" t="n">
        <f aca="false">(E245/E244-1)*100</f>
        <v>-0.528423348331175</v>
      </c>
    </row>
    <row r="246" customFormat="false" ht="15" hidden="false" customHeight="false" outlineLevel="0" collapsed="false">
      <c r="A246" s="20" t="n">
        <v>45291</v>
      </c>
      <c r="B246" s="25" t="s">
        <v>437</v>
      </c>
      <c r="C246" s="23" t="n">
        <f aca="false">'SA Data'!R246</f>
        <v>101.558595436614</v>
      </c>
      <c r="D246" s="23" t="n">
        <f aca="false">'SA Data'!S246</f>
        <v>119.612068043683</v>
      </c>
      <c r="E246" s="23" t="n">
        <f aca="false">'SA Data'!T246</f>
        <v>158.365066673165</v>
      </c>
      <c r="F246" s="22" t="n">
        <f aca="false">C246*'Weights &amp; Assumptions'!$B$25/'Weights &amp; Assumptions'!$B$28+D246*'Weights &amp; Assumptions'!$B$26/'Weights &amp; Assumptions'!$B$28+E246*'Weights &amp; Assumptions'!$B$27/'Weights &amp; Assumptions'!$B$28</f>
        <v>143.293857182812</v>
      </c>
      <c r="G246" s="24" t="n">
        <f aca="false">(F246/F245-1)*100</f>
        <v>-3.04038389318078</v>
      </c>
      <c r="H246" s="24" t="n">
        <f aca="false">(F246/F234-1)*100</f>
        <v>-3.11262902598125</v>
      </c>
      <c r="I246" s="24" t="n">
        <f aca="false">(C246/C245-1)*100</f>
        <v>-2.19472910317439</v>
      </c>
      <c r="J246" s="24" t="n">
        <f aca="false">(D246/D245-1)*100</f>
        <v>-5.94135574357846</v>
      </c>
      <c r="K246" s="24" t="n">
        <f aca="false">(E246/E245-1)*100</f>
        <v>-2.17839530886935</v>
      </c>
    </row>
    <row r="247" customFormat="false" ht="15" hidden="false" customHeight="false" outlineLevel="0" collapsed="false">
      <c r="A247" s="20" t="n">
        <v>45322</v>
      </c>
      <c r="B247" s="25" t="s">
        <v>437</v>
      </c>
      <c r="C247" s="23" t="n">
        <f aca="false">'SA Data'!R247</f>
        <v>106.519074359762</v>
      </c>
      <c r="D247" s="23" t="n">
        <f aca="false">'SA Data'!S247</f>
        <v>118.688928756397</v>
      </c>
      <c r="E247" s="23" t="n">
        <f aca="false">'SA Data'!T247</f>
        <v>158.560332006462</v>
      </c>
      <c r="F247" s="22" t="n">
        <f aca="false">C247*'Weights &amp; Assumptions'!$B$25/'Weights &amp; Assumptions'!$B$28+D247*'Weights &amp; Assumptions'!$B$26/'Weights &amp; Assumptions'!$B$28+E247*'Weights &amp; Assumptions'!$B$27/'Weights &amp; Assumptions'!$B$28</f>
        <v>143.591524576811</v>
      </c>
      <c r="G247" s="24" t="n">
        <f aca="false">(F247/F246-1)*100</f>
        <v>0.207732138593419</v>
      </c>
      <c r="H247" s="24" t="n">
        <f aca="false">(F247/F235-1)*100</f>
        <v>-3.95742254680221</v>
      </c>
      <c r="I247" s="24" t="n">
        <f aca="false">(C247/C246-1)*100</f>
        <v>4.88435164135743</v>
      </c>
      <c r="J247" s="24" t="n">
        <f aca="false">(D247/D246-1)*100</f>
        <v>-0.771777716399347</v>
      </c>
      <c r="K247" s="24" t="n">
        <f aca="false">(E247/E246-1)*100</f>
        <v>0.123300761587752</v>
      </c>
    </row>
    <row r="248" customFormat="false" ht="15" hidden="false" customHeight="false" outlineLevel="0" collapsed="false">
      <c r="A248" s="20" t="n">
        <v>45351</v>
      </c>
      <c r="B248" s="25" t="s">
        <v>437</v>
      </c>
      <c r="C248" s="23" t="n">
        <f aca="false">'SA Data'!R248</f>
        <v>105.887740706318</v>
      </c>
      <c r="D248" s="23" t="n">
        <f aca="false">'SA Data'!S248</f>
        <v>119.230791634206</v>
      </c>
      <c r="E248" s="23" t="n">
        <f aca="false">'SA Data'!T248</f>
        <v>159.359689062926</v>
      </c>
      <c r="F248" s="22" t="n">
        <f aca="false">C248*'Weights &amp; Assumptions'!$B$25/'Weights &amp; Assumptions'!$B$28+D248*'Weights &amp; Assumptions'!$B$26/'Weights &amp; Assumptions'!$B$28+E248*'Weights &amp; Assumptions'!$B$27/'Weights &amp; Assumptions'!$B$28</f>
        <v>144.202373292039</v>
      </c>
      <c r="G248" s="24" t="n">
        <f aca="false">(F248/F247-1)*100</f>
        <v>0.425407221651097</v>
      </c>
      <c r="H248" s="24" t="n">
        <f aca="false">(F248/F236-1)*100</f>
        <v>-3.06490469989166</v>
      </c>
      <c r="I248" s="24" t="n">
        <f aca="false">(C248/C247-1)*100</f>
        <v>-0.59269539961615</v>
      </c>
      <c r="J248" s="24" t="n">
        <f aca="false">(D248/D247-1)*100</f>
        <v>0.456540372793346</v>
      </c>
      <c r="K248" s="24" t="n">
        <f aca="false">(E248/E247-1)*100</f>
        <v>0.504134323098371</v>
      </c>
    </row>
    <row r="249" customFormat="false" ht="15" hidden="false" customHeight="false" outlineLevel="0" collapsed="false">
      <c r="A249" s="20" t="n">
        <v>45382</v>
      </c>
      <c r="B249" s="25" t="s">
        <v>437</v>
      </c>
      <c r="C249" s="23" t="n">
        <f aca="false">'SA Data'!R249</f>
        <v>106.286907443189</v>
      </c>
      <c r="D249" s="23" t="n">
        <f aca="false">'SA Data'!S249</f>
        <v>112.689304604068</v>
      </c>
      <c r="E249" s="23" t="n">
        <f aca="false">'SA Data'!T249</f>
        <v>156.883408518722</v>
      </c>
      <c r="F249" s="22" t="n">
        <f aca="false">C249*'Weights &amp; Assumptions'!$B$25/'Weights &amp; Assumptions'!$B$28+D249*'Weights &amp; Assumptions'!$B$26/'Weights &amp; Assumptions'!$B$28+E249*'Weights &amp; Assumptions'!$B$27/'Weights &amp; Assumptions'!$B$28</f>
        <v>140.886335751352</v>
      </c>
      <c r="G249" s="24" t="n">
        <f aca="false">(F249/F248-1)*100</f>
        <v>-2.29957209786775</v>
      </c>
      <c r="H249" s="24" t="n">
        <f aca="false">(F249/F237-1)*100</f>
        <v>-7.10136657871375</v>
      </c>
      <c r="I249" s="24" t="n">
        <f aca="false">(C249/C248-1)*100</f>
        <v>0.376971625051703</v>
      </c>
      <c r="J249" s="24" t="n">
        <f aca="false">(D249/D248-1)*100</f>
        <v>-5.48640744599506</v>
      </c>
      <c r="K249" s="24" t="n">
        <f aca="false">(E249/E248-1)*100</f>
        <v>-1.55389393563997</v>
      </c>
    </row>
    <row r="250" customFormat="false" ht="15" hidden="false" customHeight="false" outlineLevel="0" collapsed="false">
      <c r="A250" s="20" t="n">
        <v>45412</v>
      </c>
      <c r="B250" s="25" t="s">
        <v>437</v>
      </c>
      <c r="C250" s="23" t="n">
        <f aca="false">'SA Data'!R250</f>
        <v>118.786950672167</v>
      </c>
      <c r="D250" s="23" t="n">
        <f aca="false">'SA Data'!S250</f>
        <v>113.504300593803</v>
      </c>
      <c r="E250" s="23" t="n">
        <f aca="false">'SA Data'!T250</f>
        <v>155.775506053364</v>
      </c>
      <c r="F250" s="22" t="n">
        <f aca="false">C250*'Weights &amp; Assumptions'!$B$25/'Weights &amp; Assumptions'!$B$28+D250*'Weights &amp; Assumptions'!$B$26/'Weights &amp; Assumptions'!$B$28+E250*'Weights &amp; Assumptions'!$B$27/'Weights &amp; Assumptions'!$B$28</f>
        <v>141.431483542976</v>
      </c>
      <c r="G250" s="24" t="n">
        <f aca="false">(F250/F249-1)*100</f>
        <v>0.386941564429488</v>
      </c>
      <c r="H250" s="24" t="n">
        <f aca="false">(F250/F238-1)*100</f>
        <v>-4.03808356506001</v>
      </c>
      <c r="I250" s="24" t="n">
        <f aca="false">(C250/C249-1)*100</f>
        <v>11.7606613360714</v>
      </c>
      <c r="J250" s="24" t="n">
        <f aca="false">(D250/D249-1)*100</f>
        <v>0.723223905408466</v>
      </c>
      <c r="K250" s="24" t="n">
        <f aca="false">(E250/E249-1)*100</f>
        <v>-0.706194795114623</v>
      </c>
    </row>
    <row r="251" customFormat="false" ht="15" hidden="false" customHeight="false" outlineLevel="0" collapsed="false">
      <c r="A251" s="20" t="n">
        <v>45443</v>
      </c>
      <c r="B251" s="25" t="s">
        <v>437</v>
      </c>
      <c r="C251" s="23" t="n">
        <f aca="false">'SA Data'!R251</f>
        <v>122.299961340833</v>
      </c>
      <c r="D251" s="23" t="n">
        <f aca="false">'SA Data'!S251</f>
        <v>115.701902710153</v>
      </c>
      <c r="E251" s="23" t="n">
        <f aca="false">'SA Data'!T251</f>
        <v>158.67527703982</v>
      </c>
      <c r="F251" s="22" t="n">
        <f aca="false">C251*'Weights &amp; Assumptions'!$B$25/'Weights &amp; Assumptions'!$B$28+D251*'Weights &amp; Assumptions'!$B$26/'Weights &amp; Assumptions'!$B$28+E251*'Weights &amp; Assumptions'!$B$27/'Weights &amp; Assumptions'!$B$28</f>
        <v>144.195986880944</v>
      </c>
      <c r="G251" s="24" t="n">
        <f aca="false">(F251/F250-1)*100</f>
        <v>1.95465908206178</v>
      </c>
      <c r="H251" s="24" t="n">
        <f aca="false">(F251/F239-1)*100</f>
        <v>-2.43736185671337</v>
      </c>
      <c r="I251" s="24" t="n">
        <f aca="false">(C251/C250-1)*100</f>
        <v>2.95740453710389</v>
      </c>
      <c r="J251" s="24" t="n">
        <f aca="false">(D251/D250-1)*100</f>
        <v>1.9361399566826</v>
      </c>
      <c r="K251" s="24" t="n">
        <f aca="false">(E251/E250-1)*100</f>
        <v>1.86150638179448</v>
      </c>
    </row>
    <row r="252" customFormat="false" ht="15" hidden="false" customHeight="false" outlineLevel="0" collapsed="false">
      <c r="A252" s="20" t="n">
        <v>45473</v>
      </c>
      <c r="B252" s="25" t="s">
        <v>437</v>
      </c>
      <c r="C252" s="23" t="n">
        <f aca="false">'SA Data'!R252</f>
        <v>120.748137750883</v>
      </c>
      <c r="D252" s="23" t="n">
        <f aca="false">'SA Data'!S252</f>
        <v>111.933364005965</v>
      </c>
      <c r="E252" s="23" t="n">
        <f aca="false">'SA Data'!T252</f>
        <v>157.373690769582</v>
      </c>
      <c r="F252" s="22" t="n">
        <f aca="false">C252*'Weights &amp; Assumptions'!$B$25/'Weights &amp; Assumptions'!$B$28+D252*'Weights &amp; Assumptions'!$B$26/'Weights &amp; Assumptions'!$B$28+E252*'Weights &amp; Assumptions'!$B$27/'Weights &amp; Assumptions'!$B$28</f>
        <v>142.217399746015</v>
      </c>
      <c r="G252" s="24" t="n">
        <f aca="false">(F252/F251-1)*100</f>
        <v>-1.37215131830429</v>
      </c>
      <c r="H252" s="24" t="n">
        <f aca="false">(F252/F240-1)*100</f>
        <v>-4.73952468838276</v>
      </c>
      <c r="I252" s="24" t="n">
        <f aca="false">(C252/C251-1)*100</f>
        <v>-1.2688667869853</v>
      </c>
      <c r="J252" s="24" t="n">
        <f aca="false">(D252/D251-1)*100</f>
        <v>-3.25711039828667</v>
      </c>
      <c r="K252" s="24" t="n">
        <f aca="false">(E252/E251-1)*100</f>
        <v>-0.820282966899588</v>
      </c>
    </row>
    <row r="253" customFormat="false" ht="15" hidden="false" customHeight="false" outlineLevel="0" collapsed="false">
      <c r="A253" s="20" t="n">
        <v>45504</v>
      </c>
      <c r="B253" s="25" t="s">
        <v>437</v>
      </c>
      <c r="C253" s="23" t="n">
        <f aca="false">'SA Data'!R253</f>
        <v>116.314844820837</v>
      </c>
      <c r="D253" s="23" t="n">
        <f aca="false">'SA Data'!S253</f>
        <v>120.394737227346</v>
      </c>
      <c r="E253" s="23" t="n">
        <f aca="false">'SA Data'!T253</f>
        <v>161.168885099421</v>
      </c>
      <c r="F253" s="22" t="n">
        <f aca="false">C253*'Weights &amp; Assumptions'!$B$25/'Weights &amp; Assumptions'!$B$28+D253*'Weights &amp; Assumptions'!$B$26/'Weights &amp; Assumptions'!$B$28+E253*'Weights &amp; Assumptions'!$B$27/'Weights &amp; Assumptions'!$B$28</f>
        <v>146.56303562386</v>
      </c>
      <c r="G253" s="24" t="n">
        <f aca="false">(F253/F252-1)*100</f>
        <v>3.05562883698216</v>
      </c>
      <c r="H253" s="24" t="n">
        <f aca="false">(F253/F241-1)*100</f>
        <v>-1.09576974322883</v>
      </c>
      <c r="I253" s="24" t="n">
        <f aca="false">(C253/C252-1)*100</f>
        <v>-3.67152074775017</v>
      </c>
      <c r="J253" s="24" t="n">
        <f aca="false">(D253/D252-1)*100</f>
        <v>7.55929502925485</v>
      </c>
      <c r="K253" s="24" t="n">
        <f aca="false">(E253/E252-1)*100</f>
        <v>2.41158119332405</v>
      </c>
    </row>
    <row r="254" customFormat="false" ht="15" hidden="false" customHeight="false" outlineLevel="0" collapsed="false">
      <c r="A254" s="20" t="n">
        <v>45535</v>
      </c>
      <c r="B254" s="25" t="s">
        <v>437</v>
      </c>
      <c r="C254" s="23" t="n">
        <f aca="false">'SA Data'!R254</f>
        <v>113.49955346767</v>
      </c>
      <c r="D254" s="23" t="n">
        <f aca="false">'SA Data'!S254</f>
        <v>121.191544413978</v>
      </c>
      <c r="E254" s="23" t="n">
        <f aca="false">'SA Data'!T254</f>
        <v>161.136441483372</v>
      </c>
      <c r="F254" s="22" t="n">
        <f aca="false">C254*'Weights &amp; Assumptions'!$B$25/'Weights &amp; Assumptions'!$B$28+D254*'Weights &amp; Assumptions'!$B$26/'Weights &amp; Assumptions'!$B$28+E254*'Weights &amp; Assumptions'!$B$27/'Weights &amp; Assumptions'!$B$28</f>
        <v>146.517621040708</v>
      </c>
      <c r="G254" s="24" t="n">
        <f aca="false">(F254/F253-1)*100</f>
        <v>-0.0309863827252177</v>
      </c>
      <c r="H254" s="24" t="n">
        <f aca="false">(F254/F242-1)*100</f>
        <v>-2.56135338267911</v>
      </c>
      <c r="I254" s="24" t="n">
        <f aca="false">(C254/C253-1)*100</f>
        <v>-2.42040588843457</v>
      </c>
      <c r="J254" s="24" t="n">
        <f aca="false">(D254/D253-1)*100</f>
        <v>0.661828917926277</v>
      </c>
      <c r="K254" s="24" t="n">
        <f aca="false">(E254/E253-1)*100</f>
        <v>-0.0201301982263091</v>
      </c>
    </row>
    <row r="255" customFormat="false" ht="15" hidden="false" customHeight="false" outlineLevel="0" collapsed="false">
      <c r="A255" s="20" t="n">
        <v>45565</v>
      </c>
      <c r="B255" s="25" t="s">
        <v>437</v>
      </c>
      <c r="C255" s="23" t="n">
        <f aca="false">'SA Data'!R255</f>
        <v>110.974575470388</v>
      </c>
      <c r="D255" s="23" t="n">
        <f aca="false">'SA Data'!S255</f>
        <v>120.005623028695</v>
      </c>
      <c r="E255" s="23" t="n">
        <f aca="false">'SA Data'!T255</f>
        <v>160.530078440946</v>
      </c>
      <c r="F255" s="22" t="n">
        <f aca="false">C255*'Weights &amp; Assumptions'!$B$25/'Weights &amp; Assumptions'!$B$28+D255*'Weights &amp; Assumptions'!$B$26/'Weights &amp; Assumptions'!$B$28+E255*'Weights &amp; Assumptions'!$B$27/'Weights &amp; Assumptions'!$B$28</f>
        <v>145.596169919716</v>
      </c>
      <c r="G255" s="24" t="n">
        <f aca="false">(F255/F254-1)*100</f>
        <v>-0.628901230068812</v>
      </c>
      <c r="H255" s="24" t="n">
        <f aca="false">(F255/F243-1)*100</f>
        <v>-2.48558112258314</v>
      </c>
      <c r="I255" s="24" t="n">
        <f aca="false">(C255/C254-1)*100</f>
        <v>-2.22465897013567</v>
      </c>
      <c r="J255" s="24" t="n">
        <f aca="false">(D255/D254-1)*100</f>
        <v>-0.97855126033557</v>
      </c>
      <c r="K255" s="24" t="n">
        <f aca="false">(E255/E254-1)*100</f>
        <v>-0.376304104051906</v>
      </c>
    </row>
    <row r="256" customFormat="false" ht="15" hidden="false" customHeight="false" outlineLevel="0" collapsed="false">
      <c r="A256" s="20" t="n">
        <v>45596</v>
      </c>
      <c r="B256" s="25" t="s">
        <v>437</v>
      </c>
      <c r="C256" s="23" t="n">
        <f aca="false">'SA Data'!R256</f>
        <v>110.488816930863</v>
      </c>
      <c r="D256" s="23" t="n">
        <f aca="false">'SA Data'!S256</f>
        <v>122.025467270255</v>
      </c>
      <c r="E256" s="23" t="n">
        <f aca="false">'SA Data'!T256</f>
        <v>162.659195633162</v>
      </c>
      <c r="F256" s="22" t="n">
        <f aca="false">C256*'Weights &amp; Assumptions'!$B$25/'Weights &amp; Assumptions'!$B$28+D256*'Weights &amp; Assumptions'!$B$26/'Weights &amp; Assumptions'!$B$28+E256*'Weights &amp; Assumptions'!$B$27/'Weights &amp; Assumptions'!$B$28</f>
        <v>147.476839275566</v>
      </c>
      <c r="G256" s="24" t="n">
        <f aca="false">(F256/F255-1)*100</f>
        <v>1.29170249250878</v>
      </c>
      <c r="H256" s="24" t="n">
        <f aca="false">(F256/F244-1)*100</f>
        <v>-0.73267410735044</v>
      </c>
      <c r="I256" s="24" t="n">
        <f aca="false">(C256/C255-1)*100</f>
        <v>-0.437720565693689</v>
      </c>
      <c r="J256" s="24" t="n">
        <f aca="false">(D256/D255-1)*100</f>
        <v>1.683124665814</v>
      </c>
      <c r="K256" s="24" t="n">
        <f aca="false">(E256/E255-1)*100</f>
        <v>1.32630421220363</v>
      </c>
    </row>
    <row r="257" customFormat="false" ht="15" hidden="false" customHeight="false" outlineLevel="0" collapsed="false">
      <c r="A257" s="20" t="n">
        <v>45626</v>
      </c>
      <c r="B257" s="25" t="s">
        <v>437</v>
      </c>
      <c r="C257" s="23" t="n">
        <f aca="false">'SA Data'!R257</f>
        <v>111.177833707827</v>
      </c>
      <c r="D257" s="23" t="n">
        <f aca="false">'SA Data'!S257</f>
        <v>123.762250168812</v>
      </c>
      <c r="E257" s="23" t="n">
        <f aca="false">'SA Data'!T257</f>
        <v>164.273865967506</v>
      </c>
      <c r="F257" s="22" t="n">
        <f aca="false">C257*'Weights &amp; Assumptions'!$B$25/'Weights &amp; Assumptions'!$B$28+D257*'Weights &amp; Assumptions'!$B$26/'Weights &amp; Assumptions'!$B$28+E257*'Weights &amp; Assumptions'!$B$27/'Weights &amp; Assumptions'!$B$28</f>
        <v>149.046318370025</v>
      </c>
      <c r="G257" s="24" t="n">
        <f aca="false">(F257/F256-1)*100</f>
        <v>1.06422072928118</v>
      </c>
      <c r="H257" s="24" t="n">
        <f aca="false">(F257/F245-1)*100</f>
        <v>0.852012050003381</v>
      </c>
      <c r="I257" s="24" t="n">
        <f aca="false">(C257/C256-1)*100</f>
        <v>0.623607706285534</v>
      </c>
      <c r="J257" s="24" t="n">
        <f aca="false">(D257/D256-1)*100</f>
        <v>1.42329542956046</v>
      </c>
      <c r="K257" s="24" t="n">
        <f aca="false">(E257/E256-1)*100</f>
        <v>0.992670797404838</v>
      </c>
    </row>
    <row r="258" customFormat="false" ht="15" hidden="false" customHeight="false" outlineLevel="0" collapsed="false">
      <c r="A258" s="20" t="n">
        <v>45657</v>
      </c>
      <c r="B258" s="25" t="s">
        <v>437</v>
      </c>
      <c r="C258" s="23" t="n">
        <f aca="false">'SA Data'!R258</f>
        <v>107.977928174775</v>
      </c>
      <c r="D258" s="23" t="n">
        <f aca="false">'SA Data'!S258</f>
        <v>124.164998293655</v>
      </c>
      <c r="E258" s="23" t="n">
        <f aca="false">'SA Data'!T258</f>
        <v>165.144323327622</v>
      </c>
      <c r="F258" s="22" t="n">
        <f aca="false">C258*'Weights &amp; Assumptions'!$B$25/'Weights &amp; Assumptions'!$B$28+D258*'Weights &amp; Assumptions'!$B$26/'Weights &amp; Assumptions'!$B$28+E258*'Weights &amp; Assumptions'!$B$27/'Weights &amp; Assumptions'!$B$28</f>
        <v>149.450896840373</v>
      </c>
      <c r="G258" s="24" t="n">
        <f aca="false">(F258/F257-1)*100</f>
        <v>0.271444792983067</v>
      </c>
      <c r="H258" s="24" t="n">
        <f aca="false">(F258/F246-1)*100</f>
        <v>4.29679246452746</v>
      </c>
      <c r="I258" s="24" t="n">
        <f aca="false">(C258/C257-1)*100</f>
        <v>-2.87818661898193</v>
      </c>
      <c r="J258" s="24" t="n">
        <f aca="false">(D258/D257-1)*100</f>
        <v>0.325420816358468</v>
      </c>
      <c r="K258" s="24" t="n">
        <f aca="false">(E258/E257-1)*100</f>
        <v>0.529881825687206</v>
      </c>
    </row>
    <row r="259" customFormat="false" ht="15" hidden="false" customHeight="false" outlineLevel="0" collapsed="false">
      <c r="A259" s="20" t="n">
        <v>45688</v>
      </c>
      <c r="B259" s="25" t="s">
        <v>437</v>
      </c>
      <c r="C259" s="23" t="n">
        <f aca="false">'SA Data'!R259</f>
        <v>109.268883215593</v>
      </c>
      <c r="D259" s="23" t="n">
        <f aca="false">'SA Data'!S259</f>
        <v>123.732430026818</v>
      </c>
      <c r="E259" s="23" t="n">
        <f aca="false">'SA Data'!T259</f>
        <v>166.125929081943</v>
      </c>
      <c r="F259" s="22" t="n">
        <f aca="false">C259*'Weights &amp; Assumptions'!$B$25/'Weights &amp; Assumptions'!$B$28+D259*'Weights &amp; Assumptions'!$B$26/'Weights &amp; Assumptions'!$B$28+E259*'Weights &amp; Assumptions'!$B$27/'Weights &amp; Assumptions'!$B$28</f>
        <v>150.08240368202</v>
      </c>
      <c r="G259" s="24" t="n">
        <f aca="false">(F259/F258-1)*100</f>
        <v>0.422551389786019</v>
      </c>
      <c r="H259" s="24" t="n">
        <f aca="false">(F259/F247-1)*100</f>
        <v>4.52037759494466</v>
      </c>
      <c r="I259" s="24" t="n">
        <f aca="false">(C259/C258-1)*100</f>
        <v>1.19557307927716</v>
      </c>
      <c r="J259" s="24" t="n">
        <f aca="false">(D259/D258-1)*100</f>
        <v>-0.348381808707365</v>
      </c>
      <c r="K259" s="24" t="n">
        <f aca="false">(E259/E258-1)*100</f>
        <v>0.594392670932487</v>
      </c>
    </row>
    <row r="260" customFormat="false" ht="15" hidden="false" customHeight="false" outlineLevel="0" collapsed="false">
      <c r="A260" s="20" t="n">
        <v>45716</v>
      </c>
      <c r="B260" s="25" t="s">
        <v>437</v>
      </c>
      <c r="C260" s="23" t="n">
        <f aca="false">'SA Data'!R260</f>
        <v>115.410751016827</v>
      </c>
      <c r="D260" s="23" t="n">
        <f aca="false">'SA Data'!S260</f>
        <v>125.299017680691</v>
      </c>
      <c r="E260" s="23" t="n">
        <f aca="false">'SA Data'!T260</f>
        <v>166.970389769608</v>
      </c>
      <c r="F260" s="22" t="n">
        <f aca="false">C260*'Weights &amp; Assumptions'!$B$25/'Weights &amp; Assumptions'!$B$28+D260*'Weights &amp; Assumptions'!$B$26/'Weights &amp; Assumptions'!$B$28+E260*'Weights &amp; Assumptions'!$B$27/'Weights &amp; Assumptions'!$B$28</f>
        <v>151.563347409555</v>
      </c>
      <c r="G260" s="24" t="n">
        <f aca="false">(F260/F259-1)*100</f>
        <v>0.986753737414992</v>
      </c>
      <c r="H260" s="24" t="n">
        <f aca="false">(F260/F248-1)*100</f>
        <v>5.10461371021131</v>
      </c>
      <c r="I260" s="24" t="n">
        <f aca="false">(C260/C259-1)*100</f>
        <v>5.62087542261707</v>
      </c>
      <c r="J260" s="24" t="n">
        <f aca="false">(D260/D259-1)*100</f>
        <v>1.26610917892194</v>
      </c>
      <c r="K260" s="24" t="n">
        <f aca="false">(E260/E259-1)*100</f>
        <v>0.508325637263218</v>
      </c>
    </row>
    <row r="261" customFormat="false" ht="15" hidden="false" customHeight="false" outlineLevel="0" collapsed="false">
      <c r="A261" s="20" t="n">
        <v>45747</v>
      </c>
      <c r="B261" s="25" t="s">
        <v>437</v>
      </c>
      <c r="C261" s="23" t="n">
        <f aca="false">'SA Data'!R261</f>
        <v>112.890368560009</v>
      </c>
      <c r="D261" s="23" t="n">
        <f aca="false">'SA Data'!S261</f>
        <v>118.784064755</v>
      </c>
      <c r="E261" s="23" t="n">
        <f aca="false">'SA Data'!T261</f>
        <v>164.419605632887</v>
      </c>
      <c r="F261" s="22" t="n">
        <f aca="false">C261*'Weights &amp; Assumptions'!$B$25/'Weights &amp; Assumptions'!$B$28+D261*'Weights &amp; Assumptions'!$B$26/'Weights &amp; Assumptions'!$B$28+E261*'Weights &amp; Assumptions'!$B$27/'Weights &amp; Assumptions'!$B$28</f>
        <v>147.960972271337</v>
      </c>
      <c r="G261" s="24" t="n">
        <f aca="false">(F261/F260-1)*100</f>
        <v>-2.37681154433981</v>
      </c>
      <c r="H261" s="24" t="n">
        <f aca="false">(F261/F249-1)*100</f>
        <v>5.02152070479716</v>
      </c>
      <c r="I261" s="24" t="n">
        <f aca="false">(C261/C260-1)*100</f>
        <v>-2.18383680429389</v>
      </c>
      <c r="J261" s="24" t="n">
        <f aca="false">(D261/D260-1)*100</f>
        <v>-5.19952434287453</v>
      </c>
      <c r="K261" s="24" t="n">
        <f aca="false">(E261/E260-1)*100</f>
        <v>-1.5276865198914</v>
      </c>
    </row>
    <row r="262" customFormat="false" ht="15" hidden="false" customHeight="false" outlineLevel="0" collapsed="false">
      <c r="A262" s="20" t="n">
        <v>45777</v>
      </c>
      <c r="B262" s="25" t="s">
        <v>437</v>
      </c>
      <c r="C262" s="23" t="n">
        <f aca="false">'SA Data'!R262</f>
        <v>121.493948388102</v>
      </c>
      <c r="D262" s="23" t="n">
        <f aca="false">'SA Data'!S262</f>
        <v>123.48012118393</v>
      </c>
      <c r="E262" s="23" t="n">
        <f aca="false">'SA Data'!T262</f>
        <v>166.262378240631</v>
      </c>
      <c r="F262" s="22" t="n">
        <f aca="false">C262*'Weights &amp; Assumptions'!$B$25/'Weights &amp; Assumptions'!$B$28+D262*'Weights &amp; Assumptions'!$B$26/'Weights &amp; Assumptions'!$B$28+E262*'Weights &amp; Assumptions'!$B$27/'Weights &amp; Assumptions'!$B$28</f>
        <v>151.129720240886</v>
      </c>
      <c r="G262" s="24" t="n">
        <f aca="false">(F262/F261-1)*100</f>
        <v>2.14161066996699</v>
      </c>
      <c r="H262" s="24" t="n">
        <f aca="false">(F262/F250-1)*100</f>
        <v>6.85719788477184</v>
      </c>
      <c r="I262" s="24" t="n">
        <f aca="false">(C262/C261-1)*100</f>
        <v>7.62118145049675</v>
      </c>
      <c r="J262" s="24" t="n">
        <f aca="false">(D262/D261-1)*100</f>
        <v>3.95343974683438</v>
      </c>
      <c r="K262" s="24" t="n">
        <f aca="false">(E262/E261-1)*100</f>
        <v>1.12077425356352</v>
      </c>
    </row>
    <row r="263" customFormat="false" ht="15" hidden="false" customHeight="false" outlineLevel="0" collapsed="false">
      <c r="A263" s="20" t="n">
        <v>45808</v>
      </c>
      <c r="B263" s="25" t="s">
        <v>437</v>
      </c>
      <c r="C263" s="23" t="n">
        <f aca="false">'SA Data'!R263</f>
        <v>124.857870890144</v>
      </c>
      <c r="D263" s="23" t="n">
        <f aca="false">'SA Data'!S263</f>
        <v>122.7391518145</v>
      </c>
      <c r="E263" s="23" t="n">
        <f aca="false">'SA Data'!T263</f>
        <v>167.043076004204</v>
      </c>
      <c r="F263" s="22" t="n">
        <f aca="false">C263*'Weights &amp; Assumptions'!$B$25/'Weights &amp; Assumptions'!$B$28+D263*'Weights &amp; Assumptions'!$B$26/'Weights &amp; Assumptions'!$B$28+E263*'Weights &amp; Assumptions'!$B$27/'Weights &amp; Assumptions'!$B$28</f>
        <v>151.722514838374</v>
      </c>
      <c r="G263" s="24" t="n">
        <f aca="false">(F263/F262-1)*100</f>
        <v>0.39224223835157</v>
      </c>
      <c r="H263" s="24" t="n">
        <f aca="false">(F263/F251-1)*100</f>
        <v>5.21965147590726</v>
      </c>
      <c r="I263" s="24" t="n">
        <f aca="false">(C263/C262-1)*100</f>
        <v>2.7687984024487</v>
      </c>
      <c r="J263" s="24" t="n">
        <f aca="false">(D263/D262-1)*100</f>
        <v>-0.600071786717893</v>
      </c>
      <c r="K263" s="24" t="n">
        <f aca="false">(E263/E262-1)*100</f>
        <v>0.469557678552168</v>
      </c>
    </row>
    <row r="264" customFormat="false" ht="15" hidden="false" customHeight="false" outlineLevel="0" collapsed="false">
      <c r="A264" s="20" t="n">
        <v>45838</v>
      </c>
      <c r="B264" s="25" t="s">
        <v>437</v>
      </c>
      <c r="C264" s="23" t="n">
        <f aca="false">'SA Data'!R264</f>
        <v>121.063840379067</v>
      </c>
      <c r="D264" s="23" t="n">
        <f aca="false">'SA Data'!S264</f>
        <v>123.409216968041</v>
      </c>
      <c r="E264" s="23" t="n">
        <f aca="false">'SA Data'!T264</f>
        <v>167.51111640977</v>
      </c>
      <c r="F264" s="22" t="n">
        <f aca="false">C264*'Weights &amp; Assumptions'!$B$25/'Weights &amp; Assumptions'!$B$28+D264*'Weights &amp; Assumptions'!$B$26/'Weights &amp; Assumptions'!$B$28+E264*'Weights &amp; Assumptions'!$B$27/'Weights &amp; Assumptions'!$B$28</f>
        <v>151.886685856634</v>
      </c>
      <c r="G264" s="24" t="n">
        <f aca="false">(F264/F263-1)*100</f>
        <v>0.108204783208921</v>
      </c>
      <c r="H264" s="24" t="n">
        <f aca="false">(F264/F252-1)*100</f>
        <v>6.79894733547883</v>
      </c>
      <c r="I264" s="24" t="n">
        <f aca="false">(C264/C263-1)*100</f>
        <v>-3.03867948734651</v>
      </c>
      <c r="J264" s="24" t="n">
        <f aca="false">(D264/D263-1)*100</f>
        <v>0.545926172403211</v>
      </c>
      <c r="K264" s="24" t="n">
        <f aca="false">(E264/E263-1)*100</f>
        <v>0.280191443286659</v>
      </c>
    </row>
    <row r="265" customFormat="false" ht="15" hidden="false" customHeight="false" outlineLevel="0" collapsed="false">
      <c r="A265" s="20" t="n">
        <v>45869</v>
      </c>
      <c r="B265" s="25" t="s">
        <v>437</v>
      </c>
      <c r="C265" s="23" t="n">
        <f aca="false">'SA Data'!R265</f>
        <v>116.980443506212</v>
      </c>
      <c r="D265" s="23" t="n">
        <f aca="false">'SA Data'!S265</f>
        <v>121.308403889094</v>
      </c>
      <c r="E265" s="23" t="n">
        <f aca="false">'SA Data'!T265</f>
        <v>165.788907595789</v>
      </c>
      <c r="F265" s="22" t="n">
        <f aca="false">C265*'Weights &amp; Assumptions'!$B$25/'Weights &amp; Assumptions'!$B$28+D265*'Weights &amp; Assumptions'!$B$26/'Weights &amp; Assumptions'!$B$28+E265*'Weights &amp; Assumptions'!$B$27/'Weights &amp; Assumptions'!$B$28</f>
        <v>149.86569391196</v>
      </c>
      <c r="G265" s="24" t="n">
        <f aca="false">(F265/F264-1)*100</f>
        <v>-1.33059190361273</v>
      </c>
      <c r="H265" s="24" t="n">
        <f aca="false">(F265/F253-1)*100</f>
        <v>2.25340466922055</v>
      </c>
      <c r="I265" s="24" t="n">
        <f aca="false">(C265/C264-1)*100</f>
        <v>-3.3729285805487</v>
      </c>
      <c r="J265" s="24" t="n">
        <f aca="false">(D265/D264-1)*100</f>
        <v>-1.70231456819901</v>
      </c>
      <c r="K265" s="24" t="n">
        <f aca="false">(E265/E264-1)*100</f>
        <v>-1.02811613395779</v>
      </c>
    </row>
    <row r="266" customFormat="false" ht="15" hidden="false" customHeight="false" outlineLevel="0" collapsed="false">
      <c r="A266" s="20" t="n">
        <v>45900</v>
      </c>
      <c r="B266" s="25" t="s">
        <v>437</v>
      </c>
      <c r="C266" s="23" t="n">
        <f aca="false">'SA Data'!R266</f>
        <v>116.452160217614</v>
      </c>
      <c r="D266" s="23" t="n">
        <f aca="false">'SA Data'!S266</f>
        <v>119.387788040638</v>
      </c>
      <c r="E266" s="23" t="n">
        <f aca="false">'SA Data'!T266</f>
        <v>165.525891136215</v>
      </c>
      <c r="F266" s="22" t="n">
        <f aca="false">C266*'Weights &amp; Assumptions'!$B$25/'Weights &amp; Assumptions'!$B$28+D266*'Weights &amp; Assumptions'!$B$26/'Weights &amp; Assumptions'!$B$28+E266*'Weights &amp; Assumptions'!$B$27/'Weights &amp; Assumptions'!$B$28</f>
        <v>149.139636711952</v>
      </c>
      <c r="G266" s="24" t="n">
        <f aca="false">(F266/F265-1)*100</f>
        <v>-0.484471916857554</v>
      </c>
      <c r="H266" s="24" t="n">
        <f aca="false">(F266/F254-1)*100</f>
        <v>1.7895565411316</v>
      </c>
      <c r="I266" s="24" t="n">
        <f aca="false">(C266/C265-1)*100</f>
        <v>-0.451599662955216</v>
      </c>
      <c r="J266" s="24" t="n">
        <f aca="false">(D266/D265-1)*100</f>
        <v>-1.58325044834665</v>
      </c>
      <c r="K266" s="24" t="n">
        <f aca="false">(E266/E265-1)*100</f>
        <v>-0.158645390326795</v>
      </c>
    </row>
    <row r="267" customFormat="false" ht="15" hidden="false" customHeight="false" outlineLevel="0" collapsed="false">
      <c r="A267" s="20" t="n">
        <v>45930</v>
      </c>
      <c r="B267" s="25" t="s">
        <v>437</v>
      </c>
      <c r="C267" s="23" t="n">
        <f aca="false">'SA Data'!R267</f>
        <v>117.54926758748</v>
      </c>
      <c r="D267" s="23" t="n">
        <f aca="false">'SA Data'!S267</f>
        <v>121.195437415296</v>
      </c>
      <c r="E267" s="23" t="n">
        <f aca="false">'SA Data'!T267</f>
        <v>168.104681108495</v>
      </c>
      <c r="F267" s="22" t="n">
        <f aca="false">C267*'Weights &amp; Assumptions'!$B$25/'Weights &amp; Assumptions'!$B$28+D267*'Weights &amp; Assumptions'!$B$26/'Weights &amp; Assumptions'!$B$28+E267*'Weights &amp; Assumptions'!$B$27/'Weights &amp; Assumptions'!$B$28</f>
        <v>151.389052525517</v>
      </c>
      <c r="G267" s="24" t="n">
        <f aca="false">(F267/F266-1)*100</f>
        <v>1.5082615615519</v>
      </c>
      <c r="H267" s="24" t="n">
        <f aca="false">(F267/F255-1)*100</f>
        <v>3.97873282586747</v>
      </c>
      <c r="I267" s="24" t="n">
        <f aca="false">(C267/C266-1)*100</f>
        <v>0.94210993408379</v>
      </c>
      <c r="J267" s="24" t="n">
        <f aca="false">(D267/D266-1)*100</f>
        <v>1.5140990584753</v>
      </c>
      <c r="K267" s="24" t="n">
        <f aca="false">(E267/E266-1)*100</f>
        <v>1.55793752540971</v>
      </c>
    </row>
    <row r="268" customFormat="false" ht="15" hidden="false" customHeight="false" outlineLevel="0" collapsed="false">
      <c r="A268" s="20" t="n">
        <v>45961</v>
      </c>
      <c r="B268" s="25" t="s">
        <v>437</v>
      </c>
      <c r="C268" s="23" t="n">
        <f aca="false">'SA Data'!R268</f>
        <v>120.989814563438</v>
      </c>
      <c r="D268" s="23" t="n">
        <f aca="false">'SA Data'!S268</f>
        <v>121.26099894089</v>
      </c>
      <c r="E268" s="23" t="n">
        <f aca="false">'SA Data'!T268</f>
        <v>166.999640125627</v>
      </c>
      <c r="F268" s="22" t="n">
        <f aca="false">C268*'Weights &amp; Assumptions'!$B$25/'Weights &amp; Assumptions'!$B$28+D268*'Weights &amp; Assumptions'!$B$26/'Weights &amp; Assumptions'!$B$28+E268*'Weights &amp; Assumptions'!$B$27/'Weights &amp; Assumptions'!$B$28</f>
        <v>150.976673810504</v>
      </c>
      <c r="G268" s="24" t="n">
        <f aca="false">(F268/F267-1)*100</f>
        <v>-0.27239665493235</v>
      </c>
      <c r="H268" s="24" t="n">
        <f aca="false">(F268/F256-1)*100</f>
        <v>2.37314181137172</v>
      </c>
      <c r="I268" s="24" t="n">
        <f aca="false">(C268/C267-1)*100</f>
        <v>2.9268978417049</v>
      </c>
      <c r="J268" s="24" t="n">
        <f aca="false">(D268/D267-1)*100</f>
        <v>0.0540957044200097</v>
      </c>
      <c r="K268" s="24" t="n">
        <f aca="false">(E268/E267-1)*100</f>
        <v>-0.657352892007945</v>
      </c>
    </row>
    <row r="269" customFormat="false" ht="15" hidden="false" customHeight="false" outlineLevel="0" collapsed="false">
      <c r="A269" s="20" t="n">
        <v>45991</v>
      </c>
      <c r="B269" s="25" t="s">
        <v>437</v>
      </c>
      <c r="C269" s="23" t="n">
        <f aca="false">'SA Data'!R269</f>
        <v>125.072821354058</v>
      </c>
      <c r="D269" s="23" t="n">
        <f aca="false">'SA Data'!S269</f>
        <v>118.565562455619</v>
      </c>
      <c r="E269" s="23" t="n">
        <f aca="false">'SA Data'!T269</f>
        <v>165.403739956172</v>
      </c>
      <c r="F269" s="22" t="n">
        <f aca="false">C269*'Weights &amp; Assumptions'!$B$25/'Weights &amp; Assumptions'!$B$28+D269*'Weights &amp; Assumptions'!$B$26/'Weights &amp; Assumptions'!$B$28+E269*'Weights &amp; Assumptions'!$B$27/'Weights &amp; Assumptions'!$B$28</f>
        <v>149.564852747718</v>
      </c>
      <c r="G269" s="24" t="n">
        <f aca="false">(F269/F268-1)*100</f>
        <v>-0.935125292638062</v>
      </c>
      <c r="H269" s="24" t="n">
        <f aca="false">(F269/F257-1)*100</f>
        <v>0.347901500260894</v>
      </c>
      <c r="I269" s="24" t="n">
        <f aca="false">(C269/C268-1)*100</f>
        <v>3.37466984750143</v>
      </c>
      <c r="J269" s="24" t="n">
        <f aca="false">(D269/D268-1)*100</f>
        <v>-2.22283876004151</v>
      </c>
      <c r="K269" s="24" t="n">
        <f aca="false">(E269/E268-1)*100</f>
        <v>-0.95563090330919</v>
      </c>
    </row>
    <row r="270" customFormat="false" ht="15" hidden="false" customHeight="false" outlineLevel="0" collapsed="false">
      <c r="A270" s="20" t="n">
        <v>46022</v>
      </c>
      <c r="B270" s="25" t="s">
        <v>437</v>
      </c>
      <c r="C270" s="23" t="n">
        <f aca="false">'SA Data'!R270</f>
        <v>137.042762859312</v>
      </c>
      <c r="D270" s="23" t="n">
        <f aca="false">'SA Data'!S270</f>
        <v>121.487897205204</v>
      </c>
      <c r="E270" s="23" t="n">
        <f aca="false">'SA Data'!T270</f>
        <v>167.523259225952</v>
      </c>
      <c r="F270" s="22" t="n">
        <f aca="false">C270*'Weights &amp; Assumptions'!$B$25/'Weights &amp; Assumptions'!$B$28+D270*'Weights &amp; Assumptions'!$B$26/'Weights &amp; Assumptions'!$B$28+E270*'Weights &amp; Assumptions'!$B$27/'Weights &amp; Assumptions'!$B$28</f>
        <v>152.724313300353</v>
      </c>
      <c r="G270" s="24" t="n">
        <f aca="false">(F270/F269-1)*100</f>
        <v>2.11243517082496</v>
      </c>
      <c r="H270" s="24" t="n">
        <f aca="false">(F270/F258-1)*100</f>
        <v>2.19029562832012</v>
      </c>
      <c r="I270" s="24" t="n">
        <f aca="false">(C270/C269-1)*100</f>
        <v>9.57037778125243</v>
      </c>
      <c r="J270" s="24" t="n">
        <f aca="false">(D270/D269-1)*100</f>
        <v>2.46474160714179</v>
      </c>
      <c r="K270" s="24" t="n">
        <f aca="false">(E270/E269-1)*100</f>
        <v>1.28142161135076</v>
      </c>
    </row>
    <row r="271" customFormat="false" ht="15" hidden="false" customHeight="false" outlineLevel="0" collapsed="false">
      <c r="A271" s="20" t="n">
        <v>46053</v>
      </c>
      <c r="B271" s="25" t="s">
        <v>437</v>
      </c>
      <c r="C271" s="23" t="n">
        <f aca="false">'SA Data'!R271</f>
        <v>128.472534461243</v>
      </c>
      <c r="D271" s="23" t="n">
        <f aca="false">'SA Data'!S271</f>
        <v>122.79645932816</v>
      </c>
      <c r="E271" s="23" t="n">
        <f aca="false">'SA Data'!T271</f>
        <v>166.979350865301</v>
      </c>
      <c r="F271" s="22" t="n">
        <f aca="false">C271*'Weights &amp; Assumptions'!$B$25/'Weights &amp; Assumptions'!$B$28+D271*'Weights &amp; Assumptions'!$B$26/'Weights &amp; Assumptions'!$B$28+E271*'Weights &amp; Assumptions'!$B$27/'Weights &amp; Assumptions'!$B$28</f>
        <v>151.999594269924</v>
      </c>
      <c r="G271" s="24" t="n">
        <f aca="false">(F271/F270-1)*100</f>
        <v>-0.474527607797648</v>
      </c>
      <c r="H271" s="24" t="n">
        <f aca="false">(F271/F259-1)*100</f>
        <v>1.27742529495041</v>
      </c>
      <c r="I271" s="24" t="n">
        <f aca="false">(C271/C270-1)*100</f>
        <v>-6.25368915457943</v>
      </c>
      <c r="J271" s="24" t="n">
        <f aca="false">(D271/D270-1)*100</f>
        <v>1.07711315535093</v>
      </c>
      <c r="K271" s="24" t="n">
        <f aca="false">(E271/E270-1)*100</f>
        <v>-0.324676324448803</v>
      </c>
    </row>
    <row r="272" customFormat="false" ht="15" hidden="false" customHeight="false" outlineLevel="0" collapsed="false">
      <c r="A272" s="20" t="n">
        <v>46081</v>
      </c>
      <c r="B272" s="25" t="s">
        <v>437</v>
      </c>
      <c r="C272" s="23" t="n">
        <f aca="false">'SA Data'!R272</f>
        <v>120.857960946207</v>
      </c>
      <c r="D272" s="23" t="n">
        <f aca="false">'SA Data'!S272</f>
        <v>119.886678077389</v>
      </c>
      <c r="E272" s="23" t="n">
        <f aca="false">'SA Data'!T272</f>
        <v>166.305820856957</v>
      </c>
      <c r="F272" s="22" t="n">
        <f aca="false">C272*'Weights &amp; Assumptions'!$B$25/'Weights &amp; Assumptions'!$B$28+D272*'Weights &amp; Assumptions'!$B$26/'Weights &amp; Assumptions'!$B$28+E272*'Weights &amp; Assumptions'!$B$27/'Weights &amp; Assumptions'!$B$28</f>
        <v>150.149046666477</v>
      </c>
      <c r="G272" s="24" t="n">
        <f aca="false">(F272/F271-1)*100</f>
        <v>-1.21746877834493</v>
      </c>
      <c r="H272" s="24" t="n">
        <f aca="false">(F272/F260-1)*100</f>
        <v>-0.933141664690529</v>
      </c>
      <c r="I272" s="24" t="n">
        <f aca="false">(C272/C271-1)*100</f>
        <v>-5.92700497967788</v>
      </c>
      <c r="J272" s="24" t="n">
        <f aca="false">(D272/D271-1)*100</f>
        <v>-2.3695970280339</v>
      </c>
      <c r="K272" s="24" t="n">
        <f aca="false">(E272/E271-1)*100</f>
        <v>-0.403361256858037</v>
      </c>
    </row>
    <row r="273" customFormat="false" ht="15" hidden="false" customHeight="false" outlineLevel="0" collapsed="false">
      <c r="A273" s="20" t="n">
        <v>46112</v>
      </c>
      <c r="B273" s="25" t="s">
        <v>437</v>
      </c>
      <c r="C273" s="23" t="n">
        <f aca="false">'SA Data'!R273</f>
        <v>132.862696312943</v>
      </c>
      <c r="D273" s="23" t="n">
        <f aca="false">'SA Data'!S273</f>
        <v>125.309677864503</v>
      </c>
      <c r="E273" s="23" t="n">
        <f aca="false">'SA Data'!T273</f>
        <v>168.953185542302</v>
      </c>
      <c r="F273" s="22" t="n">
        <f aca="false">C273*'Weights &amp; Assumptions'!$B$25/'Weights &amp; Assumptions'!$B$28+D273*'Weights &amp; Assumptions'!$B$26/'Weights &amp; Assumptions'!$B$28+E273*'Weights &amp; Assumptions'!$B$27/'Weights &amp; Assumptions'!$B$28</f>
        <v>154.319592397991</v>
      </c>
      <c r="G273" s="24" t="n">
        <f aca="false">(F273/F272-1)*100</f>
        <v>2.77760387035846</v>
      </c>
      <c r="H273" s="24" t="n">
        <f aca="false">(F273/F261-1)*100</f>
        <v>4.29749820445464</v>
      </c>
      <c r="I273" s="24" t="n">
        <f aca="false">(C273/C272-1)*100</f>
        <v>9.93292892975333</v>
      </c>
      <c r="J273" s="24" t="n">
        <f aca="false">(D273/D272-1)*100</f>
        <v>4.52343819520331</v>
      </c>
      <c r="K273" s="24" t="n">
        <f aca="false">(E273/E272-1)*100</f>
        <v>1.59186531878655</v>
      </c>
    </row>
    <row r="274" customFormat="false" ht="15" hidden="false" customHeight="false" outlineLevel="0" collapsed="false">
      <c r="A274" s="20" t="n">
        <v>46142</v>
      </c>
      <c r="B274" s="25" t="s">
        <v>437</v>
      </c>
      <c r="C274" s="23" t="n">
        <f aca="false">'SA Data'!R274</f>
        <v>135.667385768109</v>
      </c>
      <c r="D274" s="23" t="n">
        <f aca="false">'SA Data'!S274</f>
        <v>120.97304368655</v>
      </c>
      <c r="E274" s="23" t="n">
        <f aca="false">'SA Data'!T274</f>
        <v>165.788705939412</v>
      </c>
      <c r="F274" s="22" t="n">
        <f aca="false">C274*'Weights &amp; Assumptions'!$B$25/'Weights &amp; Assumptions'!$B$28+D274*'Weights &amp; Assumptions'!$B$26/'Weights &amp; Assumptions'!$B$28+E274*'Weights &amp; Assumptions'!$B$27/'Weights &amp; Assumptions'!$B$28</f>
        <v>151.344234669706</v>
      </c>
      <c r="G274" s="24" t="n">
        <f aca="false">(F274/F273-1)*100</f>
        <v>-1.92804923992539</v>
      </c>
      <c r="H274" s="24" t="n">
        <f aca="false">(F274/F262-1)*100</f>
        <v>0.141940598101531</v>
      </c>
      <c r="I274" s="24" t="n">
        <f aca="false">(C274/C273-1)*100</f>
        <v>2.11096834024833</v>
      </c>
      <c r="J274" s="24" t="n">
        <f aca="false">(D274/D273-1)*100</f>
        <v>-3.46073364153193</v>
      </c>
      <c r="K274" s="24" t="n">
        <f aca="false">(E274/E273-1)*100</f>
        <v>-1.87299197273682</v>
      </c>
    </row>
    <row r="275" customFormat="false" ht="15" hidden="false" customHeight="false" outlineLevel="0" collapsed="false">
      <c r="A275" s="20" t="n">
        <v>46173</v>
      </c>
      <c r="B275" s="25" t="s">
        <v>437</v>
      </c>
      <c r="C275" s="23" t="n">
        <f aca="false">'SA Data'!R275</f>
        <v>144.185327441084</v>
      </c>
      <c r="D275" s="23" t="n">
        <f aca="false">'SA Data'!S275</f>
        <v>118.28642060301</v>
      </c>
      <c r="E275" s="23" t="n">
        <f aca="false">'SA Data'!T275</f>
        <v>165.683622195333</v>
      </c>
      <c r="F275" s="22" t="n">
        <f aca="false">C275*'Weights &amp; Assumptions'!$B$25/'Weights &amp; Assumptions'!$B$28+D275*'Weights &amp; Assumptions'!$B$26/'Weights &amp; Assumptions'!$B$28+E275*'Weights &amp; Assumptions'!$B$27/'Weights &amp; Assumptions'!$B$28</f>
        <v>151.276153529067</v>
      </c>
      <c r="G275" s="24" t="n">
        <f aca="false">(F275/F274-1)*100</f>
        <v>-0.0449842974114212</v>
      </c>
      <c r="H275" s="24" t="n">
        <f aca="false">(F275/F263-1)*100</f>
        <v>-0.294195828340038</v>
      </c>
      <c r="I275" s="24" t="n">
        <f aca="false">(C275/C274-1)*100</f>
        <v>6.27854780627499</v>
      </c>
      <c r="J275" s="24" t="n">
        <f aca="false">(D275/D274-1)*100</f>
        <v>-2.22084441431566</v>
      </c>
      <c r="K275" s="24" t="n">
        <f aca="false">(E275/E274-1)*100</f>
        <v>-0.063384139156808</v>
      </c>
    </row>
    <row r="276" customFormat="false" ht="15" hidden="false" customHeight="false" outlineLevel="0" collapsed="false">
      <c r="A276" s="20" t="n">
        <v>46203</v>
      </c>
      <c r="B276" s="26" t="s">
        <v>438</v>
      </c>
      <c r="C276" s="27" t="n">
        <f aca="false">C275*(1+'Weights &amp; Assumptions'!$B$33/100)</f>
        <v>144.329512768525</v>
      </c>
      <c r="D276" s="27" t="n">
        <f aca="false">D275*(1+'Weights &amp; Assumptions'!$B$34/100)</f>
        <v>118.463850233915</v>
      </c>
      <c r="E276" s="27" t="n">
        <f aca="false">E275*(1+'Weights &amp; Assumptions'!$B$35/100)</f>
        <v>165.932147628626</v>
      </c>
      <c r="F276" s="27" t="n">
        <f aca="false">C276*'Weights &amp; Assumptions'!$B$25/'Weights &amp; Assumptions'!$B$28+D276*'Weights &amp; Assumptions'!$B$26/'Weights &amp; Assumptions'!$B$28+E276*'Weights &amp; Assumptions'!$B$27/'Weights &amp; Assumptions'!$B$28</f>
        <v>151.497019124879</v>
      </c>
      <c r="G276" s="24" t="n">
        <f aca="false">(F276/F275-1)*100</f>
        <v>0.14600159421001</v>
      </c>
      <c r="H276" s="24" t="n">
        <f aca="false">(F276/F264-1)*100</f>
        <v>-0.256550947541812</v>
      </c>
      <c r="I276" s="24" t="n">
        <f aca="false">(C276/C275-1)*100</f>
        <v>0.099999999999989</v>
      </c>
      <c r="J276" s="24" t="n">
        <f aca="false">(D276/D275-1)*100</f>
        <v>0.150000000000006</v>
      </c>
      <c r="K276" s="24" t="n">
        <f aca="false">(E276/E275-1)*100</f>
        <v>0.150000000000006</v>
      </c>
    </row>
    <row r="277" customFormat="false" ht="15" hidden="false" customHeight="false" outlineLevel="0" collapsed="false">
      <c r="A277" s="20" t="n">
        <v>46234</v>
      </c>
      <c r="B277" s="26" t="s">
        <v>438</v>
      </c>
      <c r="C277" s="27" t="n">
        <f aca="false">C276*(1+'Weights &amp; Assumptions'!$B$33/100)</f>
        <v>144.473842281293</v>
      </c>
      <c r="D277" s="27" t="n">
        <f aca="false">D276*(1+'Weights &amp; Assumptions'!$B$34/100)</f>
        <v>118.641546009265</v>
      </c>
      <c r="E277" s="27" t="n">
        <f aca="false">E276*(1+'Weights &amp; Assumptions'!$B$35/100)</f>
        <v>166.181045850069</v>
      </c>
      <c r="F277" s="27" t="n">
        <f aca="false">C277*'Weights &amp; Assumptions'!$B$25/'Weights &amp; Assumptions'!$B$28+D277*'Weights &amp; Assumptions'!$B$26/'Weights &amp; Assumptions'!$B$28+E277*'Weights &amp; Assumptions'!$B$27/'Weights &amp; Assumptions'!$B$28</f>
        <v>151.71820997045</v>
      </c>
      <c r="G277" s="24" t="n">
        <f aca="false">(F277/F276-1)*100</f>
        <v>0.146003430858932</v>
      </c>
      <c r="H277" s="24" t="n">
        <f aca="false">(F277/F265-1)*100</f>
        <v>1.23611749302588</v>
      </c>
      <c r="I277" s="24" t="n">
        <f aca="false">(C277/C276-1)*100</f>
        <v>0.099999999999989</v>
      </c>
      <c r="J277" s="24" t="n">
        <f aca="false">(D277/D276-1)*100</f>
        <v>0.150000000000006</v>
      </c>
      <c r="K277" s="24" t="n">
        <f aca="false">(E277/E276-1)*100</f>
        <v>0.150000000000006</v>
      </c>
    </row>
    <row r="278" customFormat="false" ht="15" hidden="false" customHeight="false" outlineLevel="0" collapsed="false">
      <c r="A278" s="20" t="n">
        <v>46265</v>
      </c>
      <c r="B278" s="26" t="s">
        <v>438</v>
      </c>
      <c r="C278" s="27" t="n">
        <f aca="false">C277*(1+'Weights &amp; Assumptions'!$B$33/100)</f>
        <v>144.618316123574</v>
      </c>
      <c r="D278" s="27" t="n">
        <f aca="false">D277*(1+'Weights &amp; Assumptions'!$B$34/100)</f>
        <v>118.819508328279</v>
      </c>
      <c r="E278" s="27" t="n">
        <f aca="false">E277*(1+'Weights &amp; Assumptions'!$B$35/100)</f>
        <v>166.430317418844</v>
      </c>
      <c r="F278" s="27" t="n">
        <f aca="false">C278*'Weights &amp; Assumptions'!$B$25/'Weights &amp; Assumptions'!$B$28+D278*'Weights &amp; Assumptions'!$B$26/'Weights &amp; Assumptions'!$B$28+E278*'Weights &amp; Assumptions'!$B$27/'Weights &amp; Assumptions'!$B$28</f>
        <v>151.939726547606</v>
      </c>
      <c r="G278" s="24" t="n">
        <f aca="false">(F278/F277-1)*100</f>
        <v>0.146005266737359</v>
      </c>
      <c r="H278" s="24" t="n">
        <f aca="false">(F278/F266-1)*100</f>
        <v>1.87749541127158</v>
      </c>
      <c r="I278" s="24" t="n">
        <f aca="false">(C278/C277-1)*100</f>
        <v>0.099999999999989</v>
      </c>
      <c r="J278" s="24" t="n">
        <f aca="false">(D278/D277-1)*100</f>
        <v>0.150000000000006</v>
      </c>
      <c r="K278" s="24" t="n">
        <f aca="false">(E278/E277-1)*100</f>
        <v>0.150000000000006</v>
      </c>
    </row>
    <row r="279" customFormat="false" ht="15" hidden="false" customHeight="false" outlineLevel="0" collapsed="false">
      <c r="A279" s="20" t="n">
        <v>46295</v>
      </c>
      <c r="B279" s="26" t="s">
        <v>438</v>
      </c>
      <c r="C279" s="27" t="n">
        <f aca="false">C278*(1+'Weights &amp; Assumptions'!$B$33/100)</f>
        <v>144.762934439698</v>
      </c>
      <c r="D279" s="27" t="n">
        <f aca="false">D278*(1+'Weights &amp; Assumptions'!$B$34/100)</f>
        <v>118.997737590772</v>
      </c>
      <c r="E279" s="27" t="n">
        <f aca="false">E278*(1+'Weights &amp; Assumptions'!$B$35/100)</f>
        <v>166.679962894972</v>
      </c>
      <c r="F279" s="27" t="n">
        <f aca="false">C279*'Weights &amp; Assumptions'!$B$25/'Weights &amp; Assumptions'!$B$28+D279*'Weights &amp; Assumptions'!$B$26/'Weights &amp; Assumptions'!$B$28+E279*'Weights &amp; Assumptions'!$B$27/'Weights &amp; Assumptions'!$B$28</f>
        <v>152.161569338891</v>
      </c>
      <c r="G279" s="24" t="n">
        <f aca="false">(F279/F278-1)*100</f>
        <v>0.146007101845713</v>
      </c>
      <c r="H279" s="24" t="n">
        <f aca="false">(F279/F267-1)*100</f>
        <v>0.51028578387049</v>
      </c>
      <c r="I279" s="24" t="n">
        <f aca="false">(C279/C278-1)*100</f>
        <v>0.099999999999989</v>
      </c>
      <c r="J279" s="24" t="n">
        <f aca="false">(D279/D278-1)*100</f>
        <v>0.150000000000006</v>
      </c>
      <c r="K279" s="24" t="n">
        <f aca="false">(E279/E278-1)*100</f>
        <v>0.150000000000006</v>
      </c>
    </row>
    <row r="280" customFormat="false" ht="15" hidden="false" customHeight="false" outlineLevel="0" collapsed="false">
      <c r="A280" s="20" t="n">
        <v>46326</v>
      </c>
      <c r="B280" s="26" t="s">
        <v>438</v>
      </c>
      <c r="C280" s="27" t="n">
        <f aca="false">C279*(1+'Weights &amp; Assumptions'!$B$33/100)</f>
        <v>144.907697374138</v>
      </c>
      <c r="D280" s="27" t="n">
        <f aca="false">D279*(1+'Weights &amp; Assumptions'!$B$34/100)</f>
        <v>119.176234197158</v>
      </c>
      <c r="E280" s="27" t="n">
        <f aca="false">E279*(1+'Weights &amp; Assumptions'!$B$35/100)</f>
        <v>166.929982839315</v>
      </c>
      <c r="F280" s="27" t="n">
        <f aca="false">C280*'Weights &amp; Assumptions'!$B$25/'Weights &amp; Assumptions'!$B$28+D280*'Weights &amp; Assumptions'!$B$26/'Weights &amp; Assumptions'!$B$28+E280*'Weights &amp; Assumptions'!$B$27/'Weights &amp; Assumptions'!$B$28</f>
        <v>152.383738827564</v>
      </c>
      <c r="G280" s="24" t="n">
        <f aca="false">(F280/F279-1)*100</f>
        <v>0.146008936184194</v>
      </c>
      <c r="H280" s="24" t="n">
        <f aca="false">(F280/F268-1)*100</f>
        <v>0.931975106847416</v>
      </c>
      <c r="I280" s="24" t="n">
        <f aca="false">(C280/C279-1)*100</f>
        <v>0.099999999999989</v>
      </c>
      <c r="J280" s="24" t="n">
        <f aca="false">(D280/D279-1)*100</f>
        <v>0.150000000000006</v>
      </c>
      <c r="K280" s="24" t="n">
        <f aca="false">(E280/E279-1)*100</f>
        <v>0.150000000000006</v>
      </c>
    </row>
    <row r="281" customFormat="false" ht="15" hidden="false" customHeight="false" outlineLevel="0" collapsed="false">
      <c r="A281" s="20" t="n">
        <v>46356</v>
      </c>
      <c r="B281" s="26" t="s">
        <v>438</v>
      </c>
      <c r="C281" s="27" t="n">
        <f aca="false">C280*(1+'Weights &amp; Assumptions'!$B$33/100)</f>
        <v>145.052605071512</v>
      </c>
      <c r="D281" s="27" t="n">
        <f aca="false">D280*(1+'Weights &amp; Assumptions'!$B$34/100)</f>
        <v>119.354998548454</v>
      </c>
      <c r="E281" s="27" t="n">
        <f aca="false">E280*(1+'Weights &amp; Assumptions'!$B$35/100)</f>
        <v>167.180377813574</v>
      </c>
      <c r="F281" s="27" t="n">
        <f aca="false">C281*'Weights &amp; Assumptions'!$B$25/'Weights &amp; Assumptions'!$B$28+D281*'Weights &amp; Assumptions'!$B$26/'Weights &amp; Assumptions'!$B$28+E281*'Weights &amp; Assumptions'!$B$27/'Weights &amp; Assumptions'!$B$28</f>
        <v>152.606235497604</v>
      </c>
      <c r="G281" s="24" t="n">
        <f aca="false">(F281/F280-1)*100</f>
        <v>0.146010769753002</v>
      </c>
      <c r="H281" s="24" t="n">
        <f aca="false">(F281/F269-1)*100</f>
        <v>2.03348761023183</v>
      </c>
      <c r="I281" s="24" t="n">
        <f aca="false">(C281/C280-1)*100</f>
        <v>0.099999999999989</v>
      </c>
      <c r="J281" s="24" t="n">
        <f aca="false">(D281/D280-1)*100</f>
        <v>0.150000000000006</v>
      </c>
      <c r="K281" s="24" t="n">
        <f aca="false">(E281/E280-1)*100</f>
        <v>0.150000000000006</v>
      </c>
    </row>
    <row r="282" customFormat="false" ht="15" hidden="false" customHeight="false" outlineLevel="0" collapsed="false">
      <c r="A282" s="20" t="n">
        <v>46387</v>
      </c>
      <c r="B282" s="26" t="s">
        <v>438</v>
      </c>
      <c r="C282" s="27" t="n">
        <f aca="false">C281*(1+'Weights &amp; Assumptions'!$B$33/100)</f>
        <v>145.197657676583</v>
      </c>
      <c r="D282" s="27" t="n">
        <f aca="false">D281*(1+'Weights &amp; Assumptions'!$B$34/100)</f>
        <v>119.534031046276</v>
      </c>
      <c r="E282" s="27" t="n">
        <f aca="false">E281*(1+'Weights &amp; Assumptions'!$B$35/100)</f>
        <v>167.431148380294</v>
      </c>
      <c r="F282" s="27" t="n">
        <f aca="false">C282*'Weights &amp; Assumptions'!$B$25/'Weights &amp; Assumptions'!$B$28+D282*'Weights &amp; Assumptions'!$B$26/'Weights &amp; Assumptions'!$B$28+E282*'Weights &amp; Assumptions'!$B$27/'Weights &amp; Assumptions'!$B$28</f>
        <v>152.829059833712</v>
      </c>
      <c r="G282" s="24" t="n">
        <f aca="false">(F282/F281-1)*100</f>
        <v>0.14601260255247</v>
      </c>
      <c r="H282" s="24" t="n">
        <f aca="false">(F282/F270-1)*100</f>
        <v>0.0685853686913651</v>
      </c>
      <c r="I282" s="24" t="n">
        <f aca="false">(C282/C281-1)*100</f>
        <v>0.099999999999989</v>
      </c>
      <c r="J282" s="24" t="n">
        <f aca="false">(D282/D281-1)*100</f>
        <v>0.150000000000006</v>
      </c>
      <c r="K282" s="24" t="n">
        <f aca="false">(E282/E281-1)*100</f>
        <v>0.150000000000006</v>
      </c>
    </row>
    <row r="283" customFormat="false" ht="15" hidden="false" customHeight="false" outlineLevel="0" collapsed="false">
      <c r="A283" s="20" t="n">
        <v>46418</v>
      </c>
      <c r="B283" s="26" t="s">
        <v>438</v>
      </c>
      <c r="C283" s="27" t="n">
        <f aca="false">C282*(1+'Weights &amp; Assumptions'!$C$33/100)</f>
        <v>145.560651820775</v>
      </c>
      <c r="D283" s="27" t="n">
        <f aca="false">D282*(1+'Weights &amp; Assumptions'!$C$34/100)</f>
        <v>119.952400154938</v>
      </c>
      <c r="E283" s="27" t="n">
        <f aca="false">E282*(1+'Weights &amp; Assumptions'!$C$35/100)</f>
        <v>167.933441825435</v>
      </c>
      <c r="F283" s="27" t="n">
        <f aca="false">C283*'Weights &amp; Assumptions'!$B$25/'Weights &amp; Assumptions'!$B$28+D283*'Weights &amp; Assumptions'!$B$26/'Weights &amp; Assumptions'!$B$28+E283*'Weights &amp; Assumptions'!$B$27/'Weights &amp; Assumptions'!$B$28</f>
        <v>153.297349004504</v>
      </c>
      <c r="G283" s="24" t="n">
        <f aca="false">(F283/F282-1)*100</f>
        <v>0.306413695996155</v>
      </c>
      <c r="H283" s="24" t="n">
        <f aca="false">(F283/F271-1)*100</f>
        <v>0.853788288589774</v>
      </c>
      <c r="I283" s="24" t="n">
        <f aca="false">(C283/C282-1)*100</f>
        <v>0.249999999999995</v>
      </c>
      <c r="J283" s="24" t="n">
        <f aca="false">(D283/D282-1)*100</f>
        <v>0.350000000000006</v>
      </c>
      <c r="K283" s="24" t="n">
        <f aca="false">(E283/E282-1)*100</f>
        <v>0.299999999999989</v>
      </c>
    </row>
    <row r="284" customFormat="false" ht="15" hidden="false" customHeight="false" outlineLevel="0" collapsed="false">
      <c r="A284" s="20" t="n">
        <v>46446</v>
      </c>
      <c r="B284" s="26" t="s">
        <v>438</v>
      </c>
      <c r="C284" s="27" t="n">
        <f aca="false">C283*(1+'Weights &amp; Assumptions'!$C$33/100)</f>
        <v>145.924553450327</v>
      </c>
      <c r="D284" s="27" t="n">
        <f aca="false">D283*(1+'Weights &amp; Assumptions'!$C$34/100)</f>
        <v>120.372233555481</v>
      </c>
      <c r="E284" s="27" t="n">
        <f aca="false">E283*(1+'Weights &amp; Assumptions'!$C$35/100)</f>
        <v>168.437242150911</v>
      </c>
      <c r="F284" s="27" t="n">
        <f aca="false">C284*'Weights &amp; Assumptions'!$B$25/'Weights &amp; Assumptions'!$B$28+D284*'Weights &amp; Assumptions'!$B$26/'Weights &amp; Assumptions'!$B$28+E284*'Weights &amp; Assumptions'!$B$27/'Weights &amp; Assumptions'!$B$28</f>
        <v>153.767083440881</v>
      </c>
      <c r="G284" s="24" t="n">
        <f aca="false">(F284/F283-1)*100</f>
        <v>0.306420456339995</v>
      </c>
      <c r="H284" s="24" t="n">
        <f aca="false">(F284/F272-1)*100</f>
        <v>2.40963020061078</v>
      </c>
      <c r="I284" s="24" t="n">
        <f aca="false">(C284/C283-1)*100</f>
        <v>0.249999999999995</v>
      </c>
      <c r="J284" s="24" t="n">
        <f aca="false">(D284/D283-1)*100</f>
        <v>0.350000000000006</v>
      </c>
      <c r="K284" s="24" t="n">
        <f aca="false">(E284/E283-1)*100</f>
        <v>0.299999999999989</v>
      </c>
    </row>
    <row r="285" customFormat="false" ht="15" hidden="false" customHeight="false" outlineLevel="0" collapsed="false">
      <c r="A285" s="20" t="n">
        <v>46477</v>
      </c>
      <c r="B285" s="26" t="s">
        <v>438</v>
      </c>
      <c r="C285" s="27" t="n">
        <f aca="false">C284*(1+'Weights &amp; Assumptions'!$C$33/100)</f>
        <v>146.289364833953</v>
      </c>
      <c r="D285" s="27" t="n">
        <f aca="false">D284*(1+'Weights &amp; Assumptions'!$C$34/100)</f>
        <v>120.793536372925</v>
      </c>
      <c r="E285" s="27" t="n">
        <f aca="false">E284*(1+'Weights &amp; Assumptions'!$C$35/100)</f>
        <v>168.942553877364</v>
      </c>
      <c r="F285" s="27" t="n">
        <f aca="false">C285*'Weights &amp; Assumptions'!$B$25/'Weights &amp; Assumptions'!$B$28+D285*'Weights &amp; Assumptions'!$B$26/'Weights &amp; Assumptions'!$B$28+E285*'Weights &amp; Assumptions'!$B$27/'Weights &amp; Assumptions'!$B$28</f>
        <v>154.23826763526</v>
      </c>
      <c r="G285" s="24" t="n">
        <f aca="false">(F285/F284-1)*100</f>
        <v>0.306427216953553</v>
      </c>
      <c r="H285" s="24" t="n">
        <f aca="false">(F285/F273-1)*100</f>
        <v>-0.0526989227145558</v>
      </c>
      <c r="I285" s="24" t="n">
        <f aca="false">(C285/C284-1)*100</f>
        <v>0.249999999999995</v>
      </c>
      <c r="J285" s="24" t="n">
        <f aca="false">(D285/D284-1)*100</f>
        <v>0.350000000000006</v>
      </c>
      <c r="K285" s="24" t="n">
        <f aca="false">(E285/E284-1)*100</f>
        <v>0.299999999999989</v>
      </c>
    </row>
    <row r="286" customFormat="false" ht="15" hidden="false" customHeight="false" outlineLevel="0" collapsed="false">
      <c r="A286" s="20" t="n">
        <v>46507</v>
      </c>
      <c r="B286" s="26" t="s">
        <v>438</v>
      </c>
      <c r="C286" s="27" t="n">
        <f aca="false">C285*(1+'Weights &amp; Assumptions'!$C$33/100)</f>
        <v>146.655088246037</v>
      </c>
      <c r="D286" s="27" t="n">
        <f aca="false">D285*(1+'Weights &amp; Assumptions'!$C$34/100)</f>
        <v>121.21631375023</v>
      </c>
      <c r="E286" s="27" t="n">
        <f aca="false">E285*(1+'Weights &amp; Assumptions'!$C$35/100)</f>
        <v>169.449381538996</v>
      </c>
      <c r="F286" s="27" t="n">
        <f aca="false">C286*'Weights &amp; Assumptions'!$B$25/'Weights &amp; Assumptions'!$B$28+D286*'Weights &amp; Assumptions'!$B$26/'Weights &amp; Assumptions'!$B$28+E286*'Weights &amp; Assumptions'!$B$27/'Weights &amp; Assumptions'!$B$28</f>
        <v>154.710906094121</v>
      </c>
      <c r="G286" s="24" t="n">
        <f aca="false">(F286/F285-1)*100</f>
        <v>0.306433977836984</v>
      </c>
      <c r="H286" s="24" t="n">
        <f aca="false">(F286/F274-1)*100</f>
        <v>2.22451250406941</v>
      </c>
      <c r="I286" s="24" t="n">
        <f aca="false">(C286/C285-1)*100</f>
        <v>0.249999999999995</v>
      </c>
      <c r="J286" s="24" t="n">
        <f aca="false">(D286/D285-1)*100</f>
        <v>0.350000000000006</v>
      </c>
      <c r="K286" s="24" t="n">
        <f aca="false">(E286/E285-1)*100</f>
        <v>0.299999999999989</v>
      </c>
    </row>
    <row r="287" customFormat="false" ht="15" hidden="false" customHeight="false" outlineLevel="0" collapsed="false">
      <c r="A287" s="20" t="n">
        <v>46538</v>
      </c>
      <c r="B287" s="26" t="s">
        <v>438</v>
      </c>
      <c r="C287" s="27" t="n">
        <f aca="false">C286*(1+'Weights &amp; Assumptions'!$C$33/100)</f>
        <v>147.021725966652</v>
      </c>
      <c r="D287" s="27" t="n">
        <f aca="false">D286*(1+'Weights &amp; Assumptions'!$C$34/100)</f>
        <v>121.640570848356</v>
      </c>
      <c r="E287" s="27" t="n">
        <f aca="false">E286*(1+'Weights &amp; Assumptions'!$C$35/100)</f>
        <v>169.957729683613</v>
      </c>
      <c r="F287" s="27" t="n">
        <f aca="false">C287*'Weights &amp; Assumptions'!$B$25/'Weights &amp; Assumptions'!$B$28+D287*'Weights &amp; Assumptions'!$B$26/'Weights &amp; Assumptions'!$B$28+E287*'Weights &amp; Assumptions'!$B$27/'Weights &amp; Assumptions'!$B$28</f>
        <v>155.185003338055</v>
      </c>
      <c r="G287" s="24" t="n">
        <f aca="false">(F287/F286-1)*100</f>
        <v>0.30644073899051</v>
      </c>
      <c r="H287" s="24" t="n">
        <f aca="false">(F287/F275-1)*100</f>
        <v>2.58391670980538</v>
      </c>
      <c r="I287" s="24" t="n">
        <f aca="false">(C287/C286-1)*100</f>
        <v>0.249999999999995</v>
      </c>
      <c r="J287" s="24" t="n">
        <f aca="false">(D287/D286-1)*100</f>
        <v>0.350000000000006</v>
      </c>
      <c r="K287" s="24" t="n">
        <f aca="false">(E287/E286-1)*100</f>
        <v>0.299999999999989</v>
      </c>
    </row>
    <row r="288" customFormat="false" ht="15" hidden="false" customHeight="false" outlineLevel="0" collapsed="false">
      <c r="A288" s="20" t="n">
        <v>46568</v>
      </c>
      <c r="B288" s="26" t="s">
        <v>438</v>
      </c>
      <c r="C288" s="27" t="n">
        <f aca="false">C287*(1+'Weights &amp; Assumptions'!$C$33/100)</f>
        <v>147.389280281569</v>
      </c>
      <c r="D288" s="27" t="n">
        <f aca="false">D287*(1+'Weights &amp; Assumptions'!$C$34/100)</f>
        <v>122.066312846325</v>
      </c>
      <c r="E288" s="27" t="n">
        <f aca="false">E287*(1+'Weights &amp; Assumptions'!$C$35/100)</f>
        <v>170.467602872664</v>
      </c>
      <c r="F288" s="27" t="n">
        <f aca="false">C288*'Weights &amp; Assumptions'!$B$25/'Weights &amp; Assumptions'!$B$28+D288*'Weights &amp; Assumptions'!$B$26/'Weights &amp; Assumptions'!$B$28+E288*'Weights &amp; Assumptions'!$B$27/'Weights &amp; Assumptions'!$B$28</f>
        <v>155.660563901802</v>
      </c>
      <c r="G288" s="24" t="n">
        <f aca="false">(F288/F287-1)*100</f>
        <v>0.306447500414286</v>
      </c>
      <c r="H288" s="24" t="n">
        <f aca="false">(F288/F276-1)*100</f>
        <v>2.74826844843175</v>
      </c>
      <c r="I288" s="24" t="n">
        <f aca="false">(C288/C287-1)*100</f>
        <v>0.249999999999995</v>
      </c>
      <c r="J288" s="24" t="n">
        <f aca="false">(D288/D287-1)*100</f>
        <v>0.350000000000006</v>
      </c>
      <c r="K288" s="24" t="n">
        <f aca="false">(E288/E287-1)*100</f>
        <v>0.299999999999989</v>
      </c>
    </row>
    <row r="289" customFormat="false" ht="15" hidden="false" customHeight="false" outlineLevel="0" collapsed="false">
      <c r="A289" s="20" t="n">
        <v>46599</v>
      </c>
      <c r="B289" s="26" t="s">
        <v>438</v>
      </c>
      <c r="C289" s="27" t="n">
        <f aca="false">C288*(1+'Weights &amp; Assumptions'!$C$33/100)</f>
        <v>147.757753482273</v>
      </c>
      <c r="D289" s="27" t="n">
        <f aca="false">D288*(1+'Weights &amp; Assumptions'!$C$34/100)</f>
        <v>122.493544941287</v>
      </c>
      <c r="E289" s="27" t="n">
        <f aca="false">E288*(1+'Weights &amp; Assumptions'!$C$35/100)</f>
        <v>170.979005681282</v>
      </c>
      <c r="F289" s="27" t="n">
        <f aca="false">C289*'Weights &amp; Assumptions'!$B$25/'Weights &amp; Assumptions'!$B$28+D289*'Weights &amp; Assumptions'!$B$26/'Weights &amp; Assumptions'!$B$28+E289*'Weights &amp; Assumptions'!$B$27/'Weights &amp; Assumptions'!$B$28</f>
        <v>156.137592334302</v>
      </c>
      <c r="G289" s="24" t="n">
        <f aca="false">(F289/F288-1)*100</f>
        <v>0.306454262108491</v>
      </c>
      <c r="H289" s="24" t="n">
        <f aca="false">(F289/F277-1)*100</f>
        <v>2.91288854825817</v>
      </c>
      <c r="I289" s="24" t="n">
        <f aca="false">(C289/C288-1)*100</f>
        <v>0.249999999999995</v>
      </c>
      <c r="J289" s="24" t="n">
        <f aca="false">(D289/D288-1)*100</f>
        <v>0.350000000000006</v>
      </c>
      <c r="K289" s="24" t="n">
        <f aca="false">(E289/E288-1)*100</f>
        <v>0.299999999999989</v>
      </c>
    </row>
    <row r="290" customFormat="false" ht="15" hidden="false" customHeight="false" outlineLevel="0" collapsed="false">
      <c r="A290" s="20" t="n">
        <v>46630</v>
      </c>
      <c r="B290" s="26" t="s">
        <v>438</v>
      </c>
      <c r="C290" s="27" t="n">
        <f aca="false">C289*(1+'Weights &amp; Assumptions'!$C$33/100)</f>
        <v>148.127147865979</v>
      </c>
      <c r="D290" s="27" t="n">
        <f aca="false">D289*(1+'Weights &amp; Assumptions'!$C$34/100)</f>
        <v>122.922272348582</v>
      </c>
      <c r="E290" s="27" t="n">
        <f aca="false">E289*(1+'Weights &amp; Assumptions'!$C$35/100)</f>
        <v>171.491942698326</v>
      </c>
      <c r="F290" s="27" t="n">
        <f aca="false">C290*'Weights &amp; Assumptions'!$B$25/'Weights &amp; Assumptions'!$B$28+D290*'Weights &amp; Assumptions'!$B$26/'Weights &amp; Assumptions'!$B$28+E290*'Weights &amp; Assumptions'!$B$27/'Weights &amp; Assumptions'!$B$28</f>
        <v>156.616093198733</v>
      </c>
      <c r="G290" s="24" t="n">
        <f aca="false">(F290/F289-1)*100</f>
        <v>0.306461024073301</v>
      </c>
      <c r="H290" s="24" t="n">
        <f aca="false">(F290/F278-1)*100</f>
        <v>3.07777745648428</v>
      </c>
      <c r="I290" s="24" t="n">
        <f aca="false">(C290/C289-1)*100</f>
        <v>0.249999999999995</v>
      </c>
      <c r="J290" s="24" t="n">
        <f aca="false">(D290/D289-1)*100</f>
        <v>0.350000000000006</v>
      </c>
      <c r="K290" s="24" t="n">
        <f aca="false">(E290/E289-1)*100</f>
        <v>0.299999999999989</v>
      </c>
    </row>
    <row r="291" customFormat="false" ht="15" hidden="false" customHeight="false" outlineLevel="0" collapsed="false">
      <c r="A291" s="20" t="n">
        <v>46660</v>
      </c>
      <c r="B291" s="26" t="s">
        <v>438</v>
      </c>
      <c r="C291" s="27" t="n">
        <f aca="false">C290*(1+'Weights &amp; Assumptions'!$C$33/100)</f>
        <v>148.497465735644</v>
      </c>
      <c r="D291" s="27" t="n">
        <f aca="false">D290*(1+'Weights &amp; Assumptions'!$C$34/100)</f>
        <v>123.352500301802</v>
      </c>
      <c r="E291" s="27" t="n">
        <f aca="false">E290*(1+'Weights &amp; Assumptions'!$C$35/100)</f>
        <v>172.00641852642</v>
      </c>
      <c r="F291" s="27" t="n">
        <f aca="false">C291*'Weights &amp; Assumptions'!$B$25/'Weights &amp; Assumptions'!$B$28+D291*'Weights &amp; Assumptions'!$B$26/'Weights &amp; Assumptions'!$B$28+E291*'Weights &amp; Assumptions'!$B$27/'Weights &amp; Assumptions'!$B$28</f>
        <v>157.096071072562</v>
      </c>
      <c r="G291" s="24" t="n">
        <f aca="false">(F291/F290-1)*100</f>
        <v>0.306467786308917</v>
      </c>
      <c r="H291" s="24" t="n">
        <f aca="false">(F291/F279-1)*100</f>
        <v>3.24293562107083</v>
      </c>
      <c r="I291" s="24" t="n">
        <f aca="false">(C291/C290-1)*100</f>
        <v>0.249999999999995</v>
      </c>
      <c r="J291" s="24" t="n">
        <f aca="false">(D291/D290-1)*100</f>
        <v>0.350000000000006</v>
      </c>
      <c r="K291" s="24" t="n">
        <f aca="false">(E291/E290-1)*100</f>
        <v>0.299999999999989</v>
      </c>
    </row>
    <row r="292" customFormat="false" ht="15" hidden="false" customHeight="false" outlineLevel="0" collapsed="false">
      <c r="A292" s="20" t="n">
        <v>46691</v>
      </c>
      <c r="B292" s="26" t="s">
        <v>438</v>
      </c>
      <c r="C292" s="27" t="n">
        <f aca="false">C291*(1+'Weights &amp; Assumptions'!$C$33/100)</f>
        <v>148.868709399983</v>
      </c>
      <c r="D292" s="27" t="n">
        <f aca="false">D291*(1+'Weights &amp; Assumptions'!$C$34/100)</f>
        <v>123.784234052858</v>
      </c>
      <c r="E292" s="27" t="n">
        <f aca="false">E291*(1+'Weights &amp; Assumptions'!$C$35/100)</f>
        <v>172.522437782</v>
      </c>
      <c r="F292" s="27" t="n">
        <f aca="false">C292*'Weights &amp; Assumptions'!$B$25/'Weights &amp; Assumptions'!$B$28+D292*'Weights &amp; Assumptions'!$B$26/'Weights &amp; Assumptions'!$B$28+E292*'Weights &amp; Assumptions'!$B$27/'Weights &amp; Assumptions'!$B$28</f>
        <v>157.577530547589</v>
      </c>
      <c r="G292" s="24" t="n">
        <f aca="false">(F292/F291-1)*100</f>
        <v>0.30647454881545</v>
      </c>
      <c r="H292" s="24" t="n">
        <f aca="false">(F292/F280-1)*100</f>
        <v>3.40836349074103</v>
      </c>
      <c r="I292" s="24" t="n">
        <f aca="false">(C292/C291-1)*100</f>
        <v>0.249999999999995</v>
      </c>
      <c r="J292" s="24" t="n">
        <f aca="false">(D292/D291-1)*100</f>
        <v>0.350000000000006</v>
      </c>
      <c r="K292" s="24" t="n">
        <f aca="false">(E292/E291-1)*100</f>
        <v>0.299999999999989</v>
      </c>
    </row>
    <row r="293" customFormat="false" ht="15" hidden="false" customHeight="false" outlineLevel="0" collapsed="false">
      <c r="A293" s="20" t="n">
        <v>46721</v>
      </c>
      <c r="B293" s="26" t="s">
        <v>438</v>
      </c>
      <c r="C293" s="27" t="n">
        <f aca="false">C292*(1+'Weights &amp; Assumptions'!$C$33/100)</f>
        <v>149.240881173483</v>
      </c>
      <c r="D293" s="27" t="n">
        <f aca="false">D292*(1+'Weights &amp; Assumptions'!$C$34/100)</f>
        <v>124.217478872043</v>
      </c>
      <c r="E293" s="27" t="n">
        <f aca="false">E292*(1+'Weights &amp; Assumptions'!$C$35/100)</f>
        <v>173.040005095346</v>
      </c>
      <c r="F293" s="27" t="n">
        <f aca="false">C293*'Weights &amp; Assumptions'!$B$25/'Weights &amp; Assumptions'!$B$28+D293*'Weights &amp; Assumptions'!$B$26/'Weights &amp; Assumptions'!$B$28+E293*'Weights &amp; Assumptions'!$B$27/'Weights &amp; Assumptions'!$B$28</f>
        <v>158.060476229987</v>
      </c>
      <c r="G293" s="24" t="n">
        <f aca="false">(F293/F292-1)*100</f>
        <v>0.306481311593143</v>
      </c>
      <c r="H293" s="24" t="n">
        <f aca="false">(F293/F281-1)*100</f>
        <v>3.57406151498199</v>
      </c>
      <c r="I293" s="24" t="n">
        <f aca="false">(C293/C292-1)*100</f>
        <v>0.249999999999995</v>
      </c>
      <c r="J293" s="24" t="n">
        <f aca="false">(D293/D292-1)*100</f>
        <v>0.350000000000006</v>
      </c>
      <c r="K293" s="24" t="n">
        <f aca="false">(E293/E292-1)*100</f>
        <v>0.299999999999989</v>
      </c>
    </row>
    <row r="294" customFormat="false" ht="15" hidden="false" customHeight="false" outlineLevel="0" collapsed="false">
      <c r="A294" s="20" t="n">
        <v>46752</v>
      </c>
      <c r="B294" s="26" t="s">
        <v>438</v>
      </c>
      <c r="C294" s="27" t="n">
        <f aca="false">C293*(1+'Weights &amp; Assumptions'!$C$33/100)</f>
        <v>149.613983376416</v>
      </c>
      <c r="D294" s="27" t="n">
        <f aca="false">D293*(1+'Weights &amp; Assumptions'!$C$34/100)</f>
        <v>124.652240048095</v>
      </c>
      <c r="E294" s="27" t="n">
        <f aca="false">E293*(1+'Weights &amp; Assumptions'!$C$35/100)</f>
        <v>173.559125110632</v>
      </c>
      <c r="F294" s="27" t="n">
        <f aca="false">C294*'Weights &amp; Assumptions'!$B$25/'Weights &amp; Assumptions'!$B$28+D294*'Weights &amp; Assumptions'!$B$26/'Weights &amp; Assumptions'!$B$28+E294*'Weights &amp; Assumptions'!$B$27/'Weights &amp; Assumptions'!$B$28</f>
        <v>158.544912740354</v>
      </c>
      <c r="G294" s="24" t="n">
        <f aca="false">(F294/F293-1)*100</f>
        <v>0.306488074642131</v>
      </c>
      <c r="H294" s="24" t="n">
        <f aca="false">(F294/F282-1)*100</f>
        <v>3.74003014404587</v>
      </c>
      <c r="I294" s="24" t="n">
        <f aca="false">(C294/C293-1)*100</f>
        <v>0.249999999999995</v>
      </c>
      <c r="J294" s="24" t="n">
        <f aca="false">(D294/D293-1)*100</f>
        <v>0.350000000000006</v>
      </c>
      <c r="K294" s="24" t="n">
        <f aca="false">(E294/E293-1)*100</f>
        <v>0.299999999999989</v>
      </c>
    </row>
    <row r="297" customFormat="false" ht="15" hidden="false" customHeight="false" outlineLevel="0" collapsed="false">
      <c r="A297" s="6" t="s">
        <v>439</v>
      </c>
    </row>
    <row r="298" customFormat="false" ht="23.85" hidden="false" customHeight="false" outlineLevel="0" collapsed="false">
      <c r="A298" s="7" t="s">
        <v>440</v>
      </c>
      <c r="B298" s="7" t="s">
        <v>441</v>
      </c>
      <c r="C298" s="7" t="s">
        <v>442</v>
      </c>
      <c r="D298" s="7" t="s">
        <v>443</v>
      </c>
      <c r="E298" s="7" t="s">
        <v>444</v>
      </c>
      <c r="F298" s="7" t="s">
        <v>445</v>
      </c>
      <c r="G298" s="7" t="s">
        <v>446</v>
      </c>
      <c r="H298" s="7" t="s">
        <v>447</v>
      </c>
      <c r="I298" s="7" t="s">
        <v>448</v>
      </c>
      <c r="J298" s="7" t="s">
        <v>449</v>
      </c>
      <c r="K298" s="7" t="s">
        <v>450</v>
      </c>
      <c r="L298" s="7" t="s">
        <v>451</v>
      </c>
    </row>
    <row r="299" customFormat="false" ht="15" hidden="false" customHeight="false" outlineLevel="0" collapsed="false">
      <c r="A299" s="8" t="s">
        <v>452</v>
      </c>
      <c r="B299" s="28" t="n">
        <f aca="false">AVERAGE(C187:C198)</f>
        <v>120.001004126149</v>
      </c>
      <c r="C299" s="28" t="n">
        <f aca="false">AVERAGE(D187:D198)</f>
        <v>119.214307415889</v>
      </c>
      <c r="D299" s="28" t="n">
        <f aca="false">AVERAGE(E187:E198)</f>
        <v>157.061917539667</v>
      </c>
      <c r="E299" s="28" t="n">
        <f aca="false">AVERAGE(F187:F198)</f>
        <v>143.888135402029</v>
      </c>
      <c r="F299" s="29"/>
      <c r="G299" s="29"/>
      <c r="H299" s="29"/>
      <c r="I299" s="29"/>
      <c r="J299" s="29"/>
      <c r="K299" s="29"/>
      <c r="L299" s="29"/>
    </row>
    <row r="300" customFormat="false" ht="15" hidden="false" customHeight="false" outlineLevel="0" collapsed="false">
      <c r="A300" s="8" t="s">
        <v>453</v>
      </c>
      <c r="B300" s="28" t="n">
        <f aca="false">AVERAGE(C199:C210)</f>
        <v>114.211276938177</v>
      </c>
      <c r="C300" s="28" t="n">
        <f aca="false">AVERAGE(D199:D210)</f>
        <v>105.311213313138</v>
      </c>
      <c r="D300" s="28" t="n">
        <f aca="false">AVERAGE(E199:E210)</f>
        <v>139.236745336054</v>
      </c>
      <c r="E300" s="28" t="n">
        <f aca="false">AVERAGE(F199:F210)</f>
        <v>128.115696129632</v>
      </c>
      <c r="F300" s="11" t="n">
        <f aca="false">(B300/B299-1)*100</f>
        <v>-4.82473228464465</v>
      </c>
      <c r="G300" s="11" t="n">
        <f aca="false">(C300/C299-1)*100</f>
        <v>-11.662269742715</v>
      </c>
      <c r="H300" s="11" t="n">
        <f aca="false">(D300/D299-1)*100</f>
        <v>-11.3491370045905</v>
      </c>
      <c r="I300" s="30" t="n">
        <f aca="false">(E300/E299-1)*100</f>
        <v>-10.9615982084472</v>
      </c>
      <c r="J300" s="11" t="n">
        <f aca="false">(B300-B299)*'Weights &amp; Assumptions'!$B$25/'Weights &amp; Assumptions'!$B$28/E299*100</f>
        <v>-0.337597626041191</v>
      </c>
      <c r="K300" s="11" t="n">
        <f aca="false">(C300-C299)*'Weights &amp; Assumptions'!$B$26/'Weights &amp; Assumptions'!$B$28/E299*100</f>
        <v>-2.5694096133321</v>
      </c>
      <c r="L300" s="11" t="n">
        <f aca="false">(D300-D299)*'Weights &amp; Assumptions'!$B$27/'Weights &amp; Assumptions'!$B$28/E299*100</f>
        <v>-8.05459096907391</v>
      </c>
    </row>
    <row r="301" customFormat="false" ht="15" hidden="false" customHeight="false" outlineLevel="0" collapsed="false">
      <c r="A301" s="8" t="s">
        <v>454</v>
      </c>
      <c r="B301" s="28" t="n">
        <f aca="false">AVERAGE(C211:C222)</f>
        <v>117.337469504641</v>
      </c>
      <c r="C301" s="28" t="n">
        <f aca="false">AVERAGE(D211:D222)</f>
        <v>124.414116684426</v>
      </c>
      <c r="D301" s="28" t="n">
        <f aca="false">AVERAGE(E211:E222)</f>
        <v>152.370192780619</v>
      </c>
      <c r="E301" s="28" t="n">
        <f aca="false">AVERAGE(F211:F222)</f>
        <v>141.996909168261</v>
      </c>
      <c r="F301" s="11" t="n">
        <f aca="false">(B301/B300-1)*100</f>
        <v>2.73720130820079</v>
      </c>
      <c r="G301" s="11" t="n">
        <f aca="false">(C301/C300-1)*100</f>
        <v>18.1394770512096</v>
      </c>
      <c r="H301" s="11" t="n">
        <f aca="false">(D301/D300-1)*100</f>
        <v>9.43245794266947</v>
      </c>
      <c r="I301" s="30" t="n">
        <f aca="false">(E301/E300-1)*100</f>
        <v>10.8349042763526</v>
      </c>
      <c r="J301" s="11" t="n">
        <f aca="false">(B301-B300)*'Weights &amp; Assumptions'!$B$25/'Weights &amp; Assumptions'!$B$28/E300*100</f>
        <v>0.204729136134291</v>
      </c>
      <c r="K301" s="11" t="n">
        <f aca="false">(C301-C300)*'Weights &amp; Assumptions'!$B$26/'Weights &amp; Assumptions'!$B$28/E300*100</f>
        <v>3.96500651563773</v>
      </c>
      <c r="L301" s="11" t="n">
        <f aca="false">(D301-D300)*'Weights &amp; Assumptions'!$B$27/'Weights &amp; Assumptions'!$B$28/E300*100</f>
        <v>6.6651686245806</v>
      </c>
    </row>
    <row r="302" customFormat="false" ht="15" hidden="false" customHeight="false" outlineLevel="0" collapsed="false">
      <c r="A302" s="8" t="s">
        <v>455</v>
      </c>
      <c r="B302" s="28" t="n">
        <f aca="false">AVERAGE(C223:C234)</f>
        <v>111.980456163443</v>
      </c>
      <c r="C302" s="28" t="n">
        <f aca="false">AVERAGE(D223:D234)</f>
        <v>131.478204412487</v>
      </c>
      <c r="D302" s="28" t="n">
        <f aca="false">AVERAGE(E223:E234)</f>
        <v>161.612759719527</v>
      </c>
      <c r="E302" s="28" t="n">
        <f aca="false">AVERAGE(F223:F234)</f>
        <v>149.435263495723</v>
      </c>
      <c r="F302" s="11" t="n">
        <f aca="false">(B302/B301-1)*100</f>
        <v>-4.56547543066519</v>
      </c>
      <c r="G302" s="11" t="n">
        <f aca="false">(C302/C301-1)*100</f>
        <v>5.67788279683692</v>
      </c>
      <c r="H302" s="11" t="n">
        <f aca="false">(D302/D301-1)*100</f>
        <v>6.06586286349045</v>
      </c>
      <c r="I302" s="30" t="n">
        <f aca="false">(E302/E301-1)*100</f>
        <v>5.23839171643392</v>
      </c>
      <c r="J302" s="11" t="n">
        <f aca="false">(B302-B301)*'Weights &amp; Assumptions'!$B$25/'Weights &amp; Assumptions'!$B$28/E301*100</f>
        <v>-0.316526521638273</v>
      </c>
      <c r="K302" s="11" t="n">
        <f aca="false">(C302-C301)*'Weights &amp; Assumptions'!$B$26/'Weights &amp; Assumptions'!$B$28/E301*100</f>
        <v>1.32289099427941</v>
      </c>
      <c r="L302" s="11" t="n">
        <f aca="false">(D302-D301)*'Weights &amp; Assumptions'!$B$27/'Weights &amp; Assumptions'!$B$28/E301*100</f>
        <v>4.23202724379278</v>
      </c>
    </row>
    <row r="303" customFormat="false" ht="15" hidden="false" customHeight="false" outlineLevel="0" collapsed="false">
      <c r="A303" s="8" t="s">
        <v>456</v>
      </c>
      <c r="B303" s="28" t="n">
        <f aca="false">AVERAGE(C235:C246)</f>
        <v>92.7777905940489</v>
      </c>
      <c r="C303" s="28" t="n">
        <f aca="false">AVERAGE(D235:D246)</f>
        <v>130.958740675303</v>
      </c>
      <c r="D303" s="28" t="n">
        <f aca="false">AVERAGE(E235:E246)</f>
        <v>162.853173565342</v>
      </c>
      <c r="E303" s="28" t="n">
        <f aca="false">AVERAGE(F235:F246)</f>
        <v>148.492503774754</v>
      </c>
      <c r="F303" s="11" t="n">
        <f aca="false">(B303/B302-1)*100</f>
        <v>-17.1482294565456</v>
      </c>
      <c r="G303" s="11" t="n">
        <f aca="false">(C303/C302-1)*100</f>
        <v>-0.395094943306495</v>
      </c>
      <c r="H303" s="11" t="n">
        <f aca="false">(D303/D302-1)*100</f>
        <v>0.767522222854145</v>
      </c>
      <c r="I303" s="30" t="n">
        <f aca="false">(E303/E302-1)*100</f>
        <v>-0.630881693460539</v>
      </c>
      <c r="J303" s="11" t="n">
        <f aca="false">(B303-B302)*'Weights &amp; Assumptions'!$B$25/'Weights &amp; Assumptions'!$B$28/E302*100</f>
        <v>-1.07813884354315</v>
      </c>
      <c r="K303" s="11" t="n">
        <f aca="false">(C303-C302)*'Weights &amp; Assumptions'!$B$26/'Weights &amp; Assumptions'!$B$28/E302*100</f>
        <v>-0.0924376740564061</v>
      </c>
      <c r="L303" s="11" t="n">
        <f aca="false">(D303-D302)*'Weights &amp; Assumptions'!$B$27/'Weights &amp; Assumptions'!$B$28/E302*100</f>
        <v>0.539694824139015</v>
      </c>
    </row>
    <row r="304" customFormat="false" ht="15" hidden="false" customHeight="false" outlineLevel="0" collapsed="false">
      <c r="A304" s="8" t="s">
        <v>457</v>
      </c>
      <c r="B304" s="28" t="n">
        <f aca="false">AVERAGE(C247:C258)</f>
        <v>112.580193737126</v>
      </c>
      <c r="C304" s="28" t="n">
        <f aca="false">AVERAGE(D247:D258)</f>
        <v>118.607767725611</v>
      </c>
      <c r="D304" s="28" t="n">
        <f aca="false">AVERAGE(E247:E258)</f>
        <v>160.128391116909</v>
      </c>
      <c r="E304" s="28" t="n">
        <f aca="false">AVERAGE(F247:F258)</f>
        <v>145.097998738365</v>
      </c>
      <c r="F304" s="11" t="n">
        <f aca="false">(B304/B303-1)*100</f>
        <v>21.3439046309293</v>
      </c>
      <c r="G304" s="11" t="n">
        <f aca="false">(C304/C303-1)*100</f>
        <v>-9.43119404325585</v>
      </c>
      <c r="H304" s="11" t="n">
        <f aca="false">(D304/D303-1)*100</f>
        <v>-1.67315280923277</v>
      </c>
      <c r="I304" s="30" t="n">
        <f aca="false">(E304/E303-1)*100</f>
        <v>-2.28597737266091</v>
      </c>
      <c r="J304" s="11" t="n">
        <f aca="false">(B304-B303)*'Weights &amp; Assumptions'!$B$25/'Weights &amp; Assumptions'!$B$28/E303*100</f>
        <v>1.11887001767531</v>
      </c>
      <c r="K304" s="11" t="n">
        <f aca="false">(C304-C303)*'Weights &amp; Assumptions'!$B$26/'Weights &amp; Assumptions'!$B$28/E303*100</f>
        <v>-2.21178805169807</v>
      </c>
      <c r="L304" s="11" t="n">
        <f aca="false">(D304-D303)*'Weights &amp; Assumptions'!$B$27/'Weights &amp; Assumptions'!$B$28/E303*100</f>
        <v>-1.19305933863815</v>
      </c>
    </row>
    <row r="305" customFormat="false" ht="15" hidden="false" customHeight="false" outlineLevel="0" collapsed="false">
      <c r="A305" s="8" t="s">
        <v>458</v>
      </c>
      <c r="B305" s="28" t="n">
        <f aca="false">AVERAGE(C259:C270)</f>
        <v>119.922744378155</v>
      </c>
      <c r="C305" s="28" t="n">
        <f aca="false">AVERAGE(D259:D270)</f>
        <v>121.720840864643</v>
      </c>
      <c r="D305" s="28" t="n">
        <f aca="false">AVERAGE(E259:E270)</f>
        <v>166.473217857274</v>
      </c>
      <c r="E305" s="28" t="n">
        <f aca="false">AVERAGE(F259:F270)</f>
        <v>150.667155608901</v>
      </c>
      <c r="F305" s="11" t="n">
        <f aca="false">(B305/B304-1)*100</f>
        <v>6.52206253808154</v>
      </c>
      <c r="G305" s="11" t="n">
        <f aca="false">(C305/C304-1)*100</f>
        <v>2.62467897231999</v>
      </c>
      <c r="H305" s="11" t="n">
        <f aca="false">(D305/D304-1)*100</f>
        <v>3.96233715714607</v>
      </c>
      <c r="I305" s="30" t="n">
        <f aca="false">(E305/E304-1)*100</f>
        <v>3.83820377879747</v>
      </c>
      <c r="J305" s="11" t="n">
        <f aca="false">(B305-B304)*'Weights &amp; Assumptions'!$B$25/'Weights &amp; Assumptions'!$B$28/E304*100</f>
        <v>0.424572436971761</v>
      </c>
      <c r="K305" s="11" t="n">
        <f aca="false">(C305-C304)*'Weights &amp; Assumptions'!$B$26/'Weights &amp; Assumptions'!$B$28/E304*100</f>
        <v>0.570525117191188</v>
      </c>
      <c r="L305" s="11" t="n">
        <f aca="false">(D305-D304)*'Weights &amp; Assumptions'!$B$27/'Weights &amp; Assumptions'!$B$28/E304*100</f>
        <v>2.84310622463451</v>
      </c>
    </row>
    <row r="306" customFormat="false" ht="15" hidden="false" customHeight="false" outlineLevel="0" collapsed="false">
      <c r="A306" s="8" t="s">
        <v>459</v>
      </c>
      <c r="B306" s="28" t="n">
        <f aca="false">AVERAGE(C271:C282)</f>
        <v>139.615705888742</v>
      </c>
      <c r="C306" s="28" t="n">
        <f aca="false">AVERAGE(D271:D282)</f>
        <v>120.020015459478</v>
      </c>
      <c r="D306" s="28" t="n">
        <f aca="false">AVERAGE(E271:E282)</f>
        <v>166.706305685416</v>
      </c>
      <c r="E306" s="28" t="n">
        <f aca="false">AVERAGE(F271:F282)</f>
        <v>152.018681722822</v>
      </c>
      <c r="F306" s="11" t="n">
        <f aca="false">(B306/B305-1)*100</f>
        <v>16.4213732871969</v>
      </c>
      <c r="G306" s="11" t="n">
        <f aca="false">(C306/C305-1)*100</f>
        <v>-1.39731650971516</v>
      </c>
      <c r="H306" s="11" t="n">
        <f aca="false">(D306/D305-1)*100</f>
        <v>0.1400152115411</v>
      </c>
      <c r="I306" s="30" t="n">
        <f aca="false">(E306/E305-1)*100</f>
        <v>0.897027695558217</v>
      </c>
      <c r="J306" s="11" t="n">
        <f aca="false">(B306-B305)*'Weights &amp; Assumptions'!$B$25/'Weights &amp; Assumptions'!$B$28/E305*100</f>
        <v>1.09662643627321</v>
      </c>
      <c r="K306" s="11" t="n">
        <f aca="false">(C306-C305)*'Weights &amp; Assumptions'!$B$26/'Weights &amp; Assumptions'!$B$28/E305*100</f>
        <v>-0.300184325976474</v>
      </c>
      <c r="L306" s="11" t="n">
        <f aca="false">(D306-D305)*'Weights &amp; Assumptions'!$B$27/'Weights &amp; Assumptions'!$B$28/E305*100</f>
        <v>0.100585585261498</v>
      </c>
    </row>
    <row r="307" customFormat="false" ht="15" hidden="false" customHeight="false" outlineLevel="0" collapsed="false">
      <c r="A307" s="8" t="s">
        <v>460</v>
      </c>
      <c r="B307" s="28" t="n">
        <f aca="false">AVERAGE(C283:C294)</f>
        <v>147.578883802757</v>
      </c>
      <c r="C307" s="28" t="n">
        <f aca="false">AVERAGE(D283:D294)</f>
        <v>122.288636507743</v>
      </c>
      <c r="D307" s="28" t="n">
        <f aca="false">AVERAGE(E283:E294)</f>
        <v>170.732240570249</v>
      </c>
      <c r="E307" s="28" t="n">
        <f aca="false">AVERAGE(F283:F294)</f>
        <v>155.907654128179</v>
      </c>
      <c r="F307" s="11" t="n">
        <f aca="false">(B307/B306-1)*100</f>
        <v>5.70364047749812</v>
      </c>
      <c r="G307" s="11" t="n">
        <f aca="false">(C307/C306-1)*100</f>
        <v>1.89020226299821</v>
      </c>
      <c r="H307" s="11" t="n">
        <f aca="false">(D307/D306-1)*100</f>
        <v>2.41498656471315</v>
      </c>
      <c r="I307" s="30" t="n">
        <f aca="false">(E307/E306-1)*100</f>
        <v>2.55822005643198</v>
      </c>
      <c r="J307" s="11" t="n">
        <f aca="false">(B307-B306)*'Weights &amp; Assumptions'!$B$25/'Weights &amp; Assumptions'!$B$28/E306*100</f>
        <v>0.439496808127474</v>
      </c>
      <c r="K307" s="11" t="n">
        <f aca="false">(C307-C306)*'Weights &amp; Assumptions'!$B$26/'Weights &amp; Assumptions'!$B$28/E306*100</f>
        <v>0.396836729896637</v>
      </c>
      <c r="L307" s="11" t="n">
        <f aca="false">(D307-D306)*'Weights &amp; Assumptions'!$B$27/'Weights &amp; Assumptions'!$B$28/E306*100</f>
        <v>1.72188651840787</v>
      </c>
    </row>
    <row r="310" customFormat="false" ht="15" hidden="false" customHeight="false" outlineLevel="0" collapsed="false">
      <c r="A310" s="6" t="s">
        <v>461</v>
      </c>
    </row>
    <row r="311" customFormat="false" ht="15" hidden="false" customHeight="false" outlineLevel="0" collapsed="false">
      <c r="A311" s="5" t="s">
        <v>462</v>
      </c>
    </row>
    <row r="312" customFormat="false" ht="15" hidden="false" customHeight="false" outlineLevel="0" collapsed="false">
      <c r="A312" s="7"/>
      <c r="B312" s="7" t="s">
        <v>459</v>
      </c>
      <c r="C312" s="7" t="s">
        <v>460</v>
      </c>
    </row>
    <row r="313" customFormat="false" ht="15" hidden="false" customHeight="false" outlineLevel="0" collapsed="false">
      <c r="A313" s="31" t="s">
        <v>463</v>
      </c>
      <c r="B313" s="11" t="n">
        <f aca="false">(AVERAGE(F271:F275)*5/12+F275*7/12)/E305*0+((SUM(F271:F275)+F275*7)/12/E305-1)*100</f>
        <v>0.553971041296442</v>
      </c>
      <c r="C313" s="11" t="n">
        <f aca="false">(F275/E306-1)*100</f>
        <v>-0.488445357728917</v>
      </c>
    </row>
    <row r="314" customFormat="false" ht="15" hidden="false" customHeight="false" outlineLevel="0" collapsed="false">
      <c r="A314" s="13" t="s">
        <v>464</v>
      </c>
      <c r="B314" s="11" t="n">
        <f aca="false">I306</f>
        <v>0.897027695558217</v>
      </c>
      <c r="C314" s="11" t="n">
        <f aca="false">I307</f>
        <v>2.55822005643198</v>
      </c>
    </row>
    <row r="315" customFormat="false" ht="15" hidden="false" customHeight="false" outlineLevel="0" collapsed="false">
      <c r="A315" s="31" t="s">
        <v>465</v>
      </c>
      <c r="B315" s="11" t="n">
        <f aca="false">B314-B313</f>
        <v>0.343056654261775</v>
      </c>
      <c r="C315" s="11" t="n">
        <f aca="false">C314-C313</f>
        <v>3.0466654141609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5" min="3" style="0" width="12"/>
    <col collapsed="false" customWidth="true" hidden="false" outlineLevel="0" max="6" min="6" style="0" width="15"/>
    <col collapsed="false" customWidth="true" hidden="false" outlineLevel="0" max="8" min="7" style="0" width="12"/>
  </cols>
  <sheetData>
    <row r="1" customFormat="false" ht="17.35" hidden="false" customHeight="false" outlineLevel="0" collapsed="false">
      <c r="A1" s="4" t="s">
        <v>466</v>
      </c>
    </row>
    <row r="2" customFormat="false" ht="15" hidden="false" customHeight="false" outlineLevel="0" collapsed="false">
      <c r="A2" s="5" t="s">
        <v>467</v>
      </c>
    </row>
    <row r="4" customFormat="false" ht="15" hidden="false" customHeight="false" outlineLevel="0" collapsed="false">
      <c r="A4" s="6" t="s">
        <v>468</v>
      </c>
    </row>
    <row r="5" customFormat="false" ht="23.85" hidden="false" customHeight="false" outlineLevel="0" collapsed="false">
      <c r="A5" s="7" t="s">
        <v>469</v>
      </c>
      <c r="B5" s="7" t="s">
        <v>470</v>
      </c>
      <c r="C5" s="7" t="s">
        <v>471</v>
      </c>
      <c r="D5" s="7" t="s">
        <v>472</v>
      </c>
      <c r="E5" s="7" t="s">
        <v>473</v>
      </c>
      <c r="F5" s="7" t="s">
        <v>474</v>
      </c>
      <c r="G5" s="7" t="s">
        <v>475</v>
      </c>
      <c r="H5" s="7" t="s">
        <v>476</v>
      </c>
    </row>
    <row r="6" customFormat="false" ht="15" hidden="false" customHeight="false" outlineLevel="0" collapsed="false">
      <c r="A6" s="32" t="s">
        <v>477</v>
      </c>
      <c r="B6" s="33" t="n">
        <f aca="false">'EMAE Analysis'!B275</f>
        <v>153.62027</v>
      </c>
      <c r="C6" s="34" t="n">
        <f aca="false">'EMAE Analysis'!C275</f>
        <v>-0.464005898802866</v>
      </c>
      <c r="D6" s="34" t="n">
        <f aca="false">'EMAE Analysis'!E275</f>
        <v>-0.0200023289521956</v>
      </c>
      <c r="E6" s="34" t="n">
        <f aca="false">'EMAE Analysis'!F275</f>
        <v>0.886415834135201</v>
      </c>
      <c r="F6" s="34" t="n">
        <f aca="false">'EMAE Analysis'!G275</f>
        <v>1.84016498335997</v>
      </c>
      <c r="G6" s="29"/>
      <c r="H6" s="29"/>
    </row>
    <row r="7" customFormat="false" ht="15" hidden="false" customHeight="false" outlineLevel="0" collapsed="false">
      <c r="A7" s="32" t="s">
        <v>478</v>
      </c>
      <c r="B7" s="33" t="n">
        <f aca="false">'EMAE Analysis'!H275</f>
        <v>151.276153529067</v>
      </c>
      <c r="C7" s="34" t="n">
        <f aca="false">'EMAE Analysis'!I275</f>
        <v>-0.0449842974114212</v>
      </c>
      <c r="D7" s="34" t="n">
        <f aca="false">'EMAE Analysis'!K275</f>
        <v>1.83010090557378</v>
      </c>
      <c r="E7" s="34" t="n">
        <f aca="false">'EMAE Analysis'!L275</f>
        <v>-0.00861358364081521</v>
      </c>
      <c r="F7" s="34" t="n">
        <f aca="false">'EMAE Analysis'!M275</f>
        <v>1.50873545247763</v>
      </c>
      <c r="G7" s="34" t="n">
        <f aca="false">Forecast!I306</f>
        <v>0.897027695558217</v>
      </c>
      <c r="H7" s="34" t="n">
        <f aca="false">Forecast!I307</f>
        <v>2.55822005643198</v>
      </c>
    </row>
    <row r="8" customFormat="false" ht="15" hidden="false" customHeight="false" outlineLevel="0" collapsed="false">
      <c r="A8" s="8" t="s">
        <v>338</v>
      </c>
      <c r="B8" s="33" t="n">
        <f aca="false">'Sub-Index Analysis'!B275</f>
        <v>144.185327441084</v>
      </c>
      <c r="C8" s="34" t="n">
        <f aca="false">'Sub-Index Analysis'!C275</f>
        <v>6.27854780627499</v>
      </c>
      <c r="D8" s="34" t="n">
        <f aca="false">'Sub-Index Analysis'!E275</f>
        <v>30.1890615083446</v>
      </c>
      <c r="E8" s="34" t="n">
        <f aca="false">'Sub-Index Analysis'!F275</f>
        <v>4.37626772786128</v>
      </c>
      <c r="F8" s="34" t="n">
        <f aca="false">'Sub-Index Analysis'!G275</f>
        <v>11.4501414296118</v>
      </c>
      <c r="G8" s="34" t="n">
        <f aca="false">Forecast!F306</f>
        <v>16.4213732871969</v>
      </c>
      <c r="H8" s="34" t="n">
        <f aca="false">Forecast!F307</f>
        <v>5.70364047749812</v>
      </c>
    </row>
    <row r="9" customFormat="false" ht="15" hidden="false" customHeight="false" outlineLevel="0" collapsed="false">
      <c r="A9" s="8" t="s">
        <v>339</v>
      </c>
      <c r="B9" s="33" t="n">
        <f aca="false">'Sub-Index Analysis'!H275</f>
        <v>118.28642060301</v>
      </c>
      <c r="C9" s="34" t="n">
        <f aca="false">'Sub-Index Analysis'!I275</f>
        <v>-2.22084441431566</v>
      </c>
      <c r="D9" s="34" t="n">
        <f aca="false">'Sub-Index Analysis'!K275</f>
        <v>0.437992911147878</v>
      </c>
      <c r="E9" s="34" t="n">
        <f aca="false">'Sub-Index Analysis'!L275</f>
        <v>-1.43744898179198</v>
      </c>
      <c r="F9" s="34" t="n">
        <f aca="false">'Sub-Index Analysis'!M275</f>
        <v>0.258854333525305</v>
      </c>
      <c r="G9" s="34" t="n">
        <f aca="false">Forecast!G306</f>
        <v>-1.39731650971516</v>
      </c>
      <c r="H9" s="34" t="n">
        <f aca="false">Forecast!G307</f>
        <v>1.89020226299821</v>
      </c>
    </row>
    <row r="10" customFormat="false" ht="15" hidden="false" customHeight="false" outlineLevel="0" collapsed="false">
      <c r="A10" s="8" t="s">
        <v>340</v>
      </c>
      <c r="B10" s="33" t="n">
        <f aca="false">'Sub-Index Analysis'!N275</f>
        <v>165.683622195333</v>
      </c>
      <c r="C10" s="34" t="n">
        <f aca="false">'Sub-Index Analysis'!O275</f>
        <v>-0.063384139156808</v>
      </c>
      <c r="D10" s="34" t="n">
        <f aca="false">'Sub-Index Analysis'!Q275</f>
        <v>-0.305488729425885</v>
      </c>
      <c r="E10" s="34" t="n">
        <f aca="false">'Sub-Index Analysis'!R275</f>
        <v>-0.539267438113456</v>
      </c>
      <c r="F10" s="34" t="n">
        <f aca="false">'Sub-Index Analysis'!S275</f>
        <v>0.610334649266564</v>
      </c>
      <c r="G10" s="34" t="n">
        <f aca="false">Forecast!H306</f>
        <v>0.1400152115411</v>
      </c>
      <c r="H10" s="34" t="n">
        <f aca="false">Forecast!H307</f>
        <v>2.41498656471315</v>
      </c>
    </row>
    <row r="13" customFormat="false" ht="15" hidden="false" customHeight="false" outlineLevel="0" collapsed="false">
      <c r="A13" s="6" t="s">
        <v>479</v>
      </c>
    </row>
    <row r="14" customFormat="false" ht="15" hidden="false" customHeight="false" outlineLevel="0" collapsed="false">
      <c r="A14" s="7" t="s">
        <v>331</v>
      </c>
      <c r="B14" s="7" t="s">
        <v>332</v>
      </c>
      <c r="C14" s="7" t="s">
        <v>480</v>
      </c>
      <c r="D14" s="7" t="s">
        <v>470</v>
      </c>
      <c r="E14" s="7" t="s">
        <v>471</v>
      </c>
      <c r="F14" s="7" t="s">
        <v>472</v>
      </c>
      <c r="G14" s="7" t="s">
        <v>473</v>
      </c>
    </row>
    <row r="15" customFormat="false" ht="15" hidden="false" customHeight="false" outlineLevel="0" collapsed="false">
      <c r="A15" s="8" t="s">
        <v>1</v>
      </c>
      <c r="B15" s="35" t="str">
        <f aca="false">'Weights &amp; Assumptions'!B6</f>
        <v>Primary</v>
      </c>
      <c r="C15" s="36" t="n">
        <f aca="false">'Weights &amp; Assumptions'!C6</f>
        <v>8.2873</v>
      </c>
      <c r="D15" s="33" t="n">
        <f aca="false">'SA Data'!C275</f>
        <v>144.426711400562</v>
      </c>
      <c r="E15" s="11" t="n">
        <f aca="false">('SA Data'!C275/'SA Data'!C274-1)*100</f>
        <v>6.25587725130967</v>
      </c>
      <c r="F15" s="11" t="n">
        <f aca="false">((AVERAGE('SA Data'!C273:C275)/AVERAGE('SA Data'!C270:C272))^4-1)*100</f>
        <v>33.3226768364308</v>
      </c>
      <c r="G15" s="34" t="n">
        <f aca="false">IFERROR((Tabelle1!E276/Tabelle1!E264-1)*100,"")</f>
        <v>4.59014825523032</v>
      </c>
    </row>
    <row r="16" customFormat="false" ht="15" hidden="false" customHeight="false" outlineLevel="0" collapsed="false">
      <c r="A16" s="8" t="s">
        <v>2</v>
      </c>
      <c r="B16" s="35" t="str">
        <f aca="false">'Weights &amp; Assumptions'!B7</f>
        <v>Primary</v>
      </c>
      <c r="C16" s="36" t="n">
        <f aca="false">'Weights &amp; Assumptions'!C7</f>
        <v>0.1028</v>
      </c>
      <c r="D16" s="33" t="n">
        <f aca="false">'SA Data'!D275</f>
        <v>124.725976396493</v>
      </c>
      <c r="E16" s="11" t="n">
        <f aca="false">('SA Data'!D275/'SA Data'!D274-1)*100</f>
        <v>8.4382925057787</v>
      </c>
      <c r="F16" s="11" t="n">
        <f aca="false">((AVERAGE('SA Data'!D273:D275)/AVERAGE('SA Data'!D270:D272))^4-1)*100</f>
        <v>-73.716882005161</v>
      </c>
      <c r="G16" s="34" t="n">
        <f aca="false">IFERROR((Tabelle1!F276/Tabelle1!F264-1)*100,"")</f>
        <v>-29.3387704926649</v>
      </c>
    </row>
    <row r="17" customFormat="false" ht="15" hidden="false" customHeight="false" outlineLevel="0" collapsed="false">
      <c r="A17" s="8" t="s">
        <v>3</v>
      </c>
      <c r="B17" s="35" t="str">
        <f aca="false">'Weights &amp; Assumptions'!B8</f>
        <v>Industrial</v>
      </c>
      <c r="C17" s="36" t="n">
        <f aca="false">'Weights &amp; Assumptions'!C8</f>
        <v>3.175</v>
      </c>
      <c r="D17" s="33" t="n">
        <f aca="false">'SA Data'!E275</f>
        <v>136.603892056399</v>
      </c>
      <c r="E17" s="11" t="n">
        <f aca="false">('SA Data'!E275/'SA Data'!E274-1)*100</f>
        <v>-0.0379973818334323</v>
      </c>
      <c r="F17" s="11" t="n">
        <f aca="false">((AVERAGE('SA Data'!E273:E275)/AVERAGE('SA Data'!E270:E272))^4-1)*100</f>
        <v>18.8108626418293</v>
      </c>
      <c r="G17" s="34" t="n">
        <f aca="false">IFERROR((Tabelle1!G276/Tabelle1!G264-1)*100,"")</f>
        <v>15.663150299883</v>
      </c>
    </row>
    <row r="18" customFormat="false" ht="15" hidden="false" customHeight="false" outlineLevel="0" collapsed="false">
      <c r="A18" s="8" t="s">
        <v>4</v>
      </c>
      <c r="B18" s="35" t="str">
        <f aca="false">'Weights &amp; Assumptions'!B9</f>
        <v>Industrial</v>
      </c>
      <c r="C18" s="36" t="n">
        <f aca="false">'Weights &amp; Assumptions'!C9</f>
        <v>17.8771</v>
      </c>
      <c r="D18" s="33" t="n">
        <f aca="false">'SA Data'!F275</f>
        <v>111.151952816861</v>
      </c>
      <c r="E18" s="11" t="n">
        <f aca="false">('SA Data'!F275/'SA Data'!F274-1)*100</f>
        <v>-3.63048207410114</v>
      </c>
      <c r="F18" s="11" t="n">
        <f aca="false">((AVERAGE('SA Data'!F273:F275)/AVERAGE('SA Data'!F270:F272))^4-1)*100</f>
        <v>-3.77737009911802</v>
      </c>
      <c r="G18" s="34" t="n">
        <f aca="false">IFERROR((Tabelle1!H276/Tabelle1!H264-1)*100,"")</f>
        <v>-5.61849184284146</v>
      </c>
    </row>
    <row r="19" customFormat="false" ht="15" hidden="false" customHeight="false" outlineLevel="0" collapsed="false">
      <c r="A19" s="8" t="s">
        <v>5</v>
      </c>
      <c r="B19" s="35" t="str">
        <f aca="false">'Weights &amp; Assumptions'!B10</f>
        <v>Services</v>
      </c>
      <c r="C19" s="36" t="n">
        <f aca="false">'Weights &amp; Assumptions'!C10</f>
        <v>1.8434</v>
      </c>
      <c r="D19" s="33" t="n">
        <f aca="false">'SA Data'!G275</f>
        <v>153.22316559341</v>
      </c>
      <c r="E19" s="11" t="n">
        <f aca="false">('SA Data'!G275/'SA Data'!G274-1)*100</f>
        <v>1.0207969290841</v>
      </c>
      <c r="F19" s="11" t="n">
        <f aca="false">((AVERAGE('SA Data'!G273:G275)/AVERAGE('SA Data'!G270:G272))^4-1)*100</f>
        <v>6.57426824959611</v>
      </c>
      <c r="G19" s="34" t="n">
        <f aca="false">IFERROR((Tabelle1!I276/Tabelle1!I264-1)*100,"")</f>
        <v>7.98944749879458</v>
      </c>
    </row>
    <row r="20" customFormat="false" ht="15" hidden="false" customHeight="false" outlineLevel="0" collapsed="false">
      <c r="A20" s="8" t="s">
        <v>6</v>
      </c>
      <c r="B20" s="35" t="str">
        <f aca="false">'Weights &amp; Assumptions'!B11</f>
        <v>Industrial</v>
      </c>
      <c r="C20" s="36" t="n">
        <f aca="false">'Weights &amp; Assumptions'!C11</f>
        <v>5.5397</v>
      </c>
      <c r="D20" s="33" t="n">
        <f aca="false">'SA Data'!H275</f>
        <v>130.811579401365</v>
      </c>
      <c r="E20" s="11" t="n">
        <f aca="false">('SA Data'!H275/'SA Data'!H274-1)*100</f>
        <v>0.496593389682132</v>
      </c>
      <c r="F20" s="11" t="n">
        <f aca="false">((AVERAGE('SA Data'!H273:H275)/AVERAGE('SA Data'!H270:H272))^4-1)*100</f>
        <v>2.92730150525726</v>
      </c>
      <c r="G20" s="34" t="n">
        <f aca="false">IFERROR((Tabelle1!J276/Tabelle1!J264-1)*100,"")</f>
        <v>1.91806284625202</v>
      </c>
    </row>
    <row r="21" customFormat="false" ht="15" hidden="false" customHeight="false" outlineLevel="0" collapsed="false">
      <c r="A21" s="8" t="s">
        <v>7</v>
      </c>
      <c r="B21" s="35" t="str">
        <f aca="false">'Weights &amp; Assumptions'!B12</f>
        <v>Services</v>
      </c>
      <c r="C21" s="36" t="n">
        <f aca="false">'Weights &amp; Assumptions'!C12</f>
        <v>13.2283</v>
      </c>
      <c r="D21" s="33" t="n">
        <f aca="false">'SA Data'!I275</f>
        <v>149.125008950911</v>
      </c>
      <c r="E21" s="11" t="n">
        <f aca="false">('SA Data'!I275/'SA Data'!I274-1)*100</f>
        <v>-1.85993051245662</v>
      </c>
      <c r="F21" s="11" t="n">
        <f aca="false">((AVERAGE('SA Data'!I273:I275)/AVERAGE('SA Data'!I270:I272))^4-1)*100</f>
        <v>-1.38224240093481</v>
      </c>
      <c r="G21" s="34" t="n">
        <f aca="false">IFERROR((Tabelle1!K276/Tabelle1!K264-1)*100,"")</f>
        <v>-4.31329983956038</v>
      </c>
    </row>
    <row r="22" customFormat="false" ht="15" hidden="false" customHeight="false" outlineLevel="0" collapsed="false">
      <c r="A22" s="8" t="s">
        <v>8</v>
      </c>
      <c r="B22" s="35" t="str">
        <f aca="false">'Weights &amp; Assumptions'!B13</f>
        <v>Services</v>
      </c>
      <c r="C22" s="36" t="n">
        <f aca="false">'Weights &amp; Assumptions'!C13</f>
        <v>3.0404</v>
      </c>
      <c r="D22" s="33" t="n">
        <f aca="false">'SA Data'!J275</f>
        <v>176.684322606312</v>
      </c>
      <c r="E22" s="11" t="n">
        <f aca="false">('SA Data'!J275/'SA Data'!J274-1)*100</f>
        <v>19.9244363447775</v>
      </c>
      <c r="F22" s="11" t="n">
        <f aca="false">((AVERAGE('SA Data'!J273:J275)/AVERAGE('SA Data'!J270:J272))^4-1)*100</f>
        <v>-20.1773248125197</v>
      </c>
      <c r="G22" s="34" t="n">
        <f aca="false">IFERROR((Tabelle1!L276/Tabelle1!L264-1)*100,"")</f>
        <v>-1.79832533811707</v>
      </c>
    </row>
    <row r="23" customFormat="false" ht="15" hidden="false" customHeight="false" outlineLevel="0" collapsed="false">
      <c r="A23" s="8" t="s">
        <v>9</v>
      </c>
      <c r="B23" s="35" t="str">
        <f aca="false">'Weights &amp; Assumptions'!B14</f>
        <v>Services</v>
      </c>
      <c r="C23" s="36" t="n">
        <f aca="false">'Weights &amp; Assumptions'!C14</f>
        <v>9.4699</v>
      </c>
      <c r="D23" s="33" t="n">
        <f aca="false">'SA Data'!K275</f>
        <v>187.907979778355</v>
      </c>
      <c r="E23" s="11" t="n">
        <f aca="false">('SA Data'!K275/'SA Data'!K274-1)*100</f>
        <v>-0.640509857609339</v>
      </c>
      <c r="F23" s="11" t="n">
        <f aca="false">((AVERAGE('SA Data'!K273:K275)/AVERAGE('SA Data'!K270:K272))^4-1)*100</f>
        <v>3.70215970018026</v>
      </c>
      <c r="G23" s="34" t="n">
        <f aca="false">IFERROR((Tabelle1!M276/Tabelle1!M264-1)*100,"")</f>
        <v>0.585071951020844</v>
      </c>
    </row>
    <row r="24" customFormat="false" ht="15" hidden="false" customHeight="false" outlineLevel="0" collapsed="false">
      <c r="A24" s="8" t="s">
        <v>10</v>
      </c>
      <c r="B24" s="35" t="str">
        <f aca="false">'Weights &amp; Assumptions'!B15</f>
        <v>Services</v>
      </c>
      <c r="C24" s="36" t="n">
        <f aca="false">'Weights &amp; Assumptions'!C15</f>
        <v>4.9519</v>
      </c>
      <c r="D24" s="33" t="n">
        <f aca="false">'SA Data'!L275</f>
        <v>193.834339978572</v>
      </c>
      <c r="E24" s="11" t="n">
        <f aca="false">('SA Data'!L275/'SA Data'!L274-1)*100</f>
        <v>-4.81993677504249</v>
      </c>
      <c r="F24" s="11" t="n">
        <f aca="false">((AVERAGE('SA Data'!L273:L275)/AVERAGE('SA Data'!L270:L272))^4-1)*100</f>
        <v>3.01232025564069</v>
      </c>
      <c r="G24" s="34" t="n">
        <f aca="false">IFERROR((Tabelle1!N276/Tabelle1!N264-1)*100,"")</f>
        <v>1.52653189823122</v>
      </c>
    </row>
    <row r="25" customFormat="false" ht="15" hidden="false" customHeight="false" outlineLevel="0" collapsed="false">
      <c r="A25" s="8" t="s">
        <v>11</v>
      </c>
      <c r="B25" s="35" t="str">
        <f aca="false">'Weights &amp; Assumptions'!B16</f>
        <v>Services</v>
      </c>
      <c r="C25" s="36" t="n">
        <f aca="false">'Weights &amp; Assumptions'!C16</f>
        <v>13.2728</v>
      </c>
      <c r="D25" s="33" t="n">
        <f aca="false">'SA Data'!M275</f>
        <v>158.840774173195</v>
      </c>
      <c r="E25" s="11" t="n">
        <f aca="false">('SA Data'!M275/'SA Data'!M274-1)*100</f>
        <v>-0.208967031506724</v>
      </c>
      <c r="F25" s="11" t="n">
        <f aca="false">((AVERAGE('SA Data'!M273:M275)/AVERAGE('SA Data'!M270:M272))^4-1)*100</f>
        <v>1.81101976185676</v>
      </c>
      <c r="G25" s="34" t="n">
        <f aca="false">IFERROR((Tabelle1!O276/Tabelle1!O264-1)*100,"")</f>
        <v>0.356905586423117</v>
      </c>
    </row>
    <row r="26" customFormat="false" ht="15" hidden="false" customHeight="false" outlineLevel="0" collapsed="false">
      <c r="A26" s="8" t="s">
        <v>12</v>
      </c>
      <c r="B26" s="35" t="str">
        <f aca="false">'Weights &amp; Assumptions'!B17</f>
        <v>Services</v>
      </c>
      <c r="C26" s="36" t="n">
        <f aca="false">'Weights &amp; Assumptions'!C17</f>
        <v>6.1054</v>
      </c>
      <c r="D26" s="33" t="n">
        <f aca="false">'SA Data'!N275</f>
        <v>159.42282632206</v>
      </c>
      <c r="E26" s="11" t="n">
        <f aca="false">('SA Data'!N275/'SA Data'!N274-1)*100</f>
        <v>-0.140569237509358</v>
      </c>
      <c r="F26" s="11" t="n">
        <f aca="false">((AVERAGE('SA Data'!N273:N275)/AVERAGE('SA Data'!N270:N272))^4-1)*100</f>
        <v>-0.954053170405889</v>
      </c>
      <c r="G26" s="34" t="n">
        <f aca="false">IFERROR((Tabelle1!P276/Tabelle1!P264-1)*100,"")</f>
        <v>-1.37708325831237</v>
      </c>
    </row>
    <row r="27" customFormat="false" ht="15" hidden="false" customHeight="false" outlineLevel="0" collapsed="false">
      <c r="A27" s="8" t="s">
        <v>13</v>
      </c>
      <c r="B27" s="35" t="str">
        <f aca="false">'Weights &amp; Assumptions'!B18</f>
        <v>Services</v>
      </c>
      <c r="C27" s="36" t="n">
        <f aca="false">'Weights &amp; Assumptions'!C18</f>
        <v>4.8085</v>
      </c>
      <c r="D27" s="33" t="n">
        <f aca="false">'SA Data'!O275</f>
        <v>171.448406441195</v>
      </c>
      <c r="E27" s="11" t="n">
        <f aca="false">('SA Data'!O275/'SA Data'!O274-1)*100</f>
        <v>-0.216686309348557</v>
      </c>
      <c r="F27" s="11" t="n">
        <f aca="false">((AVERAGE('SA Data'!O273:O275)/AVERAGE('SA Data'!O270:O272))^4-1)*100</f>
        <v>-0.721343086215331</v>
      </c>
      <c r="G27" s="34" t="n">
        <f aca="false">IFERROR((Tabelle1!Q276/Tabelle1!Q264-1)*100,"")</f>
        <v>-0.0806384452656461</v>
      </c>
    </row>
    <row r="28" customFormat="false" ht="15" hidden="false" customHeight="false" outlineLevel="0" collapsed="false">
      <c r="A28" s="8" t="s">
        <v>14</v>
      </c>
      <c r="B28" s="35" t="str">
        <f aca="false">'Weights &amp; Assumptions'!B19</f>
        <v>Services</v>
      </c>
      <c r="C28" s="36" t="n">
        <f aca="false">'Weights &amp; Assumptions'!C19</f>
        <v>4.7366</v>
      </c>
      <c r="D28" s="33" t="n">
        <f aca="false">'SA Data'!P275</f>
        <v>185.391484231493</v>
      </c>
      <c r="E28" s="11" t="n">
        <f aca="false">('SA Data'!P275/'SA Data'!P274-1)*100</f>
        <v>0.672821011311253</v>
      </c>
      <c r="F28" s="11" t="n">
        <f aca="false">((AVERAGE('SA Data'!P273:P275)/AVERAGE('SA Data'!P270:P272))^4-1)*100</f>
        <v>0.0144944449257833</v>
      </c>
      <c r="G28" s="34" t="n">
        <f aca="false">IFERROR((Tabelle1!R276/Tabelle1!R264-1)*100,"")</f>
        <v>0.849469450452123</v>
      </c>
    </row>
    <row r="29" customFormat="false" ht="15" hidden="false" customHeight="false" outlineLevel="0" collapsed="false">
      <c r="A29" s="8" t="s">
        <v>15</v>
      </c>
      <c r="B29" s="35" t="str">
        <f aca="false">'Weights &amp; Assumptions'!B20</f>
        <v>Services</v>
      </c>
      <c r="C29" s="36" t="n">
        <f aca="false">'Weights &amp; Assumptions'!C20</f>
        <v>3.5611</v>
      </c>
      <c r="D29" s="33" t="n">
        <f aca="false">'SA Data'!Q275</f>
        <v>128.246759560631</v>
      </c>
      <c r="E29" s="11" t="n">
        <f aca="false">('SA Data'!Q275/'SA Data'!Q274-1)*100</f>
        <v>0.051245821621948</v>
      </c>
      <c r="F29" s="11" t="n">
        <f aca="false">((AVERAGE('SA Data'!Q273:Q275)/AVERAGE('SA Data'!Q270:Q272))^4-1)*100</f>
        <v>-4.63490415732741</v>
      </c>
      <c r="G29" s="34" t="n">
        <f aca="false">IFERROR((Tabelle1!S276/Tabelle1!S264-1)*100,"")</f>
        <v>-1.26539425405252</v>
      </c>
    </row>
  </sheetData>
  <conditionalFormatting sqref="C6:C10">
    <cfRule type="cellIs" priority="2" operator="lessThan" aboveAverage="0" equalAverage="0" bottom="0" percent="0" rank="0" text="" dxfId="0">
      <formula>0</formula>
    </cfRule>
  </conditionalFormatting>
  <conditionalFormatting sqref="D6:D10">
    <cfRule type="cellIs" priority="3" operator="lessThan" aboveAverage="0" equalAverage="0" bottom="0" percent="0" rank="0" text="" dxfId="0">
      <formula>0</formula>
    </cfRule>
  </conditionalFormatting>
  <conditionalFormatting sqref="E6:E10">
    <cfRule type="cellIs" priority="4" operator="lessThan" aboveAverage="0" equalAverage="0" bottom="0" percent="0" rank="0" text="" dxfId="0">
      <formula>0</formula>
    </cfRule>
  </conditionalFormatting>
  <conditionalFormatting sqref="F6:F10">
    <cfRule type="cellIs" priority="5" operator="lessThan" aboveAverage="0" equalAverage="0" bottom="0" percent="0" rank="0" text="" dxfId="0">
      <formula>0</formula>
    </cfRule>
  </conditionalFormatting>
  <conditionalFormatting sqref="G6:G10">
    <cfRule type="cellIs" priority="6" operator="lessThan" aboveAverage="0" equalAverage="0" bottom="0" percent="0" rank="0" text="" dxfId="0">
      <formula>0</formula>
    </cfRule>
  </conditionalFormatting>
  <conditionalFormatting sqref="H6:H10">
    <cfRule type="cellIs" priority="7" operator="lessThan" aboveAverage="0" equalAverage="0" bottom="0" percent="0" rank="0" text="" dxfId="0">
      <formula>0</formula>
    </cfRule>
  </conditionalFormatting>
  <conditionalFormatting sqref="E15:E29">
    <cfRule type="cellIs" priority="8" operator="lessThan" aboveAverage="0" equalAverage="0" bottom="0" percent="0" rank="0" text="" dxfId="0">
      <formula>0</formula>
    </cfRule>
  </conditionalFormatting>
  <conditionalFormatting sqref="F15:F29">
    <cfRule type="cellIs" priority="9" operator="lessThan" aboveAverage="0" equalAverage="0" bottom="0" percent="0" rank="0" text="" dxfId="0">
      <formula>0</formula>
    </cfRule>
  </conditionalFormatting>
  <conditionalFormatting sqref="G15:G29">
    <cfRule type="cellIs" priority="10"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8"/>
  </cols>
  <sheetData>
    <row r="1" customFormat="false" ht="17.35" hidden="false" customHeight="false" outlineLevel="0" collapsed="false">
      <c r="A1" s="4" t="s">
        <v>481</v>
      </c>
    </row>
    <row r="4" customFormat="false" ht="13.5" hidden="false" customHeight="true" outlineLevel="0" collapsed="false">
      <c r="A4" s="37" t="s">
        <v>482</v>
      </c>
      <c r="B4" s="38" t="s">
        <v>483</v>
      </c>
    </row>
    <row r="5" customFormat="false" ht="36" hidden="false" customHeight="true" outlineLevel="0" collapsed="false">
      <c r="A5" s="37" t="s">
        <v>484</v>
      </c>
      <c r="B5" s="38" t="s">
        <v>485</v>
      </c>
    </row>
    <row r="6" customFormat="false" ht="48" hidden="false" customHeight="true" outlineLevel="0" collapsed="false">
      <c r="A6" s="37" t="s">
        <v>486</v>
      </c>
      <c r="B6" s="38" t="s">
        <v>487</v>
      </c>
    </row>
    <row r="7" customFormat="false" ht="36" hidden="false" customHeight="true" outlineLevel="0" collapsed="false">
      <c r="A7" s="37" t="s">
        <v>488</v>
      </c>
      <c r="B7" s="38" t="s">
        <v>489</v>
      </c>
    </row>
    <row r="8" customFormat="false" ht="36" hidden="false" customHeight="true" outlineLevel="0" collapsed="false">
      <c r="A8" s="37" t="s">
        <v>490</v>
      </c>
      <c r="B8" s="38" t="s">
        <v>491</v>
      </c>
    </row>
    <row r="9" customFormat="false" ht="60" hidden="false" customHeight="true" outlineLevel="0" collapsed="false">
      <c r="A9" s="37" t="s">
        <v>492</v>
      </c>
      <c r="B9" s="38" t="s">
        <v>493</v>
      </c>
    </row>
    <row r="10" customFormat="false" ht="24" hidden="false" customHeight="true" outlineLevel="0" collapsed="false">
      <c r="A10" s="37" t="s">
        <v>494</v>
      </c>
      <c r="B10" s="38" t="s">
        <v>495</v>
      </c>
    </row>
    <row r="11" customFormat="false" ht="36" hidden="false" customHeight="true" outlineLevel="0" collapsed="false">
      <c r="A11" s="37" t="s">
        <v>496</v>
      </c>
      <c r="B11" s="38" t="s">
        <v>497</v>
      </c>
    </row>
    <row r="12" customFormat="false" ht="36" hidden="false" customHeight="true" outlineLevel="0" collapsed="false">
      <c r="A12" s="37" t="s">
        <v>498</v>
      </c>
      <c r="B12" s="38" t="s">
        <v>499</v>
      </c>
    </row>
    <row r="13" customFormat="false" ht="36" hidden="false" customHeight="true" outlineLevel="0" collapsed="false">
      <c r="A13" s="37" t="s">
        <v>500</v>
      </c>
      <c r="B13" s="38" t="s">
        <v>501</v>
      </c>
    </row>
    <row r="14" customFormat="false" ht="24" hidden="false" customHeight="true" outlineLevel="0" collapsed="false">
      <c r="A14" s="37" t="s">
        <v>502</v>
      </c>
      <c r="B14" s="38" t="s">
        <v>503</v>
      </c>
    </row>
    <row r="15" customFormat="false" ht="48" hidden="false" customHeight="true" outlineLevel="0" collapsed="false">
      <c r="A15" s="37" t="s">
        <v>504</v>
      </c>
      <c r="B15" s="38"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Rojas, Alberto</dc:creator>
  <dc:description/>
  <dc:language>en-US</dc:language>
  <cp:lastModifiedBy/>
  <dcterms:modified xsi:type="dcterms:W3CDTF">2026-08-03T18:02:23Z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1e85bf-ac82-4d95-8ebe-b1488d74b05a_ActionId">
    <vt:lpwstr>f60b4ce8-edd6-4936-adf8-87c6736e959c</vt:lpwstr>
  </property>
  <property fmtid="{D5CDD505-2E9C-101B-9397-08002B2CF9AE}" pid="3" name="MSIP_Label_0c1e85bf-ac82-4d95-8ebe-b1488d74b05a_ContentBits">
    <vt:lpwstr>0</vt:lpwstr>
  </property>
  <property fmtid="{D5CDD505-2E9C-101B-9397-08002B2CF9AE}" pid="4" name="MSIP_Label_0c1e85bf-ac82-4d95-8ebe-b1488d74b05a_Enabled">
    <vt:lpwstr>true</vt:lpwstr>
  </property>
  <property fmtid="{D5CDD505-2E9C-101B-9397-08002B2CF9AE}" pid="5" name="MSIP_Label_0c1e85bf-ac82-4d95-8ebe-b1488d74b05a_Method">
    <vt:lpwstr>Privileged</vt:lpwstr>
  </property>
  <property fmtid="{D5CDD505-2E9C-101B-9397-08002B2CF9AE}" pid="6" name="MSIP_Label_0c1e85bf-ac82-4d95-8ebe-b1488d74b05a_Name">
    <vt:lpwstr>0c1e85bf-ac82-4d95-8ebe-b1488d74b05a</vt:lpwstr>
  </property>
  <property fmtid="{D5CDD505-2E9C-101B-9397-08002B2CF9AE}" pid="7" name="MSIP_Label_0c1e85bf-ac82-4d95-8ebe-b1488d74b05a_SetDate">
    <vt:lpwstr>2026-08-03T17:43:57Z</vt:lpwstr>
  </property>
  <property fmtid="{D5CDD505-2E9C-101B-9397-08002B2CF9AE}" pid="8" name="MSIP_Label_0c1e85bf-ac82-4d95-8ebe-b1488d74b05a_SiteId">
    <vt:lpwstr>fb6ea403-7cf1-4905-810a-fe5547e98204</vt:lpwstr>
  </property>
  <property fmtid="{D5CDD505-2E9C-101B-9397-08002B2CF9AE}" pid="9" name="MSIP_Label_0c1e85bf-ac82-4d95-8ebe-b1488d74b05a_Tag">
    <vt:lpwstr>10, 0, 1, 1</vt:lpwstr>
  </property>
</Properties>
</file>