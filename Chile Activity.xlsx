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IMACEC monthly" sheetId="2" state="visible" r:id="rId4"/>
    <sheet name="June 2026 detail" sheetId="3" state="visible" r:id="rId5"/>
    <sheet name="GDP and outlook" sheetId="4" state="visible" r:id="rId6"/>
    <sheet name="Two-speed economy" sheetId="5" state="visible" r:id="rId7"/>
    <sheet name="Quarterly GDP" sheetId="6" state="visible" r:id="rId8"/>
    <sheet name="Forecasts" sheetId="7" state="visible" r:id="rId9"/>
    <sheet name="Demand outlook" sheetId="8" state="visible" r:id="rId10"/>
    <sheet name="Source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<sst xmlns="http://schemas.openxmlformats.org/spreadsheetml/2006/main" count="311" uniqueCount="260">
  <si>
    <t xml:space="preserve">Chile — activity: IMACEC, GDP and the two-speed economy</t>
  </si>
  <si>
    <t xml:space="preserve">IMACEC to June 2026 (published 3 August). GDP and projections from DIPRES IFP 1T26. Q2-2026 GDP and Q1 revisions are due 18 August 2026.</t>
  </si>
  <si>
    <t xml:space="preserve">THE SHORT VERSION</t>
  </si>
  <si>
    <t xml:space="preserve">June broke a five-month losing streak</t>
  </si>
  <si>
    <t xml:space="preserve">IMACEC rose 2.4% year on year after five consecutive annual declines. It beat consensus. But the first half still averaged about -0.2% a month — the worst first half since the pandemic year of 2020.</t>
  </si>
  <si>
    <t xml:space="preserve">Read the non-mining number, not the headline</t>
  </si>
  <si>
    <t xml:space="preserve">Headline IMACEC +2.4%; non-mining IMACEC +1.4%. Mining alone grew 9.8%. A full percentage point of the headline is one sector. The central bank itself points to the non-mining series as the better gauge.</t>
  </si>
  <si>
    <t xml:space="preserve">And discount the calendar</t>
  </si>
  <si>
    <t xml:space="preserve">June 2026 had one more working day than June 2025, and the base was not low — June 2025 had itself grown 3.4%. The seasonally adjusted twelve-month rate is 1.4% for the headline and only 0.4% for non-mining.</t>
  </si>
  <si>
    <t xml:space="preserve">Manufacturing is still contracting</t>
  </si>
  <si>
    <t xml:space="preserve">Industry fell 0.7% in June. Goods production rose 3.9% only because of copper. Strip mining out and the productive economy is flat at best.</t>
  </si>
  <si>
    <t xml:space="preserve">THE PATTERN TO NOTICE</t>
  </si>
  <si>
    <t xml:space="preserve">Same shape as Argentina</t>
  </si>
  <si>
    <t xml:space="preserve">A mining and energy boom sitting on top of a stagnant manufacturing base, with the headline aggregate flattering the underlying picture. In Chile the split is institutionalised: the central bank publishes a non-mining IMACEC precisely because the headline is unrepresentative.</t>
  </si>
  <si>
    <t xml:space="preserve">Investment is the bright spot</t>
  </si>
  <si>
    <t xml:space="preserve">Gross fixed capital formation grew 7.0% in 2025 and accelerated through the year, from 4.0% in the first half to 9.7% in the second, led by machinery and equipment for mining and energy. That is capacity being built, and it shows up as import demand now and output later.</t>
  </si>
  <si>
    <t xml:space="preserve">CAVEATS</t>
  </si>
  <si>
    <t xml:space="preserve">Monthly y/y is noisy</t>
  </si>
  <si>
    <t xml:space="preserve">Working-day effects, one-off sectoral events such as fish processing, and revisions all move it. Prefer the seasonally adjusted twelve-month series and the non-mining cut.</t>
  </si>
  <si>
    <t xml:space="preserve">Revisions are routine</t>
  </si>
  <si>
    <t xml:space="preserve">The March 2026 print was reported at -0.1% in the BCCh's own English release and at -0.2% in later reporting. IMACEC is revised alongside quarterly and annual national accounts.</t>
  </si>
  <si>
    <t xml:space="preserve">Projections are DIPRES, not BCCh</t>
  </si>
  <si>
    <t xml:space="preserve">The 2026-2030 GDP path comes from the fiscal report and reflects the Finance Ministry's scenario, not the central bank's. Cross-check against the IPoM before using.</t>
  </si>
  <si>
    <t xml:space="preserve">IMACEC, 2026 monthly</t>
  </si>
  <si>
    <t xml:space="preserve">Percent change on the same month a year earlier.</t>
  </si>
  <si>
    <t xml:space="preserve">Month</t>
  </si>
  <si>
    <t xml:space="preserve">IMACEC
y/y %</t>
  </si>
  <si>
    <t xml:space="preserve">Non-mining
y/y %</t>
  </si>
  <si>
    <t xml:space="preserve">Gap
(pp)</t>
  </si>
  <si>
    <t xml:space="preserve">Note</t>
  </si>
  <si>
    <t xml:space="preserve">Jan-26</t>
  </si>
  <si>
    <t xml:space="preserve">Contraction</t>
  </si>
  <si>
    <t xml:space="preserve">Feb-26</t>
  </si>
  <si>
    <t xml:space="preserve">Mar-26</t>
  </si>
  <si>
    <t xml:space="preserve">BCCh English release reported -0.1%; revised. Goods production -5.2%</t>
  </si>
  <si>
    <t xml:space="preserve">Apr-26</t>
  </si>
  <si>
    <t xml:space="preserve">Worst month of the half</t>
  </si>
  <si>
    <t xml:space="preserve">May-26</t>
  </si>
  <si>
    <t xml:space="preserve">Fifth consecutive decline</t>
  </si>
  <si>
    <t xml:space="preserve">Jun-26</t>
  </si>
  <si>
    <t xml:space="preserve">Streak broken. One extra working day; base was +3.4%</t>
  </si>
  <si>
    <t xml:space="preserve">Average, first half 2026</t>
  </si>
  <si>
    <t xml:space="preserve">About -0.2% on average across the first half — the weakest first half since 2020, when the pandemic produced a 7.6% contraction.</t>
  </si>
  <si>
    <t xml:space="preserve">June 2026, seasonally adjusted</t>
  </si>
  <si>
    <t xml:space="preserve">Series</t>
  </si>
  <si>
    <t xml:space="preserve">m/m %</t>
  </si>
  <si>
    <t xml:space="preserve">12m %</t>
  </si>
  <si>
    <t xml:space="preserve">IMACEC</t>
  </si>
  <si>
    <t xml:space="preserve">Non-mining IMACEC</t>
  </si>
  <si>
    <t xml:space="preserve">The seasonally adjusted twelve-month non-mining rate is 0.4%. That is the cleanest single read on the domestic economy in this pack, and it is close to zero.</t>
  </si>
  <si>
    <t xml:space="preserve">What was in the June print</t>
  </si>
  <si>
    <t xml:space="preserve">Percent change year on year and, where published, seasonally adjusted month on month.</t>
  </si>
  <si>
    <t xml:space="preserve">Sector</t>
  </si>
  <si>
    <t xml:space="preserve">y/y %</t>
  </si>
  <si>
    <t xml:space="preserve">SA m/m %</t>
  </si>
  <si>
    <t xml:space="preserve">Comment</t>
  </si>
  <si>
    <t xml:space="preserve">Mining</t>
  </si>
  <si>
    <t xml:space="preserve">Copper. The single driver of the headline beat</t>
  </si>
  <si>
    <t xml:space="preserve">Goods production</t>
  </si>
  <si>
    <t xml:space="preserve">Rose only because of copper mining</t>
  </si>
  <si>
    <t xml:space="preserve">  Rest of goods</t>
  </si>
  <si>
    <t xml:space="preserve">  Manufacturing</t>
  </si>
  <si>
    <t xml:space="preserve">Fell again, on lower fish processing</t>
  </si>
  <si>
    <t xml:space="preserve">Commerce</t>
  </si>
  <si>
    <t xml:space="preserve">All components positive. Wholesale machinery and equipment led; retail clothing, groceries and online platforms; autos</t>
  </si>
  <si>
    <t xml:space="preserve">Services</t>
  </si>
  <si>
    <t xml:space="preserve">Personal services in health and education, plus business services</t>
  </si>
  <si>
    <t xml:space="preserve">Taxes on products</t>
  </si>
  <si>
    <t xml:space="preserve">The spread between mining at +9.8% and manufacturing at -0.7% is ten and a half points. That is the Chilean economy in one line.</t>
  </si>
  <si>
    <t xml:space="preserve">Commerce at +5.4% is the genuinely encouraging number — it is domestic, broad-based across wholesale, retail and autos, and not a copper derivative. Watch whether it holds.</t>
  </si>
  <si>
    <t xml:space="preserve">GDP: 2025 outturn and the projected path</t>
  </si>
  <si>
    <t xml:space="preserve">Real percent change. Projections are the Finance Ministry scenario in the IFP 1T26.</t>
  </si>
  <si>
    <t xml:space="preserve">Variable</t>
  </si>
  <si>
    <t xml:space="preserve">2025</t>
  </si>
  <si>
    <t xml:space="preserve">2026F</t>
  </si>
  <si>
    <t xml:space="preserve">2027F</t>
  </si>
  <si>
    <t xml:space="preserve">2028F</t>
  </si>
  <si>
    <t xml:space="preserve">2029F</t>
  </si>
  <si>
    <t xml:space="preserve">2030F</t>
  </si>
  <si>
    <t xml:space="preserve">GDP</t>
  </si>
  <si>
    <t xml:space="preserve">  Mining GDP</t>
  </si>
  <si>
    <t xml:space="preserve">  Non-mining GDP</t>
  </si>
  <si>
    <t xml:space="preserve">Domestic demand</t>
  </si>
  <si>
    <t xml:space="preserve">The 2026 forecast was cut from 2.4% to 2.1% entirely on mining, revised from +2.7% to zero. Non-mining was revised UP, from 2.3% to 2.4%. The downgrade is a copper production story, not a demand story.</t>
  </si>
  <si>
    <t xml:space="preserve">2025 demand composition</t>
  </si>
  <si>
    <t xml:space="preserve">Component</t>
  </si>
  <si>
    <t xml:space="preserve">Real y/y %</t>
  </si>
  <si>
    <t xml:space="preserve">Total consumption</t>
  </si>
  <si>
    <t xml:space="preserve">  Private consumption</t>
  </si>
  <si>
    <t xml:space="preserve">Up from 1.1% in 2024; Q4 at 2.8%. All components positive</t>
  </si>
  <si>
    <t xml:space="preserve">Gross fixed capital formation</t>
  </si>
  <si>
    <t xml:space="preserve">Accelerated from 4.0% in H1 to 9.7% in H2</t>
  </si>
  <si>
    <t xml:space="preserve">Exports of goods and services</t>
  </si>
  <si>
    <t xml:space="preserve">Agriculture, mining and industry contributed evenly</t>
  </si>
  <si>
    <t xml:space="preserve">Imports of goods and services</t>
  </si>
  <si>
    <t xml:space="preserve">Led by industrial goods</t>
  </si>
  <si>
    <t xml:space="preserve">Current account (% of GDP)</t>
  </si>
  <si>
    <t xml:space="preserve">Better than the -2.4% expected in the prior report</t>
  </si>
  <si>
    <t xml:space="preserve">Investment is the standout: +7.0% for the year and accelerating, driven by machinery and equipment for the energy and mining build-out. The quarterly seasonally adjusted growth rate averaged its best since 2012 excluding the pandemic rebound years.</t>
  </si>
  <si>
    <t xml:space="preserve">Nominal GDP (billions of pesos)</t>
  </si>
  <si>
    <t xml:space="preserve">2026</t>
  </si>
  <si>
    <t xml:space="preserve">2027</t>
  </si>
  <si>
    <t xml:space="preserve">2028</t>
  </si>
  <si>
    <t xml:space="preserve">2029</t>
  </si>
  <si>
    <t xml:space="preserve">2030</t>
  </si>
  <si>
    <t xml:space="preserve">Nominal GDP</t>
  </si>
  <si>
    <t xml:space="preserve">Use this as the denominator for any ratio work, and note it is consistent with the national accounts revision published by the central bank on 18 March 2026.</t>
  </si>
  <si>
    <t xml:space="preserve">Chart data (transposed)</t>
  </si>
  <si>
    <t xml:space="preserve">Non-mining</t>
  </si>
  <si>
    <t xml:space="preserve">The gap between the headline and the economy most people live in</t>
  </si>
  <si>
    <t xml:space="preserve">Every available cut of the same June month</t>
  </si>
  <si>
    <t xml:space="preserve">Measure</t>
  </si>
  <si>
    <t xml:space="preserve">%</t>
  </si>
  <si>
    <t xml:space="preserve">What it captures</t>
  </si>
  <si>
    <t xml:space="preserve">IMACEC headline, y/y</t>
  </si>
  <si>
    <t xml:space="preserve">Flattered by mining and by an extra working day</t>
  </si>
  <si>
    <t xml:space="preserve">IMACEC non-mining, y/y</t>
  </si>
  <si>
    <t xml:space="preserve">The central bank's preferred gauge</t>
  </si>
  <si>
    <t xml:space="preserve">IMACEC headline, SA 12m</t>
  </si>
  <si>
    <t xml:space="preserve">Calendar effects removed</t>
  </si>
  <si>
    <t xml:space="preserve">IMACEC non-mining, SA 12m</t>
  </si>
  <si>
    <t xml:space="preserve">The cleanest read on the domestic economy</t>
  </si>
  <si>
    <t xml:space="preserve">Manufacturing, y/y</t>
  </si>
  <si>
    <t xml:space="preserve">Still contracting</t>
  </si>
  <si>
    <t xml:space="preserve">Mining, y/y</t>
  </si>
  <si>
    <t xml:space="preserve">The entire source of the beat</t>
  </si>
  <si>
    <t xml:space="preserve">From 9.8% to -0.7% depending on which sector you look at, and from 2.4% to 0.4% depending on which adjustment you apply to the same aggregate. The number you quote determines the story you tell.</t>
  </si>
  <si>
    <t xml:space="preserve">Our view: the 0.4% seasonally adjusted twelve-month non-mining figure is the honest headline. Chilean domestic activity is close to stalled.</t>
  </si>
  <si>
    <t xml:space="preserve">Why this matters beyond the data</t>
  </si>
  <si>
    <t xml:space="preserve">- Mining is capital-intensive and geographically concentrated. Its growth does not translate into broad employment or into the household experience that shows up in polling.</t>
  </si>
  <si>
    <t xml:space="preserve">- That disconnect is visible in the political pack: the economy and unemployment rank as the top public priority at 67%, ahead of security, and 83% say the country faces a labour emergency — while the headline activity number prints positive.</t>
  </si>
  <si>
    <t xml:space="preserve">- It is also the same structural pattern as Argentina: a resource boom masking an industrial contraction, with the political consequences landing in the industrial regions rather than the mining ones.</t>
  </si>
  <si>
    <t xml:space="preserve">- The difference is that Chile institutionalised the distinction. The central bank publishes a non-mining IMACEC as a matter of course, which makes the two-speed economy visible in the official statistics rather than something an analyst has to reconstruct.</t>
  </si>
  <si>
    <t xml:space="preserve">The first quarter of 2026 — the shock that reset the forecasts</t>
  </si>
  <si>
    <t xml:space="preserve">GDP fell 0.5% year on year in Q1-2026. That single print drove the central bank's downgrade.</t>
  </si>
  <si>
    <t xml:space="preserve">What happened</t>
  </si>
  <si>
    <t xml:space="preserve">- GDP fell 0.5% in the first quarter, which the central bank attributes largely to natural-resource sectors — mining, agriculture and fishing.</t>
  </si>
  <si>
    <t xml:space="preserve">- The IMACEC monthly prints corroborate it: January -0.9%, February -0.3%, March -0.2%, averaging about -0.5%.</t>
  </si>
  <si>
    <t xml:space="preserve">- Domestic demand evolved broadly as expected. The surprise was on the supply side, not the demand side.</t>
  </si>
  <si>
    <t xml:space="preserve">- Composition shifted within demand: private consumption kept growing at a similar pace to the prior quarter, government consumption rebounded strongly, and investment weakened.</t>
  </si>
  <si>
    <t xml:space="preserve">- One investment component tied to a pause in energy-sector projects fell 8.1% on the quarter.</t>
  </si>
  <si>
    <t xml:space="preserve">This matters for reading the rest of the year. A resource-sector supply shock is transitory by nature — the central bank explicitly treats it that way, which is why it CUT 2026 and RAISED 2027 in the same report.</t>
  </si>
  <si>
    <t xml:space="preserve">Activity through the first half</t>
  </si>
  <si>
    <t xml:space="preserve">Period</t>
  </si>
  <si>
    <t xml:space="preserve">Q1-2026</t>
  </si>
  <si>
    <t xml:space="preserve">GDP, year on year</t>
  </si>
  <si>
    <t xml:space="preserve">Jan-Jun 2026</t>
  </si>
  <si>
    <t xml:space="preserve">IMACEC, average of monthly y/y prints</t>
  </si>
  <si>
    <t xml:space="preserve">Jun-2026</t>
  </si>
  <si>
    <t xml:space="preserve">IMACEC, y/y</t>
  </si>
  <si>
    <t xml:space="preserve">IMACEC non-mining, seasonally adjusted 12m</t>
  </si>
  <si>
    <t xml:space="preserve">GDP, full year</t>
  </si>
  <si>
    <t xml:space="preserve">The arc: 2.5% growth in 2025, a contraction in Q1-2026, and a June rebound driven by mining. The first half was the weakest since 2020.</t>
  </si>
  <si>
    <t xml:space="preserve">2026 and 2027 forecasts — and why the two official ones disagree</t>
  </si>
  <si>
    <t xml:space="preserve">Banco Central IPoM June 2026 versus DIPRES IFP first quarter 2026.</t>
  </si>
  <si>
    <t xml:space="preserve">GDP growth</t>
  </si>
  <si>
    <t xml:space="preserve">Source</t>
  </si>
  <si>
    <t xml:space="preserve">Vintage</t>
  </si>
  <si>
    <t xml:space="preserve">BCCh IPoM</t>
  </si>
  <si>
    <t xml:space="preserve">June 2026</t>
  </si>
  <si>
    <t xml:space="preserve">1.0 – 1.75</t>
  </si>
  <si>
    <t xml:space="preserve">2.0 – 3.0</t>
  </si>
  <si>
    <t xml:space="preserve">n/p</t>
  </si>
  <si>
    <t xml:space="preserve">March 2026</t>
  </si>
  <si>
    <t xml:space="preserve">1.5 – 2.5</t>
  </si>
  <si>
    <t xml:space="preserve">DIPRES IFP</t>
  </si>
  <si>
    <t xml:space="preserve">Q1 2026 (cut-off 31 Mar)</t>
  </si>
  <si>
    <t xml:space="preserve">2.1</t>
  </si>
  <si>
    <t xml:space="preserve">2.2</t>
  </si>
  <si>
    <t xml:space="preserve">Q4 2025</t>
  </si>
  <si>
    <t xml:space="preserve">2.4</t>
  </si>
  <si>
    <t xml:space="preserve">2.3</t>
  </si>
  <si>
    <t xml:space="preserve">THE KEY OBSERVATION: DIPRES projects 2.1% for 2026. The central bank's entire range tops out at 1.75%. The Finance Ministry's fiscal projections — including the revenue path and therefore the debt trajectory in the companion pack — rest on a growth assumption the central bank has since ruled out.</t>
  </si>
  <si>
    <t xml:space="preserve">In fairness the vintages differ: DIPRES closed its macro scenario on 31 March, the IPoM published on 17 June after the Q1 national accounts. But the fiscal numbers have not been restated, and the gap is not trivial — roughly 0.35pp above the top of the range and 0.7pp above the midpoint.</t>
  </si>
  <si>
    <t xml:space="preserve">Practical implication: treat the IFP revenue and debt projections as optimistic at the margin. A growth shortfall of half a point compounds through the non-mining tax base, which is exactly where the 2025 revenue miss occurred.</t>
  </si>
  <si>
    <t xml:space="preserve">The revision pattern — down for 2026, up for 2027</t>
  </si>
  <si>
    <t xml:space="preserve">Direction</t>
  </si>
  <si>
    <t xml:space="preserve">GDP 2026</t>
  </si>
  <si>
    <t xml:space="preserve">Cut</t>
  </si>
  <si>
    <t xml:space="preserve">GDP 2027</t>
  </si>
  <si>
    <t xml:space="preserve">Raised</t>
  </si>
  <si>
    <t xml:space="preserve">Gross fixed capital formation 2026</t>
  </si>
  <si>
    <t xml:space="preserve">4.0</t>
  </si>
  <si>
    <t xml:space="preserve">Cut sharply</t>
  </si>
  <si>
    <t xml:space="preserve">Gross fixed capital formation 2027</t>
  </si>
  <si>
    <t xml:space="preserve">5.0</t>
  </si>
  <si>
    <t xml:space="preserve">Strong</t>
  </si>
  <si>
    <t xml:space="preserve">Inflation, December 2026</t>
  </si>
  <si>
    <t xml:space="preserve">4.2</t>
  </si>
  <si>
    <t xml:space="preserve">Copper 2026 (US$/lb)</t>
  </si>
  <si>
    <t xml:space="preserve">5.40</t>
  </si>
  <si>
    <t xml:space="preserve">5.80</t>
  </si>
  <si>
    <t xml:space="preserve">Copper 2027 (US$/lb)</t>
  </si>
  <si>
    <t xml:space="preserve">5.10</t>
  </si>
  <si>
    <t xml:space="preserve">5.20</t>
  </si>
  <si>
    <t xml:space="preserve">Copper 2028 (US$/lb)</t>
  </si>
  <si>
    <t xml:space="preserve">5.00</t>
  </si>
  <si>
    <t xml:space="preserve">Unchanged</t>
  </si>
  <si>
    <t xml:space="preserve">The shape of the revision is the message: the central bank cut this year and raised next year in the same report. It is reading the Middle East oil shock, the Q1 resource-sector contraction and the consumption weakness as transitory rather than as a loss of productive capacity.</t>
  </si>
  <si>
    <t xml:space="preserve">Investment is the swing factor. FBCF was cut from 4.0% to 2.2% for 2026 but is projected at 5.0% for 2027, on a mining project pipeline activated by a record copper price. The Corporacion de Bienes de Capital raised its planned amounts for large projects over 2026-2029 by 33%.</t>
  </si>
  <si>
    <t xml:space="preserve">Other assumptions, IPoM June 2026</t>
  </si>
  <si>
    <t xml:space="preserve">Trading partner GDP growth (%)</t>
  </si>
  <si>
    <t xml:space="preserve">Copper price (US$/lb)</t>
  </si>
  <si>
    <t xml:space="preserve">Monetary policy rate (%, held June)</t>
  </si>
  <si>
    <t xml:space="preserve">Note the copper assumption gap as well: the BCCh assumes US$5.80 for 2026 against DIPRES at US$5.46. Here the fiscal projection is CONSERVATIVE, which partly offsets its optimistic growth assumption on the revenue side.</t>
  </si>
  <si>
    <t xml:space="preserve">Chart data</t>
  </si>
  <si>
    <t xml:space="preserve">Low</t>
  </si>
  <si>
    <t xml:space="preserve">High</t>
  </si>
  <si>
    <t xml:space="preserve">DIPRES</t>
  </si>
  <si>
    <t xml:space="preserve">Where the growth comes from</t>
  </si>
  <si>
    <t xml:space="preserve">Central bank view of the demand components, IPoM June 2026.</t>
  </si>
  <si>
    <t xml:space="preserve">Private consumption — moderating</t>
  </si>
  <si>
    <t xml:space="preserve">- The central bank moderated its 2026 private consumption forecast on a less favourable set of determinants.</t>
  </si>
  <si>
    <t xml:space="preserve">- Weak job creation. This is the same labour market that shows up in the political pack, where 83% of respondents say Chile faces a labour emergency and the economy ranks as the top public concern at 67%.</t>
  </si>
  <si>
    <t xml:space="preserve">- The negative impact of higher inflation on real incomes — the fuel shock in the CPI pack, transmitting to household purchasing power.</t>
  </si>
  <si>
    <t xml:space="preserve">- Deteriorating expectations following the Middle East conflict shock.</t>
  </si>
  <si>
    <t xml:space="preserve">Investment — the swing factor</t>
  </si>
  <si>
    <t xml:space="preserve">Value</t>
  </si>
  <si>
    <t xml:space="preserve">FBCF 2025 actual (%)</t>
  </si>
  <si>
    <t xml:space="preserve">FBCF 2026, March forecast (%)</t>
  </si>
  <si>
    <t xml:space="preserve">FBCF 2026, June forecast (%)</t>
  </si>
  <si>
    <t xml:space="preserve">Cut on the Q1 surprise</t>
  </si>
  <si>
    <t xml:space="preserve">FBCF 2027, June forecast (%)</t>
  </si>
  <si>
    <t xml:space="preserve">Mining pipeline activated by record copper</t>
  </si>
  <si>
    <t xml:space="preserve">CBC large-project pipeline 2026-29</t>
  </si>
  <si>
    <t xml:space="preserve">Percent increase in planned amounts</t>
  </si>
  <si>
    <t xml:space="preserve">The investment story is the single most important forward-looking variable in this pack. If the mining capex cycle lands, 2027 growth comes in at the upper half of the 2-3% range. If copper corrects, both the capex and the fiscal revenue assumptions unwind together.</t>
  </si>
  <si>
    <t xml:space="preserve">This is also the constructive read on the external pack: capital goods imports up 10.8% and the energy and mining machinery build-out are the leading edge of that pipeline.</t>
  </si>
  <si>
    <t xml:space="preserve">Composition shift in Q1-2026</t>
  </si>
  <si>
    <t xml:space="preserve">Private consumption</t>
  </si>
  <si>
    <t xml:space="preserve">Similar pace</t>
  </si>
  <si>
    <t xml:space="preserve">Held up at the prior quarter's rate</t>
  </si>
  <si>
    <t xml:space="preserve">Government consumption</t>
  </si>
  <si>
    <t xml:space="preserve">Strong rebound</t>
  </si>
  <si>
    <t xml:space="preserve">Notable jump</t>
  </si>
  <si>
    <t xml:space="preserve">Investment</t>
  </si>
  <si>
    <t xml:space="preserve">Weakened</t>
  </si>
  <si>
    <t xml:space="preserve">Energy project pause, one component -8.1% q/q</t>
  </si>
  <si>
    <t xml:space="preserve">Domestic demand overall</t>
  </si>
  <si>
    <t xml:space="preserve">In line</t>
  </si>
  <si>
    <t xml:space="preserve">The miss was supply-side, not demand-side</t>
  </si>
  <si>
    <t xml:space="preserve">A government consumption rebound sits awkwardly alongside a fiscal consolidation that breached its rule. Worth reconciling against the DIPRES quarterly execution data, where Q1 spending grew 0.7% real with current spending rising and capital spending falling.</t>
  </si>
  <si>
    <t xml:space="preserve">Sources and caveats</t>
  </si>
  <si>
    <t xml:space="preserve">Banco Central de Chile, Imacec junio 2026, published 3 August 2026, plus the BCCh IMACEC page for the March release. Monthly y/y figures for January to May as reported by La Tercera on 3 August.</t>
  </si>
  <si>
    <t xml:space="preserve">GDP and projections</t>
  </si>
  <si>
    <t xml:space="preserve">DIPRES, Informe de Finanzas Publicas primer trimestre 2026, published 25 May 2026, drawing on Banco Central national accounts.</t>
  </si>
  <si>
    <t xml:space="preserve">National accounts revision</t>
  </si>
  <si>
    <t xml:space="preserve">The central bank published revised national accounts on 18 March 2026, which lifted non-mining GDP for 2024 and 2025. Nominal GDP figures here are consistent with it.</t>
  </si>
  <si>
    <t xml:space="preserve">Next release</t>
  </si>
  <si>
    <t xml:space="preserve">Q2-2026 GDP and revisions to Q1-2026 are scheduled for 18 August 2026.</t>
  </si>
  <si>
    <t xml:space="preserve">Forecasts</t>
  </si>
  <si>
    <t xml:space="preserve">Banco Central de Chile, Informe de Politica Monetaria, June 2026, published 17 June 2026, with the March 2026 IPoM as the prior vintage. DIPRES IFP first quarter 2026 for the fiscal scenario.</t>
  </si>
  <si>
    <t xml:space="preserve">Vintage mismatch</t>
  </si>
  <si>
    <t xml:space="preserve">DIPRES closed its macro scenario on 31 March 2026; the IPoM published on 17 June after Q1 national accounts. The DIPRES growth assumption of 2.1% for 2026 sits above the entire BCCh range of 1.0-1.75% and has not been restated.</t>
  </si>
  <si>
    <t xml:space="preserve">March discrepancy</t>
  </si>
  <si>
    <t xml:space="preserve">The BCCh English release reported March 2026 at -0.1% y/y; later reporting gives -0.2%. IMACEC is revised alongside quarterly and annual national accounts, so both are plausible vintages. Shown as -0.2% with the discrepancy flagged.</t>
  </si>
  <si>
    <t xml:space="preserve">Projection provenance</t>
  </si>
  <si>
    <t xml:space="preserve">The 2026-2030 GDP path is the Finance Ministry's scenario used for fiscal projection, not the central bank's IPoM forecast. Cross-check before use.</t>
  </si>
  <si>
    <t xml:space="preserve">Prepared</t>
  </si>
  <si>
    <t xml:space="preserve">4 August 2026.</t>
  </si>
</sst>
</file>

<file path=xl/styles.xml><?xml version="1.0" encoding="utf-8"?>
<styleSheet xmlns="http://schemas.openxmlformats.org/spreadsheetml/2006/main">
  <numFmts count="6">
    <numFmt numFmtId="164" formatCode="General"/>
    <numFmt numFmtId="165" formatCode="\+0.0;\-0.0;\-"/>
    <numFmt numFmtId="166" formatCode="0.0"/>
    <numFmt numFmtId="167" formatCode="#,##0;\(#,##0\);\-"/>
    <numFmt numFmtId="168" formatCode="#,##0.00;\(#,##0.00\);\-"/>
    <numFmt numFmtId="169" formatCode="#,##0.0;\(#,##0.0\);\-"/>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6B6B6B"/>
      <name val="Arial"/>
      <family val="0"/>
      <charset val="1"/>
    </font>
    <font>
      <b val="true"/>
      <sz val="11"/>
      <color rgb="FF1F3B63"/>
      <name val="Arial"/>
      <family val="0"/>
      <charset val="1"/>
    </font>
    <font>
      <b val="true"/>
      <sz val="9"/>
      <color rgb="FF1A1A1A"/>
      <name val="Arial"/>
      <family val="0"/>
      <charset val="1"/>
    </font>
    <font>
      <sz val="9"/>
      <color rgb="FF1A1A1A"/>
      <name val="Arial"/>
      <family val="0"/>
      <charset val="1"/>
    </font>
    <font>
      <sz val="9"/>
      <color rgb="FF0000FF"/>
      <name val="Arial"/>
      <family val="0"/>
      <charset val="1"/>
    </font>
    <font>
      <i val="true"/>
      <sz val="8"/>
      <color rgb="FF6B6B6B"/>
      <name val="Arial"/>
      <family val="0"/>
      <charset val="1"/>
    </font>
    <font>
      <b val="true"/>
      <sz val="9"/>
      <color rgb="FF0000FF"/>
      <name val="Arial"/>
      <family val="0"/>
      <charset val="1"/>
    </font>
    <font>
      <b val="true"/>
      <sz val="18"/>
      <color rgb="FF000000"/>
      <name val="Calibri"/>
      <family val="2"/>
    </font>
    <font>
      <sz val="10"/>
      <color rgb="FF000000"/>
      <name val="Calibri"/>
      <family val="2"/>
    </font>
    <font>
      <sz val="9"/>
      <color rgb="FF6B6B6B"/>
      <name val="Arial"/>
      <family val="0"/>
      <charset val="1"/>
    </font>
    <font>
      <i val="true"/>
      <sz val="9"/>
      <color rgb="FFC00000"/>
      <name val="Arial"/>
      <family val="0"/>
      <charset val="1"/>
    </font>
  </fonts>
  <fills count="4">
    <fill>
      <patternFill patternType="none"/>
    </fill>
    <fill>
      <patternFill patternType="gray125"/>
    </fill>
    <fill>
      <patternFill patternType="solid">
        <fgColor rgb="FF1F3B63"/>
        <bgColor rgb="FF2F5C8F"/>
      </patternFill>
    </fill>
    <fill>
      <patternFill patternType="solid">
        <fgColor rgb="FFF2F4F7"/>
        <bgColor rgb="FFFFFFFF"/>
      </patternFill>
    </fill>
  </fills>
  <borders count="2">
    <border diagonalUp="false" diagonalDown="false">
      <left/>
      <right/>
      <top/>
      <bottom/>
      <diagonal/>
    </border>
    <border diagonalUp="false" diagonalDown="false">
      <left/>
      <right/>
      <top/>
      <bottom style="thin">
        <color rgb="FF1F3B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color rgb="FFC00000"/>
        <sz val="9"/>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D1495B"/>
      <rgbColor rgb="FFF2F4F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33D"/>
      <rgbColor rgb="FFFF6600"/>
      <rgbColor rgb="FF6B6B6B"/>
      <rgbColor rgb="FF969696"/>
      <rgbColor rgb="FF1F3B63"/>
      <rgbColor rgb="FF4F9D69"/>
      <rgbColor rgb="FF003300"/>
      <rgbColor rgb="FF333300"/>
      <rgbColor rgb="FF993300"/>
      <rgbColor rgb="FF993366"/>
      <rgbColor rgb="FF2F5C8F"/>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IMACEC year on year, 2026 (%)</a:t>
            </a:r>
          </a:p>
        </c:rich>
      </c:tx>
      <c:overlay val="0"/>
      <c:spPr>
        <a:noFill/>
        <a:ln w="0">
          <a:noFill/>
        </a:ln>
      </c:spPr>
    </c:title>
    <c:autoTitleDeleted val="0"/>
    <c:plotArea>
      <c:lineChart>
        <c:grouping val="standard"/>
        <c:varyColors val="0"/>
        <c:ser>
          <c:idx val="0"/>
          <c:order val="0"/>
          <c:tx>
            <c:strRef>
              <c:f>'IMACEC monthly'!C7</c:f>
              <c:strCache>
                <c:ptCount val="1"/>
                <c:pt idx="0">
                  <c:v>IMACEC
y/y %</c:v>
                </c:pt>
              </c:strCache>
            </c:strRef>
          </c:tx>
          <c:spPr>
            <a:solidFill>
              <a:srgbClr val="2f5c8f"/>
            </a:solidFill>
            <a:ln w="2988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'IMACEC monthly'!$B$8:$B$13</c:f>
              <c:strCache>
                <c:ptCount val="6"/>
                <c:pt idx="0">
                  <c:v>Jan-26</c:v>
                </c:pt>
                <c:pt idx="1">
                  <c:v>Feb-26</c:v>
                </c:pt>
                <c:pt idx="2">
                  <c:v>Mar-26</c:v>
                </c:pt>
                <c:pt idx="3">
                  <c:v>Apr-26</c:v>
                </c:pt>
                <c:pt idx="4">
                  <c:v>May-26</c:v>
                </c:pt>
                <c:pt idx="5">
                  <c:v>Jun-26</c:v>
                </c:pt>
              </c:strCache>
            </c:strRef>
          </c:cat>
          <c:val>
            <c:numRef>
              <c:f>'IMACEC monthly'!$C$8:$C$13</c:f>
              <c:numCache>
                <c:formatCode>\+0.0;\-0.0;\-</c:formatCode>
                <c:ptCount val="6"/>
                <c:pt idx="0">
                  <c:v>-0.9</c:v>
                </c:pt>
                <c:pt idx="1">
                  <c:v>-0.3</c:v>
                </c:pt>
                <c:pt idx="2">
                  <c:v>-0.2</c:v>
                </c:pt>
                <c:pt idx="3">
                  <c:v>-1.2</c:v>
                </c:pt>
                <c:pt idx="4">
                  <c:v>-0.9</c:v>
                </c:pt>
                <c:pt idx="5">
                  <c:v>2.4</c:v>
                </c:pt>
              </c:numCache>
            </c:numRef>
          </c:val>
          <c:smooth val="0"/>
        </c:ser>
        <c:hiLowLines>
          <c:spPr>
            <a:ln w="0">
              <a:noFill/>
            </a:ln>
          </c:spPr>
        </c:hiLowLines>
        <c:marker val="0"/>
        <c:axId val="25605722"/>
        <c:axId val="19810899"/>
      </c:lineChart>
      <c:catAx>
        <c:axId val="2560572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810899"/>
        <c:crosses val="autoZero"/>
        <c:auto val="1"/>
        <c:lblAlgn val="ctr"/>
        <c:lblOffset val="100"/>
        <c:noMultiLvlLbl val="0"/>
      </c:catAx>
      <c:valAx>
        <c:axId val="1981089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60572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June 2026 by sector, y/y (%)</a:t>
            </a:r>
          </a:p>
        </c:rich>
      </c:tx>
      <c:overlay val="0"/>
      <c:spPr>
        <a:noFill/>
        <a:ln w="0">
          <a:noFill/>
        </a:ln>
      </c:spPr>
    </c:title>
    <c:autoTitleDeleted val="0"/>
    <c:plotArea>
      <c:barChart>
        <c:barDir val="col"/>
        <c:grouping val="clustered"/>
        <c:varyColors val="0"/>
        <c:ser>
          <c:idx val="0"/>
          <c:order val="0"/>
          <c:tx>
            <c:strRef>
              <c:f>'June 2026 detail'!C7</c:f>
              <c:strCache>
                <c:ptCount val="1"/>
                <c:pt idx="0">
                  <c:v>y/y %</c:v>
                </c:pt>
              </c:strCache>
            </c:strRef>
          </c:tx>
          <c:spPr>
            <a:solidFill>
              <a:srgbClr val="2f5c8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'June 2026 detail'!$B$8:$B$14</c:f>
              <c:strCache>
                <c:ptCount val="7"/>
                <c:pt idx="0">
                  <c:v>Mining</c:v>
                </c:pt>
                <c:pt idx="1">
                  <c:v>Goods production</c:v>
                </c:pt>
                <c:pt idx="2">
                  <c:v>  Rest of goods</c:v>
                </c:pt>
                <c:pt idx="3">
                  <c:v>  Manufacturing</c:v>
                </c:pt>
                <c:pt idx="4">
                  <c:v>Commerce</c:v>
                </c:pt>
                <c:pt idx="5">
                  <c:v>Services</c:v>
                </c:pt>
                <c:pt idx="6">
                  <c:v>Taxes on products</c:v>
                </c:pt>
              </c:strCache>
            </c:strRef>
          </c:cat>
          <c:val>
            <c:numRef>
              <c:f>'June 2026 detail'!$C$8:$C$14</c:f>
              <c:numCache>
                <c:formatCode>\+0.0;\-0.0;\-</c:formatCode>
                <c:ptCount val="7"/>
                <c:pt idx="0">
                  <c:v>9.8</c:v>
                </c:pt>
                <c:pt idx="1">
                  <c:v>3.9</c:v>
                </c:pt>
                <c:pt idx="2">
                  <c:v>1</c:v>
                </c:pt>
                <c:pt idx="3">
                  <c:v>-0.7</c:v>
                </c:pt>
                <c:pt idx="4">
                  <c:v>5.4</c:v>
                </c:pt>
                <c:pt idx="5">
                  <c:v>1.7</c:v>
                </c:pt>
                <c:pt idx="6">
                  <c:v>-1.2</c:v>
                </c:pt>
              </c:numCache>
            </c:numRef>
          </c:val>
        </c:ser>
        <c:gapWidth val="150"/>
        <c:overlap val="0"/>
        <c:axId val="615257"/>
        <c:axId val="56357099"/>
      </c:barChart>
      <c:catAx>
        <c:axId val="61525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357099"/>
        <c:crosses val="autoZero"/>
        <c:auto val="1"/>
        <c:lblAlgn val="ctr"/>
        <c:lblOffset val="100"/>
        <c:noMultiLvlLbl val="0"/>
      </c:catAx>
      <c:valAx>
        <c:axId val="5635709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525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GDP: total vs mining vs non-mining (real y/y %)</a:t>
            </a:r>
          </a:p>
        </c:rich>
      </c:tx>
      <c:overlay val="0"/>
      <c:spPr>
        <a:noFill/>
        <a:ln w="0">
          <a:noFill/>
        </a:ln>
      </c:spPr>
    </c:title>
    <c:autoTitleDeleted val="0"/>
    <c:plotArea>
      <c:lineChart>
        <c:grouping val="standard"/>
        <c:varyColors val="0"/>
        <c:ser>
          <c:idx val="0"/>
          <c:order val="0"/>
          <c:tx>
            <c:strRef>
              <c:f>'GDP and outlook'!C33</c:f>
              <c:strCache>
                <c:ptCount val="1"/>
                <c:pt idx="0">
                  <c:v>GDP</c:v>
                </c:pt>
              </c:strCache>
            </c:strRef>
          </c:tx>
          <c:spPr>
            <a:solidFill>
              <a:srgbClr val="1a1a1a"/>
            </a:solidFill>
            <a:ln w="28080">
              <a:solidFill>
                <a:srgbClr val="1a1a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'GDP and outlook'!$B$34:$B$39</c:f>
              <c:strCache>
                <c:ptCount val="6"/>
                <c:pt idx="0">
                  <c:v>2025</c:v>
                </c:pt>
                <c:pt idx="1">
                  <c:v>2026F</c:v>
                </c:pt>
                <c:pt idx="2">
                  <c:v>2027F</c:v>
                </c:pt>
                <c:pt idx="3">
                  <c:v>2028F</c:v>
                </c:pt>
                <c:pt idx="4">
                  <c:v>2029F</c:v>
                </c:pt>
                <c:pt idx="5">
                  <c:v>2030F</c:v>
                </c:pt>
              </c:strCache>
            </c:strRef>
          </c:cat>
          <c:val>
            <c:numRef>
              <c:f>'GDP and outlook'!$C$34:$C$39</c:f>
              <c:numCache>
                <c:formatCode>\+0.0;\-0.0;\-</c:formatCode>
                <c:ptCount val="6"/>
                <c:pt idx="0">
                  <c:v>2.5</c:v>
                </c:pt>
                <c:pt idx="1">
                  <c:v>2.1</c:v>
                </c:pt>
                <c:pt idx="2">
                  <c:v>2.2</c:v>
                </c:pt>
                <c:pt idx="3">
                  <c:v>2.2</c:v>
                </c:pt>
                <c:pt idx="4">
                  <c:v>2.2</c:v>
                </c:pt>
                <c:pt idx="5">
                  <c:v>2.3</c:v>
                </c:pt>
              </c:numCache>
            </c:numRef>
          </c:val>
          <c:smooth val="0"/>
        </c:ser>
        <c:ser>
          <c:idx val="1"/>
          <c:order val="1"/>
          <c:tx>
            <c:strRef>
              <c:f>'GDP and outlook'!D33</c:f>
              <c:strCache>
                <c:ptCount val="1"/>
                <c:pt idx="0">
                  <c:v>Mining</c:v>
                </c:pt>
              </c:strCache>
            </c:strRef>
          </c:tx>
          <c:spPr>
            <a:solidFill>
              <a:srgbClr val="e8a33d"/>
            </a:solidFill>
            <a:ln w="28080">
              <a:solidFill>
                <a:srgbClr val="e8a33d"/>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'GDP and outlook'!$B$34:$B$39</c:f>
              <c:strCache>
                <c:ptCount val="6"/>
                <c:pt idx="0">
                  <c:v>2025</c:v>
                </c:pt>
                <c:pt idx="1">
                  <c:v>2026F</c:v>
                </c:pt>
                <c:pt idx="2">
                  <c:v>2027F</c:v>
                </c:pt>
                <c:pt idx="3">
                  <c:v>2028F</c:v>
                </c:pt>
                <c:pt idx="4">
                  <c:v>2029F</c:v>
                </c:pt>
                <c:pt idx="5">
                  <c:v>2030F</c:v>
                </c:pt>
              </c:strCache>
            </c:strRef>
          </c:cat>
          <c:val>
            <c:numRef>
              <c:f>'GDP and outlook'!$D$34:$D$39</c:f>
              <c:numCache>
                <c:formatCode>\+0.0;\-0.0;\-</c:formatCode>
                <c:ptCount val="6"/>
                <c:pt idx="0">
                  <c:v>-1.3</c:v>
                </c:pt>
                <c:pt idx="1">
                  <c:v>0</c:v>
                </c:pt>
                <c:pt idx="2">
                  <c:v>1.3</c:v>
                </c:pt>
                <c:pt idx="3">
                  <c:v>1.6</c:v>
                </c:pt>
                <c:pt idx="4">
                  <c:v>2.3</c:v>
                </c:pt>
                <c:pt idx="5">
                  <c:v>3.2</c:v>
                </c:pt>
              </c:numCache>
            </c:numRef>
          </c:val>
          <c:smooth val="0"/>
        </c:ser>
        <c:ser>
          <c:idx val="2"/>
          <c:order val="2"/>
          <c:tx>
            <c:strRef>
              <c:f>'GDP and outlook'!E33</c:f>
              <c:strCache>
                <c:ptCount val="1"/>
                <c:pt idx="0">
                  <c:v>Non-mining</c:v>
                </c:pt>
              </c:strCache>
            </c:strRef>
          </c:tx>
          <c:spPr>
            <a:solidFill>
              <a:srgbClr val="2f5c8f"/>
            </a:solidFill>
            <a:ln w="2808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'GDP and outlook'!$B$34:$B$39</c:f>
              <c:strCache>
                <c:ptCount val="6"/>
                <c:pt idx="0">
                  <c:v>2025</c:v>
                </c:pt>
                <c:pt idx="1">
                  <c:v>2026F</c:v>
                </c:pt>
                <c:pt idx="2">
                  <c:v>2027F</c:v>
                </c:pt>
                <c:pt idx="3">
                  <c:v>2028F</c:v>
                </c:pt>
                <c:pt idx="4">
                  <c:v>2029F</c:v>
                </c:pt>
                <c:pt idx="5">
                  <c:v>2030F</c:v>
                </c:pt>
              </c:strCache>
            </c:strRef>
          </c:cat>
          <c:val>
            <c:numRef>
              <c:f>'GDP and outlook'!$E$34:$E$39</c:f>
              <c:numCache>
                <c:formatCode>\+0.0;\-0.0;\-</c:formatCode>
                <c:ptCount val="6"/>
                <c:pt idx="0">
                  <c:v>3</c:v>
                </c:pt>
                <c:pt idx="1">
                  <c:v>2.4</c:v>
                </c:pt>
                <c:pt idx="2">
                  <c:v>2.4</c:v>
                </c:pt>
                <c:pt idx="3">
                  <c:v>2.3</c:v>
                </c:pt>
                <c:pt idx="4">
                  <c:v>2.2</c:v>
                </c:pt>
                <c:pt idx="5">
                  <c:v>2.2</c:v>
                </c:pt>
              </c:numCache>
            </c:numRef>
          </c:val>
          <c:smooth val="0"/>
        </c:ser>
        <c:hiLowLines>
          <c:spPr>
            <a:ln w="0">
              <a:noFill/>
            </a:ln>
          </c:spPr>
        </c:hiLowLines>
        <c:marker val="0"/>
        <c:axId val="73386944"/>
        <c:axId val="48894264"/>
      </c:lineChart>
      <c:catAx>
        <c:axId val="733869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894264"/>
        <c:crosses val="autoZero"/>
        <c:auto val="1"/>
        <c:lblAlgn val="ctr"/>
        <c:lblOffset val="100"/>
        <c:noMultiLvlLbl val="0"/>
      </c:catAx>
      <c:valAx>
        <c:axId val="488942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38694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same month, six different answers (%)</a:t>
            </a:r>
          </a:p>
        </c:rich>
      </c:tx>
      <c:overlay val="0"/>
      <c:spPr>
        <a:noFill/>
        <a:ln w="0">
          <a:noFill/>
        </a:ln>
      </c:spPr>
    </c:title>
    <c:autoTitleDeleted val="0"/>
    <c:plotArea>
      <c:barChart>
        <c:barDir val="col"/>
        <c:grouping val="clustered"/>
        <c:varyColors val="0"/>
        <c:ser>
          <c:idx val="0"/>
          <c:order val="0"/>
          <c:tx>
            <c:strRef>
              <c:f>'Two-speed economy'!C6</c:f>
              <c:strCache>
                <c:ptCount val="1"/>
                <c:pt idx="0">
                  <c:v>%</c:v>
                </c:pt>
              </c:strCache>
            </c:strRef>
          </c:tx>
          <c:spPr>
            <a:solidFill>
              <a:srgbClr val="d1495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'Two-speed economy'!$B$7:$B$12</c:f>
              <c:strCache>
                <c:ptCount val="6"/>
                <c:pt idx="0">
                  <c:v>IMACEC headline, y/y</c:v>
                </c:pt>
                <c:pt idx="1">
                  <c:v>IMACEC non-mining, y/y</c:v>
                </c:pt>
                <c:pt idx="2">
                  <c:v>IMACEC headline, SA 12m</c:v>
                </c:pt>
                <c:pt idx="3">
                  <c:v>IMACEC non-mining, SA 12m</c:v>
                </c:pt>
                <c:pt idx="4">
                  <c:v>Manufacturing, y/y</c:v>
                </c:pt>
                <c:pt idx="5">
                  <c:v>Mining, y/y</c:v>
                </c:pt>
              </c:strCache>
            </c:strRef>
          </c:cat>
          <c:val>
            <c:numRef>
              <c:f>'Two-speed economy'!$C$7:$C$12</c:f>
              <c:numCache>
                <c:formatCode>\+0.0;\-0.0;\-</c:formatCode>
                <c:ptCount val="6"/>
                <c:pt idx="0">
                  <c:v>2.4</c:v>
                </c:pt>
                <c:pt idx="1">
                  <c:v>1.4</c:v>
                </c:pt>
                <c:pt idx="2">
                  <c:v>1.4</c:v>
                </c:pt>
                <c:pt idx="3">
                  <c:v>0.4</c:v>
                </c:pt>
                <c:pt idx="4">
                  <c:v>-0.7</c:v>
                </c:pt>
                <c:pt idx="5">
                  <c:v>9.8</c:v>
                </c:pt>
              </c:numCache>
            </c:numRef>
          </c:val>
        </c:ser>
        <c:gapWidth val="150"/>
        <c:overlap val="0"/>
        <c:axId val="96206606"/>
        <c:axId val="30367153"/>
      </c:barChart>
      <c:catAx>
        <c:axId val="9620660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367153"/>
        <c:crosses val="autoZero"/>
        <c:auto val="1"/>
        <c:lblAlgn val="ctr"/>
        <c:lblOffset val="100"/>
        <c:noMultiLvlLbl val="0"/>
      </c:catAx>
      <c:valAx>
        <c:axId val="3036715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20660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GDP 2026 and 2027: the forecast range (%)</a:t>
            </a:r>
          </a:p>
        </c:rich>
      </c:tx>
      <c:overlay val="0"/>
      <c:spPr>
        <a:noFill/>
        <a:ln w="0">
          <a:noFill/>
        </a:ln>
      </c:spPr>
    </c:title>
    <c:autoTitleDeleted val="0"/>
    <c:plotArea>
      <c:barChart>
        <c:barDir val="col"/>
        <c:grouping val="clustered"/>
        <c:varyColors val="0"/>
        <c:ser>
          <c:idx val="0"/>
          <c:order val="0"/>
          <c:tx>
            <c:strRef>
              <c:f>Forecasts!C40</c:f>
              <c:strCache>
                <c:ptCount val="1"/>
                <c:pt idx="0">
                  <c:v>Low</c:v>
                </c:pt>
              </c:strCache>
            </c:strRef>
          </c:tx>
          <c:spPr>
            <a:solidFill>
              <a:srgbClr val="2f5c8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Forecasts!$B$41:$B$42</c:f>
              <c:strCache>
                <c:ptCount val="2"/>
                <c:pt idx="0">
                  <c:v>2026</c:v>
                </c:pt>
                <c:pt idx="1">
                  <c:v>2027</c:v>
                </c:pt>
              </c:strCache>
            </c:strRef>
          </c:cat>
          <c:val>
            <c:numRef>
              <c:f>Forecasts!$C$41:$C$42</c:f>
              <c:numCache>
                <c:formatCode>#,##0.00;\(#,##0.00\);\-</c:formatCode>
                <c:ptCount val="2"/>
                <c:pt idx="0">
                  <c:v>1</c:v>
                </c:pt>
                <c:pt idx="1">
                  <c:v>2</c:v>
                </c:pt>
              </c:numCache>
            </c:numRef>
          </c:val>
        </c:ser>
        <c:ser>
          <c:idx val="1"/>
          <c:order val="1"/>
          <c:tx>
            <c:strRef>
              <c:f>Forecasts!D40</c:f>
              <c:strCache>
                <c:ptCount val="1"/>
                <c:pt idx="0">
                  <c:v>High</c:v>
                </c:pt>
              </c:strCache>
            </c:strRef>
          </c:tx>
          <c:spPr>
            <a:solidFill>
              <a:srgbClr val="4f9d6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Forecasts!$B$41:$B$42</c:f>
              <c:strCache>
                <c:ptCount val="2"/>
                <c:pt idx="0">
                  <c:v>2026</c:v>
                </c:pt>
                <c:pt idx="1">
                  <c:v>2027</c:v>
                </c:pt>
              </c:strCache>
            </c:strRef>
          </c:cat>
          <c:val>
            <c:numRef>
              <c:f>Forecasts!$D$41:$D$42</c:f>
              <c:numCache>
                <c:formatCode>#,##0.00;\(#,##0.00\);\-</c:formatCode>
                <c:ptCount val="2"/>
                <c:pt idx="0">
                  <c:v>1.75</c:v>
                </c:pt>
                <c:pt idx="1">
                  <c:v>3</c:v>
                </c:pt>
              </c:numCache>
            </c:numRef>
          </c:val>
        </c:ser>
        <c:ser>
          <c:idx val="2"/>
          <c:order val="2"/>
          <c:tx>
            <c:strRef>
              <c:f>Forecasts!E40</c:f>
              <c:strCache>
                <c:ptCount val="1"/>
                <c:pt idx="0">
                  <c:v>DIPRES</c:v>
                </c:pt>
              </c:strCache>
            </c:strRef>
          </c:tx>
          <c:spPr>
            <a:solidFill>
              <a:srgbClr val="d1495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Forecasts!$B$41:$B$42</c:f>
              <c:strCache>
                <c:ptCount val="2"/>
                <c:pt idx="0">
                  <c:v>2026</c:v>
                </c:pt>
                <c:pt idx="1">
                  <c:v>2027</c:v>
                </c:pt>
              </c:strCache>
            </c:strRef>
          </c:cat>
          <c:val>
            <c:numRef>
              <c:f>Forecasts!$E$41:$E$42</c:f>
              <c:numCache>
                <c:formatCode>#,##0.00;\(#,##0.00\);\-</c:formatCode>
                <c:ptCount val="2"/>
                <c:pt idx="0">
                  <c:v>2.1</c:v>
                </c:pt>
                <c:pt idx="1">
                  <c:v>2.2</c:v>
                </c:pt>
              </c:numCache>
            </c:numRef>
          </c:val>
        </c:ser>
        <c:gapWidth val="150"/>
        <c:overlap val="0"/>
        <c:axId val="13012603"/>
        <c:axId val="92683131"/>
      </c:barChart>
      <c:catAx>
        <c:axId val="1301260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683131"/>
        <c:crosses val="autoZero"/>
        <c:auto val="1"/>
        <c:lblAlgn val="ctr"/>
        <c:lblOffset val="100"/>
        <c:noMultiLvlLbl val="0"/>
      </c:catAx>
      <c:valAx>
        <c:axId val="9268313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01260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xdr:row>
      <xdr:rowOff>0</xdr:rowOff>
    </xdr:from>
    <xdr:to>
      <xdr:col>24</xdr:col>
      <xdr:colOff>403920</xdr:colOff>
      <xdr:row>24</xdr:row>
      <xdr:rowOff>90360</xdr:rowOff>
    </xdr:to>
    <xdr:graphicFrame>
      <xdr:nvGraphicFramePr>
        <xdr:cNvPr id="0" name="Chart 1"/>
        <xdr:cNvGraphicFramePr/>
      </xdr:nvGraphicFramePr>
      <xdr:xfrm>
        <a:off x="8505720" y="895320"/>
        <a:ext cx="107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xdr:row>
      <xdr:rowOff>0</xdr:rowOff>
    </xdr:from>
    <xdr:to>
      <xdr:col>24</xdr:col>
      <xdr:colOff>404280</xdr:colOff>
      <xdr:row>25</xdr:row>
      <xdr:rowOff>109440</xdr:rowOff>
    </xdr:to>
    <xdr:graphicFrame>
      <xdr:nvGraphicFramePr>
        <xdr:cNvPr id="1" name="Chart 1"/>
        <xdr:cNvGraphicFramePr/>
      </xdr:nvGraphicFramePr>
      <xdr:xfrm>
        <a:off x="9187920" y="895320"/>
        <a:ext cx="107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4</xdr:row>
      <xdr:rowOff>0</xdr:rowOff>
    </xdr:from>
    <xdr:to>
      <xdr:col>26</xdr:col>
      <xdr:colOff>404280</xdr:colOff>
      <xdr:row>24</xdr:row>
      <xdr:rowOff>90360</xdr:rowOff>
    </xdr:to>
    <xdr:graphicFrame>
      <xdr:nvGraphicFramePr>
        <xdr:cNvPr id="2" name="Chart 1"/>
        <xdr:cNvGraphicFramePr/>
      </xdr:nvGraphicFramePr>
      <xdr:xfrm>
        <a:off x="8083080" y="895320"/>
        <a:ext cx="107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4</xdr:row>
      <xdr:rowOff>0</xdr:rowOff>
    </xdr:from>
    <xdr:to>
      <xdr:col>27</xdr:col>
      <xdr:colOff>404280</xdr:colOff>
      <xdr:row>22</xdr:row>
      <xdr:rowOff>52560</xdr:rowOff>
    </xdr:to>
    <xdr:graphicFrame>
      <xdr:nvGraphicFramePr>
        <xdr:cNvPr id="3" name="Chart 1"/>
        <xdr:cNvGraphicFramePr/>
      </xdr:nvGraphicFramePr>
      <xdr:xfrm>
        <a:off x="11140560" y="895320"/>
        <a:ext cx="107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xdr:row>
      <xdr:rowOff>0</xdr:rowOff>
    </xdr:from>
    <xdr:to>
      <xdr:col>23</xdr:col>
      <xdr:colOff>295560</xdr:colOff>
      <xdr:row>24</xdr:row>
      <xdr:rowOff>90360</xdr:rowOff>
    </xdr:to>
    <xdr:graphicFrame>
      <xdr:nvGraphicFramePr>
        <xdr:cNvPr id="4" name="Chart 1"/>
        <xdr:cNvGraphicFramePr/>
      </xdr:nvGraphicFramePr>
      <xdr:xfrm>
        <a:off x="7660080" y="895320"/>
        <a:ext cx="1007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C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104"/>
  </cols>
  <sheetData>
    <row r="2" customFormat="false" ht="25.5" hidden="false" customHeight="tru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21.75" hidden="false" customHeight="true" outlineLevel="0" collapsed="false">
      <c r="B6" s="4" t="s">
        <v>3</v>
      </c>
      <c r="C6" s="5" t="s">
        <v>4</v>
      </c>
    </row>
    <row r="7" customFormat="false" ht="33" hidden="false" customHeight="true" outlineLevel="0" collapsed="false">
      <c r="B7" s="4" t="s">
        <v>5</v>
      </c>
      <c r="C7" s="5" t="s">
        <v>6</v>
      </c>
    </row>
    <row r="8" customFormat="false" ht="33" hidden="false" customHeight="true" outlineLevel="0" collapsed="false">
      <c r="B8" s="4" t="s">
        <v>7</v>
      </c>
      <c r="C8" s="5" t="s">
        <v>8</v>
      </c>
    </row>
    <row r="9" customFormat="false" ht="21.75" hidden="false" customHeight="true" outlineLevel="0" collapsed="false">
      <c r="B9" s="4" t="s">
        <v>9</v>
      </c>
      <c r="C9" s="5" t="s">
        <v>10</v>
      </c>
    </row>
    <row r="10" customFormat="false" ht="15" hidden="false" customHeight="false" outlineLevel="0" collapsed="false">
      <c r="B10" s="3"/>
    </row>
    <row r="11" customFormat="false" ht="15" hidden="false" customHeight="false" outlineLevel="0" collapsed="false">
      <c r="B11" s="3" t="s">
        <v>11</v>
      </c>
    </row>
    <row r="12" customFormat="false" ht="33" hidden="false" customHeight="true" outlineLevel="0" collapsed="false">
      <c r="B12" s="4" t="s">
        <v>12</v>
      </c>
      <c r="C12" s="5" t="s">
        <v>13</v>
      </c>
    </row>
    <row r="13" customFormat="false" ht="33" hidden="false" customHeight="true" outlineLevel="0" collapsed="false">
      <c r="B13" s="4" t="s">
        <v>14</v>
      </c>
      <c r="C13" s="5" t="s">
        <v>15</v>
      </c>
    </row>
    <row r="14" customFormat="false" ht="15" hidden="false" customHeight="false" outlineLevel="0" collapsed="false">
      <c r="B14" s="3"/>
    </row>
    <row r="15" customFormat="false" ht="15" hidden="false" customHeight="false" outlineLevel="0" collapsed="false">
      <c r="B15" s="3" t="s">
        <v>16</v>
      </c>
    </row>
    <row r="16" customFormat="false" ht="21.75" hidden="false" customHeight="true" outlineLevel="0" collapsed="false">
      <c r="B16" s="4" t="s">
        <v>17</v>
      </c>
      <c r="C16" s="5" t="s">
        <v>18</v>
      </c>
    </row>
    <row r="17" customFormat="false" ht="21.75" hidden="false" customHeight="true" outlineLevel="0" collapsed="false">
      <c r="B17" s="4" t="s">
        <v>19</v>
      </c>
      <c r="C17" s="5" t="s">
        <v>20</v>
      </c>
    </row>
    <row r="18" customFormat="false" ht="21.75" hidden="false" customHeight="true" outlineLevel="0" collapsed="false">
      <c r="B18" s="4" t="s">
        <v>21</v>
      </c>
      <c r="C18" s="5"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4" min="3" style="0" width="13"/>
    <col collapsed="false" customWidth="true" hidden="false" outlineLevel="0" max="5" min="5" style="0" width="12"/>
    <col collapsed="false" customWidth="true" hidden="false" outlineLevel="0" max="6" min="6" style="0" width="46"/>
  </cols>
  <sheetData>
    <row r="2" customFormat="false" ht="25.5" hidden="false" customHeight="true" outlineLevel="0" collapsed="false">
      <c r="B2" s="1" t="s">
        <v>23</v>
      </c>
    </row>
    <row r="3" customFormat="false" ht="15" hidden="false" customHeight="false" outlineLevel="0" collapsed="false">
      <c r="B3" s="2" t="s">
        <v>24</v>
      </c>
    </row>
    <row r="7" customFormat="false" ht="31.5" hidden="false" customHeight="true" outlineLevel="0" collapsed="false">
      <c r="B7" s="6" t="s">
        <v>25</v>
      </c>
      <c r="C7" s="6" t="s">
        <v>26</v>
      </c>
      <c r="D7" s="6" t="s">
        <v>27</v>
      </c>
      <c r="E7" s="6" t="s">
        <v>28</v>
      </c>
      <c r="F7" s="6" t="s">
        <v>29</v>
      </c>
    </row>
    <row r="8" customFormat="false" ht="15" hidden="false" customHeight="false" outlineLevel="0" collapsed="false">
      <c r="B8" s="7" t="s">
        <v>30</v>
      </c>
      <c r="C8" s="8" t="n">
        <v>-0.9</v>
      </c>
      <c r="E8" s="9" t="str">
        <f aca="false">IF(ISNUMBER(D8),C8-D8,"n/p")</f>
        <v>n/p</v>
      </c>
      <c r="F8" s="10" t="s">
        <v>31</v>
      </c>
    </row>
    <row r="9" customFormat="false" ht="15" hidden="false" customHeight="false" outlineLevel="0" collapsed="false">
      <c r="B9" s="7" t="s">
        <v>32</v>
      </c>
      <c r="C9" s="8" t="n">
        <v>-0.3</v>
      </c>
      <c r="E9" s="9" t="str">
        <f aca="false">IF(ISNUMBER(D9),C9-D9,"n/p")</f>
        <v>n/p</v>
      </c>
      <c r="F9" s="10" t="s">
        <v>31</v>
      </c>
    </row>
    <row r="10" customFormat="false" ht="15" hidden="false" customHeight="false" outlineLevel="0" collapsed="false">
      <c r="B10" s="7" t="s">
        <v>33</v>
      </c>
      <c r="C10" s="8" t="n">
        <v>-0.2</v>
      </c>
      <c r="D10" s="8" t="n">
        <v>0.9</v>
      </c>
      <c r="E10" s="9" t="n">
        <f aca="false">IF(ISNUMBER(D10),C10-D10,"n/p")</f>
        <v>-1.1</v>
      </c>
      <c r="F10" s="10" t="s">
        <v>34</v>
      </c>
    </row>
    <row r="11" customFormat="false" ht="15" hidden="false" customHeight="false" outlineLevel="0" collapsed="false">
      <c r="B11" s="7" t="s">
        <v>35</v>
      </c>
      <c r="C11" s="8" t="n">
        <v>-1.2</v>
      </c>
      <c r="E11" s="9" t="str">
        <f aca="false">IF(ISNUMBER(D11),C11-D11,"n/p")</f>
        <v>n/p</v>
      </c>
      <c r="F11" s="10" t="s">
        <v>36</v>
      </c>
    </row>
    <row r="12" customFormat="false" ht="15" hidden="false" customHeight="false" outlineLevel="0" collapsed="false">
      <c r="B12" s="7" t="s">
        <v>37</v>
      </c>
      <c r="C12" s="8" t="n">
        <v>-0.9</v>
      </c>
      <c r="E12" s="9" t="str">
        <f aca="false">IF(ISNUMBER(D12),C12-D12,"n/p")</f>
        <v>n/p</v>
      </c>
      <c r="F12" s="10" t="s">
        <v>38</v>
      </c>
    </row>
    <row r="13" customFormat="false" ht="15" hidden="false" customHeight="false" outlineLevel="0" collapsed="false">
      <c r="B13" s="7" t="s">
        <v>39</v>
      </c>
      <c r="C13" s="11" t="n">
        <v>2.4</v>
      </c>
      <c r="D13" s="8" t="n">
        <v>1.4</v>
      </c>
      <c r="E13" s="9" t="n">
        <f aca="false">IF(ISNUMBER(D13),C13-D13,"n/p")</f>
        <v>1</v>
      </c>
      <c r="F13" s="10" t="s">
        <v>40</v>
      </c>
    </row>
    <row r="15" customFormat="false" ht="15" hidden="false" customHeight="false" outlineLevel="0" collapsed="false">
      <c r="B15" s="4" t="s">
        <v>41</v>
      </c>
      <c r="C15" s="12" t="n">
        <f aca="false">AVERAGE(C8:C13)</f>
        <v>-0.183333333333333</v>
      </c>
    </row>
    <row r="16" customFormat="false" ht="15" hidden="false" customHeight="false" outlineLevel="0" collapsed="false">
      <c r="B16" s="10" t="s">
        <v>42</v>
      </c>
    </row>
    <row r="18" customFormat="false" ht="15" hidden="false" customHeight="false" outlineLevel="0" collapsed="false">
      <c r="B18" s="3" t="s">
        <v>43</v>
      </c>
    </row>
    <row r="19" customFormat="false" ht="31.5" hidden="false" customHeight="true" outlineLevel="0" collapsed="false">
      <c r="B19" s="6" t="s">
        <v>44</v>
      </c>
      <c r="C19" s="6" t="s">
        <v>45</v>
      </c>
      <c r="D19" s="6" t="s">
        <v>46</v>
      </c>
    </row>
    <row r="20" customFormat="false" ht="15" hidden="false" customHeight="false" outlineLevel="0" collapsed="false">
      <c r="B20" s="4" t="s">
        <v>47</v>
      </c>
      <c r="C20" s="8" t="n">
        <v>0.6</v>
      </c>
      <c r="D20" s="8" t="n">
        <v>1.4</v>
      </c>
    </row>
    <row r="21" customFormat="false" ht="15" hidden="false" customHeight="false" outlineLevel="0" collapsed="false">
      <c r="B21" s="4" t="s">
        <v>48</v>
      </c>
      <c r="C21" s="8" t="n">
        <v>0.1</v>
      </c>
      <c r="D21" s="8" t="n">
        <v>0.4</v>
      </c>
    </row>
    <row r="23" customFormat="false" ht="15" hidden="false" customHeight="false" outlineLevel="0" collapsed="false">
      <c r="B23" s="10" t="s">
        <v>49</v>
      </c>
    </row>
  </sheetData>
  <conditionalFormatting sqref="C8:E13">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2"/>
    <col collapsed="false" customWidth="true" hidden="false" outlineLevel="0" max="4" min="4" style="0" width="13"/>
    <col collapsed="false" customWidth="true" hidden="false" outlineLevel="0" max="5" min="5" style="0" width="56"/>
  </cols>
  <sheetData>
    <row r="2" customFormat="false" ht="25.5" hidden="false" customHeight="true" outlineLevel="0" collapsed="false">
      <c r="B2" s="1" t="s">
        <v>50</v>
      </c>
    </row>
    <row r="3" customFormat="false" ht="15" hidden="false" customHeight="false" outlineLevel="0" collapsed="false">
      <c r="B3" s="2" t="s">
        <v>51</v>
      </c>
    </row>
    <row r="7" customFormat="false" ht="31.5" hidden="false" customHeight="true" outlineLevel="0" collapsed="false">
      <c r="B7" s="6" t="s">
        <v>52</v>
      </c>
      <c r="C7" s="6" t="s">
        <v>53</v>
      </c>
      <c r="D7" s="6" t="s">
        <v>54</v>
      </c>
      <c r="E7" s="6" t="s">
        <v>55</v>
      </c>
    </row>
    <row r="8" customFormat="false" ht="15" hidden="false" customHeight="false" outlineLevel="0" collapsed="false">
      <c r="B8" s="4" t="s">
        <v>56</v>
      </c>
      <c r="C8" s="11" t="n">
        <v>9.8</v>
      </c>
      <c r="E8" s="10" t="s">
        <v>57</v>
      </c>
    </row>
    <row r="9" customFormat="false" ht="15" hidden="false" customHeight="false" outlineLevel="0" collapsed="false">
      <c r="B9" s="4" t="s">
        <v>58</v>
      </c>
      <c r="C9" s="8" t="n">
        <v>3.9</v>
      </c>
      <c r="D9" s="8" t="n">
        <v>0.7</v>
      </c>
      <c r="E9" s="10" t="s">
        <v>59</v>
      </c>
    </row>
    <row r="10" customFormat="false" ht="15" hidden="false" customHeight="false" outlineLevel="0" collapsed="false">
      <c r="B10" s="7" t="s">
        <v>60</v>
      </c>
      <c r="C10" s="8" t="n">
        <v>1</v>
      </c>
      <c r="E10" s="10"/>
    </row>
    <row r="11" customFormat="false" ht="15" hidden="false" customHeight="false" outlineLevel="0" collapsed="false">
      <c r="B11" s="7" t="s">
        <v>61</v>
      </c>
      <c r="C11" s="8" t="n">
        <v>-0.7</v>
      </c>
      <c r="E11" s="10" t="s">
        <v>62</v>
      </c>
    </row>
    <row r="12" customFormat="false" ht="15" hidden="false" customHeight="false" outlineLevel="0" collapsed="false">
      <c r="B12" s="4" t="s">
        <v>63</v>
      </c>
      <c r="C12" s="8" t="n">
        <v>5.4</v>
      </c>
      <c r="D12" s="8" t="n">
        <v>1.5</v>
      </c>
      <c r="E12" s="10" t="s">
        <v>64</v>
      </c>
    </row>
    <row r="13" customFormat="false" ht="15" hidden="false" customHeight="false" outlineLevel="0" collapsed="false">
      <c r="B13" s="4" t="s">
        <v>65</v>
      </c>
      <c r="C13" s="8" t="n">
        <v>1.7</v>
      </c>
      <c r="D13" s="8" t="n">
        <v>0.5</v>
      </c>
      <c r="E13" s="10" t="s">
        <v>66</v>
      </c>
    </row>
    <row r="14" customFormat="false" ht="15" hidden="false" customHeight="false" outlineLevel="0" collapsed="false">
      <c r="B14" s="7" t="s">
        <v>67</v>
      </c>
      <c r="C14" s="8" t="n">
        <v>-1.2</v>
      </c>
      <c r="D14" s="8" t="n">
        <v>-0.5</v>
      </c>
      <c r="E14" s="10"/>
    </row>
    <row r="16" customFormat="false" ht="15" hidden="false" customHeight="false" outlineLevel="0" collapsed="false">
      <c r="B16" s="10" t="s">
        <v>68</v>
      </c>
    </row>
    <row r="17" customFormat="false" ht="15" hidden="false" customHeight="false" outlineLevel="0" collapsed="false">
      <c r="B17" s="10" t="s">
        <v>69</v>
      </c>
    </row>
  </sheetData>
  <conditionalFormatting sqref="C8:D14">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H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8" min="3" style="0" width="12"/>
  </cols>
  <sheetData>
    <row r="2" customFormat="false" ht="25.5" hidden="false" customHeight="true" outlineLevel="0" collapsed="false">
      <c r="B2" s="1" t="s">
        <v>70</v>
      </c>
    </row>
    <row r="3" customFormat="false" ht="15" hidden="false" customHeight="false" outlineLevel="0" collapsed="false">
      <c r="B3" s="2" t="s">
        <v>71</v>
      </c>
    </row>
    <row r="7" customFormat="false" ht="31.5" hidden="false" customHeight="true" outlineLevel="0" collapsed="false">
      <c r="B7" s="6" t="s">
        <v>72</v>
      </c>
      <c r="C7" s="6" t="s">
        <v>73</v>
      </c>
      <c r="D7" s="6" t="s">
        <v>74</v>
      </c>
      <c r="E7" s="6" t="s">
        <v>75</v>
      </c>
      <c r="F7" s="6" t="s">
        <v>76</v>
      </c>
      <c r="G7" s="6" t="s">
        <v>77</v>
      </c>
      <c r="H7" s="6" t="s">
        <v>78</v>
      </c>
    </row>
    <row r="8" customFormat="false" ht="15" hidden="false" customHeight="false" outlineLevel="0" collapsed="false">
      <c r="B8" s="4" t="s">
        <v>79</v>
      </c>
      <c r="C8" s="11" t="n">
        <v>2.5</v>
      </c>
      <c r="D8" s="11" t="n">
        <v>2.1</v>
      </c>
      <c r="E8" s="11" t="n">
        <v>2.2</v>
      </c>
      <c r="F8" s="11" t="n">
        <v>2.2</v>
      </c>
      <c r="G8" s="11" t="n">
        <v>2.2</v>
      </c>
      <c r="H8" s="11" t="n">
        <v>2.3</v>
      </c>
    </row>
    <row r="9" customFormat="false" ht="15" hidden="false" customHeight="false" outlineLevel="0" collapsed="false">
      <c r="B9" s="7" t="s">
        <v>80</v>
      </c>
      <c r="C9" s="8" t="n">
        <v>-1.3</v>
      </c>
      <c r="D9" s="8" t="n">
        <v>0</v>
      </c>
      <c r="E9" s="8" t="n">
        <v>1.3</v>
      </c>
      <c r="F9" s="8" t="n">
        <v>1.6</v>
      </c>
      <c r="G9" s="8" t="n">
        <v>2.3</v>
      </c>
      <c r="H9" s="8" t="n">
        <v>3.2</v>
      </c>
    </row>
    <row r="10" customFormat="false" ht="15" hidden="false" customHeight="false" outlineLevel="0" collapsed="false">
      <c r="B10" s="7" t="s">
        <v>81</v>
      </c>
      <c r="C10" s="8" t="n">
        <v>3</v>
      </c>
      <c r="D10" s="8" t="n">
        <v>2.4</v>
      </c>
      <c r="E10" s="8" t="n">
        <v>2.4</v>
      </c>
      <c r="F10" s="8" t="n">
        <v>2.3</v>
      </c>
      <c r="G10" s="8" t="n">
        <v>2.2</v>
      </c>
      <c r="H10" s="8" t="n">
        <v>2.2</v>
      </c>
    </row>
    <row r="11" customFormat="false" ht="15" hidden="false" customHeight="false" outlineLevel="0" collapsed="false">
      <c r="B11" s="7" t="s">
        <v>82</v>
      </c>
      <c r="C11" s="8" t="n">
        <v>4.2</v>
      </c>
      <c r="D11" s="8" t="n">
        <v>2.6</v>
      </c>
      <c r="E11" s="8" t="n">
        <v>2.4</v>
      </c>
      <c r="F11" s="8" t="n">
        <v>2.1</v>
      </c>
      <c r="G11" s="8" t="n">
        <v>2.1</v>
      </c>
      <c r="H11" s="8" t="n">
        <v>2.1</v>
      </c>
    </row>
    <row r="13" customFormat="false" ht="15" hidden="false" customHeight="false" outlineLevel="0" collapsed="false">
      <c r="B13" s="10" t="s">
        <v>83</v>
      </c>
    </row>
    <row r="15" customFormat="false" ht="15" hidden="false" customHeight="false" outlineLevel="0" collapsed="false">
      <c r="B15" s="3" t="s">
        <v>84</v>
      </c>
    </row>
    <row r="16" customFormat="false" ht="31.5" hidden="false" customHeight="true" outlineLevel="0" collapsed="false">
      <c r="B16" s="6" t="s">
        <v>85</v>
      </c>
      <c r="C16" s="6" t="s">
        <v>86</v>
      </c>
      <c r="D16" s="6" t="s">
        <v>29</v>
      </c>
    </row>
    <row r="17" customFormat="false" ht="15" hidden="false" customHeight="false" outlineLevel="0" collapsed="false">
      <c r="B17" s="4" t="s">
        <v>87</v>
      </c>
      <c r="C17" s="8" t="n">
        <v>2.8</v>
      </c>
      <c r="D17" s="10"/>
    </row>
    <row r="18" customFormat="false" ht="15" hidden="false" customHeight="false" outlineLevel="0" collapsed="false">
      <c r="B18" s="7" t="s">
        <v>88</v>
      </c>
      <c r="C18" s="8" t="n">
        <v>2.7</v>
      </c>
      <c r="D18" s="10" t="s">
        <v>89</v>
      </c>
    </row>
    <row r="19" customFormat="false" ht="15" hidden="false" customHeight="false" outlineLevel="0" collapsed="false">
      <c r="B19" s="4" t="s">
        <v>90</v>
      </c>
      <c r="C19" s="8" t="n">
        <v>7</v>
      </c>
      <c r="D19" s="10" t="s">
        <v>91</v>
      </c>
    </row>
    <row r="20" customFormat="false" ht="15" hidden="false" customHeight="false" outlineLevel="0" collapsed="false">
      <c r="B20" s="4" t="s">
        <v>92</v>
      </c>
      <c r="C20" s="8" t="n">
        <v>4.6</v>
      </c>
      <c r="D20" s="10" t="s">
        <v>93</v>
      </c>
    </row>
    <row r="21" customFormat="false" ht="15" hidden="false" customHeight="false" outlineLevel="0" collapsed="false">
      <c r="B21" s="4" t="s">
        <v>94</v>
      </c>
      <c r="C21" s="8" t="n">
        <v>10.5</v>
      </c>
      <c r="D21" s="10" t="s">
        <v>95</v>
      </c>
    </row>
    <row r="22" customFormat="false" ht="15" hidden="false" customHeight="false" outlineLevel="0" collapsed="false">
      <c r="B22" s="4" t="s">
        <v>96</v>
      </c>
      <c r="C22" s="8" t="n">
        <v>-1.2</v>
      </c>
      <c r="D22" s="10" t="s">
        <v>97</v>
      </c>
    </row>
    <row r="24" customFormat="false" ht="15" hidden="false" customHeight="false" outlineLevel="0" collapsed="false">
      <c r="B24" s="10" t="s">
        <v>98</v>
      </c>
    </row>
    <row r="26" customFormat="false" ht="15" hidden="false" customHeight="false" outlineLevel="0" collapsed="false">
      <c r="B26" s="3" t="s">
        <v>99</v>
      </c>
    </row>
    <row r="27" customFormat="false" ht="31.5" hidden="false" customHeight="true" outlineLevel="0" collapsed="false">
      <c r="B27" s="6"/>
      <c r="C27" s="6" t="s">
        <v>73</v>
      </c>
      <c r="D27" s="6" t="s">
        <v>100</v>
      </c>
      <c r="E27" s="6" t="s">
        <v>101</v>
      </c>
      <c r="F27" s="6" t="s">
        <v>102</v>
      </c>
      <c r="G27" s="6" t="s">
        <v>103</v>
      </c>
      <c r="H27" s="6" t="s">
        <v>104</v>
      </c>
    </row>
    <row r="28" customFormat="false" ht="15" hidden="false" customHeight="false" outlineLevel="0" collapsed="false">
      <c r="B28" s="4" t="s">
        <v>105</v>
      </c>
      <c r="C28" s="13" t="n">
        <v>339978</v>
      </c>
      <c r="D28" s="13" t="n">
        <v>364022</v>
      </c>
      <c r="E28" s="13" t="n">
        <v>376252</v>
      </c>
      <c r="F28" s="13" t="n">
        <v>393532</v>
      </c>
      <c r="G28" s="13" t="n">
        <v>412130</v>
      </c>
      <c r="H28" s="13" t="n">
        <v>432313</v>
      </c>
    </row>
    <row r="30" customFormat="false" ht="15" hidden="false" customHeight="false" outlineLevel="0" collapsed="false">
      <c r="B30" s="10" t="s">
        <v>106</v>
      </c>
    </row>
    <row r="33" customFormat="false" ht="15" hidden="false" customHeight="false" outlineLevel="0" collapsed="false">
      <c r="B33" s="4" t="s">
        <v>107</v>
      </c>
      <c r="C33" s="7" t="s">
        <v>79</v>
      </c>
      <c r="D33" s="7" t="s">
        <v>56</v>
      </c>
      <c r="E33" s="7" t="s">
        <v>108</v>
      </c>
    </row>
    <row r="34" customFormat="false" ht="15" hidden="false" customHeight="false" outlineLevel="0" collapsed="false">
      <c r="B34" s="7" t="s">
        <v>73</v>
      </c>
      <c r="C34" s="9" t="n">
        <f aca="false">INDEX($C$8:$H$8,1)</f>
        <v>2.5</v>
      </c>
      <c r="D34" s="9" t="n">
        <f aca="false">INDEX($C$9:$H$9,1)</f>
        <v>-1.3</v>
      </c>
      <c r="E34" s="9" t="n">
        <f aca="false">INDEX($C$10:$H$10,1)</f>
        <v>3</v>
      </c>
    </row>
    <row r="35" customFormat="false" ht="15" hidden="false" customHeight="false" outlineLevel="0" collapsed="false">
      <c r="B35" s="7" t="s">
        <v>74</v>
      </c>
      <c r="C35" s="9" t="n">
        <f aca="false">INDEX($C$8:$H$8,2)</f>
        <v>2.1</v>
      </c>
      <c r="D35" s="9" t="n">
        <f aca="false">INDEX($C$9:$H$9,2)</f>
        <v>0</v>
      </c>
      <c r="E35" s="9" t="n">
        <f aca="false">INDEX($C$10:$H$10,2)</f>
        <v>2.4</v>
      </c>
    </row>
    <row r="36" customFormat="false" ht="15" hidden="false" customHeight="false" outlineLevel="0" collapsed="false">
      <c r="B36" s="7" t="s">
        <v>75</v>
      </c>
      <c r="C36" s="9" t="n">
        <f aca="false">INDEX($C$8:$H$8,3)</f>
        <v>2.2</v>
      </c>
      <c r="D36" s="9" t="n">
        <f aca="false">INDEX($C$9:$H$9,3)</f>
        <v>1.3</v>
      </c>
      <c r="E36" s="9" t="n">
        <f aca="false">INDEX($C$10:$H$10,3)</f>
        <v>2.4</v>
      </c>
    </row>
    <row r="37" customFormat="false" ht="15" hidden="false" customHeight="false" outlineLevel="0" collapsed="false">
      <c r="B37" s="7" t="s">
        <v>76</v>
      </c>
      <c r="C37" s="9" t="n">
        <f aca="false">INDEX($C$8:$H$8,4)</f>
        <v>2.2</v>
      </c>
      <c r="D37" s="9" t="n">
        <f aca="false">INDEX($C$9:$H$9,4)</f>
        <v>1.6</v>
      </c>
      <c r="E37" s="9" t="n">
        <f aca="false">INDEX($C$10:$H$10,4)</f>
        <v>2.3</v>
      </c>
    </row>
    <row r="38" customFormat="false" ht="15" hidden="false" customHeight="false" outlineLevel="0" collapsed="false">
      <c r="B38" s="7" t="s">
        <v>77</v>
      </c>
      <c r="C38" s="9" t="n">
        <f aca="false">INDEX($C$8:$H$8,5)</f>
        <v>2.2</v>
      </c>
      <c r="D38" s="9" t="n">
        <f aca="false">INDEX($C$9:$H$9,5)</f>
        <v>2.3</v>
      </c>
      <c r="E38" s="9" t="n">
        <f aca="false">INDEX($C$10:$H$10,5)</f>
        <v>2.2</v>
      </c>
    </row>
    <row r="39" customFormat="false" ht="15" hidden="false" customHeight="false" outlineLevel="0" collapsed="false">
      <c r="B39" s="7" t="s">
        <v>78</v>
      </c>
      <c r="C39" s="9" t="n">
        <f aca="false">INDEX($C$8:$H$8,6)</f>
        <v>2.3</v>
      </c>
      <c r="D39" s="9" t="n">
        <f aca="false">INDEX($C$9:$H$9,6)</f>
        <v>3.2</v>
      </c>
      <c r="E39" s="9" t="n">
        <f aca="false">INDEX($C$10:$H$10,6)</f>
        <v>2.2</v>
      </c>
    </row>
  </sheetData>
  <conditionalFormatting sqref="C8:H11">
    <cfRule type="cellIs" priority="2" operator="lessThan" aboveAverage="0" equalAverage="0" bottom="0" percent="0" rank="0" text="" dxfId="0">
      <formula>0</formula>
    </cfRule>
  </conditionalFormatting>
  <conditionalFormatting sqref="C17:C22">
    <cfRule type="cellIs" priority="3"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12"/>
    <col collapsed="false" customWidth="true" hidden="false" outlineLevel="0" max="4" min="4" style="0" width="58"/>
  </cols>
  <sheetData>
    <row r="2" customFormat="false" ht="25.5" hidden="false" customHeight="true" outlineLevel="0" collapsed="false">
      <c r="B2" s="1" t="s">
        <v>109</v>
      </c>
    </row>
    <row r="5" customFormat="false" ht="15" hidden="false" customHeight="false" outlineLevel="0" collapsed="false">
      <c r="B5" s="3" t="s">
        <v>110</v>
      </c>
    </row>
    <row r="6" customFormat="false" ht="31.5" hidden="false" customHeight="true" outlineLevel="0" collapsed="false">
      <c r="B6" s="6" t="s">
        <v>111</v>
      </c>
      <c r="C6" s="6" t="s">
        <v>112</v>
      </c>
      <c r="D6" s="6" t="s">
        <v>113</v>
      </c>
    </row>
    <row r="7" customFormat="false" ht="15" hidden="false" customHeight="false" outlineLevel="0" collapsed="false">
      <c r="B7" s="7" t="s">
        <v>114</v>
      </c>
      <c r="C7" s="8" t="n">
        <v>2.4</v>
      </c>
      <c r="D7" s="10" t="s">
        <v>115</v>
      </c>
    </row>
    <row r="8" customFormat="false" ht="15" hidden="false" customHeight="false" outlineLevel="0" collapsed="false">
      <c r="B8" s="7" t="s">
        <v>116</v>
      </c>
      <c r="C8" s="8" t="n">
        <v>1.4</v>
      </c>
      <c r="D8" s="10" t="s">
        <v>117</v>
      </c>
    </row>
    <row r="9" customFormat="false" ht="15" hidden="false" customHeight="false" outlineLevel="0" collapsed="false">
      <c r="B9" s="7" t="s">
        <v>118</v>
      </c>
      <c r="C9" s="8" t="n">
        <v>1.4</v>
      </c>
      <c r="D9" s="10" t="s">
        <v>119</v>
      </c>
    </row>
    <row r="10" customFormat="false" ht="15" hidden="false" customHeight="false" outlineLevel="0" collapsed="false">
      <c r="B10" s="4" t="s">
        <v>120</v>
      </c>
      <c r="C10" s="11" t="n">
        <v>0.4</v>
      </c>
      <c r="D10" s="10" t="s">
        <v>121</v>
      </c>
    </row>
    <row r="11" customFormat="false" ht="15" hidden="false" customHeight="false" outlineLevel="0" collapsed="false">
      <c r="B11" s="7" t="s">
        <v>122</v>
      </c>
      <c r="C11" s="8" t="n">
        <v>-0.7</v>
      </c>
      <c r="D11" s="10" t="s">
        <v>123</v>
      </c>
    </row>
    <row r="12" customFormat="false" ht="15" hidden="false" customHeight="false" outlineLevel="0" collapsed="false">
      <c r="B12" s="7" t="s">
        <v>124</v>
      </c>
      <c r="C12" s="8" t="n">
        <v>9.8</v>
      </c>
      <c r="D12" s="10" t="s">
        <v>125</v>
      </c>
    </row>
    <row r="14" customFormat="false" ht="15" hidden="false" customHeight="false" outlineLevel="0" collapsed="false">
      <c r="B14" s="10" t="s">
        <v>126</v>
      </c>
    </row>
    <row r="15" customFormat="false" ht="15" hidden="false" customHeight="false" outlineLevel="0" collapsed="false">
      <c r="B15" s="10" t="s">
        <v>127</v>
      </c>
    </row>
    <row r="17" customFormat="false" ht="15" hidden="false" customHeight="false" outlineLevel="0" collapsed="false">
      <c r="B17" s="3" t="s">
        <v>128</v>
      </c>
    </row>
    <row r="18" customFormat="false" ht="21.75" hidden="false" customHeight="true" outlineLevel="0" collapsed="false">
      <c r="B18" s="14" t="s">
        <v>129</v>
      </c>
      <c r="C18" s="14"/>
      <c r="D18" s="14"/>
      <c r="E18" s="14"/>
      <c r="F18" s="14"/>
      <c r="G18" s="14"/>
      <c r="H18" s="14"/>
      <c r="I18" s="14"/>
    </row>
    <row r="19" customFormat="false" ht="33" hidden="false" customHeight="true" outlineLevel="0" collapsed="false">
      <c r="B19" s="14" t="s">
        <v>130</v>
      </c>
      <c r="C19" s="14"/>
      <c r="D19" s="14"/>
      <c r="E19" s="14"/>
      <c r="F19" s="14"/>
      <c r="G19" s="14"/>
      <c r="H19" s="14"/>
      <c r="I19" s="14"/>
    </row>
    <row r="20" customFormat="false" ht="21.75" hidden="false" customHeight="true" outlineLevel="0" collapsed="false">
      <c r="B20" s="14" t="s">
        <v>131</v>
      </c>
      <c r="C20" s="14"/>
      <c r="D20" s="14"/>
      <c r="E20" s="14"/>
      <c r="F20" s="14"/>
      <c r="G20" s="14"/>
      <c r="H20" s="14"/>
      <c r="I20" s="14"/>
    </row>
    <row r="21" customFormat="false" ht="33" hidden="false" customHeight="true" outlineLevel="0" collapsed="false">
      <c r="B21" s="14" t="s">
        <v>132</v>
      </c>
      <c r="C21" s="14"/>
      <c r="D21" s="14"/>
      <c r="E21" s="14"/>
      <c r="F21" s="14"/>
      <c r="G21" s="14"/>
      <c r="H21" s="14"/>
      <c r="I21" s="14"/>
    </row>
  </sheetData>
  <mergeCells count="4">
    <mergeCell ref="B18:I18"/>
    <mergeCell ref="B19:I19"/>
    <mergeCell ref="B20:I20"/>
    <mergeCell ref="B21:I21"/>
  </mergeCells>
  <conditionalFormatting sqref="C7:C12">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40"/>
    <col collapsed="false" customWidth="true" hidden="false" outlineLevel="0" max="4" min="4" style="0" width="12"/>
  </cols>
  <sheetData>
    <row r="2" customFormat="false" ht="25.5" hidden="false" customHeight="true" outlineLevel="0" collapsed="false">
      <c r="B2" s="1" t="s">
        <v>133</v>
      </c>
    </row>
    <row r="3" customFormat="false" ht="15" hidden="false" customHeight="false" outlineLevel="0" collapsed="false">
      <c r="B3" s="2" t="s">
        <v>134</v>
      </c>
    </row>
    <row r="5" customFormat="false" ht="15" hidden="false" customHeight="false" outlineLevel="0" collapsed="false">
      <c r="B5" s="3" t="s">
        <v>135</v>
      </c>
    </row>
    <row r="6" customFormat="false" ht="21.75" hidden="false" customHeight="true" outlineLevel="0" collapsed="false">
      <c r="B6" s="14" t="s">
        <v>136</v>
      </c>
      <c r="C6" s="14"/>
      <c r="D6" s="14"/>
      <c r="E6" s="14"/>
      <c r="F6" s="14"/>
      <c r="G6" s="14"/>
      <c r="H6" s="14"/>
      <c r="I6" s="14"/>
      <c r="J6" s="14"/>
    </row>
    <row r="7" customFormat="false" ht="21.75" hidden="false" customHeight="true" outlineLevel="0" collapsed="false">
      <c r="B7" s="14" t="s">
        <v>137</v>
      </c>
      <c r="C7" s="14"/>
      <c r="D7" s="14"/>
      <c r="E7" s="14"/>
      <c r="F7" s="14"/>
      <c r="G7" s="14"/>
      <c r="H7" s="14"/>
      <c r="I7" s="14"/>
      <c r="J7" s="14"/>
    </row>
    <row r="8" customFormat="false" ht="12" hidden="false" customHeight="true" outlineLevel="0" collapsed="false">
      <c r="B8" s="14" t="s">
        <v>138</v>
      </c>
      <c r="C8" s="14"/>
      <c r="D8" s="14"/>
      <c r="E8" s="14"/>
      <c r="F8" s="14"/>
      <c r="G8" s="14"/>
      <c r="H8" s="14"/>
      <c r="I8" s="14"/>
      <c r="J8" s="14"/>
    </row>
    <row r="9" customFormat="false" ht="21.75" hidden="false" customHeight="true" outlineLevel="0" collapsed="false">
      <c r="B9" s="14" t="s">
        <v>139</v>
      </c>
      <c r="C9" s="14"/>
      <c r="D9" s="14"/>
      <c r="E9" s="14"/>
      <c r="F9" s="14"/>
      <c r="G9" s="14"/>
      <c r="H9" s="14"/>
      <c r="I9" s="14"/>
      <c r="J9" s="14"/>
    </row>
    <row r="10" customFormat="false" ht="12" hidden="false" customHeight="true" outlineLevel="0" collapsed="false">
      <c r="B10" s="14" t="s">
        <v>140</v>
      </c>
      <c r="C10" s="14"/>
      <c r="D10" s="14"/>
      <c r="E10" s="14"/>
      <c r="F10" s="14"/>
      <c r="G10" s="14"/>
      <c r="H10" s="14"/>
      <c r="I10" s="14"/>
      <c r="J10" s="14"/>
    </row>
    <row r="12" customFormat="false" ht="15" hidden="false" customHeight="false" outlineLevel="0" collapsed="false">
      <c r="B12" s="10" t="s">
        <v>141</v>
      </c>
    </row>
    <row r="14" customFormat="false" ht="15" hidden="false" customHeight="false" outlineLevel="0" collapsed="false">
      <c r="B14" s="3" t="s">
        <v>142</v>
      </c>
    </row>
    <row r="15" customFormat="false" ht="31.5" hidden="false" customHeight="true" outlineLevel="0" collapsed="false">
      <c r="B15" s="6" t="s">
        <v>143</v>
      </c>
      <c r="C15" s="6" t="s">
        <v>111</v>
      </c>
      <c r="D15" s="6" t="s">
        <v>112</v>
      </c>
    </row>
    <row r="16" customFormat="false" ht="15" hidden="false" customHeight="false" outlineLevel="0" collapsed="false">
      <c r="B16" s="4" t="s">
        <v>144</v>
      </c>
      <c r="C16" s="7" t="s">
        <v>145</v>
      </c>
      <c r="D16" s="11" t="n">
        <v>-0.5</v>
      </c>
    </row>
    <row r="17" customFormat="false" ht="15" hidden="false" customHeight="false" outlineLevel="0" collapsed="false">
      <c r="B17" s="4" t="s">
        <v>146</v>
      </c>
      <c r="C17" s="7" t="s">
        <v>147</v>
      </c>
      <c r="D17" s="11" t="n">
        <v>-0.2</v>
      </c>
    </row>
    <row r="18" customFormat="false" ht="15" hidden="false" customHeight="false" outlineLevel="0" collapsed="false">
      <c r="B18" s="4" t="s">
        <v>148</v>
      </c>
      <c r="C18" s="7" t="s">
        <v>149</v>
      </c>
      <c r="D18" s="11" t="n">
        <v>2.4</v>
      </c>
    </row>
    <row r="19" customFormat="false" ht="15" hidden="false" customHeight="false" outlineLevel="0" collapsed="false">
      <c r="B19" s="4" t="s">
        <v>148</v>
      </c>
      <c r="C19" s="7" t="s">
        <v>150</v>
      </c>
      <c r="D19" s="11" t="n">
        <v>0.4</v>
      </c>
    </row>
    <row r="20" customFormat="false" ht="15" hidden="false" customHeight="false" outlineLevel="0" collapsed="false">
      <c r="B20" s="4" t="s">
        <v>73</v>
      </c>
      <c r="C20" s="7" t="s">
        <v>151</v>
      </c>
      <c r="D20" s="11" t="n">
        <v>2.5</v>
      </c>
    </row>
    <row r="22" customFormat="false" ht="15" hidden="false" customHeight="false" outlineLevel="0" collapsed="false">
      <c r="B22" s="10" t="s">
        <v>152</v>
      </c>
    </row>
  </sheetData>
  <mergeCells count="5">
    <mergeCell ref="B6:J6"/>
    <mergeCell ref="B7:J7"/>
    <mergeCell ref="B8:J8"/>
    <mergeCell ref="B9:J9"/>
    <mergeCell ref="B10:J10"/>
  </mergeCells>
  <conditionalFormatting sqref="D16:D20">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F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6" min="3" style="0" width="16"/>
  </cols>
  <sheetData>
    <row r="2" customFormat="false" ht="25.5" hidden="false" customHeight="true" outlineLevel="0" collapsed="false">
      <c r="B2" s="1" t="s">
        <v>153</v>
      </c>
    </row>
    <row r="3" customFormat="false" ht="15" hidden="false" customHeight="false" outlineLevel="0" collapsed="false">
      <c r="B3" s="2" t="s">
        <v>154</v>
      </c>
    </row>
    <row r="5" customFormat="false" ht="15" hidden="false" customHeight="false" outlineLevel="0" collapsed="false">
      <c r="B5" s="3" t="s">
        <v>155</v>
      </c>
    </row>
    <row r="6" customFormat="false" ht="31.5" hidden="false" customHeight="true" outlineLevel="0" collapsed="false">
      <c r="B6" s="6" t="s">
        <v>156</v>
      </c>
      <c r="C6" s="6" t="s">
        <v>157</v>
      </c>
      <c r="D6" s="6" t="s">
        <v>100</v>
      </c>
      <c r="E6" s="6" t="s">
        <v>101</v>
      </c>
      <c r="F6" s="6" t="s">
        <v>102</v>
      </c>
    </row>
    <row r="7" customFormat="false" ht="15" hidden="false" customHeight="false" outlineLevel="0" collapsed="false">
      <c r="B7" s="4" t="s">
        <v>158</v>
      </c>
      <c r="C7" s="15" t="s">
        <v>159</v>
      </c>
      <c r="D7" s="16" t="s">
        <v>160</v>
      </c>
      <c r="E7" s="16" t="s">
        <v>161</v>
      </c>
      <c r="F7" s="16" t="s">
        <v>162</v>
      </c>
    </row>
    <row r="8" customFormat="false" ht="15" hidden="false" customHeight="false" outlineLevel="0" collapsed="false">
      <c r="B8" s="7" t="s">
        <v>158</v>
      </c>
      <c r="C8" s="15" t="s">
        <v>163</v>
      </c>
      <c r="D8" s="17" t="s">
        <v>164</v>
      </c>
      <c r="E8" s="17" t="s">
        <v>164</v>
      </c>
      <c r="F8" s="17" t="s">
        <v>162</v>
      </c>
    </row>
    <row r="9" customFormat="false" ht="15" hidden="false" customHeight="false" outlineLevel="0" collapsed="false">
      <c r="B9" s="4" t="s">
        <v>165</v>
      </c>
      <c r="C9" s="15" t="s">
        <v>166</v>
      </c>
      <c r="D9" s="16" t="s">
        <v>167</v>
      </c>
      <c r="E9" s="16" t="s">
        <v>168</v>
      </c>
      <c r="F9" s="16" t="s">
        <v>168</v>
      </c>
    </row>
    <row r="10" customFormat="false" ht="15" hidden="false" customHeight="false" outlineLevel="0" collapsed="false">
      <c r="B10" s="7" t="s">
        <v>165</v>
      </c>
      <c r="C10" s="15" t="s">
        <v>169</v>
      </c>
      <c r="D10" s="17" t="s">
        <v>170</v>
      </c>
      <c r="E10" s="17" t="s">
        <v>171</v>
      </c>
      <c r="F10" s="17" t="s">
        <v>168</v>
      </c>
    </row>
    <row r="12" customFormat="false" ht="15" hidden="false" customHeight="false" outlineLevel="0" collapsed="false">
      <c r="B12" s="10" t="s">
        <v>172</v>
      </c>
    </row>
    <row r="13" customFormat="false" ht="15" hidden="false" customHeight="false" outlineLevel="0" collapsed="false">
      <c r="B13" s="10" t="s">
        <v>173</v>
      </c>
    </row>
    <row r="14" customFormat="false" ht="15" hidden="false" customHeight="false" outlineLevel="0" collapsed="false">
      <c r="B14" s="10" t="s">
        <v>174</v>
      </c>
    </row>
    <row r="16" customFormat="false" ht="15" hidden="false" customHeight="false" outlineLevel="0" collapsed="false">
      <c r="B16" s="3" t="s">
        <v>175</v>
      </c>
    </row>
    <row r="17" customFormat="false" ht="31.5" hidden="false" customHeight="true" outlineLevel="0" collapsed="false">
      <c r="B17" s="6" t="s">
        <v>72</v>
      </c>
      <c r="C17" s="6" t="s">
        <v>163</v>
      </c>
      <c r="D17" s="6" t="s">
        <v>159</v>
      </c>
      <c r="E17" s="6" t="s">
        <v>176</v>
      </c>
    </row>
    <row r="18" customFormat="false" ht="15" hidden="false" customHeight="false" outlineLevel="0" collapsed="false">
      <c r="B18" s="7" t="s">
        <v>177</v>
      </c>
      <c r="C18" s="15" t="s">
        <v>164</v>
      </c>
      <c r="D18" s="16" t="s">
        <v>160</v>
      </c>
      <c r="E18" s="18" t="s">
        <v>178</v>
      </c>
    </row>
    <row r="19" customFormat="false" ht="15" hidden="false" customHeight="false" outlineLevel="0" collapsed="false">
      <c r="B19" s="7" t="s">
        <v>179</v>
      </c>
      <c r="C19" s="15" t="s">
        <v>164</v>
      </c>
      <c r="D19" s="16" t="s">
        <v>161</v>
      </c>
      <c r="E19" s="2" t="s">
        <v>180</v>
      </c>
    </row>
    <row r="20" customFormat="false" ht="15" hidden="false" customHeight="false" outlineLevel="0" collapsed="false">
      <c r="B20" s="7" t="s">
        <v>181</v>
      </c>
      <c r="C20" s="15" t="s">
        <v>182</v>
      </c>
      <c r="D20" s="16" t="s">
        <v>168</v>
      </c>
      <c r="E20" s="18" t="s">
        <v>183</v>
      </c>
    </row>
    <row r="21" customFormat="false" ht="15" hidden="false" customHeight="false" outlineLevel="0" collapsed="false">
      <c r="B21" s="7" t="s">
        <v>184</v>
      </c>
      <c r="C21" s="15" t="s">
        <v>162</v>
      </c>
      <c r="D21" s="16" t="s">
        <v>185</v>
      </c>
      <c r="E21" s="2" t="s">
        <v>186</v>
      </c>
    </row>
    <row r="22" customFormat="false" ht="15" hidden="false" customHeight="false" outlineLevel="0" collapsed="false">
      <c r="B22" s="7" t="s">
        <v>187</v>
      </c>
      <c r="C22" s="15" t="s">
        <v>182</v>
      </c>
      <c r="D22" s="16" t="s">
        <v>188</v>
      </c>
      <c r="E22" s="2" t="s">
        <v>180</v>
      </c>
    </row>
    <row r="23" customFormat="false" ht="15" hidden="false" customHeight="false" outlineLevel="0" collapsed="false">
      <c r="B23" s="7" t="s">
        <v>189</v>
      </c>
      <c r="C23" s="15" t="s">
        <v>190</v>
      </c>
      <c r="D23" s="16" t="s">
        <v>191</v>
      </c>
      <c r="E23" s="2" t="s">
        <v>180</v>
      </c>
    </row>
    <row r="24" customFormat="false" ht="15" hidden="false" customHeight="false" outlineLevel="0" collapsed="false">
      <c r="B24" s="7" t="s">
        <v>192</v>
      </c>
      <c r="C24" s="15" t="s">
        <v>193</v>
      </c>
      <c r="D24" s="16" t="s">
        <v>194</v>
      </c>
      <c r="E24" s="2" t="s">
        <v>180</v>
      </c>
    </row>
    <row r="25" customFormat="false" ht="15" hidden="false" customHeight="false" outlineLevel="0" collapsed="false">
      <c r="B25" s="7" t="s">
        <v>195</v>
      </c>
      <c r="C25" s="15" t="s">
        <v>196</v>
      </c>
      <c r="D25" s="16" t="s">
        <v>196</v>
      </c>
      <c r="E25" s="2" t="s">
        <v>197</v>
      </c>
    </row>
    <row r="27" customFormat="false" ht="15" hidden="false" customHeight="false" outlineLevel="0" collapsed="false">
      <c r="B27" s="10" t="s">
        <v>198</v>
      </c>
    </row>
    <row r="28" customFormat="false" ht="15" hidden="false" customHeight="false" outlineLevel="0" collapsed="false">
      <c r="B28" s="10" t="s">
        <v>199</v>
      </c>
    </row>
    <row r="30" customFormat="false" ht="15" hidden="false" customHeight="false" outlineLevel="0" collapsed="false">
      <c r="B30" s="3" t="s">
        <v>200</v>
      </c>
    </row>
    <row r="31" customFormat="false" ht="31.5" hidden="false" customHeight="true" outlineLevel="0" collapsed="false">
      <c r="B31" s="6" t="s">
        <v>72</v>
      </c>
      <c r="C31" s="6" t="s">
        <v>100</v>
      </c>
      <c r="D31" s="6" t="s">
        <v>101</v>
      </c>
      <c r="E31" s="6" t="s">
        <v>102</v>
      </c>
    </row>
    <row r="32" customFormat="false" ht="15" hidden="false" customHeight="false" outlineLevel="0" collapsed="false">
      <c r="B32" s="7" t="s">
        <v>201</v>
      </c>
      <c r="C32" s="19" t="n">
        <v>2.8</v>
      </c>
      <c r="D32" s="19" t="n">
        <v>2.8</v>
      </c>
      <c r="E32" s="19" t="n">
        <v>2.8</v>
      </c>
    </row>
    <row r="33" customFormat="false" ht="15" hidden="false" customHeight="false" outlineLevel="0" collapsed="false">
      <c r="B33" s="7" t="s">
        <v>202</v>
      </c>
      <c r="C33" s="19" t="n">
        <v>5.8</v>
      </c>
      <c r="D33" s="19" t="n">
        <v>5.2</v>
      </c>
      <c r="E33" s="19" t="n">
        <v>5</v>
      </c>
    </row>
    <row r="34" customFormat="false" ht="15" hidden="false" customHeight="false" outlineLevel="0" collapsed="false">
      <c r="B34" s="7" t="s">
        <v>203</v>
      </c>
      <c r="C34" s="19" t="n">
        <v>4.5</v>
      </c>
    </row>
    <row r="36" customFormat="false" ht="15" hidden="false" customHeight="false" outlineLevel="0" collapsed="false">
      <c r="B36" s="10" t="s">
        <v>204</v>
      </c>
    </row>
    <row r="40" customFormat="false" ht="15" hidden="false" customHeight="false" outlineLevel="0" collapsed="false">
      <c r="B40" s="4" t="s">
        <v>205</v>
      </c>
      <c r="C40" s="7" t="s">
        <v>206</v>
      </c>
      <c r="D40" s="7" t="s">
        <v>207</v>
      </c>
      <c r="E40" s="7" t="s">
        <v>208</v>
      </c>
    </row>
    <row r="41" customFormat="false" ht="15" hidden="false" customHeight="false" outlineLevel="0" collapsed="false">
      <c r="B41" s="7" t="s">
        <v>100</v>
      </c>
      <c r="C41" s="19" t="n">
        <v>1</v>
      </c>
      <c r="D41" s="19" t="n">
        <v>1.75</v>
      </c>
      <c r="E41" s="19" t="n">
        <v>2.1</v>
      </c>
    </row>
    <row r="42" customFormat="false" ht="15" hidden="false" customHeight="false" outlineLevel="0" collapsed="false">
      <c r="B42" s="7" t="s">
        <v>101</v>
      </c>
      <c r="C42" s="19" t="n">
        <v>2</v>
      </c>
      <c r="D42" s="19" t="n">
        <v>3</v>
      </c>
      <c r="E42" s="19" t="n">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20"/>
    <col collapsed="false" customWidth="true" hidden="false" outlineLevel="0" max="4" min="4" style="0" width="54"/>
  </cols>
  <sheetData>
    <row r="2" customFormat="false" ht="25.5" hidden="false" customHeight="true" outlineLevel="0" collapsed="false">
      <c r="B2" s="1" t="s">
        <v>209</v>
      </c>
    </row>
    <row r="3" customFormat="false" ht="15" hidden="false" customHeight="false" outlineLevel="0" collapsed="false">
      <c r="B3" s="2" t="s">
        <v>210</v>
      </c>
    </row>
    <row r="5" customFormat="false" ht="15" hidden="false" customHeight="false" outlineLevel="0" collapsed="false">
      <c r="B5" s="3" t="s">
        <v>211</v>
      </c>
    </row>
    <row r="6" customFormat="false" ht="12" hidden="false" customHeight="true" outlineLevel="0" collapsed="false">
      <c r="B6" s="14" t="s">
        <v>212</v>
      </c>
      <c r="C6" s="14"/>
      <c r="D6" s="14"/>
      <c r="E6" s="14"/>
      <c r="F6" s="14"/>
      <c r="G6" s="14"/>
      <c r="H6" s="14"/>
      <c r="I6" s="14"/>
      <c r="J6" s="14"/>
    </row>
    <row r="7" customFormat="false" ht="21.75" hidden="false" customHeight="true" outlineLevel="0" collapsed="false">
      <c r="B7" s="14" t="s">
        <v>213</v>
      </c>
      <c r="C7" s="14"/>
      <c r="D7" s="14"/>
      <c r="E7" s="14"/>
      <c r="F7" s="14"/>
      <c r="G7" s="14"/>
      <c r="H7" s="14"/>
      <c r="I7" s="14"/>
      <c r="J7" s="14"/>
    </row>
    <row r="8" customFormat="false" ht="21.75" hidden="false" customHeight="true" outlineLevel="0" collapsed="false">
      <c r="B8" s="14" t="s">
        <v>214</v>
      </c>
      <c r="C8" s="14"/>
      <c r="D8" s="14"/>
      <c r="E8" s="14"/>
      <c r="F8" s="14"/>
      <c r="G8" s="14"/>
      <c r="H8" s="14"/>
      <c r="I8" s="14"/>
      <c r="J8" s="14"/>
    </row>
    <row r="9" customFormat="false" ht="12" hidden="false" customHeight="true" outlineLevel="0" collapsed="false">
      <c r="B9" s="14" t="s">
        <v>215</v>
      </c>
      <c r="C9" s="14"/>
      <c r="D9" s="14"/>
      <c r="E9" s="14"/>
      <c r="F9" s="14"/>
      <c r="G9" s="14"/>
      <c r="H9" s="14"/>
      <c r="I9" s="14"/>
      <c r="J9" s="14"/>
    </row>
    <row r="11" customFormat="false" ht="15" hidden="false" customHeight="false" outlineLevel="0" collapsed="false">
      <c r="B11" s="3" t="s">
        <v>216</v>
      </c>
    </row>
    <row r="12" customFormat="false" ht="31.5" hidden="false" customHeight="true" outlineLevel="0" collapsed="false">
      <c r="B12" s="6" t="s">
        <v>111</v>
      </c>
      <c r="C12" s="6" t="s">
        <v>217</v>
      </c>
      <c r="D12" s="6" t="s">
        <v>55</v>
      </c>
    </row>
    <row r="13" customFormat="false" ht="15" hidden="false" customHeight="false" outlineLevel="0" collapsed="false">
      <c r="B13" s="7" t="s">
        <v>218</v>
      </c>
      <c r="C13" s="20" t="n">
        <v>7</v>
      </c>
      <c r="D13" s="10" t="s">
        <v>91</v>
      </c>
    </row>
    <row r="14" customFormat="false" ht="15" hidden="false" customHeight="false" outlineLevel="0" collapsed="false">
      <c r="B14" s="7" t="s">
        <v>219</v>
      </c>
      <c r="C14" s="20" t="n">
        <v>4</v>
      </c>
      <c r="D14" s="10"/>
    </row>
    <row r="15" customFormat="false" ht="15" hidden="false" customHeight="false" outlineLevel="0" collapsed="false">
      <c r="B15" s="7" t="s">
        <v>220</v>
      </c>
      <c r="C15" s="20" t="n">
        <v>2.2</v>
      </c>
      <c r="D15" s="10" t="s">
        <v>221</v>
      </c>
    </row>
    <row r="16" customFormat="false" ht="15" hidden="false" customHeight="false" outlineLevel="0" collapsed="false">
      <c r="B16" s="4" t="s">
        <v>222</v>
      </c>
      <c r="C16" s="21" t="n">
        <v>5</v>
      </c>
      <c r="D16" s="10" t="s">
        <v>223</v>
      </c>
    </row>
    <row r="17" customFormat="false" ht="15" hidden="false" customHeight="false" outlineLevel="0" collapsed="false">
      <c r="B17" s="7" t="s">
        <v>224</v>
      </c>
      <c r="C17" s="20" t="n">
        <v>33</v>
      </c>
      <c r="D17" s="10" t="s">
        <v>225</v>
      </c>
    </row>
    <row r="19" customFormat="false" ht="15" hidden="false" customHeight="false" outlineLevel="0" collapsed="false">
      <c r="B19" s="10" t="s">
        <v>226</v>
      </c>
    </row>
    <row r="20" customFormat="false" ht="15" hidden="false" customHeight="false" outlineLevel="0" collapsed="false">
      <c r="B20" s="10" t="s">
        <v>227</v>
      </c>
    </row>
    <row r="22" customFormat="false" ht="15" hidden="false" customHeight="false" outlineLevel="0" collapsed="false">
      <c r="B22" s="3" t="s">
        <v>228</v>
      </c>
    </row>
    <row r="23" customFormat="false" ht="31.5" hidden="false" customHeight="true" outlineLevel="0" collapsed="false">
      <c r="B23" s="6" t="s">
        <v>85</v>
      </c>
      <c r="C23" s="6" t="s">
        <v>176</v>
      </c>
      <c r="D23" s="6" t="s">
        <v>29</v>
      </c>
    </row>
    <row r="24" customFormat="false" ht="15" hidden="false" customHeight="false" outlineLevel="0" collapsed="false">
      <c r="B24" s="4" t="s">
        <v>229</v>
      </c>
      <c r="C24" s="7" t="s">
        <v>230</v>
      </c>
      <c r="D24" s="10" t="s">
        <v>231</v>
      </c>
    </row>
    <row r="25" customFormat="false" ht="15" hidden="false" customHeight="false" outlineLevel="0" collapsed="false">
      <c r="B25" s="4" t="s">
        <v>232</v>
      </c>
      <c r="C25" s="7" t="s">
        <v>233</v>
      </c>
      <c r="D25" s="10" t="s">
        <v>234</v>
      </c>
    </row>
    <row r="26" customFormat="false" ht="15" hidden="false" customHeight="false" outlineLevel="0" collapsed="false">
      <c r="B26" s="4" t="s">
        <v>235</v>
      </c>
      <c r="C26" s="7" t="s">
        <v>236</v>
      </c>
      <c r="D26" s="10" t="s">
        <v>237</v>
      </c>
    </row>
    <row r="27" customFormat="false" ht="15" hidden="false" customHeight="false" outlineLevel="0" collapsed="false">
      <c r="B27" s="4" t="s">
        <v>238</v>
      </c>
      <c r="C27" s="7" t="s">
        <v>239</v>
      </c>
      <c r="D27" s="10" t="s">
        <v>240</v>
      </c>
    </row>
    <row r="29" customFormat="false" ht="15" hidden="false" customHeight="false" outlineLevel="0" collapsed="false">
      <c r="B29" s="10" t="s">
        <v>241</v>
      </c>
    </row>
  </sheetData>
  <mergeCells count="4">
    <mergeCell ref="B6:J6"/>
    <mergeCell ref="B7:J7"/>
    <mergeCell ref="B8:J8"/>
    <mergeCell ref="B9:J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96"/>
  </cols>
  <sheetData>
    <row r="2" customFormat="false" ht="25.5" hidden="false" customHeight="true" outlineLevel="0" collapsed="false">
      <c r="B2" s="1" t="s">
        <v>242</v>
      </c>
    </row>
    <row r="4" customFormat="false" ht="33" hidden="false" customHeight="true" outlineLevel="0" collapsed="false">
      <c r="B4" s="4" t="s">
        <v>47</v>
      </c>
      <c r="C4" s="5" t="s">
        <v>243</v>
      </c>
    </row>
    <row r="5" customFormat="false" ht="21.75" hidden="false" customHeight="true" outlineLevel="0" collapsed="false">
      <c r="B5" s="4" t="s">
        <v>244</v>
      </c>
      <c r="C5" s="5" t="s">
        <v>245</v>
      </c>
    </row>
    <row r="6" customFormat="false" ht="21.75" hidden="false" customHeight="true" outlineLevel="0" collapsed="false">
      <c r="B6" s="4" t="s">
        <v>246</v>
      </c>
      <c r="C6" s="5" t="s">
        <v>247</v>
      </c>
    </row>
    <row r="7" customFormat="false" ht="12" hidden="false" customHeight="true" outlineLevel="0" collapsed="false">
      <c r="B7" s="4" t="s">
        <v>248</v>
      </c>
      <c r="C7" s="5" t="s">
        <v>249</v>
      </c>
    </row>
    <row r="8" customFormat="false" ht="33" hidden="false" customHeight="true" outlineLevel="0" collapsed="false">
      <c r="B8" s="4" t="s">
        <v>250</v>
      </c>
      <c r="C8" s="5" t="s">
        <v>251</v>
      </c>
    </row>
    <row r="9" customFormat="false" ht="33" hidden="false" customHeight="true" outlineLevel="0" collapsed="false">
      <c r="B9" s="4" t="s">
        <v>252</v>
      </c>
      <c r="C9" s="5" t="s">
        <v>253</v>
      </c>
    </row>
    <row r="10" customFormat="false" ht="33" hidden="false" customHeight="true" outlineLevel="0" collapsed="false">
      <c r="B10" s="4" t="s">
        <v>254</v>
      </c>
      <c r="C10" s="5" t="s">
        <v>255</v>
      </c>
    </row>
    <row r="11" customFormat="false" ht="21.75" hidden="false" customHeight="true" outlineLevel="0" collapsed="false">
      <c r="B11" s="4" t="s">
        <v>256</v>
      </c>
      <c r="C11" s="5" t="s">
        <v>257</v>
      </c>
    </row>
    <row r="13" customFormat="false" ht="12" hidden="false" customHeight="true" outlineLevel="0" collapsed="false">
      <c r="B13" s="4" t="s">
        <v>258</v>
      </c>
      <c r="C13" s="5" t="s">
        <v>259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2026-08-04T22:52:37Z</dcterms:created>
  <dc:creator>openpyxl</dc:creator>
  <dc:description/>
  <dc:language>en-US</dc:language>
  <cp:lastModifiedBy/>
  <dcterms:modified xsi:type="dcterms:W3CDTF">2026-08-04T22:52:51Z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